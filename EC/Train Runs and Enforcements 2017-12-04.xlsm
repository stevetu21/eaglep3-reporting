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Runs'!$A$12:$AG$520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11" i="1" l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09" i="1"/>
  <c r="AM209" i="1"/>
  <c r="AN209" i="1"/>
  <c r="AO209" i="1"/>
  <c r="K197" i="1"/>
  <c r="L197" i="1"/>
  <c r="M197" i="1"/>
  <c r="N197" i="1" s="1"/>
  <c r="V197" i="1"/>
  <c r="AA197" i="1"/>
  <c r="AB197" i="1"/>
  <c r="AC197" i="1"/>
  <c r="AD197" i="1"/>
  <c r="T197" i="1" s="1"/>
  <c r="AE197" i="1"/>
  <c r="AF197" i="1"/>
  <c r="AH197" i="1"/>
  <c r="AM197" i="1"/>
  <c r="AN197" i="1"/>
  <c r="AO197" i="1"/>
  <c r="X194" i="1"/>
  <c r="K109" i="1"/>
  <c r="L109" i="1"/>
  <c r="M109" i="1"/>
  <c r="N109" i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P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S11" i="3" s="1"/>
  <c r="Y142" i="1"/>
  <c r="Z142" i="1"/>
  <c r="AB142" i="1"/>
  <c r="AC142" i="1"/>
  <c r="AD142" i="1"/>
  <c r="X142" i="1" s="1"/>
  <c r="AE142" i="1"/>
  <c r="R11" i="3" s="1"/>
  <c r="AF142" i="1"/>
  <c r="AH142" i="1"/>
  <c r="AM142" i="1"/>
  <c r="AN142" i="1"/>
  <c r="AO142" i="1"/>
  <c r="K143" i="1"/>
  <c r="L143" i="1"/>
  <c r="M143" i="1"/>
  <c r="N143" i="1" s="1"/>
  <c r="V143" i="1"/>
  <c r="Y143" i="1"/>
  <c r="AA143" i="1" s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S17" i="3" s="1"/>
  <c r="Y158" i="1"/>
  <c r="Z158" i="1"/>
  <c r="AA158" i="1" s="1"/>
  <c r="AB158" i="1"/>
  <c r="AC158" i="1"/>
  <c r="AD158" i="1"/>
  <c r="T158" i="1" s="1"/>
  <c r="AE158" i="1"/>
  <c r="R17" i="3" s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01" i="1"/>
  <c r="L101" i="1"/>
  <c r="M101" i="1"/>
  <c r="N101" i="1" s="1"/>
  <c r="V101" i="1"/>
  <c r="AA101" i="1"/>
  <c r="AB101" i="1"/>
  <c r="AC101" i="1"/>
  <c r="AD101" i="1"/>
  <c r="T101" i="1" s="1"/>
  <c r="AE101" i="1"/>
  <c r="AF101" i="1"/>
  <c r="AH101" i="1"/>
  <c r="AM101" i="1"/>
  <c r="AN101" i="1"/>
  <c r="AO101" i="1"/>
  <c r="K80" i="1"/>
  <c r="L80" i="1"/>
  <c r="M80" i="1"/>
  <c r="N80" i="1" s="1"/>
  <c r="V80" i="1"/>
  <c r="AA80" i="1"/>
  <c r="AB80" i="1"/>
  <c r="AC80" i="1"/>
  <c r="AD80" i="1"/>
  <c r="T80" i="1" s="1"/>
  <c r="AE80" i="1"/>
  <c r="AF80" i="1"/>
  <c r="AH80" i="1"/>
  <c r="AM80" i="1"/>
  <c r="AN80" i="1"/>
  <c r="AO8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R7" i="3" s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P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P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P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P39" i="1" s="1"/>
  <c r="V39" i="1"/>
  <c r="S14" i="3" s="1"/>
  <c r="AA39" i="1"/>
  <c r="AB39" i="1"/>
  <c r="AC39" i="1"/>
  <c r="AD39" i="1"/>
  <c r="AE39" i="1"/>
  <c r="R14" i="3" s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S9" i="3" s="1"/>
  <c r="Y42" i="1"/>
  <c r="Z42" i="1"/>
  <c r="AB42" i="1"/>
  <c r="AC42" i="1"/>
  <c r="AD42" i="1"/>
  <c r="AE42" i="1"/>
  <c r="R10" i="3" s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S8" i="3" s="1"/>
  <c r="Y46" i="1"/>
  <c r="Z46" i="1"/>
  <c r="AB46" i="1"/>
  <c r="AC46" i="1"/>
  <c r="AD46" i="1"/>
  <c r="AE46" i="1"/>
  <c r="R8" i="3" s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S15" i="3" s="1"/>
  <c r="Y64" i="1"/>
  <c r="Z64" i="1"/>
  <c r="AB64" i="1"/>
  <c r="AC64" i="1"/>
  <c r="AD64" i="1"/>
  <c r="T64" i="1" s="1"/>
  <c r="AE64" i="1"/>
  <c r="R15" i="3" s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S12" i="3" s="1"/>
  <c r="Y77" i="1"/>
  <c r="Z77" i="1"/>
  <c r="AB77" i="1"/>
  <c r="AC77" i="1"/>
  <c r="AD77" i="1"/>
  <c r="AE77" i="1"/>
  <c r="R12" i="3" s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AO83" i="1"/>
  <c r="K84" i="1"/>
  <c r="L84" i="1"/>
  <c r="M84" i="1"/>
  <c r="N84" i="1" s="1"/>
  <c r="V84" i="1"/>
  <c r="S16" i="3" s="1"/>
  <c r="Y84" i="1"/>
  <c r="Z84" i="1"/>
  <c r="AB84" i="1"/>
  <c r="AC84" i="1"/>
  <c r="AD84" i="1"/>
  <c r="AE84" i="1"/>
  <c r="R16" i="3" s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A86" i="1" s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P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AO173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4" i="1"/>
  <c r="AM174" i="1"/>
  <c r="AN174" i="1"/>
  <c r="AO17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2" i="1"/>
  <c r="AM182" i="1"/>
  <c r="AN182" i="1"/>
  <c r="AO18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3" i="1"/>
  <c r="AM183" i="1"/>
  <c r="AN183" i="1"/>
  <c r="AO18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4" i="1"/>
  <c r="AM184" i="1"/>
  <c r="AN184" i="1"/>
  <c r="AO18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5" i="1"/>
  <c r="AM185" i="1"/>
  <c r="AN185" i="1"/>
  <c r="AO18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6" i="1"/>
  <c r="AM186" i="1"/>
  <c r="AN186" i="1"/>
  <c r="AO18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7" i="1"/>
  <c r="AM187" i="1"/>
  <c r="AN187" i="1"/>
  <c r="AO187" i="1"/>
  <c r="K167" i="1"/>
  <c r="L167" i="1"/>
  <c r="M167" i="1"/>
  <c r="N167" i="1" s="1"/>
  <c r="V167" i="1"/>
  <c r="Y167" i="1"/>
  <c r="Z167" i="1"/>
  <c r="AB167" i="1"/>
  <c r="AC167" i="1"/>
  <c r="AD167" i="1"/>
  <c r="AE167" i="1"/>
  <c r="R19" i="3" s="1"/>
  <c r="AF167" i="1"/>
  <c r="AH188" i="1"/>
  <c r="AM188" i="1"/>
  <c r="AN188" i="1"/>
  <c r="AO18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9" i="1"/>
  <c r="AM189" i="1"/>
  <c r="AN189" i="1"/>
  <c r="AO18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0" i="1"/>
  <c r="AM190" i="1"/>
  <c r="AN190" i="1"/>
  <c r="AO19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1" i="1"/>
  <c r="AM191" i="1"/>
  <c r="AN191" i="1"/>
  <c r="AO191" i="1"/>
  <c r="K171" i="1"/>
  <c r="L171" i="1"/>
  <c r="M171" i="1"/>
  <c r="N171" i="1" s="1"/>
  <c r="V171" i="1"/>
  <c r="S20" i="3" s="1"/>
  <c r="Y171" i="1"/>
  <c r="Z171" i="1"/>
  <c r="AB171" i="1"/>
  <c r="AC171" i="1"/>
  <c r="AD171" i="1"/>
  <c r="AE171" i="1"/>
  <c r="R20" i="3" s="1"/>
  <c r="AF171" i="1"/>
  <c r="AH192" i="1"/>
  <c r="AM192" i="1"/>
  <c r="AN192" i="1"/>
  <c r="AO19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3" i="1"/>
  <c r="AM193" i="1"/>
  <c r="AN193" i="1"/>
  <c r="AO19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4" i="1"/>
  <c r="AM194" i="1"/>
  <c r="AN194" i="1"/>
  <c r="AO19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5" i="1"/>
  <c r="AM195" i="1"/>
  <c r="AN195" i="1"/>
  <c r="AO19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6" i="1"/>
  <c r="AM196" i="1"/>
  <c r="AN196" i="1"/>
  <c r="AO196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8" i="1"/>
  <c r="AM198" i="1"/>
  <c r="AN198" i="1"/>
  <c r="AO198" i="1"/>
  <c r="AH199" i="1"/>
  <c r="AM199" i="1"/>
  <c r="AN199" i="1"/>
  <c r="AO199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200" i="1"/>
  <c r="AM200" i="1"/>
  <c r="AN200" i="1"/>
  <c r="AO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AO20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2" i="1"/>
  <c r="AM202" i="1"/>
  <c r="AN202" i="1"/>
  <c r="AO20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AO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AO20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5" i="1"/>
  <c r="AM205" i="1"/>
  <c r="AN205" i="1"/>
  <c r="AO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AO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AO20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8" i="1"/>
  <c r="AM208" i="1"/>
  <c r="AN208" i="1"/>
  <c r="AO208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0" i="1"/>
  <c r="AM210" i="1"/>
  <c r="AN210" i="1"/>
  <c r="AO21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1" i="1"/>
  <c r="AM211" i="1"/>
  <c r="AN211" i="1"/>
  <c r="AO211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2" i="1"/>
  <c r="AM212" i="1"/>
  <c r="AN212" i="1"/>
  <c r="AO21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3" i="1"/>
  <c r="AM213" i="1"/>
  <c r="AN213" i="1"/>
  <c r="AO21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4" i="1"/>
  <c r="AM214" i="1"/>
  <c r="AN214" i="1"/>
  <c r="AO21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5" i="1"/>
  <c r="AM215" i="1"/>
  <c r="AN215" i="1"/>
  <c r="AO215" i="1"/>
  <c r="R18" i="3"/>
  <c r="AH216" i="1"/>
  <c r="AM216" i="1"/>
  <c r="AN216" i="1"/>
  <c r="AO216" i="1"/>
  <c r="K193" i="1"/>
  <c r="L193" i="1"/>
  <c r="M193" i="1"/>
  <c r="N193" i="1" s="1"/>
  <c r="V193" i="1"/>
  <c r="S18" i="3" s="1"/>
  <c r="Y193" i="1"/>
  <c r="Z193" i="1"/>
  <c r="AB193" i="1"/>
  <c r="AC193" i="1"/>
  <c r="AD193" i="1"/>
  <c r="T193" i="1" s="1"/>
  <c r="AE193" i="1"/>
  <c r="AF193" i="1"/>
  <c r="AH217" i="1"/>
  <c r="AM217" i="1"/>
  <c r="AN217" i="1"/>
  <c r="AO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AO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AO21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AO22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1" i="1"/>
  <c r="AM221" i="1"/>
  <c r="AN221" i="1"/>
  <c r="AO221" i="1"/>
  <c r="K199" i="1"/>
  <c r="L199" i="1"/>
  <c r="M199" i="1"/>
  <c r="N199" i="1" s="1"/>
  <c r="V199" i="1"/>
  <c r="S21" i="3" s="1"/>
  <c r="Y199" i="1"/>
  <c r="Z199" i="1"/>
  <c r="AB199" i="1"/>
  <c r="AC199" i="1"/>
  <c r="AD199" i="1"/>
  <c r="T199" i="1" s="1"/>
  <c r="AE199" i="1"/>
  <c r="R21" i="3" s="1"/>
  <c r="AF199" i="1"/>
  <c r="AH222" i="1"/>
  <c r="AM222" i="1"/>
  <c r="AN222" i="1"/>
  <c r="AO22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3" i="1"/>
  <c r="AM223" i="1"/>
  <c r="AN223" i="1"/>
  <c r="AO22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4" i="1"/>
  <c r="AM224" i="1"/>
  <c r="AN224" i="1"/>
  <c r="AO22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5" i="1"/>
  <c r="AM225" i="1"/>
  <c r="AN225" i="1"/>
  <c r="AO22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6" i="1"/>
  <c r="AM226" i="1"/>
  <c r="AN226" i="1"/>
  <c r="AO22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7" i="1"/>
  <c r="AM227" i="1"/>
  <c r="AN227" i="1"/>
  <c r="AO22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8" i="1"/>
  <c r="AM228" i="1"/>
  <c r="AN228" i="1"/>
  <c r="AO22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9" i="1"/>
  <c r="AM229" i="1"/>
  <c r="AN229" i="1"/>
  <c r="AO22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0" i="1"/>
  <c r="AM230" i="1"/>
  <c r="AN230" i="1"/>
  <c r="AO23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1" i="1"/>
  <c r="AM231" i="1"/>
  <c r="AN231" i="1"/>
  <c r="AO23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2" i="1"/>
  <c r="AM232" i="1"/>
  <c r="AN232" i="1"/>
  <c r="AO23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3" i="1"/>
  <c r="AM233" i="1"/>
  <c r="AN233" i="1"/>
  <c r="AO23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34" i="1"/>
  <c r="AM234" i="1"/>
  <c r="AN234" i="1"/>
  <c r="AO23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35" i="1"/>
  <c r="AM235" i="1"/>
  <c r="AN235" i="1"/>
  <c r="AO23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36" i="1"/>
  <c r="AM236" i="1"/>
  <c r="AN236" i="1"/>
  <c r="AO23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7" i="1"/>
  <c r="AM237" i="1"/>
  <c r="AN237" i="1"/>
  <c r="AO237" i="1"/>
  <c r="M14" i="3"/>
  <c r="U14" i="3"/>
  <c r="T14" i="3" s="1"/>
  <c r="V14" i="3"/>
  <c r="X14" i="3"/>
  <c r="M7" i="3"/>
  <c r="S7" i="3"/>
  <c r="U7" i="3"/>
  <c r="AC7" i="3" s="1"/>
  <c r="V7" i="3"/>
  <c r="X7" i="3"/>
  <c r="M19" i="3"/>
  <c r="S19" i="3"/>
  <c r="U19" i="3"/>
  <c r="AC19" i="3" s="1"/>
  <c r="V19" i="3"/>
  <c r="X19" i="3"/>
  <c r="M9" i="3"/>
  <c r="R9" i="3"/>
  <c r="U9" i="3"/>
  <c r="T9" i="3" s="1"/>
  <c r="V9" i="3"/>
  <c r="X9" i="3"/>
  <c r="M20" i="3"/>
  <c r="U20" i="3"/>
  <c r="AC20" i="3" s="1"/>
  <c r="V20" i="3"/>
  <c r="X20" i="3"/>
  <c r="M10" i="3"/>
  <c r="U10" i="3"/>
  <c r="AC10" i="3" s="1"/>
  <c r="V10" i="3"/>
  <c r="X10" i="3"/>
  <c r="M8" i="3"/>
  <c r="U8" i="3"/>
  <c r="AC8" i="3" s="1"/>
  <c r="V8" i="3"/>
  <c r="X8" i="3"/>
  <c r="M15" i="3"/>
  <c r="U15" i="3"/>
  <c r="T15" i="3" s="1"/>
  <c r="V15" i="3"/>
  <c r="X15" i="3"/>
  <c r="M12" i="3"/>
  <c r="U12" i="3"/>
  <c r="AD12" i="3" s="1"/>
  <c r="V12" i="3"/>
  <c r="X12" i="3"/>
  <c r="M16" i="3"/>
  <c r="U16" i="3"/>
  <c r="T16" i="3" s="1"/>
  <c r="V16" i="3"/>
  <c r="X16" i="3"/>
  <c r="M18" i="3"/>
  <c r="U18" i="3"/>
  <c r="V18" i="3"/>
  <c r="X18" i="3"/>
  <c r="M21" i="3"/>
  <c r="U21" i="3"/>
  <c r="AC21" i="3" s="1"/>
  <c r="V21" i="3"/>
  <c r="X21" i="3"/>
  <c r="M22" i="3"/>
  <c r="U22" i="3"/>
  <c r="AC22" i="3" s="1"/>
  <c r="V22" i="3"/>
  <c r="X22" i="3"/>
  <c r="M11" i="3"/>
  <c r="U11" i="3"/>
  <c r="V11" i="3"/>
  <c r="X11" i="3"/>
  <c r="M17" i="3"/>
  <c r="U17" i="3"/>
  <c r="V17" i="3"/>
  <c r="X17" i="3"/>
  <c r="AG209" i="1"/>
  <c r="AG197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01" i="1"/>
  <c r="AG80" i="1"/>
  <c r="AG15" i="1"/>
  <c r="AG19" i="1"/>
  <c r="AG23" i="1"/>
  <c r="AG27" i="1"/>
  <c r="AG31" i="1"/>
  <c r="AG35" i="1"/>
  <c r="AG39" i="1"/>
  <c r="AG43" i="1"/>
  <c r="AG47" i="1"/>
  <c r="AG51" i="1"/>
  <c r="AG17" i="1"/>
  <c r="AG22" i="1"/>
  <c r="AG28" i="1"/>
  <c r="AG33" i="1"/>
  <c r="AG38" i="1"/>
  <c r="AG44" i="1"/>
  <c r="AG49" i="1"/>
  <c r="AG53" i="1"/>
  <c r="AG57" i="1"/>
  <c r="AG61" i="1"/>
  <c r="AG65" i="1"/>
  <c r="AG69" i="1"/>
  <c r="AG73" i="1"/>
  <c r="AG77" i="1"/>
  <c r="AG82" i="1"/>
  <c r="AG89" i="1"/>
  <c r="AG93" i="1"/>
  <c r="AG97" i="1"/>
  <c r="AG102" i="1"/>
  <c r="AG106" i="1"/>
  <c r="AG210" i="1"/>
  <c r="AG218" i="1"/>
  <c r="AG232" i="1"/>
  <c r="AG163" i="1"/>
  <c r="AG171" i="1"/>
  <c r="AG175" i="1"/>
  <c r="AG213" i="1"/>
  <c r="AG221" i="1"/>
  <c r="AG235" i="1"/>
  <c r="AG166" i="1"/>
  <c r="AG178" i="1"/>
  <c r="AG180" i="1"/>
  <c r="AG184" i="1"/>
  <c r="AG188" i="1"/>
  <c r="AG192" i="1"/>
  <c r="AG195" i="1"/>
  <c r="AG200" i="1"/>
  <c r="AG204" i="1"/>
  <c r="AG208" i="1"/>
  <c r="AG228" i="1"/>
  <c r="AG18" i="1"/>
  <c r="AG24" i="1"/>
  <c r="AG29" i="1"/>
  <c r="AG34" i="1"/>
  <c r="AG40" i="1"/>
  <c r="AG45" i="1"/>
  <c r="AG50" i="1"/>
  <c r="AG54" i="1"/>
  <c r="AG58" i="1"/>
  <c r="AG62" i="1"/>
  <c r="AG66" i="1"/>
  <c r="AG70" i="1"/>
  <c r="AG74" i="1"/>
  <c r="AG78" i="1"/>
  <c r="AG86" i="1"/>
  <c r="AG90" i="1"/>
  <c r="AG94" i="1"/>
  <c r="AG98" i="1"/>
  <c r="AG103" i="1"/>
  <c r="AG107" i="1"/>
  <c r="AG212" i="1"/>
  <c r="AG234" i="1"/>
  <c r="AG172" i="1"/>
  <c r="AG215" i="1"/>
  <c r="AG237" i="1"/>
  <c r="AG176" i="1"/>
  <c r="AG185" i="1"/>
  <c r="AG201" i="1"/>
  <c r="AG225" i="1"/>
  <c r="AG214" i="1"/>
  <c r="AG167" i="1"/>
  <c r="AG160" i="1"/>
  <c r="AG231" i="1"/>
  <c r="AG182" i="1"/>
  <c r="AG193" i="1"/>
  <c r="AG226" i="1"/>
  <c r="AG83" i="1"/>
  <c r="AG220" i="1"/>
  <c r="AG165" i="1"/>
  <c r="AG223" i="1"/>
  <c r="AG168" i="1"/>
  <c r="AG181" i="1"/>
  <c r="AG189" i="1"/>
  <c r="AG196" i="1"/>
  <c r="AG205" i="1"/>
  <c r="AG229" i="1"/>
  <c r="AG14" i="1"/>
  <c r="AG20" i="1"/>
  <c r="AG25" i="1"/>
  <c r="AG30" i="1"/>
  <c r="AG36" i="1"/>
  <c r="AG41" i="1"/>
  <c r="AG46" i="1"/>
  <c r="AG52" i="1"/>
  <c r="AG55" i="1"/>
  <c r="AG59" i="1"/>
  <c r="AG63" i="1"/>
  <c r="AG67" i="1"/>
  <c r="AG71" i="1"/>
  <c r="AG75" i="1"/>
  <c r="AG79" i="1"/>
  <c r="AG84" i="1"/>
  <c r="AG87" i="1"/>
  <c r="AG91" i="1"/>
  <c r="AG95" i="1"/>
  <c r="AG99" i="1"/>
  <c r="AG104" i="1"/>
  <c r="AG108" i="1"/>
  <c r="AG222" i="1"/>
  <c r="AG236" i="1"/>
  <c r="AG173" i="1"/>
  <c r="AG217" i="1"/>
  <c r="AG162" i="1"/>
  <c r="AG186" i="1"/>
  <c r="AG198" i="1"/>
  <c r="AG230" i="1"/>
  <c r="AG206" i="1"/>
  <c r="AG16" i="1"/>
  <c r="AG21" i="1"/>
  <c r="AG26" i="1"/>
  <c r="AG32" i="1"/>
  <c r="AG37" i="1"/>
  <c r="AG42" i="1"/>
  <c r="AG48" i="1"/>
  <c r="AG56" i="1"/>
  <c r="AG60" i="1"/>
  <c r="AG64" i="1"/>
  <c r="AG68" i="1"/>
  <c r="AG72" i="1"/>
  <c r="AG76" i="1"/>
  <c r="AG81" i="1"/>
  <c r="AG85" i="1"/>
  <c r="AG88" i="1"/>
  <c r="AG92" i="1"/>
  <c r="AG96" i="1"/>
  <c r="AG100" i="1"/>
  <c r="AG105" i="1"/>
  <c r="AG216" i="1"/>
  <c r="AG224" i="1"/>
  <c r="AG161" i="1"/>
  <c r="AG169" i="1"/>
  <c r="AG174" i="1"/>
  <c r="AG211" i="1"/>
  <c r="AG219" i="1"/>
  <c r="AG233" i="1"/>
  <c r="AG164" i="1"/>
  <c r="AG177" i="1"/>
  <c r="AG179" i="1"/>
  <c r="AG183" i="1"/>
  <c r="AG187" i="1"/>
  <c r="AG191" i="1"/>
  <c r="AG194" i="1"/>
  <c r="AG199" i="1"/>
  <c r="AG203" i="1"/>
  <c r="AG207" i="1"/>
  <c r="AG227" i="1"/>
  <c r="AG170" i="1"/>
  <c r="AG190" i="1"/>
  <c r="AG202" i="1"/>
  <c r="W20" i="3"/>
  <c r="W22" i="3"/>
  <c r="W21" i="3"/>
  <c r="W15" i="3"/>
  <c r="W9" i="3"/>
  <c r="W17" i="3"/>
  <c r="W8" i="3"/>
  <c r="W12" i="3"/>
  <c r="W7" i="3"/>
  <c r="W16" i="3"/>
  <c r="W14" i="3"/>
  <c r="W18" i="3"/>
  <c r="W10" i="3"/>
  <c r="W19" i="3"/>
  <c r="W11" i="3"/>
  <c r="X195" i="1" l="1"/>
  <c r="X198" i="1"/>
  <c r="X102" i="1"/>
  <c r="AA98" i="1"/>
  <c r="X89" i="1"/>
  <c r="AA53" i="1"/>
  <c r="AA34" i="1"/>
  <c r="AA30" i="1"/>
  <c r="AA26" i="1"/>
  <c r="AA22" i="1"/>
  <c r="AA18" i="1"/>
  <c r="X193" i="1"/>
  <c r="X196" i="1"/>
  <c r="X209" i="1"/>
  <c r="AI209" i="1"/>
  <c r="U209" i="1"/>
  <c r="S209" i="1" s="1"/>
  <c r="W209" i="1"/>
  <c r="AA139" i="1"/>
  <c r="X157" i="1"/>
  <c r="X156" i="1"/>
  <c r="AA136" i="1"/>
  <c r="X141" i="1"/>
  <c r="AI197" i="1"/>
  <c r="U197" i="1"/>
  <c r="S197" i="1" s="1"/>
  <c r="W197" i="1"/>
  <c r="X197" i="1"/>
  <c r="AA159" i="1"/>
  <c r="W159" i="1" s="1"/>
  <c r="AA150" i="1"/>
  <c r="X140" i="1"/>
  <c r="X137" i="1"/>
  <c r="AA156" i="1"/>
  <c r="W156" i="1" s="1"/>
  <c r="X180" i="1"/>
  <c r="X90" i="1"/>
  <c r="X86" i="1"/>
  <c r="AA149" i="1"/>
  <c r="W149" i="1" s="1"/>
  <c r="AA145" i="1"/>
  <c r="X179" i="1"/>
  <c r="AA59" i="1"/>
  <c r="AA154" i="1"/>
  <c r="W154" i="1" s="1"/>
  <c r="AA151" i="1"/>
  <c r="AA147" i="1"/>
  <c r="AA140" i="1"/>
  <c r="AA137" i="1"/>
  <c r="W137" i="1" s="1"/>
  <c r="AA135" i="1"/>
  <c r="AA131" i="1"/>
  <c r="AA130" i="1"/>
  <c r="AA132" i="1"/>
  <c r="W132" i="1" s="1"/>
  <c r="AA187" i="1"/>
  <c r="AA234" i="1"/>
  <c r="AA224" i="1"/>
  <c r="AA220" i="1"/>
  <c r="AA68" i="1"/>
  <c r="AA60" i="1"/>
  <c r="X59" i="1"/>
  <c r="AA157" i="1"/>
  <c r="W157" i="1" s="1"/>
  <c r="AA148" i="1"/>
  <c r="W148" i="1" s="1"/>
  <c r="AA146" i="1"/>
  <c r="AA226" i="1"/>
  <c r="AA185" i="1"/>
  <c r="AA180" i="1"/>
  <c r="X82" i="1"/>
  <c r="X53" i="1"/>
  <c r="X159" i="1"/>
  <c r="AA152" i="1"/>
  <c r="X151" i="1"/>
  <c r="AA134" i="1"/>
  <c r="X108" i="1"/>
  <c r="T59" i="1"/>
  <c r="X54" i="1"/>
  <c r="AA155" i="1"/>
  <c r="X153" i="1"/>
  <c r="X152" i="1"/>
  <c r="AA144" i="1"/>
  <c r="AA142" i="1"/>
  <c r="AA141" i="1"/>
  <c r="W141" i="1" s="1"/>
  <c r="AA138" i="1"/>
  <c r="W138" i="1" s="1"/>
  <c r="AA201" i="1"/>
  <c r="AA173" i="1"/>
  <c r="W173" i="1" s="1"/>
  <c r="AA169" i="1"/>
  <c r="W169" i="1" s="1"/>
  <c r="AA168" i="1"/>
  <c r="W168" i="1" s="1"/>
  <c r="X158" i="1"/>
  <c r="X154" i="1"/>
  <c r="X150" i="1"/>
  <c r="AA129" i="1"/>
  <c r="AA128" i="1"/>
  <c r="AA127" i="1"/>
  <c r="AA126" i="1"/>
  <c r="W126" i="1" s="1"/>
  <c r="AA125" i="1"/>
  <c r="W125" i="1" s="1"/>
  <c r="AA124" i="1"/>
  <c r="AA123" i="1"/>
  <c r="W123" i="1" s="1"/>
  <c r="AA122" i="1"/>
  <c r="W122" i="1" s="1"/>
  <c r="AA121" i="1"/>
  <c r="AA120" i="1"/>
  <c r="AA119" i="1"/>
  <c r="W119" i="1" s="1"/>
  <c r="AA118" i="1"/>
  <c r="W118" i="1" s="1"/>
  <c r="AA117" i="1"/>
  <c r="W117" i="1" s="1"/>
  <c r="AA116" i="1"/>
  <c r="AA115" i="1"/>
  <c r="W115" i="1" s="1"/>
  <c r="AA114" i="1"/>
  <c r="W114" i="1" s="1"/>
  <c r="AA113" i="1"/>
  <c r="AA112" i="1"/>
  <c r="AA111" i="1"/>
  <c r="AA110" i="1"/>
  <c r="W110" i="1" s="1"/>
  <c r="AA109" i="1"/>
  <c r="W109" i="1" s="1"/>
  <c r="AA205" i="1"/>
  <c r="AA199" i="1"/>
  <c r="W199" i="1" s="1"/>
  <c r="AA193" i="1"/>
  <c r="W193" i="1" s="1"/>
  <c r="AA190" i="1"/>
  <c r="AA186" i="1"/>
  <c r="AA182" i="1"/>
  <c r="W182" i="1" s="1"/>
  <c r="AA181" i="1"/>
  <c r="AI159" i="1"/>
  <c r="U158" i="1"/>
  <c r="S158" i="1" s="1"/>
  <c r="AI158" i="1"/>
  <c r="AI157" i="1"/>
  <c r="U156" i="1"/>
  <c r="S156" i="1" s="1"/>
  <c r="AI156" i="1"/>
  <c r="AI155" i="1"/>
  <c r="U154" i="1"/>
  <c r="S154" i="1" s="1"/>
  <c r="AI154" i="1"/>
  <c r="AI153" i="1"/>
  <c r="U152" i="1"/>
  <c r="S152" i="1" s="1"/>
  <c r="AI152" i="1"/>
  <c r="AI151" i="1"/>
  <c r="U150" i="1"/>
  <c r="S150" i="1" s="1"/>
  <c r="AI150" i="1"/>
  <c r="AI149" i="1"/>
  <c r="AI148" i="1"/>
  <c r="AI147" i="1"/>
  <c r="W147" i="1"/>
  <c r="AI146" i="1"/>
  <c r="W146" i="1"/>
  <c r="AI145" i="1"/>
  <c r="W145" i="1"/>
  <c r="AI144" i="1"/>
  <c r="W144" i="1"/>
  <c r="AI143" i="1"/>
  <c r="W143" i="1"/>
  <c r="AI142" i="1"/>
  <c r="W142" i="1"/>
  <c r="AI141" i="1"/>
  <c r="AI140" i="1"/>
  <c r="W140" i="1"/>
  <c r="AI139" i="1"/>
  <c r="W139" i="1"/>
  <c r="AI138" i="1"/>
  <c r="AI137" i="1"/>
  <c r="AI136" i="1"/>
  <c r="W136" i="1"/>
  <c r="AI135" i="1"/>
  <c r="W135" i="1"/>
  <c r="AI134" i="1"/>
  <c r="W134" i="1"/>
  <c r="AI133" i="1"/>
  <c r="W133" i="1"/>
  <c r="AI132" i="1"/>
  <c r="AI131" i="1"/>
  <c r="W131" i="1"/>
  <c r="AI130" i="1"/>
  <c r="W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W153" i="1"/>
  <c r="W152" i="1"/>
  <c r="W158" i="1"/>
  <c r="W155" i="1"/>
  <c r="W151" i="1"/>
  <c r="W150" i="1"/>
  <c r="T157" i="1"/>
  <c r="U157" i="1" s="1"/>
  <c r="S157" i="1" s="1"/>
  <c r="T155" i="1"/>
  <c r="U155" i="1" s="1"/>
  <c r="S155" i="1" s="1"/>
  <c r="T151" i="1"/>
  <c r="U151" i="1" s="1"/>
  <c r="S151" i="1" s="1"/>
  <c r="W129" i="1"/>
  <c r="W128" i="1"/>
  <c r="W127" i="1"/>
  <c r="W124" i="1"/>
  <c r="W121" i="1"/>
  <c r="W120" i="1"/>
  <c r="W116" i="1"/>
  <c r="W113" i="1"/>
  <c r="W112" i="1"/>
  <c r="W111" i="1"/>
  <c r="T159" i="1"/>
  <c r="U159" i="1" s="1"/>
  <c r="S159" i="1" s="1"/>
  <c r="T153" i="1"/>
  <c r="U153" i="1" s="1"/>
  <c r="S153" i="1" s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T141" i="1"/>
  <c r="U141" i="1" s="1"/>
  <c r="S141" i="1" s="1"/>
  <c r="T140" i="1"/>
  <c r="U140" i="1" s="1"/>
  <c r="S140" i="1" s="1"/>
  <c r="T139" i="1"/>
  <c r="U139" i="1" s="1"/>
  <c r="S139" i="1" s="1"/>
  <c r="T138" i="1"/>
  <c r="U138" i="1" s="1"/>
  <c r="S138" i="1" s="1"/>
  <c r="T137" i="1"/>
  <c r="U137" i="1" s="1"/>
  <c r="S137" i="1" s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X118" i="1"/>
  <c r="T117" i="1"/>
  <c r="U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S10" i="3"/>
  <c r="AC12" i="3"/>
  <c r="AI101" i="1"/>
  <c r="U101" i="1"/>
  <c r="S101" i="1" s="1"/>
  <c r="W101" i="1"/>
  <c r="X101" i="1"/>
  <c r="T108" i="1"/>
  <c r="U108" i="1" s="1"/>
  <c r="S108" i="1" s="1"/>
  <c r="AA54" i="1"/>
  <c r="W54" i="1" s="1"/>
  <c r="AA50" i="1"/>
  <c r="AA57" i="1"/>
  <c r="W57" i="1" s="1"/>
  <c r="AA229" i="1"/>
  <c r="AA202" i="1"/>
  <c r="W202" i="1" s="1"/>
  <c r="AA198" i="1"/>
  <c r="AA189" i="1"/>
  <c r="W189" i="1" s="1"/>
  <c r="AA178" i="1"/>
  <c r="W178" i="1" s="1"/>
  <c r="AA175" i="1"/>
  <c r="W175" i="1" s="1"/>
  <c r="AA171" i="1"/>
  <c r="AA165" i="1"/>
  <c r="W165" i="1" s="1"/>
  <c r="AA237" i="1"/>
  <c r="AA232" i="1"/>
  <c r="W232" i="1" s="1"/>
  <c r="AA222" i="1"/>
  <c r="AA99" i="1"/>
  <c r="W99" i="1" s="1"/>
  <c r="AA87" i="1"/>
  <c r="AI80" i="1"/>
  <c r="U80" i="1"/>
  <c r="S80" i="1" s="1"/>
  <c r="W80" i="1"/>
  <c r="X80" i="1"/>
  <c r="AA196" i="1"/>
  <c r="AA195" i="1"/>
  <c r="W195" i="1" s="1"/>
  <c r="AA191" i="1"/>
  <c r="AA183" i="1"/>
  <c r="W183" i="1" s="1"/>
  <c r="AA166" i="1"/>
  <c r="AA162" i="1"/>
  <c r="W162" i="1" s="1"/>
  <c r="AA233" i="1"/>
  <c r="AA223" i="1"/>
  <c r="W223" i="1" s="1"/>
  <c r="AA219" i="1"/>
  <c r="AA104" i="1"/>
  <c r="W104" i="1" s="1"/>
  <c r="X63" i="1"/>
  <c r="AA49" i="1"/>
  <c r="W49" i="1" s="1"/>
  <c r="AA45" i="1"/>
  <c r="AA41" i="1"/>
  <c r="W41" i="1" s="1"/>
  <c r="AD20" i="3"/>
  <c r="X107" i="1"/>
  <c r="AA107" i="1"/>
  <c r="X106" i="1"/>
  <c r="AA100" i="1"/>
  <c r="AA96" i="1"/>
  <c r="W96" i="1" s="1"/>
  <c r="AA92" i="1"/>
  <c r="AA88" i="1"/>
  <c r="W88" i="1" s="1"/>
  <c r="AA72" i="1"/>
  <c r="AA71" i="1"/>
  <c r="W71" i="1" s="1"/>
  <c r="AA61" i="1"/>
  <c r="AA51" i="1"/>
  <c r="W51" i="1" s="1"/>
  <c r="AA47" i="1"/>
  <c r="AA43" i="1"/>
  <c r="W43" i="1" s="1"/>
  <c r="AA35" i="1"/>
  <c r="AD15" i="3"/>
  <c r="T8" i="3"/>
  <c r="AC14" i="3"/>
  <c r="AA230" i="1"/>
  <c r="AA206" i="1"/>
  <c r="W206" i="1" s="1"/>
  <c r="AA203" i="1"/>
  <c r="W203" i="1" s="1"/>
  <c r="AA170" i="1"/>
  <c r="W170" i="1" s="1"/>
  <c r="AA235" i="1"/>
  <c r="AA231" i="1"/>
  <c r="AA221" i="1"/>
  <c r="AA52" i="1"/>
  <c r="W52" i="1" s="1"/>
  <c r="AA36" i="1"/>
  <c r="S22" i="3"/>
  <c r="R22" i="3"/>
  <c r="AA225" i="1"/>
  <c r="W225" i="1" s="1"/>
  <c r="AA208" i="1"/>
  <c r="W208" i="1" s="1"/>
  <c r="AA200" i="1"/>
  <c r="W200" i="1" s="1"/>
  <c r="AA194" i="1"/>
  <c r="AA184" i="1"/>
  <c r="W184" i="1" s="1"/>
  <c r="AA179" i="1"/>
  <c r="W179" i="1" s="1"/>
  <c r="AA174" i="1"/>
  <c r="AA164" i="1"/>
  <c r="W164" i="1" s="1"/>
  <c r="AA105" i="1"/>
  <c r="W105" i="1" s="1"/>
  <c r="AA103" i="1"/>
  <c r="AA102" i="1"/>
  <c r="W102" i="1" s="1"/>
  <c r="AA95" i="1"/>
  <c r="AA91" i="1"/>
  <c r="W91" i="1" s="1"/>
  <c r="AA70" i="1"/>
  <c r="AA69" i="1"/>
  <c r="W69" i="1" s="1"/>
  <c r="X60" i="1"/>
  <c r="AA58" i="1"/>
  <c r="W58" i="1" s="1"/>
  <c r="AA44" i="1"/>
  <c r="AA42" i="1"/>
  <c r="W42" i="1" s="1"/>
  <c r="AA32" i="1"/>
  <c r="AA28" i="1"/>
  <c r="W28" i="1" s="1"/>
  <c r="AA24" i="1"/>
  <c r="AA20" i="1"/>
  <c r="AA16" i="1"/>
  <c r="AA62" i="1"/>
  <c r="AA48" i="1"/>
  <c r="AA46" i="1"/>
  <c r="W46" i="1" s="1"/>
  <c r="AA33" i="1"/>
  <c r="AA29" i="1"/>
  <c r="W29" i="1" s="1"/>
  <c r="AA25" i="1"/>
  <c r="AA21" i="1"/>
  <c r="W21" i="1" s="1"/>
  <c r="AA17" i="1"/>
  <c r="AA192" i="1"/>
  <c r="W192" i="1" s="1"/>
  <c r="AA176" i="1"/>
  <c r="W176" i="1" s="1"/>
  <c r="AA172" i="1"/>
  <c r="W172" i="1" s="1"/>
  <c r="AA167" i="1"/>
  <c r="AA161" i="1"/>
  <c r="W161" i="1" s="1"/>
  <c r="AA236" i="1"/>
  <c r="AA97" i="1"/>
  <c r="W97" i="1" s="1"/>
  <c r="AA93" i="1"/>
  <c r="AA89" i="1"/>
  <c r="W89" i="1" s="1"/>
  <c r="AA66" i="1"/>
  <c r="AA65" i="1"/>
  <c r="W65" i="1" s="1"/>
  <c r="AA228" i="1"/>
  <c r="AA204" i="1"/>
  <c r="W204" i="1" s="1"/>
  <c r="AA188" i="1"/>
  <c r="W188" i="1" s="1"/>
  <c r="AA67" i="1"/>
  <c r="X62" i="1"/>
  <c r="AA56" i="1"/>
  <c r="AA55" i="1"/>
  <c r="AA40" i="1"/>
  <c r="AA38" i="1"/>
  <c r="AA37" i="1"/>
  <c r="W37" i="1" s="1"/>
  <c r="AA31" i="1"/>
  <c r="AA27" i="1"/>
  <c r="W27" i="1" s="1"/>
  <c r="AA23" i="1"/>
  <c r="AA19" i="1"/>
  <c r="W19" i="1" s="1"/>
  <c r="AA15" i="1"/>
  <c r="AA227" i="1"/>
  <c r="W227" i="1" s="1"/>
  <c r="AA207" i="1"/>
  <c r="AA163" i="1"/>
  <c r="W163" i="1" s="1"/>
  <c r="X64" i="1"/>
  <c r="AA63" i="1"/>
  <c r="W63" i="1" s="1"/>
  <c r="X61" i="1"/>
  <c r="X58" i="1"/>
  <c r="AA108" i="1"/>
  <c r="W108" i="1" s="1"/>
  <c r="T107" i="1"/>
  <c r="U107" i="1" s="1"/>
  <c r="S107" i="1" s="1"/>
  <c r="X72" i="1"/>
  <c r="X70" i="1"/>
  <c r="X68" i="1"/>
  <c r="X66" i="1"/>
  <c r="X57" i="1"/>
  <c r="X56" i="1"/>
  <c r="AA14" i="1"/>
  <c r="AA85" i="1"/>
  <c r="W85" i="1" s="1"/>
  <c r="AA84" i="1"/>
  <c r="AA83" i="1"/>
  <c r="W83" i="1" s="1"/>
  <c r="AA82" i="1"/>
  <c r="AA81" i="1"/>
  <c r="W81" i="1" s="1"/>
  <c r="AA79" i="1"/>
  <c r="AA78" i="1"/>
  <c r="W78" i="1" s="1"/>
  <c r="AA77" i="1"/>
  <c r="AA76" i="1"/>
  <c r="W76" i="1" s="1"/>
  <c r="AA75" i="1"/>
  <c r="AA74" i="1"/>
  <c r="W74" i="1" s="1"/>
  <c r="AA73" i="1"/>
  <c r="X71" i="1"/>
  <c r="X69" i="1"/>
  <c r="X67" i="1"/>
  <c r="X65" i="1"/>
  <c r="AA64" i="1"/>
  <c r="W64" i="1" s="1"/>
  <c r="X55" i="1"/>
  <c r="AA218" i="1"/>
  <c r="W218" i="1" s="1"/>
  <c r="AA217" i="1"/>
  <c r="AA216" i="1"/>
  <c r="W216" i="1" s="1"/>
  <c r="AA215" i="1"/>
  <c r="AA214" i="1"/>
  <c r="W214" i="1" s="1"/>
  <c r="AA213" i="1"/>
  <c r="AA212" i="1"/>
  <c r="W212" i="1" s="1"/>
  <c r="AA211" i="1"/>
  <c r="AA210" i="1"/>
  <c r="W210" i="1" s="1"/>
  <c r="AA160" i="1"/>
  <c r="AA106" i="1"/>
  <c r="W106" i="1" s="1"/>
  <c r="AI237" i="1"/>
  <c r="U230" i="1"/>
  <c r="S230" i="1" s="1"/>
  <c r="U229" i="1"/>
  <c r="S229" i="1" s="1"/>
  <c r="AI236" i="1"/>
  <c r="U228" i="1"/>
  <c r="S228" i="1" s="1"/>
  <c r="AI235" i="1"/>
  <c r="AI234" i="1"/>
  <c r="U227" i="1"/>
  <c r="S227" i="1" s="1"/>
  <c r="AI233" i="1"/>
  <c r="U226" i="1"/>
  <c r="S226" i="1" s="1"/>
  <c r="AI232" i="1"/>
  <c r="U225" i="1"/>
  <c r="S225" i="1" s="1"/>
  <c r="AI231" i="1"/>
  <c r="U208" i="1"/>
  <c r="S208" i="1" s="1"/>
  <c r="AI230" i="1"/>
  <c r="U207" i="1"/>
  <c r="S207" i="1" s="1"/>
  <c r="AI229" i="1"/>
  <c r="U206" i="1"/>
  <c r="S206" i="1" s="1"/>
  <c r="U205" i="1"/>
  <c r="S205" i="1" s="1"/>
  <c r="AI228" i="1"/>
  <c r="AI227" i="1"/>
  <c r="U204" i="1"/>
  <c r="S204" i="1" s="1"/>
  <c r="AI226" i="1"/>
  <c r="U203" i="1"/>
  <c r="S203" i="1" s="1"/>
  <c r="AI225" i="1"/>
  <c r="U202" i="1"/>
  <c r="S202" i="1" s="1"/>
  <c r="U201" i="1"/>
  <c r="S201" i="1" s="1"/>
  <c r="AI224" i="1"/>
  <c r="AI223" i="1"/>
  <c r="U200" i="1"/>
  <c r="S200" i="1" s="1"/>
  <c r="AI222" i="1"/>
  <c r="U199" i="1"/>
  <c r="S199" i="1" s="1"/>
  <c r="AI221" i="1"/>
  <c r="U198" i="1"/>
  <c r="S198" i="1" s="1"/>
  <c r="AI220" i="1"/>
  <c r="U196" i="1"/>
  <c r="S196" i="1" s="1"/>
  <c r="AI219" i="1"/>
  <c r="U195" i="1"/>
  <c r="S195" i="1" s="1"/>
  <c r="AI218" i="1"/>
  <c r="U194" i="1"/>
  <c r="S194" i="1" s="1"/>
  <c r="AI217" i="1"/>
  <c r="U193" i="1"/>
  <c r="S193" i="1" s="1"/>
  <c r="AI216" i="1"/>
  <c r="AI215" i="1"/>
  <c r="U192" i="1"/>
  <c r="S192" i="1" s="1"/>
  <c r="AI214" i="1"/>
  <c r="U191" i="1"/>
  <c r="S191" i="1" s="1"/>
  <c r="AI213" i="1"/>
  <c r="U190" i="1"/>
  <c r="S190" i="1" s="1"/>
  <c r="AI212" i="1"/>
  <c r="U189" i="1"/>
  <c r="S189" i="1" s="1"/>
  <c r="AI211" i="1"/>
  <c r="U188" i="1"/>
  <c r="S188" i="1" s="1"/>
  <c r="AI210" i="1"/>
  <c r="U187" i="1"/>
  <c r="S187" i="1" s="1"/>
  <c r="AI208" i="1"/>
  <c r="U186" i="1"/>
  <c r="S186" i="1" s="1"/>
  <c r="AI207" i="1"/>
  <c r="U185" i="1"/>
  <c r="S185" i="1" s="1"/>
  <c r="AI206" i="1"/>
  <c r="U184" i="1"/>
  <c r="S184" i="1" s="1"/>
  <c r="AI205" i="1"/>
  <c r="U183" i="1"/>
  <c r="S183" i="1" s="1"/>
  <c r="AI204" i="1"/>
  <c r="U182" i="1"/>
  <c r="S182" i="1" s="1"/>
  <c r="AI203" i="1"/>
  <c r="U181" i="1"/>
  <c r="S181" i="1" s="1"/>
  <c r="AI202" i="1"/>
  <c r="U180" i="1"/>
  <c r="S180" i="1" s="1"/>
  <c r="AI201" i="1"/>
  <c r="U179" i="1"/>
  <c r="S179" i="1" s="1"/>
  <c r="AI199" i="1"/>
  <c r="AI196" i="1"/>
  <c r="AI200" i="1"/>
  <c r="AI198" i="1"/>
  <c r="AI191" i="1"/>
  <c r="AI189" i="1"/>
  <c r="AI187" i="1"/>
  <c r="W166" i="1"/>
  <c r="AI185" i="1"/>
  <c r="AI183" i="1"/>
  <c r="AI181" i="1"/>
  <c r="W237" i="1"/>
  <c r="AI179" i="1"/>
  <c r="W235" i="1"/>
  <c r="AI176" i="1"/>
  <c r="AI174" i="1"/>
  <c r="AI172" i="1"/>
  <c r="AI170" i="1"/>
  <c r="AI168" i="1"/>
  <c r="AI166" i="1"/>
  <c r="AI164" i="1"/>
  <c r="AI162" i="1"/>
  <c r="AI160" i="1"/>
  <c r="AI195" i="1"/>
  <c r="AI194" i="1"/>
  <c r="AI193" i="1"/>
  <c r="AI192" i="1"/>
  <c r="AI190" i="1"/>
  <c r="AI188" i="1"/>
  <c r="AI186" i="1"/>
  <c r="AI184" i="1"/>
  <c r="AI182" i="1"/>
  <c r="AI180" i="1"/>
  <c r="AI178" i="1"/>
  <c r="AI177" i="1"/>
  <c r="AI175" i="1"/>
  <c r="AI173" i="1"/>
  <c r="AI171" i="1"/>
  <c r="AI169" i="1"/>
  <c r="AI167" i="1"/>
  <c r="AI165" i="1"/>
  <c r="AI163" i="1"/>
  <c r="AI161" i="1"/>
  <c r="AI108" i="1"/>
  <c r="AI107" i="1"/>
  <c r="AI106" i="1"/>
  <c r="U106" i="1"/>
  <c r="S106" i="1" s="1"/>
  <c r="AI105" i="1"/>
  <c r="AI104" i="1"/>
  <c r="AI103" i="1"/>
  <c r="W103" i="1"/>
  <c r="AI102" i="1"/>
  <c r="AI100" i="1"/>
  <c r="W100" i="1"/>
  <c r="AI99" i="1"/>
  <c r="AI98" i="1"/>
  <c r="W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79" i="1"/>
  <c r="AI78" i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W61" i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U55" i="1"/>
  <c r="S55" i="1" s="1"/>
  <c r="AI55" i="1"/>
  <c r="W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30" i="1"/>
  <c r="W226" i="1"/>
  <c r="W198" i="1"/>
  <c r="W190" i="1"/>
  <c r="W186" i="1"/>
  <c r="W229" i="1"/>
  <c r="W205" i="1"/>
  <c r="W201" i="1"/>
  <c r="W196" i="1"/>
  <c r="W185" i="1"/>
  <c r="W181" i="1"/>
  <c r="W180" i="1"/>
  <c r="W228" i="1"/>
  <c r="W207" i="1"/>
  <c r="W194" i="1"/>
  <c r="W191" i="1"/>
  <c r="W187" i="1"/>
  <c r="T176" i="1"/>
  <c r="U176" i="1" s="1"/>
  <c r="S176" i="1" s="1"/>
  <c r="X176" i="1"/>
  <c r="W174" i="1"/>
  <c r="W171" i="1"/>
  <c r="T169" i="1"/>
  <c r="U169" i="1" s="1"/>
  <c r="S169" i="1" s="1"/>
  <c r="X169" i="1"/>
  <c r="X230" i="1"/>
  <c r="X229" i="1"/>
  <c r="X228" i="1"/>
  <c r="X227" i="1"/>
  <c r="X226" i="1"/>
  <c r="X225" i="1"/>
  <c r="X208" i="1"/>
  <c r="X207" i="1"/>
  <c r="X206" i="1"/>
  <c r="X205" i="1"/>
  <c r="X204" i="1"/>
  <c r="X203" i="1"/>
  <c r="X202" i="1"/>
  <c r="X201" i="1"/>
  <c r="X200" i="1"/>
  <c r="X199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AA177" i="1"/>
  <c r="W177" i="1" s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8" i="1"/>
  <c r="U178" i="1" s="1"/>
  <c r="S178" i="1" s="1"/>
  <c r="T177" i="1"/>
  <c r="U177" i="1" s="1"/>
  <c r="S177" i="1" s="1"/>
  <c r="W167" i="1"/>
  <c r="W236" i="1"/>
  <c r="W234" i="1"/>
  <c r="W233" i="1"/>
  <c r="W231" i="1"/>
  <c r="W224" i="1"/>
  <c r="W222" i="1"/>
  <c r="W221" i="1"/>
  <c r="W220" i="1"/>
  <c r="W219" i="1"/>
  <c r="W217" i="1"/>
  <c r="W215" i="1"/>
  <c r="W213" i="1"/>
  <c r="W211" i="1"/>
  <c r="W160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24" i="1"/>
  <c r="U224" i="1" s="1"/>
  <c r="S224" i="1" s="1"/>
  <c r="X224" i="1"/>
  <c r="T222" i="1"/>
  <c r="U222" i="1" s="1"/>
  <c r="S222" i="1" s="1"/>
  <c r="X222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W107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3" i="1"/>
  <c r="U223" i="1" s="1"/>
  <c r="S223" i="1" s="1"/>
  <c r="X223" i="1"/>
  <c r="T221" i="1"/>
  <c r="U221" i="1" s="1"/>
  <c r="S221" i="1" s="1"/>
  <c r="X221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T160" i="1"/>
  <c r="U160" i="1" s="1"/>
  <c r="S160" i="1" s="1"/>
  <c r="X160" i="1"/>
  <c r="W62" i="1"/>
  <c r="W60" i="1"/>
  <c r="W67" i="1"/>
  <c r="T105" i="1"/>
  <c r="U105" i="1" s="1"/>
  <c r="S105" i="1" s="1"/>
  <c r="X105" i="1"/>
  <c r="W95" i="1"/>
  <c r="W94" i="1"/>
  <c r="W93" i="1"/>
  <c r="W92" i="1"/>
  <c r="W90" i="1"/>
  <c r="W87" i="1"/>
  <c r="W86" i="1"/>
  <c r="W84" i="1"/>
  <c r="W82" i="1"/>
  <c r="W79" i="1"/>
  <c r="W77" i="1"/>
  <c r="W75" i="1"/>
  <c r="W73" i="1"/>
  <c r="W72" i="1"/>
  <c r="W70" i="1"/>
  <c r="W68" i="1"/>
  <c r="W66" i="1"/>
  <c r="W56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T100" i="1"/>
  <c r="U100" i="1" s="1"/>
  <c r="S100" i="1" s="1"/>
  <c r="X100" i="1"/>
  <c r="T99" i="1"/>
  <c r="U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T89" i="1"/>
  <c r="U89" i="1" s="1"/>
  <c r="S89" i="1" s="1"/>
  <c r="T88" i="1"/>
  <c r="U88" i="1" s="1"/>
  <c r="S88" i="1" s="1"/>
  <c r="T87" i="1"/>
  <c r="U87" i="1" s="1"/>
  <c r="S87" i="1" s="1"/>
  <c r="T86" i="1"/>
  <c r="U86" i="1" s="1"/>
  <c r="S86" i="1" s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T82" i="1"/>
  <c r="U82" i="1" s="1"/>
  <c r="S82" i="1" s="1"/>
  <c r="T81" i="1"/>
  <c r="U81" i="1" s="1"/>
  <c r="S81" i="1" s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W59" i="1"/>
  <c r="X76" i="1"/>
  <c r="X75" i="1"/>
  <c r="X74" i="1"/>
  <c r="X73" i="1"/>
  <c r="T71" i="1"/>
  <c r="U71" i="1" s="1"/>
  <c r="S71" i="1" s="1"/>
  <c r="T69" i="1"/>
  <c r="U69" i="1" s="1"/>
  <c r="S69" i="1" s="1"/>
  <c r="T67" i="1"/>
  <c r="U67" i="1" s="1"/>
  <c r="S67" i="1" s="1"/>
  <c r="T65" i="1"/>
  <c r="U65" i="1" s="1"/>
  <c r="S65" i="1" s="1"/>
  <c r="T61" i="1"/>
  <c r="U61" i="1" s="1"/>
  <c r="S61" i="1" s="1"/>
  <c r="W53" i="1"/>
  <c r="W50" i="1"/>
  <c r="W38" i="1"/>
  <c r="W45" i="1"/>
  <c r="W48" i="1"/>
  <c r="W44" i="1"/>
  <c r="W40" i="1"/>
  <c r="T63" i="1"/>
  <c r="U63" i="1" s="1"/>
  <c r="S63" i="1" s="1"/>
  <c r="W47" i="1"/>
  <c r="W39" i="1"/>
  <c r="W33" i="1"/>
  <c r="W32" i="1"/>
  <c r="W31" i="1"/>
  <c r="W30" i="1"/>
  <c r="W26" i="1"/>
  <c r="W25" i="1"/>
  <c r="W24" i="1"/>
  <c r="W23" i="1"/>
  <c r="W22" i="1"/>
  <c r="W20" i="1"/>
  <c r="W18" i="1"/>
  <c r="W17" i="1"/>
  <c r="W16" i="1"/>
  <c r="W15" i="1"/>
  <c r="W14" i="1"/>
  <c r="T54" i="1"/>
  <c r="U54" i="1" s="1"/>
  <c r="S54" i="1" s="1"/>
  <c r="T53" i="1"/>
  <c r="U53" i="1" s="1"/>
  <c r="S53" i="1" s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X33" i="1"/>
  <c r="T32" i="1"/>
  <c r="U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19" i="3"/>
  <c r="AE22" i="3"/>
  <c r="AD19" i="3"/>
  <c r="AE11" i="3"/>
  <c r="AC17" i="3"/>
  <c r="AC11" i="3"/>
  <c r="T11" i="3"/>
  <c r="AC16" i="3"/>
  <c r="AC9" i="3"/>
  <c r="AE18" i="3"/>
  <c r="AD16" i="3"/>
  <c r="AD9" i="3"/>
  <c r="AD18" i="3"/>
  <c r="AD8" i="3"/>
  <c r="AE15" i="3"/>
  <c r="AD22" i="3"/>
  <c r="T22" i="3"/>
  <c r="AC18" i="3"/>
  <c r="AC15" i="3"/>
  <c r="AD11" i="3"/>
  <c r="T19" i="3"/>
  <c r="Y9" i="3"/>
  <c r="Y14" i="3"/>
  <c r="Y11" i="3"/>
  <c r="Y16" i="3"/>
  <c r="Y15" i="3"/>
  <c r="Y8" i="3"/>
  <c r="Y19" i="3"/>
  <c r="Y21" i="3"/>
  <c r="Y10" i="3"/>
  <c r="Y7" i="3"/>
  <c r="Y22" i="3"/>
  <c r="Y17" i="3"/>
  <c r="Y18" i="3"/>
  <c r="Y12" i="3"/>
  <c r="Y20" i="3"/>
  <c r="T10" i="3"/>
  <c r="AE10" i="3"/>
  <c r="T7" i="3"/>
  <c r="AE17" i="3"/>
  <c r="AE14" i="3"/>
  <c r="T17" i="3"/>
  <c r="AD21" i="3"/>
  <c r="AE20" i="3"/>
  <c r="T18" i="3"/>
  <c r="AD17" i="3"/>
  <c r="AE16" i="3"/>
  <c r="T12" i="3"/>
  <c r="AD14" i="3"/>
  <c r="T20" i="3"/>
  <c r="AD10" i="3"/>
  <c r="AE9" i="3"/>
  <c r="AE21" i="3"/>
  <c r="T21" i="3"/>
  <c r="AE12" i="3"/>
  <c r="AE8" i="3"/>
  <c r="S117" i="1" l="1"/>
  <c r="S32" i="1"/>
  <c r="S13" i="3"/>
  <c r="M13" i="3"/>
  <c r="U13" i="3"/>
  <c r="V13" i="3"/>
  <c r="X13" i="3"/>
  <c r="W13" i="3"/>
  <c r="T13" i="3" l="1"/>
  <c r="AD13" i="3"/>
  <c r="AE13" i="3"/>
  <c r="R13" i="3"/>
  <c r="AC13" i="3"/>
  <c r="Y13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N11" i="3" s="1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N17" i="3" s="1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7" i="3" s="1"/>
  <c r="G49" i="4"/>
  <c r="G50" i="4"/>
  <c r="G51" i="4"/>
  <c r="G52" i="4"/>
  <c r="N19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20" i="3" s="1"/>
  <c r="G74" i="4"/>
  <c r="G75" i="4"/>
  <c r="G76" i="4"/>
  <c r="G77" i="4"/>
  <c r="G78" i="4"/>
  <c r="G79" i="4"/>
  <c r="G80" i="4"/>
  <c r="N8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N15" i="3" s="1"/>
  <c r="G107" i="4"/>
  <c r="G108" i="4"/>
  <c r="G109" i="4"/>
  <c r="G110" i="4"/>
  <c r="G111" i="4"/>
  <c r="G112" i="4"/>
  <c r="G113" i="4"/>
  <c r="G114" i="4"/>
  <c r="G115" i="4"/>
  <c r="G116" i="4"/>
  <c r="G117" i="4"/>
  <c r="N12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16" i="3" s="1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18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4" i="3" l="1"/>
  <c r="N21" i="3"/>
  <c r="N22" i="3"/>
  <c r="N10" i="3"/>
  <c r="N9" i="3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<sst xmlns="http://schemas.openxmlformats.org/spreadsheetml/2006/main" count="2741" uniqueCount="1107">
  <si>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</si>
  <si>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</si>
  <si>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</si>
  <si>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</si>
  <si>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</si>
  <si>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</si>
  <si>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</si>
  <si>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</si>
  <si>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</si>
  <si>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</si>
  <si>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</si>
  <si>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</si>
  <si>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</si>
  <si>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</si>
  <si>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</si>
  <si>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</si>
  <si>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</si>
  <si>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</si>
  <si>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</si>
  <si>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</si>
  <si>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</si>
  <si>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</si>
  <si>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</si>
  <si>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</si>
  <si>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</si>
  <si>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</si>
  <si>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</si>
  <si>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</si>
  <si>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</si>
  <si>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</si>
  <si>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</si>
  <si>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</si>
  <si>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</si>
  <si>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</si>
  <si>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</si>
  <si>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</si>
  <si>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</si>
  <si>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</si>
  <si>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</si>
  <si>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</si>
  <si>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</si>
  <si>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</si>
  <si>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</si>
  <si>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</si>
  <si>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</si>
  <si>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</si>
  <si>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</si>
  <si>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</si>
  <si>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</si>
  <si>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</si>
  <si>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</si>
  <si>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</si>
  <si>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</si>
  <si>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</si>
  <si>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</si>
  <si>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</si>
  <si>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</si>
  <si>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</si>
  <si>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</si>
  <si>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</si>
  <si>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</si>
  <si>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</si>
  <si>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</si>
  <si>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</si>
  <si>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</si>
  <si>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</si>
  <si>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</si>
  <si>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</si>
  <si>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</si>
  <si>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</si>
  <si>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</si>
  <si>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</si>
  <si>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</si>
  <si>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</si>
  <si>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</si>
  <si>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</si>
  <si>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</si>
  <si>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</si>
  <si>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</si>
  <si>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</si>
  <si>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</si>
  <si>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</si>
  <si>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</si>
  <si>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</si>
  <si>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</si>
  <si>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</si>
  <si>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</si>
  <si>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</si>
  <si>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</si>
  <si>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</si>
  <si>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</si>
  <si>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</si>
  <si>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</si>
  <si>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</si>
  <si>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</si>
  <si>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</si>
  <si>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</si>
  <si>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</si>
  <si>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</si>
  <si>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</si>
  <si>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</si>
  <si>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</si>
  <si>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</si>
  <si>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</si>
  <si>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</si>
  <si>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</si>
  <si>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</si>
  <si>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</si>
  <si>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</si>
  <si>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</si>
  <si>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</si>
  <si>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</si>
  <si>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</si>
  <si>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</si>
  <si>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</si>
  <si>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</si>
  <si>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</si>
  <si>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</si>
  <si>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</si>
  <si>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</si>
  <si>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</si>
  <si>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</si>
  <si>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</si>
  <si>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</si>
  <si>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</si>
  <si>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</si>
  <si>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</si>
  <si>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</si>
  <si>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</si>
  <si>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</si>
  <si>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</si>
  <si>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</si>
  <si>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</si>
  <si>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</si>
  <si>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</si>
  <si>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</si>
  <si>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</si>
  <si>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</si>
  <si>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</si>
  <si>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</si>
  <si>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</si>
  <si>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</si>
  <si>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</si>
  <si>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</si>
  <si>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</si>
  <si>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</si>
  <si>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</si>
  <si>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</si>
  <si>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</si>
  <si>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</si>
  <si>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</si>
  <si>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</si>
  <si>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</si>
  <si>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</si>
  <si>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</si>
  <si>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</si>
  <si>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</si>
  <si>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</si>
  <si>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</si>
  <si>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</si>
  <si>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</si>
  <si>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</si>
  <si>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</si>
  <si>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</si>
  <si>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</si>
  <si>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</si>
  <si>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</si>
  <si>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</si>
  <si>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</si>
  <si>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</si>
  <si>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</si>
  <si>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</si>
  <si>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</si>
  <si>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</si>
  <si>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</si>
  <si>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</si>
  <si>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</si>
  <si>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</si>
  <si>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</si>
  <si>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</si>
  <si>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</si>
  <si>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</si>
  <si>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</si>
  <si>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</si>
  <si>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</si>
  <si>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</si>
  <si>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</si>
  <si>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</si>
  <si>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</si>
  <si>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</si>
  <si>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</si>
  <si>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</si>
  <si>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</si>
  <si>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</si>
  <si>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</si>
  <si>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</si>
  <si>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</si>
  <si>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</si>
  <si>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</si>
  <si>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</si>
  <si>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</si>
  <si>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</si>
  <si>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</si>
  <si>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</si>
  <si>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</si>
  <si>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</si>
  <si>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</si>
  <si>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</si>
  <si>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</si>
  <si>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</si>
  <si>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</si>
  <si>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</si>
  <si>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</si>
  <si>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</si>
  <si>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</si>
  <si>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</si>
  <si>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</si>
  <si>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</si>
  <si>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</si>
  <si>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</si>
  <si>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</si>
  <si>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</si>
  <si>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</si>
  <si>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</si>
  <si>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</si>
  <si>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</si>
  <si>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</si>
  <si>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</si>
  <si>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</si>
  <si>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</si>
  <si>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</si>
  <si>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</si>
  <si>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</si>
  <si>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</si>
  <si>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</si>
  <si>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</si>
  <si>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</si>
  <si>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</si>
  <si>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</si>
  <si>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</si>
  <si>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</si>
  <si>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</si>
  <si>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</si>
  <si>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</si>
  <si>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</si>
  <si>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</si>
  <si>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</si>
  <si>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</si>
  <si>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</si>
  <si>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</si>
  <si>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</si>
  <si>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</si>
  <si>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</si>
  <si>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</si>
  <si>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</si>
  <si>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</si>
  <si>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</si>
  <si>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</si>
  <si>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</si>
  <si>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</si>
  <si>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</si>
  <si>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</si>
  <si>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</si>
  <si>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</si>
  <si>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</si>
  <si>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</si>
  <si>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</si>
  <si>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</si>
  <si>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</si>
  <si>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</si>
  <si>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</si>
  <si>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</si>
  <si>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</si>
  <si>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</si>
  <si>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</si>
  <si>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</si>
  <si>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</si>
  <si>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</si>
  <si>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</si>
  <si>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</si>
  <si>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</si>
  <si>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</si>
  <si>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</si>
  <si>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</si>
  <si>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</si>
  <si>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</si>
  <si>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</si>
  <si>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</si>
  <si>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</si>
  <si>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</si>
  <si>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</si>
  <si>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</si>
  <si>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</si>
  <si>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</si>
  <si>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</si>
  <si>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</si>
  <si>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</si>
  <si>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</si>
  <si>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</si>
  <si>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</si>
  <si>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</si>
  <si>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</si>
  <si>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</si>
  <si>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</si>
  <si>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</si>
  <si>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</si>
  <si>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</si>
  <si>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</si>
  <si>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</si>
  <si>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</si>
  <si>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</si>
  <si>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</si>
  <si>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</si>
  <si>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</si>
  <si>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</si>
  <si>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</si>
  <si>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</si>
  <si>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</si>
  <si>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</si>
  <si>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</si>
  <si>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</si>
  <si>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</si>
  <si>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</si>
  <si>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</si>
  <si>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</si>
  <si>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</si>
  <si>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</si>
  <si>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</si>
  <si>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</si>
  <si>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</si>
  <si>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</si>
  <si>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</si>
  <si>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</si>
  <si>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</si>
  <si>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</si>
  <si>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</si>
  <si>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</si>
  <si>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</si>
  <si>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</si>
  <si>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</si>
  <si>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</si>
  <si>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</si>
  <si>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</si>
  <si>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</si>
  <si>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</si>
  <si>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</si>
  <si>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</si>
  <si>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</si>
  <si>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</si>
  <si>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</si>
  <si>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</si>
  <si>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</si>
  <si>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</si>
  <si>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</si>
  <si>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</si>
  <si>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</si>
  <si>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</si>
  <si>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</si>
  <si>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</si>
  <si>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</si>
  <si>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</si>
  <si>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</si>
  <si>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</si>
  <si>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</si>
  <si>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</si>
  <si>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</si>
  <si>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</si>
  <si>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</si>
  <si>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</si>
  <si>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</si>
  <si>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</si>
  <si>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</si>
  <si>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</si>
  <si>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</si>
  <si>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</si>
  <si>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</si>
  <si>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</si>
  <si>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</si>
  <si>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</si>
  <si>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</si>
  <si>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</si>
  <si>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</si>
  <si>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</si>
  <si>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</si>
  <si>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</si>
  <si>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</si>
  <si>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</si>
  <si>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</si>
  <si>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</si>
  <si>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</si>
  <si>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</si>
  <si>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</si>
  <si>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</si>
  <si>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</si>
  <si>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</si>
  <si>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</si>
  <si>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</si>
  <si>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</si>
  <si>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</si>
  <si>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</si>
  <si>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</si>
  <si>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</si>
  <si>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</si>
  <si>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</si>
  <si>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</si>
  <si>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</si>
  <si>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</si>
  <si>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</si>
  <si>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</si>
  <si>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</si>
  <si>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</si>
  <si>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</si>
  <si>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204:212</t>
  </si>
  <si>
    <t>rtdc.l.rtdc.4056:itc</t>
  </si>
  <si>
    <t>STEWART</t>
  </si>
  <si>
    <t>204:508</t>
  </si>
  <si>
    <t>204:511</t>
  </si>
  <si>
    <t>204:232932</t>
  </si>
  <si>
    <t>204:540</t>
  </si>
  <si>
    <t>rtdc.l.rtdc.4025:itc</t>
  </si>
  <si>
    <t>rtdc.l.rtdc.4026:itc</t>
  </si>
  <si>
    <t>DONTE</t>
  </si>
  <si>
    <t>clear-day</t>
  </si>
  <si>
    <t>204:233293</t>
  </si>
  <si>
    <t>204:205</t>
  </si>
  <si>
    <t>204:233299</t>
  </si>
  <si>
    <t>300:23346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</si>
  <si>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</si>
  <si>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</si>
  <si>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</si>
  <si>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</si>
  <si>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</si>
  <si>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</si>
  <si>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</si>
  <si>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</si>
  <si>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</si>
  <si>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</si>
  <si>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</si>
  <si>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</si>
  <si>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</si>
  <si>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</si>
  <si>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</si>
  <si>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</si>
  <si>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</si>
  <si>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</si>
  <si>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</si>
  <si>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</si>
  <si>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</si>
  <si>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</si>
  <si>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</si>
  <si>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204:225</t>
  </si>
  <si>
    <t>204:233244</t>
  </si>
  <si>
    <t>300:23306</t>
  </si>
  <si>
    <t>300:58615</t>
  </si>
  <si>
    <t>300:58929</t>
  </si>
  <si>
    <t>Wi-MAX data drop</t>
  </si>
  <si>
    <t>rtdc.l.rtdc.4002:itc</t>
  </si>
  <si>
    <t>TRACK WARRANT AUTHORITY</t>
  </si>
  <si>
    <t>Form based authority (4)</t>
  </si>
  <si>
    <t>rtdc.l.rtdc.4001:itc</t>
  </si>
  <si>
    <t>rtdc.l.rtdc.4058:itc</t>
  </si>
  <si>
    <t>ANDERS</t>
  </si>
  <si>
    <t>STEVEN</t>
  </si>
  <si>
    <t>204:462</t>
  </si>
  <si>
    <t>204:473</t>
  </si>
  <si>
    <t>204:216</t>
  </si>
  <si>
    <t>204:158</t>
  </si>
  <si>
    <t>204:200</t>
  </si>
  <si>
    <t>204:233249</t>
  </si>
  <si>
    <t>204:520</t>
  </si>
  <si>
    <t>204:233285</t>
  </si>
  <si>
    <t>204:517</t>
  </si>
  <si>
    <t>300:23304</t>
  </si>
  <si>
    <t>rtdc.l.rtdc.4031:itc</t>
  </si>
  <si>
    <t>rtdc.l.rtdc.4032:itc</t>
  </si>
  <si>
    <t>rtdc.l.rtdc.4005:itc</t>
  </si>
  <si>
    <t>244-29</t>
  </si>
  <si>
    <t>rtdc.l.rtdc.4006:itc</t>
  </si>
  <si>
    <t>846-29</t>
  </si>
  <si>
    <t>235-29</t>
  </si>
  <si>
    <t>237-29</t>
  </si>
  <si>
    <t>234-29</t>
  </si>
  <si>
    <t>849-29</t>
  </si>
  <si>
    <t>239-29</t>
  </si>
  <si>
    <t>908-29</t>
  </si>
  <si>
    <t>236-29</t>
  </si>
  <si>
    <t>241-29</t>
  </si>
  <si>
    <t>238-29</t>
  </si>
  <si>
    <t>240-29</t>
  </si>
  <si>
    <t>243-29</t>
  </si>
  <si>
    <t>313-29</t>
  </si>
  <si>
    <t>242-29</t>
  </si>
  <si>
    <t>307-29</t>
  </si>
  <si>
    <t>309-29</t>
  </si>
  <si>
    <t>311-29</t>
  </si>
  <si>
    <t>204:232953</t>
  </si>
  <si>
    <t>204:491</t>
  </si>
  <si>
    <t>204:233230</t>
  </si>
  <si>
    <t>204:233263</t>
  </si>
  <si>
    <t>204:233297</t>
  </si>
  <si>
    <t>204:232</t>
  </si>
  <si>
    <t>204:209</t>
  </si>
  <si>
    <t>204:163</t>
  </si>
  <si>
    <t>204:160</t>
  </si>
  <si>
    <t>204:519</t>
  </si>
  <si>
    <t>204:232930</t>
  </si>
  <si>
    <t>204:185</t>
  </si>
  <si>
    <t>204:232936</t>
  </si>
  <si>
    <t>204:181</t>
  </si>
  <si>
    <t>204:484</t>
  </si>
  <si>
    <t>204:191</t>
  </si>
  <si>
    <t>204:486</t>
  </si>
  <si>
    <t>300:58928</t>
  </si>
  <si>
    <t>300:58916</t>
  </si>
  <si>
    <t>300:58935</t>
  </si>
  <si>
    <t>300:58608</t>
  </si>
  <si>
    <t>rtdc.l.rtdc.4033:itc</t>
  </si>
  <si>
    <t>rtdc.l.rtdc.4041:itc</t>
  </si>
  <si>
    <t>rtdc.l.rtdc.4034:itc</t>
  </si>
  <si>
    <t>rtdc.l.rtdc.4053:itc</t>
  </si>
  <si>
    <t>rtdc.l.rtdc.4023:itc</t>
  </si>
  <si>
    <t>MAELZER</t>
  </si>
  <si>
    <t>KURT</t>
  </si>
  <si>
    <t>rtdc.l.rtdc.4042:itc</t>
  </si>
  <si>
    <t>rtdc.l.rtdc.4054:itc</t>
  </si>
  <si>
    <t>STRICKLAND</t>
  </si>
  <si>
    <t>EVAN</t>
  </si>
  <si>
    <t>DELGADO</t>
  </si>
  <si>
    <t>DIANAH</t>
  </si>
  <si>
    <t>204:233302</t>
  </si>
  <si>
    <t>204:232971</t>
  </si>
  <si>
    <t>204:455</t>
  </si>
  <si>
    <t>204:232965</t>
  </si>
  <si>
    <t>204:232996</t>
  </si>
  <si>
    <t>204:232978</t>
  </si>
  <si>
    <t>204:178</t>
  </si>
  <si>
    <t>204:233270</t>
  </si>
  <si>
    <t>204:232952</t>
  </si>
  <si>
    <t>204:457</t>
  </si>
  <si>
    <t>204:233266</t>
  </si>
  <si>
    <t>204:201</t>
  </si>
  <si>
    <t>204:233315</t>
  </si>
  <si>
    <t>204:233301</t>
  </si>
  <si>
    <t>204:444</t>
  </si>
  <si>
    <t>204:211</t>
  </si>
  <si>
    <t>204:232993</t>
  </si>
  <si>
    <t>204:509</t>
  </si>
  <si>
    <t>204:233241</t>
  </si>
  <si>
    <t>204:497</t>
  </si>
  <si>
    <t>204:233245</t>
  </si>
  <si>
    <t>204:575</t>
  </si>
  <si>
    <t>204:506</t>
  </si>
  <si>
    <t>204:233274</t>
  </si>
  <si>
    <t>204:232908</t>
  </si>
  <si>
    <t>204:232923</t>
  </si>
  <si>
    <t>204:232968</t>
  </si>
  <si>
    <t>204:232949</t>
  </si>
  <si>
    <t>204:269</t>
  </si>
  <si>
    <t>204:502</t>
  </si>
  <si>
    <t>204:192</t>
  </si>
  <si>
    <t>204:131</t>
  </si>
  <si>
    <t>204:489</t>
  </si>
  <si>
    <t>300:58596</t>
  </si>
  <si>
    <t>rtdc.l.rtdc.4009:itc</t>
  </si>
  <si>
    <t>rtdc.l.rtdc.4010:itc</t>
  </si>
  <si>
    <t>THOMPSON</t>
  </si>
  <si>
    <t>LESTER</t>
  </si>
  <si>
    <t>MACDONALD</t>
  </si>
  <si>
    <t>THOMAS</t>
  </si>
  <si>
    <t>LAMAR</t>
  </si>
  <si>
    <t>NEKESHA</t>
  </si>
  <si>
    <t>LANGERAK</t>
  </si>
  <si>
    <t>WILLIAM</t>
  </si>
  <si>
    <t>DAVIS</t>
  </si>
  <si>
    <t>SAFIEF</t>
  </si>
  <si>
    <t>AEIMEN</t>
  </si>
  <si>
    <t>SMITH</t>
  </si>
  <si>
    <t>BIRENBAUM</t>
  </si>
  <si>
    <t>ROMERO</t>
  </si>
  <si>
    <t>CHAD</t>
  </si>
  <si>
    <t>MAGEE</t>
  </si>
  <si>
    <t>KENYA</t>
  </si>
  <si>
    <t>rtdc.l.rtdc.4063:itc</t>
  </si>
  <si>
    <t>KILLION</t>
  </si>
  <si>
    <t>307-03</t>
  </si>
  <si>
    <t>244-03</t>
  </si>
  <si>
    <t>309-03</t>
  </si>
  <si>
    <t>311-03</t>
  </si>
  <si>
    <t>204:189</t>
  </si>
  <si>
    <t>204:233291</t>
  </si>
  <si>
    <t>204:526</t>
  </si>
  <si>
    <t>204:232947</t>
  </si>
  <si>
    <t>204:495</t>
  </si>
  <si>
    <t>204:233312</t>
  </si>
  <si>
    <t>204:170</t>
  </si>
  <si>
    <t>204:431</t>
  </si>
  <si>
    <t>204:172</t>
  </si>
  <si>
    <t>204:232959</t>
  </si>
  <si>
    <t>204:232982</t>
  </si>
  <si>
    <t>204:513</t>
  </si>
  <si>
    <t>204:233298</t>
  </si>
  <si>
    <t>204:233255</t>
  </si>
  <si>
    <t>204:233304</t>
  </si>
  <si>
    <t>204:232981</t>
  </si>
  <si>
    <t>204:233232</t>
  </si>
  <si>
    <t>204:482</t>
  </si>
  <si>
    <t>204:233303</t>
  </si>
  <si>
    <t>204:232969</t>
  </si>
  <si>
    <t>204:524</t>
  </si>
  <si>
    <t>204:478</t>
  </si>
  <si>
    <t>204:232966</t>
  </si>
  <si>
    <t>204:233307</t>
  </si>
  <si>
    <t>204:150</t>
  </si>
  <si>
    <t>204:245</t>
  </si>
  <si>
    <t>204:504</t>
  </si>
  <si>
    <t>204:232888</t>
  </si>
  <si>
    <t>204:232863</t>
  </si>
  <si>
    <t>204:233272</t>
  </si>
  <si>
    <t>204:233227</t>
  </si>
  <si>
    <t>204:166</t>
  </si>
  <si>
    <t>204:442</t>
  </si>
  <si>
    <t>300:58918</t>
  </si>
  <si>
    <t>300:58926</t>
  </si>
  <si>
    <t>300:58912</t>
  </si>
  <si>
    <t>300:58600</t>
  </si>
  <si>
    <t>204:466</t>
  </si>
  <si>
    <t>300:58604</t>
  </si>
  <si>
    <t>300:58922</t>
  </si>
  <si>
    <t>300:58658</t>
  </si>
  <si>
    <t>204:198</t>
  </si>
  <si>
    <t>204:232902</t>
  </si>
  <si>
    <t>204:232985</t>
  </si>
  <si>
    <t>204:232975</t>
  </si>
  <si>
    <t>204:232942</t>
  </si>
  <si>
    <t>204:498</t>
  </si>
  <si>
    <t>204:233281</t>
  </si>
  <si>
    <t>204:232972</t>
  </si>
  <si>
    <t>204:203</t>
  </si>
  <si>
    <t>204:232921</t>
  </si>
  <si>
    <t>204:232948</t>
  </si>
  <si>
    <t>204:571</t>
  </si>
  <si>
    <t>204:232906</t>
  </si>
  <si>
    <t>204:233289</t>
  </si>
  <si>
    <t>204:233276</t>
  </si>
  <si>
    <t>204:233264</t>
  </si>
  <si>
    <t>204:548</t>
  </si>
  <si>
    <t>204:232962</t>
  </si>
  <si>
    <t>204:528</t>
  </si>
  <si>
    <t>204:271</t>
  </si>
  <si>
    <t>300:23310</t>
  </si>
  <si>
    <t>204:234</t>
  </si>
  <si>
    <t>204:471</t>
  </si>
  <si>
    <t>204:1164</t>
  </si>
  <si>
    <t>204:1160</t>
  </si>
  <si>
    <t>300:23308</t>
  </si>
  <si>
    <t>CCROC/crew/equip mismatch</t>
  </si>
  <si>
    <t>117-04</t>
  </si>
  <si>
    <t>rtdc.l.rtdc.4020:itc</t>
  </si>
  <si>
    <t>125-04</t>
  </si>
  <si>
    <t>118-04</t>
  </si>
  <si>
    <t>806-04</t>
  </si>
  <si>
    <t>128-04</t>
  </si>
  <si>
    <t>810-04</t>
  </si>
  <si>
    <t>132-04</t>
  </si>
  <si>
    <t>150-04</t>
  </si>
  <si>
    <t>163-04</t>
  </si>
  <si>
    <t>818-04</t>
  </si>
  <si>
    <t>170-04</t>
  </si>
  <si>
    <t>SWITCH UNKNOWN</t>
  </si>
  <si>
    <t>Track device (7)</t>
  </si>
  <si>
    <t>832-04</t>
  </si>
  <si>
    <t>838-04</t>
  </si>
  <si>
    <t>226-04</t>
  </si>
  <si>
    <t>242-04</t>
  </si>
  <si>
    <t>rtdc.l.rtdc.4019:itc</t>
  </si>
  <si>
    <t>300-04</t>
  </si>
  <si>
    <t>51-04</t>
  </si>
  <si>
    <t>SPECTOR</t>
  </si>
  <si>
    <t>101-04</t>
  </si>
  <si>
    <t>50-04</t>
  </si>
  <si>
    <t>302-04</t>
  </si>
  <si>
    <t>HAMMOND</t>
  </si>
  <si>
    <t>JUSTYNN</t>
  </si>
  <si>
    <t>103-04</t>
  </si>
  <si>
    <t>304-04</t>
  </si>
  <si>
    <t>306-04</t>
  </si>
  <si>
    <t>105-04</t>
  </si>
  <si>
    <t>102-04</t>
  </si>
  <si>
    <t>rtdc.l.rtdc.4057:itc</t>
  </si>
  <si>
    <t>308-04</t>
  </si>
  <si>
    <t>107-04</t>
  </si>
  <si>
    <t>104-04</t>
  </si>
  <si>
    <t>109-04</t>
  </si>
  <si>
    <t>310-04</t>
  </si>
  <si>
    <t>DAVIDSON</t>
  </si>
  <si>
    <t>901-04</t>
  </si>
  <si>
    <t>106-04</t>
  </si>
  <si>
    <t>111-04</t>
  </si>
  <si>
    <t>113-04</t>
  </si>
  <si>
    <t>800-04</t>
  </si>
  <si>
    <t>108-04</t>
  </si>
  <si>
    <t>312-04</t>
  </si>
  <si>
    <t>115-04</t>
  </si>
  <si>
    <t>110-04</t>
  </si>
  <si>
    <t>801-04</t>
  </si>
  <si>
    <t>902-04</t>
  </si>
  <si>
    <t>YANAI</t>
  </si>
  <si>
    <t>IAN</t>
  </si>
  <si>
    <t>119-04</t>
  </si>
  <si>
    <t>803-04</t>
  </si>
  <si>
    <t>112-04</t>
  </si>
  <si>
    <t>114-04</t>
  </si>
  <si>
    <t>802-04</t>
  </si>
  <si>
    <t>121-04</t>
  </si>
  <si>
    <t>116-04</t>
  </si>
  <si>
    <t>123-04</t>
  </si>
  <si>
    <t>804-04</t>
  </si>
  <si>
    <t>61-04</t>
  </si>
  <si>
    <t>120-04</t>
  </si>
  <si>
    <t>805-04</t>
  </si>
  <si>
    <t>rtdc.l.rtdc.4064:itc</t>
  </si>
  <si>
    <t>63-04</t>
  </si>
  <si>
    <t>ACKERMAN</t>
  </si>
  <si>
    <t>JARED</t>
  </si>
  <si>
    <t>127-04</t>
  </si>
  <si>
    <t>807-04</t>
  </si>
  <si>
    <t>122-04</t>
  </si>
  <si>
    <t>129-04</t>
  </si>
  <si>
    <t>131-04</t>
  </si>
  <si>
    <t>808-04</t>
  </si>
  <si>
    <t>124-04</t>
  </si>
  <si>
    <t>809-04</t>
  </si>
  <si>
    <t>126-04</t>
  </si>
  <si>
    <t>133-04</t>
  </si>
  <si>
    <t>135-04</t>
  </si>
  <si>
    <t>811-04</t>
  </si>
  <si>
    <t>137-04</t>
  </si>
  <si>
    <t>130-04</t>
  </si>
  <si>
    <t>139-04</t>
  </si>
  <si>
    <t>903-04</t>
  </si>
  <si>
    <t>812-04</t>
  </si>
  <si>
    <t>134-04</t>
  </si>
  <si>
    <t>136-04</t>
  </si>
  <si>
    <t>141-04</t>
  </si>
  <si>
    <t>138-04</t>
  </si>
  <si>
    <t>813-04</t>
  </si>
  <si>
    <t>143-04</t>
  </si>
  <si>
    <t>145-04</t>
  </si>
  <si>
    <t>140-04</t>
  </si>
  <si>
    <t>814-04</t>
  </si>
  <si>
    <t>147-04</t>
  </si>
  <si>
    <t>142-04</t>
  </si>
  <si>
    <t>144-04</t>
  </si>
  <si>
    <t>149-04</t>
  </si>
  <si>
    <t>151-04</t>
  </si>
  <si>
    <t>815-04</t>
  </si>
  <si>
    <t>146-04</t>
  </si>
  <si>
    <t>153-04</t>
  </si>
  <si>
    <t>816-04</t>
  </si>
  <si>
    <t>148-04</t>
  </si>
  <si>
    <t>155-04</t>
  </si>
  <si>
    <t>152-04</t>
  </si>
  <si>
    <t>157-04</t>
  </si>
  <si>
    <t>817-04</t>
  </si>
  <si>
    <t>159-04</t>
  </si>
  <si>
    <t>BROWN</t>
  </si>
  <si>
    <t>JACOB</t>
  </si>
  <si>
    <t>154-04</t>
  </si>
  <si>
    <t>156-04</t>
  </si>
  <si>
    <t>161-04</t>
  </si>
  <si>
    <t>158-04</t>
  </si>
  <si>
    <t>165-04</t>
  </si>
  <si>
    <t>NICHOLAS</t>
  </si>
  <si>
    <t>PLOYSA</t>
  </si>
  <si>
    <t>160-04</t>
  </si>
  <si>
    <t>167-04</t>
  </si>
  <si>
    <t>LONG</t>
  </si>
  <si>
    <t>FULLER</t>
  </si>
  <si>
    <t>819-04</t>
  </si>
  <si>
    <t>162-04</t>
  </si>
  <si>
    <t>169-04</t>
  </si>
  <si>
    <t>820-04</t>
  </si>
  <si>
    <t>164-04</t>
  </si>
  <si>
    <t>171-04</t>
  </si>
  <si>
    <t>166-04</t>
  </si>
  <si>
    <t>173-04</t>
  </si>
  <si>
    <t>168-04</t>
  </si>
  <si>
    <t>175-04</t>
  </si>
  <si>
    <t>821-04</t>
  </si>
  <si>
    <t>LEVIN</t>
  </si>
  <si>
    <t>SCOTT</t>
  </si>
  <si>
    <t>172-04</t>
  </si>
  <si>
    <t>177-04</t>
  </si>
  <si>
    <t>179-04</t>
  </si>
  <si>
    <t>822-04</t>
  </si>
  <si>
    <t>174-04</t>
  </si>
  <si>
    <t>181-04</t>
  </si>
  <si>
    <t>176-04</t>
  </si>
  <si>
    <t>183-04</t>
  </si>
  <si>
    <t>823-04</t>
  </si>
  <si>
    <t>178-04</t>
  </si>
  <si>
    <t>185-04</t>
  </si>
  <si>
    <t>180-04</t>
  </si>
  <si>
    <t>187-04</t>
  </si>
  <si>
    <t>824-04</t>
  </si>
  <si>
    <t>182-04</t>
  </si>
  <si>
    <t>184-04</t>
  </si>
  <si>
    <t>189-04</t>
  </si>
  <si>
    <t>191-04</t>
  </si>
  <si>
    <t>186-04</t>
  </si>
  <si>
    <t>825-04</t>
  </si>
  <si>
    <t>904-04</t>
  </si>
  <si>
    <t>AUSTIN</t>
  </si>
  <si>
    <t>193-04</t>
  </si>
  <si>
    <t>188-04</t>
  </si>
  <si>
    <t>195-04</t>
  </si>
  <si>
    <t>826-04</t>
  </si>
  <si>
    <t>827-04</t>
  </si>
  <si>
    <t>190-04</t>
  </si>
  <si>
    <t>197-04</t>
  </si>
  <si>
    <t>199-04</t>
  </si>
  <si>
    <t>192-04</t>
  </si>
  <si>
    <t>828-04</t>
  </si>
  <si>
    <t>829-04</t>
  </si>
  <si>
    <t>194-04</t>
  </si>
  <si>
    <t>201-04</t>
  </si>
  <si>
    <t>196-04</t>
  </si>
  <si>
    <t>75-04</t>
  </si>
  <si>
    <t>203-04</t>
  </si>
  <si>
    <t>830-04</t>
  </si>
  <si>
    <t>831-04</t>
  </si>
  <si>
    <t>198-04</t>
  </si>
  <si>
    <t>200-04</t>
  </si>
  <si>
    <t>205-04</t>
  </si>
  <si>
    <t>207-04</t>
  </si>
  <si>
    <t>202-04</t>
  </si>
  <si>
    <t>833-04</t>
  </si>
  <si>
    <t>209-04</t>
  </si>
  <si>
    <t>835-04</t>
  </si>
  <si>
    <t>77-04</t>
  </si>
  <si>
    <t>ROBINSON</t>
  </si>
  <si>
    <t>KADDIBA</t>
  </si>
  <si>
    <t>204-04</t>
  </si>
  <si>
    <t>211-04</t>
  </si>
  <si>
    <t>834-04</t>
  </si>
  <si>
    <t>68-04</t>
  </si>
  <si>
    <t>206-04</t>
  </si>
  <si>
    <t>213-04</t>
  </si>
  <si>
    <t>208-04</t>
  </si>
  <si>
    <t>836-04</t>
  </si>
  <si>
    <t>215-04</t>
  </si>
  <si>
    <t>210-04</t>
  </si>
  <si>
    <t>837-04</t>
  </si>
  <si>
    <t>217-04</t>
  </si>
  <si>
    <t>212-04</t>
  </si>
  <si>
    <t>219-04</t>
  </si>
  <si>
    <t>839-04</t>
  </si>
  <si>
    <t>214-04</t>
  </si>
  <si>
    <t>301-04</t>
  </si>
  <si>
    <t>221-04</t>
  </si>
  <si>
    <t>216-04</t>
  </si>
  <si>
    <t>906-04</t>
  </si>
  <si>
    <t>841-04</t>
  </si>
  <si>
    <t>218-04</t>
  </si>
  <si>
    <t>303-04</t>
  </si>
  <si>
    <t>220-04</t>
  </si>
  <si>
    <t>223-04</t>
  </si>
  <si>
    <t>840-04</t>
  </si>
  <si>
    <t>222-04</t>
  </si>
  <si>
    <t>305-04</t>
  </si>
  <si>
    <t>225-04</t>
  </si>
  <si>
    <t>843-04</t>
  </si>
  <si>
    <t>227-04</t>
  </si>
  <si>
    <t>224-04</t>
  </si>
  <si>
    <t>842-04</t>
  </si>
  <si>
    <t>229-04</t>
  </si>
  <si>
    <t>845-04</t>
  </si>
  <si>
    <t>228-04</t>
  </si>
  <si>
    <t>231-04</t>
  </si>
  <si>
    <t>844-04</t>
  </si>
  <si>
    <t>230-04</t>
  </si>
  <si>
    <t>233-04</t>
  </si>
  <si>
    <t>847-04</t>
  </si>
  <si>
    <t>232-04</t>
  </si>
  <si>
    <t>846-04</t>
  </si>
  <si>
    <t>235-04</t>
  </si>
  <si>
    <t>237-04</t>
  </si>
  <si>
    <t>234-04</t>
  </si>
  <si>
    <t>849-04</t>
  </si>
  <si>
    <t>239-04</t>
  </si>
  <si>
    <t>236-04</t>
  </si>
  <si>
    <t>908-04</t>
  </si>
  <si>
    <t>238-04</t>
  </si>
  <si>
    <t>241-04</t>
  </si>
  <si>
    <t>243-04</t>
  </si>
  <si>
    <t>240-04</t>
  </si>
  <si>
    <t>313-04</t>
  </si>
  <si>
    <t>307-04</t>
  </si>
  <si>
    <t>244-04</t>
  </si>
  <si>
    <t>309-04</t>
  </si>
  <si>
    <t>311-04</t>
  </si>
  <si>
    <t>precipAccumulation</t>
  </si>
  <si>
    <t>precipType</t>
  </si>
  <si>
    <t>snow</t>
  </si>
  <si>
    <t>rain</t>
  </si>
  <si>
    <t>partly-cloudy-day</t>
  </si>
  <si>
    <t>Partly Cloudy</t>
  </si>
  <si>
    <t>204:763</t>
  </si>
  <si>
    <t>204:232980</t>
  </si>
  <si>
    <t>204:214</t>
  </si>
  <si>
    <t>204:233278</t>
  </si>
  <si>
    <t>204:232960</t>
  </si>
  <si>
    <t>204:435</t>
  </si>
  <si>
    <t>204:232973</t>
  </si>
  <si>
    <t>204:233319</t>
  </si>
  <si>
    <t>204:464</t>
  </si>
  <si>
    <t>204:233321</t>
  </si>
  <si>
    <t>204:1001</t>
  </si>
  <si>
    <t>204:232974</t>
  </si>
  <si>
    <t>204:469</t>
  </si>
  <si>
    <t>204:232950</t>
  </si>
  <si>
    <t>204:64169</t>
  </si>
  <si>
    <t>204:36813</t>
  </si>
  <si>
    <t>204:488</t>
  </si>
  <si>
    <t>204:106744</t>
  </si>
  <si>
    <t>204:128266</t>
  </si>
  <si>
    <t>204:233331</t>
  </si>
  <si>
    <t>204:127840</t>
  </si>
  <si>
    <t>204:176</t>
  </si>
  <si>
    <t>204:1505</t>
  </si>
  <si>
    <t>204:1810</t>
  </si>
  <si>
    <t>204:232986</t>
  </si>
  <si>
    <t>204:1190</t>
  </si>
  <si>
    <t>204:141</t>
  </si>
  <si>
    <t>204:460</t>
  </si>
  <si>
    <t>204:229</t>
  </si>
  <si>
    <t>204:180</t>
  </si>
  <si>
    <t>204:232934</t>
  </si>
  <si>
    <t>204:233247</t>
  </si>
  <si>
    <t>204:537</t>
  </si>
  <si>
    <t>204:233280</t>
  </si>
  <si>
    <t>204:232998</t>
  </si>
  <si>
    <t>204:145</t>
  </si>
  <si>
    <t>204:232928</t>
  </si>
  <si>
    <t>204:267</t>
  </si>
  <si>
    <t>204:233225</t>
  </si>
  <si>
    <t>204:258</t>
  </si>
  <si>
    <t>204:529</t>
  </si>
  <si>
    <t>204:233224</t>
  </si>
  <si>
    <t>204:233287</t>
  </si>
  <si>
    <t>204:233193</t>
  </si>
  <si>
    <t>204:232867</t>
  </si>
  <si>
    <t>204:238</t>
  </si>
  <si>
    <t>204:232984</t>
  </si>
  <si>
    <t>204:233213</t>
  </si>
  <si>
    <t>204:232887</t>
  </si>
  <si>
    <t>204:580</t>
  </si>
  <si>
    <t>204:233220</t>
  </si>
  <si>
    <t>204:232913</t>
  </si>
  <si>
    <t>204:254</t>
  </si>
  <si>
    <t>204:64684</t>
  </si>
  <si>
    <t>204:551</t>
  </si>
  <si>
    <t>204:233215</t>
  </si>
  <si>
    <t>204:232900</t>
  </si>
  <si>
    <t>204:251</t>
  </si>
  <si>
    <t>204:522</t>
  </si>
  <si>
    <t>204:233268</t>
  </si>
  <si>
    <t>204:233238</t>
  </si>
  <si>
    <t>204:233192</t>
  </si>
  <si>
    <t>204:232875</t>
  </si>
  <si>
    <t>204:39115</t>
  </si>
  <si>
    <t>204:36788</t>
  </si>
  <si>
    <t>204:232961</t>
  </si>
  <si>
    <t>204:531</t>
  </si>
  <si>
    <t>204:233190</t>
  </si>
  <si>
    <t>204:555</t>
  </si>
  <si>
    <t>204:232909</t>
  </si>
  <si>
    <t>204:249</t>
  </si>
  <si>
    <t>204:232945</t>
  </si>
  <si>
    <t>204:232964</t>
  </si>
  <si>
    <t>204:559</t>
  </si>
  <si>
    <t>204:233212</t>
  </si>
  <si>
    <t>204:247</t>
  </si>
  <si>
    <t>204:577</t>
  </si>
  <si>
    <t>204:233259</t>
  </si>
  <si>
    <t>204:232926</t>
  </si>
  <si>
    <t>204:232940</t>
  </si>
  <si>
    <t>204:298</t>
  </si>
  <si>
    <t>204:233209</t>
  </si>
  <si>
    <t>204:218</t>
  </si>
  <si>
    <t>300:23156</t>
  </si>
  <si>
    <t>300:23466</t>
  </si>
  <si>
    <t>300:19825</t>
  </si>
  <si>
    <t>300:23299</t>
  </si>
  <si>
    <t>300:23116</t>
  </si>
  <si>
    <t>204:546</t>
  </si>
  <si>
    <t>300:23302</t>
  </si>
  <si>
    <t>300:19752</t>
  </si>
  <si>
    <t>204:588</t>
  </si>
  <si>
    <t>300:23268</t>
  </si>
  <si>
    <t>300:23000</t>
  </si>
  <si>
    <t>300:22322</t>
  </si>
  <si>
    <t>204:154</t>
  </si>
  <si>
    <t>204:579</t>
  </si>
  <si>
    <t>204:3223</t>
  </si>
  <si>
    <t>204:1194</t>
  </si>
  <si>
    <t>204:3546</t>
  </si>
  <si>
    <t>204:1509</t>
  </si>
  <si>
    <t>204:1507</t>
  </si>
  <si>
    <t>204:3478</t>
  </si>
  <si>
    <t>300:23654</t>
  </si>
  <si>
    <t>204:1284</t>
  </si>
  <si>
    <t>204:1511</t>
  </si>
  <si>
    <t>300:58924</t>
  </si>
  <si>
    <t>300:58594</t>
  </si>
  <si>
    <t>204:140</t>
  </si>
  <si>
    <t>204:424</t>
  </si>
  <si>
    <t>300:58914</t>
  </si>
  <si>
    <t>204:142</t>
  </si>
  <si>
    <t>300:58901</t>
  </si>
  <si>
    <t>300:58581</t>
  </si>
  <si>
    <t>204:4482</t>
  </si>
  <si>
    <t>204:450</t>
  </si>
  <si>
    <t>300:58609</t>
  </si>
  <si>
    <t>204:4558</t>
  </si>
  <si>
    <t>204:169</t>
  </si>
  <si>
    <t>300:58619</t>
  </si>
  <si>
    <t>204:439</t>
  </si>
  <si>
    <t>204:115</t>
  </si>
  <si>
    <t>204:417</t>
  </si>
  <si>
    <t>300:58969</t>
  </si>
  <si>
    <t>300:58666</t>
  </si>
  <si>
    <t>204:81</t>
  </si>
  <si>
    <t>204:377</t>
  </si>
  <si>
    <t>300:58961</t>
  </si>
  <si>
    <t>300:58641</t>
  </si>
  <si>
    <t>204:95</t>
  </si>
  <si>
    <t>204:395</t>
  </si>
  <si>
    <t>300:58958</t>
  </si>
  <si>
    <t>204:100</t>
  </si>
  <si>
    <t>204:408</t>
  </si>
  <si>
    <t>300:58944</t>
  </si>
  <si>
    <t>300:58630</t>
  </si>
  <si>
    <t>300:58946</t>
  </si>
  <si>
    <t>300:58591</t>
  </si>
  <si>
    <t>204:419</t>
  </si>
  <si>
    <t>300:58954</t>
  </si>
  <si>
    <t>204:120</t>
  </si>
  <si>
    <t>204:448</t>
  </si>
  <si>
    <t>300:58963</t>
  </si>
  <si>
    <t>300:57251</t>
  </si>
  <si>
    <t>204:406</t>
  </si>
  <si>
    <t>300:58941</t>
  </si>
  <si>
    <t>204:113</t>
  </si>
  <si>
    <t>204:453</t>
  </si>
  <si>
    <t>300:58956</t>
  </si>
  <si>
    <t>300:58997</t>
  </si>
  <si>
    <t>300:58681</t>
  </si>
  <si>
    <t>204:4504</t>
  </si>
  <si>
    <t>300:58655</t>
  </si>
  <si>
    <t>204:135</t>
  </si>
  <si>
    <t>204:399</t>
  </si>
  <si>
    <t>300:58982</t>
  </si>
  <si>
    <t>300:58624</t>
  </si>
  <si>
    <t>204:117</t>
  </si>
  <si>
    <t>300:58636</t>
  </si>
  <si>
    <t>300:58948</t>
  </si>
  <si>
    <t>204:155</t>
  </si>
  <si>
    <t>204:428</t>
  </si>
  <si>
    <t>300:29893</t>
  </si>
  <si>
    <t>300:23728</t>
  </si>
  <si>
    <t>204:122</t>
  </si>
  <si>
    <t>300:24233</t>
  </si>
  <si>
    <t>300:23667</t>
  </si>
  <si>
    <t>204:144</t>
  </si>
  <si>
    <t>300:28788</t>
  </si>
  <si>
    <t>300:58640</t>
  </si>
  <si>
    <t>300:28770</t>
  </si>
  <si>
    <t>start /low /b %USERPROFILE%\Documents\GitHub\eaglep3\Utilities\DownloadLogsFromS3.py --loco 4009 --day 2017-12-04</t>
  </si>
  <si>
    <t>start /low /b %USERPROFILE%\Documents\GitHub\eaglep3\Utilities\DownloadLogsFromS3.py --loco 4058 --day 2017-12-04</t>
  </si>
  <si>
    <t>start /low /b %USERPROFILE%\Documents\GitHub\eaglep3\Utilities\DownloadLogsFromS3.py --loco 4057 --day 2017-12-04</t>
  </si>
  <si>
    <t>start /low /b %USERPROFILE%\Documents\GitHub\eaglep3\Utilities\DownloadLogsFromS3.py --loco 4020 --day 2017-12-04</t>
  </si>
  <si>
    <t>start /low /b %USERPROFILE%\Documents\GitHub\eaglep3\Utilities\DownloadLogsFromS3.py --loco 4063 --day 2017-12-04</t>
  </si>
  <si>
    <t>start /low /b %USERPROFILE%\Documents\GitHub\eaglep3\Utilities\DownloadLogsFromS3.py --loco 4064 --day 2017-12-04</t>
  </si>
  <si>
    <t>start /low /b %USERPROFILE%\Documents\GitHub\eaglep3\Utilities\DownloadLogsFromS3.py --loco 4021 --day 2017-12-04</t>
  </si>
  <si>
    <t>start /low /b %USERPROFILE%\Documents\GitHub\eaglep3\Utilities\DownloadLogsFromS3.py --loco 4031 --day 2017-12-04</t>
  </si>
  <si>
    <t>start /low /b %USERPROFILE%\Documents\GitHub\eaglep3\Utilities\DownloadLogsFromS3.py --loco 4056 --day 2017-12-04</t>
  </si>
  <si>
    <t>start /low /b %USERPROFILE%\Documents\GitHub\eaglep3\Utilities\DownloadLogsFromS3.py --loco 4055 --day 2017-12-04</t>
  </si>
  <si>
    <t>start /low /b %USERPROFILE%\Documents\GitHub\eaglep3\Utilities\DownloadLogsFromS3.py --loco 4007 --day 2017-12-04</t>
  </si>
  <si>
    <t>start /low /b %USERPROFILE%\Documents\GitHub\eaglep3\Utilities\DownloadLogsFromS3.py --loco 4029 --day 2017-12-04</t>
  </si>
  <si>
    <t>start /low /b %USERPROFILE%\Documents\GitHub\eaglep3\Utilities\DownloadLogsFromS3.py --loco 4007 --day 2017-12-05</t>
  </si>
  <si>
    <t>start /low /b %USERPROFILE%\Documents\GitHub\eaglep3\Utilities\DownloadLogsFromS3.py --loco 4010 --day 2017-12-04</t>
  </si>
  <si>
    <t>start /low /b %USERPROFILE%\Documents\GitHub\eaglep3\Utilities\DownloadLogsFromS3.py --loco 4008 --day 2017-12-04</t>
  </si>
  <si>
    <t>start /low /b %USERPROFILE%\Documents\GitHub\eaglep3\Utilities\DownloadLogsFromS3.py --loco 4031 --day 2017-12-05</t>
  </si>
  <si>
    <t>start /low /b %USERPROFILE%\Documents\GitHub\eaglep3\Utilities\DownloadLogsFromS3.py --loco 4055 --day 2017-12-05</t>
  </si>
  <si>
    <t>Chambers 2N did not clear due to waiting for crossing to activate</t>
  </si>
  <si>
    <t>Main 3 departure</t>
  </si>
  <si>
    <t>Delayed by crossing malfunctions</t>
  </si>
  <si>
    <t>Onboard in-route failure</t>
  </si>
  <si>
    <t>204:232905</t>
  </si>
  <si>
    <t>204:242</t>
  </si>
  <si>
    <t>204:129</t>
  </si>
  <si>
    <t>Minor Onboard in-route failure caused signal unknown banner</t>
  </si>
  <si>
    <t>Form C</t>
  </si>
  <si>
    <t>40th 4S STOP</t>
  </si>
  <si>
    <t>Poor GPS @ Wewatta</t>
  </si>
  <si>
    <t>Brief Wi-MAX data drop caused unhealthy crossing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</si>
</sst>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25"/>
  <sheetViews>
    <sheetView tabSelected="1" topLeftCell="A16" zoomScaleNormal="100" workbookViewId="0">
      <selection activeCell="R24" sqref="R2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6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9" t="s">
        <v>103</v>
      </c>
      <c r="S1" s="123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1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43073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43073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1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1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1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COUNTIFS($N$13:$N$9568,"&gt;0",$AG$13:$AG$9568,I1)</f>
        <v>138</v>
      </c>
      <c r="K5" s="39"/>
      <c r="L5" s="170"/>
      <c r="M5" s="40">
        <f>AVERAGEIFS($N$13:$N$9568,$AG$13:$AG$9568,I1)</f>
        <v>38.963647342955127</v>
      </c>
      <c r="N5" s="38">
        <f t="array" ref="N5">MIN(IF($AG$13:$AG$9568=I1,IF(ISNUMBER($N$13:$N$9568),IF($N$13:$N$9568&gt;0,$N$13:$N$9568))))</f>
        <v>33.950000004842877</v>
      </c>
      <c r="O5" s="3">
        <f t="array" ref="O5">MAX(IF($AG$13:$AG$9568=I1,IF(ISNUMBER($N$13:$N$9568),IF($N$13:$N$9568&gt;0,$N$13:$N$9568))))</f>
        <v>60.299999993294477</v>
      </c>
      <c r="P5" s="2"/>
      <c r="R5" s="162" t="s">
        <v>17</v>
      </c>
      <c r="S5" s="205">
        <f>COUNTIFS($N$13:$N$9568,"&gt;0",$AG$13:$AG$9568,R1)</f>
        <v>49</v>
      </c>
      <c r="T5" s="170"/>
      <c r="U5" s="193"/>
      <c r="V5" s="209">
        <f>AVERAGEIFS($N$13:$N$9568,$AG$13:$AG$9568,R1)</f>
        <v>13.843877550109992</v>
      </c>
      <c r="W5" s="210">
        <f t="array" ref="W5">MIN(IF($AG$13:$AG$9568=R1,IF(ISNUMBER($N$13:$N$9568),IF($N$13:$N$9568&gt;0,$N$13:$N$9568))))</f>
        <v>10.966666663298383</v>
      </c>
      <c r="X5" s="198">
        <f t="array" ref="X5">MAX(IF($AG$13:$AG$9568=R1,IF(ISNUMBER($N$13:$N$9568),IF($N$13:$N$9568&gt;0,$N$13:$N$9568))))</f>
        <v>18.216666660737246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1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COUNT($O$13:$O$326)</f>
        <v>0</v>
      </c>
      <c r="K6" s="39"/>
      <c r="L6" s="170"/>
      <c r="M6" s="40">
        <f>IFERROR(AVERAGE($O$13:$O$326),0)</f>
        <v>0</v>
      </c>
      <c r="N6" s="38">
        <f>MIN($O$13:$O$326)</f>
        <v>0</v>
      </c>
      <c r="O6" s="3">
        <f>MAX($O$13:$O$326)</f>
        <v>0</v>
      </c>
      <c r="P6" s="2"/>
      <c r="R6" s="163" t="s">
        <v>43</v>
      </c>
      <c r="S6" s="205">
        <f>COUNT($O$13:$O$326)</f>
        <v>0</v>
      </c>
      <c r="T6" s="170"/>
      <c r="U6" s="193"/>
      <c r="V6" s="209">
        <f>IFERROR(AVERAGE($O$13:$O$326),0)</f>
        <v>0</v>
      </c>
      <c r="W6" s="210">
        <f>MIN($O$13:$O$326)</f>
        <v>0</v>
      </c>
      <c r="X6" s="198">
        <f>MAX($O$13:$O$326)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1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COUNTIFS($P$13:$P$9568,"&gt;0",$AG$13:$AG$9568,I1)</f>
        <v>6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5">
        <f>COUNTIFS($P$13:$P$9568,"&gt;0",$AG$13:$AG$9568,R1)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1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170"/>
      <c r="M8" s="40">
        <f>M5</f>
        <v>38.963647342955127</v>
      </c>
      <c r="N8" s="38">
        <f>N5</f>
        <v>33.950000004842877</v>
      </c>
      <c r="O8" s="3">
        <f>O5</f>
        <v>60.299999993294477</v>
      </c>
      <c r="P8" s="2"/>
      <c r="R8" s="162" t="s">
        <v>16</v>
      </c>
      <c r="S8" s="205">
        <f>S5</f>
        <v>49</v>
      </c>
      <c r="T8" s="170"/>
      <c r="U8" s="193"/>
      <c r="V8" s="209">
        <f>V5</f>
        <v>13.843877550109992</v>
      </c>
      <c r="W8" s="210">
        <f>W5</f>
        <v>10.966666663298383</v>
      </c>
      <c r="X8" s="198">
        <f>X5</f>
        <v>18.216666660737246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1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167"/>
      <c r="M9" s="69"/>
      <c r="N9" s="36"/>
      <c r="O9" s="70"/>
      <c r="P9" s="2"/>
      <c r="R9" s="162" t="s">
        <v>19</v>
      </c>
      <c r="S9" s="123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1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60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1"/>
      <c r="AO10" s="166"/>
    </row>
    <row r="11" spans="1:91" ht="16.5" thickBot="1" x14ac:dyDescent="0.3">
      <c r="A11" s="250" t="str">
        <f>"Eagle P3 System Performance - "&amp;TEXT(Variables!A2,"yyyy-mm-dd")</f>
        <v>Eagle P3 System Performance - 2017-12-04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7">
        <f>AVERAGE(S13:S138)</f>
        <v>0.98907103825136611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6" t="s">
        <v>89</v>
      </c>
      <c r="AF12" s="73" t="s">
        <v>93</v>
      </c>
      <c r="AG12" s="175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5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678</v>
      </c>
      <c r="B13" s="7">
        <v>4030</v>
      </c>
      <c r="C13" s="21" t="s">
        <v>192</v>
      </c>
      <c r="D13" s="21" t="s">
        <v>907</v>
      </c>
      <c r="E13" s="13">
        <v>43073.13071759259</v>
      </c>
      <c r="F13" s="13">
        <v>43073.135659722226</v>
      </c>
      <c r="G13" s="7">
        <v>71</v>
      </c>
      <c r="H13" s="21" t="s">
        <v>606</v>
      </c>
      <c r="I13" s="13">
        <v>43073.159918981481</v>
      </c>
      <c r="J13" s="7">
        <v>0</v>
      </c>
      <c r="K13" s="89" t="str">
        <f>IF(ISEVEN(B13),(B13-1)&amp;"/"&amp;B13,B13&amp;"/"&amp;(B13+1))</f>
        <v>4029/4030</v>
      </c>
      <c r="L13" s="183" t="str">
        <f>VLOOKUP(A13,'Trips&amp;Operators'!$C$1:$G$99911,5,FALSE)</f>
        <v>THOMPSON LESTER</v>
      </c>
      <c r="M13" s="6">
        <f>I13-F13</f>
        <v>2.4259259254904464E-2</v>
      </c>
      <c r="N13" s="7">
        <f>24*60*SUM($M13:$M13)</f>
        <v>34.933333327062428</v>
      </c>
      <c r="O13" s="7"/>
      <c r="P13" s="225"/>
      <c r="Q13" s="22"/>
      <c r="R13" s="242"/>
      <c r="S13" s="249">
        <f>1/IF(AG13="EC",12,1)*SUM(U13:U13)</f>
        <v>1</v>
      </c>
      <c r="T13" s="172" t="str">
        <f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-04T02:08:14-0700',mode:absolute,to:'2017-12-04T04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202" t="str">
        <f>IF(AA13&lt;VLOOKUP(AG13,Variables!$AC$3:$AD$8,2,FALSE),"Y","N")</f>
        <v>N</v>
      </c>
      <c r="X13" s="202" t="e">
        <f>VALUE(LEFT(AD13,4))-VALUE(LEFT(AD12,4))</f>
        <v>#VALUE!</v>
      </c>
      <c r="Y13" s="202">
        <f>RIGHT(D13,LEN(D13)-4)/10000</f>
        <v>7.6300000000000007E-2</v>
      </c>
      <c r="Z13" s="202">
        <f>RIGHT(H13,LEN(H13)-4)/10000</f>
        <v>23.330300000000001</v>
      </c>
      <c r="AA13" s="202">
        <f>ABS(Z13-Y13)</f>
        <v>23.254000000000001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/stypes="app*4030*20171204*" /stext=" 10:.+((SYSTEM_STATE.+slice.+state.+changed )|(ment ac)|(multiple cpu faults)|(system.+state.+changed )|(\[timeout)|(PRM\|1\|D)|(kpr)|(kdp)|(train st.+moving)|(\|lc)|(penalty))"</v>
      </c>
      <c r="AG13" s="180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4030 --swversion DE.1.0.9.0 --startMP 204:763 --initTime 2017-12-04T03:08:14 --startdatetime 2017-12-04T03:15:21 --delay 71 --endMP 204:233303 --enddatetime 2017-12-04T03:50:17 --enforcementcount 0 &gt;&gt;%USERPROFILE%\Documents\GitHub\eaglep3-reporting\EC\2017-12-04-refined-times.txt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{"issue":{"subject":"","project_id":79,"tracker_id":40,"status_id":1,"priority_id":2,"assigned_to_id":338,"start_date":"2017-12-04","description":"","custom_fields":[{"id":1,"name":"Subdivision","value":"EC"},{"id":4,"name":"Milepost","value":"23.3303"},{"id":17,"name":"Train ID","value":"101-04"},{"id":16,"name":"Locomotive ID","value":"4030"},{"id":130,"name":"Impact","value":""},{"id":150,"name":"Time of Event (Mountain Time)","value":"03:50:17"},{"id":151,"name":"Denver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4030 --day 2017-12-04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10:50:17"},{"id":29,"name":"Sharepoint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-04T02:08:14-0700',mode:absolute,to:'2017-12-04T04:50:17-0700'))&amp;_a=(columns:!('Message%20ID',Summary),filters:!(),index:'emp_*',interval:auto,query:(query_string:(analyze_wildcard:!t,query:'%22rtdc.l.rtdc.4030%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687</v>
      </c>
      <c r="B14" s="225">
        <v>4029</v>
      </c>
      <c r="C14" s="227" t="s">
        <v>192</v>
      </c>
      <c r="D14" s="227" t="s">
        <v>908</v>
      </c>
      <c r="E14" s="226">
        <v>43073.173310185186</v>
      </c>
      <c r="F14" s="226">
        <v>43073.175312500003</v>
      </c>
      <c r="G14" s="225">
        <v>71</v>
      </c>
      <c r="H14" s="227" t="s">
        <v>909</v>
      </c>
      <c r="I14" s="226">
        <v>43073.201724537037</v>
      </c>
      <c r="J14" s="225">
        <v>0</v>
      </c>
      <c r="K14" s="237" t="str">
        <f>IF(ISEVEN(B14),(B14-1)&amp;"/"&amp;B14,B14&amp;"/"&amp;(B14+1))</f>
        <v>4029/4030</v>
      </c>
      <c r="L14" s="245" t="str">
        <f>VLOOKUP(A14,'Trips&amp;Operators'!$C$1:$G$99911,5,FALSE)</f>
        <v>THOMPSON LESTER</v>
      </c>
      <c r="M14" s="224">
        <f>I14-F14</f>
        <v>2.6412037033878732E-2</v>
      </c>
      <c r="N14" s="225">
        <f>24*60*SUM($M14:$M14)</f>
        <v>38.033333328785375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-04T03:09:34-0700',mode:absolute,to:'2017-12-04T05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23.297999999999998</v>
      </c>
      <c r="Z14" s="247">
        <f>RIGHT(H14,LEN(H14)-4)/10000</f>
        <v>2.1399999999999999E-2</v>
      </c>
      <c r="AA14" s="247">
        <f>ABS(Z14-Y14)</f>
        <v>23.276599999999998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/stypes="app*4029*20171204*"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6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4029 --swversion DE.1.0.9.0 --startMP 204:232980 --initTime 2017-12-04T04:09:34 --startdatetime 2017-12-04T04:12:27 --delay 71 --endMP 204:214 --enddatetime 2017-12-04T04:50:29 --enforcementcount 0 &gt;&gt;%USERPROFILE%\Documents\GitHub\eaglep3-reporting\EC\2017-12-04-refined-times.txt</v>
      </c>
      <c r="AI14" s="238" t="str">
        <f t="shared" ref="AI14:AI76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{"issue":{"subject":"","project_id":79,"tracker_id":40,"status_id":1,"priority_id":2,"assigned_to_id":338,"start_date":"2017-12-04","description":"","custom_fields":[{"id":1,"name":"Subdivision","value":"EC"},{"id":4,"name":"Milepost","value":"0.0214"},{"id":17,"name":"Train ID","value":"102-04"},{"id":16,"name":"Locomotive ID","value":"4029"},{"id":130,"name":"Impact","value":""},{"id":150,"name":"Time of Event (Mountain Time)","value":"04:50:29"},{"id":151,"name":"Denver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6" si="7">"start /low /b "&amp;dls3logs&amp;" --loco "&amp;B14&amp;" --day "&amp;TEXT(F14,"YYYY-MM-DD")</f>
        <v>start /low /b %USERPROFILE%\Documents\GitHub\eaglep3\Utilities\DownloadLogsFromS3.py --loco 4029 --day 2017-12-04</v>
      </c>
      <c r="AN14" s="241" t="str">
        <f t="shared" ref="AN14:AN76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11:50:29"},{"id":29,"name":"Sharepoint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6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-04T03:09:34-0700',mode:absolute,to:'2017-12-04T05:50:29-0700'))&amp;_a=(columns:!('Message%20ID',Summary),filters:!(),index:'emp_*',interval:auto,query:(query_string:(analyze_wildcard:!t,query:'%22rtdc.l.rtdc.4029%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683</v>
      </c>
      <c r="B15" s="225">
        <v>4022</v>
      </c>
      <c r="C15" s="227" t="s">
        <v>192</v>
      </c>
      <c r="D15" s="227" t="s">
        <v>504</v>
      </c>
      <c r="E15" s="226">
        <v>43073.151805555557</v>
      </c>
      <c r="F15" s="226">
        <v>43073.156412037039</v>
      </c>
      <c r="G15" s="225">
        <v>88</v>
      </c>
      <c r="H15" s="227" t="s">
        <v>910</v>
      </c>
      <c r="I15" s="226">
        <v>43073.18209490741</v>
      </c>
      <c r="J15" s="225">
        <v>0</v>
      </c>
      <c r="K15" s="237" t="str">
        <f>IF(ISEVEN(B15),(B15-1)&amp;"/"&amp;B15,B15&amp;"/"&amp;(B15+1))</f>
        <v>4021/4022</v>
      </c>
      <c r="L15" s="245" t="str">
        <f>VLOOKUP(A15,'Trips&amp;Operators'!$C$1:$G$99911,5,FALSE)</f>
        <v>HAMMOND JUSTYNN</v>
      </c>
      <c r="M15" s="224">
        <f>I15-F15</f>
        <v>2.5682870371383615E-2</v>
      </c>
      <c r="N15" s="225">
        <f>24*60*SUM($M15:$M15)</f>
        <v>36.983333334792405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-04T02:38:36-0700',mode:absolute,to:'2017-12-04T05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5.1900000000000002E-2</v>
      </c>
      <c r="Z15" s="247">
        <f>RIGHT(H15,LEN(H15)-4)/10000</f>
        <v>23.3278</v>
      </c>
      <c r="AA15" s="247">
        <f>ABS(Z15-Y15)</f>
        <v>23.2759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/stypes="app*4022*20171204*"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103-04 --locoid 4022 --swversion DE.1.0.9.0 --startMP 204:519 --initTime 2017-12-04T03:38:36 --startdatetime 2017-12-04T03:45:14 --delay 88 --endMP 204:233278 --enddatetime 2017-12-04T04:22:13 --enforcementcount 0 &gt;&gt;%USERPROFILE%\Documents\GitHub\eaglep3-reporting\EC\2017-12-04-refined-times.txt</v>
      </c>
      <c r="AI15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{"issue":{"subject":"","project_id":79,"tracker_id":40,"status_id":1,"priority_id":2,"assigned_to_id":338,"start_date":"2017-12-04","description":"","custom_fields":[{"id":1,"name":"Subdivision","value":"EC"},{"id":4,"name":"Milepost","value":"23.3278"},{"id":17,"name":"Train ID","value":"103-04"},{"id":16,"name":"Locomotive ID","value":"4022"},{"id":130,"name":"Impact","value":""},{"id":150,"name":"Time of Event (Mountain Time)","value":"04:22:13"},{"id":151,"name":"Denver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4022 --day 2017-12-04</v>
      </c>
      <c r="AN15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11:22:13"},{"id":29,"name":"Sharepoint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-04T02:38:36-0700',mode:absolute,to:'2017-12-04T05:22:13-0700'))&amp;_a=(columns:!('Message%20ID',Summary),filters:!(),index:'emp_*',interval:auto,query:(query_string:(analyze_wildcard:!t,query:'%22rtdc.l.rtdc.4022%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691</v>
      </c>
      <c r="B16" s="225">
        <v>4021</v>
      </c>
      <c r="C16" s="227" t="s">
        <v>192</v>
      </c>
      <c r="D16" s="227" t="s">
        <v>911</v>
      </c>
      <c r="E16" s="226">
        <v>43073.192199074074</v>
      </c>
      <c r="F16" s="226">
        <v>43073.196018518516</v>
      </c>
      <c r="G16" s="225">
        <v>53</v>
      </c>
      <c r="H16" s="227" t="s">
        <v>544</v>
      </c>
      <c r="I16" s="226">
        <v>43073.222256944442</v>
      </c>
      <c r="J16" s="225">
        <v>0</v>
      </c>
      <c r="K16" s="237" t="str">
        <f>IF(ISEVEN(B16),(B16-1)&amp;"/"&amp;B16,B16&amp;"/"&amp;(B16+1))</f>
        <v>4021/4022</v>
      </c>
      <c r="L16" s="245" t="str">
        <f>VLOOKUP(A16,'Trips&amp;Operators'!$C$1:$G$99911,5,FALSE)</f>
        <v>HAMMOND JUSTYNN</v>
      </c>
      <c r="M16" s="224">
        <f>I16-F16</f>
        <v>2.6238425925839692E-2</v>
      </c>
      <c r="N16" s="225">
        <f>24*60*SUM($M16:$M16)</f>
        <v>37.783333333209157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-04T03:36:46-0700',mode:absolute,to:'2017-12-04T06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23.295999999999999</v>
      </c>
      <c r="Z16" s="247">
        <f>RIGHT(H16,LEN(H16)-4)/10000</f>
        <v>2.1100000000000001E-2</v>
      </c>
      <c r="AA16" s="247">
        <f>ABS(Z16-Y16)</f>
        <v>23.274899999999999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/stypes="app*4021*20171204*"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104-04 --locoid 4021 --swversion DE.1.0.9.0 --startMP 204:232960 --initTime 2017-12-04T04:36:46 --startdatetime 2017-12-04T04:42:16 --delay 53 --endMP 204:211 --enddatetime 2017-12-04T05:20:03 --enforcementcount 0 &gt;&gt;%USERPROFILE%\Documents\GitHub\eaglep3-reporting\EC\2017-12-04-refined-times.txt</v>
      </c>
      <c r="AI16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{"issue":{"subject":"","project_id":79,"tracker_id":40,"status_id":1,"priority_id":2,"assigned_to_id":338,"start_date":"2017-12-04","description":"","custom_fields":[{"id":1,"name":"Subdivision","value":"EC"},{"id":4,"name":"Milepost","value":"0.0211"},{"id":17,"name":"Train ID","value":"104-04"},{"id":16,"name":"Locomotive ID","value":"4021"},{"id":130,"name":"Impact","value":""},{"id":150,"name":"Time of Event (Mountain Time)","value":"05:20:03"},{"id":151,"name":"Denver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4021 --day 2017-12-04</v>
      </c>
      <c r="AN16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-04T03:36:46-0700',mode:absolute,to:'2017-12-04T06:20:03-0700'))&amp;_a=(columns:!('Message%20ID',Summary),filters:!(),index:'emp_*',interval:auto,query:(query_string:(analyze_wildcard:!t,query:'%22rtdc.l.rtdc.4021%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686</v>
      </c>
      <c r="B17" s="225">
        <v>4010</v>
      </c>
      <c r="C17" s="227" t="s">
        <v>192</v>
      </c>
      <c r="D17" s="227" t="s">
        <v>912</v>
      </c>
      <c r="E17" s="226">
        <v>43073.167557870373</v>
      </c>
      <c r="F17" s="226">
        <v>43073.177245370367</v>
      </c>
      <c r="G17" s="225">
        <v>57</v>
      </c>
      <c r="H17" s="227" t="s">
        <v>425</v>
      </c>
      <c r="I17" s="226">
        <v>43073.200821759259</v>
      </c>
      <c r="J17" s="225">
        <v>0</v>
      </c>
      <c r="K17" s="237" t="str">
        <f>IF(ISEVEN(B17),(B17-1)&amp;"/"&amp;B17,B17&amp;"/"&amp;(B17+1))</f>
        <v>4009/4010</v>
      </c>
      <c r="L17" s="245" t="str">
        <f>VLOOKUP(A17,'Trips&amp;Operators'!$C$1:$G$99911,5,FALSE)</f>
        <v>YORK EDGAR</v>
      </c>
      <c r="M17" s="224">
        <f>I17-F17</f>
        <v>2.3576388892251998E-2</v>
      </c>
      <c r="N17" s="225">
        <f>24*60*SUM($M17:$M17)</f>
        <v>33.950000004842877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-04T03:01:17-0700',mode:absolute,to:'2017-12-04T05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4.3499999999999997E-2</v>
      </c>
      <c r="Z17" s="247">
        <f>RIGHT(H17,LEN(H17)-4)/10000</f>
        <v>23.329899999999999</v>
      </c>
      <c r="AA17" s="247">
        <f>ABS(Z17-Y17)</f>
        <v>23.286399999999997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/stypes="app*4010*20171204*"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105-04 --locoid 4010 --swversion DE.1.0.9.0 --startMP 204:435 --initTime 2017-12-04T04:01:17 --startdatetime 2017-12-04T04:15:14 --delay 57 --endMP 204:233299 --enddatetime 2017-12-04T04:49:11 --enforcementcount 0 &gt;&gt;%USERPROFILE%\Documents\GitHub\eaglep3-reporting\EC\2017-12-04-refined-times.txt</v>
      </c>
      <c r="AI17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{"issue":{"subject":"","project_id":79,"tracker_id":40,"status_id":1,"priority_id":2,"assigned_to_id":338,"start_date":"2017-12-04","description":"","custom_fields":[{"id":1,"name":"Subdivision","value":"EC"},{"id":4,"name":"Milepost","value":"23.3299"},{"id":17,"name":"Train ID","value":"105-04"},{"id":16,"name":"Locomotive ID","value":"4010"},{"id":130,"name":"Impact","value":""},{"id":150,"name":"Time of Event (Mountain Time)","value":"04:49:11"},{"id":151,"name":"Denver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4010 --day 2017-12-04</v>
      </c>
      <c r="AN17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-04T03:01:17-0700',mode:absolute,to:'2017-12-04T05:49:11-0700'))&amp;_a=(columns:!('Message%20ID',Summary),filters:!(),index:'emp_*',interval:auto,query:(query_string:(analyze_wildcard:!t,query:'%22rtdc.l.rtdc.4010%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696</v>
      </c>
      <c r="B18" s="225">
        <v>4009</v>
      </c>
      <c r="C18" s="227" t="s">
        <v>192</v>
      </c>
      <c r="D18" s="227" t="s">
        <v>913</v>
      </c>
      <c r="E18" s="226">
        <v>43073.201840277776</v>
      </c>
      <c r="F18" s="226">
        <v>43073.216874999998</v>
      </c>
      <c r="G18" s="225">
        <v>61</v>
      </c>
      <c r="H18" s="227" t="s">
        <v>502</v>
      </c>
      <c r="I18" s="226">
        <v>43073.242129629631</v>
      </c>
      <c r="J18" s="225">
        <v>0</v>
      </c>
      <c r="K18" s="237" t="str">
        <f>IF(ISEVEN(B18),(B18-1)&amp;"/"&amp;B18,B18&amp;"/"&amp;(B18+1))</f>
        <v>4009/4010</v>
      </c>
      <c r="L18" s="245" t="str">
        <f>VLOOKUP(A18,'Trips&amp;Operators'!$C$1:$G$99911,5,FALSE)</f>
        <v>YORK EDGAR</v>
      </c>
      <c r="M18" s="224">
        <f>I18-F18</f>
        <v>2.5254629632399883E-2</v>
      </c>
      <c r="N18" s="225">
        <f>24*60*SUM($M18:$M18)</f>
        <v>36.366666670655832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-04T03:50:39-0700',mode:absolute,to:'2017-12-04T06:48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23.2973</v>
      </c>
      <c r="Z18" s="247">
        <f>RIGHT(H18,LEN(H18)-4)/10000</f>
        <v>1.6299999999999999E-2</v>
      </c>
      <c r="AA18" s="247">
        <f>ABS(Z18-Y18)</f>
        <v>23.280999999999999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/stypes="app*4009*20171204*"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106-04 --locoid 4009 --swversion DE.1.0.9.0 --startMP 204:232973 --initTime 2017-12-04T04:50:39 --startdatetime 2017-12-04T05:12:18 --delay 61 --endMP 204:163 --enddatetime 2017-12-04T05:48:40 --enforcementcount 0 &gt;&gt;%USERPROFILE%\Documents\GitHub\eaglep3-reporting\EC\2017-12-04-refined-times.txt</v>
      </c>
      <c r="AI18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{"issue":{"subject":"","project_id":79,"tracker_id":40,"status_id":1,"priority_id":2,"assigned_to_id":338,"start_date":"2017-12-04","description":"","custom_fields":[{"id":1,"name":"Subdivision","value":"EC"},{"id":4,"name":"Milepost","value":"0.0163"},{"id":17,"name":"Train ID","value":"106-04"},{"id":16,"name":"Locomotive ID","value":"4009"},{"id":130,"name":"Impact","value":""},{"id":150,"name":"Time of Event (Mountain Time)","value":"05:48:40"},{"id":151,"name":"Denver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4009 --day 2017-12-04</v>
      </c>
      <c r="AN18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-04T03:50:39-0700',mode:absolute,to:'2017-12-04T06:48:40-0700'))&amp;_a=(columns:!('Message%20ID',Summary),filters:!(),index:'emp_*',interval:auto,query:(query_string:(analyze_wildcard:!t,query:'%22rtdc.l.rtdc.4009%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690</v>
      </c>
      <c r="B19" s="225">
        <v>4042</v>
      </c>
      <c r="C19" s="227" t="s">
        <v>192</v>
      </c>
      <c r="D19" s="227" t="s">
        <v>609</v>
      </c>
      <c r="E19" s="226">
        <v>43073.182280092595</v>
      </c>
      <c r="F19" s="226">
        <v>43073.187696759262</v>
      </c>
      <c r="G19" s="225">
        <v>73</v>
      </c>
      <c r="H19" s="227" t="s">
        <v>914</v>
      </c>
      <c r="I19" s="226">
        <v>43073.212199074071</v>
      </c>
      <c r="J19" s="225">
        <v>0</v>
      </c>
      <c r="K19" s="237" t="str">
        <f>IF(ISEVEN(B19),(B19-1)&amp;"/"&amp;B19,B19&amp;"/"&amp;(B19+1))</f>
        <v>4041/4042</v>
      </c>
      <c r="L19" s="245" t="str">
        <f>VLOOKUP(A19,'Trips&amp;Operators'!$C$1:$G$99911,5,FALSE)</f>
        <v>DELGADO DIANAH</v>
      </c>
      <c r="M19" s="224">
        <f>I19-F19</f>
        <v>2.4502314809069503E-2</v>
      </c>
      <c r="N19" s="225">
        <f>24*60*SUM($M19:$M19)</f>
        <v>35.283333325060084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-04T03:22:29-0700',mode:absolute,to:'2017-12-04T06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4.7800000000000002E-2</v>
      </c>
      <c r="Z19" s="247">
        <f>RIGHT(H19,LEN(H19)-4)/10000</f>
        <v>23.331900000000001</v>
      </c>
      <c r="AA19" s="247">
        <f>ABS(Z19-Y19)</f>
        <v>23.284100000000002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/stypes="app*4042*20171204*"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107-04 --locoid 4042 --swversion DE.1.0.9.0 --startMP 204:478 --initTime 2017-12-04T04:22:29 --startdatetime 2017-12-04T04:30:17 --delay 73 --endMP 204:233319 --enddatetime 2017-12-04T05:05:34 --enforcementcount 0 &gt;&gt;%USERPROFILE%\Documents\GitHub\eaglep3-reporting\EC\2017-12-04-refined-times.txt</v>
      </c>
      <c r="AI19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{"issue":{"subject":"","project_id":79,"tracker_id":40,"status_id":1,"priority_id":2,"assigned_to_id":338,"start_date":"2017-12-04","description":"","custom_fields":[{"id":1,"name":"Subdivision","value":"EC"},{"id":4,"name":"Milepost","value":"23.3319"},{"id":17,"name":"Train ID","value":"107-04"},{"id":16,"name":"Locomotive ID","value":"4042"},{"id":130,"name":"Impact","value":""},{"id":150,"name":"Time of Event (Mountain Time)","value":"05:05:34"},{"id":151,"name":"Denver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4042 --day 2017-12-04</v>
      </c>
      <c r="AN19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-04T03:22:29-0700',mode:absolute,to:'2017-12-04T06:05:34-0700'))&amp;_a=(columns:!('Message%20ID',Summary),filters:!(),index:'emp_*',interval:auto,query:(query_string:(analyze_wildcard:!t,query:'%22rtdc.l.rtdc.4042%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700</v>
      </c>
      <c r="B20" s="225">
        <v>4041</v>
      </c>
      <c r="C20" s="227" t="s">
        <v>192</v>
      </c>
      <c r="D20" s="227" t="s">
        <v>545</v>
      </c>
      <c r="E20" s="226">
        <v>43073.215960648151</v>
      </c>
      <c r="F20" s="226">
        <v>43073.227256944447</v>
      </c>
      <c r="G20" s="225">
        <v>844</v>
      </c>
      <c r="H20" s="227" t="s">
        <v>596</v>
      </c>
      <c r="I20" s="226">
        <v>43073.253136574072</v>
      </c>
      <c r="J20" s="225">
        <v>0</v>
      </c>
      <c r="K20" s="237" t="str">
        <f>IF(ISEVEN(B20),(B20-1)&amp;"/"&amp;B20,B20&amp;"/"&amp;(B20+1))</f>
        <v>4041/4042</v>
      </c>
      <c r="L20" s="245" t="str">
        <f>VLOOKUP(A20,'Trips&amp;Operators'!$C$1:$G$99911,5,FALSE)</f>
        <v>DELGADO DIANAH</v>
      </c>
      <c r="M20" s="224">
        <f>I20-F20</f>
        <v>2.5879629625706002E-2</v>
      </c>
      <c r="N20" s="225">
        <f>24*60*SUM($M20:$M20)</f>
        <v>37.266666661016643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-04T04:10:59-0700',mode:absolute,to:'2017-12-04T07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23.299299999999999</v>
      </c>
      <c r="Z20" s="247">
        <f>RIGHT(H20,LEN(H20)-4)/10000</f>
        <v>1.72E-2</v>
      </c>
      <c r="AA20" s="247">
        <f>ABS(Z20-Y20)</f>
        <v>23.2821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/stypes="app*4041*20171204*"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108-04 --locoid 4041 --swversion DE.1.0.9.0 --startMP 204:232993 --initTime 2017-12-04T05:10:59 --startdatetime 2017-12-04T05:27:15 --delay 844 --endMP 204:172 --enddatetime 2017-12-04T06:04:31 --enforcementcount 0 &gt;&gt;%USERPROFILE%\Documents\GitHub\eaglep3-reporting\EC\2017-12-04-refined-times.txt</v>
      </c>
      <c r="AI20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{"issue":{"subject":"","project_id":79,"tracker_id":40,"status_id":1,"priority_id":2,"assigned_to_id":338,"start_date":"2017-12-04","description":"","custom_fields":[{"id":1,"name":"Subdivision","value":"EC"},{"id":4,"name":"Milepost","value":"0.0172"},{"id":17,"name":"Train ID","value":"108-04"},{"id":16,"name":"Locomotive ID","value":"4041"},{"id":130,"name":"Impact","value":""},{"id":150,"name":"Time of Event (Mountain Time)","value":"06:04:31"},{"id":151,"name":"Denver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4041 --day 2017-12-04</v>
      </c>
      <c r="AN20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2017-12-04T04:10:59-0700',mode:absolute,to:'2017-12-04T07:04:31-0700'))&amp;_a=(columns:!('Message%20ID',Summary),filters:!(),index:'emp_*',interval:auto,query:(query_string:(analyze_wildcard:!t,query:'%22rtdc.l.rtdc.4041%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692</v>
      </c>
      <c r="B21" s="225">
        <v>4058</v>
      </c>
      <c r="C21" s="227" t="s">
        <v>192</v>
      </c>
      <c r="D21" s="227" t="s">
        <v>915</v>
      </c>
      <c r="E21" s="226">
        <v>43073.192569444444</v>
      </c>
      <c r="F21" s="226">
        <v>43073.198240740741</v>
      </c>
      <c r="G21" s="225">
        <v>66</v>
      </c>
      <c r="H21" s="227" t="s">
        <v>589</v>
      </c>
      <c r="I21" s="226">
        <v>43073.223437499997</v>
      </c>
      <c r="J21" s="225">
        <v>0</v>
      </c>
      <c r="K21" s="237" t="str">
        <f>IF(ISEVEN(B21),(B21-1)&amp;"/"&amp;B21,B21&amp;"/"&amp;(B21+1))</f>
        <v>4057/4058</v>
      </c>
      <c r="L21" s="245" t="str">
        <f>VLOOKUP(A21,'Trips&amp;Operators'!$C$1:$G$99911,5,FALSE)</f>
        <v>MAELZER KURT</v>
      </c>
      <c r="M21" s="224">
        <f>I21-F21</f>
        <v>2.5196759255777579E-2</v>
      </c>
      <c r="N21" s="225">
        <f>24*60*SUM($M21:$M21)</f>
        <v>36.283333328319713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-04T03:37:18-0700',mode:absolute,to:'2017-12-04T06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4.6399999999999997E-2</v>
      </c>
      <c r="Z21" s="247">
        <f>RIGHT(H21,LEN(H21)-4)/10000</f>
        <v>23.3291</v>
      </c>
      <c r="AA21" s="247">
        <f>ABS(Z21-Y21)</f>
        <v>23.282700000000002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/stypes="app*4058*20171204*"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109-04 --locoid 4058 --swversion DE.1.0.9.0 --startMP 204:464 --initTime 2017-12-04T04:37:18 --startdatetime 2017-12-04T04:45:28 --delay 66 --endMP 204:233291 --enddatetime 2017-12-04T05:21:45 --enforcementcount 0 &gt;&gt;%USERPROFILE%\Documents\GitHub\eaglep3-reporting\EC\2017-12-04-refined-times.txt</v>
      </c>
      <c r="AI21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{"issue":{"subject":"","project_id":79,"tracker_id":40,"status_id":1,"priority_id":2,"assigned_to_id":338,"start_date":"2017-12-04","description":"","custom_fields":[{"id":1,"name":"Subdivision","value":"EC"},{"id":4,"name":"Milepost","value":"23.3291"},{"id":17,"name":"Train ID","value":"109-04"},{"id":16,"name":"Locomotive ID","value":"4058"},{"id":130,"name":"Impact","value":""},{"id":150,"name":"Time of Event (Mountain Time)","value":"05:21:45"},{"id":151,"name":"Denver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4058 --day 2017-12-04</v>
      </c>
      <c r="AN21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2017-12-04T03:37:18-0700',mode:absolute,to:'2017-12-04T06:21:45-0700'))&amp;_a=(columns:!('Message%20ID',Summary),filters:!(),index:'emp_*',interval:auto,query:(query_string:(analyze_wildcard:!t,query:'%22rtdc.l.rtdc.4058%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703</v>
      </c>
      <c r="B22" s="225">
        <v>4057</v>
      </c>
      <c r="C22" s="227" t="s">
        <v>192</v>
      </c>
      <c r="D22" s="227" t="s">
        <v>632</v>
      </c>
      <c r="E22" s="226">
        <v>43073.228530092594</v>
      </c>
      <c r="F22" s="226">
        <v>43073.237835648149</v>
      </c>
      <c r="G22" s="225">
        <v>50</v>
      </c>
      <c r="H22" s="227" t="s">
        <v>508</v>
      </c>
      <c r="I22" s="226">
        <v>43073.264282407406</v>
      </c>
      <c r="J22" s="225">
        <v>0</v>
      </c>
      <c r="K22" s="237" t="str">
        <f>IF(ISEVEN(B22),(B22-1)&amp;"/"&amp;B22,B22&amp;"/"&amp;(B22+1))</f>
        <v>4057/4058</v>
      </c>
      <c r="L22" s="245" t="str">
        <f>VLOOKUP(A22,'Trips&amp;Operators'!$C$1:$G$99911,5,FALSE)</f>
        <v>MAELZER KURT</v>
      </c>
      <c r="M22" s="224">
        <f>I22-F22</f>
        <v>2.6446759256941732E-2</v>
      </c>
      <c r="N22" s="225">
        <f>24*60*SUM($M22:$M22)</f>
        <v>38.083333329996094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-04T04:29:05-0700',mode:absolute,to:'2017-12-04T07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23.297499999999999</v>
      </c>
      <c r="Z22" s="247">
        <f>RIGHT(H22,LEN(H22)-4)/10000</f>
        <v>1.8100000000000002E-2</v>
      </c>
      <c r="AA22" s="247">
        <f>ABS(Z22-Y22)</f>
        <v>23.279399999999999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/stypes="app*4057*20171204*"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110-04 --locoid 4057 --swversion DE.1.0.9.0 --startMP 204:232975 --initTime 2017-12-04T05:29:05 --startdatetime 2017-12-04T05:42:29 --delay 50 --endMP 204:181 --enddatetime 2017-12-04T06:20:34 --enforcementcount 0 &gt;&gt;%USERPROFILE%\Documents\GitHub\eaglep3-reporting\EC\2017-12-04-refined-times.txt</v>
      </c>
      <c r="AI22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{"issue":{"subject":"","project_id":79,"tracker_id":40,"status_id":1,"priority_id":2,"assigned_to_id":338,"start_date":"2017-12-04","description":"","custom_fields":[{"id":1,"name":"Subdivision","value":"EC"},{"id":4,"name":"Milepost","value":"0.0181"},{"id":17,"name":"Train ID","value":"110-04"},{"id":16,"name":"Locomotive ID","value":"4057"},{"id":130,"name":"Impact","value":""},{"id":150,"name":"Time of Event (Mountain Time)","value":"06:20:34"},{"id":151,"name":"Denver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4057 --day 2017-12-04</v>
      </c>
      <c r="AN22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-04T04:29:05-0700',mode:absolute,to:'2017-12-04T07:20:34-0700'))&amp;_a=(columns:!('Message%20ID',Summary),filters:!(),index:'emp_*',interval:auto,query:(query_string:(analyze_wildcard:!t,query:'%22rtdc.l.rtdc.4057%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697</v>
      </c>
      <c r="B23" s="225">
        <v>4030</v>
      </c>
      <c r="C23" s="227" t="s">
        <v>192</v>
      </c>
      <c r="D23" s="227" t="s">
        <v>546</v>
      </c>
      <c r="E23" s="226">
        <v>43073.206365740742</v>
      </c>
      <c r="F23" s="226">
        <v>43073.208611111113</v>
      </c>
      <c r="G23" s="225">
        <v>53</v>
      </c>
      <c r="H23" s="227" t="s">
        <v>916</v>
      </c>
      <c r="I23" s="226">
        <v>43073.233703703707</v>
      </c>
      <c r="J23" s="225">
        <v>0</v>
      </c>
      <c r="K23" s="237" t="str">
        <f>IF(ISEVEN(B23),(B23-1)&amp;"/"&amp;B23,B23&amp;"/"&amp;(B23+1))</f>
        <v>4029/4030</v>
      </c>
      <c r="L23" s="245" t="str">
        <f>VLOOKUP(A23,'Trips&amp;Operators'!$C$1:$G$99911,5,FALSE)</f>
        <v>THOMPSON LESTER</v>
      </c>
      <c r="M23" s="224">
        <f>I23-F23</f>
        <v>2.5092592593864538E-2</v>
      </c>
      <c r="N23" s="225">
        <f>24*60*SUM($M23:$M23)</f>
        <v>36.133333335164934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-04T03:57:10-0700',mode:absolute,to:'2017-12-04T06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5.0900000000000001E-2</v>
      </c>
      <c r="Z23" s="247">
        <f>RIGHT(H23,LEN(H23)-4)/10000</f>
        <v>23.332100000000001</v>
      </c>
      <c r="AA23" s="247">
        <f>ABS(Z23-Y23)</f>
        <v>23.281200000000002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/stypes="app*4030*20171204*"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111-04 --locoid 4030 --swversion DE.1.0.9.0 --startMP 204:509 --initTime 2017-12-04T04:57:10 --startdatetime 2017-12-04T05:00:24 --delay 53 --endMP 204:233321 --enddatetime 2017-12-04T05:36:32 --enforcementcount 0 &gt;&gt;%USERPROFILE%\Documents\GitHub\eaglep3-reporting\EC\2017-12-04-refined-times.txt</v>
      </c>
      <c r="AI23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{"issue":{"subject":"","project_id":79,"tracker_id":40,"status_id":1,"priority_id":2,"assigned_to_id":338,"start_date":"2017-12-04","description":"","custom_fields":[{"id":1,"name":"Subdivision","value":"EC"},{"id":4,"name":"Milepost","value":"23.3321"},{"id":17,"name":"Train ID","value":"111-04"},{"id":16,"name":"Locomotive ID","value":"4030"},{"id":130,"name":"Impact","value":""},{"id":150,"name":"Time of Event (Mountain Time)","value":"05:36:32"},{"id":151,"name":"Denver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4030 --day 2017-12-04</v>
      </c>
      <c r="AN23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-04T03:57:10-0700',mode:absolute,to:'2017-12-04T06:36:32-0700'))&amp;_a=(columns:!('Message%20ID',Summary),filters:!(),index:'emp_*',interval:auto,query:(query_string:(analyze_wildcard:!t,query:'%22rtdc.l.rtdc.4030%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710</v>
      </c>
      <c r="B24" s="225">
        <v>4029</v>
      </c>
      <c r="C24" s="227" t="s">
        <v>192</v>
      </c>
      <c r="D24" s="227" t="s">
        <v>533</v>
      </c>
      <c r="E24" s="226">
        <v>43073.24627314815</v>
      </c>
      <c r="F24" s="226">
        <v>43073.248206018521</v>
      </c>
      <c r="G24" s="225">
        <v>53</v>
      </c>
      <c r="H24" s="227" t="s">
        <v>559</v>
      </c>
      <c r="I24" s="226">
        <v>43073.282939814817</v>
      </c>
      <c r="J24" s="225">
        <v>0</v>
      </c>
      <c r="K24" s="237" t="str">
        <f>IF(ISEVEN(B24),(B24-1)&amp;"/"&amp;B24,B24&amp;"/"&amp;(B24+1))</f>
        <v>4029/4030</v>
      </c>
      <c r="L24" s="245" t="str">
        <f>VLOOKUP(A24,'Trips&amp;Operators'!$C$1:$G$99911,5,FALSE)</f>
        <v>THOMPSON LESTER</v>
      </c>
      <c r="M24" s="224">
        <f>I24-F24</f>
        <v>3.4733796295768116E-2</v>
      </c>
      <c r="N24" s="225">
        <f>24*60*SUM($M24:$M24)</f>
        <v>50.016666665906087</v>
      </c>
      <c r="O24" s="225"/>
      <c r="P24" s="225"/>
      <c r="Q24" s="228"/>
      <c r="R24" s="242" t="s">
        <v>1097</v>
      </c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-04T04:54:38-0700',mode:absolute,to:'2017-12-04T07:47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23.299600000000002</v>
      </c>
      <c r="Z24" s="247">
        <f>RIGHT(H24,LEN(H24)-4)/10000</f>
        <v>1.9199999999999998E-2</v>
      </c>
      <c r="AA24" s="247">
        <f>ABS(Z24-Y24)</f>
        <v>23.2804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/stypes="app*4029*20171204*"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112-04 --locoid 4029 --swversion DE.1.0.9.0 --startMP 204:232996 --initTime 2017-12-04T05:54:38 --startdatetime 2017-12-04T05:57:25 --delay 53 --endMP 204:192 --enddatetime 2017-12-04T06:47:26 --enforcementcount 0 &gt;&gt;%USERPROFILE%\Documents\GitHub\eaglep3-reporting\EC\2017-12-04-refined-times.txt</v>
      </c>
      <c r="AI24" s="238" t="str">
        <f t="shared" si="6"/>
        <v>echo {"issue":{"subject":"Delayed by crossing malfunctions","project_id":79,"tracker_id":40,"status_id":1,"priority_id":2,"assigned_to_id":338,"start_date":"2017-12-04","description":"","custom_fields":[{"id":1,"name":"Subdivision","value":"EC"},{"id":4,"name":"Milepost","value":"0.0192"},{"id":17,"name":"Train ID","value":"112-04"},{"id":16,"name":"Locomotive ID","value":"4029"},{"id":130,"name":"Impact","value":""},{"id":150,"name":"Time of Event (Mountain Time)","value":"06:47:26"},{"id":151,"name":"Denver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4029 --day 2017-12-04</v>
      </c>
      <c r="AN24" s="241" t="str">
        <f t="shared" si="8"/>
        <v>echo {"issue":{"subject":"Delayed by crossing malfunctions","project_id":30,"tracker_id":4,"status_id":1,"priority_id":1,"assigned_to_id":10,"start_date":"2017-12-04","description":"","custom_fields":[{"id":30,"name":"Category","value":"Issue"},{"id":3,"name":"Functional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13:47:26"},{"id":29,"name":"Sharepoint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-04T04:54:38-0700',mode:absolute,to:'2017-12-04T07:47:26-0700'))&amp;_a=(columns:!('Message%20ID',Summary),filters:!(),index:'emp_*',interval:auto,query:(query_string:(analyze_wildcard:!t,query:'%22rtdc.l.rtdc.4029%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698</v>
      </c>
      <c r="B25" s="225">
        <v>4034</v>
      </c>
      <c r="C25" s="227" t="s">
        <v>192</v>
      </c>
      <c r="D25" s="227" t="s">
        <v>471</v>
      </c>
      <c r="E25" s="226">
        <v>43073.208101851851</v>
      </c>
      <c r="F25" s="226">
        <v>43073.218958333331</v>
      </c>
      <c r="G25" s="225">
        <v>70</v>
      </c>
      <c r="H25" s="227" t="s">
        <v>536</v>
      </c>
      <c r="I25" s="226">
        <v>43073.244745370372</v>
      </c>
      <c r="J25" s="225">
        <v>0</v>
      </c>
      <c r="K25" s="237" t="str">
        <f>IF(ISEVEN(B25),(B25-1)&amp;"/"&amp;B25,B25&amp;"/"&amp;(B25+1))</f>
        <v>4033/4034</v>
      </c>
      <c r="L25" s="245" t="str">
        <f>VLOOKUP(A25,'Trips&amp;Operators'!$C$1:$G$99911,5,FALSE)</f>
        <v>DAVIDSON DAVID</v>
      </c>
      <c r="M25" s="224">
        <f>I25-F25</f>
        <v>2.5787037040572613E-2</v>
      </c>
      <c r="N25" s="225">
        <f>24*60*SUM($M25:$M25)</f>
        <v>37.133333338424563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-04T03:59:40-0700',mode:absolute,to:'2017-12-04T06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5.1700000000000003E-2</v>
      </c>
      <c r="Z25" s="247">
        <f>RIGHT(H25,LEN(H25)-4)/10000</f>
        <v>23.327000000000002</v>
      </c>
      <c r="AA25" s="247">
        <f>ABS(Z25-Y25)</f>
        <v>23.275300000000001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s3://rtdc.mdm.uploadarchive.raw/RTDC4034/ "%USERPROFILE%\AppData\Local\Temp\OnboardLogs"\RTDC4034\2017-12-04 --exclude "*" --recursive --include "*20171204*" &amp; "%USERPROFILE%\Documents\GitHub\mrs-test-scripts\Headless Mode &amp; Sideloading\WalkAndUnGZ.bat" "%USERPROFILE%\AppData\Local\Temp\OnboardLogs"\RTDC4034\2017-12-04 &amp; aws s3 cp s3://rtdc.mdm.uploadarchive.raw/RTDC4034/ "%USERPROFILE%\AppData\Local\Temp\OnboardLogs"\RTDC4034\2017-12-05 --exclude "*" --recursive --include "*20171205*" &amp; "%USERPROFILE%\Documents\GitHub\mrs-test-scripts\Headless Mode &amp; Sideloading\WalkAndUnGZ.bat" "%USERPROFILE%\AppData\Local\Temp\OnboardLogs"\RTDC4034\2017-12-05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/stypes="app*4034*20171204*"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113-04 --locoid 4034 --swversion DE.1.0.9.0 --startMP 204:517 --initTime 2017-12-04T04:59:40 --startdatetime 2017-12-04T05:15:18 --delay 70 --endMP 204:233270 --enddatetime 2017-12-04T05:52:26 --enforcementcount 0 &gt;&gt;%USERPROFILE%\Documents\GitHub\eaglep3-reporting\EC\2017-12-04-refined-times.txt</v>
      </c>
      <c r="AI25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{"issue":{"subject":"","project_id":79,"tracker_id":40,"status_id":1,"priority_id":2,"assigned_to_id":338,"start_date":"2017-12-04","description":"","custom_fields":[{"id":1,"name":"Subdivision","value":"EC"},{"id":4,"name":"Milepost","value":"23.327"},{"id":17,"name":"Train ID","value":"113-04"},{"id":16,"name":"Locomotive ID","value":"4034"},{"id":130,"name":"Impact","value":""},{"id":150,"name":"Time of Event (Mountain Time)","value":"05:52:26"},{"id":151,"name":"Denver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4034 --day 2017-12-04</v>
      </c>
      <c r="AN25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-04T03:59:40-0700',mode:absolute,to:'2017-12-04T06:52:26-0700'))&amp;_a=(columns:!('Message%20ID',Summary),filters:!(),index:'emp_*',interval:auto,query:(query_string:(analyze_wildcard:!t,query:'%22rtdc.l.rtdc.4034%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711</v>
      </c>
      <c r="B26" s="225">
        <v>4033</v>
      </c>
      <c r="C26" s="227" t="s">
        <v>192</v>
      </c>
      <c r="D26" s="227" t="s">
        <v>537</v>
      </c>
      <c r="E26" s="226">
        <v>43073.24627314815</v>
      </c>
      <c r="F26" s="226">
        <v>43073.258564814816</v>
      </c>
      <c r="G26" s="225">
        <v>61</v>
      </c>
      <c r="H26" s="227" t="s">
        <v>917</v>
      </c>
      <c r="I26" s="226">
        <v>43073.300439814811</v>
      </c>
      <c r="J26" s="225">
        <v>0</v>
      </c>
      <c r="K26" s="237" t="str">
        <f>IF(ISEVEN(B26),(B26-1)&amp;"/"&amp;B26,B26&amp;"/"&amp;(B26+1))</f>
        <v>4033/4034</v>
      </c>
      <c r="L26" s="245" t="str">
        <f>VLOOKUP(A26,'Trips&amp;Operators'!$C$1:$G$99911,5,FALSE)</f>
        <v>DAVIDSON DAVID</v>
      </c>
      <c r="M26" s="224">
        <f>I26-F26</f>
        <v>4.1874999995343387E-2</v>
      </c>
      <c r="N26" s="225">
        <f>24*60*SUM($M26:$M26)</f>
        <v>60.299999993294477</v>
      </c>
      <c r="O26" s="225"/>
      <c r="P26" s="225"/>
      <c r="Q26" s="228"/>
      <c r="R26" s="242" t="s">
        <v>1097</v>
      </c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-04T04:54:38-0700',mode:absolute,to:'2017-12-04T08:12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23.295200000000001</v>
      </c>
      <c r="Z26" s="247">
        <f>RIGHT(H26,LEN(H26)-4)/10000</f>
        <v>0.10009999999999999</v>
      </c>
      <c r="AA26" s="247">
        <f>ABS(Z26-Y26)</f>
        <v>23.1951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s3://rtdc.mdm.uploadarchive.raw/RTDC4033/ "%USERPROFILE%\AppData\Local\Temp\OnboardLogs"\RTDC4033\2017-12-04 --exclude "*" --recursive --include "*20171204*" &amp; "%USERPROFILE%\Documents\GitHub\mrs-test-scripts\Headless Mode &amp; Sideloading\WalkAndUnGZ.bat" "%USERPROFILE%\AppData\Local\Temp\OnboardLogs"\RTDC4033\2017-12-04 &amp; aws s3 cp s3://rtdc.mdm.uploadarchive.raw/RTDC4033/ "%USERPROFILE%\AppData\Local\Temp\OnboardLogs"\RTDC4033\2017-12-05 --exclude "*" --recursive --include "*20171205*" &amp; "%USERPROFILE%\Documents\GitHub\mrs-test-scripts\Headless Mode &amp; Sideloading\WalkAndUnGZ.bat" "%USERPROFILE%\AppData\Local\Temp\OnboardLogs"\RTDC4033\2017-12-05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/stypes="app*4033*20171204*" /stext=" 14:.+((SYSTEM_STATE.+slice.+state.+changed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114-04 --locoid 4033 --swversion DE.1.0.9.0 --startMP 204:232952 --initTime 2017-12-04T05:54:38 --startdatetime 2017-12-04T06:12:20 --delay 61 --endMP 204:1001 --enddatetime 2017-12-04T07:12:38 --enforcementcount 0 &gt;&gt;%USERPROFILE%\Documents\GitHub\eaglep3-reporting\EC\2017-12-04-refined-times.txt</v>
      </c>
      <c r="AI26" s="238" t="str">
        <f t="shared" si="6"/>
        <v>echo {"issue":{"subject":"Delayed by crossing malfunctions","project_id":79,"tracker_id":40,"status_id":1,"priority_id":2,"assigned_to_id":338,"start_date":"2017-12-04","description":"","custom_fields":[{"id":1,"name":"Subdivision","value":"EC"},{"id":4,"name":"Milepost","value":"0.1001"},{"id":17,"name":"Train ID","value":"114-04"},{"id":16,"name":"Locomotive ID","value":"4033"},{"id":130,"name":"Impact","value":""},{"id":150,"name":"Time of Event (Mountain Time)","value":"07:12:38"},{"id":151,"name":"Denver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4033 --day 2017-12-04</v>
      </c>
      <c r="AN26" s="241" t="str">
        <f t="shared" si="8"/>
        <v>echo {"issue":{"subject":"Delayed by crossing malfunctions","project_id":30,"tracker_id":4,"status_id":1,"priority_id":1,"assigned_to_id":10,"start_date":"2017-12-04","description":"","custom_fields":[{"id":30,"name":"Category","value":"Issue"},{"id":3,"name":"Functional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14:12:38"},{"id":29,"name":"Sharepoint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-04T04:54:38-0700',mode:absolute,to:'2017-12-04T08:12:38-0700'))&amp;_a=(columns:!('Message%20ID',Summary),filters:!(),index:'emp_*',interval:auto,query:(query_string:(analyze_wildcard:!t,query:'%22rtdc.l.rtdc.4033%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702</v>
      </c>
      <c r="B27" s="225">
        <v>4022</v>
      </c>
      <c r="C27" s="227" t="s">
        <v>192</v>
      </c>
      <c r="D27" s="227" t="s">
        <v>471</v>
      </c>
      <c r="E27" s="226">
        <v>43073.224918981483</v>
      </c>
      <c r="F27" s="226">
        <v>43073.229409722226</v>
      </c>
      <c r="G27" s="225">
        <v>75</v>
      </c>
      <c r="H27" s="227" t="s">
        <v>602</v>
      </c>
      <c r="I27" s="226">
        <v>43073.255104166667</v>
      </c>
      <c r="J27" s="225">
        <v>0</v>
      </c>
      <c r="K27" s="237" t="str">
        <f>IF(ISEVEN(B27),(B27-1)&amp;"/"&amp;B27,B27&amp;"/"&amp;(B27+1))</f>
        <v>4021/4022</v>
      </c>
      <c r="L27" s="245" t="str">
        <f>VLOOKUP(A27,'Trips&amp;Operators'!$C$1:$G$99911,5,FALSE)</f>
        <v>HAMMOND JUSTYNN</v>
      </c>
      <c r="M27" s="224">
        <f>I27-F27</f>
        <v>2.569444444088731E-2</v>
      </c>
      <c r="N27" s="225">
        <f>24*60*SUM($M27:$M27)</f>
        <v>36.999999994877726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-04T04:23:53-0700',mode:absolute,to:'2017-12-04T07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5.1700000000000003E-2</v>
      </c>
      <c r="Z27" s="247">
        <f>RIGHT(H27,LEN(H27)-4)/10000</f>
        <v>23.330400000000001</v>
      </c>
      <c r="AA27" s="247">
        <f>ABS(Z27-Y27)</f>
        <v>23.278700000000001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/stypes="app*4022*20171204*"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115-04 --locoid 4022 --swversion DE.1.0.9.0 --startMP 204:517 --initTime 2017-12-04T05:23:53 --startdatetime 2017-12-04T05:30:21 --delay 75 --endMP 204:233304 --enddatetime 2017-12-04T06:07:21 --enforcementcount 0 &gt;&gt;%USERPROFILE%\Documents\GitHub\eaglep3-reporting\EC\2017-12-04-refined-times.txt</v>
      </c>
      <c r="AI27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{"issue":{"subject":"","project_id":79,"tracker_id":40,"status_id":1,"priority_id":2,"assigned_to_id":338,"start_date":"2017-12-04","description":"","custom_fields":[{"id":1,"name":"Subdivision","value":"EC"},{"id":4,"name":"Milepost","value":"23.3304"},{"id":17,"name":"Train ID","value":"115-04"},{"id":16,"name":"Locomotive ID","value":"4022"},{"id":130,"name":"Impact","value":""},{"id":150,"name":"Time of Event (Mountain Time)","value":"06:07:21"},{"id":151,"name":"Denver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4022 --day 2017-12-04</v>
      </c>
      <c r="AN27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-04T04:23:53-0700',mode:absolute,to:'2017-12-04T07:07:21-0700'))&amp;_a=(columns:!('Message%20ID',Summary),filters:!(),index:'emp_*',interval:auto,query:(query_string:(analyze_wildcard:!t,query:'%22rtdc.l.rtdc.4022%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714</v>
      </c>
      <c r="B28" s="225">
        <v>4021</v>
      </c>
      <c r="C28" s="227" t="s">
        <v>192</v>
      </c>
      <c r="D28" s="227" t="s">
        <v>918</v>
      </c>
      <c r="E28" s="226">
        <v>43073.265925925924</v>
      </c>
      <c r="F28" s="226">
        <v>43073.268935185188</v>
      </c>
      <c r="G28" s="225">
        <v>62</v>
      </c>
      <c r="H28" s="227" t="s">
        <v>465</v>
      </c>
      <c r="I28" s="226">
        <v>43073.303217592591</v>
      </c>
      <c r="J28" s="225">
        <v>0</v>
      </c>
      <c r="K28" s="237" t="str">
        <f>IF(ISEVEN(B28),(B28-1)&amp;"/"&amp;B28,B28&amp;"/"&amp;(B28+1))</f>
        <v>4021/4022</v>
      </c>
      <c r="L28" s="245" t="str">
        <f>VLOOKUP(A28,'Trips&amp;Operators'!$C$1:$G$99911,5,FALSE)</f>
        <v>HAMMOND JUSTYNN</v>
      </c>
      <c r="M28" s="224">
        <f>I28-F28</f>
        <v>3.4282407403225079E-2</v>
      </c>
      <c r="N28" s="225">
        <f>24*60*SUM($M28:$M28)</f>
        <v>49.366666660644114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-04T05:22:56-0700',mode:absolute,to:'2017-12-04T08:16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23.2974</v>
      </c>
      <c r="Z28" s="247">
        <f>RIGHT(H28,LEN(H28)-4)/10000</f>
        <v>2.1600000000000001E-2</v>
      </c>
      <c r="AA28" s="247">
        <f>ABS(Z28-Y28)</f>
        <v>23.2758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/stypes="app*4021*20171204*"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116-04 --locoid 4021 --swversion DE.1.0.9.0 --startMP 204:232974 --initTime 2017-12-04T06:22:56 --startdatetime 2017-12-04T06:27:16 --delay 62 --endMP 204:216 --enddatetime 2017-12-04T07:16:38 --enforcementcount 0 &gt;&gt;%USERPROFILE%\Documents\GitHub\eaglep3-reporting\EC\2017-12-04-refined-times.txt</v>
      </c>
      <c r="AI28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{"issue":{"subject":"","project_id":79,"tracker_id":40,"status_id":1,"priority_id":2,"assigned_to_id":338,"start_date":"2017-12-04","description":"","custom_fields":[{"id":1,"name":"Subdivision","value":"EC"},{"id":4,"name":"Milepost","value":"0.0216"},{"id":17,"name":"Train ID","value":"116-04"},{"id":16,"name":"Locomotive ID","value":"4021"},{"id":130,"name":"Impact","value":""},{"id":150,"name":"Time of Event (Mountain Time)","value":"07:16:38"},{"id":151,"name":"Denver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4021 --day 2017-12-04</v>
      </c>
      <c r="AN28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14:16:38"},{"id":29,"name":"Sharepoint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-04T05:22:56-0700',mode:absolute,to:'2017-12-04T08:16:38-0700'))&amp;_a=(columns:!('Message%20ID',Summary),filters:!(),index:'emp_*',interval:auto,query:(query_string:(analyze_wildcard:!t,query:'%22rtdc.l.rtdc.4021%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656</v>
      </c>
      <c r="B29" s="225">
        <v>4008</v>
      </c>
      <c r="C29" s="227" t="s">
        <v>192</v>
      </c>
      <c r="D29" s="227" t="s">
        <v>919</v>
      </c>
      <c r="E29" s="226">
        <v>43073.234722222223</v>
      </c>
      <c r="F29" s="226">
        <v>43073.239756944444</v>
      </c>
      <c r="G29" s="225">
        <v>115</v>
      </c>
      <c r="H29" s="227" t="s">
        <v>642</v>
      </c>
      <c r="I29" s="226">
        <v>43073.265347222223</v>
      </c>
      <c r="J29" s="225">
        <v>0</v>
      </c>
      <c r="K29" s="237" t="str">
        <f>IF(ISEVEN(B29),(B29-1)&amp;"/"&amp;B29,B29&amp;"/"&amp;(B29+1))</f>
        <v>4007/4008</v>
      </c>
      <c r="L29" s="245" t="str">
        <f>VLOOKUP(A29,'Trips&amp;Operators'!$C$1:$G$99911,5,FALSE)</f>
        <v>LAMAR NEKESHA</v>
      </c>
      <c r="M29" s="224">
        <f>I29-F29</f>
        <v>2.5590277778974269E-2</v>
      </c>
      <c r="N29" s="225">
        <f>24*60*SUM($M29:$M29)</f>
        <v>36.850000001722947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-04T04:38:00-0700',mode:absolute,to:'2017-12-04T07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4.6899999999999997E-2</v>
      </c>
      <c r="Z29" s="247">
        <f>RIGHT(H29,LEN(H29)-4)/10000</f>
        <v>23.328900000000001</v>
      </c>
      <c r="AA29" s="247">
        <f>ABS(Z29-Y29)</f>
        <v>23.282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/stypes="app*4008*20171204*"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117-04 --locoid 4008 --swversion DE.1.0.9.0 --startMP 204:469 --initTime 2017-12-04T05:38:00 --startdatetime 2017-12-04T05:45:15 --delay 115 --endMP 204:233289 --enddatetime 2017-12-04T06:22:06 --enforcementcount 0 &gt;&gt;%USERPROFILE%\Documents\GitHub\eaglep3-reporting\EC\2017-12-04-refined-times.txt</v>
      </c>
      <c r="AI29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{"issue":{"subject":"","project_id":79,"tracker_id":40,"status_id":1,"priority_id":2,"assigned_to_id":338,"start_date":"2017-12-04","description":"","custom_fields":[{"id":1,"name":"Subdivision","value":"EC"},{"id":4,"name":"Milepost","value":"23.3289"},{"id":17,"name":"Train ID","value":"117-04"},{"id":16,"name":"Locomotive ID","value":"4008"},{"id":130,"name":"Impact","value":""},{"id":150,"name":"Time of Event (Mountain Time)","value":"06:22:06"},{"id":151,"name":"Denver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4008 --day 2017-12-04</v>
      </c>
      <c r="AN29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-04T04:38:00-0700',mode:absolute,to:'2017-12-04T07:22:06-0700'))&amp;_a=(columns:!('Message%20ID',Summary),filters:!(),index:'emp_*',interval:auto,query:(query_string:(analyze_wildcard:!t,query:'%22rtdc.l.rtdc.4008%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659</v>
      </c>
      <c r="B30" s="225">
        <v>4007</v>
      </c>
      <c r="C30" s="227" t="s">
        <v>192</v>
      </c>
      <c r="D30" s="227" t="s">
        <v>920</v>
      </c>
      <c r="E30" s="226">
        <v>43073.276550925926</v>
      </c>
      <c r="F30" s="226">
        <v>43073.279363425929</v>
      </c>
      <c r="G30" s="225">
        <v>85</v>
      </c>
      <c r="H30" s="227" t="s">
        <v>594</v>
      </c>
      <c r="I30" s="226">
        <v>43073.317152777781</v>
      </c>
      <c r="J30" s="225">
        <v>0</v>
      </c>
      <c r="K30" s="237" t="str">
        <f>IF(ISEVEN(B30),(B30-1)&amp;"/"&amp;B30,B30&amp;"/"&amp;(B30+1))</f>
        <v>4007/4008</v>
      </c>
      <c r="L30" s="245" t="str">
        <f>VLOOKUP(A30,'Trips&amp;Operators'!$C$1:$G$99911,5,FALSE)</f>
        <v>LAMAR NEKESHA</v>
      </c>
      <c r="M30" s="224">
        <f>I30-F30</f>
        <v>3.77893518525525E-2</v>
      </c>
      <c r="N30" s="225">
        <f>24*60*SUM($M30:$M30)</f>
        <v>54.416666667675599</v>
      </c>
      <c r="O30" s="225"/>
      <c r="P30" s="225"/>
      <c r="Q30" s="228"/>
      <c r="R30" s="242" t="s">
        <v>1097</v>
      </c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-04T05:38:14-0700',mode:absolute,to:'2017-12-04T08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23.295000000000002</v>
      </c>
      <c r="Z30" s="247">
        <f>RIGHT(H30,LEN(H30)-4)/10000</f>
        <v>1.7000000000000001E-2</v>
      </c>
      <c r="AA30" s="247">
        <f>ABS(Z30-Y30)</f>
        <v>23.278000000000002</v>
      </c>
      <c r="AB30" s="233" t="str">
        <f>VLOOKUP(A30,Enforcements!$C$7:$K$9,8,0)</f>
        <v>Bulletin (2)</v>
      </c>
      <c r="AC30" s="232" t="str">
        <f>VLOOKUP(A30,Enforcements!$C$7:$E$9,3,0)</f>
        <v>GRADE CROSSING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/stypes="app*4007*20171204*"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118-04 --locoid 4007 --swversion DE.1.0.9.0 --startMP 204:232950 --initTime 2017-12-04T06:38:14 --startdatetime 2017-12-04T06:42:17 --delay 85 --endMP 204:170 --enddatetime 2017-12-04T07:36:42 --enforcementcount 0 &gt;&gt;%USERPROFILE%\Documents\GitHub\eaglep3-reporting\EC\2017-12-04-refined-times.txt</v>
      </c>
      <c r="AI30" s="238" t="str">
        <f t="shared" si="6"/>
        <v>echo {"issue":{"subject":"Delayed by crossing malfunctions","project_id":79,"tracker_id":40,"status_id":1,"priority_id":2,"assigned_to_id":338,"start_date":"2017-12-04","description":"","custom_fields":[{"id":1,"name":"Subdivision","value":"EC"},{"id":4,"name":"Milepost","value":"0.017"},{"id":17,"name":"Train ID","value":"118-04"},{"id":16,"name":"Locomotive ID","value":"4007"},{"id":130,"name":"Impact","value":""},{"id":150,"name":"Time of Event (Mountain Time)","value":"07:36:42"},{"id":151,"name":"Denver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4007 --day 2017-12-04</v>
      </c>
      <c r="AN30" s="241" t="str">
        <f t="shared" si="8"/>
        <v>echo {"issue":{"subject":"Delayed by crossing malfunctions","project_id":30,"tracker_id":4,"status_id":1,"priority_id":1,"assigned_to_id":10,"start_date":"2017-12-04","description":"","custom_fields":[{"id":30,"name":"Category","value":"Issue"},{"id":3,"name":"Functional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-04T05:38:14-0700',mode:absolute,to:'2017-12-04T08:36:42-0700'))&amp;_a=(columns:!('Message%20ID',Summary),filters:!(),index:'emp_*',interval:auto,query:(query_string:(analyze_wildcard:!t,query:'%22rtdc.l.rtdc.4007%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708</v>
      </c>
      <c r="B31" s="225">
        <v>4010</v>
      </c>
      <c r="C31" s="227" t="s">
        <v>192</v>
      </c>
      <c r="D31" s="227" t="s">
        <v>915</v>
      </c>
      <c r="E31" s="226">
        <v>43073.243298611109</v>
      </c>
      <c r="F31" s="226">
        <v>43073.250324074077</v>
      </c>
      <c r="G31" s="225">
        <v>42</v>
      </c>
      <c r="H31" s="227" t="s">
        <v>600</v>
      </c>
      <c r="I31" s="226">
        <v>43073.274409722224</v>
      </c>
      <c r="J31" s="225">
        <v>0</v>
      </c>
      <c r="K31" s="237" t="str">
        <f>IF(ISEVEN(B31),(B31-1)&amp;"/"&amp;B31,B31&amp;"/"&amp;(B31+1))</f>
        <v>4009/4010</v>
      </c>
      <c r="L31" s="245" t="str">
        <f>VLOOKUP(A31,'Trips&amp;Operators'!$C$1:$G$99911,5,FALSE)</f>
        <v>YORK EDGAR</v>
      </c>
      <c r="M31" s="224">
        <f>I31-F31</f>
        <v>2.4085648146865424E-2</v>
      </c>
      <c r="N31" s="225">
        <f>24*60*SUM($M31:$M31)</f>
        <v>34.68333333148621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-04T04:50:21-0700',mode:absolute,to:'2017-12-04T07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4.6399999999999997E-2</v>
      </c>
      <c r="Z31" s="247">
        <f>RIGHT(H31,LEN(H31)-4)/10000</f>
        <v>23.329799999999999</v>
      </c>
      <c r="AA31" s="247">
        <f>ABS(Z31-Y31)</f>
        <v>23.2834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/stypes="app*4010*20171204*"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119-04 --locoid 4010 --swversion DE.1.0.9.0 --startMP 204:464 --initTime 2017-12-04T05:50:21 --startdatetime 2017-12-04T06:00:28 --delay 42 --endMP 204:233298 --enddatetime 2017-12-04T06:35:09 --enforcementcount 0 &gt;&gt;%USERPROFILE%\Documents\GitHub\eaglep3-reporting\EC\2017-12-04-refined-times.txt</v>
      </c>
      <c r="AI31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{"issue":{"subject":"","project_id":79,"tracker_id":40,"status_id":1,"priority_id":2,"assigned_to_id":338,"start_date":"2017-12-04","description":"","custom_fields":[{"id":1,"name":"Subdivision","value":"EC"},{"id":4,"name":"Milepost","value":"23.3298"},{"id":17,"name":"Train ID","value":"119-04"},{"id":16,"name":"Locomotive ID","value":"4010"},{"id":130,"name":"Impact","value":""},{"id":150,"name":"Time of Event (Mountain Time)","value":"06:35:09"},{"id":151,"name":"Denver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4010 --day 2017-12-04</v>
      </c>
      <c r="AN31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-04T04:50:21-0700',mode:absolute,to:'2017-12-04T07:35:09-0700'))&amp;_a=(columns:!('Message%20ID',Summary),filters:!(),index:'emp_*',interval:auto,query:(query_string:(analyze_wildcard:!t,query:'%22rtdc.l.rtdc.4010%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718</v>
      </c>
      <c r="B32" s="225">
        <v>4009</v>
      </c>
      <c r="C32" s="227" t="s">
        <v>192</v>
      </c>
      <c r="D32" s="227" t="s">
        <v>603</v>
      </c>
      <c r="E32" s="226">
        <v>43073.275254629632</v>
      </c>
      <c r="F32" s="226">
        <v>43073.315798611111</v>
      </c>
      <c r="G32" s="225">
        <v>46</v>
      </c>
      <c r="H32" s="227" t="s">
        <v>921</v>
      </c>
      <c r="I32" s="226">
        <v>43073.322245370371</v>
      </c>
      <c r="J32" s="225">
        <v>0</v>
      </c>
      <c r="K32" s="237" t="str">
        <f>IF(ISEVEN(B32),(B32-1)&amp;"/"&amp;B32,B32&amp;"/"&amp;(B32+1))</f>
        <v>4009/4010</v>
      </c>
      <c r="L32" s="245" t="str">
        <f>VLOOKUP(A32,'Trips&amp;Operators'!$C$1:$G$99911,5,FALSE)</f>
        <v>YORK EDGAR</v>
      </c>
      <c r="M32" s="224">
        <f>I32-F32</f>
        <v>6.4467592601431534E-3</v>
      </c>
      <c r="N32" s="225"/>
      <c r="O32" s="225"/>
      <c r="P32" s="225">
        <f>24*60*SUM($M32:$M32)</f>
        <v>9.2833333346061409</v>
      </c>
      <c r="Q32" s="228"/>
      <c r="R32" s="242" t="s">
        <v>455</v>
      </c>
      <c r="S32" s="249">
        <f>1/IF(AG32="EC",12,1)*SUM(U32:U33)</f>
        <v>0.5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3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-04T05:36:22-0700',mode:absolute,to:'2017-12-04T08:44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47" t="str">
        <f>IF(AA32&lt;VLOOKUP(AG32,Variables!$AC$3:$AD$8,2,FALSE),"Y","N")</f>
        <v>Y</v>
      </c>
      <c r="X32" s="247">
        <f>VALUE(LEFT(AD32,4))-VALUE(LEFT(AD31,4))</f>
        <v>1</v>
      </c>
      <c r="Y32" s="247">
        <f>RIGHT(D32,LEN(D32)-4)/10000</f>
        <v>23.298100000000002</v>
      </c>
      <c r="Z32" s="247">
        <f>RIGHT(H32,LEN(H32)-4)/10000</f>
        <v>6.4169</v>
      </c>
      <c r="AA32" s="247">
        <f>ABS(Z32-Y32)</f>
        <v>16.8812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/stypes="app*4009*20171204*"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120-04 --locoid 4009 --swversion DE.1.0.9.0 --startMP 204:232981 --initTime 2017-12-04T06:36:22 --startdatetime 2017-12-04T07:34:45 --delay 46 --endMP 204:64169 --enddatetime 2017-12-04T07:44:02 --enforcementcount 0 &gt;&gt;%USERPROFILE%\Documents\GitHub\eaglep3-reporting\EC\2017-12-04-refined-times.txt</v>
      </c>
      <c r="AI32" s="238" t="str">
        <f t="shared" si="6"/>
        <v>echo {"issue":{"subject":"Wi-MAX data drop","project_id":79,"tracker_id":40,"status_id":1,"priority_id":2,"assigned_to_id":338,"start_date":"2017-12-04","description":"","custom_fields":[{"id":1,"name":"Subdivision","value":"EC"},{"id":4,"name":"Milepost","value":"6.4169"},{"id":17,"name":"Train ID","value":"120-04"},{"id":16,"name":"Locomotive ID","value":"4009"},{"id":130,"name":"Impact","value":""},{"id":150,"name":"Time of Event (Mountain Time)","value":"07:44:02"},{"id":151,"name":"Denver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4009 --day 2017-12-04</v>
      </c>
      <c r="AN32" s="241" t="str">
        <f t="shared" si="8"/>
        <v>echo {"issue":{"subject":"Wi-MAX data drop","project_id":30,"tracker_id":4,"status_id":1,"priority_id":1,"assigned_to_id":10,"start_date":"2017-12-04","description":"","custom_fields":[{"id":30,"name":"Category","value":"Issue"},{"id":3,"name":"Functional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14:44:02"},{"id":29,"name":"Sharepoint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-04T05:36:22-0700',mode:absolute,to:'2017-12-04T08:44:02-0700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718</v>
      </c>
      <c r="B33" s="225">
        <v>4009</v>
      </c>
      <c r="C33" s="227" t="s">
        <v>192</v>
      </c>
      <c r="D33" s="227" t="s">
        <v>922</v>
      </c>
      <c r="E33" s="226">
        <v>43073.314930555556</v>
      </c>
      <c r="F33" s="226">
        <v>43073.315798611111</v>
      </c>
      <c r="G33" s="225">
        <v>40</v>
      </c>
      <c r="H33" s="227" t="s">
        <v>466</v>
      </c>
      <c r="I33" s="226">
        <v>43073.322245370371</v>
      </c>
      <c r="J33" s="225">
        <v>0</v>
      </c>
      <c r="K33" s="237" t="str">
        <f>IF(ISEVEN(B33),(B33-1)&amp;"/"&amp;B33,B33&amp;"/"&amp;(B33+1))</f>
        <v>4009/4010</v>
      </c>
      <c r="L33" s="245" t="str">
        <f>VLOOKUP(A33,'Trips&amp;Operators'!$C$1:$G$99911,5,FALSE)</f>
        <v>YORK EDGAR</v>
      </c>
      <c r="M33" s="224">
        <f>I33-F33</f>
        <v>6.4467592601431534E-3</v>
      </c>
      <c r="N33" s="225"/>
      <c r="O33" s="225"/>
      <c r="P33" s="225"/>
      <c r="Q33" s="228"/>
      <c r="R33" s="242"/>
      <c r="S33" s="249"/>
      <c r="T33" s="242" t="str">
        <f>IF(ISEVEN(LEFT(AD33,4)),"Southbound","NorthBound")</f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3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-04T06:33:30-0700',mode:absolute,to:'2017-12-04T08:44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247" t="str">
        <f>IF(AA33&lt;VLOOKUP(AG33,Variables!$AC$3:$AD$8,2,FALSE),"Y","N")</f>
        <v>Y</v>
      </c>
      <c r="X33" s="247">
        <f>VALUE(LEFT(AD33,4))-VALUE(LEFT(AD32,4))</f>
        <v>0</v>
      </c>
      <c r="Y33" s="247">
        <f>RIGHT(D33,LEN(D33)-4)/10000</f>
        <v>3.6812999999999998</v>
      </c>
      <c r="Z33" s="247">
        <f>RIGHT(H33,LEN(H33)-4)/10000</f>
        <v>1.5800000000000002E-2</v>
      </c>
      <c r="AA33" s="247">
        <f>ABS(Z33-Y33)</f>
        <v>3.6654999999999998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120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/stypes="app*4009*20171204*" /stext=" 14:.+((SYSTEM_STATE.+slice.+state.+changed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120-04 --locoid 4009 --swversion DE.1.0.9.0 --startMP 204:36813 --initTime 2017-12-04T07:33:30 --startdatetime 2017-12-04T07:34:45 --delay 40 --endMP 204:158 --enddatetime 2017-12-04T07:44:02 --enforcementcount 0 &gt;&gt;%USERPROFILE%\Documents\GitHub\eaglep3-reporting\EC\2017-12-04-refined-times.txt</v>
      </c>
      <c r="AI33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{"issue":{"subject":"","project_id":79,"tracker_id":40,"status_id":1,"priority_id":2,"assigned_to_id":338,"start_date":"2017-12-04","description":"","custom_fields":[{"id":1,"name":"Subdivision","value":"EC"},{"id":4,"name":"Milepost","value":"0.0158"},{"id":17,"name":"Train ID","value":"120-04"},{"id":16,"name":"Locomotive ID","value":"4009"},{"id":130,"name":"Impact","value":""},{"id":150,"name":"Time of Event (Mountain Time)","value":"07:44:02"},{"id":151,"name":"Denver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4009 --day 2017-12-04</v>
      </c>
      <c r="AN33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14:44:02"},{"id":29,"name":"Sharepoint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-04T06:33:30-0700',mode:absolute,to:'2017-12-04T08:44:02-0700'))&amp;_a=(columns:!('Message%20ID',Summary),filters:!(),index:'emp_*',interval:auto,query:(query_string:(analyze_wildcard:!t,query:'%22rtdc.l.rtdc.4009%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713</v>
      </c>
      <c r="B34" s="225">
        <v>4042</v>
      </c>
      <c r="C34" s="227" t="s">
        <v>192</v>
      </c>
      <c r="D34" s="227" t="s">
        <v>538</v>
      </c>
      <c r="E34" s="226">
        <v>43073.255266203705</v>
      </c>
      <c r="F34" s="226">
        <v>43073.260601851849</v>
      </c>
      <c r="G34" s="225">
        <v>139</v>
      </c>
      <c r="H34" s="227" t="s">
        <v>499</v>
      </c>
      <c r="I34" s="226">
        <v>43073.293333333335</v>
      </c>
      <c r="J34" s="225">
        <v>0</v>
      </c>
      <c r="K34" s="237" t="str">
        <f>IF(ISEVEN(B34),(B34-1)&amp;"/"&amp;B34,B34&amp;"/"&amp;(B34+1))</f>
        <v>4041/4042</v>
      </c>
      <c r="L34" s="245" t="str">
        <f>VLOOKUP(A34,'Trips&amp;Operators'!$C$1:$G$99911,5,FALSE)</f>
        <v>DELGADO DIANAH</v>
      </c>
      <c r="M34" s="224">
        <f>I34-F34</f>
        <v>3.2731481485825498E-2</v>
      </c>
      <c r="N34" s="225">
        <f>24*60*SUM($M34:$M34)</f>
        <v>47.133333339588717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-04T05:07:35-0700',mode:absolute,to:'2017-12-04T08:02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4.5699999999999998E-2</v>
      </c>
      <c r="Z34" s="247">
        <f>RIGHT(H34,LEN(H34)-4)/10000</f>
        <v>23.329699999999999</v>
      </c>
      <c r="AA34" s="247">
        <f>ABS(Z34-Y34)</f>
        <v>23.283999999999999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121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/stypes="app*4042*20171204*"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121-04 --locoid 4042 --swversion DE.1.0.9.0 --startMP 204:457 --initTime 2017-12-04T06:07:35 --startdatetime 2017-12-04T06:15:16 --delay 139 --endMP 204:233297 --enddatetime 2017-12-04T07:02:24 --enforcementcount 0 &gt;&gt;%USERPROFILE%\Documents\GitHub\eaglep3-reporting\EC\2017-12-04-refined-times.txt</v>
      </c>
      <c r="AI34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{"issue":{"subject":"","project_id":79,"tracker_id":40,"status_id":1,"priority_id":2,"assigned_to_id":338,"start_date":"2017-12-04","description":"","custom_fields":[{"id":1,"name":"Subdivision","value":"EC"},{"id":4,"name":"Milepost","value":"23.3297"},{"id":17,"name":"Train ID","value":"121-04"},{"id":16,"name":"Locomotive ID","value":"4042"},{"id":130,"name":"Impact","value":""},{"id":150,"name":"Time of Event (Mountain Time)","value":"07:02:24"},{"id":151,"name":"Denver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4042 --day 2017-12-04</v>
      </c>
      <c r="AN34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14:02:24"},{"id":29,"name":"Sharepoint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-04T05:07:35-0700',mode:absolute,to:'2017-12-04T08:02:24-0700'))&amp;_a=(columns:!('Message%20ID',Summary),filters:!(),index:'emp_*',interval:auto,query:(query_string:(analyze_wildcard:!t,query:'%22rtdc.l.rtdc.4042%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726</v>
      </c>
      <c r="B35" s="225">
        <v>4041</v>
      </c>
      <c r="C35" s="227" t="s">
        <v>192</v>
      </c>
      <c r="D35" s="227" t="s">
        <v>534</v>
      </c>
      <c r="E35" s="226">
        <v>43073.297291666669</v>
      </c>
      <c r="F35" s="226">
        <v>43073.300173611111</v>
      </c>
      <c r="G35" s="225">
        <v>84</v>
      </c>
      <c r="H35" s="227" t="s">
        <v>612</v>
      </c>
      <c r="I35" s="226">
        <v>43073.329548611109</v>
      </c>
      <c r="J35" s="225">
        <v>0</v>
      </c>
      <c r="K35" s="237" t="str">
        <f>IF(ISEVEN(B35),(B35-1)&amp;"/"&amp;B35,B35&amp;"/"&amp;(B35+1))</f>
        <v>4041/4042</v>
      </c>
      <c r="L35" s="245" t="str">
        <f>VLOOKUP(A35,'Trips&amp;Operators'!$C$1:$G$99911,5,FALSE)</f>
        <v>DELGADO DIANAH</v>
      </c>
      <c r="M35" s="224">
        <f>I35-F35</f>
        <v>2.937499999825377E-2</v>
      </c>
      <c r="N35" s="225">
        <f>24*60*SUM($M35:$M35)</f>
        <v>42.299999997485429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-04T06:08:06-0700',mode:absolute,to:'2017-12-04T08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23.297799999999999</v>
      </c>
      <c r="Z35" s="247">
        <f>RIGHT(H35,LEN(H35)-4)/10000</f>
        <v>1.4999999999999999E-2</v>
      </c>
      <c r="AA35" s="247">
        <f>ABS(Z35-Y35)</f>
        <v>23.282799999999998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122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/stypes="app*4041*20171204*"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122-04 --locoid 4041 --swversion DE.1.0.9.0 --startMP 204:232978 --initTime 2017-12-04T07:08:06 --startdatetime 2017-12-04T07:12:15 --delay 84 --endMP 204:150 --enddatetime 2017-12-04T07:54:33 --enforcementcount 0 &gt;&gt;%USERPROFILE%\Documents\GitHub\eaglep3-reporting\EC\2017-12-04-refined-times.txt</v>
      </c>
      <c r="AI35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{"issue":{"subject":"","project_id":79,"tracker_id":40,"status_id":1,"priority_id":2,"assigned_to_id":338,"start_date":"2017-12-04","description":"","custom_fields":[{"id":1,"name":"Subdivision","value":"EC"},{"id":4,"name":"Milepost","value":"0.015"},{"id":17,"name":"Train ID","value":"122-04"},{"id":16,"name":"Locomotive ID","value":"4041"},{"id":130,"name":"Impact","value":""},{"id":150,"name":"Time of Event (Mountain Time)","value":"07:54:33"},{"id":151,"name":"Denver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4041 --day 2017-12-04</v>
      </c>
      <c r="AN35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2017-12-04T06:08:06-0700',mode:absolute,to:'2017-12-04T08:54:33-0700'))&amp;_a=(columns:!('Message%20ID',Summary),filters:!(),index:'emp_*',interval:auto,query:(query_string:(analyze_wildcard:!t,query:'%22rtdc.l.rtdc.4041%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715</v>
      </c>
      <c r="B36" s="225">
        <v>4058</v>
      </c>
      <c r="C36" s="227" t="s">
        <v>192</v>
      </c>
      <c r="D36" s="227" t="s">
        <v>923</v>
      </c>
      <c r="E36" s="226">
        <v>43073.266400462962</v>
      </c>
      <c r="F36" s="226">
        <v>43073.325092592589</v>
      </c>
      <c r="G36" s="225">
        <v>65</v>
      </c>
      <c r="H36" s="227" t="s">
        <v>924</v>
      </c>
      <c r="I36" s="226">
        <v>43073.345358796294</v>
      </c>
      <c r="J36" s="225">
        <v>0</v>
      </c>
      <c r="K36" s="237" t="str">
        <f>IF(ISEVEN(B36),(B36-1)&amp;"/"&amp;B36,B36&amp;"/"&amp;(B36+1))</f>
        <v>4057/4058</v>
      </c>
      <c r="L36" s="245" t="str">
        <f>VLOOKUP(A36,'Trips&amp;Operators'!$C$1:$G$99911,5,FALSE)</f>
        <v>MAELZER KURT</v>
      </c>
      <c r="M36" s="224">
        <f>I36-F36</f>
        <v>2.0266203704522923E-2</v>
      </c>
      <c r="N36" s="225"/>
      <c r="O36" s="225"/>
      <c r="P36" s="225">
        <f>24*60*SUM($M36:$M36)</f>
        <v>29.183333334513009</v>
      </c>
      <c r="Q36" s="228"/>
      <c r="R36" s="242" t="s">
        <v>1095</v>
      </c>
      <c r="S36" s="249">
        <f>1/IF(AG36="EC",12,1)*SUM(U36:U36)</f>
        <v>0.91666666666666663</v>
      </c>
      <c r="T36" s="242" t="str">
        <f>IF(ISEVEN(LEFT(AD36,4)),"Southbound","NorthBound")</f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11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-04T05:23:37-0700',mode:absolute,to:'2017-12-04T09:17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6" s="247" t="str">
        <f>IF(AA36&lt;VLOOKUP(AG36,Variables!$AC$3:$AD$8,2,FALSE),"Y","N")</f>
        <v>Y</v>
      </c>
      <c r="X36" s="247">
        <f>VALUE(LEFT(AD36,4))-VALUE(LEFT(AD35,4))</f>
        <v>1</v>
      </c>
      <c r="Y36" s="247">
        <f>RIGHT(D36,LEN(D36)-4)/10000</f>
        <v>4.8800000000000003E-2</v>
      </c>
      <c r="Z36" s="247">
        <f>RIGHT(H36,LEN(H36)-4)/10000</f>
        <v>10.6744</v>
      </c>
      <c r="AA36" s="247">
        <f>ABS(Z36-Y36)</f>
        <v>10.6256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123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/stypes="app*4058*20171204*"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123-04 --locoid 4058 --swversion DE.1.0.9.0 --startMP 204:488 --initTime 2017-12-04T06:23:37 --startdatetime 2017-12-04T07:48:08 --delay 65 --endMP 204:106744 --enddatetime 2017-12-04T08:17:19 --enforcementcount 0 &gt;&gt;%USERPROFILE%\Documents\GitHub\eaglep3-reporting\EC\2017-12-04-refined-times.txt</v>
      </c>
      <c r="AI36" s="238" t="str">
        <f t="shared" si="6"/>
        <v>echo {"issue":{"subject":"Chambers 2N did not clear due to waiting for crossing to activate","project_id":79,"tracker_id":40,"status_id":1,"priority_id":2,"assigned_to_id":338,"start_date":"2017-12-04","description":"","custom_fields":[{"id":1,"name":"Subdivision","value":"EC"},{"id":4,"name":"Milepost","value":"10.6744"},{"id":17,"name":"Train ID","value":"123-04"},{"id":16,"name":"Locomotive ID","value":"4058"},{"id":130,"name":"Impact","value":""},{"id":150,"name":"Time of Event (Mountain Time)","value":"08:17:19"},{"id":151,"name":"Denver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4058 --day 2017-12-04</v>
      </c>
      <c r="AN36" s="241" t="str">
        <f t="shared" si="8"/>
        <v>echo {"issue":{"subject":"Chambers 2N did not clear due to waiting for crossing to activate","project_id":30,"tracker_id":4,"status_id":1,"priority_id":1,"assigned_to_id":10,"start_date":"2017-12-04","description":"","custom_fields":[{"id":30,"name":"Category","value":"Issue"},{"id":3,"name":"Functional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15:17:19"},{"id":29,"name":"Sharepoint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-04T05:23:37-0700',mode:absolute,to:'2017-12-04T09:17:19-0700'))&amp;_a=(columns:!('Message%20ID',Summary),filters:!(),index:'emp_*',interval:auto,query:(query_string:(analyze_wildcard:!t,query:'%22rtdc.l.rtdc.4058%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715</v>
      </c>
      <c r="B37" s="225">
        <v>4058</v>
      </c>
      <c r="C37" s="227" t="s">
        <v>192</v>
      </c>
      <c r="D37" s="227" t="s">
        <v>925</v>
      </c>
      <c r="E37" s="226">
        <v>43073.297210648147</v>
      </c>
      <c r="F37" s="226">
        <v>43073.325092592589</v>
      </c>
      <c r="G37" s="225">
        <v>38</v>
      </c>
      <c r="H37" s="227" t="s">
        <v>926</v>
      </c>
      <c r="I37" s="226">
        <v>43073.345358796294</v>
      </c>
      <c r="J37" s="225">
        <v>0</v>
      </c>
      <c r="K37" s="237" t="str">
        <f>IF(ISEVEN(B37),(B37-1)&amp;"/"&amp;B37,B37&amp;"/"&amp;(B37+1))</f>
        <v>4057/4058</v>
      </c>
      <c r="L37" s="245" t="str">
        <f>VLOOKUP(A37,'Trips&amp;Operators'!$C$1:$G$99911,5,FALSE)</f>
        <v>MAELZER KURT</v>
      </c>
      <c r="M37" s="224">
        <f>I37-F37</f>
        <v>2.0266203704522923E-2</v>
      </c>
      <c r="N37" s="225"/>
      <c r="O37" s="225"/>
      <c r="P37" s="225"/>
      <c r="Q37" s="228"/>
      <c r="R37" s="242"/>
      <c r="S37" s="249"/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-04T06:07:59-0700',mode:absolute,to:'2017-12-04T09:17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247" t="str">
        <f>IF(AA37&lt;VLOOKUP(AG37,Variables!$AC$3:$AD$8,2,FALSE),"Y","N")</f>
        <v>Y</v>
      </c>
      <c r="X37" s="247">
        <f>VALUE(LEFT(AD37,4))-VALUE(LEFT(AD36,4))</f>
        <v>0</v>
      </c>
      <c r="Y37" s="247">
        <f>RIGHT(D37,LEN(D37)-4)/10000</f>
        <v>12.826599999999999</v>
      </c>
      <c r="Z37" s="247">
        <f>RIGHT(H37,LEN(H37)-4)/10000</f>
        <v>23.333100000000002</v>
      </c>
      <c r="AA37" s="247">
        <f>ABS(Z37-Y37)</f>
        <v>10.506500000000003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123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/stypes="app*4058*20171204*" /stext=" 15:.+((SYSTEM_STATE.+slice.+state.+changed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123-04 --locoid 4058 --swversion DE.1.0.9.0 --startMP 204:128266 --initTime 2017-12-04T07:07:59 --startdatetime 2017-12-04T07:48:08 --delay 38 --endMP 204:233331 --enddatetime 2017-12-04T08:17:19 --enforcementcount 0 &gt;&gt;%USERPROFILE%\Documents\GitHub\eaglep3-reporting\EC\2017-12-04-refined-times.txt</v>
      </c>
      <c r="AI37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{"issue":{"subject":"","project_id":79,"tracker_id":40,"status_id":1,"priority_id":2,"assigned_to_id":338,"start_date":"2017-12-04","description":"","custom_fields":[{"id":1,"name":"Subdivision","value":"EC"},{"id":4,"name":"Milepost","value":"23.3331"},{"id":17,"name":"Train ID","value":"123-04"},{"id":16,"name":"Locomotive ID","value":"4058"},{"id":130,"name":"Impact","value":""},{"id":150,"name":"Time of Event (Mountain Time)","value":"08:17:19"},{"id":151,"name":"Denver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4058 --day 2017-12-04</v>
      </c>
      <c r="AN37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15:17:19"},{"id":29,"name":"Sharepoint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-04T06:07:59-0700',mode:absolute,to:'2017-12-04T09:17:19-0700'))&amp;_a=(columns:!('Message%20ID',Summary),filters:!(),index:'emp_*',interval:auto,query:(query_string:(analyze_wildcard:!t,query:'%22rtdc.l.rtdc.4058%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730</v>
      </c>
      <c r="B38" s="225">
        <v>4057</v>
      </c>
      <c r="C38" s="227" t="s">
        <v>192</v>
      </c>
      <c r="D38" s="227" t="s">
        <v>927</v>
      </c>
      <c r="E38" s="226">
        <v>43073.323587962965</v>
      </c>
      <c r="F38" s="226">
        <v>43073.325092592589</v>
      </c>
      <c r="G38" s="225">
        <v>56</v>
      </c>
      <c r="H38" s="227" t="s">
        <v>928</v>
      </c>
      <c r="I38" s="226">
        <v>43073.345358796294</v>
      </c>
      <c r="J38" s="225">
        <v>0</v>
      </c>
      <c r="K38" s="237" t="str">
        <f>IF(ISEVEN(B38),(B38-1)&amp;"/"&amp;B38,B38&amp;"/"&amp;(B38+1))</f>
        <v>4057/4058</v>
      </c>
      <c r="L38" s="245" t="str">
        <f>VLOOKUP(A38,'Trips&amp;Operators'!$C$1:$G$99911,5,FALSE)</f>
        <v>MAELZER KURT</v>
      </c>
      <c r="M38" s="224">
        <f>I38-F38</f>
        <v>2.0266203704522923E-2</v>
      </c>
      <c r="N38" s="225"/>
      <c r="O38" s="225"/>
      <c r="P38" s="225">
        <f>24*60*SUM($M38:$M38)</f>
        <v>29.183333334513009</v>
      </c>
      <c r="Q38" s="228"/>
      <c r="R38" s="242" t="s">
        <v>655</v>
      </c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-04T06:45:58-0700',mode:absolute,to:'2017-12-04T09:17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247" t="str">
        <f>IF(AA38&lt;VLOOKUP(AG38,Variables!$AC$3:$AD$8,2,FALSE),"Y","N")</f>
        <v>Y</v>
      </c>
      <c r="X38" s="247">
        <f>VALUE(LEFT(AD38,4))-VALUE(LEFT(AD37,4))</f>
        <v>1</v>
      </c>
      <c r="Y38" s="247">
        <f>RIGHT(D38,LEN(D38)-4)/10000</f>
        <v>12.784000000000001</v>
      </c>
      <c r="Z38" s="247">
        <f>RIGHT(H38,LEN(H38)-4)/10000</f>
        <v>1.7600000000000001E-2</v>
      </c>
      <c r="AA38" s="247">
        <f>ABS(Z38-Y38)</f>
        <v>12.766400000000001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124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/stypes="app*4057*20171204*"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124-04 --locoid 4057 --swversion DE.1.0.9.0 --startMP 204:127840 --initTime 2017-12-04T07:45:58 --startdatetime 2017-12-04T07:48:08 --delay 56 --endMP 204:176 --enddatetime 2017-12-04T08:17:19 --enforcementcount 0 &gt;&gt;%USERPROFILE%\Documents\GitHub\eaglep3-reporting\EC\2017-12-04-refined-times.txt</v>
      </c>
      <c r="AI38" s="238" t="str">
        <f t="shared" si="6"/>
        <v>echo {"issue":{"subject":"CCROC/crew/equip mismatch","project_id":79,"tracker_id":40,"status_id":1,"priority_id":2,"assigned_to_id":338,"start_date":"2017-12-04","description":"","custom_fields":[{"id":1,"name":"Subdivision","value":"EC"},{"id":4,"name":"Milepost","value":"0.0176"},{"id":17,"name":"Train ID","value":"124-04"},{"id":16,"name":"Locomotive ID","value":"4057"},{"id":130,"name":"Impact","value":""},{"id":150,"name":"Time of Event (Mountain Time)","value":"08:17:19"},{"id":151,"name":"Denver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4057 --day 2017-12-04</v>
      </c>
      <c r="AN38" s="241" t="str">
        <f t="shared" si="8"/>
        <v>echo {"issue":{"subject":"CCROC/crew/equip mismatch","project_id":30,"tracker_id":4,"status_id":1,"priority_id":1,"assigned_to_id":10,"start_date":"2017-12-04","description":"","custom_fields":[{"id":30,"name":"Category","value":"Issue"},{"id":3,"name":"Functional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15:17:19"},{"id":29,"name":"Sharepoint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-04T06:45:58-0700',mode:absolute,to:'2017-12-04T09:17:19-0700'))&amp;_a=(columns:!('Message%20ID',Summary),filters:!(),index:'emp_*',interval:auto,query:(query_string:(analyze_wildcard:!t,query:'%22rtdc.l.rtdc.4057%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658</v>
      </c>
      <c r="B39" s="225">
        <v>4020</v>
      </c>
      <c r="C39" s="227" t="s">
        <v>192</v>
      </c>
      <c r="D39" s="227" t="s">
        <v>929</v>
      </c>
      <c r="E39" s="226">
        <v>43073.27952546296</v>
      </c>
      <c r="F39" s="226">
        <v>43073.28638888889</v>
      </c>
      <c r="G39" s="225">
        <v>51</v>
      </c>
      <c r="H39" s="227" t="s">
        <v>930</v>
      </c>
      <c r="I39" s="226">
        <v>43073.31585648148</v>
      </c>
      <c r="J39" s="225">
        <v>0</v>
      </c>
      <c r="K39" s="237" t="str">
        <f>IF(ISEVEN(B39),(B39-1)&amp;"/"&amp;B39,B39&amp;"/"&amp;(B39+1))</f>
        <v>4019/4020</v>
      </c>
      <c r="L39" s="245" t="str">
        <f>VLOOKUP(A39,'Trips&amp;Operators'!$C$1:$G$99911,5,FALSE)</f>
        <v>SPECTOR MICHAEL</v>
      </c>
      <c r="M39" s="224">
        <f>I39-F39</f>
        <v>2.9467592590663116E-2</v>
      </c>
      <c r="N39" s="225"/>
      <c r="O39" s="225"/>
      <c r="P39" s="225">
        <f>24*60*SUM($M39:$M39)</f>
        <v>42.433333330554888</v>
      </c>
      <c r="Q39" s="228"/>
      <c r="R39" s="242" t="s">
        <v>1096</v>
      </c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-04T05:42:31-0700',mode:absolute,to:'2017-12-04T08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247" t="str">
        <f>IF(AA39&lt;VLOOKUP(AG39,Variables!$AC$3:$AD$8,2,FALSE),"Y","N")</f>
        <v>Y</v>
      </c>
      <c r="X39" s="247">
        <f>VALUE(LEFT(AD39,4))-VALUE(LEFT(AD38,4))</f>
        <v>1</v>
      </c>
      <c r="Y39" s="247">
        <v>1.9</v>
      </c>
      <c r="Z39" s="247">
        <v>23.3</v>
      </c>
      <c r="AA39" s="247">
        <f>ABS(Z39-Y39)</f>
        <v>21.400000000000002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125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s3://rtdc.mdm.uploadarchive.raw/RTDC4020/ "%USERPROFILE%\AppData\Local\Temp\OnboardLogs"\RTDC4020\2017-12-04 --exclude "*" --recursive --include "*20171204*" &amp; "%USERPROFILE%\Documents\GitHub\mrs-test-scripts\Headless Mode &amp; Sideloading\WalkAndUnGZ.bat" "%USERPROFILE%\AppData\Local\Temp\OnboardLogs"\RTDC4020\2017-12-04 &amp; aws s3 cp s3://rtdc.mdm.uploadarchive.raw/RTDC4020/ "%USERPROFILE%\AppData\Local\Temp\OnboardLogs"\RTDC4020\2017-12-05 --exclude "*" --recursive --include "*20171205*" &amp; "%USERPROFILE%\Documents\GitHub\mrs-test-scripts\Headless Mode &amp; Sideloading\WalkAndUnGZ.bat" "%USERPROFILE%\AppData\Local\Temp\OnboardLogs"\RTDC4020\2017-12-05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/stypes="app*4020*20171204*"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125-04 --locoid 4020 --swversion DE.1.0.9.0 --startMP 204:1505 --initTime 2017-12-04T06:42:31 --startdatetime 2017-12-04T06:52:24 --delay 51 --endMP 204:1810 --enddatetime 2017-12-04T07:34:50 --enforcementcount 0 &gt;&gt;%USERPROFILE%\Documents\GitHub\eaglep3-reporting\EC\2017-12-04-refined-times.txt</v>
      </c>
      <c r="AI39" s="238" t="str">
        <f t="shared" si="6"/>
        <v>echo {"issue":{"subject":"Main 3 departure","project_id":79,"tracker_id":40,"status_id":1,"priority_id":2,"assigned_to_id":338,"start_date":"2017-12-04","description":"","custom_fields":[{"id":1,"name":"Subdivision","value":"EC"},{"id":4,"name":"Milepost","value":"23.3"},{"id":17,"name":"Train ID","value":"125-04"},{"id":16,"name":"Locomotive ID","value":"4020"},{"id":130,"name":"Impact","value":""},{"id":150,"name":"Time of Event (Mountain Time)","value":"07:34:50"},{"id":151,"name":"Denver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4020 --day 2017-12-04</v>
      </c>
      <c r="AN39" s="241" t="str">
        <f t="shared" si="8"/>
        <v>echo {"issue":{"subject":"Main 3 departure","project_id":30,"tracker_id":4,"status_id":1,"priority_id":1,"assigned_to_id":10,"start_date":"2017-12-04","description":"","custom_fields":[{"id":30,"name":"Category","value":"Issue"},{"id":3,"name":"Functional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-04T05:42:31-0700',mode:absolute,to:'2017-12-04T08:34:50-0700'))&amp;_a=(columns:!('Message%20ID',Summary),filters:!(),index:'emp_*',interval:auto,query:(query_string:(analyze_wildcard:!t,query:'%22rtdc.l.rtdc.4020%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732</v>
      </c>
      <c r="B40" s="225">
        <v>4019</v>
      </c>
      <c r="C40" s="227" t="s">
        <v>192</v>
      </c>
      <c r="D40" s="227" t="s">
        <v>931</v>
      </c>
      <c r="E40" s="226">
        <v>43073.31826388889</v>
      </c>
      <c r="F40" s="226">
        <v>43073.321018518516</v>
      </c>
      <c r="G40" s="225">
        <v>83</v>
      </c>
      <c r="H40" s="227" t="s">
        <v>932</v>
      </c>
      <c r="I40" s="226">
        <v>43073.351550925923</v>
      </c>
      <c r="J40" s="225">
        <v>0</v>
      </c>
      <c r="K40" s="237" t="str">
        <f>IF(ISEVEN(B40),(B40-1)&amp;"/"&amp;B40,B40&amp;"/"&amp;(B40+1))</f>
        <v>4019/4020</v>
      </c>
      <c r="L40" s="245" t="str">
        <f>VLOOKUP(A40,'Trips&amp;Operators'!$C$1:$G$99911,5,FALSE)</f>
        <v>SPECTOR MICHAEL</v>
      </c>
      <c r="M40" s="224">
        <f>I40-F40</f>
        <v>3.0532407407008577E-2</v>
      </c>
      <c r="N40" s="225">
        <f>24*60*SUM($M40:$M40)</f>
        <v>43.966666666092351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-04T06:38:18-0700',mode:absolute,to:'2017-12-04T09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23.2986</v>
      </c>
      <c r="Z40" s="247">
        <f>RIGHT(H40,LEN(H40)-4)/10000</f>
        <v>0.11899999999999999</v>
      </c>
      <c r="AA40" s="247">
        <f>ABS(Z40-Y40)</f>
        <v>23.179600000000001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126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s3://rtdc.mdm.uploadarchive.raw/RTDC4019/ "%USERPROFILE%\AppData\Local\Temp\OnboardLogs"\RTDC4019\2017-12-04 --exclude "*" --recursive --include "*20171204*" &amp; "%USERPROFILE%\Documents\GitHub\mrs-test-scripts\Headless Mode &amp; Sideloading\WalkAndUnGZ.bat" "%USERPROFILE%\AppData\Local\Temp\OnboardLogs"\RTDC4019\2017-12-04 &amp; aws s3 cp s3://rtdc.mdm.uploadarchive.raw/RTDC4019/ "%USERPROFILE%\AppData\Local\Temp\OnboardLogs"\RTDC4019\2017-12-05 --exclude "*" --recursive --include "*20171205*" &amp; "%USERPROFILE%\Documents\GitHub\mrs-test-scripts\Headless Mode &amp; Sideloading\WalkAndUnGZ.bat" "%USERPROFILE%\AppData\Local\Temp\OnboardLogs"\RTDC4019\2017-12-05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/stypes="app*4019*20171204*"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126-04 --locoid 4019 --swversion DE.1.0.9.0 --startMP 204:232986 --initTime 2017-12-04T07:38:18 --startdatetime 2017-12-04T07:42:16 --delay 83 --endMP 204:1190 --enddatetime 2017-12-04T08:26:14 --enforcementcount 0 &gt;&gt;%USERPROFILE%\Documents\GitHub\eaglep3-reporting\EC\2017-12-04-refined-times.txt</v>
      </c>
      <c r="AI40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{"issue":{"subject":"","project_id":79,"tracker_id":40,"status_id":1,"priority_id":2,"assigned_to_id":338,"start_date":"2017-12-04","description":"","custom_fields":[{"id":1,"name":"Subdivision","value":"EC"},{"id":4,"name":"Milepost","value":"0.119"},{"id":17,"name":"Train ID","value":"126-04"},{"id":16,"name":"Locomotive ID","value":"4019"},{"id":130,"name":"Impact","value":""},{"id":150,"name":"Time of Event (Mountain Time)","value":"08:26:14"},{"id":151,"name":"Denver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4019 --day 2017-12-04</v>
      </c>
      <c r="AN40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-04T06:38:18-0700',mode:absolute,to:'2017-12-04T09:26:14-0700'))&amp;_a=(columns:!('Message%20ID',Summary),filters:!(),index:'emp_*',interval:auto,query:(query_string:(analyze_wildcard:!t,query:'%22rtdc.l.rtdc.4019%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724</v>
      </c>
      <c r="B41" s="225">
        <v>4030</v>
      </c>
      <c r="C41" s="227" t="s">
        <v>192</v>
      </c>
      <c r="D41" s="227" t="s">
        <v>415</v>
      </c>
      <c r="E41" s="226">
        <v>43073.289247685185</v>
      </c>
      <c r="F41" s="226">
        <v>43073.291944444441</v>
      </c>
      <c r="G41" s="225">
        <v>63</v>
      </c>
      <c r="H41" s="227" t="s">
        <v>539</v>
      </c>
      <c r="I41" s="226">
        <v>43073.328009259261</v>
      </c>
      <c r="J41" s="225">
        <v>0</v>
      </c>
      <c r="K41" s="237" t="str">
        <f>IF(ISEVEN(B41),(B41-1)&amp;"/"&amp;B41,B41&amp;"/"&amp;(B41+1))</f>
        <v>4029/4030</v>
      </c>
      <c r="L41" s="245" t="str">
        <f>VLOOKUP(A41,'Trips&amp;Operators'!$C$1:$G$99911,5,FALSE)</f>
        <v>THOMPSON LESTER</v>
      </c>
      <c r="M41" s="224">
        <f>I41-F41</f>
        <v>3.606481481983792E-2</v>
      </c>
      <c r="N41" s="225">
        <f>24*60*SUM($M41:$M41)</f>
        <v>51.933333340566605</v>
      </c>
      <c r="O41" s="225"/>
      <c r="P41" s="225"/>
      <c r="Q41" s="228"/>
      <c r="R41" s="242" t="s">
        <v>1097</v>
      </c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-04T05:56:31-0700',mode:absolute,to:'2017-12-04T08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5.0799999999999998E-2</v>
      </c>
      <c r="Z41" s="247">
        <f>RIGHT(H41,LEN(H41)-4)/10000</f>
        <v>23.326599999999999</v>
      </c>
      <c r="AA41" s="247">
        <f>ABS(Z41-Y41)</f>
        <v>23.2758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127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/stypes="app*4030*20171204*"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127-04 --locoid 4030 --swversion DE.1.0.9.0 --startMP 204:508 --initTime 2017-12-04T06:56:31 --startdatetime 2017-12-04T07:00:24 --delay 63 --endMP 204:233266 --enddatetime 2017-12-04T07:52:20 --enforcementcount 0 &gt;&gt;%USERPROFILE%\Documents\GitHub\eaglep3-reporting\EC\2017-12-04-refined-times.txt</v>
      </c>
      <c r="AI41" s="238" t="str">
        <f t="shared" si="6"/>
        <v>echo {"issue":{"subject":"Delayed by crossing malfunctions","project_id":79,"tracker_id":40,"status_id":1,"priority_id":2,"assigned_to_id":338,"start_date":"2017-12-04","description":"","custom_fields":[{"id":1,"name":"Subdivision","value":"EC"},{"id":4,"name":"Milepost","value":"23.3266"},{"id":17,"name":"Train ID","value":"127-04"},{"id":16,"name":"Locomotive ID","value":"4030"},{"id":130,"name":"Impact","value":""},{"id":150,"name":"Time of Event (Mountain Time)","value":"07:52:20"},{"id":151,"name":"Denver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4030 --day 2017-12-04</v>
      </c>
      <c r="AN41" s="241" t="str">
        <f t="shared" si="8"/>
        <v>echo {"issue":{"subject":"Delayed by crossing malfunctions","project_id":30,"tracker_id":4,"status_id":1,"priority_id":1,"assigned_to_id":10,"start_date":"2017-12-04","description":"","custom_fields":[{"id":30,"name":"Category","value":"Issue"},{"id":3,"name":"Functional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-04T05:56:31-0700',mode:absolute,to:'2017-12-04T08:52:20-0700'))&amp;_a=(columns:!('Message%20ID',Summary),filters:!(),index:'emp_*',interval:auto,query:(query_string:(analyze_wildcard:!t,query:'%22rtdc.l.rtdc.4030%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661</v>
      </c>
      <c r="B42" s="225">
        <v>4029</v>
      </c>
      <c r="C42" s="227" t="s">
        <v>192</v>
      </c>
      <c r="D42" s="227" t="s">
        <v>495</v>
      </c>
      <c r="E42" s="226">
        <v>43073.331319444442</v>
      </c>
      <c r="F42" s="226">
        <v>43073.332731481481</v>
      </c>
      <c r="G42" s="225">
        <v>57</v>
      </c>
      <c r="H42" s="227" t="s">
        <v>629</v>
      </c>
      <c r="I42" s="226">
        <v>43073.362222222226</v>
      </c>
      <c r="J42" s="225">
        <v>0</v>
      </c>
      <c r="K42" s="237" t="str">
        <f>IF(ISEVEN(B42),(B42-1)&amp;"/"&amp;B42,B42&amp;"/"&amp;(B42+1))</f>
        <v>4029/4030</v>
      </c>
      <c r="L42" s="245" t="str">
        <f>VLOOKUP(A42,'Trips&amp;Operators'!$C$1:$G$99911,5,FALSE)</f>
        <v>THOMPSON LESTER</v>
      </c>
      <c r="M42" s="224">
        <f>I42-F42</f>
        <v>2.9490740744222421E-2</v>
      </c>
      <c r="N42" s="225">
        <f>24*60*SUM($M42:$M42)</f>
        <v>42.466666671680287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-04T06:57:06-0700',mode:absolute,to:'2017-12-04T09:41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23.295300000000001</v>
      </c>
      <c r="Z42" s="247">
        <f>RIGHT(H42,LEN(H42)-4)/10000</f>
        <v>1.9800000000000002E-2</v>
      </c>
      <c r="AA42" s="247">
        <f>ABS(Z42-Y42)</f>
        <v>23.275500000000001</v>
      </c>
      <c r="AB42" s="233" t="str">
        <f>VLOOKUP(A42,Enforcements!$C$7:$K$9,8,0)</f>
        <v>Bulletin (2)</v>
      </c>
      <c r="AC42" s="232" t="str">
        <f>VLOOKUP(A42,Enforcements!$C$7:$E$9,3,0)</f>
        <v>GRADE CROSSING</v>
      </c>
      <c r="AD42" s="243">
        <f>VALUE(LEFT(A42,LEN(A42)-3))</f>
        <v>128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/stypes="app*4029*20171204*"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128-04 --locoid 4029 --swversion DE.1.0.9.0 --startMP 204:232953 --initTime 2017-12-04T07:57:06 --startdatetime 2017-12-04T07:59:08 --delay 57 --endMP 204:198 --enddatetime 2017-12-04T08:41:36 --enforcementcount 0 &gt;&gt;%USERPROFILE%\Documents\GitHub\eaglep3-reporting\EC\2017-12-04-refined-times.txt</v>
      </c>
      <c r="AI42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{"issue":{"subject":"","project_id":79,"tracker_id":40,"status_id":1,"priority_id":2,"assigned_to_id":338,"start_date":"2017-12-04","description":"","custom_fields":[{"id":1,"name":"Subdivision","value":"EC"},{"id":4,"name":"Milepost","value":"0.0198"},{"id":17,"name":"Train ID","value":"128-04"},{"id":16,"name":"Locomotive ID","value":"4029"},{"id":130,"name":"Impact","value":""},{"id":150,"name":"Time of Event (Mountain Time)","value":"08:41:36"},{"id":151,"name":"Denver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4029 --day 2017-12-04</v>
      </c>
      <c r="AN42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15:41:36"},{"id":29,"name":"Sharepoint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-04T06:57:06-0700',mode:absolute,to:'2017-12-04T09:41:36-0700'))&amp;_a=(columns:!('Message%20ID',Summary),filters:!(),index:'emp_*',interval:auto,query:(query_string:(analyze_wildcard:!t,query:'%22rtdc.l.rtdc.4029%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727</v>
      </c>
      <c r="B43" s="225">
        <v>4064</v>
      </c>
      <c r="C43" s="227" t="s">
        <v>192</v>
      </c>
      <c r="D43" s="227" t="s">
        <v>531</v>
      </c>
      <c r="E43" s="226">
        <v>43073.298472222225</v>
      </c>
      <c r="F43" s="226">
        <v>43073.303564814814</v>
      </c>
      <c r="G43" s="225">
        <v>81</v>
      </c>
      <c r="H43" s="227" t="s">
        <v>611</v>
      </c>
      <c r="I43" s="226">
        <v>43073.33488425926</v>
      </c>
      <c r="J43" s="225">
        <v>0</v>
      </c>
      <c r="K43" s="237" t="str">
        <f>IF(ISEVEN(B43),(B43-1)&amp;"/"&amp;B43,B43&amp;"/"&amp;(B43+1))</f>
        <v>4063/4064</v>
      </c>
      <c r="L43" s="245" t="str">
        <f>VLOOKUP(A43,'Trips&amp;Operators'!$C$1:$G$99911,5,FALSE)</f>
        <v>ACKERMAN JARED</v>
      </c>
      <c r="M43" s="224">
        <f>I43-F43</f>
        <v>3.1319444446125999E-2</v>
      </c>
      <c r="N43" s="225">
        <f>24*60*SUM($M43:$M43)</f>
        <v>45.100000002421439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-04T06:09:48-0700',mode:absolute,to:'2017-12-04T09:02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4.5499999999999999E-2</v>
      </c>
      <c r="Z43" s="247">
        <f>RIGHT(H43,LEN(H43)-4)/10000</f>
        <v>23.3307</v>
      </c>
      <c r="AA43" s="247">
        <f>ABS(Z43-Y43)</f>
        <v>23.2852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129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/stypes="app*4064*20171204*"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129-04 --locoid 4064 --swversion DE.1.0.9.0 --startMP 204:455 --initTime 2017-12-04T07:09:48 --startdatetime 2017-12-04T07:17:08 --delay 81 --endMP 204:233307 --enddatetime 2017-12-04T08:02:14 --enforcementcount 0 &gt;&gt;%USERPROFILE%\Documents\GitHub\eaglep3-reporting\EC\2017-12-04-refined-times.txt</v>
      </c>
      <c r="AI43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{"issue":{"subject":"","project_id":79,"tracker_id":40,"status_id":1,"priority_id":2,"assigned_to_id":338,"start_date":"2017-12-04","description":"","custom_fields":[{"id":1,"name":"Subdivision","value":"EC"},{"id":4,"name":"Milepost","value":"23.3307"},{"id":17,"name":"Train ID","value":"129-04"},{"id":16,"name":"Locomotive ID","value":"4064"},{"id":130,"name":"Impact","value":""},{"id":150,"name":"Time of Event (Mountain Time)","value":"08:02:14"},{"id":151,"name":"Denver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4064 --day 2017-12-04</v>
      </c>
      <c r="AN43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15:02:14"},{"id":29,"name":"Sharepoint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-04T06:09:48-0700',mode:absolute,to:'2017-12-04T09:02:14-0700'))&amp;_a=(columns:!('Message%20ID',Summary),filters:!(),index:'emp_*',interval:auto,query:(query_string:(analyze_wildcard:!t,query:'%22rtdc.l.rtdc.4064%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737</v>
      </c>
      <c r="B44" s="225">
        <v>4063</v>
      </c>
      <c r="C44" s="227" t="s">
        <v>192</v>
      </c>
      <c r="D44" s="227" t="s">
        <v>598</v>
      </c>
      <c r="E44" s="226">
        <v>43073.339039351849</v>
      </c>
      <c r="F44" s="226">
        <v>43073.341863425929</v>
      </c>
      <c r="G44" s="225">
        <v>64</v>
      </c>
      <c r="H44" s="227" t="s">
        <v>933</v>
      </c>
      <c r="I44" s="226">
        <v>43073.372372685182</v>
      </c>
      <c r="J44" s="225">
        <v>0</v>
      </c>
      <c r="K44" s="237" t="str">
        <f>IF(ISEVEN(B44),(B44-1)&amp;"/"&amp;B44,B44&amp;"/"&amp;(B44+1))</f>
        <v>4063/4064</v>
      </c>
      <c r="L44" s="245" t="str">
        <f>VLOOKUP(A44,'Trips&amp;Operators'!$C$1:$G$99911,5,FALSE)</f>
        <v>ACKERMAN JARED</v>
      </c>
      <c r="M44" s="224">
        <f>I44-F44</f>
        <v>3.0509259253449272E-2</v>
      </c>
      <c r="N44" s="225">
        <f>24*60*SUM($M44:$M44)</f>
        <v>43.933333324966952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-04T07:08:13-0700',mode:absolute,to:'2017-12-04T09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23.298200000000001</v>
      </c>
      <c r="Z44" s="247">
        <f>RIGHT(H44,LEN(H44)-4)/10000</f>
        <v>1.41E-2</v>
      </c>
      <c r="AA44" s="247">
        <f>ABS(Z44-Y44)</f>
        <v>23.284100000000002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130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/stypes="app*4063*20171204*"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130-04 --locoid 4063 --swversion DE.1.0.9.0 --startMP 204:232982 --initTime 2017-12-04T08:08:13 --startdatetime 2017-12-04T08:12:17 --delay 64 --endMP 204:141 --enddatetime 2017-12-04T08:56:13 --enforcementcount 0 &gt;&gt;%USERPROFILE%\Documents\GitHub\eaglep3-reporting\EC\2017-12-04-refined-times.txt</v>
      </c>
      <c r="AI44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{"issue":{"subject":"","project_id":79,"tracker_id":40,"status_id":1,"priority_id":2,"assigned_to_id":338,"start_date":"2017-12-04","description":"","custom_fields":[{"id":1,"name":"Subdivision","value":"EC"},{"id":4,"name":"Milepost","value":"0.0141"},{"id":17,"name":"Train ID","value":"130-04"},{"id":16,"name":"Locomotive ID","value":"4063"},{"id":130,"name":"Impact","value":""},{"id":150,"name":"Time of Event (Mountain Time)","value":"08:56:13"},{"id":151,"name":"Denver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4063 --day 2017-12-04</v>
      </c>
      <c r="AN44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-04T07:08:13-0700',mode:absolute,to:'2017-12-04T09:56:13-0700'))&amp;_a=(columns:!('Message%20ID',Summary),filters:!(),index:'emp_*',interval:auto,query:(query_string:(analyze_wildcard:!t,query:'%22rtdc.l.rtdc.4063%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728</v>
      </c>
      <c r="B45" s="225">
        <v>4022</v>
      </c>
      <c r="C45" s="227" t="s">
        <v>192</v>
      </c>
      <c r="D45" s="227" t="s">
        <v>599</v>
      </c>
      <c r="E45" s="226">
        <v>43073.30667824074</v>
      </c>
      <c r="F45" s="226">
        <v>43073.312824074077</v>
      </c>
      <c r="G45" s="225">
        <v>75</v>
      </c>
      <c r="H45" s="227" t="s">
        <v>552</v>
      </c>
      <c r="I45" s="226">
        <v>43073.340914351851</v>
      </c>
      <c r="J45" s="225">
        <v>0</v>
      </c>
      <c r="K45" s="237" t="str">
        <f>IF(ISEVEN(B45),(B45-1)&amp;"/"&amp;B45,B45&amp;"/"&amp;(B45+1))</f>
        <v>4021/4022</v>
      </c>
      <c r="L45" s="245" t="str">
        <f>VLOOKUP(A45,'Trips&amp;Operators'!$C$1:$G$99911,5,FALSE)</f>
        <v>HAMMOND JUSTYNN</v>
      </c>
      <c r="M45" s="224">
        <f>I45-F45</f>
        <v>2.8090277774026617E-2</v>
      </c>
      <c r="N45" s="225">
        <f>24*60*SUM($M45:$M45)</f>
        <v>40.449999994598329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-04T06:21:37-0700',mode:absolute,to:'2017-12-04T09:10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5.1299999999999998E-2</v>
      </c>
      <c r="Z45" s="247">
        <f>RIGHT(H45,LEN(H45)-4)/10000</f>
        <v>23.327400000000001</v>
      </c>
      <c r="AA45" s="247">
        <f>ABS(Z45-Y45)</f>
        <v>23.2761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131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/stypes="app*4022*20171204*"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131-04 --locoid 4022 --swversion DE.1.0.9.0 --startMP 204:513 --initTime 2017-12-04T07:21:37 --startdatetime 2017-12-04T07:30:28 --delay 75 --endMP 204:233274 --enddatetime 2017-12-04T08:10:55 --enforcementcount 0 &gt;&gt;%USERPROFILE%\Documents\GitHub\eaglep3-reporting\EC\2017-12-04-refined-times.txt</v>
      </c>
      <c r="AI45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{"issue":{"subject":"","project_id":79,"tracker_id":40,"status_id":1,"priority_id":2,"assigned_to_id":338,"start_date":"2017-12-04","description":"","custom_fields":[{"id":1,"name":"Subdivision","value":"EC"},{"id":4,"name":"Milepost","value":"23.3274"},{"id":17,"name":"Train ID","value":"131-04"},{"id":16,"name":"Locomotive ID","value":"4022"},{"id":130,"name":"Impact","value":""},{"id":150,"name":"Time of Event (Mountain Time)","value":"08:10:55"},{"id":151,"name":"Denver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4022 --day 2017-12-04</v>
      </c>
      <c r="AN45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-04T06:21:37-0700',mode:absolute,to:'2017-12-04T09:10:55-0700'))&amp;_a=(columns:!('Message%20ID',Summary),filters:!(),index:'emp_*',interval:auto,query:(query_string:(analyze_wildcard:!t,query:'%22rtdc.l.rtdc.4022%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663</v>
      </c>
      <c r="B46" s="225">
        <v>4021</v>
      </c>
      <c r="C46" s="227" t="s">
        <v>192</v>
      </c>
      <c r="D46" s="227" t="s">
        <v>636</v>
      </c>
      <c r="E46" s="226">
        <v>43073.34579861111</v>
      </c>
      <c r="F46" s="226">
        <v>43073.35224537037</v>
      </c>
      <c r="G46" s="225">
        <v>58</v>
      </c>
      <c r="H46" s="227" t="s">
        <v>450</v>
      </c>
      <c r="I46" s="226">
        <v>43073.380787037036</v>
      </c>
      <c r="J46" s="225">
        <v>0</v>
      </c>
      <c r="K46" s="237" t="str">
        <f>IF(ISEVEN(B46),(B46-1)&amp;"/"&amp;B46,B46&amp;"/"&amp;(B46+1))</f>
        <v>4021/4022</v>
      </c>
      <c r="L46" s="245" t="str">
        <f>VLOOKUP(A46,'Trips&amp;Operators'!$C$1:$G$99911,5,FALSE)</f>
        <v>HAMMOND JUSTYNN</v>
      </c>
      <c r="M46" s="224">
        <f>I46-F46</f>
        <v>2.8541666666569654E-2</v>
      </c>
      <c r="N46" s="225">
        <f>24*60*SUM($M46:$M46)</f>
        <v>41.099999999860302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-04T07:17:57-0700',mode:absolute,to:'2017-12-04T10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23.2972</v>
      </c>
      <c r="Z46" s="247">
        <f>RIGHT(H46,LEN(H46)-4)/10000</f>
        <v>2.2499999999999999E-2</v>
      </c>
      <c r="AA46" s="247">
        <f>ABS(Z46-Y46)</f>
        <v>23.274699999999999</v>
      </c>
      <c r="AB46" s="233" t="str">
        <f>VLOOKUP(A46,Enforcements!$C$7:$K$9,8,0)</f>
        <v>Bulletin (2)</v>
      </c>
      <c r="AC46" s="232" t="str">
        <f>VLOOKUP(A46,Enforcements!$C$7:$E$9,3,0)</f>
        <v>GRADE CROSSING</v>
      </c>
      <c r="AD46" s="243">
        <f>VALUE(LEFT(A46,LEN(A46)-3))</f>
        <v>132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/stypes="app*4021*20171204*"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132-04 --locoid 4021 --swversion DE.1.0.9.0 --startMP 204:232972 --initTime 2017-12-04T08:17:57 --startdatetime 2017-12-04T08:27:14 --delay 58 --endMP 204:225 --enddatetime 2017-12-04T09:08:20 --enforcementcount 0 &gt;&gt;%USERPROFILE%\Documents\GitHub\eaglep3-reporting\EC\2017-12-04-refined-times.txt</v>
      </c>
      <c r="AI46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{"issue":{"subject":"","project_id":79,"tracker_id":40,"status_id":1,"priority_id":2,"assigned_to_id":338,"start_date":"2017-12-04","description":"","custom_fields":[{"id":1,"name":"Subdivision","value":"EC"},{"id":4,"name":"Milepost","value":"0.0225"},{"id":17,"name":"Train ID","value":"132-04"},{"id":16,"name":"Locomotive ID","value":"4021"},{"id":130,"name":"Impact","value":""},{"id":150,"name":"Time of Event (Mountain Time)","value":"09:08:20"},{"id":151,"name":"Denver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4021 --day 2017-12-04</v>
      </c>
      <c r="AN46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-04T07:17:57-0700',mode:absolute,to:'2017-12-04T10:08:20-0700'))&amp;_a=(columns:!('Message%20ID',Summary),filters:!(),index:'emp_*',interval:auto,query:(query_string:(analyze_wildcard:!t,query:'%22rtdc.l.rtdc.4021%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733</v>
      </c>
      <c r="B47" s="225">
        <v>4008</v>
      </c>
      <c r="C47" s="227" t="s">
        <v>192</v>
      </c>
      <c r="D47" s="227" t="s">
        <v>464</v>
      </c>
      <c r="E47" s="226">
        <v>43073.319965277777</v>
      </c>
      <c r="F47" s="226">
        <v>43073.323078703703</v>
      </c>
      <c r="G47" s="225">
        <v>62</v>
      </c>
      <c r="H47" s="227" t="s">
        <v>617</v>
      </c>
      <c r="I47" s="226">
        <v>43073.350057870368</v>
      </c>
      <c r="J47" s="225">
        <v>0</v>
      </c>
      <c r="K47" s="237" t="str">
        <f>IF(ISEVEN(B47),(B47-1)&amp;"/"&amp;B47,B47&amp;"/"&amp;(B47+1))</f>
        <v>4007/4008</v>
      </c>
      <c r="L47" s="245" t="str">
        <f>VLOOKUP(A47,'Trips&amp;Operators'!$C$1:$G$99911,5,FALSE)</f>
        <v>LAMAR NEKESHA</v>
      </c>
      <c r="M47" s="224">
        <f>I47-F47</f>
        <v>2.6979166665114462E-2</v>
      </c>
      <c r="N47" s="225">
        <f>24*60*SUM($M47:$M47)</f>
        <v>38.849999997764826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-04T06:40:45-0700',mode:absolute,to:'2017-12-04T09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4.7300000000000002E-2</v>
      </c>
      <c r="Z47" s="247">
        <f>RIGHT(H47,LEN(H47)-4)/10000</f>
        <v>23.327200000000001</v>
      </c>
      <c r="AA47" s="247">
        <f>ABS(Z47-Y47)</f>
        <v>23.279900000000001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133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/stypes="app*4008*20171204*"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133-04 --locoid 4008 --swversion DE.1.0.9.0 --startMP 204:473 --initTime 2017-12-04T07:40:45 --startdatetime 2017-12-04T07:45:14 --delay 62 --endMP 204:233272 --enddatetime 2017-12-04T08:24:05 --enforcementcount 0 &gt;&gt;%USERPROFILE%\Documents\GitHub\eaglep3-reporting\EC\2017-12-04-refined-times.txt</v>
      </c>
      <c r="AI47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{"issue":{"subject":"","project_id":79,"tracker_id":40,"status_id":1,"priority_id":2,"assigned_to_id":338,"start_date":"2017-12-04","description":"","custom_fields":[{"id":1,"name":"Subdivision","value":"EC"},{"id":4,"name":"Milepost","value":"23.3272"},{"id":17,"name":"Train ID","value":"133-04"},{"id":16,"name":"Locomotive ID","value":"4008"},{"id":130,"name":"Impact","value":""},{"id":150,"name":"Time of Event (Mountain Time)","value":"08:24:05"},{"id":151,"name":"Denver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4008 --day 2017-12-04</v>
      </c>
      <c r="AN47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-04T06:40:45-0700',mode:absolute,to:'2017-12-04T09:24:05-0700'))&amp;_a=(columns:!('Message%20ID',Summary),filters:!(),index:'emp_*',interval:auto,query:(query_string:(analyze_wildcard:!t,query:'%22rtdc.l.rtdc.4008%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741</v>
      </c>
      <c r="B48" s="225">
        <v>4007</v>
      </c>
      <c r="C48" s="227" t="s">
        <v>192</v>
      </c>
      <c r="D48" s="227" t="s">
        <v>507</v>
      </c>
      <c r="E48" s="226">
        <v>43073.358715277776</v>
      </c>
      <c r="F48" s="226">
        <v>43073.362696759257</v>
      </c>
      <c r="G48" s="225">
        <v>90</v>
      </c>
      <c r="H48" s="227" t="s">
        <v>510</v>
      </c>
      <c r="I48" s="226">
        <v>43073.391157407408</v>
      </c>
      <c r="J48" s="225">
        <v>0</v>
      </c>
      <c r="K48" s="237" t="str">
        <f>IF(ISEVEN(B48),(B48-1)&amp;"/"&amp;B48,B48&amp;"/"&amp;(B48+1))</f>
        <v>4007/4008</v>
      </c>
      <c r="L48" s="245" t="str">
        <f>VLOOKUP(A48,'Trips&amp;Operators'!$C$1:$G$99911,5,FALSE)</f>
        <v>LAMAR NEKESHA</v>
      </c>
      <c r="M48" s="224">
        <f>I48-F48</f>
        <v>2.846064815093996E-2</v>
      </c>
      <c r="N48" s="225">
        <f>24*60*SUM($M48:$M48)</f>
        <v>40.983333337353542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-04T07:36:33-0700',mode:absolute,to:'2017-12-04T10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23.293600000000001</v>
      </c>
      <c r="Z48" s="247">
        <f>RIGHT(H48,LEN(H48)-4)/10000</f>
        <v>1.9099999999999999E-2</v>
      </c>
      <c r="AA48" s="247">
        <f>ABS(Z48-Y48)</f>
        <v>23.2745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134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/stypes="app*4007*20171204*"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134-04 --locoid 4007 --swversion DE.1.0.9.0 --startMP 204:232936 --initTime 2017-12-04T08:36:33 --startdatetime 2017-12-04T08:42:17 --delay 90 --endMP 204:191 --enddatetime 2017-12-04T09:23:16 --enforcementcount 0 &gt;&gt;%USERPROFILE%\Documents\GitHub\eaglep3-reporting\EC\2017-12-04-refined-times.txt</v>
      </c>
      <c r="AI48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{"issue":{"subject":"","project_id":79,"tracker_id":40,"status_id":1,"priority_id":2,"assigned_to_id":338,"start_date":"2017-12-04","description":"","custom_fields":[{"id":1,"name":"Subdivision","value":"EC"},{"id":4,"name":"Milepost","value":"0.0191"},{"id":17,"name":"Train ID","value":"134-04"},{"id":16,"name":"Locomotive ID","value":"4007"},{"id":130,"name":"Impact","value":""},{"id":150,"name":"Time of Event (Mountain Time)","value":"09:23:16"},{"id":151,"name":"Denver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4007 --day 2017-12-04</v>
      </c>
      <c r="AN48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-04T07:36:33-0700',mode:absolute,to:'2017-12-04T10:23:16-0700'))&amp;_a=(columns:!('Message%20ID',Summary),filters:!(),index:'emp_*',interval:auto,query:(query_string:(analyze_wildcard:!t,query:'%22rtdc.l.rtdc.4007%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734</v>
      </c>
      <c r="B49" s="225">
        <v>4010</v>
      </c>
      <c r="C49" s="227" t="s">
        <v>192</v>
      </c>
      <c r="D49" s="227" t="s">
        <v>651</v>
      </c>
      <c r="E49" s="226">
        <v>43073.324571759258</v>
      </c>
      <c r="F49" s="226">
        <v>43073.333483796298</v>
      </c>
      <c r="G49" s="225">
        <v>54</v>
      </c>
      <c r="H49" s="227" t="s">
        <v>602</v>
      </c>
      <c r="I49" s="226">
        <v>43073.359189814815</v>
      </c>
      <c r="J49" s="225">
        <v>0</v>
      </c>
      <c r="K49" s="237" t="str">
        <f>IF(ISEVEN(B49),(B49-1)&amp;"/"&amp;B49,B49&amp;"/"&amp;(B49+1))</f>
        <v>4009/4010</v>
      </c>
      <c r="L49" s="245" t="str">
        <f>VLOOKUP(A49,'Trips&amp;Operators'!$C$1:$G$99911,5,FALSE)</f>
        <v>YORK EDGAR</v>
      </c>
      <c r="M49" s="224">
        <f>I49-F49</f>
        <v>2.5706018517666962E-2</v>
      </c>
      <c r="N49" s="225">
        <f>24*60*SUM($M49:$M49)</f>
        <v>37.016666665440425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-04T06:47:23-0700',mode:absolute,to:'2017-12-04T09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4.7100000000000003E-2</v>
      </c>
      <c r="Z49" s="247">
        <f>RIGHT(H49,LEN(H49)-4)/10000</f>
        <v>23.330400000000001</v>
      </c>
      <c r="AA49" s="247">
        <f>ABS(Z49-Y49)</f>
        <v>23.283300000000001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135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/stypes="app*4010*20171204*"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135-04 --locoid 4010 --swversion DE.1.0.9.0 --startMP 204:471 --initTime 2017-12-04T07:47:23 --startdatetime 2017-12-04T08:00:13 --delay 54 --endMP 204:233304 --enddatetime 2017-12-04T08:37:14 --enforcementcount 0 &gt;&gt;%USERPROFILE%\Documents\GitHub\eaglep3-reporting\EC\2017-12-04-refined-times.txt</v>
      </c>
      <c r="AI49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{"issue":{"subject":"","project_id":79,"tracker_id":40,"status_id":1,"priority_id":2,"assigned_to_id":338,"start_date":"2017-12-04","description":"","custom_fields":[{"id":1,"name":"Subdivision","value":"EC"},{"id":4,"name":"Milepost","value":"23.3304"},{"id":17,"name":"Train ID","value":"135-04"},{"id":16,"name":"Locomotive ID","value":"4010"},{"id":130,"name":"Impact","value":""},{"id":150,"name":"Time of Event (Mountain Time)","value":"08:37:14"},{"id":151,"name":"Denver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4010 --day 2017-12-04</v>
      </c>
      <c r="AN49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-04T06:47:23-0700',mode:absolute,to:'2017-12-04T09:37:14-0700'))&amp;_a=(columns:!('Message%20ID',Summary),filters:!(),index:'emp_*',interval:auto,query:(query_string:(analyze_wildcard:!t,query:'%22rtdc.l.rtdc.4010%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742</v>
      </c>
      <c r="B50" s="225">
        <v>4009</v>
      </c>
      <c r="C50" s="227" t="s">
        <v>192</v>
      </c>
      <c r="D50" s="227" t="s">
        <v>918</v>
      </c>
      <c r="E50" s="226">
        <v>43073.360034722224</v>
      </c>
      <c r="F50" s="226">
        <v>43073.373402777775</v>
      </c>
      <c r="G50" s="225">
        <v>50</v>
      </c>
      <c r="H50" s="227" t="s">
        <v>467</v>
      </c>
      <c r="I50" s="226">
        <v>43073.399872685186</v>
      </c>
      <c r="J50" s="225">
        <v>0</v>
      </c>
      <c r="K50" s="237" t="str">
        <f>IF(ISEVEN(B50),(B50-1)&amp;"/"&amp;B50,B50&amp;"/"&amp;(B50+1))</f>
        <v>4009/4010</v>
      </c>
      <c r="L50" s="245" t="str">
        <f>VLOOKUP(A50,'Trips&amp;Operators'!$C$1:$G$99911,5,FALSE)</f>
        <v>YORK EDGAR</v>
      </c>
      <c r="M50" s="224">
        <f>I50-F50</f>
        <v>2.6469907410501037E-2</v>
      </c>
      <c r="N50" s="225">
        <f>24*60*SUM($M50:$M50)</f>
        <v>38.116666671121493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-04T07:38:27-0700',mode:absolute,to:'2017-12-04T10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23.2974</v>
      </c>
      <c r="Z50" s="247">
        <f>RIGHT(H50,LEN(H50)-4)/10000</f>
        <v>0.02</v>
      </c>
      <c r="AA50" s="247">
        <f>ABS(Z50-Y50)</f>
        <v>23.2774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136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/stypes="app*4009*20171204*"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136-04 --locoid 4009 --swversion DE.1.0.9.0 --startMP 204:232974 --initTime 2017-12-04T08:38:27 --startdatetime 2017-12-04T08:57:42 --delay 50 --endMP 204:200 --enddatetime 2017-12-04T09:35:49 --enforcementcount 0 &gt;&gt;%USERPROFILE%\Documents\GitHub\eaglep3-reporting\EC\2017-12-04-refined-times.txt</v>
      </c>
      <c r="AI50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{"issue":{"subject":"","project_id":79,"tracker_id":40,"status_id":1,"priority_id":2,"assigned_to_id":338,"start_date":"2017-12-04","description":"","custom_fields":[{"id":1,"name":"Subdivision","value":"EC"},{"id":4,"name":"Milepost","value":"0.02"},{"id":17,"name":"Train ID","value":"136-04"},{"id":16,"name":"Locomotive ID","value":"4009"},{"id":130,"name":"Impact","value":""},{"id":150,"name":"Time of Event (Mountain Time)","value":"09:35:49"},{"id":151,"name":"Denver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4009 --day 2017-12-04</v>
      </c>
      <c r="AN50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-04T07:38:27-0700',mode:absolute,to:'2017-12-04T10:35:49-0700'))&amp;_a=(columns:!('Message%20ID',Summary),filters:!(),index:'emp_*',interval:auto,query:(query_string:(analyze_wildcard:!t,query:'%22rtdc.l.rtdc.4009%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736</v>
      </c>
      <c r="B51" s="225">
        <v>4042</v>
      </c>
      <c r="C51" s="227" t="s">
        <v>192</v>
      </c>
      <c r="D51" s="227" t="s">
        <v>934</v>
      </c>
      <c r="E51" s="226">
        <v>43073.331284722219</v>
      </c>
      <c r="F51" s="226">
        <v>43073.343912037039</v>
      </c>
      <c r="G51" s="225">
        <v>80</v>
      </c>
      <c r="H51" s="227" t="s">
        <v>589</v>
      </c>
      <c r="I51" s="226">
        <v>43073.369756944441</v>
      </c>
      <c r="J51" s="225">
        <v>0</v>
      </c>
      <c r="K51" s="237" t="str">
        <f>IF(ISEVEN(B51),(B51-1)&amp;"/"&amp;B51,B51&amp;"/"&amp;(B51+1))</f>
        <v>4041/4042</v>
      </c>
      <c r="L51" s="245" t="str">
        <f>VLOOKUP(A51,'Trips&amp;Operators'!$C$1:$G$99911,5,FALSE)</f>
        <v>DELGADO DIANAH</v>
      </c>
      <c r="M51" s="224">
        <f>I51-F51</f>
        <v>2.5844907402643003E-2</v>
      </c>
      <c r="N51" s="225">
        <f>24*60*SUM($M51:$M51)</f>
        <v>37.216666659805924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-04T06:57:03-0700',mode:absolute,to:'2017-12-04T09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4.5999999999999999E-2</v>
      </c>
      <c r="Z51" s="247">
        <f>RIGHT(H51,LEN(H51)-4)/10000</f>
        <v>23.3291</v>
      </c>
      <c r="AA51" s="247">
        <f>ABS(Z51-Y51)</f>
        <v>23.283100000000001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137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/stypes="app*4042*20171204*" /stext=" 15:.+((SYSTEM_STATE.+slice.+state.+changed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137-04 --locoid 4042 --swversion DE.1.0.9.0 --startMP 204:460 --initTime 2017-12-04T07:57:03 --startdatetime 2017-12-04T08:15:14 --delay 80 --endMP 204:233291 --enddatetime 2017-12-04T08:52:27 --enforcementcount 0 &gt;&gt;%USERPROFILE%\Documents\GitHub\eaglep3-reporting\EC\2017-12-04-refined-times.txt</v>
      </c>
      <c r="AI51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{"issue":{"subject":"","project_id":79,"tracker_id":40,"status_id":1,"priority_id":2,"assigned_to_id":338,"start_date":"2017-12-04","description":"","custom_fields":[{"id":1,"name":"Subdivision","value":"EC"},{"id":4,"name":"Milepost","value":"23.3291"},{"id":17,"name":"Train ID","value":"137-04"},{"id":16,"name":"Locomotive ID","value":"4042"},{"id":130,"name":"Impact","value":""},{"id":150,"name":"Time of Event (Mountain Time)","value":"08:52:27"},{"id":151,"name":"Denver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4042 --day 2017-12-04</v>
      </c>
      <c r="AN51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-04T06:57:03-0700',mode:absolute,to:'2017-12-04T09:52:27-0700'))&amp;_a=(columns:!('Message%20ID',Summary),filters:!(),index:'emp_*',interval:auto,query:(query_string:(analyze_wildcard:!t,query:'%22rtdc.l.rtdc.4042%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744</v>
      </c>
      <c r="B52" s="225">
        <v>4041</v>
      </c>
      <c r="C52" s="227" t="s">
        <v>192</v>
      </c>
      <c r="D52" s="227" t="s">
        <v>607</v>
      </c>
      <c r="E52" s="226">
        <v>43073.375393518516</v>
      </c>
      <c r="F52" s="226">
        <v>43073.383576388886</v>
      </c>
      <c r="G52" s="225">
        <v>134</v>
      </c>
      <c r="H52" s="227" t="s">
        <v>935</v>
      </c>
      <c r="I52" s="226">
        <v>43073.410601851851</v>
      </c>
      <c r="J52" s="225">
        <v>0</v>
      </c>
      <c r="K52" s="237" t="str">
        <f>IF(ISEVEN(B52),(B52-1)&amp;"/"&amp;B52,B52&amp;"/"&amp;(B52+1))</f>
        <v>4041/4042</v>
      </c>
      <c r="L52" s="245" t="str">
        <f>VLOOKUP(A52,'Trips&amp;Operators'!$C$1:$G$99911,5,FALSE)</f>
        <v>DELGADO DIANAH</v>
      </c>
      <c r="M52" s="224">
        <f>I52-F52</f>
        <v>2.7025462964957114E-2</v>
      </c>
      <c r="N52" s="225">
        <f>24*60*SUM($M52:$M52)</f>
        <v>38.916666669538245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-04T08:00:34-0700',mode:absolute,to:'2017-12-04T10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23.296900000000001</v>
      </c>
      <c r="Z52" s="247">
        <f>RIGHT(H52,LEN(H52)-4)/10000</f>
        <v>2.29E-2</v>
      </c>
      <c r="AA52" s="247">
        <f>ABS(Z52-Y52)</f>
        <v>23.274000000000001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138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/stypes="app*4041*20171204*"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138-04 --locoid 4041 --swversion DE.1.0.9.0 --startMP 204:232969 --initTime 2017-12-04T09:00:34 --startdatetime 2017-12-04T09:12:21 --delay 134 --endMP 204:229 --enddatetime 2017-12-04T09:51:16 --enforcementcount 0 &gt;&gt;%USERPROFILE%\Documents\GitHub\eaglep3-reporting\EC\2017-12-04-refined-times.txt</v>
      </c>
      <c r="AI52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{"issue":{"subject":"","project_id":79,"tracker_id":40,"status_id":1,"priority_id":2,"assigned_to_id":338,"start_date":"2017-12-04","description":"","custom_fields":[{"id":1,"name":"Subdivision","value":"EC"},{"id":4,"name":"Milepost","value":"0.0229"},{"id":17,"name":"Train ID","value":"138-04"},{"id":16,"name":"Locomotive ID","value":"4041"},{"id":130,"name":"Impact","value":""},{"id":150,"name":"Time of Event (Mountain Time)","value":"09:51:16"},{"id":151,"name":"Denver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4041 --day 2017-12-04</v>
      </c>
      <c r="AN52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2017-12-04T08:00:34-0700',mode:absolute,to:'2017-12-04T10:51:16-0700'))&amp;_a=(columns:!('Message%20ID',Summary),filters:!(),index:'emp_*',interval:auto,query:(query_string:(analyze_wildcard:!t,query:'%22rtdc.l.rtdc.4041%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738</v>
      </c>
      <c r="B53" s="225">
        <v>4058</v>
      </c>
      <c r="C53" s="227" t="s">
        <v>192</v>
      </c>
      <c r="D53" s="227" t="s">
        <v>651</v>
      </c>
      <c r="E53" s="226">
        <v>43073.349016203705</v>
      </c>
      <c r="F53" s="226">
        <v>43073.354409722226</v>
      </c>
      <c r="G53" s="225">
        <v>48</v>
      </c>
      <c r="H53" s="227" t="s">
        <v>602</v>
      </c>
      <c r="I53" s="226">
        <v>43073.381076388891</v>
      </c>
      <c r="J53" s="225">
        <v>0</v>
      </c>
      <c r="K53" s="237" t="str">
        <f>IF(ISEVEN(B53),(B53-1)&amp;"/"&amp;B53,B53&amp;"/"&amp;(B53+1))</f>
        <v>4057/4058</v>
      </c>
      <c r="L53" s="245" t="str">
        <f>VLOOKUP(A53,'Trips&amp;Operators'!$C$1:$G$99911,5,FALSE)</f>
        <v>MAELZER KURT</v>
      </c>
      <c r="M53" s="224">
        <f>I53-F53</f>
        <v>2.6666666664823424E-2</v>
      </c>
      <c r="N53" s="225">
        <f>24*60*SUM($M53:$M53)</f>
        <v>38.399999997345731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-04T07:22:35-0700',mode:absolute,to:'2017-12-04T10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247" t="str">
        <f>IF(AA53&lt;VLOOKUP(AG53,Variables!$AC$3:$AD$8,2,FALSE),"Y","N")</f>
        <v>N</v>
      </c>
      <c r="X53" s="247">
        <f t="shared" ref="X53:X54" si="10">VALUE(LEFT(AD53,4))-VALUE(LEFT(AD52,4))</f>
        <v>1</v>
      </c>
      <c r="Y53" s="247">
        <f>RIGHT(D53,LEN(D53)-4)/10000</f>
        <v>4.7100000000000003E-2</v>
      </c>
      <c r="Z53" s="247">
        <f>RIGHT(H53,LEN(H53)-4)/10000</f>
        <v>23.330400000000001</v>
      </c>
      <c r="AA53" s="247">
        <f>ABS(Z53-Y53)</f>
        <v>23.283300000000001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139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/stypes="app*4058*20171204*"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139-04 --locoid 4058 --swversion DE.1.0.9.0 --startMP 204:471 --initTime 2017-12-04T08:22:35 --startdatetime 2017-12-04T08:30:21 --delay 48 --endMP 204:233304 --enddatetime 2017-12-04T09:08:45 --enforcementcount 0 &gt;&gt;%USERPROFILE%\Documents\GitHub\eaglep3-reporting\EC\2017-12-04-refined-times.txt</v>
      </c>
      <c r="AI53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{"issue":{"subject":"","project_id":79,"tracker_id":40,"status_id":1,"priority_id":2,"assigned_to_id":338,"start_date":"2017-12-04","description":"","custom_fields":[{"id":1,"name":"Subdivision","value":"EC"},{"id":4,"name":"Milepost","value":"23.3304"},{"id":17,"name":"Train ID","value":"139-04"},{"id":16,"name":"Locomotive ID","value":"4058"},{"id":130,"name":"Impact","value":""},{"id":150,"name":"Time of Event (Mountain Time)","value":"09:08:45"},{"id":151,"name":"Denver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4058 --day 2017-12-04</v>
      </c>
      <c r="AN53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-04T07:22:35-0700',mode:absolute,to:'2017-12-04T10:08:45-0700'))&amp;_a=(columns:!('Message%20ID',Summary),filters:!(),index:'emp_*',interval:auto,query:(query_string:(analyze_wildcard:!t,query:'%22rtdc.l.rtdc.4058%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748</v>
      </c>
      <c r="B54" s="225">
        <v>4057</v>
      </c>
      <c r="C54" s="227" t="s">
        <v>192</v>
      </c>
      <c r="D54" s="227" t="s">
        <v>631</v>
      </c>
      <c r="E54" s="226">
        <v>43073.385949074072</v>
      </c>
      <c r="F54" s="226">
        <v>43073.394016203703</v>
      </c>
      <c r="G54" s="225">
        <v>48</v>
      </c>
      <c r="H54" s="227" t="s">
        <v>936</v>
      </c>
      <c r="I54" s="226">
        <v>43073.425868055558</v>
      </c>
      <c r="J54" s="225">
        <v>0</v>
      </c>
      <c r="K54" s="237" t="str">
        <f>IF(ISEVEN(B54),(B54-1)&amp;"/"&amp;B54,B54&amp;"/"&amp;(B54+1))</f>
        <v>4057/4058</v>
      </c>
      <c r="L54" s="245" t="str">
        <f>VLOOKUP(A54,'Trips&amp;Operators'!$C$1:$G$99911,5,FALSE)</f>
        <v>MAELZER KURT</v>
      </c>
      <c r="M54" s="224">
        <f>I54-F54</f>
        <v>3.1851851854298729E-2</v>
      </c>
      <c r="N54" s="225">
        <f>24*60*SUM($M54:$M54)</f>
        <v>45.86666667019017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-04T08:15:46-0700',mode:absolute,to:'2017-12-04T11:13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247" t="str">
        <f>IF(AA54&lt;VLOOKUP(AG54,Variables!$AC$3:$AD$8,2,FALSE),"Y","N")</f>
        <v>N</v>
      </c>
      <c r="X54" s="247">
        <f t="shared" si="10"/>
        <v>1</v>
      </c>
      <c r="Y54" s="247">
        <f>RIGHT(D54,LEN(D54)-4)/10000</f>
        <v>23.298500000000001</v>
      </c>
      <c r="Z54" s="247">
        <f>RIGHT(H54,LEN(H54)-4)/10000</f>
        <v>1.7999999999999999E-2</v>
      </c>
      <c r="AA54" s="247">
        <f>ABS(Z54-Y54)</f>
        <v>23.2805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140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/stypes="app*4057*20171204*"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140-04 --locoid 4057 --swversion DE.1.0.9.0 --startMP 204:232985 --initTime 2017-12-04T09:15:46 --startdatetime 2017-12-04T09:27:23 --delay 48 --endMP 204:180 --enddatetime 2017-12-04T10:13:15 --enforcementcount 0 &gt;&gt;%USERPROFILE%\Documents\GitHub\eaglep3-reporting\EC\2017-12-04-refined-times.txt</v>
      </c>
      <c r="AI54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{"issue":{"subject":"","project_id":79,"tracker_id":40,"status_id":1,"priority_id":2,"assigned_to_id":338,"start_date":"2017-12-04","description":"","custom_fields":[{"id":1,"name":"Subdivision","value":"EC"},{"id":4,"name":"Milepost","value":"0.018"},{"id":17,"name":"Train ID","value":"140-04"},{"id":16,"name":"Locomotive ID","value":"4057"},{"id":130,"name":"Impact","value":""},{"id":150,"name":"Time of Event (Mountain Time)","value":"10:13:15"},{"id":151,"name":"Denver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4057 --day 2017-12-04</v>
      </c>
      <c r="AN54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17:13:15"},{"id":29,"name":"Sharepoint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-04T08:15:46-0700',mode:absolute,to:'2017-12-04T11:13:15-0700'))&amp;_a=(columns:!('Message%20ID',Summary),filters:!(),index:'emp_*',interval:auto,query:(query_string:(analyze_wildcard:!t,query:'%22rtdc.l.rtdc.4057%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743</v>
      </c>
      <c r="B55" s="225">
        <v>4030</v>
      </c>
      <c r="C55" s="227" t="s">
        <v>192</v>
      </c>
      <c r="D55" s="227" t="s">
        <v>634</v>
      </c>
      <c r="E55" s="226">
        <v>43073.36310185185</v>
      </c>
      <c r="F55" s="226">
        <v>43073.365023148152</v>
      </c>
      <c r="G55" s="225">
        <v>84</v>
      </c>
      <c r="H55" s="227" t="s">
        <v>549</v>
      </c>
      <c r="I55" s="226">
        <v>43073.391180555554</v>
      </c>
      <c r="J55" s="225">
        <v>0</v>
      </c>
      <c r="K55" s="237" t="str">
        <f>IF(ISEVEN(B55),(B55-1)&amp;"/"&amp;B55,B55&amp;"/"&amp;(B55+1))</f>
        <v>4029/4030</v>
      </c>
      <c r="L55" s="245" t="str">
        <f>VLOOKUP(A55,'Trips&amp;Operators'!$C$1:$G$99911,5,FALSE)</f>
        <v>DAVIDSON DAVID</v>
      </c>
      <c r="M55" s="224">
        <f>I55-F55</f>
        <v>2.6157407402934041E-2</v>
      </c>
      <c r="N55" s="225">
        <f>24*60*SUM($M55:$M55)</f>
        <v>37.666666660225019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-04T07:42:52-0700',mode:absolute,to:'2017-12-04T10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4.9799999999999997E-2</v>
      </c>
      <c r="Z55" s="247">
        <f>RIGHT(H55,LEN(H55)-4)/10000</f>
        <v>23.3245</v>
      </c>
      <c r="AA55" s="247">
        <f>ABS(Z55-Y55)</f>
        <v>23.274699999999999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141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/stypes="app*4030*20171204*"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141-04 --locoid 4030 --swversion DE.1.0.9.0 --startMP 204:498 --initTime 2017-12-04T08:42:52 --startdatetime 2017-12-04T08:45:38 --delay 84 --endMP 204:233245 --enddatetime 2017-12-04T09:23:18 --enforcementcount 0 &gt;&gt;%USERPROFILE%\Documents\GitHub\eaglep3-reporting\EC\2017-12-04-refined-times.txt</v>
      </c>
      <c r="AI55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{"issue":{"subject":"","project_id":79,"tracker_id":40,"status_id":1,"priority_id":2,"assigned_to_id":338,"start_date":"2017-12-04","description":"","custom_fields":[{"id":1,"name":"Subdivision","value":"EC"},{"id":4,"name":"Milepost","value":"23.3245"},{"id":17,"name":"Train ID","value":"141-04"},{"id":16,"name":"Locomotive ID","value":"4030"},{"id":130,"name":"Impact","value":""},{"id":150,"name":"Time of Event (Mountain Time)","value":"09:23:18"},{"id":151,"name":"Denver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4030 --day 2017-12-04</v>
      </c>
      <c r="AN55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-04T07:42:52-0700',mode:absolute,to:'2017-12-04T10:23:18-0700'))&amp;_a=(columns:!('Message%20ID',Summary),filters:!(),index:'emp_*',interval:auto,query:(query_string:(analyze_wildcard:!t,query:'%22rtdc.l.rtdc.4030%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751</v>
      </c>
      <c r="B56" s="225">
        <v>4029</v>
      </c>
      <c r="C56" s="227" t="s">
        <v>192</v>
      </c>
      <c r="D56" s="227" t="s">
        <v>937</v>
      </c>
      <c r="E56" s="226">
        <v>43073.392638888887</v>
      </c>
      <c r="F56" s="226">
        <v>43073.404363425929</v>
      </c>
      <c r="G56" s="225">
        <v>72</v>
      </c>
      <c r="H56" s="227" t="s">
        <v>650</v>
      </c>
      <c r="I56" s="226">
        <v>43073.436215277776</v>
      </c>
      <c r="J56" s="225">
        <v>0</v>
      </c>
      <c r="K56" s="237" t="str">
        <f>IF(ISEVEN(B56),(B56-1)&amp;"/"&amp;B56,B56&amp;"/"&amp;(B56+1))</f>
        <v>4029/4030</v>
      </c>
      <c r="L56" s="245" t="str">
        <f>VLOOKUP(A56,'Trips&amp;Operators'!$C$1:$G$99911,5,FALSE)</f>
        <v>DAVIDSON DAVID</v>
      </c>
      <c r="M56" s="224">
        <f>I56-F56</f>
        <v>3.1851851847022772E-2</v>
      </c>
      <c r="N56" s="225">
        <f>24*60*SUM($M56:$M56)</f>
        <v>45.866666659712791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-04T08:25:24-0700',mode:absolute,to:'2017-12-04T11:28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23.293399999999998</v>
      </c>
      <c r="Z56" s="247">
        <f>RIGHT(H56,LEN(H56)-4)/10000</f>
        <v>2.3400000000000001E-2</v>
      </c>
      <c r="AA56" s="247">
        <f>ABS(Z56-Y56)</f>
        <v>23.27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142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/stypes="app*4029*20171204*"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142-04 --locoid 4029 --swversion DE.1.0.9.0 --startMP 204:232934 --initTime 2017-12-04T09:25:24 --startdatetime 2017-12-04T09:42:17 --delay 72 --endMP 204:234 --enddatetime 2017-12-04T10:28:09 --enforcementcount 0 &gt;&gt;%USERPROFILE%\Documents\GitHub\eaglep3-reporting\EC\2017-12-04-refined-times.txt</v>
      </c>
      <c r="AI56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{"issue":{"subject":"","project_id":79,"tracker_id":40,"status_id":1,"priority_id":2,"assigned_to_id":338,"start_date":"2017-12-04","description":"","custom_fields":[{"id":1,"name":"Subdivision","value":"EC"},{"id":4,"name":"Milepost","value":"0.0234"},{"id":17,"name":"Train ID","value":"142-04"},{"id":16,"name":"Locomotive ID","value":"4029"},{"id":130,"name":"Impact","value":""},{"id":150,"name":"Time of Event (Mountain Time)","value":"10:28:09"},{"id":151,"name":"Denver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4029 --day 2017-12-04</v>
      </c>
      <c r="AN56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17:28:09"},{"id":29,"name":"Sharepoint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-04T08:25:24-0700',mode:absolute,to:'2017-12-04T11:28:09-0700'))&amp;_a=(columns:!('Message%20ID',Summary),filters:!(),index:'emp_*',interval:auto,query:(query_string:(analyze_wildcard:!t,query:'%22rtdc.l.rtdc.4029%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746</v>
      </c>
      <c r="B57" s="225">
        <v>4064</v>
      </c>
      <c r="C57" s="227" t="s">
        <v>192</v>
      </c>
      <c r="D57" s="227" t="s">
        <v>595</v>
      </c>
      <c r="E57" s="226">
        <v>43073.374826388892</v>
      </c>
      <c r="F57" s="226">
        <v>43073.376574074071</v>
      </c>
      <c r="G57" s="225">
        <v>72</v>
      </c>
      <c r="H57" s="227" t="s">
        <v>938</v>
      </c>
      <c r="I57" s="226">
        <v>43073.40252314815</v>
      </c>
      <c r="J57" s="225">
        <v>0</v>
      </c>
      <c r="K57" s="237" t="str">
        <f>IF(ISEVEN(B57),(B57-1)&amp;"/"&amp;B57,B57&amp;"/"&amp;(B57+1))</f>
        <v>4063/4064</v>
      </c>
      <c r="L57" s="245" t="str">
        <f>VLOOKUP(A57,'Trips&amp;Operators'!$C$1:$G$99911,5,FALSE)</f>
        <v>LANGERAK WILLIAM</v>
      </c>
      <c r="M57" s="224">
        <f>I57-F57</f>
        <v>2.5949074079107959E-2</v>
      </c>
      <c r="N57" s="225">
        <f>24*60*SUM($M57:$M57)</f>
        <v>37.366666673915461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-04T07:59:45-0700',mode:absolute,to:'2017-12-04T10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4.3099999999999999E-2</v>
      </c>
      <c r="Z57" s="247">
        <f>RIGHT(H57,LEN(H57)-4)/10000</f>
        <v>23.3247</v>
      </c>
      <c r="AA57" s="247">
        <f>ABS(Z57-Y57)</f>
        <v>23.281600000000001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143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/stypes="app*4064*20171204*"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143-04 --locoid 4064 --swversion DE.1.0.9.0 --startMP 204:431 --initTime 2017-12-04T08:59:45 --startdatetime 2017-12-04T09:02:16 --delay 72 --endMP 204:233247 --enddatetime 2017-12-04T09:39:38 --enforcementcount 0 &gt;&gt;%USERPROFILE%\Documents\GitHub\eaglep3-reporting\EC\2017-12-04-refined-times.txt</v>
      </c>
      <c r="AI57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{"issue":{"subject":"","project_id":79,"tracker_id":40,"status_id":1,"priority_id":2,"assigned_to_id":338,"start_date":"2017-12-04","description":"","custom_fields":[{"id":1,"name":"Subdivision","value":"EC"},{"id":4,"name":"Milepost","value":"23.3247"},{"id":17,"name":"Train ID","value":"143-04"},{"id":16,"name":"Locomotive ID","value":"4064"},{"id":130,"name":"Impact","value":""},{"id":150,"name":"Time of Event (Mountain Time)","value":"09:39:38"},{"id":151,"name":"Denver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4064 --day 2017-12-04</v>
      </c>
      <c r="AN57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-04T07:59:45-0700',mode:absolute,to:'2017-12-04T10:39:38-0700'))&amp;_a=(columns:!('Message%20ID',Summary),filters:!(),index:'emp_*',interval:auto,query:(query_string:(analyze_wildcard:!t,query:'%22rtdc.l.rtdc.4064%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752</v>
      </c>
      <c r="B58" s="225">
        <v>4063</v>
      </c>
      <c r="C58" s="227" t="s">
        <v>192</v>
      </c>
      <c r="D58" s="227" t="s">
        <v>554</v>
      </c>
      <c r="E58" s="226">
        <v>43073.404386574075</v>
      </c>
      <c r="F58" s="226">
        <v>43073.41479166667</v>
      </c>
      <c r="G58" s="225">
        <v>68</v>
      </c>
      <c r="H58" s="227" t="s">
        <v>450</v>
      </c>
      <c r="I58" s="226">
        <v>43073.446840277778</v>
      </c>
      <c r="J58" s="225">
        <v>0</v>
      </c>
      <c r="K58" s="237" t="str">
        <f>IF(ISEVEN(B58),(B58-1)&amp;"/"&amp;B58,B58&amp;"/"&amp;(B58+1))</f>
        <v>4063/4064</v>
      </c>
      <c r="L58" s="245" t="str">
        <f>VLOOKUP(A58,'Trips&amp;Operators'!$C$1:$G$99911,5,FALSE)</f>
        <v>LANGERAK WILLIAM</v>
      </c>
      <c r="M58" s="224">
        <f>I58-F58</f>
        <v>3.2048611108621117E-2</v>
      </c>
      <c r="N58" s="225">
        <f>24*60*SUM($M58:$M58)</f>
        <v>46.149999996414408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-04T08:42:19-0700',mode:absolute,to:'2017-12-04T11:43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23.292300000000001</v>
      </c>
      <c r="Z58" s="247">
        <f>RIGHT(H58,LEN(H58)-4)/10000</f>
        <v>2.2499999999999999E-2</v>
      </c>
      <c r="AA58" s="247">
        <f>ABS(Z58-Y58)</f>
        <v>23.2698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144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/stypes="app*4063*20171204*"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144-04 --locoid 4063 --swversion DE.1.0.9.0 --startMP 204:232923 --initTime 2017-12-04T09:42:19 --startdatetime 2017-12-04T09:57:18 --delay 68 --endMP 204:225 --enddatetime 2017-12-04T10:43:27 --enforcementcount 0 &gt;&gt;%USERPROFILE%\Documents\GitHub\eaglep3-reporting\EC\2017-12-04-refined-times.txt</v>
      </c>
      <c r="AI58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{"issue":{"subject":"","project_id":79,"tracker_id":40,"status_id":1,"priority_id":2,"assigned_to_id":338,"start_date":"2017-12-04","description":"","custom_fields":[{"id":1,"name":"Subdivision","value":"EC"},{"id":4,"name":"Milepost","value":"0.0225"},{"id":17,"name":"Train ID","value":"144-04"},{"id":16,"name":"Locomotive ID","value":"4063"},{"id":130,"name":"Impact","value":""},{"id":150,"name":"Time of Event (Mountain Time)","value":"10:43:27"},{"id":151,"name":"Denver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4063 --day 2017-12-04</v>
      </c>
      <c r="AN58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17:43:27"},{"id":29,"name":"Sharepoint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-04T08:42:19-0700',mode:absolute,to:'2017-12-04T11:43:27-0700'))&amp;_a=(columns:!('Message%20ID',Summary),filters:!(),index:'emp_*',interval:auto,query:(query_string:(analyze_wildcard:!t,query:'%22rtdc.l.rtdc.4063%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747</v>
      </c>
      <c r="B59" s="225">
        <v>4022</v>
      </c>
      <c r="C59" s="227" t="s">
        <v>192</v>
      </c>
      <c r="D59" s="227" t="s">
        <v>939</v>
      </c>
      <c r="E59" s="226">
        <v>43073.383101851854</v>
      </c>
      <c r="F59" s="226">
        <v>43073.425370370373</v>
      </c>
      <c r="G59" s="225">
        <v>61</v>
      </c>
      <c r="H59" s="227" t="s">
        <v>910</v>
      </c>
      <c r="I59" s="226">
        <v>43073.454629629632</v>
      </c>
      <c r="J59" s="225">
        <v>0</v>
      </c>
      <c r="K59" s="237" t="str">
        <f>IF(ISEVEN(B59),(B59-1)&amp;"/"&amp;B59,B59&amp;"/"&amp;(B59+1))</f>
        <v>4021/4022</v>
      </c>
      <c r="L59" s="245" t="str">
        <f>VLOOKUP(A59,'Trips&amp;Operators'!$C$1:$G$99911,5,FALSE)</f>
        <v>HAMMOND JUSTYNN</v>
      </c>
      <c r="M59" s="224">
        <f>I59-F59</f>
        <v>2.9259259259561077E-2</v>
      </c>
      <c r="N59" s="225">
        <f>24*60*SUM($M59:$M59)</f>
        <v>42.133333333767951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-04T08:11:40-0700',mode:absolute,to:'2017-12-04T11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5.3699999999999998E-2</v>
      </c>
      <c r="Z59" s="247">
        <f>RIGHT(H59,LEN(H59)-4)/10000</f>
        <v>23.3278</v>
      </c>
      <c r="AA59" s="247">
        <f>ABS(Z59-Y59)</f>
        <v>23.274100000000001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145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/stypes="app*4022*20171204*"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145-04 --locoid 4022 --swversion DE.1.0.9.0 --startMP 204:537 --initTime 2017-12-04T09:11:40 --startdatetime 2017-12-04T10:12:32 --delay 61 --endMP 204:233278 --enddatetime 2017-12-04T10:54:40 --enforcementcount 0 &gt;&gt;%USERPROFILE%\Documents\GitHub\eaglep3-reporting\EC\2017-12-04-refined-times.txt</v>
      </c>
      <c r="AI59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{"issue":{"subject":"","project_id":79,"tracker_id":40,"status_id":1,"priority_id":2,"assigned_to_id":338,"start_date":"2017-12-04","description":"","custom_fields":[{"id":1,"name":"Subdivision","value":"EC"},{"id":4,"name":"Milepost","value":"23.3278"},{"id":17,"name":"Train ID","value":"145-04"},{"id":16,"name":"Locomotive ID","value":"4022"},{"id":130,"name":"Impact","value":""},{"id":150,"name":"Time of Event (Mountain Time)","value":"10:54:40"},{"id":151,"name":"Denver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4022 --day 2017-12-04</v>
      </c>
      <c r="AN59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-04T08:11:40-0700',mode:absolute,to:'2017-12-04T11:54:40-0700'))&amp;_a=(columns:!('Message%20ID',Summary),filters:!(),index:'emp_*',interval:auto,query:(query_string:(analyze_wildcard:!t,query:'%22rtdc.l.rtdc.4022%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756</v>
      </c>
      <c r="B60" s="225">
        <v>4021</v>
      </c>
      <c r="C60" s="227" t="s">
        <v>192</v>
      </c>
      <c r="D60" s="227" t="s">
        <v>639</v>
      </c>
      <c r="E60" s="226">
        <v>43073.417673611111</v>
      </c>
      <c r="F60" s="226">
        <v>43073.425370370373</v>
      </c>
      <c r="G60" s="225">
        <v>66</v>
      </c>
      <c r="H60" s="227" t="s">
        <v>540</v>
      </c>
      <c r="I60" s="226">
        <v>43073.454629629632</v>
      </c>
      <c r="J60" s="225">
        <v>0</v>
      </c>
      <c r="K60" s="237" t="str">
        <f>IF(ISEVEN(B60),(B60-1)&amp;"/"&amp;B60,B60&amp;"/"&amp;(B60+1))</f>
        <v>4021/4022</v>
      </c>
      <c r="L60" s="245" t="str">
        <f>VLOOKUP(A60,'Trips&amp;Operators'!$C$1:$G$99911,5,FALSE)</f>
        <v>HAMMOND JUSTYNN</v>
      </c>
      <c r="M60" s="224">
        <f>I60-F60</f>
        <v>2.9259259259561077E-2</v>
      </c>
      <c r="N60" s="225">
        <f>24*60*SUM($M60:$M60)</f>
        <v>42.133333333767951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-04T09:01:27-0700',mode:absolute,to:'2017-12-04T11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23.294799999999999</v>
      </c>
      <c r="Z60" s="247">
        <f>RIGHT(H60,LEN(H60)-4)/10000</f>
        <v>2.01E-2</v>
      </c>
      <c r="AA60" s="247">
        <f>ABS(Z60-Y60)</f>
        <v>23.274699999999999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146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/stypes="app*4021*20171204*"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146-04 --locoid 4021 --swversion DE.1.0.9.0 --startMP 204:232948 --initTime 2017-12-04T10:01:27 --startdatetime 2017-12-04T10:12:32 --delay 66 --endMP 204:201 --enddatetime 2017-12-04T10:54:40 --enforcementcount 0 &gt;&gt;%USERPROFILE%\Documents\GitHub\eaglep3-reporting\EC\2017-12-04-refined-times.txt</v>
      </c>
      <c r="AI60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{"issue":{"subject":"","project_id":79,"tracker_id":40,"status_id":1,"priority_id":2,"assigned_to_id":338,"start_date":"2017-12-04","description":"","custom_fields":[{"id":1,"name":"Subdivision","value":"EC"},{"id":4,"name":"Milepost","value":"0.0201"},{"id":17,"name":"Train ID","value":"146-04"},{"id":16,"name":"Locomotive ID","value":"4021"},{"id":130,"name":"Impact","value":""},{"id":150,"name":"Time of Event (Mountain Time)","value":"10:54:40"},{"id":151,"name":"Denver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4021 --day 2017-12-04</v>
      </c>
      <c r="AN60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-04T09:01:27-0700',mode:absolute,to:'2017-12-04T11:54:40-0700'))&amp;_a=(columns:!('Message%20ID',Summary),filters:!(),index:'emp_*',interval:auto,query:(query_string:(analyze_wildcard:!t,query:'%22rtdc.l.rtdc.4021%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750</v>
      </c>
      <c r="B61" s="225">
        <v>4008</v>
      </c>
      <c r="C61" s="227" t="s">
        <v>192</v>
      </c>
      <c r="D61" s="227" t="s">
        <v>546</v>
      </c>
      <c r="E61" s="226">
        <v>43073.392465277779</v>
      </c>
      <c r="F61" s="226">
        <v>43073.395995370367</v>
      </c>
      <c r="G61" s="225">
        <v>79</v>
      </c>
      <c r="H61" s="227" t="s">
        <v>940</v>
      </c>
      <c r="I61" s="226">
        <v>43073.420578703706</v>
      </c>
      <c r="J61" s="225">
        <v>0</v>
      </c>
      <c r="K61" s="237" t="str">
        <f>IF(ISEVEN(B61),(B61-1)&amp;"/"&amp;B61,B61&amp;"/"&amp;(B61+1))</f>
        <v>4007/4008</v>
      </c>
      <c r="L61" s="245" t="str">
        <f>VLOOKUP(A61,'Trips&amp;Operators'!$C$1:$G$99911,5,FALSE)</f>
        <v>LAMAR NEKESHA</v>
      </c>
      <c r="M61" s="224">
        <f>I61-F61</f>
        <v>2.4583333339251112E-2</v>
      </c>
      <c r="N61" s="225">
        <f>24*60*SUM($M61:$M61)</f>
        <v>35.400000008521602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-04T08:25:09-0700',mode:absolute,to:'2017-12-04T11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5.0900000000000001E-2</v>
      </c>
      <c r="Z61" s="247">
        <f>RIGHT(H61,LEN(H61)-4)/10000</f>
        <v>23.327999999999999</v>
      </c>
      <c r="AA61" s="247">
        <f>ABS(Z61-Y61)</f>
        <v>23.277100000000001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147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/stypes="app*4008*20171204*"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147-04 --locoid 4008 --swversion DE.1.0.9.0 --startMP 204:509 --initTime 2017-12-04T09:25:09 --startdatetime 2017-12-04T09:30:14 --delay 79 --endMP 204:233280 --enddatetime 2017-12-04T10:05:38 --enforcementcount 0 &gt;&gt;%USERPROFILE%\Documents\GitHub\eaglep3-reporting\EC\2017-12-04-refined-times.txt</v>
      </c>
      <c r="AI61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{"issue":{"subject":"","project_id":79,"tracker_id":40,"status_id":1,"priority_id":2,"assigned_to_id":338,"start_date":"2017-12-04","description":"","custom_fields":[{"id":1,"name":"Subdivision","value":"EC"},{"id":4,"name":"Milepost","value":"23.328"},{"id":17,"name":"Train ID","value":"147-04"},{"id":16,"name":"Locomotive ID","value":"4008"},{"id":130,"name":"Impact","value":""},{"id":150,"name":"Time of Event (Mountain Time)","value":"10:05:38"},{"id":151,"name":"Denver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4008 --day 2017-12-04</v>
      </c>
      <c r="AN61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-04T08:25:09-0700',mode:absolute,to:'2017-12-04T11:05:38-0700'))&amp;_a=(columns:!('Message%20ID',Summary),filters:!(),index:'emp_*',interval:auto,query:(query_string:(analyze_wildcard:!t,query:'%22rtdc.l.rtdc.4008%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759</v>
      </c>
      <c r="B62" s="225">
        <v>4007</v>
      </c>
      <c r="C62" s="227" t="s">
        <v>192</v>
      </c>
      <c r="D62" s="227" t="s">
        <v>555</v>
      </c>
      <c r="E62" s="226">
        <v>43073.433831018519</v>
      </c>
      <c r="F62" s="226">
        <v>43073.43577546296</v>
      </c>
      <c r="G62" s="225">
        <v>72</v>
      </c>
      <c r="H62" s="227" t="s">
        <v>588</v>
      </c>
      <c r="I62" s="226">
        <v>43073.465428240743</v>
      </c>
      <c r="J62" s="225">
        <v>0</v>
      </c>
      <c r="K62" s="237" t="str">
        <f>IF(ISEVEN(B62),(B62-1)&amp;"/"&amp;B62,B62&amp;"/"&amp;(B62+1))</f>
        <v>4007/4008</v>
      </c>
      <c r="L62" s="245" t="str">
        <f>VLOOKUP(A62,'Trips&amp;Operators'!$C$1:$G$99911,5,FALSE)</f>
        <v>LAMAR NEKESHA</v>
      </c>
      <c r="M62" s="224">
        <f>I62-F62</f>
        <v>2.9652777782757767E-2</v>
      </c>
      <c r="N62" s="225">
        <f>24*60*SUM($M62:$M62)</f>
        <v>42.700000007171184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-04T09:24:43-0700',mode:absolute,to:'2017-12-04T12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23.296800000000001</v>
      </c>
      <c r="Z62" s="247">
        <f>RIGHT(H62,LEN(H62)-4)/10000</f>
        <v>1.89E-2</v>
      </c>
      <c r="AA62" s="247">
        <f>ABS(Z62-Y62)</f>
        <v>23.277900000000002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148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/stypes="app*4007*20171204*"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148-04 --locoid 4007 --swversion DE.1.0.9.0 --startMP 204:232968 --initTime 2017-12-04T10:24:43 --startdatetime 2017-12-04T10:27:31 --delay 72 --endMP 204:189 --enddatetime 2017-12-04T11:10:13 --enforcementcount 0 &gt;&gt;%USERPROFILE%\Documents\GitHub\eaglep3-reporting\EC\2017-12-04-refined-times.txt</v>
      </c>
      <c r="AI62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{"issue":{"subject":"","project_id":79,"tracker_id":40,"status_id":1,"priority_id":2,"assigned_to_id":338,"start_date":"2017-12-04","description":"","custom_fields":[{"id":1,"name":"Subdivision","value":"EC"},{"id":4,"name":"Milepost","value":"0.0189"},{"id":17,"name":"Train ID","value":"148-04"},{"id":16,"name":"Locomotive ID","value":"4007"},{"id":130,"name":"Impact","value":""},{"id":150,"name":"Time of Event (Mountain Time)","value":"11:10:13"},{"id":151,"name":"Denver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4007 --day 2017-12-04</v>
      </c>
      <c r="AN62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-04T09:24:43-0700',mode:absolute,to:'2017-12-04T12:10:13-0700'))&amp;_a=(columns:!('Message%20ID',Summary),filters:!(),index:'emp_*',interval:auto,query:(query_string:(analyze_wildcard:!t,query:'%22rtdc.l.rtdc.4007%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753</v>
      </c>
      <c r="B63" s="225">
        <v>4010</v>
      </c>
      <c r="C63" s="227" t="s">
        <v>192</v>
      </c>
      <c r="D63" s="227" t="s">
        <v>511</v>
      </c>
      <c r="E63" s="226">
        <v>43073.40116898148</v>
      </c>
      <c r="F63" s="226">
        <v>43073.406944444447</v>
      </c>
      <c r="G63" s="225">
        <v>353</v>
      </c>
      <c r="H63" s="227" t="s">
        <v>589</v>
      </c>
      <c r="I63" s="226">
        <v>43073.439212962963</v>
      </c>
      <c r="J63" s="225">
        <v>0</v>
      </c>
      <c r="K63" s="237" t="str">
        <f>IF(ISEVEN(B63),(B63-1)&amp;"/"&amp;B63,B63&amp;"/"&amp;(B63+1))</f>
        <v>4009/4010</v>
      </c>
      <c r="L63" s="245" t="str">
        <f>VLOOKUP(A63,'Trips&amp;Operators'!$C$1:$G$99911,5,FALSE)</f>
        <v>YORK EDGAR</v>
      </c>
      <c r="M63" s="224">
        <f>I63-F63</f>
        <v>3.2268518516502809E-2</v>
      </c>
      <c r="N63" s="225">
        <f>24*60*SUM($M63:$M63)</f>
        <v>46.466666663764045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-04T08:37:41-0700',mode:absolute,to:'2017-12-04T11:32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4.8599999999999997E-2</v>
      </c>
      <c r="Z63" s="247">
        <f>RIGHT(H63,LEN(H63)-4)/10000</f>
        <v>23.3291</v>
      </c>
      <c r="AA63" s="247">
        <f>ABS(Z63-Y63)</f>
        <v>23.2805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149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/stypes="app*4010*20171204*"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149-04 --locoid 4010 --swversion DE.1.0.9.0 --startMP 204:486 --initTime 2017-12-04T09:37:41 --startdatetime 2017-12-04T09:46:00 --delay 353 --endMP 204:233291 --enddatetime 2017-12-04T10:32:28 --enforcementcount 0 &gt;&gt;%USERPROFILE%\Documents\GitHub\eaglep3-reporting\EC\2017-12-04-refined-times.txt</v>
      </c>
      <c r="AI63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{"issue":{"subject":"","project_id":79,"tracker_id":40,"status_id":1,"priority_id":2,"assigned_to_id":338,"start_date":"2017-12-04","description":"","custom_fields":[{"id":1,"name":"Subdivision","value":"EC"},{"id":4,"name":"Milepost","value":"23.3291"},{"id":17,"name":"Train ID","value":"149-04"},{"id":16,"name":"Locomotive ID","value":"4010"},{"id":130,"name":"Impact","value":""},{"id":150,"name":"Time of Event (Mountain Time)","value":"10:32:28"},{"id":151,"name":"Denver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4010 --day 2017-12-04</v>
      </c>
      <c r="AN63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17:32:28"},{"id":29,"name":"Sharepoint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-04T08:37:41-0700',mode:absolute,to:'2017-12-04T11:32:28-0700'))&amp;_a=(columns:!('Message%20ID',Summary),filters:!(),index:'emp_*',interval:auto,query:(query_string:(analyze_wildcard:!t,query:'%22rtdc.l.rtdc.4010%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664</v>
      </c>
      <c r="B64" s="225">
        <v>4009</v>
      </c>
      <c r="C64" s="227" t="s">
        <v>192</v>
      </c>
      <c r="D64" s="227" t="s">
        <v>530</v>
      </c>
      <c r="E64" s="226">
        <v>43073.441516203704</v>
      </c>
      <c r="F64" s="226">
        <v>43073.446215277778</v>
      </c>
      <c r="G64" s="225">
        <v>48</v>
      </c>
      <c r="H64" s="227" t="s">
        <v>588</v>
      </c>
      <c r="I64" s="226">
        <v>43073.473078703704</v>
      </c>
      <c r="J64" s="225">
        <v>0</v>
      </c>
      <c r="K64" s="237" t="str">
        <f>IF(ISEVEN(B64),(B64-1)&amp;"/"&amp;B64,B64&amp;"/"&amp;(B64+1))</f>
        <v>4009/4010</v>
      </c>
      <c r="L64" s="245" t="str">
        <f>VLOOKUP(A64,'Trips&amp;Operators'!$C$1:$G$99911,5,FALSE)</f>
        <v>YORK EDGAR</v>
      </c>
      <c r="M64" s="224">
        <f>I64-F64</f>
        <v>2.6863425926421769E-2</v>
      </c>
      <c r="N64" s="225">
        <f>24*60*SUM($M64:$M64)</f>
        <v>38.683333334047347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-04T09:35:47-0700',mode:absolute,to:'2017-12-04T12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23.2971</v>
      </c>
      <c r="Z64" s="247">
        <f>RIGHT(H64,LEN(H64)-4)/10000</f>
        <v>1.89E-2</v>
      </c>
      <c r="AA64" s="247">
        <f>ABS(Z64-Y64)</f>
        <v>23.278200000000002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150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/stypes="app*4009*20171204*"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150-04 --locoid 4009 --swversion DE.1.0.9.0 --startMP 204:232971 --initTime 2017-12-04T10:35:47 --startdatetime 2017-12-04T10:42:33 --delay 48 --endMP 204:189 --enddatetime 2017-12-04T11:21:14 --enforcementcount 0 &gt;&gt;%USERPROFILE%\Documents\GitHub\eaglep3-reporting\EC\2017-12-04-refined-times.txt</v>
      </c>
      <c r="AI64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{"issue":{"subject":"","project_id":79,"tracker_id":40,"status_id":1,"priority_id":2,"assigned_to_id":338,"start_date":"2017-12-04","description":"","custom_fields":[{"id":1,"name":"Subdivision","value":"EC"},{"id":4,"name":"Milepost","value":"0.0189"},{"id":17,"name":"Train ID","value":"150-04"},{"id":16,"name":"Locomotive ID","value":"4009"},{"id":130,"name":"Impact","value":""},{"id":150,"name":"Time of Event (Mountain Time)","value":"11:21:14"},{"id":151,"name":"Denver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4009 --day 2017-12-04</v>
      </c>
      <c r="AN64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-04T09:35:47-0700',mode:absolute,to:'2017-12-04T12:21:14-0700'))&amp;_a=(columns:!('Message%20ID',Summary),filters:!(),index:'emp_*',interval:auto,query:(query_string:(analyze_wildcard:!t,query:'%22rtdc.l.rtdc.4009%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754</v>
      </c>
      <c r="B65" s="225">
        <v>4042</v>
      </c>
      <c r="C65" s="227" t="s">
        <v>192</v>
      </c>
      <c r="D65" s="227" t="s">
        <v>647</v>
      </c>
      <c r="E65" s="226">
        <v>43073.412546296298</v>
      </c>
      <c r="F65" s="226">
        <v>43073.456655092596</v>
      </c>
      <c r="G65" s="225">
        <v>74</v>
      </c>
      <c r="H65" s="227" t="s">
        <v>541</v>
      </c>
      <c r="I65" s="226">
        <v>43073.485497685186</v>
      </c>
      <c r="J65" s="225">
        <v>0</v>
      </c>
      <c r="K65" s="237" t="str">
        <f>IF(ISEVEN(B65),(B65-1)&amp;"/"&amp;B65,B65&amp;"/"&amp;(B65+1))</f>
        <v>4041/4042</v>
      </c>
      <c r="L65" s="245" t="str">
        <f>VLOOKUP(A65,'Trips&amp;Operators'!$C$1:$G$99911,5,FALSE)</f>
        <v>DELGADO DIANAH</v>
      </c>
      <c r="M65" s="224">
        <f>I65-F65</f>
        <v>2.884259259008104E-2</v>
      </c>
      <c r="N65" s="225">
        <f>24*60*SUM($M65:$M65)</f>
        <v>41.533333329716697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-04T08:54:04-0700',mode:absolute,to:'2017-12-04T12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5.28E-2</v>
      </c>
      <c r="Z65" s="247">
        <f>RIGHT(H65,LEN(H65)-4)/10000</f>
        <v>23.331499999999998</v>
      </c>
      <c r="AA65" s="247">
        <f>ABS(Z65-Y65)</f>
        <v>23.278699999999997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151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/stypes="app*4042*20171204*"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151-04 --locoid 4042 --swversion DE.1.0.9.0 --startMP 204:528 --initTime 2017-12-04T09:54:04 --startdatetime 2017-12-04T10:57:35 --delay 74 --endMP 204:233315 --enddatetime 2017-12-04T11:39:07 --enforcementcount 0 &gt;&gt;%USERPROFILE%\Documents\GitHub\eaglep3-reporting\EC\2017-12-04-refined-times.txt</v>
      </c>
      <c r="AI65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{"issue":{"subject":"","project_id":79,"tracker_id":40,"status_id":1,"priority_id":2,"assigned_to_id":338,"start_date":"2017-12-04","description":"","custom_fields":[{"id":1,"name":"Subdivision","value":"EC"},{"id":4,"name":"Milepost","value":"23.3315"},{"id":17,"name":"Train ID","value":"151-04"},{"id":16,"name":"Locomotive ID","value":"4042"},{"id":130,"name":"Impact","value":""},{"id":150,"name":"Time of Event (Mountain Time)","value":"11:39:07"},{"id":151,"name":"Denver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4042 --day 2017-12-04</v>
      </c>
      <c r="AN65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-04T08:54:04-0700',mode:absolute,to:'2017-12-04T12:39:07-0700'))&amp;_a=(columns:!('Message%20ID',Summary),filters:!(),index:'emp_*',interval:auto,query:(query_string:(analyze_wildcard:!t,query:'%22rtdc.l.rtdc.4042%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761</v>
      </c>
      <c r="B66" s="225">
        <v>4041</v>
      </c>
      <c r="C66" s="227" t="s">
        <v>192</v>
      </c>
      <c r="D66" s="227" t="s">
        <v>941</v>
      </c>
      <c r="E66" s="226">
        <v>43073.445763888885</v>
      </c>
      <c r="F66" s="226">
        <v>43073.456655092596</v>
      </c>
      <c r="G66" s="225">
        <v>161</v>
      </c>
      <c r="H66" s="227" t="s">
        <v>612</v>
      </c>
      <c r="I66" s="226">
        <v>43073.485497685186</v>
      </c>
      <c r="J66" s="225">
        <v>0</v>
      </c>
      <c r="K66" s="237" t="str">
        <f>IF(ISEVEN(B66),(B66-1)&amp;"/"&amp;B66,B66&amp;"/"&amp;(B66+1))</f>
        <v>4041/4042</v>
      </c>
      <c r="L66" s="245" t="str">
        <f>VLOOKUP(A66,'Trips&amp;Operators'!$C$1:$G$99911,5,FALSE)</f>
        <v>DELGADO DIANAH</v>
      </c>
      <c r="M66" s="224">
        <f>I66-F66</f>
        <v>2.884259259008104E-2</v>
      </c>
      <c r="N66" s="225">
        <f>24*60*SUM($M66:$M66)</f>
        <v>41.533333329716697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-04T09:41:54-0700',mode:absolute,to:'2017-12-04T12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23.299800000000001</v>
      </c>
      <c r="Z66" s="247">
        <f>RIGHT(H66,LEN(H66)-4)/10000</f>
        <v>1.4999999999999999E-2</v>
      </c>
      <c r="AA66" s="247">
        <f>ABS(Z66-Y66)</f>
        <v>23.284800000000001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152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/stypes="app*4041*20171204*"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152-04 --locoid 4041 --swversion DE.1.0.9.0 --startMP 204:232998 --initTime 2017-12-04T10:41:54 --startdatetime 2017-12-04T10:57:35 --delay 161 --endMP 204:150 --enddatetime 2017-12-04T11:39:07 --enforcementcount 0 &gt;&gt;%USERPROFILE%\Documents\GitHub\eaglep3-reporting\EC\2017-12-04-refined-times.txt</v>
      </c>
      <c r="AI66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{"issue":{"subject":"","project_id":79,"tracker_id":40,"status_id":1,"priority_id":2,"assigned_to_id":338,"start_date":"2017-12-04","description":"","custom_fields":[{"id":1,"name":"Subdivision","value":"EC"},{"id":4,"name":"Milepost","value":"0.015"},{"id":17,"name":"Train ID","value":"152-04"},{"id":16,"name":"Locomotive ID","value":"4041"},{"id":130,"name":"Impact","value":""},{"id":150,"name":"Time of Event (Mountain Time)","value":"11:39:07"},{"id":151,"name":"Denver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4041 --day 2017-12-04</v>
      </c>
      <c r="AN66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-04T09:41:54-0700',mode:absolute,to:'2017-12-04T12:39:07-0700'))&amp;_a=(columns:!('Message%20ID',Summary),filters:!(),index:'emp_*',interval:auto,query:(query_string:(analyze_wildcard:!t,query:'%22rtdc.l.rtdc.4041%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757</v>
      </c>
      <c r="B67" s="225">
        <v>4058</v>
      </c>
      <c r="C67" s="227" t="s">
        <v>192</v>
      </c>
      <c r="D67" s="227" t="s">
        <v>561</v>
      </c>
      <c r="E67" s="226">
        <v>43073.427569444444</v>
      </c>
      <c r="F67" s="226">
        <v>43073.430381944447</v>
      </c>
      <c r="G67" s="225">
        <v>82</v>
      </c>
      <c r="H67" s="227" t="s">
        <v>423</v>
      </c>
      <c r="I67" s="226">
        <v>43073.460706018515</v>
      </c>
      <c r="J67" s="225">
        <v>0</v>
      </c>
      <c r="K67" s="237" t="str">
        <f>IF(ISEVEN(B67),(B67-1)&amp;"/"&amp;B67,B67&amp;"/"&amp;(B67+1))</f>
        <v>4057/4058</v>
      </c>
      <c r="L67" s="245" t="str">
        <f>VLOOKUP(A67,'Trips&amp;Operators'!$C$1:$G$99911,5,FALSE)</f>
        <v>MACDONALD THOMAS</v>
      </c>
      <c r="M67" s="224">
        <f>I67-F67</f>
        <v>3.032407406863058E-2</v>
      </c>
      <c r="N67" s="225">
        <f>24*60*SUM($M67:$M67)</f>
        <v>43.666666658828035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-04T09:15:42-0700',mode:absolute,to:'2017-12-04T12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4.8899999999999999E-2</v>
      </c>
      <c r="Z67" s="247">
        <f>RIGHT(H67,LEN(H67)-4)/10000</f>
        <v>23.3293</v>
      </c>
      <c r="AA67" s="247">
        <f>ABS(Z67-Y67)</f>
        <v>23.2804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153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/stypes="app*4058*20171204*"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153-04 --locoid 4058 --swversion DE.1.0.9.0 --startMP 204:489 --initTime 2017-12-04T10:15:42 --startdatetime 2017-12-04T10:19:45 --delay 82 --endMP 204:233293 --enddatetime 2017-12-04T11:03:25 --enforcementcount 0 &gt;&gt;%USERPROFILE%\Documents\GitHub\eaglep3-reporting\EC\2017-12-04-refined-times.txt</v>
      </c>
      <c r="AI67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{"issue":{"subject":"","project_id":79,"tracker_id":40,"status_id":1,"priority_id":2,"assigned_to_id":338,"start_date":"2017-12-04","description":"","custom_fields":[{"id":1,"name":"Subdivision","value":"EC"},{"id":4,"name":"Milepost","value":"23.3293"},{"id":17,"name":"Train ID","value":"153-04"},{"id":16,"name":"Locomotive ID","value":"4058"},{"id":130,"name":"Impact","value":""},{"id":150,"name":"Time of Event (Mountain Time)","value":"11:03:25"},{"id":151,"name":"Denver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4058 --day 2017-12-04</v>
      </c>
      <c r="AN67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-04T09:15:42-0700',mode:absolute,to:'2017-12-04T12:03:25-0700'))&amp;_a=(columns:!('Message%20ID',Summary),filters:!(),index:'emp_*',interval:auto,query:(query_string:(analyze_wildcard:!t,query:'%22rtdc.l.rtdc.4058%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767</v>
      </c>
      <c r="B68" s="225">
        <v>4057</v>
      </c>
      <c r="C68" s="227" t="s">
        <v>192</v>
      </c>
      <c r="D68" s="227" t="s">
        <v>532</v>
      </c>
      <c r="E68" s="226">
        <v>43073.466122685182</v>
      </c>
      <c r="F68" s="226">
        <v>43073.46733796296</v>
      </c>
      <c r="G68" s="225">
        <v>62</v>
      </c>
      <c r="H68" s="227" t="s">
        <v>559</v>
      </c>
      <c r="I68" s="226">
        <v>43073.497893518521</v>
      </c>
      <c r="J68" s="225">
        <v>0</v>
      </c>
      <c r="K68" s="237" t="str">
        <f>IF(ISEVEN(B68),(B68-1)&amp;"/"&amp;B68,B68&amp;"/"&amp;(B68+1))</f>
        <v>4057/4058</v>
      </c>
      <c r="L68" s="245" t="str">
        <f>VLOOKUP(A68,'Trips&amp;Operators'!$C$1:$G$99911,5,FALSE)</f>
        <v>MACDONALD THOMAS</v>
      </c>
      <c r="M68" s="224">
        <f>I68-F68</f>
        <v>3.0555555560567882E-2</v>
      </c>
      <c r="N68" s="225">
        <f>24*60*SUM($M68:$M68)</f>
        <v>44.00000000721775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-04T10:11:13-0700',mode:absolute,to:'2017-12-04T12:56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23.296500000000002</v>
      </c>
      <c r="Z68" s="247">
        <f>RIGHT(H68,LEN(H68)-4)/10000</f>
        <v>1.9199999999999998E-2</v>
      </c>
      <c r="AA68" s="247">
        <f>ABS(Z68-Y68)</f>
        <v>23.2773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154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/stypes="app*4057*20171204*"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154-04 --locoid 4057 --swversion DE.1.0.9.0 --startMP 204:232965 --initTime 2017-12-04T11:11:13 --startdatetime 2017-12-04T11:12:58 --delay 62 --endMP 204:192 --enddatetime 2017-12-04T11:56:58 --enforcementcount 0 &gt;&gt;%USERPROFILE%\Documents\GitHub\eaglep3-reporting\EC\2017-12-04-refined-times.txt</v>
      </c>
      <c r="AI68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{"issue":{"subject":"","project_id":79,"tracker_id":40,"status_id":1,"priority_id":2,"assigned_to_id":338,"start_date":"2017-12-04","description":"","custom_fields":[{"id":1,"name":"Subdivision","value":"EC"},{"id":4,"name":"Milepost","value":"0.0192"},{"id":17,"name":"Train ID","value":"154-04"},{"id":16,"name":"Locomotive ID","value":"4057"},{"id":130,"name":"Impact","value":""},{"id":150,"name":"Time of Event (Mountain Time)","value":"11:56:58"},{"id":151,"name":"Denver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4057 --day 2017-12-04</v>
      </c>
      <c r="AN68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-04T10:11:13-0700',mode:absolute,to:'2017-12-04T12:56:58-0700'))&amp;_a=(columns:!('Message%20ID',Summary),filters:!(),index:'emp_*',interval:auto,query:(query_string:(analyze_wildcard:!t,query:'%22rtdc.l.rtdc.4057%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760</v>
      </c>
      <c r="B69" s="225">
        <v>4030</v>
      </c>
      <c r="C69" s="227" t="s">
        <v>192</v>
      </c>
      <c r="D69" s="227" t="s">
        <v>469</v>
      </c>
      <c r="E69" s="226">
        <v>43073.437280092592</v>
      </c>
      <c r="F69" s="226">
        <v>43073.439074074071</v>
      </c>
      <c r="G69" s="225">
        <v>49</v>
      </c>
      <c r="H69" s="227" t="s">
        <v>539</v>
      </c>
      <c r="I69" s="226">
        <v>43073.466874999998</v>
      </c>
      <c r="J69" s="225">
        <v>0</v>
      </c>
      <c r="K69" s="237" t="str">
        <f>IF(ISEVEN(B69),(B69-1)&amp;"/"&amp;B69,B69&amp;"/"&amp;(B69+1))</f>
        <v>4029/4030</v>
      </c>
      <c r="L69" s="245" t="str">
        <f>VLOOKUP(A69,'Trips&amp;Operators'!$C$1:$G$99911,5,FALSE)</f>
        <v>DAVIDSON DAVID</v>
      </c>
      <c r="M69" s="224">
        <f>I69-F69</f>
        <v>2.7800925927294884E-2</v>
      </c>
      <c r="N69" s="225">
        <f>24*60*SUM($M69:$M69)</f>
        <v>40.033333335304633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-04T09:29:41-0700',mode:absolute,to:'2017-12-04T12:12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5.1999999999999998E-2</v>
      </c>
      <c r="Z69" s="247">
        <f>RIGHT(H69,LEN(H69)-4)/10000</f>
        <v>23.326599999999999</v>
      </c>
      <c r="AA69" s="247">
        <f>ABS(Z69-Y69)</f>
        <v>23.2746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155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/stypes="app*4030*20171204*"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155-04 --locoid 4030 --swversion DE.1.0.9.0 --startMP 204:520 --initTime 2017-12-04T10:29:41 --startdatetime 2017-12-04T10:32:16 --delay 49 --endMP 204:233266 --enddatetime 2017-12-04T11:12:18 --enforcementcount 0 &gt;&gt;%USERPROFILE%\Documents\GitHub\eaglep3-reporting\EC\2017-12-04-refined-times.txt</v>
      </c>
      <c r="AI69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{"issue":{"subject":"","project_id":79,"tracker_id":40,"status_id":1,"priority_id":2,"assigned_to_id":338,"start_date":"2017-12-04","description":"","custom_fields":[{"id":1,"name":"Subdivision","value":"EC"},{"id":4,"name":"Milepost","value":"23.3266"},{"id":17,"name":"Train ID","value":"155-04"},{"id":16,"name":"Locomotive ID","value":"4030"},{"id":130,"name":"Impact","value":""},{"id":150,"name":"Time of Event (Mountain Time)","value":"11:12:18"},{"id":151,"name":"Denver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4030 --day 2017-12-04</v>
      </c>
      <c r="AN69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18:12:18"},{"id":29,"name":"Sharepoint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-04T09:29:41-0700',mode:absolute,to:'2017-12-04T12:12:18-0700'))&amp;_a=(columns:!('Message%20ID',Summary),filters:!(),index:'emp_*',interval:auto,query:(query_string:(analyze_wildcard:!t,query:'%22rtdc.l.rtdc.4030%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768</v>
      </c>
      <c r="B70" s="225">
        <v>4029</v>
      </c>
      <c r="C70" s="227" t="s">
        <v>192</v>
      </c>
      <c r="D70" s="227" t="s">
        <v>633</v>
      </c>
      <c r="E70" s="226">
        <v>43073.468414351853</v>
      </c>
      <c r="F70" s="226">
        <v>43073.477349537039</v>
      </c>
      <c r="G70" s="225">
        <v>60</v>
      </c>
      <c r="H70" s="227" t="s">
        <v>935</v>
      </c>
      <c r="I70" s="226">
        <v>43073.5080787037</v>
      </c>
      <c r="J70" s="225">
        <v>0</v>
      </c>
      <c r="K70" s="237" t="str">
        <f>IF(ISEVEN(B70),(B70-1)&amp;"/"&amp;B70,B70&amp;"/"&amp;(B70+1))</f>
        <v>4029/4030</v>
      </c>
      <c r="L70" s="245" t="str">
        <f>VLOOKUP(A70,'Trips&amp;Operators'!$C$1:$G$99911,5,FALSE)</f>
        <v>DAVIDSON DAVID</v>
      </c>
      <c r="M70" s="224">
        <f>I70-F70</f>
        <v>3.0729166661330964E-2</v>
      </c>
      <c r="N70" s="225">
        <f>24*60*SUM($M70:$M70)</f>
        <v>44.249999992316589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-04T10:14:31-0700',mode:absolute,to:'2017-12-04T13:11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23.2942</v>
      </c>
      <c r="Z70" s="247">
        <f>RIGHT(H70,LEN(H70)-4)/10000</f>
        <v>2.29E-2</v>
      </c>
      <c r="AA70" s="247">
        <f>ABS(Z70-Y70)</f>
        <v>23.2713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156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/stypes="app*4029*20171204*"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156-04 --locoid 4029 --swversion DE.1.0.9.0 --startMP 204:232942 --initTime 2017-12-04T11:14:31 --startdatetime 2017-12-04T11:27:23 --delay 60 --endMP 204:229 --enddatetime 2017-12-04T12:11:38 --enforcementcount 0 &gt;&gt;%USERPROFILE%\Documents\GitHub\eaglep3-reporting\EC\2017-12-04-refined-times.txt</v>
      </c>
      <c r="AI70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{"issue":{"subject":"","project_id":79,"tracker_id":40,"status_id":1,"priority_id":2,"assigned_to_id":338,"start_date":"2017-12-04","description":"","custom_fields":[{"id":1,"name":"Subdivision","value":"EC"},{"id":4,"name":"Milepost","value":"0.0229"},{"id":17,"name":"Train ID","value":"156-04"},{"id":16,"name":"Locomotive ID","value":"4029"},{"id":130,"name":"Impact","value":""},{"id":150,"name":"Time of Event (Mountain Time)","value":"12:11:38"},{"id":151,"name":"Denver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4029 --day 2017-12-04</v>
      </c>
      <c r="AN70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19:11:38"},{"id":29,"name":"Sharepoint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-04T10:14:31-0700',mode:absolute,to:'2017-12-04T13:11:38-0700'))&amp;_a=(columns:!('Message%20ID',Summary),filters:!(),index:'emp_*',interval:auto,query:(query_string:(analyze_wildcard:!t,query:'%22rtdc.l.rtdc.4029%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762</v>
      </c>
      <c r="B71" s="225">
        <v>4064</v>
      </c>
      <c r="C71" s="227" t="s">
        <v>192</v>
      </c>
      <c r="D71" s="227" t="s">
        <v>415</v>
      </c>
      <c r="E71" s="226">
        <v>43073.447881944441</v>
      </c>
      <c r="F71" s="226">
        <v>43073.44971064815</v>
      </c>
      <c r="G71" s="225">
        <v>78</v>
      </c>
      <c r="H71" s="227" t="s">
        <v>940</v>
      </c>
      <c r="I71" s="226">
        <v>43073.475729166668</v>
      </c>
      <c r="J71" s="225">
        <v>0</v>
      </c>
      <c r="K71" s="237" t="str">
        <f>IF(ISEVEN(B71),(B71-1)&amp;"/"&amp;B71,B71&amp;"/"&amp;(B71+1))</f>
        <v>4063/4064</v>
      </c>
      <c r="L71" s="245" t="str">
        <f>VLOOKUP(A71,'Trips&amp;Operators'!$C$1:$G$99911,5,FALSE)</f>
        <v>BIRENBAUM THOMAS</v>
      </c>
      <c r="M71" s="224">
        <f>I71-F71</f>
        <v>2.6018518517958E-2</v>
      </c>
      <c r="N71" s="225">
        <f>24*60*SUM($M71:$M71)</f>
        <v>37.46666666585952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-04T09:44:57-0700',mode:absolute,to:'2017-12-04T12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5.0799999999999998E-2</v>
      </c>
      <c r="Z71" s="247">
        <f>RIGHT(H71,LEN(H71)-4)/10000</f>
        <v>23.327999999999999</v>
      </c>
      <c r="AA71" s="247">
        <f>ABS(Z71-Y71)</f>
        <v>23.277200000000001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157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/stypes="app*4064*20171204*"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157-04 --locoid 4064 --swversion DE.1.0.9.0 --startMP 204:508 --initTime 2017-12-04T10:44:57 --startdatetime 2017-12-04T10:47:35 --delay 78 --endMP 204:233280 --enddatetime 2017-12-04T11:25:03 --enforcementcount 0 &gt;&gt;%USERPROFILE%\Documents\GitHub\eaglep3-reporting\EC\2017-12-04-refined-times.txt</v>
      </c>
      <c r="AI71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{"issue":{"subject":"","project_id":79,"tracker_id":40,"status_id":1,"priority_id":2,"assigned_to_id":338,"start_date":"2017-12-04","description":"","custom_fields":[{"id":1,"name":"Subdivision","value":"EC"},{"id":4,"name":"Milepost","value":"23.328"},{"id":17,"name":"Train ID","value":"157-04"},{"id":16,"name":"Locomotive ID","value":"4064"},{"id":130,"name":"Impact","value":""},{"id":150,"name":"Time of Event (Mountain Time)","value":"11:25:03"},{"id":151,"name":"Denver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4064 --day 2017-12-04</v>
      </c>
      <c r="AN71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-04T09:44:57-0700',mode:absolute,to:'2017-12-04T12:25:03-0700'))&amp;_a=(columns:!('Message%20ID',Summary),filters:!(),index:'emp_*',interval:auto,query:(query_string:(analyze_wildcard:!t,query:'%22rtdc.l.rtdc.4064%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770</v>
      </c>
      <c r="B72" s="225">
        <v>4063</v>
      </c>
      <c r="C72" s="227" t="s">
        <v>192</v>
      </c>
      <c r="D72" s="227" t="s">
        <v>920</v>
      </c>
      <c r="E72" s="226">
        <v>43073.479641203703</v>
      </c>
      <c r="F72" s="226">
        <v>43073.487662037034</v>
      </c>
      <c r="G72" s="225">
        <v>65</v>
      </c>
      <c r="H72" s="227" t="s">
        <v>942</v>
      </c>
      <c r="I72" s="226">
        <v>43073.515949074077</v>
      </c>
      <c r="J72" s="225">
        <v>0</v>
      </c>
      <c r="K72" s="237" t="str">
        <f>IF(ISEVEN(B72),(B72-1)&amp;"/"&amp;B72,B72&amp;"/"&amp;(B72+1))</f>
        <v>4063/4064</v>
      </c>
      <c r="L72" s="245" t="str">
        <f>VLOOKUP(A72,'Trips&amp;Operators'!$C$1:$G$99911,5,FALSE)</f>
        <v>BIRENBAUM THOMAS</v>
      </c>
      <c r="M72" s="224">
        <f>I72-F72</f>
        <v>2.828703704290092E-2</v>
      </c>
      <c r="N72" s="225">
        <f>24*60*SUM($M72:$M72)</f>
        <v>40.733333341777325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-04T10:30:41-0700',mode:absolute,to:'2017-12-04T13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23.295000000000002</v>
      </c>
      <c r="Z72" s="247">
        <f>RIGHT(H72,LEN(H72)-4)/10000</f>
        <v>1.4500000000000001E-2</v>
      </c>
      <c r="AA72" s="247">
        <f>ABS(Z72-Y72)</f>
        <v>23.2805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158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/stypes="app*4063*20171204*"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158-04 --locoid 4063 --swversion DE.1.0.9.0 --startMP 204:232950 --initTime 2017-12-04T11:30:41 --startdatetime 2017-12-04T11:42:14 --delay 65 --endMP 204:145 --enddatetime 2017-12-04T12:22:58 --enforcementcount 0 &gt;&gt;%USERPROFILE%\Documents\GitHub\eaglep3-reporting\EC\2017-12-04-refined-times.txt</v>
      </c>
      <c r="AI72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{"issue":{"subject":"","project_id":79,"tracker_id":40,"status_id":1,"priority_id":2,"assigned_to_id":338,"start_date":"2017-12-04","description":"","custom_fields":[{"id":1,"name":"Subdivision","value":"EC"},{"id":4,"name":"Milepost","value":"0.0145"},{"id":17,"name":"Train ID","value":"158-04"},{"id":16,"name":"Locomotive ID","value":"4063"},{"id":130,"name":"Impact","value":""},{"id":150,"name":"Time of Event (Mountain Time)","value":"12:22:58"},{"id":151,"name":"Denver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4063 --day 2017-12-04</v>
      </c>
      <c r="AN72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-04T10:30:41-0700',mode:absolute,to:'2017-12-04T13:22:58-0700'))&amp;_a=(columns:!('Message%20ID',Summary),filters:!(),index:'emp_*',interval:auto,query:(query_string:(analyze_wildcard:!t,query:'%22rtdc.l.rtdc.4063%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764</v>
      </c>
      <c r="B73" s="225">
        <v>4022</v>
      </c>
      <c r="C73" s="227" t="s">
        <v>192</v>
      </c>
      <c r="D73" s="227" t="s">
        <v>592</v>
      </c>
      <c r="E73" s="226">
        <v>43073.457083333335</v>
      </c>
      <c r="F73" s="226">
        <v>43073.459768518522</v>
      </c>
      <c r="G73" s="225">
        <v>83</v>
      </c>
      <c r="H73" s="227" t="s">
        <v>468</v>
      </c>
      <c r="I73" s="226">
        <v>43073.486712962964</v>
      </c>
      <c r="J73" s="225">
        <v>0</v>
      </c>
      <c r="K73" s="237" t="str">
        <f>IF(ISEVEN(B73),(B73-1)&amp;"/"&amp;B73,B73&amp;"/"&amp;(B73+1))</f>
        <v>4021/4022</v>
      </c>
      <c r="L73" s="245" t="str">
        <f>VLOOKUP(A73,'Trips&amp;Operators'!$C$1:$G$99911,5,FALSE)</f>
        <v>BROWN JACOB</v>
      </c>
      <c r="M73" s="224">
        <f>I73-F73</f>
        <v>2.6944444442051463E-2</v>
      </c>
      <c r="N73" s="225">
        <f>24*60*SUM($M73:$M73)</f>
        <v>38.799999996554106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-04T09:58:12-0700',mode:absolute,to:'2017-12-04T12:40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4.9500000000000002E-2</v>
      </c>
      <c r="Z73" s="247">
        <f>RIGHT(H73,LEN(H73)-4)/10000</f>
        <v>23.3249</v>
      </c>
      <c r="AA73" s="247">
        <f>ABS(Z73-Y73)</f>
        <v>23.275400000000001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159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/stypes="app*4022*20171204*"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159-04 --locoid 4022 --swversion DE.1.0.9.0 --startMP 204:495 --initTime 2017-12-04T10:58:12 --startdatetime 2017-12-04T11:02:04 --delay 83 --endMP 204:233249 --enddatetime 2017-12-04T11:40:52 --enforcementcount 0 &gt;&gt;%USERPROFILE%\Documents\GitHub\eaglep3-reporting\EC\2017-12-04-refined-times.txt</v>
      </c>
      <c r="AI73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{"issue":{"subject":"","project_id":79,"tracker_id":40,"status_id":1,"priority_id":2,"assigned_to_id":338,"start_date":"2017-12-04","description":"","custom_fields":[{"id":1,"name":"Subdivision","value":"EC"},{"id":4,"name":"Milepost","value":"23.3249"},{"id":17,"name":"Train ID","value":"159-04"},{"id":16,"name":"Locomotive ID","value":"4022"},{"id":130,"name":"Impact","value":""},{"id":150,"name":"Time of Event (Mountain Time)","value":"11:40:52"},{"id":151,"name":"Denver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4022 --day 2017-12-04</v>
      </c>
      <c r="AN73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-04T09:58:12-0700',mode:absolute,to:'2017-12-04T12:40:52-0700'))&amp;_a=(columns:!('Message%20ID',Summary),filters:!(),index:'emp_*',interval:auto,query:(query_string:(analyze_wildcard:!t,query:'%22rtdc.l.rtdc.4022%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774</v>
      </c>
      <c r="B74" s="225">
        <v>4021</v>
      </c>
      <c r="C74" s="227" t="s">
        <v>192</v>
      </c>
      <c r="D74" s="227" t="s">
        <v>943</v>
      </c>
      <c r="E74" s="226">
        <v>43073.495856481481</v>
      </c>
      <c r="F74" s="226">
        <v>43073.498159722221</v>
      </c>
      <c r="G74" s="225">
        <v>68</v>
      </c>
      <c r="H74" s="227" t="s">
        <v>944</v>
      </c>
      <c r="I74" s="226">
        <v>43073.526030092595</v>
      </c>
      <c r="J74" s="225">
        <v>0</v>
      </c>
      <c r="K74" s="237" t="str">
        <f>IF(ISEVEN(B74),(B74-1)&amp;"/"&amp;B74,B74&amp;"/"&amp;(B74+1))</f>
        <v>4021/4022</v>
      </c>
      <c r="L74" s="245" t="str">
        <f>VLOOKUP(A74,'Trips&amp;Operators'!$C$1:$G$99911,5,FALSE)</f>
        <v>BROWN JACOB</v>
      </c>
      <c r="M74" s="224">
        <f>I74-F74</f>
        <v>2.7870370373420883E-2</v>
      </c>
      <c r="N74" s="225">
        <f>24*60*SUM($M74:$M74)</f>
        <v>40.133333337726071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-04T10:54:02-0700',mode:absolute,to:'2017-12-04T13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23.2928</v>
      </c>
      <c r="Z74" s="247">
        <f>RIGHT(H74,LEN(H74)-4)/10000</f>
        <v>2.6700000000000002E-2</v>
      </c>
      <c r="AA74" s="247">
        <f>ABS(Z74-Y74)</f>
        <v>23.266099999999998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160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/stypes="app*4021*20171204*"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160-04 --locoid 4021 --swversion DE.1.0.9.0 --startMP 204:232928 --initTime 2017-12-04T11:54:02 --startdatetime 2017-12-04T11:57:21 --delay 68 --endMP 204:267 --enddatetime 2017-12-04T12:37:29 --enforcementcount 0 &gt;&gt;%USERPROFILE%\Documents\GitHub\eaglep3-reporting\EC\2017-12-04-refined-times.txt</v>
      </c>
      <c r="AI74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{"issue":{"subject":"","project_id":79,"tracker_id":40,"status_id":1,"priority_id":2,"assigned_to_id":338,"start_date":"2017-12-04","description":"","custom_fields":[{"id":1,"name":"Subdivision","value":"EC"},{"id":4,"name":"Milepost","value":"0.0267"},{"id":17,"name":"Train ID","value":"160-04"},{"id":16,"name":"Locomotive ID","value":"4021"},{"id":130,"name":"Impact","value":""},{"id":150,"name":"Time of Event (Mountain Time)","value":"12:37:29"},{"id":151,"name":"Denver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4021 --day 2017-12-04</v>
      </c>
      <c r="AN74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-04T10:54:02-0700',mode:absolute,to:'2017-12-04T13:37:29-0700'))&amp;_a=(columns:!('Message%20ID',Summary),filters:!(),index:'emp_*',interval:auto,query:(query_string:(analyze_wildcard:!t,query:'%22rtdc.l.rtdc.4021%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769</v>
      </c>
      <c r="B75" s="225">
        <v>4008</v>
      </c>
      <c r="C75" s="227" t="s">
        <v>192</v>
      </c>
      <c r="D75" s="227" t="s">
        <v>605</v>
      </c>
      <c r="E75" s="226">
        <v>43073.468634259261</v>
      </c>
      <c r="F75" s="226">
        <v>43073.470949074072</v>
      </c>
      <c r="G75" s="225">
        <v>119</v>
      </c>
      <c r="H75" s="227" t="s">
        <v>601</v>
      </c>
      <c r="I75" s="226">
        <v>43073.498206018521</v>
      </c>
      <c r="J75" s="225">
        <v>0</v>
      </c>
      <c r="K75" s="237" t="str">
        <f>IF(ISEVEN(B75),(B75-1)&amp;"/"&amp;B75,B75&amp;"/"&amp;(B75+1))</f>
        <v>4007/4008</v>
      </c>
      <c r="L75" s="245" t="str">
        <f>VLOOKUP(A75,'Trips&amp;Operators'!$C$1:$G$99911,5,FALSE)</f>
        <v>DAVIS MICHAEL</v>
      </c>
      <c r="M75" s="224">
        <f>I75-F75</f>
        <v>2.7256944449618459E-2</v>
      </c>
      <c r="N75" s="225">
        <f>24*60*SUM($M75:$M75)</f>
        <v>39.250000007450581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-04T10:14:50-0700',mode:absolute,to:'2017-12-04T12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4.82E-2</v>
      </c>
      <c r="Z75" s="247">
        <f>RIGHT(H75,LEN(H75)-4)/10000</f>
        <v>23.325500000000002</v>
      </c>
      <c r="AA75" s="247">
        <f>ABS(Z75-Y75)</f>
        <v>23.2773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161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/stypes="app*4008*20171204*" /stext=" 18:.+((SYSTEM_STATE.+slice.+state.+changed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161-04 --locoid 4008 --swversion DE.1.0.9.0 --startMP 204:482 --initTime 2017-12-04T11:14:50 --startdatetime 2017-12-04T11:18:10 --delay 119 --endMP 204:233255 --enddatetime 2017-12-04T11:57:25 --enforcementcount 0 &gt;&gt;%USERPROFILE%\Documents\GitHub\eaglep3-reporting\EC\2017-12-04-refined-times.txt</v>
      </c>
      <c r="AI75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{"issue":{"subject":"","project_id":79,"tracker_id":40,"status_id":1,"priority_id":2,"assigned_to_id":338,"start_date":"2017-12-04","description":"","custom_fields":[{"id":1,"name":"Subdivision","value":"EC"},{"id":4,"name":"Milepost","value":"23.3255"},{"id":17,"name":"Train ID","value":"161-04"},{"id":16,"name":"Locomotive ID","value":"4008"},{"id":130,"name":"Impact","value":""},{"id":150,"name":"Time of Event (Mountain Time)","value":"11:57:25"},{"id":151,"name":"Denver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4008 --day 2017-12-04</v>
      </c>
      <c r="AN75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-04T10:14:50-0700',mode:absolute,to:'2017-12-04T12:57:25-0700'))&amp;_a=(columns:!('Message%20ID',Summary),filters:!(),index:'emp_*',interval:auto,query:(query_string:(analyze_wildcard:!t,query:'%22rtdc.l.rtdc.4008%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779</v>
      </c>
      <c r="B76" s="225">
        <v>4007</v>
      </c>
      <c r="C76" s="227" t="s">
        <v>192</v>
      </c>
      <c r="D76" s="227" t="s">
        <v>597</v>
      </c>
      <c r="E76" s="226">
        <v>43073.506145833337</v>
      </c>
      <c r="F76" s="226">
        <v>43073.508657407408</v>
      </c>
      <c r="G76" s="225">
        <v>79</v>
      </c>
      <c r="H76" s="227" t="s">
        <v>909</v>
      </c>
      <c r="I76" s="226">
        <v>43073.5391087963</v>
      </c>
      <c r="J76" s="225">
        <v>0</v>
      </c>
      <c r="K76" s="237" t="str">
        <f>IF(ISEVEN(B76),(B76-1)&amp;"/"&amp;B76,B76&amp;"/"&amp;(B76+1))</f>
        <v>4007/4008</v>
      </c>
      <c r="L76" s="245" t="str">
        <f>VLOOKUP(A76,'Trips&amp;Operators'!$C$1:$G$99911,5,FALSE)</f>
        <v>DAVIS MICHAEL</v>
      </c>
      <c r="M76" s="224">
        <f>I76-F76</f>
        <v>3.0451388891378883E-2</v>
      </c>
      <c r="N76" s="225">
        <f>24*60*SUM($M76:$M76)</f>
        <v>43.850000003585592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-04T11:08:51-0700',mode:absolute,to:'2017-12-04T13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23.2959</v>
      </c>
      <c r="Z76" s="247">
        <f>RIGHT(H76,LEN(H76)-4)/10000</f>
        <v>2.1399999999999999E-2</v>
      </c>
      <c r="AA76" s="247">
        <f>ABS(Z76-Y76)</f>
        <v>23.2745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162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/stypes="app*4007*20171204*"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162-04 --locoid 4007 --swversion DE.1.0.9.0 --startMP 204:232959 --initTime 2017-12-04T12:08:51 --startdatetime 2017-12-04T12:12:28 --delay 79 --endMP 204:214 --enddatetime 2017-12-04T12:56:19 --enforcementcount 0 &gt;&gt;%USERPROFILE%\Documents\GitHub\eaglep3-reporting\EC\2017-12-04-refined-times.txt</v>
      </c>
      <c r="AI76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{"issue":{"subject":"","project_id":79,"tracker_id":40,"status_id":1,"priority_id":2,"assigned_to_id":338,"start_date":"2017-12-04","description":"","custom_fields":[{"id":1,"name":"Subdivision","value":"EC"},{"id":4,"name":"Milepost","value":"0.0214"},{"id":17,"name":"Train ID","value":"162-04"},{"id":16,"name":"Locomotive ID","value":"4007"},{"id":130,"name":"Impact","value":""},{"id":150,"name":"Time of Event (Mountain Time)","value":"12:56:19"},{"id":151,"name":"Denver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4007 --day 2017-12-04</v>
      </c>
      <c r="AN76" s="241" t="str">
        <f t="shared" si="8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-04T11:08:51-0700',mode:absolute,to:'2017-12-04T13:56:19-0700'))&amp;_a=(columns:!('Message%20ID',Summary),filters:!(),index:'emp_*',interval:auto,query:(query_string:(analyze_wildcard:!t,query:'%22rtdc.l.rtdc.4007%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665</v>
      </c>
      <c r="B77" s="225">
        <v>4010</v>
      </c>
      <c r="C77" s="227" t="s">
        <v>192</v>
      </c>
      <c r="D77" s="227" t="s">
        <v>548</v>
      </c>
      <c r="E77" s="226">
        <v>43073.4762962963</v>
      </c>
      <c r="F77" s="226">
        <v>43073.480243055557</v>
      </c>
      <c r="G77" s="225">
        <v>62</v>
      </c>
      <c r="H77" s="227" t="s">
        <v>529</v>
      </c>
      <c r="I77" s="226">
        <v>43073.507106481484</v>
      </c>
      <c r="J77" s="225">
        <v>0</v>
      </c>
      <c r="K77" s="237" t="str">
        <f>IF(ISEVEN(B77),(B77-1)&amp;"/"&amp;B77,B77&amp;"/"&amp;(B77+1))</f>
        <v>4009/4010</v>
      </c>
      <c r="L77" s="245" t="str">
        <f>VLOOKUP(A77,'Trips&amp;Operators'!$C$1:$G$99911,5,FALSE)</f>
        <v>STEWART MICHAEL</v>
      </c>
      <c r="M77" s="224">
        <f>I77-F77</f>
        <v>2.6863425926421769E-2</v>
      </c>
      <c r="N77" s="225">
        <f>24*60*SUM($M77:$M77)</f>
        <v>38.683333334047347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-04T10:25:52-0700',mode:absolute,to:'2017-12-04T13:10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4.9700000000000001E-2</v>
      </c>
      <c r="Z77" s="247">
        <f>RIGHT(H77,LEN(H77)-4)/10000</f>
        <v>23.330200000000001</v>
      </c>
      <c r="AA77" s="247">
        <f>ABS(Z77-Y77)</f>
        <v>23.2805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163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/stypes="app*4010*20171204*"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ref="AH77:AH108" si="1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163-04 --locoid 4010 --swversion DE.1.0.9.0 --startMP 204:497 --initTime 2017-12-04T11:25:52 --startdatetime 2017-12-04T11:31:33 --delay 62 --endMP 204:233302 --enddatetime 2017-12-04T12:10:14 --enforcementcount 0 &gt;&gt;%USERPROFILE%\Documents\GitHub\eaglep3-reporting\EC\2017-12-04-refined-times.txt</v>
      </c>
      <c r="AI77" s="238" t="str">
        <f t="shared" ref="AI77:AI108" si="1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{"issue":{"subject":"","project_id":79,"tracker_id":40,"status_id":1,"priority_id":2,"assigned_to_id":338,"start_date":"2017-12-04","description":"","custom_fields":[{"id":1,"name":"Subdivision","value":"EC"},{"id":4,"name":"Milepost","value":"23.3302"},{"id":17,"name":"Train ID","value":"163-04"},{"id":16,"name":"Locomotive ID","value":"4010"},{"id":130,"name":"Impact","value":""},{"id":150,"name":"Time of Event (Mountain Time)","value":"12:10:14"},{"id":151,"name":"Denver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ref="AM77:AM108" si="13">"start /low /b "&amp;dls3logs&amp;" --loco "&amp;B77&amp;" --day "&amp;TEXT(F77,"YYYY-MM-DD")</f>
        <v>start /low /b %USERPROFILE%\Documents\GitHub\eaglep3\Utilities\DownloadLogsFromS3.py --loco 4010 --day 2017-12-04</v>
      </c>
      <c r="AN77" s="241" t="str">
        <f t="shared" ref="AN77:AN108" si="1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ref="AO77:AO108" si="1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-04T10:25:52-0700',mode:absolute,to:'2017-12-04T13:10:14-0700'))&amp;_a=(columns:!('Message%20ID',Summary),filters:!(),index:'emp_*',interval:auto,query:(query_string:(analyze_wildcard:!t,query:'%22rtdc.l.rtdc.4010%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782</v>
      </c>
      <c r="B78" s="225">
        <v>4009</v>
      </c>
      <c r="C78" s="227" t="s">
        <v>192</v>
      </c>
      <c r="D78" s="227" t="s">
        <v>646</v>
      </c>
      <c r="E78" s="226">
        <v>43073.516828703701</v>
      </c>
      <c r="F78" s="226">
        <v>43073.51898148148</v>
      </c>
      <c r="G78" s="225">
        <v>69</v>
      </c>
      <c r="H78" s="227" t="s">
        <v>501</v>
      </c>
      <c r="I78" s="226">
        <v>43073.547731481478</v>
      </c>
      <c r="J78" s="225">
        <v>0</v>
      </c>
      <c r="K78" s="237" t="str">
        <f>IF(ISEVEN(B78),(B78-1)&amp;"/"&amp;B78,B78&amp;"/"&amp;(B78+1))</f>
        <v>4009/4010</v>
      </c>
      <c r="L78" s="245" t="str">
        <f>VLOOKUP(A78,'Trips&amp;Operators'!$C$1:$G$99911,5,FALSE)</f>
        <v>STEWART MICHAEL</v>
      </c>
      <c r="M78" s="224">
        <f>I78-F78</f>
        <v>2.8749999997671694E-2</v>
      </c>
      <c r="N78" s="225">
        <f>24*60*SUM($M78:$M78)</f>
        <v>41.399999996647239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-04T11:24:14-0700',mode:absolute,to:'2017-12-04T14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23.296199999999999</v>
      </c>
      <c r="Z78" s="247">
        <f>RIGHT(H78,LEN(H78)-4)/10000</f>
        <v>2.0899999999999998E-2</v>
      </c>
      <c r="AA78" s="247">
        <f>ABS(Z78-Y78)</f>
        <v>23.275299999999998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164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/stypes="app*4009*20171204*"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11"/>
        <v>"%USERPROFILE%\Documents\GitHub\eaglep3\Utilities\RefineRTDCRunTimes.py" --tripid 164-04 --locoid 4009 --swversion DE.1.0.9.0 --startMP 204:232962 --initTime 2017-12-04T12:24:14 --startdatetime 2017-12-04T12:27:20 --delay 69 --endMP 204:209 --enddatetime 2017-12-04T13:08:44 --enforcementcount 0 &gt;&gt;%USERPROFILE%\Documents\GitHub\eaglep3-reporting\EC\2017-12-04-refined-times.txt</v>
      </c>
      <c r="AI78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{"issue":{"subject":"","project_id":79,"tracker_id":40,"status_id":1,"priority_id":2,"assigned_to_id":338,"start_date":"2017-12-04","description":"","custom_fields":[{"id":1,"name":"Subdivision","value":"EC"},{"id":4,"name":"Milepost","value":"0.0209"},{"id":17,"name":"Train ID","value":"164-04"},{"id":16,"name":"Locomotive ID","value":"4009"},{"id":130,"name":"Impact","value":""},{"id":150,"name":"Time of Event (Mountain Time)","value":"13:08:44"},{"id":151,"name":"Denver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13"/>
        <v>start /low /b %USERPROFILE%\Documents\GitHub\eaglep3\Utilities\DownloadLogsFromS3.py --loco 4009 --day 2017-12-04</v>
      </c>
      <c r="AN78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15"/>
        <v>https://d0f6bd738d7f1b3e5a7ca70fe4ff75f0.us-east-1.aws.found.io/app/kibana#/discover/Steve-Slow-Train-Analysis-(2080s-and-2083s)?_g=(refreshInterval:(display:Off,pause:!f,section:0,value:0),time:(from:'2017-12-04T11:24:14-0700',mode:absolute,to:'2017-12-04T14:08:44-0700'))&amp;_a=(columns:!('Message%20ID',Summary),filters:!(),index:'emp_*',interval:auto,query:(query_string:(analyze_wildcard:!t,query:'%22rtdc.l.rtdc.4009%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771</v>
      </c>
      <c r="B79" s="225">
        <v>4042</v>
      </c>
      <c r="C79" s="227" t="s">
        <v>192</v>
      </c>
      <c r="D79" s="227" t="s">
        <v>625</v>
      </c>
      <c r="E79" s="226">
        <v>43073.486886574072</v>
      </c>
      <c r="F79" s="226">
        <v>43073.490891203706</v>
      </c>
      <c r="G79" s="225">
        <v>93</v>
      </c>
      <c r="H79" s="227" t="s">
        <v>547</v>
      </c>
      <c r="I79" s="226">
        <v>43073.516250000001</v>
      </c>
      <c r="J79" s="225">
        <v>0</v>
      </c>
      <c r="K79" s="237" t="str">
        <f>IF(ISEVEN(B79),(B79-1)&amp;"/"&amp;B79,B79&amp;"/"&amp;(B79+1))</f>
        <v>4041/4042</v>
      </c>
      <c r="L79" s="245" t="str">
        <f>VLOOKUP(A79,'Trips&amp;Operators'!$C$1:$G$99911,5,FALSE)</f>
        <v>NICHOLAS PLOYSA</v>
      </c>
      <c r="M79" s="224">
        <f>I79-F79</f>
        <v>2.5358796294312924E-2</v>
      </c>
      <c r="N79" s="225">
        <f>24*60*SUM($M79:$M79)</f>
        <v>36.516666663810611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-04T10:41:07-0700',mode:absolute,to:'2017-12-04T13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4.6600000000000003E-2</v>
      </c>
      <c r="Z79" s="247">
        <f>RIGHT(H79,LEN(H79)-4)/10000</f>
        <v>23.324100000000001</v>
      </c>
      <c r="AA79" s="247">
        <f>ABS(Z79-Y79)</f>
        <v>23.2775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165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/stypes="app*4042*20171204*"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1"/>
        <v>"%USERPROFILE%\Documents\GitHub\eaglep3\Utilities\RefineRTDCRunTimes.py" --tripid 165-04 --locoid 4042 --swversion DE.1.0.9.0 --startMP 204:466 --initTime 2017-12-04T11:41:07 --startdatetime 2017-12-04T11:46:53 --delay 93 --endMP 204:233241 --enddatetime 2017-12-04T12:23:24 --enforcementcount 0 &gt;&gt;%USERPROFILE%\Documents\GitHub\eaglep3-reporting\EC\2017-12-04-refined-times.txt</v>
      </c>
      <c r="AI79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{"issue":{"subject":"","project_id":79,"tracker_id":40,"status_id":1,"priority_id":2,"assigned_to_id":338,"start_date":"2017-12-04","description":"","custom_fields":[{"id":1,"name":"Subdivision","value":"EC"},{"id":4,"name":"Milepost","value":"23.3241"},{"id":17,"name":"Train ID","value":"165-04"},{"id":16,"name":"Locomotive ID","value":"4042"},{"id":130,"name":"Impact","value":""},{"id":150,"name":"Time of Event (Mountain Time)","value":"12:23:24"},{"id":151,"name":"Denver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3"/>
        <v>start /low /b %USERPROFILE%\Documents\GitHub\eaglep3\Utilities\DownloadLogsFromS3.py --loco 4042 --day 2017-12-04</v>
      </c>
      <c r="AN79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5"/>
        <v>https://d0f6bd738d7f1b3e5a7ca70fe4ff75f0.us-east-1.aws.found.io/app/kibana#/discover/Steve-Slow-Train-Analysis-(2080s-and-2083s)?_g=(refreshInterval:(display:Off,pause:!f,section:0,value:0),time:(from:'2017-12-04T10:41:07-0700',mode:absolute,to:'2017-12-04T13:23:24-0700'))&amp;_a=(columns:!('Message%20ID',Summary),filters:!(),index:'emp_*',interval:auto,query:(query_string:(analyze_wildcard:!t,query:'%22rtdc.l.rtdc.4042%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784</v>
      </c>
      <c r="B80" s="225">
        <v>4041</v>
      </c>
      <c r="C80" s="227" t="s">
        <v>192</v>
      </c>
      <c r="D80" s="227" t="s">
        <v>625</v>
      </c>
      <c r="E80" s="226">
        <v>43073.486886574072</v>
      </c>
      <c r="F80" s="226">
        <v>43073.529351851852</v>
      </c>
      <c r="G80" s="225">
        <v>93</v>
      </c>
      <c r="H80" s="227" t="s">
        <v>547</v>
      </c>
      <c r="I80" s="226">
        <v>43073.556562500002</v>
      </c>
      <c r="J80" s="225">
        <v>0</v>
      </c>
      <c r="K80" s="237" t="str">
        <f>IF(ISEVEN(B80),(B80-1)&amp;"/"&amp;B80,B80&amp;"/"&amp;(B80+1))</f>
        <v>4041/4042</v>
      </c>
      <c r="L80" s="245" t="str">
        <f>VLOOKUP(A80,'Trips&amp;Operators'!$C$1:$G$99911,5,FALSE)</f>
        <v>NICHOLAS PLOYSA</v>
      </c>
      <c r="M80" s="224">
        <f>I80-F80</f>
        <v>2.7210648149775807E-2</v>
      </c>
      <c r="N80" s="225">
        <f>24*60*SUM($M80:$M80)</f>
        <v>39.183333335677162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-04T10:41:07-0700',mode:absolute,to:'2017-12-04T14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v>23.296199999999999</v>
      </c>
      <c r="Z80" s="247">
        <v>2.0899999999999998E-2</v>
      </c>
      <c r="AA80" s="247">
        <f>ABS(Z80-Y80)</f>
        <v>23.275299999999998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166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/stypes="app*4041*20171204*"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ref="AH80" si="16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166-04 --locoid 4041 --swversion DE.1.0.9.0 --startMP 204:466 --initTime 2017-12-04T11:41:07 --startdatetime 2017-12-04T12:42:16 --delay 93 --endMP 204:233241 --enddatetime 2017-12-04T13:21:27 --enforcementcount 0 &gt;&gt;%USERPROFILE%\Documents\GitHub\eaglep3-reporting\EC\2017-12-04-refined-times.txt</v>
      </c>
      <c r="AI80" s="238" t="str">
        <f t="shared" ref="AI80" si="17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{"issue":{"subject":"","project_id":79,"tracker_id":40,"status_id":1,"priority_id":2,"assigned_to_id":338,"start_date":"2017-12-04","description":"","custom_fields":[{"id":1,"name":"Subdivision","value":"EC"},{"id":4,"name":"Milepost","value":"0.0209"},{"id":17,"name":"Train ID","value":"166-04"},{"id":16,"name":"Locomotive ID","value":"4041"},{"id":130,"name":"Impact","value":""},{"id":150,"name":"Time of Event (Mountain Time)","value":"13:21:27"},{"id":151,"name":"Denver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ref="AM80" si="18">"start /low /b "&amp;dls3logs&amp;" --loco "&amp;B80&amp;" --day "&amp;TEXT(F80,"YYYY-MM-DD")</f>
        <v>start /low /b %USERPROFILE%\Documents\GitHub\eaglep3\Utilities\DownloadLogsFromS3.py --loco 4041 --day 2017-12-04</v>
      </c>
      <c r="AN80" s="241" t="str">
        <f t="shared" ref="AN80" si="19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ref="AO80" si="20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-04T10:41:07-0700',mode:absolute,to:'2017-12-04T14:21:27-0700'))&amp;_a=(columns:!('Message%20ID',Summary),filters:!(),index:'emp_*',interval:auto,query:(query_string:(analyze_wildcard:!t,query:'%22rtdc.l.rtdc.4041%22')),sort:!(Time.ISO8601,asc))</v>
      </c>
      <c r="AP80" s="223"/>
      <c r="AQ80" s="223"/>
      <c r="AR80" s="223"/>
      <c r="AS80" s="223"/>
      <c r="AT80" s="223"/>
      <c r="AU80" s="223"/>
      <c r="AV80" s="223"/>
      <c r="AW80" s="223"/>
      <c r="AX80" s="223"/>
      <c r="AY80" s="223"/>
      <c r="AZ80" s="223"/>
      <c r="BA80" s="223"/>
      <c r="BB80" s="223"/>
      <c r="BC80" s="223"/>
      <c r="BD80" s="223"/>
      <c r="BE80" s="223"/>
      <c r="BF80" s="223"/>
      <c r="BG80" s="223"/>
      <c r="BH80" s="223"/>
      <c r="BI80" s="223"/>
      <c r="BJ80" s="223"/>
      <c r="BK80" s="223"/>
      <c r="BL80" s="223"/>
      <c r="BM80" s="223"/>
      <c r="BN80" s="223"/>
      <c r="BO80" s="223"/>
      <c r="BP80" s="223"/>
      <c r="BQ80" s="223"/>
      <c r="BR80" s="223"/>
      <c r="BS80" s="223"/>
      <c r="BT80" s="223"/>
      <c r="BU80" s="223"/>
      <c r="BV80" s="223"/>
      <c r="BW80" s="223"/>
      <c r="BX80" s="223"/>
      <c r="BY80" s="223"/>
      <c r="BZ80" s="223"/>
      <c r="CA80" s="223"/>
      <c r="CB80" s="223"/>
      <c r="CC80" s="223"/>
      <c r="CD80" s="223"/>
      <c r="CE80" s="223"/>
      <c r="CF80" s="223"/>
      <c r="CG80" s="223"/>
      <c r="CH80" s="223"/>
      <c r="CI80" s="223"/>
      <c r="CJ80" s="223"/>
      <c r="CK80" s="223"/>
      <c r="CL80" s="223"/>
      <c r="CM80" s="223"/>
    </row>
    <row r="81" spans="1:91" s="1" customFormat="1" x14ac:dyDescent="0.25">
      <c r="A81" s="229" t="s">
        <v>775</v>
      </c>
      <c r="B81" s="225">
        <v>4058</v>
      </c>
      <c r="C81" s="227" t="s">
        <v>192</v>
      </c>
      <c r="D81" s="227" t="s">
        <v>592</v>
      </c>
      <c r="E81" s="226">
        <v>43073.498993055553</v>
      </c>
      <c r="F81" s="226">
        <v>43073.501469907409</v>
      </c>
      <c r="G81" s="225">
        <v>78</v>
      </c>
      <c r="H81" s="227" t="s">
        <v>945</v>
      </c>
      <c r="I81" s="226">
        <v>43073.528078703705</v>
      </c>
      <c r="J81" s="225">
        <v>0</v>
      </c>
      <c r="K81" s="237" t="str">
        <f>IF(ISEVEN(B81),(B81-1)&amp;"/"&amp;B81,B81&amp;"/"&amp;(B81+1))</f>
        <v>4057/4058</v>
      </c>
      <c r="L81" s="245" t="str">
        <f>VLOOKUP(A81,'Trips&amp;Operators'!$C$1:$G$99911,5,FALSE)</f>
        <v>LONG FULLER</v>
      </c>
      <c r="M81" s="224">
        <f>I81-F81</f>
        <v>2.6608796295477077E-2</v>
      </c>
      <c r="N81" s="225">
        <f>24*60*SUM($M81:$M81)</f>
        <v>38.316666665486991</v>
      </c>
      <c r="O81" s="225"/>
      <c r="P81" s="225"/>
      <c r="Q81" s="228"/>
      <c r="R81" s="242" t="s">
        <v>1106</v>
      </c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-04T10:58:33-0700',mode:absolute,to:'2017-12-04T13:40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1" s="247" t="str">
        <f>IF(AA81&lt;VLOOKUP(AG81,Variables!$AC$3:$AD$8,2,FALSE),"Y","N")</f>
        <v>N</v>
      </c>
      <c r="X81" s="247">
        <f t="shared" ref="X81:X83" si="21">VALUE(LEFT(AD81,4))-VALUE(LEFT(AD80,4))</f>
        <v>1</v>
      </c>
      <c r="Y81" s="247">
        <f>RIGHT(D81,LEN(D81)-4)/10000</f>
        <v>4.9500000000000002E-2</v>
      </c>
      <c r="Z81" s="247">
        <f>RIGHT(H81,LEN(H81)-4)/10000</f>
        <v>23.322500000000002</v>
      </c>
      <c r="AA81" s="247">
        <f>ABS(Z81-Y81)</f>
        <v>23.273000000000003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/stypes="app*4058*20171204*"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1"/>
        <v>"%USERPROFILE%\Documents\GitHub\eaglep3\Utilities\RefineRTDCRunTimes.py" --tripid 167-04 --locoid 4058 --swversion DE.1.0.9.0 --startMP 204:495 --initTime 2017-12-04T11:58:33 --startdatetime 2017-12-04T12:02:07 --delay 78 --endMP 204:233225 --enddatetime 2017-12-04T12:40:26 --enforcementcount 0 &gt;&gt;%USERPROFILE%\Documents\GitHub\eaglep3-reporting\EC\2017-12-04-refined-times.txt</v>
      </c>
      <c r="AI81" s="238" t="str">
        <f t="shared" si="12"/>
        <v>echo {"issue":{"subject":"Brief Wi-MAX data drop caused unhealthy crossing banner","project_id":79,"tracker_id":40,"status_id":1,"priority_id":2,"assigned_to_id":338,"start_date":"2017-12-04","description":"","custom_fields":[{"id":1,"name":"Subdivision","value":"EC"},{"id":4,"name":"Milepost","value":"23.3225"},{"id":17,"name":"Train ID","value":"167-04"},{"id":16,"name":"Locomotive ID","value":"4058"},{"id":130,"name":"Impact","value":""},{"id":150,"name":"Time of Event (Mountain Time)","value":"12:40:26"},{"id":151,"name":"Denver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3"/>
        <v>start /low /b %USERPROFILE%\Documents\GitHub\eaglep3\Utilities\DownloadLogsFromS3.py --loco 4058 --day 2017-12-04</v>
      </c>
      <c r="AN81" s="241" t="str">
        <f t="shared" si="14"/>
        <v>echo {"issue":{"subject":"Brief Wi-MAX data drop caused unhealthy crossing banner","project_id":30,"tracker_id":4,"status_id":1,"priority_id":1,"assigned_to_id":10,"start_date":"2017-12-04","description":"","custom_fields":[{"id":30,"name":"Category","value":"Issue"},{"id":3,"name":"Functional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5"/>
        <v>https://d0f6bd738d7f1b3e5a7ca70fe4ff75f0.us-east-1.aws.found.io/app/kibana#/discover/Steve-Slow-Train-Analysis-(2080s-and-2083s)?_g=(refreshInterval:(display:Off,pause:!f,section:0,value:0),time:(from:'2017-12-04T10:58:33-0700',mode:absolute,to:'2017-12-04T13:40:26-0700'))&amp;_a=(columns:!('Message%20ID',Summary),filters:!(),index:'emp_*',interval:auto,query:(query_string:(analyze_wildcard:!t,query:'%22rtdc.l.rtdc.4058%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786</v>
      </c>
      <c r="B82" s="225">
        <v>4057</v>
      </c>
      <c r="C82" s="227" t="s">
        <v>192</v>
      </c>
      <c r="D82" s="227" t="s">
        <v>641</v>
      </c>
      <c r="E82" s="226">
        <v>43073.529652777775</v>
      </c>
      <c r="F82" s="226">
        <v>43073.539756944447</v>
      </c>
      <c r="G82" s="225">
        <v>76</v>
      </c>
      <c r="H82" s="227" t="s">
        <v>946</v>
      </c>
      <c r="I82" s="226">
        <v>43073.567303240743</v>
      </c>
      <c r="J82" s="225">
        <v>0</v>
      </c>
      <c r="K82" s="237" t="str">
        <f>IF(ISEVEN(B82),(B82-1)&amp;"/"&amp;B82,B82&amp;"/"&amp;(B82+1))</f>
        <v>4057/4058</v>
      </c>
      <c r="L82" s="245" t="str">
        <f>VLOOKUP(A82,'Trips&amp;Operators'!$C$1:$G$99911,5,FALSE)</f>
        <v>LONG FULLER</v>
      </c>
      <c r="M82" s="224">
        <f>I82-F82</f>
        <v>2.7546296296350192E-2</v>
      </c>
      <c r="N82" s="225">
        <f>24*60*SUM($M82:$M82)</f>
        <v>39.666666666744277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-04T11:42:42-0700',mode:absolute,to:'2017-12-04T14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2" s="247" t="str">
        <f>IF(AA82&lt;VLOOKUP(AG82,Variables!$AC$3:$AD$8,2,FALSE),"Y","N")</f>
        <v>N</v>
      </c>
      <c r="X82" s="247">
        <f t="shared" si="21"/>
        <v>1</v>
      </c>
      <c r="Y82" s="247">
        <f>RIGHT(D82,LEN(D82)-4)/10000</f>
        <v>23.290600000000001</v>
      </c>
      <c r="Z82" s="247">
        <f>RIGHT(H82,LEN(H82)-4)/10000</f>
        <v>2.58E-2</v>
      </c>
      <c r="AA82" s="247">
        <f>ABS(Z82-Y82)</f>
        <v>23.264800000000001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/stypes="app*4057*20171204*"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1"/>
        <v>"%USERPROFILE%\Documents\GitHub\eaglep3\Utilities\RefineRTDCRunTimes.py" --tripid 168-04 --locoid 4057 --swversion DE.1.0.9.0 --startMP 204:232906 --initTime 2017-12-04T12:42:42 --startdatetime 2017-12-04T12:57:15 --delay 76 --endMP 204:258 --enddatetime 2017-12-04T13:36:55 --enforcementcount 0 &gt;&gt;%USERPROFILE%\Documents\GitHub\eaglep3-reporting\EC\2017-12-04-refined-times.txt</v>
      </c>
      <c r="AI82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{"issue":{"subject":"","project_id":79,"tracker_id":40,"status_id":1,"priority_id":2,"assigned_to_id":338,"start_date":"2017-12-04","description":"","custom_fields":[{"id":1,"name":"Subdivision","value":"EC"},{"id":4,"name":"Milepost","value":"0.0258"},{"id":17,"name":"Train ID","value":"168-04"},{"id":16,"name":"Locomotive ID","value":"4057"},{"id":130,"name":"Impact","value":""},{"id":150,"name":"Time of Event (Mountain Time)","value":"13:36:55"},{"id":151,"name":"Denver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3"/>
        <v>start /low /b %USERPROFILE%\Documents\GitHub\eaglep3\Utilities\DownloadLogsFromS3.py --loco 4057 --day 2017-12-04</v>
      </c>
      <c r="AN82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5"/>
        <v>https://d0f6bd738d7f1b3e5a7ca70fe4ff75f0.us-east-1.aws.found.io/app/kibana#/discover/Steve-Slow-Train-Analysis-(2080s-and-2083s)?_g=(refreshInterval:(display:Off,pause:!f,section:0,value:0),time:(from:'2017-12-04T11:42:42-0700',mode:absolute,to:'2017-12-04T14:36:55-0700'))&amp;_a=(columns:!('Message%20ID',Summary),filters:!(),index:'emp_*',interval:auto,query:(query_string:(analyze_wildcard:!t,query:'%22rtdc.l.rtdc.4057%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780</v>
      </c>
      <c r="B83" s="225">
        <v>4030</v>
      </c>
      <c r="C83" s="227" t="s">
        <v>192</v>
      </c>
      <c r="D83" s="227" t="s">
        <v>947</v>
      </c>
      <c r="E83" s="226">
        <v>43073.509409722225</v>
      </c>
      <c r="F83" s="226">
        <v>43073.511574074073</v>
      </c>
      <c r="G83" s="225">
        <v>96</v>
      </c>
      <c r="H83" s="227" t="s">
        <v>948</v>
      </c>
      <c r="I83" s="226">
        <v>43073.53665509259</v>
      </c>
      <c r="J83" s="225">
        <v>0</v>
      </c>
      <c r="K83" s="237" t="str">
        <f>IF(ISEVEN(B83),(B83-1)&amp;"/"&amp;B83,B83&amp;"/"&amp;(B83+1))</f>
        <v>4029/4030</v>
      </c>
      <c r="L83" s="245" t="str">
        <f>VLOOKUP(A83,'Trips&amp;Operators'!$C$1:$G$99911,5,FALSE)</f>
        <v>SAFIEF AEIMEN</v>
      </c>
      <c r="M83" s="224">
        <f>I83-F83</f>
        <v>2.5081018517084885E-2</v>
      </c>
      <c r="N83" s="225">
        <f>24*60*SUM($M83:$M83)</f>
        <v>36.116666664602235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-04T11:13:33-0700',mode:absolute,to:'2017-12-04T13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247" t="str">
        <f>IF(AA83&lt;VLOOKUP(AG83,Variables!$AC$3:$AD$8,2,FALSE),"Y","N")</f>
        <v>N</v>
      </c>
      <c r="X83" s="247">
        <f t="shared" si="21"/>
        <v>1</v>
      </c>
      <c r="Y83" s="247">
        <f>RIGHT(D83,LEN(D83)-4)/10000</f>
        <v>5.2900000000000003E-2</v>
      </c>
      <c r="Z83" s="247">
        <f>RIGHT(H83,LEN(H83)-4)/10000</f>
        <v>23.322399999999998</v>
      </c>
      <c r="AA83" s="247">
        <f>ABS(Z83-Y83)</f>
        <v>23.269499999999997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/stypes="app*4030*20171204*"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1"/>
        <v>"%USERPROFILE%\Documents\GitHub\eaglep3\Utilities\RefineRTDCRunTimes.py" --tripid 169-04 --locoid 4030 --swversion DE.1.0.9.0 --startMP 204:529 --initTime 2017-12-04T12:13:33 --startdatetime 2017-12-04T12:16:40 --delay 96 --endMP 204:233224 --enddatetime 2017-12-04T12:52:47 --enforcementcount 0 &gt;&gt;%USERPROFILE%\Documents\GitHub\eaglep3-reporting\EC\2017-12-04-refined-times.txt</v>
      </c>
      <c r="AI83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{"issue":{"subject":"","project_id":79,"tracker_id":40,"status_id":1,"priority_id":2,"assigned_to_id":338,"start_date":"2017-12-04","description":"","custom_fields":[{"id":1,"name":"Subdivision","value":"EC"},{"id":4,"name":"Milepost","value":"23.3224"},{"id":17,"name":"Train ID","value":"169-04"},{"id":16,"name":"Locomotive ID","value":"4030"},{"id":130,"name":"Impact","value":""},{"id":150,"name":"Time of Event (Mountain Time)","value":"12:52:47"},{"id":151,"name":"Denver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3"/>
        <v>start /low /b %USERPROFILE%\Documents\GitHub\eaglep3\Utilities\DownloadLogsFromS3.py --loco 4030 --day 2017-12-04</v>
      </c>
      <c r="AN83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5"/>
        <v>https://d0f6bd738d7f1b3e5a7ca70fe4ff75f0.us-east-1.aws.found.io/app/kibana#/discover/Steve-Slow-Train-Analysis-(2080s-and-2083s)?_g=(refreshInterval:(display:Off,pause:!f,section:0,value:0),time:(from:'2017-12-04T11:13:33-0700',mode:absolute,to:'2017-12-04T13:52:47-0700'))&amp;_a=(columns:!('Message%20ID',Summary),filters:!(),index:'emp_*',interval:auto,query:(query_string:(analyze_wildcard:!t,query:'%22rtdc.l.rtdc.4030%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667</v>
      </c>
      <c r="B84" s="225">
        <v>4029</v>
      </c>
      <c r="C84" s="227" t="s">
        <v>192</v>
      </c>
      <c r="D84" s="227" t="s">
        <v>630</v>
      </c>
      <c r="E84" s="226">
        <v>43073.539988425924</v>
      </c>
      <c r="F84" s="226">
        <v>43073.550208333334</v>
      </c>
      <c r="G84" s="225">
        <v>127</v>
      </c>
      <c r="H84" s="227" t="s">
        <v>467</v>
      </c>
      <c r="I84" s="226">
        <v>43073.578819444447</v>
      </c>
      <c r="J84" s="225">
        <v>0</v>
      </c>
      <c r="K84" s="237" t="str">
        <f>IF(ISEVEN(B84),(B84-1)&amp;"/"&amp;B84,B84&amp;"/"&amp;(B84+1))</f>
        <v>4029/4030</v>
      </c>
      <c r="L84" s="245" t="str">
        <f>VLOOKUP(A84,'Trips&amp;Operators'!$C$1:$G$99911,5,FALSE)</f>
        <v>SAFIEF AEIMEN</v>
      </c>
      <c r="M84" s="224">
        <f>I84-F84</f>
        <v>2.8611111112695653E-2</v>
      </c>
      <c r="N84" s="225">
        <f>24*60*SUM($M84:$M84)</f>
        <v>41.20000000228174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-04T11:57:35-0700',mode:absolute,to:'2017-12-04T14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23.290199999999999</v>
      </c>
      <c r="Z84" s="247">
        <f>RIGHT(H84,LEN(H84)-4)/10000</f>
        <v>0.02</v>
      </c>
      <c r="AA84" s="247">
        <f>ABS(Z84-Y84)</f>
        <v>23.270199999999999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/stypes="app*4029*20171204*"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1"/>
        <v>"%USERPROFILE%\Documents\GitHub\eaglep3\Utilities\RefineRTDCRunTimes.py" --tripid 170-04 --locoid 4029 --swversion DE.1.0.9.0 --startMP 204:232902 --initTime 2017-12-04T12:57:35 --startdatetime 2017-12-04T13:12:18 --delay 127 --endMP 204:200 --enddatetime 2017-12-04T13:53:30 --enforcementcount 0 &gt;&gt;%USERPROFILE%\Documents\GitHub\eaglep3-reporting\EC\2017-12-04-refined-times.txt</v>
      </c>
      <c r="AI84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{"issue":{"subject":"","project_id":79,"tracker_id":40,"status_id":1,"priority_id":2,"assigned_to_id":338,"start_date":"2017-12-04","description":"","custom_fields":[{"id":1,"name":"Subdivision","value":"EC"},{"id":4,"name":"Milepost","value":"0.02"},{"id":17,"name":"Train ID","value":"170-04"},{"id":16,"name":"Locomotive ID","value":"4029"},{"id":130,"name":"Impact","value":""},{"id":150,"name":"Time of Event (Mountain Time)","value":"13:53:30"},{"id":151,"name":"Denver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3"/>
        <v>start /low /b %USERPROFILE%\Documents\GitHub\eaglep3\Utilities\DownloadLogsFromS3.py --loco 4029 --day 2017-12-04</v>
      </c>
      <c r="AN84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5"/>
        <v>https://d0f6bd738d7f1b3e5a7ca70fe4ff75f0.us-east-1.aws.found.io/app/kibana#/discover/Steve-Slow-Train-Analysis-(2080s-and-2083s)?_g=(refreshInterval:(display:Off,pause:!f,section:0,value:0),time:(from:'2017-12-04T11:57:35-0700',mode:absolute,to:'2017-12-04T14:53:30-0700'))&amp;_a=(columns:!('Message%20ID',Summary),filters:!(),index:'emp_*',interval:auto,query:(query_string:(analyze_wildcard:!t,query:'%22rtdc.l.rtdc.4029%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783</v>
      </c>
      <c r="B85" s="225">
        <v>4064</v>
      </c>
      <c r="C85" s="227" t="s">
        <v>192</v>
      </c>
      <c r="D85" s="227" t="s">
        <v>620</v>
      </c>
      <c r="E85" s="226">
        <v>43073.517453703702</v>
      </c>
      <c r="F85" s="226">
        <v>43073.520995370367</v>
      </c>
      <c r="G85" s="225">
        <v>52</v>
      </c>
      <c r="H85" s="227" t="s">
        <v>949</v>
      </c>
      <c r="I85" s="226">
        <v>43073.545266203706</v>
      </c>
      <c r="J85" s="225">
        <v>0</v>
      </c>
      <c r="K85" s="237" t="str">
        <f>IF(ISEVEN(B85),(B85-1)&amp;"/"&amp;B85,B85&amp;"/"&amp;(B85+1))</f>
        <v>4063/4064</v>
      </c>
      <c r="L85" s="245" t="str">
        <f>VLOOKUP(A85,'Trips&amp;Operators'!$C$1:$G$99911,5,FALSE)</f>
        <v>BIRENBAUM THOMAS</v>
      </c>
      <c r="M85" s="224">
        <f>I85-F85</f>
        <v>2.4270833338960074E-2</v>
      </c>
      <c r="N85" s="225">
        <f>24*60*SUM($M85:$M85)</f>
        <v>34.950000008102506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-04T11:25:08-0700',mode:absolute,to:'2017-12-04T14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4.4200000000000003E-2</v>
      </c>
      <c r="Z85" s="247">
        <f>RIGHT(H85,LEN(H85)-4)/10000</f>
        <v>23.328700000000001</v>
      </c>
      <c r="AA85" s="247">
        <f>ABS(Z85-Y85)</f>
        <v>23.284500000000001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/stypes="app*4064*20171204*"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1"/>
        <v>"%USERPROFILE%\Documents\GitHub\eaglep3\Utilities\RefineRTDCRunTimes.py" --tripid 171-04 --locoid 4064 --swversion DE.1.0.9.0 --startMP 204:442 --initTime 2017-12-04T12:25:08 --startdatetime 2017-12-04T12:30:14 --delay 52 --endMP 204:233287 --enddatetime 2017-12-04T13:05:11 --enforcementcount 0 &gt;&gt;%USERPROFILE%\Documents\GitHub\eaglep3-reporting\EC\2017-12-04-refined-times.txt</v>
      </c>
      <c r="AI85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{"issue":{"subject":"","project_id":79,"tracker_id":40,"status_id":1,"priority_id":2,"assigned_to_id":338,"start_date":"2017-12-04","description":"","custom_fields":[{"id":1,"name":"Subdivision","value":"EC"},{"id":4,"name":"Milepost","value":"23.3287"},{"id":17,"name":"Train ID","value":"171-04"},{"id":16,"name":"Locomotive ID","value":"4064"},{"id":130,"name":"Impact","value":""},{"id":150,"name":"Time of Event (Mountain Time)","value":"13:05:11"},{"id":151,"name":"Denver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3"/>
        <v>start /low /b %USERPROFILE%\Documents\GitHub\eaglep3\Utilities\DownloadLogsFromS3.py --loco 4064 --day 2017-12-04</v>
      </c>
      <c r="AN85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5"/>
        <v>https://d0f6bd738d7f1b3e5a7ca70fe4ff75f0.us-east-1.aws.found.io/app/kibana#/discover/Steve-Slow-Train-Analysis-(2080s-and-2083s)?_g=(refreshInterval:(display:Off,pause:!f,section:0,value:0),time:(from:'2017-12-04T11:25:08-0700',mode:absolute,to:'2017-12-04T14:05:11-0700'))&amp;_a=(columns:!('Message%20ID',Summary),filters:!(),index:'emp_*',interval:auto,query:(query_string:(analyze_wildcard:!t,query:'%22rtdc.l.rtdc.4064%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791</v>
      </c>
      <c r="B86" s="225">
        <v>4063</v>
      </c>
      <c r="C86" s="227" t="s">
        <v>192</v>
      </c>
      <c r="D86" s="227" t="s">
        <v>610</v>
      </c>
      <c r="E86" s="226">
        <v>43073.559942129628</v>
      </c>
      <c r="F86" s="226">
        <v>43073.561712962961</v>
      </c>
      <c r="G86" s="225">
        <v>68</v>
      </c>
      <c r="H86" s="227" t="s">
        <v>594</v>
      </c>
      <c r="I86" s="226">
        <v>43073.587256944447</v>
      </c>
      <c r="J86" s="225">
        <v>0</v>
      </c>
      <c r="K86" s="237" t="str">
        <f>IF(ISEVEN(B86),(B86-1)&amp;"/"&amp;B86,B86&amp;"/"&amp;(B86+1))</f>
        <v>4063/4064</v>
      </c>
      <c r="L86" s="245" t="str">
        <f>VLOOKUP(A86,'Trips&amp;Operators'!$C$1:$G$99911,5,FALSE)</f>
        <v>BIRENBAUM THOMAS</v>
      </c>
      <c r="M86" s="224">
        <f>I86-F86</f>
        <v>2.5543981486407574E-2</v>
      </c>
      <c r="N86" s="225">
        <f>24*60*SUM($M86:$M86)</f>
        <v>36.783333340426907</v>
      </c>
      <c r="O86" s="225"/>
      <c r="P86" s="225"/>
      <c r="Q86" s="228"/>
      <c r="R86" s="242" t="s">
        <v>1106</v>
      </c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-04T12:26:19-0700',mode:absolute,to:'2017-12-04T15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247" t="str">
        <f>IF(AA86&lt;VLOOKUP(AG86,Variables!$AC$3:$AD$8,2,FALSE),"Y","N")</f>
        <v>N</v>
      </c>
      <c r="X86" s="247">
        <f t="shared" ref="X86:X90" si="22">VALUE(LEFT(AD86,4))-VALUE(LEFT(AD85,4))</f>
        <v>1</v>
      </c>
      <c r="Y86" s="247">
        <f>RIGHT(D86,LEN(D86)-4)/10000</f>
        <v>23.296600000000002</v>
      </c>
      <c r="Z86" s="247">
        <f>RIGHT(H86,LEN(H86)-4)/10000</f>
        <v>1.7000000000000001E-2</v>
      </c>
      <c r="AA86" s="247">
        <f>ABS(Z86-Y86)</f>
        <v>23.279600000000002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/stypes="app*4063*20171204*"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1"/>
        <v>"%USERPROFILE%\Documents\GitHub\eaglep3\Utilities\RefineRTDCRunTimes.py" --tripid 172-04 --locoid 4063 --swversion DE.1.0.9.0 --startMP 204:232966 --initTime 2017-12-04T13:26:19 --startdatetime 2017-12-04T13:28:52 --delay 68 --endMP 204:170 --enddatetime 2017-12-04T14:05:39 --enforcementcount 0 &gt;&gt;%USERPROFILE%\Documents\GitHub\eaglep3-reporting\EC\2017-12-04-refined-times.txt</v>
      </c>
      <c r="AI86" s="238" t="str">
        <f t="shared" si="12"/>
        <v>echo {"issue":{"subject":"Brief Wi-MAX data drop caused unhealthy crossing banner","project_id":79,"tracker_id":40,"status_id":1,"priority_id":2,"assigned_to_id":338,"start_date":"2017-12-04","description":"","custom_fields":[{"id":1,"name":"Subdivision","value":"EC"},{"id":4,"name":"Milepost","value":"0.017"},{"id":17,"name":"Train ID","value":"172-04"},{"id":16,"name":"Locomotive ID","value":"4063"},{"id":130,"name":"Impact","value":""},{"id":150,"name":"Time of Event (Mountain Time)","value":"14:05:39"},{"id":151,"name":"Denver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3"/>
        <v>start /low /b %USERPROFILE%\Documents\GitHub\eaglep3\Utilities\DownloadLogsFromS3.py --loco 4063 --day 2017-12-04</v>
      </c>
      <c r="AN86" s="241" t="str">
        <f t="shared" si="14"/>
        <v>echo {"issue":{"subject":"Brief Wi-MAX data drop caused unhealthy crossing banner","project_id":30,"tracker_id":4,"status_id":1,"priority_id":1,"assigned_to_id":10,"start_date":"2017-12-04","description":"","custom_fields":[{"id":30,"name":"Category","value":"Issue"},{"id":3,"name":"Functional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5"/>
        <v>https://d0f6bd738d7f1b3e5a7ca70fe4ff75f0.us-east-1.aws.found.io/app/kibana#/discover/Steve-Slow-Train-Analysis-(2080s-and-2083s)?_g=(refreshInterval:(display:Off,pause:!f,section:0,value:0),time:(from:'2017-12-04T12:26:19-0700',mode:absolute,to:'2017-12-04T15:05:39-0700'))&amp;_a=(columns:!('Message%20ID',Summary),filters:!(),index:'emp_*',interval:auto,query:(query_string:(analyze_wildcard:!t,query:'%22rtdc.l.rtdc.4063%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785</v>
      </c>
      <c r="B87" s="225">
        <v>4022</v>
      </c>
      <c r="C87" s="227" t="s">
        <v>192</v>
      </c>
      <c r="D87" s="227" t="s">
        <v>418</v>
      </c>
      <c r="E87" s="226">
        <v>43073.528402777774</v>
      </c>
      <c r="F87" s="226">
        <v>43073.531469907408</v>
      </c>
      <c r="G87" s="225">
        <v>61</v>
      </c>
      <c r="H87" s="227" t="s">
        <v>950</v>
      </c>
      <c r="I87" s="226">
        <v>43073.558958333335</v>
      </c>
      <c r="J87" s="225">
        <v>0</v>
      </c>
      <c r="K87" s="237" t="str">
        <f>IF(ISEVEN(B87),(B87-1)&amp;"/"&amp;B87,B87&amp;"/"&amp;(B87+1))</f>
        <v>4021/4022</v>
      </c>
      <c r="L87" s="245" t="str">
        <f>VLOOKUP(A87,'Trips&amp;Operators'!$C$1:$G$99911,5,FALSE)</f>
        <v>SMITH MICHAEL</v>
      </c>
      <c r="M87" s="224">
        <f>I87-F87</f>
        <v>2.7488425927003846E-2</v>
      </c>
      <c r="N87" s="225">
        <f>24*60*SUM($M87:$M87)</f>
        <v>39.583333334885538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-04T11:40:54-0700',mode:absolute,to:'2017-12-04T14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7" s="247" t="str">
        <f>IF(AA87&lt;VLOOKUP(AG87,Variables!$AC$3:$AD$8,2,FALSE),"Y","N")</f>
        <v>N</v>
      </c>
      <c r="X87" s="247">
        <f t="shared" si="22"/>
        <v>1</v>
      </c>
      <c r="Y87" s="247">
        <f>RIGHT(D87,LEN(D87)-4)/10000</f>
        <v>5.3999999999999999E-2</v>
      </c>
      <c r="Z87" s="247">
        <f>RIGHT(H87,LEN(H87)-4)/10000</f>
        <v>23.319299999999998</v>
      </c>
      <c r="AA87" s="247">
        <f>ABS(Z87-Y87)</f>
        <v>23.2653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/stypes="app*4022*20171204*"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1"/>
        <v>"%USERPROFILE%\Documents\GitHub\eaglep3\Utilities\RefineRTDCRunTimes.py" --tripid 173-04 --locoid 4022 --swversion DE.1.0.9.0 --startMP 204:540 --initTime 2017-12-04T12:40:54 --startdatetime 2017-12-04T12:45:19 --delay 61 --endMP 204:233193 --enddatetime 2017-12-04T13:24:54 --enforcementcount 0 &gt;&gt;%USERPROFILE%\Documents\GitHub\eaglep3-reporting\EC\2017-12-04-refined-times.txt</v>
      </c>
      <c r="AI87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{"issue":{"subject":"","project_id":79,"tracker_id":40,"status_id":1,"priority_id":2,"assigned_to_id":338,"start_date":"2017-12-04","description":"","custom_fields":[{"id":1,"name":"Subdivision","value":"EC"},{"id":4,"name":"Milepost","value":"23.3193"},{"id":17,"name":"Train ID","value":"173-04"},{"id":16,"name":"Locomotive ID","value":"4022"},{"id":130,"name":"Impact","value":""},{"id":150,"name":"Time of Event (Mountain Time)","value":"13:24:54"},{"id":151,"name":"Denver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3"/>
        <v>start /low /b %USERPROFILE%\Documents\GitHub\eaglep3\Utilities\DownloadLogsFromS3.py --loco 4022 --day 2017-12-04</v>
      </c>
      <c r="AN87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5"/>
        <v>https://d0f6bd738d7f1b3e5a7ca70fe4ff75f0.us-east-1.aws.found.io/app/kibana#/discover/Steve-Slow-Train-Analysis-(2080s-and-2083s)?_g=(refreshInterval:(display:Off,pause:!f,section:0,value:0),time:(from:'2017-12-04T11:40:54-0700',mode:absolute,to:'2017-12-04T14:24:54-0700'))&amp;_a=(columns:!('Message%20ID',Summary),filters:!(),index:'emp_*',interval:auto,query:(query_string:(analyze_wildcard:!t,query:'%22rtdc.l.rtdc.4022%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795</v>
      </c>
      <c r="B88" s="225">
        <v>4021</v>
      </c>
      <c r="C88" s="227" t="s">
        <v>192</v>
      </c>
      <c r="D88" s="227" t="s">
        <v>951</v>
      </c>
      <c r="E88" s="226">
        <v>43073.566064814811</v>
      </c>
      <c r="F88" s="226">
        <v>43073.571134259262</v>
      </c>
      <c r="G88" s="225">
        <v>90</v>
      </c>
      <c r="H88" s="227" t="s">
        <v>952</v>
      </c>
      <c r="I88" s="226">
        <v>43073.597222222219</v>
      </c>
      <c r="J88" s="225">
        <v>0</v>
      </c>
      <c r="K88" s="237" t="str">
        <f>IF(ISEVEN(B88),(B88-1)&amp;"/"&amp;B88,B88&amp;"/"&amp;(B88+1))</f>
        <v>4021/4022</v>
      </c>
      <c r="L88" s="245" t="str">
        <f>VLOOKUP(A88,'Trips&amp;Operators'!$C$1:$G$99911,5,FALSE)</f>
        <v>SMITH MICHAEL</v>
      </c>
      <c r="M88" s="224">
        <f>I88-F88</f>
        <v>2.6087962956808042E-2</v>
      </c>
      <c r="N88" s="225">
        <f>24*60*SUM($M88:$M88)</f>
        <v>37.56666665780358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-04T12:35:08-0700',mode:absolute,to:'2017-12-04T15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8" s="247" t="str">
        <f>IF(AA88&lt;VLOOKUP(AG88,Variables!$AC$3:$AD$8,2,FALSE),"Y","N")</f>
        <v>N</v>
      </c>
      <c r="X88" s="247">
        <f t="shared" si="22"/>
        <v>1</v>
      </c>
      <c r="Y88" s="247">
        <f>RIGHT(D88,LEN(D88)-4)/10000</f>
        <v>23.2867</v>
      </c>
      <c r="Z88" s="247">
        <f>RIGHT(H88,LEN(H88)-4)/10000</f>
        <v>2.3800000000000002E-2</v>
      </c>
      <c r="AA88" s="247">
        <f>ABS(Z88-Y88)</f>
        <v>23.262899999999998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/stypes="app*4021*20171204*"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1"/>
        <v>"%USERPROFILE%\Documents\GitHub\eaglep3\Utilities\RefineRTDCRunTimes.py" --tripid 174-04 --locoid 4021 --swversion DE.1.0.9.0 --startMP 204:232867 --initTime 2017-12-04T13:35:08 --startdatetime 2017-12-04T13:42:26 --delay 90 --endMP 204:238 --enddatetime 2017-12-04T14:20:00 --enforcementcount 0 &gt;&gt;%USERPROFILE%\Documents\GitHub\eaglep3-reporting\EC\2017-12-04-refined-times.txt</v>
      </c>
      <c r="AI88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{"issue":{"subject":"","project_id":79,"tracker_id":40,"status_id":1,"priority_id":2,"assigned_to_id":338,"start_date":"2017-12-04","description":"","custom_fields":[{"id":1,"name":"Subdivision","value":"EC"},{"id":4,"name":"Milepost","value":"0.0238"},{"id":17,"name":"Train ID","value":"174-04"},{"id":16,"name":"Locomotive ID","value":"4021"},{"id":130,"name":"Impact","value":""},{"id":150,"name":"Time of Event (Mountain Time)","value":"14:20:00"},{"id":151,"name":"Denver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3"/>
        <v>start /low /b %USERPROFILE%\Documents\GitHub\eaglep3\Utilities\DownloadLogsFromS3.py --loco 4021 --day 2017-12-04</v>
      </c>
      <c r="AN88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5"/>
        <v>https://d0f6bd738d7f1b3e5a7ca70fe4ff75f0.us-east-1.aws.found.io/app/kibana#/discover/Steve-Slow-Train-Analysis-(2080s-and-2083s)?_g=(refreshInterval:(display:Off,pause:!f,section:0,value:0),time:(from:'2017-12-04T12:35:08-0700',mode:absolute,to:'2017-12-04T15:20:00-0700'))&amp;_a=(columns:!('Message%20ID',Summary),filters:!(),index:'emp_*',interval:auto,query:(query_string:(analyze_wildcard:!t,query:'%22rtdc.l.rtdc.4021%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787</v>
      </c>
      <c r="B89" s="225">
        <v>4008</v>
      </c>
      <c r="C89" s="227" t="s">
        <v>192</v>
      </c>
      <c r="D89" s="227" t="s">
        <v>496</v>
      </c>
      <c r="E89" s="226">
        <v>43073.540729166663</v>
      </c>
      <c r="F89" s="226">
        <v>43073.542291666665</v>
      </c>
      <c r="G89" s="225">
        <v>50</v>
      </c>
      <c r="H89" s="227" t="s">
        <v>593</v>
      </c>
      <c r="I89" s="226">
        <v>43073.568356481483</v>
      </c>
      <c r="J89" s="225">
        <v>0</v>
      </c>
      <c r="K89" s="237" t="str">
        <f>IF(ISEVEN(B89),(B89-1)&amp;"/"&amp;B89,B89&amp;"/"&amp;(B89+1))</f>
        <v>4007/4008</v>
      </c>
      <c r="L89" s="245" t="str">
        <f>VLOOKUP(A89,'Trips&amp;Operators'!$C$1:$G$99911,5,FALSE)</f>
        <v>DAVIS MICHAEL</v>
      </c>
      <c r="M89" s="224">
        <f>I89-F89</f>
        <v>2.6064814817800652E-2</v>
      </c>
      <c r="N89" s="225">
        <f>24*60*SUM($M89:$M89)</f>
        <v>37.533333337632939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-04T11:58:39-0700',mode:absolute,to:'2017-12-04T14:38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47" t="str">
        <f>IF(AA89&lt;VLOOKUP(AG89,Variables!$AC$3:$AD$8,2,FALSE),"Y","N")</f>
        <v>N</v>
      </c>
      <c r="X89" s="247">
        <f t="shared" si="22"/>
        <v>1</v>
      </c>
      <c r="Y89" s="247">
        <f>RIGHT(D89,LEN(D89)-4)/10000</f>
        <v>4.9099999999999998E-2</v>
      </c>
      <c r="Z89" s="247">
        <f>RIGHT(H89,LEN(H89)-4)/10000</f>
        <v>23.331199999999999</v>
      </c>
      <c r="AA89" s="247">
        <f>ABS(Z89-Y89)</f>
        <v>23.2821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/stypes="app*4008*20171204*"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1"/>
        <v>"%USERPROFILE%\Documents\GitHub\eaglep3\Utilities\RefineRTDCRunTimes.py" --tripid 175-04 --locoid 4008 --swversion DE.1.0.9.0 --startMP 204:491 --initTime 2017-12-04T12:58:39 --startdatetime 2017-12-04T13:00:54 --delay 50 --endMP 204:233312 --enddatetime 2017-12-04T13:38:26 --enforcementcount 0 &gt;&gt;%USERPROFILE%\Documents\GitHub\eaglep3-reporting\EC\2017-12-04-refined-times.txt</v>
      </c>
      <c r="AI89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{"issue":{"subject":"","project_id":79,"tracker_id":40,"status_id":1,"priority_id":2,"assigned_to_id":338,"start_date":"2017-12-04","description":"","custom_fields":[{"id":1,"name":"Subdivision","value":"EC"},{"id":4,"name":"Milepost","value":"23.3312"},{"id":17,"name":"Train ID","value":"175-04"},{"id":16,"name":"Locomotive ID","value":"4008"},{"id":130,"name":"Impact","value":""},{"id":150,"name":"Time of Event (Mountain Time)","value":"13:38:26"},{"id":151,"name":"Denver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3"/>
        <v>start /low /b %USERPROFILE%\Documents\GitHub\eaglep3\Utilities\DownloadLogsFromS3.py --loco 4008 --day 2017-12-04</v>
      </c>
      <c r="AN89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5"/>
        <v>https://d0f6bd738d7f1b3e5a7ca70fe4ff75f0.us-east-1.aws.found.io/app/kibana#/discover/Steve-Slow-Train-Analysis-(2080s-and-2083s)?_g=(refreshInterval:(display:Off,pause:!f,section:0,value:0),time:(from:'2017-12-04T11:58:39-0700',mode:absolute,to:'2017-12-04T14:38:26-0700'))&amp;_a=(columns:!('Message%20ID',Summary),filters:!(),index:'emp_*',interval:auto,query:(query_string:(analyze_wildcard:!t,query:'%22rtdc.l.rtdc.4008%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797</v>
      </c>
      <c r="B90" s="225">
        <v>4007</v>
      </c>
      <c r="C90" s="227" t="s">
        <v>192</v>
      </c>
      <c r="D90" s="227" t="s">
        <v>636</v>
      </c>
      <c r="E90" s="226">
        <v>43073.578819444447</v>
      </c>
      <c r="F90" s="226">
        <v>43073.581631944442</v>
      </c>
      <c r="G90" s="225">
        <v>59</v>
      </c>
      <c r="H90" s="227" t="s">
        <v>501</v>
      </c>
      <c r="I90" s="226">
        <v>43073.609166666669</v>
      </c>
      <c r="J90" s="225">
        <v>0</v>
      </c>
      <c r="K90" s="237" t="str">
        <f>IF(ISEVEN(B90),(B90-1)&amp;"/"&amp;B90,B90&amp;"/"&amp;(B90+1))</f>
        <v>4007/4008</v>
      </c>
      <c r="L90" s="245" t="str">
        <f>VLOOKUP(A90,'Trips&amp;Operators'!$C$1:$G$99911,5,FALSE)</f>
        <v>DAVIS MICHAEL</v>
      </c>
      <c r="M90" s="224">
        <f>I90-F90</f>
        <v>2.7534722226846498E-2</v>
      </c>
      <c r="N90" s="225">
        <f>24*60*SUM($M90:$M90)</f>
        <v>39.650000006658956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-04T12:53:30-0700',mode:absolute,to:'2017-12-04T15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47" t="str">
        <f>IF(AA90&lt;VLOOKUP(AG90,Variables!$AC$3:$AD$8,2,FALSE),"Y","N")</f>
        <v>N</v>
      </c>
      <c r="X90" s="247">
        <f t="shared" si="22"/>
        <v>1</v>
      </c>
      <c r="Y90" s="247">
        <f>RIGHT(D90,LEN(D90)-4)/10000</f>
        <v>23.2972</v>
      </c>
      <c r="Z90" s="247">
        <f>RIGHT(H90,LEN(H90)-4)/10000</f>
        <v>2.0899999999999998E-2</v>
      </c>
      <c r="AA90" s="247">
        <f>ABS(Z90-Y90)</f>
        <v>23.276299999999999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/stypes="app*4007*20171204*"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1"/>
        <v>"%USERPROFILE%\Documents\GitHub\eaglep3\Utilities\RefineRTDCRunTimes.py" --tripid 176-04 --locoid 4007 --swversion DE.1.0.9.0 --startMP 204:232972 --initTime 2017-12-04T13:53:30 --startdatetime 2017-12-04T13:57:33 --delay 59 --endMP 204:209 --enddatetime 2017-12-04T14:37:12 --enforcementcount 0 &gt;&gt;%USERPROFILE%\Documents\GitHub\eaglep3-reporting\EC\2017-12-04-refined-times.txt</v>
      </c>
      <c r="AI90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{"issue":{"subject":"","project_id":79,"tracker_id":40,"status_id":1,"priority_id":2,"assigned_to_id":338,"start_date":"2017-12-04","description":"","custom_fields":[{"id":1,"name":"Subdivision","value":"EC"},{"id":4,"name":"Milepost","value":"0.0209"},{"id":17,"name":"Train ID","value":"176-04"},{"id":16,"name":"Locomotive ID","value":"4007"},{"id":130,"name":"Impact","value":""},{"id":150,"name":"Time of Event (Mountain Time)","value":"14:37:12"},{"id":151,"name":"Denver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3"/>
        <v>start /low /b %USERPROFILE%\Documents\GitHub\eaglep3\Utilities\DownloadLogsFromS3.py --loco 4007 --day 2017-12-04</v>
      </c>
      <c r="AN90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5"/>
        <v>https://d0f6bd738d7f1b3e5a7ca70fe4ff75f0.us-east-1.aws.found.io/app/kibana#/discover/Steve-Slow-Train-Analysis-(2080s-and-2083s)?_g=(refreshInterval:(display:Off,pause:!f,section:0,value:0),time:(from:'2017-12-04T12:53:30-0700',mode:absolute,to:'2017-12-04T15:37:12-0700'))&amp;_a=(columns:!('Message%20ID',Summary),filters:!(),index:'emp_*',interval:auto,query:(query_string:(analyze_wildcard:!t,query:'%22rtdc.l.rtdc.4007%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792</v>
      </c>
      <c r="B91" s="225">
        <v>4010</v>
      </c>
      <c r="C91" s="227" t="s">
        <v>192</v>
      </c>
      <c r="D91" s="227" t="s">
        <v>469</v>
      </c>
      <c r="E91" s="226">
        <v>43073.549768518518</v>
      </c>
      <c r="F91" s="226">
        <v>43073.552372685182</v>
      </c>
      <c r="G91" s="225">
        <v>78</v>
      </c>
      <c r="H91" s="227" t="s">
        <v>542</v>
      </c>
      <c r="I91" s="226">
        <v>43073.577002314814</v>
      </c>
      <c r="J91" s="225">
        <v>0</v>
      </c>
      <c r="K91" s="237" t="str">
        <f>IF(ISEVEN(B91),(B91-1)&amp;"/"&amp;B91,B91&amp;"/"&amp;(B91+1))</f>
        <v>4009/4010</v>
      </c>
      <c r="L91" s="245" t="str">
        <f>VLOOKUP(A91,'Trips&amp;Operators'!$C$1:$G$99911,5,FALSE)</f>
        <v>STEWART MICHAEL</v>
      </c>
      <c r="M91" s="224">
        <f>I91-F91</f>
        <v>2.4629629631817807E-2</v>
      </c>
      <c r="N91" s="225">
        <f>24*60*SUM($M91:$M91)</f>
        <v>35.466666669817641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-04T12:11:40-0700',mode:absolute,to:'2017-12-04T14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5.1999999999999998E-2</v>
      </c>
      <c r="Z91" s="247">
        <f>RIGHT(H91,LEN(H91)-4)/10000</f>
        <v>23.330100000000002</v>
      </c>
      <c r="AA91" s="247">
        <f>ABS(Z91-Y91)</f>
        <v>23.278100000000002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/stypes="app*4010*20171204*"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1"/>
        <v>"%USERPROFILE%\Documents\GitHub\eaglep3\Utilities\RefineRTDCRunTimes.py" --tripid 177-04 --locoid 4010 --swversion DE.1.0.9.0 --startMP 204:520 --initTime 2017-12-04T13:11:40 --startdatetime 2017-12-04T13:15:25 --delay 78 --endMP 204:233301 --enddatetime 2017-12-04T13:50:53 --enforcementcount 0 &gt;&gt;%USERPROFILE%\Documents\GitHub\eaglep3-reporting\EC\2017-12-04-refined-times.txt</v>
      </c>
      <c r="AI91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{"issue":{"subject":"","project_id":79,"tracker_id":40,"status_id":1,"priority_id":2,"assigned_to_id":338,"start_date":"2017-12-04","description":"","custom_fields":[{"id":1,"name":"Subdivision","value":"EC"},{"id":4,"name":"Milepost","value":"23.3301"},{"id":17,"name":"Train ID","value":"177-04"},{"id":16,"name":"Locomotive ID","value":"4010"},{"id":130,"name":"Impact","value":""},{"id":150,"name":"Time of Event (Mountain Time)","value":"13:50:53"},{"id":151,"name":"Denver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3"/>
        <v>start /low /b %USERPROFILE%\Documents\GitHub\eaglep3\Utilities\DownloadLogsFromS3.py --loco 4010 --day 2017-12-04</v>
      </c>
      <c r="AN91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5"/>
        <v>https://d0f6bd738d7f1b3e5a7ca70fe4ff75f0.us-east-1.aws.found.io/app/kibana#/discover/Steve-Slow-Train-Analysis-(2080s-and-2083s)?_g=(refreshInterval:(display:Off,pause:!f,section:0,value:0),time:(from:'2017-12-04T12:11:40-0700',mode:absolute,to:'2017-12-04T14:50:53-0700'))&amp;_a=(columns:!('Message%20ID',Summary),filters:!(),index:'emp_*',interval:auto,query:(query_string:(analyze_wildcard:!t,query:'%22rtdc.l.rtdc.4010%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800</v>
      </c>
      <c r="B92" s="225">
        <v>4009</v>
      </c>
      <c r="C92" s="227" t="s">
        <v>192</v>
      </c>
      <c r="D92" s="227" t="s">
        <v>953</v>
      </c>
      <c r="E92" s="226">
        <v>43073.587013888886</v>
      </c>
      <c r="F92" s="226">
        <v>43073.592037037037</v>
      </c>
      <c r="G92" s="225">
        <v>73</v>
      </c>
      <c r="H92" s="227" t="s">
        <v>465</v>
      </c>
      <c r="I92" s="226">
        <v>43073.618356481478</v>
      </c>
      <c r="J92" s="225">
        <v>0</v>
      </c>
      <c r="K92" s="237" t="str">
        <f>IF(ISEVEN(B92),(B92-1)&amp;"/"&amp;B92,B92&amp;"/"&amp;(B92+1))</f>
        <v>4009/4010</v>
      </c>
      <c r="L92" s="245" t="str">
        <f>VLOOKUP(A92,'Trips&amp;Operators'!$C$1:$G$99911,5,FALSE)</f>
        <v>STEWART MICHAEL</v>
      </c>
      <c r="M92" s="224">
        <f>I92-F92</f>
        <v>2.6319444441469386E-2</v>
      </c>
      <c r="N92" s="225">
        <f>24*60*SUM($M92:$M92)</f>
        <v>37.899999995715916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-04T13:05:18-0700',mode:absolute,to:'2017-12-04T15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23.298400000000001</v>
      </c>
      <c r="Z92" s="247">
        <f>RIGHT(H92,LEN(H92)-4)/10000</f>
        <v>2.1600000000000001E-2</v>
      </c>
      <c r="AA92" s="247">
        <f>ABS(Z92-Y92)</f>
        <v>23.276800000000001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/stypes="app*4009*20171204*"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1"/>
        <v>"%USERPROFILE%\Documents\GitHub\eaglep3\Utilities\RefineRTDCRunTimes.py" --tripid 178-04 --locoid 4009 --swversion DE.1.0.9.0 --startMP 204:232984 --initTime 2017-12-04T14:05:18 --startdatetime 2017-12-04T14:12:32 --delay 73 --endMP 204:216 --enddatetime 2017-12-04T14:50:26 --enforcementcount 0 &gt;&gt;%USERPROFILE%\Documents\GitHub\eaglep3-reporting\EC\2017-12-04-refined-times.txt</v>
      </c>
      <c r="AI92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{"issue":{"subject":"","project_id":79,"tracker_id":40,"status_id":1,"priority_id":2,"assigned_to_id":338,"start_date":"2017-12-04","description":"","custom_fields":[{"id":1,"name":"Subdivision","value":"EC"},{"id":4,"name":"Milepost","value":"0.0216"},{"id":17,"name":"Train ID","value":"178-04"},{"id":16,"name":"Locomotive ID","value":"4009"},{"id":130,"name":"Impact","value":""},{"id":150,"name":"Time of Event (Mountain Time)","value":"14:50:26"},{"id":151,"name":"Denver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3"/>
        <v>start /low /b %USERPROFILE%\Documents\GitHub\eaglep3\Utilities\DownloadLogsFromS3.py --loco 4009 --day 2017-12-04</v>
      </c>
      <c r="AN92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5"/>
        <v>https://d0f6bd738d7f1b3e5a7ca70fe4ff75f0.us-east-1.aws.found.io/app/kibana#/discover/Steve-Slow-Train-Analysis-(2080s-and-2083s)?_g=(refreshInterval:(display:Off,pause:!f,section:0,value:0),time:(from:'2017-12-04T13:05:18-0700',mode:absolute,to:'2017-12-04T15:50:26-0700'))&amp;_a=(columns:!('Message%20ID',Summary),filters:!(),index:'emp_*',interval:auto,query:(query_string:(analyze_wildcard:!t,query:'%22rtdc.l.rtdc.4009%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793</v>
      </c>
      <c r="B93" s="225">
        <v>4042</v>
      </c>
      <c r="C93" s="227" t="s">
        <v>192</v>
      </c>
      <c r="D93" s="227" t="s">
        <v>645</v>
      </c>
      <c r="E93" s="226">
        <v>43073.558275462965</v>
      </c>
      <c r="F93" s="226">
        <v>43073.563090277778</v>
      </c>
      <c r="G93" s="225">
        <v>65</v>
      </c>
      <c r="H93" s="227" t="s">
        <v>954</v>
      </c>
      <c r="I93" s="226">
        <v>43073.588460648149</v>
      </c>
      <c r="J93" s="225">
        <v>0</v>
      </c>
      <c r="K93" s="237" t="str">
        <f>IF(ISEVEN(B93),(B93-1)&amp;"/"&amp;B93,B93&amp;"/"&amp;(B93+1))</f>
        <v>4041/4042</v>
      </c>
      <c r="L93" s="245" t="str">
        <f>VLOOKUP(A93,'Trips&amp;Operators'!$C$1:$G$99911,5,FALSE)</f>
        <v>NICHOLAS PLOYSA</v>
      </c>
      <c r="M93" s="224">
        <f>I93-F93</f>
        <v>2.5370370371092577E-2</v>
      </c>
      <c r="N93" s="225">
        <f>24*60*SUM($M93:$M93)</f>
        <v>36.53333333437331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-04T12:23:55-0700',mode:absolute,to:'2017-12-04T15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5.4800000000000001E-2</v>
      </c>
      <c r="Z93" s="247">
        <f>RIGHT(H93,LEN(H93)-4)/10000</f>
        <v>23.321300000000001</v>
      </c>
      <c r="AA93" s="247">
        <f>ABS(Z93-Y93)</f>
        <v>23.266500000000001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/stypes="app*4042*20171204*"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1"/>
        <v>"%USERPROFILE%\Documents\GitHub\eaglep3\Utilities\RefineRTDCRunTimes.py" --tripid 179-04 --locoid 4042 --swversion DE.1.0.9.0 --startMP 204:548 --initTime 2017-12-04T13:23:55 --startdatetime 2017-12-04T13:30:51 --delay 65 --endMP 204:233213 --enddatetime 2017-12-04T14:07:23 --enforcementcount 0 &gt;&gt;%USERPROFILE%\Documents\GitHub\eaglep3-reporting\EC\2017-12-04-refined-times.txt</v>
      </c>
      <c r="AI93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{"issue":{"subject":"","project_id":79,"tracker_id":40,"status_id":1,"priority_id":2,"assigned_to_id":338,"start_date":"2017-12-04","description":"","custom_fields":[{"id":1,"name":"Subdivision","value":"EC"},{"id":4,"name":"Milepost","value":"23.3213"},{"id":17,"name":"Train ID","value":"179-04"},{"id":16,"name":"Locomotive ID","value":"4042"},{"id":130,"name":"Impact","value":""},{"id":150,"name":"Time of Event (Mountain Time)","value":"14:07:23"},{"id":151,"name":"Denver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3"/>
        <v>start /low /b %USERPROFILE%\Documents\GitHub\eaglep3\Utilities\DownloadLogsFromS3.py --loco 4042 --day 2017-12-04</v>
      </c>
      <c r="AN93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5"/>
        <v>https://d0f6bd738d7f1b3e5a7ca70fe4ff75f0.us-east-1.aws.found.io/app/kibana#/discover/Steve-Slow-Train-Analysis-(2080s-and-2083s)?_g=(refreshInterval:(display:Off,pause:!f,section:0,value:0),time:(from:'2017-12-04T12:23:55-0700',mode:absolute,to:'2017-12-04T15:07:23-0700'))&amp;_a=(columns:!('Message%20ID',Summary),filters:!(),index:'emp_*',interval:auto,query:(query_string:(analyze_wildcard:!t,query:'%22rtdc.l.rtdc.4042%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802</v>
      </c>
      <c r="B94" s="225">
        <v>4041</v>
      </c>
      <c r="C94" s="227" t="s">
        <v>192</v>
      </c>
      <c r="D94" s="227" t="s">
        <v>955</v>
      </c>
      <c r="E94" s="226">
        <v>43073.596273148149</v>
      </c>
      <c r="F94" s="226">
        <v>43073.602268518516</v>
      </c>
      <c r="G94" s="225">
        <v>73</v>
      </c>
      <c r="H94" s="227" t="s">
        <v>637</v>
      </c>
      <c r="I94" s="226">
        <v>43073.631724537037</v>
      </c>
      <c r="J94" s="225">
        <v>0</v>
      </c>
      <c r="K94" s="237" t="str">
        <f>IF(ISEVEN(B94),(B94-1)&amp;"/"&amp;B94,B94&amp;"/"&amp;(B94+1))</f>
        <v>4041/4042</v>
      </c>
      <c r="L94" s="245" t="str">
        <f>VLOOKUP(A94,'Trips&amp;Operators'!$C$1:$G$99911,5,FALSE)</f>
        <v>NICHOLAS PLOYSA</v>
      </c>
      <c r="M94" s="224">
        <f>I94-F94</f>
        <v>2.9456018521159422E-2</v>
      </c>
      <c r="N94" s="225">
        <f>24*60*SUM($M94:$M94)</f>
        <v>42.416666670469567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-04T13:18:38-0700',mode:absolute,to:'2017-12-04T16:09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23.288699999999999</v>
      </c>
      <c r="Z94" s="247">
        <f>RIGHT(H94,LEN(H94)-4)/10000</f>
        <v>2.0299999999999999E-2</v>
      </c>
      <c r="AA94" s="247">
        <f>ABS(Z94-Y94)</f>
        <v>23.2684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/stypes="app*4041*20171204*"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1"/>
        <v>"%USERPROFILE%\Documents\GitHub\eaglep3\Utilities\RefineRTDCRunTimes.py" --tripid 180-04 --locoid 4041 --swversion DE.1.0.9.0 --startMP 204:232887 --initTime 2017-12-04T14:18:38 --startdatetime 2017-12-04T14:27:16 --delay 73 --endMP 204:203 --enddatetime 2017-12-04T15:09:41 --enforcementcount 0 &gt;&gt;%USERPROFILE%\Documents\GitHub\eaglep3-reporting\EC\2017-12-04-refined-times.txt</v>
      </c>
      <c r="AI94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{"issue":{"subject":"","project_id":79,"tracker_id":40,"status_id":1,"priority_id":2,"assigned_to_id":338,"start_date":"2017-12-04","description":"","custom_fields":[{"id":1,"name":"Subdivision","value":"EC"},{"id":4,"name":"Milepost","value":"0.0203"},{"id":17,"name":"Train ID","value":"180-04"},{"id":16,"name":"Locomotive ID","value":"4041"},{"id":130,"name":"Impact","value":""},{"id":150,"name":"Time of Event (Mountain Time)","value":"15:09:41"},{"id":151,"name":"Denver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3"/>
        <v>start /low /b %USERPROFILE%\Documents\GitHub\eaglep3\Utilities\DownloadLogsFromS3.py --loco 4041 --day 2017-12-04</v>
      </c>
      <c r="AN94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22:09:41"},{"id":29,"name":"Sharepoint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5"/>
        <v>https://d0f6bd738d7f1b3e5a7ca70fe4ff75f0.us-east-1.aws.found.io/app/kibana#/discover/Steve-Slow-Train-Analysis-(2080s-and-2083s)?_g=(refreshInterval:(display:Off,pause:!f,section:0,value:0),time:(from:'2017-12-04T13:18:38-0700',mode:absolute,to:'2017-12-04T16:09:41-0700'))&amp;_a=(columns:!('Message%20ID',Summary),filters:!(),index:'emp_*',interval:auto,query:(query_string:(analyze_wildcard:!t,query:'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796</v>
      </c>
      <c r="B95" s="225">
        <v>4058</v>
      </c>
      <c r="C95" s="227" t="s">
        <v>192</v>
      </c>
      <c r="D95" s="227" t="s">
        <v>956</v>
      </c>
      <c r="E95" s="226">
        <v>43073.569756944446</v>
      </c>
      <c r="F95" s="226">
        <v>43073.573136574072</v>
      </c>
      <c r="G95" s="225">
        <v>77</v>
      </c>
      <c r="H95" s="227" t="s">
        <v>957</v>
      </c>
      <c r="I95" s="226">
        <v>43073.599143518521</v>
      </c>
      <c r="J95" s="225">
        <v>0</v>
      </c>
      <c r="K95" s="237" t="str">
        <f>IF(ISEVEN(B95),(B95-1)&amp;"/"&amp;B95,B95&amp;"/"&amp;(B95+1))</f>
        <v>4057/4058</v>
      </c>
      <c r="L95" s="245" t="str">
        <f>VLOOKUP(A95,'Trips&amp;Operators'!$C$1:$G$99911,5,FALSE)</f>
        <v>LONG FULLER</v>
      </c>
      <c r="M95" s="224">
        <f>I95-F95</f>
        <v>2.6006944448454306E-2</v>
      </c>
      <c r="N95" s="225">
        <f>24*60*SUM($M95:$M95)</f>
        <v>37.4500000057742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-04T12:40:27-0700',mode:absolute,to:'2017-12-04T15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5.8000000000000003E-2</v>
      </c>
      <c r="Z95" s="247">
        <f>RIGHT(H95,LEN(H95)-4)/10000</f>
        <v>23.321999999999999</v>
      </c>
      <c r="AA95" s="247">
        <f>ABS(Z95-Y95)</f>
        <v>23.263999999999999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/stypes="app*4058*20171204*"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1"/>
        <v>"%USERPROFILE%\Documents\GitHub\eaglep3\Utilities\RefineRTDCRunTimes.py" --tripid 181-04 --locoid 4058 --swversion DE.1.0.9.0 --startMP 204:580 --initTime 2017-12-04T13:40:27 --startdatetime 2017-12-04T13:45:19 --delay 77 --endMP 204:233220 --enddatetime 2017-12-04T14:22:46 --enforcementcount 0 &gt;&gt;%USERPROFILE%\Documents\GitHub\eaglep3-reporting\EC\2017-12-04-refined-times.txt</v>
      </c>
      <c r="AI95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{"issue":{"subject":"","project_id":79,"tracker_id":40,"status_id":1,"priority_id":2,"assigned_to_id":338,"start_date":"2017-12-04","description":"","custom_fields":[{"id":1,"name":"Subdivision","value":"EC"},{"id":4,"name":"Milepost","value":"23.322"},{"id":17,"name":"Train ID","value":"181-04"},{"id":16,"name":"Locomotive ID","value":"4058"},{"id":130,"name":"Impact","value":""},{"id":150,"name":"Time of Event (Mountain Time)","value":"14:22:46"},{"id":151,"name":"Denver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3"/>
        <v>start /low /b %USERPROFILE%\Documents\GitHub\eaglep3\Utilities\DownloadLogsFromS3.py --loco 4058 --day 2017-12-04</v>
      </c>
      <c r="AN95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5"/>
        <v>https://d0f6bd738d7f1b3e5a7ca70fe4ff75f0.us-east-1.aws.found.io/app/kibana#/discover/Steve-Slow-Train-Analysis-(2080s-and-2083s)?_g=(refreshInterval:(display:Off,pause:!f,section:0,value:0),time:(from:'2017-12-04T12:40:27-0700',mode:absolute,to:'2017-12-04T15:22:46-0700'))&amp;_a=(columns:!('Message%20ID',Summary),filters:!(),index:'emp_*',interval:auto,query:(query_string:(analyze_wildcard:!t,query:'%22rtdc.l.rtdc.4058%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805</v>
      </c>
      <c r="B96" s="225">
        <v>4057</v>
      </c>
      <c r="C96" s="227" t="s">
        <v>192</v>
      </c>
      <c r="D96" s="227" t="s">
        <v>958</v>
      </c>
      <c r="E96" s="226">
        <v>43073.608414351853</v>
      </c>
      <c r="F96" s="226">
        <v>43073.612650462965</v>
      </c>
      <c r="G96" s="225">
        <v>65</v>
      </c>
      <c r="H96" s="227" t="s">
        <v>959</v>
      </c>
      <c r="I96" s="226">
        <v>43073.638206018521</v>
      </c>
      <c r="J96" s="225">
        <v>0</v>
      </c>
      <c r="K96" s="237" t="str">
        <f>IF(ISEVEN(B96),(B96-1)&amp;"/"&amp;B96,B96&amp;"/"&amp;(B96+1))</f>
        <v>4057/4058</v>
      </c>
      <c r="L96" s="245" t="str">
        <f>VLOOKUP(A96,'Trips&amp;Operators'!$C$1:$G$99911,5,FALSE)</f>
        <v>LONG FULLER</v>
      </c>
      <c r="M96" s="224">
        <f>I96-F96</f>
        <v>2.5555555555911269E-2</v>
      </c>
      <c r="N96" s="225">
        <f>24*60*SUM($M96:$M96)</f>
        <v>36.800000000512227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-04T13:36:07-0700',mode:absolute,to:'2017-12-04T16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23.2913</v>
      </c>
      <c r="Z96" s="247">
        <f>RIGHT(H96,LEN(H96)-4)/10000</f>
        <v>2.5399999999999999E-2</v>
      </c>
      <c r="AA96" s="247">
        <f>ABS(Z96-Y96)</f>
        <v>23.265899999999998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/stypes="app*4057*20171204*"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1"/>
        <v>"%USERPROFILE%\Documents\GitHub\eaglep3\Utilities\RefineRTDCRunTimes.py" --tripid 182-04 --locoid 4057 --swversion DE.1.0.9.0 --startMP 204:232913 --initTime 2017-12-04T14:36:07 --startdatetime 2017-12-04T14:42:13 --delay 65 --endMP 204:254 --enddatetime 2017-12-04T15:19:01 --enforcementcount 0 &gt;&gt;%USERPROFILE%\Documents\GitHub\eaglep3-reporting\EC\2017-12-04-refined-times.txt</v>
      </c>
      <c r="AI96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{"issue":{"subject":"","project_id":79,"tracker_id":40,"status_id":1,"priority_id":2,"assigned_to_id":338,"start_date":"2017-12-04","description":"","custom_fields":[{"id":1,"name":"Subdivision","value":"EC"},{"id":4,"name":"Milepost","value":"0.0254"},{"id":17,"name":"Train ID","value":"182-04"},{"id":16,"name":"Locomotive ID","value":"4057"},{"id":130,"name":"Impact","value":""},{"id":150,"name":"Time of Event (Mountain Time)","value":"15:19:01"},{"id":151,"name":"Denver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3"/>
        <v>start /low /b %USERPROFILE%\Documents\GitHub\eaglep3\Utilities\DownloadLogsFromS3.py --loco 4057 --day 2017-12-04</v>
      </c>
      <c r="AN96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5"/>
        <v>https://d0f6bd738d7f1b3e5a7ca70fe4ff75f0.us-east-1.aws.found.io/app/kibana#/discover/Steve-Slow-Train-Analysis-(2080s-and-2083s)?_g=(refreshInterval:(display:Off,pause:!f,section:0,value:0),time:(from:'2017-12-04T13:36:07-0700',mode:absolute,to:'2017-12-04T16:19:01-0700'))&amp;_a=(columns:!('Message%20ID',Summary),filters:!(),index:'emp_*',interval:auto,query:(query_string:(analyze_wildcard:!t,query:'%22rtdc.l.rtdc.4057%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798</v>
      </c>
      <c r="B97" s="225">
        <v>4030</v>
      </c>
      <c r="C97" s="227" t="s">
        <v>192</v>
      </c>
      <c r="D97" s="227" t="s">
        <v>496</v>
      </c>
      <c r="E97" s="226">
        <v>43073.580810185187</v>
      </c>
      <c r="F97" s="226">
        <v>43073.583587962959</v>
      </c>
      <c r="G97" s="225">
        <v>75</v>
      </c>
      <c r="H97" s="227" t="s">
        <v>451</v>
      </c>
      <c r="I97" s="226">
        <v>43073.608252314814</v>
      </c>
      <c r="J97" s="225">
        <v>0</v>
      </c>
      <c r="K97" s="237" t="str">
        <f>IF(ISEVEN(B97),(B97-1)&amp;"/"&amp;B97,B97&amp;"/"&amp;(B97+1))</f>
        <v>4029/4030</v>
      </c>
      <c r="L97" s="245" t="str">
        <f>VLOOKUP(A97,'Trips&amp;Operators'!$C$1:$G$99911,5,FALSE)</f>
        <v>SAFIEF AEIMEN</v>
      </c>
      <c r="M97" s="224">
        <f>I97-F97</f>
        <v>2.4664351854880806E-2</v>
      </c>
      <c r="N97" s="225">
        <f>24*60*SUM($M97:$M97)</f>
        <v>35.516666671028361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-04T12:56:22-0700',mode:absolute,to:'2017-12-04T15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4.9099999999999998E-2</v>
      </c>
      <c r="Z97" s="247">
        <f>RIGHT(H97,LEN(H97)-4)/10000</f>
        <v>23.324400000000001</v>
      </c>
      <c r="AA97" s="247">
        <f>ABS(Z97-Y97)</f>
        <v>23.275300000000001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/stypes="app*4030*20171204*"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1"/>
        <v>"%USERPROFILE%\Documents\GitHub\eaglep3\Utilities\RefineRTDCRunTimes.py" --tripid 183-04 --locoid 4030 --swversion DE.1.0.9.0 --startMP 204:491 --initTime 2017-12-04T13:56:22 --startdatetime 2017-12-04T14:00:22 --delay 75 --endMP 204:233244 --enddatetime 2017-12-04T14:35:53 --enforcementcount 0 &gt;&gt;%USERPROFILE%\Documents\GitHub\eaglep3-reporting\EC\2017-12-04-refined-times.txt</v>
      </c>
      <c r="AI97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{"issue":{"subject":"","project_id":79,"tracker_id":40,"status_id":1,"priority_id":2,"assigned_to_id":338,"start_date":"2017-12-04","description":"","custom_fields":[{"id":1,"name":"Subdivision","value":"EC"},{"id":4,"name":"Milepost","value":"23.3244"},{"id":17,"name":"Train ID","value":"183-04"},{"id":16,"name":"Locomotive ID","value":"4030"},{"id":130,"name":"Impact","value":""},{"id":150,"name":"Time of Event (Mountain Time)","value":"14:35:53"},{"id":151,"name":"Denver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3"/>
        <v>start /low /b %USERPROFILE%\Documents\GitHub\eaglep3\Utilities\DownloadLogsFromS3.py --loco 4030 --day 2017-12-04</v>
      </c>
      <c r="AN97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5"/>
        <v>https://d0f6bd738d7f1b3e5a7ca70fe4ff75f0.us-east-1.aws.found.io/app/kibana#/discover/Steve-Slow-Train-Analysis-(2080s-and-2083s)?_g=(refreshInterval:(display:Off,pause:!f,section:0,value:0),time:(from:'2017-12-04T12:56:22-0700',mode:absolute,to:'2017-12-04T15:35:53-0700'))&amp;_a=(columns:!('Message%20ID',Summary),filters:!(),index:'emp_*',interval:auto,query:(query_string:(analyze_wildcard:!t,query:'%22rtdc.l.rtdc.4030%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806</v>
      </c>
      <c r="B98" s="225">
        <v>4029</v>
      </c>
      <c r="C98" s="227" t="s">
        <v>192</v>
      </c>
      <c r="D98" s="227" t="s">
        <v>417</v>
      </c>
      <c r="E98" s="226">
        <v>43073.609571759262</v>
      </c>
      <c r="F98" s="226">
        <v>43073.623090277775</v>
      </c>
      <c r="G98" s="225">
        <v>89</v>
      </c>
      <c r="H98" s="227" t="s">
        <v>637</v>
      </c>
      <c r="I98" s="226">
        <v>43073.649328703701</v>
      </c>
      <c r="J98" s="225">
        <v>0</v>
      </c>
      <c r="K98" s="237" t="str">
        <f>IF(ISEVEN(B98),(B98-1)&amp;"/"&amp;B98,B98&amp;"/"&amp;(B98+1))</f>
        <v>4029/4030</v>
      </c>
      <c r="L98" s="245" t="str">
        <f>VLOOKUP(A98,'Trips&amp;Operators'!$C$1:$G$99911,5,FALSE)</f>
        <v>SAFIEF AEIMEN</v>
      </c>
      <c r="M98" s="224">
        <f>I98-F98</f>
        <v>2.6238425925839692E-2</v>
      </c>
      <c r="N98" s="225">
        <f>24*60*SUM($M98:$M98)</f>
        <v>37.783333333209157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-04T13:37:47-0700',mode:absolute,to:'2017-12-04T16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23.293199999999999</v>
      </c>
      <c r="Z98" s="247">
        <f>RIGHT(H98,LEN(H98)-4)/10000</f>
        <v>2.0299999999999999E-2</v>
      </c>
      <c r="AA98" s="247">
        <f>ABS(Z98-Y98)</f>
        <v>23.2729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/stypes="app*4029*20171204*"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1"/>
        <v>"%USERPROFILE%\Documents\GitHub\eaglep3\Utilities\RefineRTDCRunTimes.py" --tripid 184-04 --locoid 4029 --swversion DE.1.0.9.0 --startMP 204:232932 --initTime 2017-12-04T14:37:47 --startdatetime 2017-12-04T14:57:15 --delay 89 --endMP 204:203 --enddatetime 2017-12-04T15:35:02 --enforcementcount 0 &gt;&gt;%USERPROFILE%\Documents\GitHub\eaglep3-reporting\EC\2017-12-04-refined-times.txt</v>
      </c>
      <c r="AI98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{"issue":{"subject":"","project_id":79,"tracker_id":40,"status_id":1,"priority_id":2,"assigned_to_id":338,"start_date":"2017-12-04","description":"","custom_fields":[{"id":1,"name":"Subdivision","value":"EC"},{"id":4,"name":"Milepost","value":"0.0203"},{"id":17,"name":"Train ID","value":"184-04"},{"id":16,"name":"Locomotive ID","value":"4029"},{"id":130,"name":"Impact","value":""},{"id":150,"name":"Time of Event (Mountain Time)","value":"15:35:02"},{"id":151,"name":"Denver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3"/>
        <v>start /low /b %USERPROFILE%\Documents\GitHub\eaglep3\Utilities\DownloadLogsFromS3.py --loco 4029 --day 2017-12-04</v>
      </c>
      <c r="AN98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5"/>
        <v>https://d0f6bd738d7f1b3e5a7ca70fe4ff75f0.us-east-1.aws.found.io/app/kibana#/discover/Steve-Slow-Train-Analysis-(2080s-and-2083s)?_g=(refreshInterval:(display:Off,pause:!f,section:0,value:0),time:(from:'2017-12-04T13:37:47-0700',mode:absolute,to:'2017-12-04T16:35:02-0700'))&amp;_a=(columns:!('Message%20ID',Summary),filters:!(),index:'emp_*',interval:auto,query:(query_string:(analyze_wildcard:!t,query:'%22rtdc.l.rtdc.4029%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801</v>
      </c>
      <c r="B99" s="225">
        <v>4064</v>
      </c>
      <c r="C99" s="227" t="s">
        <v>192</v>
      </c>
      <c r="D99" s="227" t="s">
        <v>605</v>
      </c>
      <c r="E99" s="226">
        <v>43073.590798611112</v>
      </c>
      <c r="F99" s="226">
        <v>43073.607835648145</v>
      </c>
      <c r="G99" s="225">
        <v>91</v>
      </c>
      <c r="H99" s="227" t="s">
        <v>509</v>
      </c>
      <c r="I99" s="226">
        <v>43073.625162037039</v>
      </c>
      <c r="J99" s="225">
        <v>0</v>
      </c>
      <c r="K99" s="237" t="str">
        <f>IF(ISEVEN(B99),(B99-1)&amp;"/"&amp;B99,B99&amp;"/"&amp;(B99+1))</f>
        <v>4063/4064</v>
      </c>
      <c r="L99" s="245" t="str">
        <f>VLOOKUP(A99,'Trips&amp;Operators'!$C$1:$G$99911,5,FALSE)</f>
        <v>BIRENBAUM THOMAS</v>
      </c>
      <c r="M99" s="224">
        <f>I99-F99</f>
        <v>1.732638889370719E-2</v>
      </c>
      <c r="N99" s="225"/>
      <c r="O99" s="225"/>
      <c r="P99" s="225"/>
      <c r="Q99" s="228"/>
      <c r="R99" s="242"/>
      <c r="S99" s="249"/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-04T13:10:45-0700',mode:absolute,to:'2017-12-04T16:00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247" t="str">
        <f>IF(AA99&lt;VLOOKUP(AG99,Variables!$AC$3:$AD$8,2,FALSE),"Y","N")</f>
        <v>Y</v>
      </c>
      <c r="X99" s="247">
        <f>VALUE(LEFT(AD99,4))-VALUE(LEFT(AD98,4))</f>
        <v>1</v>
      </c>
      <c r="Y99" s="247">
        <f>RIGHT(D99,LEN(D99)-4)/10000</f>
        <v>4.82E-2</v>
      </c>
      <c r="Z99" s="247">
        <f>RIGHT(H99,LEN(H99)-4)/10000</f>
        <v>4.8399999999999999E-2</v>
      </c>
      <c r="AA99" s="247">
        <f>ABS(Z99-Y99)</f>
        <v>1.9999999999999879E-4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/stypes="app*4064*20171204*"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1"/>
        <v>"%USERPROFILE%\Documents\GitHub\eaglep3\Utilities\RefineRTDCRunTimes.py" --tripid 185-04 --locoid 4064 --swversion DE.1.0.9.0 --startMP 204:482 --initTime 2017-12-04T14:10:45 --startdatetime 2017-12-04T14:35:17 --delay 91 --endMP 204:484 --enddatetime 2017-12-04T15:00:14 --enforcementcount 0 &gt;&gt;%USERPROFILE%\Documents\GitHub\eaglep3-reporting\EC\2017-12-04-refined-times.txt</v>
      </c>
      <c r="AI99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{"issue":{"subject":"","project_id":79,"tracker_id":40,"status_id":1,"priority_id":2,"assigned_to_id":338,"start_date":"2017-12-04","description":"","custom_fields":[{"id":1,"name":"Subdivision","value":"EC"},{"id":4,"name":"Milepost","value":"0.0484"},{"id":17,"name":"Train ID","value":"185-04"},{"id":16,"name":"Locomotive ID","value":"4064"},{"id":130,"name":"Impact","value":""},{"id":150,"name":"Time of Event (Mountain Time)","value":"15:00:14"},{"id":151,"name":"Denver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3"/>
        <v>start /low /b %USERPROFILE%\Documents\GitHub\eaglep3\Utilities\DownloadLogsFromS3.py --loco 4064 --day 2017-12-04</v>
      </c>
      <c r="AN99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22:00:14"},{"id":29,"name":"Sharepoint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5"/>
        <v>https://d0f6bd738d7f1b3e5a7ca70fe4ff75f0.us-east-1.aws.found.io/app/kibana#/discover/Steve-Slow-Train-Analysis-(2080s-and-2083s)?_g=(refreshInterval:(display:Off,pause:!f,section:0,value:0),time:(from:'2017-12-04T13:10:45-0700',mode:absolute,to:'2017-12-04T16:00:14-0700'))&amp;_a=(columns:!('Message%20ID',Summary),filters:!(),index:'emp_*',interval:auto,query:(query_string:(analyze_wildcard:!t,query:'%22rtdc.l.rtdc.4064%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801</v>
      </c>
      <c r="B100" s="225">
        <v>4064</v>
      </c>
      <c r="C100" s="227" t="s">
        <v>192</v>
      </c>
      <c r="D100" s="227" t="s">
        <v>960</v>
      </c>
      <c r="E100" s="226">
        <v>43073.606377314813</v>
      </c>
      <c r="F100" s="226">
        <v>43073.607835648145</v>
      </c>
      <c r="G100" s="225">
        <v>58</v>
      </c>
      <c r="H100" s="227" t="s">
        <v>468</v>
      </c>
      <c r="I100" s="226">
        <v>43073.625162037039</v>
      </c>
      <c r="J100" s="225">
        <v>0</v>
      </c>
      <c r="K100" s="237" t="str">
        <f>IF(ISEVEN(B100),(B100-1)&amp;"/"&amp;B100,B100&amp;"/"&amp;(B100+1))</f>
        <v>4063/4064</v>
      </c>
      <c r="L100" s="245" t="str">
        <f>VLOOKUP(A100,'Trips&amp;Operators'!$C$1:$G$99911,5,FALSE)</f>
        <v>BIRENBAUM THOMAS</v>
      </c>
      <c r="M100" s="224">
        <f>I100-F100</f>
        <v>1.732638889370719E-2</v>
      </c>
      <c r="N100" s="225"/>
      <c r="O100" s="225"/>
      <c r="P100" s="225">
        <f>24*60*SUM($M100:$M100)</f>
        <v>24.950000006938353</v>
      </c>
      <c r="Q100" s="228"/>
      <c r="R100" s="242" t="s">
        <v>1098</v>
      </c>
      <c r="S100" s="249">
        <f>1/IF(AG100="EC",12,1)*SUM(U100:U100)</f>
        <v>0.25</v>
      </c>
      <c r="T100" s="242" t="str">
        <f>IF(ISEVEN(LEFT(AD100,4)),"Southbound","NorthBound")</f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3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-04T13:33:11-0700',mode:absolute,to:'2017-12-04T16:00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247" t="str">
        <f>IF(AA100&lt;VLOOKUP(AG100,Variables!$AC$3:$AD$8,2,FALSE),"Y","N")</f>
        <v>Y</v>
      </c>
      <c r="X100" s="247">
        <f>VALUE(LEFT(AD100,4))-VALUE(LEFT(AD99,4))</f>
        <v>0</v>
      </c>
      <c r="Y100" s="247">
        <f>RIGHT(D100,LEN(D100)-4)/10000</f>
        <v>6.4683999999999999</v>
      </c>
      <c r="Z100" s="247">
        <f>RIGHT(H100,LEN(H100)-4)/10000</f>
        <v>23.3249</v>
      </c>
      <c r="AA100" s="247">
        <f>ABS(Z100-Y100)</f>
        <v>16.8565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185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/stypes="app*4064*20171204*"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1"/>
        <v>"%USERPROFILE%\Documents\GitHub\eaglep3\Utilities\RefineRTDCRunTimes.py" --tripid 185-04 --locoid 4064 --swversion DE.1.0.9.0 --startMP 204:64684 --initTime 2017-12-04T14:33:11 --startdatetime 2017-12-04T14:35:17 --delay 58 --endMP 204:233249 --enddatetime 2017-12-04T15:00:14 --enforcementcount 0 &gt;&gt;%USERPROFILE%\Documents\GitHub\eaglep3-reporting\EC\2017-12-04-refined-times.txt</v>
      </c>
      <c r="AI100" s="238" t="str">
        <f t="shared" si="12"/>
        <v>echo {"issue":{"subject":"Onboard in-route failure","project_id":79,"tracker_id":40,"status_id":1,"priority_id":2,"assigned_to_id":338,"start_date":"2017-12-04","description":"","custom_fields":[{"id":1,"name":"Subdivision","value":"EC"},{"id":4,"name":"Milepost","value":"23.3249"},{"id":17,"name":"Train ID","value":"185-04"},{"id":16,"name":"Locomotive ID","value":"4064"},{"id":130,"name":"Impact","value":""},{"id":150,"name":"Time of Event (Mountain Time)","value":"15:00:14"},{"id":151,"name":"Denver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3"/>
        <v>start /low /b %USERPROFILE%\Documents\GitHub\eaglep3\Utilities\DownloadLogsFromS3.py --loco 4064 --day 2017-12-04</v>
      </c>
      <c r="AN100" s="241" t="str">
        <f t="shared" si="14"/>
        <v>echo {"issue":{"subject":"Onboard in-route failure","project_id":30,"tracker_id":4,"status_id":1,"priority_id":1,"assigned_to_id":10,"start_date":"2017-12-04","description":"","custom_fields":[{"id":30,"name":"Category","value":"Issue"},{"id":3,"name":"Functional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22:00:14"},{"id":29,"name":"Sharepoint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5"/>
        <v>https://d0f6bd738d7f1b3e5a7ca70fe4ff75f0.us-east-1.aws.found.io/app/kibana#/discover/Steve-Slow-Train-Analysis-(2080s-and-2083s)?_g=(refreshInterval:(display:Off,pause:!f,section:0,value:0),time:(from:'2017-12-04T13:33:11-0700',mode:absolute,to:'2017-12-04T16:00:14-0700'))&amp;_a=(columns:!('Message%20ID',Summary),filters:!(),index:'emp_*',interval:auto,query:(query_string:(analyze_wildcard:!t,query:'%22rtdc.l.rtdc.4064%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809</v>
      </c>
      <c r="B101" s="225">
        <v>4063</v>
      </c>
      <c r="C101" s="227" t="s">
        <v>192</v>
      </c>
      <c r="D101" s="227" t="s">
        <v>960</v>
      </c>
      <c r="E101" s="226">
        <v>43073.606377314813</v>
      </c>
      <c r="F101" s="226">
        <v>43073.633483796293</v>
      </c>
      <c r="G101" s="225">
        <v>58</v>
      </c>
      <c r="H101" s="227" t="s">
        <v>468</v>
      </c>
      <c r="I101" s="226">
        <v>43073.659537037034</v>
      </c>
      <c r="J101" s="225">
        <v>0</v>
      </c>
      <c r="K101" s="237" t="str">
        <f>IF(ISEVEN(B101),(B101-1)&amp;"/"&amp;B101,B101&amp;"/"&amp;(B101+1))</f>
        <v>4063/4064</v>
      </c>
      <c r="L101" s="245" t="str">
        <f>VLOOKUP(A101,'Trips&amp;Operators'!$C$1:$G$99911,5,FALSE)</f>
        <v>BIRENBAUM THOMAS</v>
      </c>
      <c r="M101" s="224">
        <f>I101-F101</f>
        <v>2.6053240741021E-2</v>
      </c>
      <c r="N101" s="225">
        <f>24*60*SUM($M101:$M101)</f>
        <v>37.51666666707024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-04T13:33:11-0700',mode:absolute,to:'2017-12-04T16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v>23.293199999999999</v>
      </c>
      <c r="Z101" s="247">
        <v>2.0299999999999999E-2</v>
      </c>
      <c r="AA101" s="247">
        <f>ABS(Z101-Y101)</f>
        <v>23.2729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186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/stypes="app*4063*20171204*"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ref="AH101" si="23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186-04 --locoid 4063 --swversion DE.1.0.9.0 --startMP 204:64684 --initTime 2017-12-04T14:33:11 --startdatetime 2017-12-04T15:12:13 --delay 58 --endMP 204:233249 --enddatetime 2017-12-04T15:49:44 --enforcementcount 0 &gt;&gt;%USERPROFILE%\Documents\GitHub\eaglep3-reporting\EC\2017-12-04-refined-times.txt</v>
      </c>
      <c r="AI101" s="238" t="str">
        <f t="shared" ref="AI101" si="24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{"issue":{"subject":"","project_id":79,"tracker_id":40,"status_id":1,"priority_id":2,"assigned_to_id":338,"start_date":"2017-12-04","description":"","custom_fields":[{"id":1,"name":"Subdivision","value":"EC"},{"id":4,"name":"Milepost","value":"0.0203"},{"id":17,"name":"Train ID","value":"186-04"},{"id":16,"name":"Locomotive ID","value":"4063"},{"id":130,"name":"Impact","value":""},{"id":150,"name":"Time of Event (Mountain Time)","value":"15:49:44"},{"id":151,"name":"Denver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ref="AM101" si="25">"start /low /b "&amp;dls3logs&amp;" --loco "&amp;B101&amp;" --day "&amp;TEXT(F101,"YYYY-MM-DD")</f>
        <v>start /low /b %USERPROFILE%\Documents\GitHub\eaglep3\Utilities\DownloadLogsFromS3.py --loco 4063 --day 2017-12-04</v>
      </c>
      <c r="AN101" s="241" t="str">
        <f t="shared" ref="AN101" si="26">"echo {""issue"":{""subject"":"""&amp;R101&amp;""",""project_id"":30,""tracker_id"":4,""status_id"":"&amp;redmine_status_wcr&amp;",""priority_id"":"&amp;redmine_priority_wcr&amp;",""assigned_to_id"":"&amp;redmine_assignee_wcr&amp;",""start_date"":"""&amp;TEXT(I101-utc_offset/24,"YYYY-mm-dd")&amp;""",""description"":"""&amp;AJ101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ref="AO101" si="27"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Message%20ID',Summary),filters:!(),index:'emp_*',interval:auto,query:"&amp;"(query_string:(analyze_wildcard:!t,query:'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-04T13:33:11-0700',mode:absolute,to:'2017-12-04T16:49:44-0700'))&amp;_a=(columns:!('Message%20ID',Summary),filters:!(),index:'emp_*',interval:auto,query:(query_string:(analyze_wildcard:!t,query:'%22rtdc.l.rtdc.4063%22')),sort:!(Time.ISO8601,asc))</v>
      </c>
      <c r="AP101" s="223"/>
      <c r="AQ101" s="223"/>
      <c r="AR101" s="223"/>
      <c r="AS101" s="223"/>
      <c r="AT101" s="223"/>
      <c r="AU101" s="223"/>
      <c r="AV101" s="223"/>
      <c r="AW101" s="223"/>
      <c r="AX101" s="223"/>
      <c r="AY101" s="223"/>
      <c r="AZ101" s="223"/>
      <c r="BA101" s="223"/>
      <c r="BB101" s="223"/>
      <c r="BC101" s="223"/>
      <c r="BD101" s="223"/>
      <c r="BE101" s="223"/>
      <c r="BF101" s="223"/>
      <c r="BG101" s="223"/>
      <c r="BH101" s="223"/>
      <c r="BI101" s="223"/>
      <c r="BJ101" s="223"/>
      <c r="BK101" s="223"/>
      <c r="BL101" s="223"/>
      <c r="BM101" s="223"/>
      <c r="BN101" s="223"/>
      <c r="BO101" s="223"/>
      <c r="BP101" s="223"/>
      <c r="BQ101" s="223"/>
      <c r="BR101" s="223"/>
      <c r="BS101" s="223"/>
      <c r="BT101" s="223"/>
      <c r="BU101" s="223"/>
      <c r="BV101" s="223"/>
      <c r="BW101" s="223"/>
      <c r="BX101" s="223"/>
      <c r="BY101" s="223"/>
      <c r="BZ101" s="223"/>
      <c r="CA101" s="223"/>
      <c r="CB101" s="223"/>
      <c r="CC101" s="223"/>
      <c r="CD101" s="223"/>
      <c r="CE101" s="223"/>
      <c r="CF101" s="223"/>
      <c r="CG101" s="223"/>
      <c r="CH101" s="223"/>
      <c r="CI101" s="223"/>
      <c r="CJ101" s="223"/>
      <c r="CK101" s="223"/>
      <c r="CL101" s="223"/>
      <c r="CM101" s="223"/>
    </row>
    <row r="102" spans="1:91" s="1" customFormat="1" x14ac:dyDescent="0.25">
      <c r="A102" s="229" t="s">
        <v>803</v>
      </c>
      <c r="B102" s="225">
        <v>4022</v>
      </c>
      <c r="C102" s="227" t="s">
        <v>192</v>
      </c>
      <c r="D102" s="227" t="s">
        <v>961</v>
      </c>
      <c r="E102" s="226">
        <v>43073.600127314814</v>
      </c>
      <c r="F102" s="226">
        <v>43073.604467592595</v>
      </c>
      <c r="G102" s="225">
        <v>60</v>
      </c>
      <c r="H102" s="227" t="s">
        <v>962</v>
      </c>
      <c r="I102" s="226">
        <v>43073.62976851852</v>
      </c>
      <c r="J102" s="225">
        <v>0</v>
      </c>
      <c r="K102" s="237" t="str">
        <f>IF(ISEVEN(B102),(B102-1)&amp;"/"&amp;B102,B102&amp;"/"&amp;(B102+1))</f>
        <v>4021/4022</v>
      </c>
      <c r="L102" s="245" t="str">
        <f>VLOOKUP(A102,'Trips&amp;Operators'!$C$1:$G$99911,5,FALSE)</f>
        <v>SMITH MICHAEL</v>
      </c>
      <c r="M102" s="224">
        <f>I102-F102</f>
        <v>2.5300925924966577E-2</v>
      </c>
      <c r="N102" s="225">
        <f>24*60*SUM($M102:$M102)</f>
        <v>36.433333331951872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-04T13:24:11-0700',mode:absolute,to:'2017-12-04T16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5.5100000000000003E-2</v>
      </c>
      <c r="Z102" s="247">
        <f>RIGHT(H102,LEN(H102)-4)/10000</f>
        <v>23.3215</v>
      </c>
      <c r="AA102" s="247">
        <f>ABS(Z102-Y102)</f>
        <v>23.266400000000001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187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/stypes="app*4022*20171204*" /stext=" 22:.+((SYSTEM_STATE.+slice.+state.+changed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1"/>
        <v>"%USERPROFILE%\Documents\GitHub\eaglep3\Utilities\RefineRTDCRunTimes.py" --tripid 187-04 --locoid 4022 --swversion DE.1.0.9.0 --startMP 204:551 --initTime 2017-12-04T14:24:11 --startdatetime 2017-12-04T14:30:26 --delay 60 --endMP 204:233215 --enddatetime 2017-12-04T15:06:52 --enforcementcount 0 &gt;&gt;%USERPROFILE%\Documents\GitHub\eaglep3-reporting\EC\2017-12-04-refined-times.txt</v>
      </c>
      <c r="AI102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{"issue":{"subject":"","project_id":79,"tracker_id":40,"status_id":1,"priority_id":2,"assigned_to_id":338,"start_date":"2017-12-04","description":"","custom_fields":[{"id":1,"name":"Subdivision","value":"EC"},{"id":4,"name":"Milepost","value":"23.3215"},{"id":17,"name":"Train ID","value":"187-04"},{"id":16,"name":"Locomotive ID","value":"4022"},{"id":130,"name":"Impact","value":""},{"id":150,"name":"Time of Event (Mountain Time)","value":"15:06:52"},{"id":151,"name":"Denver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3"/>
        <v>start /low /b %USERPROFILE%\Documents\GitHub\eaglep3\Utilities\DownloadLogsFromS3.py --loco 4022 --day 2017-12-04</v>
      </c>
      <c r="AN102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5"/>
        <v>https://d0f6bd738d7f1b3e5a7ca70fe4ff75f0.us-east-1.aws.found.io/app/kibana#/discover/Steve-Slow-Train-Analysis-(2080s-and-2083s)?_g=(refreshInterval:(display:Off,pause:!f,section:0,value:0),time:(from:'2017-12-04T13:24:11-0700',mode:absolute,to:'2017-12-04T16:06:52-0700'))&amp;_a=(columns:!('Message%20ID',Summary),filters:!(),index:'emp_*',interval:auto,query:(query_string:(analyze_wildcard:!t,query:'%22rtdc.l.rtdc.4022%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814</v>
      </c>
      <c r="B103" s="225">
        <v>4021</v>
      </c>
      <c r="C103" s="227" t="s">
        <v>192</v>
      </c>
      <c r="D103" s="227" t="s">
        <v>963</v>
      </c>
      <c r="E103" s="226">
        <v>43073.634467592594</v>
      </c>
      <c r="F103" s="226">
        <v>43073.643969907411</v>
      </c>
      <c r="G103" s="225">
        <v>69</v>
      </c>
      <c r="H103" s="227" t="s">
        <v>964</v>
      </c>
      <c r="I103" s="226">
        <v>43073.669479166667</v>
      </c>
      <c r="J103" s="225">
        <v>0</v>
      </c>
      <c r="K103" s="237" t="str">
        <f>IF(ISEVEN(B103),(B103-1)&amp;"/"&amp;B103,B103&amp;"/"&amp;(B103+1))</f>
        <v>4021/4022</v>
      </c>
      <c r="L103" s="245" t="str">
        <f>VLOOKUP(A103,'Trips&amp;Operators'!$C$1:$G$99911,5,FALSE)</f>
        <v>SMITH MICHAEL</v>
      </c>
      <c r="M103" s="224">
        <f>I103-F103</f>
        <v>2.5509259256068617E-2</v>
      </c>
      <c r="N103" s="225">
        <f>24*60*SUM($M103:$M103)</f>
        <v>36.733333328738809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-04T14:13:38-0700',mode:absolute,to:'2017-12-04T17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23.29</v>
      </c>
      <c r="Z103" s="247">
        <f>RIGHT(H103,LEN(H103)-4)/10000</f>
        <v>2.5100000000000001E-2</v>
      </c>
      <c r="AA103" s="247">
        <f>ABS(Z103-Y103)</f>
        <v>23.264900000000001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188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/stypes="app*4021*20171204*" /stext=" 23:.+((SYSTEM_STATE.+slice.+state.+changed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1"/>
        <v>"%USERPROFILE%\Documents\GitHub\eaglep3\Utilities\RefineRTDCRunTimes.py" --tripid 188-04 --locoid 4021 --swversion DE.1.0.9.0 --startMP 204:232900 --initTime 2017-12-04T15:13:38 --startdatetime 2017-12-04T15:27:19 --delay 69 --endMP 204:251 --enddatetime 2017-12-04T16:04:03 --enforcementcount 0 &gt;&gt;%USERPROFILE%\Documents\GitHub\eaglep3-reporting\EC\2017-12-04-refined-times.txt</v>
      </c>
      <c r="AI103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{"issue":{"subject":"","project_id":79,"tracker_id":40,"status_id":1,"priority_id":2,"assigned_to_id":338,"start_date":"2017-12-04","description":"","custom_fields":[{"id":1,"name":"Subdivision","value":"EC"},{"id":4,"name":"Milepost","value":"0.0251"},{"id":17,"name":"Train ID","value":"188-04"},{"id":16,"name":"Locomotive ID","value":"4021"},{"id":130,"name":"Impact","value":""},{"id":150,"name":"Time of Event (Mountain Time)","value":"16:04:03"},{"id":151,"name":"Denver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3"/>
        <v>start /low /b %USERPROFILE%\Documents\GitHub\eaglep3\Utilities\DownloadLogsFromS3.py --loco 4021 --day 2017-12-04</v>
      </c>
      <c r="AN103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5"/>
        <v>https://d0f6bd738d7f1b3e5a7ca70fe4ff75f0.us-east-1.aws.found.io/app/kibana#/discover/Steve-Slow-Train-Analysis-(2080s-and-2083s)?_g=(refreshInterval:(display:Off,pause:!f,section:0,value:0),time:(from:'2017-12-04T14:13:38-0700',mode:absolute,to:'2017-12-04T17:04:03-0700'))&amp;_a=(columns:!('Message%20ID',Summary),filters:!(),index:'emp_*',interval:auto,query:(query_string:(analyze_wildcard:!t,query:'%22rtdc.l.rtdc.4021%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9" t="s">
        <v>807</v>
      </c>
      <c r="B104" s="225">
        <v>4008</v>
      </c>
      <c r="C104" s="227" t="s">
        <v>192</v>
      </c>
      <c r="D104" s="227" t="s">
        <v>614</v>
      </c>
      <c r="E104" s="226">
        <v>43073.612847222219</v>
      </c>
      <c r="F104" s="226">
        <v>43073.614999999998</v>
      </c>
      <c r="G104" s="225">
        <v>58</v>
      </c>
      <c r="H104" s="227" t="s">
        <v>606</v>
      </c>
      <c r="I104" s="226">
        <v>43073.642083333332</v>
      </c>
      <c r="J104" s="225">
        <v>0</v>
      </c>
      <c r="K104" s="237" t="str">
        <f>IF(ISEVEN(B104),(B104-1)&amp;"/"&amp;B104,B104&amp;"/"&amp;(B104+1))</f>
        <v>4007/4008</v>
      </c>
      <c r="L104" s="245" t="str">
        <f>VLOOKUP(A104,'Trips&amp;Operators'!$C$1:$G$99911,5,FALSE)</f>
        <v>DAVIS MICHAEL</v>
      </c>
      <c r="M104" s="224">
        <f>I104-F104</f>
        <v>2.7083333334303461E-2</v>
      </c>
      <c r="N104" s="225">
        <f>24*60*SUM($M104:$M104)</f>
        <v>39.000000001396984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-04T13:42:30-0700',mode:absolute,to:'2017-12-04T16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5.04E-2</v>
      </c>
      <c r="Z104" s="247">
        <f>RIGHT(H104,LEN(H104)-4)/10000</f>
        <v>23.330300000000001</v>
      </c>
      <c r="AA104" s="247">
        <f>ABS(Z104-Y104)</f>
        <v>23.279900000000001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189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/stypes="app*4008*20171204*" /stext=" 22:.+((SYSTEM_STATE.+slice.+state.+changed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1"/>
        <v>"%USERPROFILE%\Documents\GitHub\eaglep3\Utilities\RefineRTDCRunTimes.py" --tripid 189-04 --locoid 4008 --swversion DE.1.0.9.0 --startMP 204:504 --initTime 2017-12-04T14:42:30 --startdatetime 2017-12-04T14:45:36 --delay 58 --endMP 204:233303 --enddatetime 2017-12-04T15:24:36 --enforcementcount 0 &gt;&gt;%USERPROFILE%\Documents\GitHub\eaglep3-reporting\EC\2017-12-04-refined-times.txt</v>
      </c>
      <c r="AI104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{"issue":{"subject":"","project_id":79,"tracker_id":40,"status_id":1,"priority_id":2,"assigned_to_id":338,"start_date":"2017-12-04","description":"","custom_fields":[{"id":1,"name":"Subdivision","value":"EC"},{"id":4,"name":"Milepost","value":"23.3303"},{"id":17,"name":"Train ID","value":"189-04"},{"id":16,"name":"Locomotive ID","value":"4008"},{"id":130,"name":"Impact","value":""},{"id":150,"name":"Time of Event (Mountain Time)","value":"15:24:36"},{"id":151,"name":"Denver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3"/>
        <v>start /low /b %USERPROFILE%\Documents\GitHub\eaglep3\Utilities\DownloadLogsFromS3.py --loco 4008 --day 2017-12-04</v>
      </c>
      <c r="AN104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5"/>
        <v>https://d0f6bd738d7f1b3e5a7ca70fe4ff75f0.us-east-1.aws.found.io/app/kibana#/discover/Steve-Slow-Train-Analysis-(2080s-and-2083s)?_g=(refreshInterval:(display:Off,pause:!f,section:0,value:0),time:(from:'2017-12-04T13:42:30-0700',mode:absolute,to:'2017-12-04T16:24:36-0700'))&amp;_a=(columns:!('Message%20ID',Summary),filters:!(),index:'emp_*',interval:auto,query:(query_string:(analyze_wildcard:!t,query:'%22rtdc.l.rtdc.4008%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9" t="s">
        <v>818</v>
      </c>
      <c r="B105" s="225">
        <v>4007</v>
      </c>
      <c r="C105" s="227" t="s">
        <v>192</v>
      </c>
      <c r="D105" s="227" t="s">
        <v>534</v>
      </c>
      <c r="E105" s="226">
        <v>43073.651817129627</v>
      </c>
      <c r="F105" s="226">
        <v>43073.654513888891</v>
      </c>
      <c r="G105" s="225">
        <v>86</v>
      </c>
      <c r="H105" s="227" t="s">
        <v>501</v>
      </c>
      <c r="I105" s="226">
        <v>43073.682222222225</v>
      </c>
      <c r="J105" s="225">
        <v>0</v>
      </c>
      <c r="K105" s="237" t="str">
        <f>IF(ISEVEN(B105),(B105-1)&amp;"/"&amp;B105,B105&amp;"/"&amp;(B105+1))</f>
        <v>4007/4008</v>
      </c>
      <c r="L105" s="245" t="str">
        <f>VLOOKUP(A105,'Trips&amp;Operators'!$C$1:$G$99911,5,FALSE)</f>
        <v>DAVIS MICHAEL</v>
      </c>
      <c r="M105" s="224">
        <f>I105-F105</f>
        <v>2.7708333334885538E-2</v>
      </c>
      <c r="N105" s="225">
        <f>24*60*SUM($M105:$M105)</f>
        <v>39.900000002235174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-04T14:38:37-0700',mode:absolute,to:'2017-12-04T17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23.297799999999999</v>
      </c>
      <c r="Z105" s="247">
        <f>RIGHT(H105,LEN(H105)-4)/10000</f>
        <v>2.0899999999999998E-2</v>
      </c>
      <c r="AA105" s="247">
        <f>ABS(Z105-Y105)</f>
        <v>23.276899999999998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190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/stypes="app*4007*20171204*" /stext=" 23:.+((SYSTEM_STATE.+slice.+state.+changed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1"/>
        <v>"%USERPROFILE%\Documents\GitHub\eaglep3\Utilities\RefineRTDCRunTimes.py" --tripid 190-04 --locoid 4007 --swversion DE.1.0.9.0 --startMP 204:232978 --initTime 2017-12-04T15:38:37 --startdatetime 2017-12-04T15:42:30 --delay 86 --endMP 204:209 --enddatetime 2017-12-04T16:22:24 --enforcementcount 0 &gt;&gt;%USERPROFILE%\Documents\GitHub\eaglep3-reporting\EC\2017-12-04-refined-times.txt</v>
      </c>
      <c r="AI105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{"issue":{"subject":"","project_id":79,"tracker_id":40,"status_id":1,"priority_id":2,"assigned_to_id":338,"start_date":"2017-12-04","description":"","custom_fields":[{"id":1,"name":"Subdivision","value":"EC"},{"id":4,"name":"Milepost","value":"0.0209"},{"id":17,"name":"Train ID","value":"190-04"},{"id":16,"name":"Locomotive ID","value":"4007"},{"id":130,"name":"Impact","value":""},{"id":150,"name":"Time of Event (Mountain Time)","value":"16:22:24"},{"id":151,"name":"Denver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3"/>
        <v>start /low /b %USERPROFILE%\Documents\GitHub\eaglep3\Utilities\DownloadLogsFromS3.py --loco 4007 --day 2017-12-04</v>
      </c>
      <c r="AN105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5"/>
        <v>https://d0f6bd738d7f1b3e5a7ca70fe4ff75f0.us-east-1.aws.found.io/app/kibana#/discover/Steve-Slow-Train-Analysis-(2080s-and-2083s)?_g=(refreshInterval:(display:Off,pause:!f,section:0,value:0),time:(from:'2017-12-04T14:38:37-0700',mode:absolute,to:'2017-12-04T17:22:24-0700'))&amp;_a=(columns:!('Message%20ID',Summary),filters:!(),index:'emp_*',interval:auto,query:(query_string:(analyze_wildcard:!t,query:'%22rtdc.l.rtdc.4007%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9" t="s">
        <v>808</v>
      </c>
      <c r="B106" s="225">
        <v>4010</v>
      </c>
      <c r="C106" s="227" t="s">
        <v>192</v>
      </c>
      <c r="D106" s="227" t="s">
        <v>965</v>
      </c>
      <c r="E106" s="226">
        <v>43073.620555555557</v>
      </c>
      <c r="F106" s="226">
        <v>43073.625300925924</v>
      </c>
      <c r="G106" s="225">
        <v>82</v>
      </c>
      <c r="H106" s="227" t="s">
        <v>470</v>
      </c>
      <c r="I106" s="226">
        <v>43073.650243055556</v>
      </c>
      <c r="J106" s="225">
        <v>0</v>
      </c>
      <c r="K106" s="237" t="str">
        <f>IF(ISEVEN(B106),(B106-1)&amp;"/"&amp;B106,B106&amp;"/"&amp;(B106+1))</f>
        <v>4009/4010</v>
      </c>
      <c r="L106" s="245" t="str">
        <f>VLOOKUP(A106,'Trips&amp;Operators'!$C$1:$G$99911,5,FALSE)</f>
        <v>STEWART MICHAEL</v>
      </c>
      <c r="M106" s="224">
        <f>I106-F106</f>
        <v>2.4942129632108845E-2</v>
      </c>
      <c r="N106" s="225">
        <f>24*60*SUM($M106:$M106)</f>
        <v>35.916666670236737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-04T13:53:36-0700',mode:absolute,to:'2017-12-04T16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5.2200000000000003E-2</v>
      </c>
      <c r="Z106" s="247">
        <f>RIGHT(H106,LEN(H106)-4)/10000</f>
        <v>23.328499999999998</v>
      </c>
      <c r="AA106" s="247">
        <f>ABS(Z106-Y106)</f>
        <v>23.276299999999999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191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/stypes="app*4010*20171204*"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1"/>
        <v>"%USERPROFILE%\Documents\GitHub\eaglep3\Utilities\RefineRTDCRunTimes.py" --tripid 191-04 --locoid 4010 --swversion DE.1.0.9.0 --startMP 204:522 --initTime 2017-12-04T14:53:36 --startdatetime 2017-12-04T15:00:26 --delay 82 --endMP 204:233285 --enddatetime 2017-12-04T15:36:21 --enforcementcount 0 &gt;&gt;%USERPROFILE%\Documents\GitHub\eaglep3-reporting\EC\2017-12-04-refined-times.txt</v>
      </c>
      <c r="AI106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{"issue":{"subject":"","project_id":79,"tracker_id":40,"status_id":1,"priority_id":2,"assigned_to_id":338,"start_date":"2017-12-04","description":"","custom_fields":[{"id":1,"name":"Subdivision","value":"EC"},{"id":4,"name":"Milepost","value":"23.3285"},{"id":17,"name":"Train ID","value":"191-04"},{"id":16,"name":"Locomotive ID","value":"4010"},{"id":130,"name":"Impact","value":""},{"id":150,"name":"Time of Event (Mountain Time)","value":"15:36:21"},{"id":151,"name":"Denver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3"/>
        <v>start /low /b %USERPROFILE%\Documents\GitHub\eaglep3\Utilities\DownloadLogsFromS3.py --loco 4010 --day 2017-12-04</v>
      </c>
      <c r="AN106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5"/>
        <v>https://d0f6bd738d7f1b3e5a7ca70fe4ff75f0.us-east-1.aws.found.io/app/kibana#/discover/Steve-Slow-Train-Analysis-(2080s-and-2083s)?_g=(refreshInterval:(display:Off,pause:!f,section:0,value:0),time:(from:'2017-12-04T13:53:36-0700',mode:absolute,to:'2017-12-04T16:36:21-0700'))&amp;_a=(columns:!('Message%20ID',Summary),filters:!(),index:'emp_*',interval:auto,query:(query_string:(analyze_wildcard:!t,query:'%22rtdc.l.rtdc.4010%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9" t="s">
        <v>821</v>
      </c>
      <c r="B107" s="225">
        <v>4009</v>
      </c>
      <c r="C107" s="227" t="s">
        <v>192</v>
      </c>
      <c r="D107" s="227" t="s">
        <v>636</v>
      </c>
      <c r="E107" s="226">
        <v>43073.660821759258</v>
      </c>
      <c r="F107" s="226">
        <v>43073.664826388886</v>
      </c>
      <c r="G107" s="225">
        <v>70</v>
      </c>
      <c r="H107" s="227" t="s">
        <v>465</v>
      </c>
      <c r="I107" s="226">
        <v>43073.691701388889</v>
      </c>
      <c r="J107" s="225">
        <v>0</v>
      </c>
      <c r="K107" s="237" t="str">
        <f>IF(ISEVEN(B107),(B107-1)&amp;"/"&amp;B107,B107&amp;"/"&amp;(B107+1))</f>
        <v>4009/4010</v>
      </c>
      <c r="L107" s="245" t="str">
        <f>VLOOKUP(A107,'Trips&amp;Operators'!$C$1:$G$99911,5,FALSE)</f>
        <v>STEWART MICHAEL</v>
      </c>
      <c r="M107" s="224">
        <f>I107-F107</f>
        <v>2.6875000003201421E-2</v>
      </c>
      <c r="N107" s="225">
        <f>24*60*SUM($M107:$M107)</f>
        <v>38.700000004610047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-04T14:51:35-0700',mode:absolute,to:'2017-12-04T17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23.2972</v>
      </c>
      <c r="Z107" s="247">
        <f>RIGHT(H107,LEN(H107)-4)/10000</f>
        <v>2.1600000000000001E-2</v>
      </c>
      <c r="AA107" s="247">
        <f>ABS(Z107-Y107)</f>
        <v>23.275600000000001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192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/stypes="app*4009*20171204*"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1"/>
        <v>"%USERPROFILE%\Documents\GitHub\eaglep3\Utilities\RefineRTDCRunTimes.py" --tripid 192-04 --locoid 4009 --swversion DE.1.0.9.0 --startMP 204:232972 --initTime 2017-12-04T15:51:35 --startdatetime 2017-12-04T15:57:21 --delay 70 --endMP 204:216 --enddatetime 2017-12-04T16:36:03 --enforcementcount 0 &gt;&gt;%USERPROFILE%\Documents\GitHub\eaglep3-reporting\EC\2017-12-04-refined-times.txt</v>
      </c>
      <c r="AI107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{"issue":{"subject":"","project_id":79,"tracker_id":40,"status_id":1,"priority_id":2,"assigned_to_id":338,"start_date":"2017-12-04","description":"","custom_fields":[{"id":1,"name":"Subdivision","value":"EC"},{"id":4,"name":"Milepost","value":"0.0216"},{"id":17,"name":"Train ID","value":"192-04"},{"id":16,"name":"Locomotive ID","value":"4009"},{"id":130,"name":"Impact","value":""},{"id":150,"name":"Time of Event (Mountain Time)","value":"16:36:03"},{"id":151,"name":"Denver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3"/>
        <v>start /low /b %USERPROFILE%\Documents\GitHub\eaglep3\Utilities\DownloadLogsFromS3.py --loco 4009 --day 2017-12-04</v>
      </c>
      <c r="AN107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5"/>
        <v>https://d0f6bd738d7f1b3e5a7ca70fe4ff75f0.us-east-1.aws.found.io/app/kibana#/discover/Steve-Slow-Train-Analysis-(2080s-and-2083s)?_g=(refreshInterval:(display:Off,pause:!f,section:0,value:0),time:(from:'2017-12-04T14:51:35-0700',mode:absolute,to:'2017-12-04T17:36:03-0700'))&amp;_a=(columns:!('Message%20ID',Summary),filters:!(),index:'emp_*',interval:auto,query:(query_string:(analyze_wildcard:!t,query:'%22rtdc.l.rtdc.4009%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29" t="s">
        <v>813</v>
      </c>
      <c r="B108" s="225">
        <v>4042</v>
      </c>
      <c r="C108" s="227" t="s">
        <v>192</v>
      </c>
      <c r="D108" s="227" t="s">
        <v>471</v>
      </c>
      <c r="E108" s="226">
        <v>43073.632928240739</v>
      </c>
      <c r="F108" s="226">
        <v>43073.635717592595</v>
      </c>
      <c r="G108" s="225">
        <v>58</v>
      </c>
      <c r="H108" s="227" t="s">
        <v>497</v>
      </c>
      <c r="I108" s="226">
        <v>43073.661377314813</v>
      </c>
      <c r="J108" s="225">
        <v>0</v>
      </c>
      <c r="K108" s="237" t="str">
        <f>IF(ISEVEN(B108),(B108-1)&amp;"/"&amp;B108,B108&amp;"/"&amp;(B108+1))</f>
        <v>4041/4042</v>
      </c>
      <c r="L108" s="245" t="str">
        <f>VLOOKUP(A108,'Trips&amp;Operators'!$C$1:$G$99911,5,FALSE)</f>
        <v>NICHOLAS PLOYSA</v>
      </c>
      <c r="M108" s="224">
        <f>I108-F108</f>
        <v>2.565972221782431E-2</v>
      </c>
      <c r="N108" s="225">
        <f>24*60*SUM($M108:$M108)</f>
        <v>36.949999993667006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-04T14:11:25-0700',mode:absolute,to:'2017-12-04T16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5.1700000000000003E-2</v>
      </c>
      <c r="Z108" s="247">
        <f>RIGHT(H108,LEN(H108)-4)/10000</f>
        <v>23.323</v>
      </c>
      <c r="AA108" s="247">
        <f>ABS(Z108-Y108)</f>
        <v>23.2713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193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/stypes="app*4042*20171204*" /stext=" 22:.+((SYSTEM_STATE.+slice.+state.+changed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1"/>
        <v>"%USERPROFILE%\Documents\GitHub\eaglep3\Utilities\RefineRTDCRunTimes.py" --tripid 193-04 --locoid 4042 --swversion DE.1.0.9.0 --startMP 204:517 --initTime 2017-12-04T15:11:25 --startdatetime 2017-12-04T15:15:26 --delay 58 --endMP 204:233230 --enddatetime 2017-12-04T15:52:23 --enforcementcount 0 &gt;&gt;%USERPROFILE%\Documents\GitHub\eaglep3-reporting\EC\2017-12-04-refined-times.txt</v>
      </c>
      <c r="AI108" s="238" t="str">
        <f t="shared" si="12"/>
        <v>echo {"issue":{"subject":"","project_id":79,"tracker_id":40,"status_id":1,"priority_id":2,"assigned_to_id":338,"start_date":"2017-12-04","description":"","custom_fields":[{"id":1,"name":"Subdivision","value":"EC"},{"id":4,"name":"Milepost","value":"23.323"},{"id":17,"name":"Train ID","value":"193-04"},{"id":16,"name":"Locomotive ID","value":"4042"},{"id":130,"name":"Impact","value":""},{"id":150,"name":"Time of Event (Mountain Time)","value":"15:52:23"},{"id":151,"name":"Denver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3"/>
        <v>start /low /b %USERPROFILE%\Documents\GitHub\eaglep3\Utilities\DownloadLogsFromS3.py --loco 4042 --day 2017-12-04</v>
      </c>
      <c r="AN108" s="241" t="str">
        <f t="shared" si="14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5"/>
        <v>https://d0f6bd738d7f1b3e5a7ca70fe4ff75f0.us-east-1.aws.found.io/app/kibana#/discover/Steve-Slow-Train-Analysis-(2080s-and-2083s)?_g=(refreshInterval:(display:Off,pause:!f,section:0,value:0),time:(from:'2017-12-04T14:11:25-0700',mode:absolute,to:'2017-12-04T16:52:23-0700'))&amp;_a=(columns:!('Message%20ID',Summary),filters:!(),index:'emp_*',interval:auto,query:(query_string:(analyze_wildcard:!t,query:'%22rtdc.l.rtdc.4042%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229" t="s">
        <v>824</v>
      </c>
      <c r="B109" s="225">
        <v>4041</v>
      </c>
      <c r="C109" s="227" t="s">
        <v>192</v>
      </c>
      <c r="D109" s="227" t="s">
        <v>1099</v>
      </c>
      <c r="E109" s="226">
        <v>43073.668275462966</v>
      </c>
      <c r="F109" s="226">
        <v>43073.675300925926</v>
      </c>
      <c r="G109" s="225">
        <v>61</v>
      </c>
      <c r="H109" s="227" t="s">
        <v>1100</v>
      </c>
      <c r="I109" s="226">
        <v>43073.701620370368</v>
      </c>
      <c r="J109" s="225">
        <v>0</v>
      </c>
      <c r="K109" s="237" t="str">
        <f t="shared" ref="K109:K159" si="28">IF(ISEVEN(B109),(B109-1)&amp;"/"&amp;B109,B109&amp;"/"&amp;(B109+1))</f>
        <v>4041/4042</v>
      </c>
      <c r="L109" s="245" t="str">
        <f>VLOOKUP(A109,'Trips&amp;Operators'!$C$1:$G$99911,5,FALSE)</f>
        <v>NICHOLAS PLOYSA</v>
      </c>
      <c r="M109" s="224">
        <f t="shared" ref="M109:M159" si="29">I109-F109</f>
        <v>2.6319444441469386E-2</v>
      </c>
      <c r="N109" s="225">
        <f t="shared" ref="N109:P159" si="30">24*60*SUM($M109:$M109)</f>
        <v>37.899999995715916</v>
      </c>
      <c r="O109" s="225"/>
      <c r="P109" s="225"/>
      <c r="Q109" s="228"/>
      <c r="R109" s="242"/>
      <c r="S109" s="249">
        <f t="shared" ref="S109:S159" si="31">1/IF(AG109="EC",12,1)*SUM(U109:U109)</f>
        <v>1</v>
      </c>
      <c r="T109" s="242" t="str">
        <f t="shared" ref="T109:T159" si="32"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-04T15:02:19-0700',mode:absolute,to:'2017-12-04T17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247" t="str">
        <f>IF(AA109&lt;VLOOKUP(AG109,Variables!$AC$3:$AD$8,2,FALSE),"Y","N")</f>
        <v>N</v>
      </c>
      <c r="X109" s="247">
        <f t="shared" ref="X109:X159" si="33">VALUE(LEFT(AD109,4))-VALUE(LEFT(AD108,4))</f>
        <v>1</v>
      </c>
      <c r="Y109" s="247">
        <f t="shared" ref="Y109:Y159" si="34">RIGHT(D109,LEN(D109)-4)/10000</f>
        <v>23.290500000000002</v>
      </c>
      <c r="Z109" s="247">
        <f t="shared" ref="Z109:Z159" si="35">RIGHT(H109,LEN(H109)-4)/10000</f>
        <v>2.4199999999999999E-2</v>
      </c>
      <c r="AA109" s="247">
        <f t="shared" ref="AA109:AA159" si="36">ABS(Z109-Y109)</f>
        <v>23.266300000000001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ref="AD109:AD159" si="37">VALUE(LEFT(A109,LEN(A109)-3))</f>
        <v>194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/stypes="app*4041*20171204*" /stext=" 23:.+((SYSTEM_STATE.+slice.+state.+changed )|(ment ac)|(multiple cpu faults)|(system.+state.+changed )|(\[timeout)|(PRM\|1\|D)|(kpr)|(kdp)|(train st.+moving)|(\|lc)|(penalty))"</v>
      </c>
      <c r="AG109" s="244" t="str">
        <f t="shared" ref="AG109:AG159" si="38">DetSubdiv(A109)</f>
        <v>EC</v>
      </c>
      <c r="AH109" s="236" t="str">
        <f t="shared" ref="AH109:AH159" si="39"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"&amp;J109&amp;IF(outputrefinedruntimes," &gt;&gt;"&amp;RefinedRTDCRunTimesOutputFile,"")</f>
        <v>"%USERPROFILE%\Documents\GitHub\eaglep3\Utilities\RefineRTDCRunTimes.py" --tripid 194-04 --locoid 4041 --swversion DE.1.0.9.0 --startMP 204:232905 --initTime 2017-12-04T16:02:19 --startdatetime 2017-12-04T16:12:26 --delay 61 --endMP 204:242 --enddatetime 2017-12-04T16:50:20 --enforcementcount 0 &gt;&gt;%USERPROFILE%\Documents\GitHub\eaglep3-reporting\EC\2017-12-04-refined-times.txt</v>
      </c>
      <c r="AI109" s="238" t="str">
        <f t="shared" ref="AI109:AI159" si="40"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Z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{"issue":{"subject":"","project_id":79,"tracker_id":40,"status_id":1,"priority_id":2,"assigned_to_id":338,"start_date":"2017-12-04","description":"","custom_fields":[{"id":1,"name":"Subdivision","value":"EC"},{"id":4,"name":"Milepost","value":"0.0242"},{"id":17,"name":"Train ID","value":"194-04"},{"id":16,"name":"Locomotive ID","value":"4041"},{"id":130,"name":"Impact","value":""},{"id":150,"name":"Time of Event (Mountain Time)","value":"16:50:20"},{"id":151,"name":"Denver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ref="AM109:AM159" si="41">"start /low /b "&amp;dls3logs&amp;" --loco "&amp;B109&amp;" --day "&amp;TEXT(F109,"YYYY-MM-DD")</f>
        <v>start /low /b %USERPROFILE%\Documents\GitHub\eaglep3\Utilities\DownloadLogsFromS3.py --loco 4041 --day 2017-12-04</v>
      </c>
      <c r="AN109" s="241" t="str">
        <f t="shared" ref="AN109:AN159" si="42">"echo {""issue"":{""subject"":"""&amp;R109&amp;""",""project_id"":30,""tracker_id"":4,""status_id"":"&amp;redmine_status_wcr&amp;",""priority_id"":"&amp;redmine_priority_wcr&amp;",""assigned_to_id"":"&amp;redmine_assignee_wcr&amp;",""start_date"":"""&amp;TEXT(I109-utc_offset/24,"YYYY-mm-dd")&amp;""",""description"":"""&amp;AJ109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ref="AO109:AO159" si="43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Message%20ID',Summary),filters:!(),index:'emp_*',interval:auto,query:"&amp;"(query_string:(analyze_wildcard:!t,query:'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-04T15:02:19-0700',mode:absolute,to:'2017-12-04T17:50:20-0700'))&amp;_a=(columns:!('Message%20ID',Summary),filters:!(),index:'emp_*',interval:auto,query:(query_string:(analyze_wildcard:!t,query:'%22rtdc.l.rtdc.4041%22')),sort:!(Time.ISO8601,asc))</v>
      </c>
      <c r="AP109" s="223"/>
      <c r="AQ109" s="223"/>
      <c r="AR109" s="223"/>
      <c r="AS109" s="223"/>
      <c r="AT109" s="223"/>
      <c r="AU109" s="223"/>
      <c r="AV109" s="223"/>
      <c r="AW109" s="223"/>
      <c r="AX109" s="223"/>
      <c r="AY109" s="223"/>
      <c r="AZ109" s="223"/>
      <c r="BA109" s="223"/>
      <c r="BB109" s="223"/>
      <c r="BC109" s="223"/>
      <c r="BD109" s="223"/>
      <c r="BE109" s="223"/>
      <c r="BF109" s="223"/>
      <c r="BG109" s="223"/>
      <c r="BH109" s="223"/>
      <c r="BI109" s="223"/>
      <c r="BJ109" s="223"/>
      <c r="BK109" s="223"/>
      <c r="BL109" s="223"/>
      <c r="BM109" s="223"/>
      <c r="BN109" s="223"/>
      <c r="BO109" s="223"/>
      <c r="BP109" s="223"/>
      <c r="BQ109" s="223"/>
      <c r="BR109" s="223"/>
      <c r="BS109" s="223"/>
      <c r="BT109" s="223"/>
      <c r="BU109" s="223"/>
      <c r="BV109" s="223"/>
      <c r="BW109" s="223"/>
      <c r="BX109" s="223"/>
      <c r="BY109" s="223"/>
      <c r="BZ109" s="223"/>
      <c r="CA109" s="223"/>
      <c r="CB109" s="223"/>
      <c r="CC109" s="223"/>
      <c r="CD109" s="223"/>
      <c r="CE109" s="223"/>
      <c r="CF109" s="223"/>
      <c r="CG109" s="223"/>
      <c r="CH109" s="223"/>
      <c r="CI109" s="223"/>
      <c r="CJ109" s="223"/>
      <c r="CK109" s="223"/>
      <c r="CL109" s="223"/>
      <c r="CM109" s="223"/>
    </row>
    <row r="110" spans="1:91" s="1" customFormat="1" x14ac:dyDescent="0.25">
      <c r="A110" s="229" t="s">
        <v>815</v>
      </c>
      <c r="B110" s="225">
        <v>4058</v>
      </c>
      <c r="C110" s="227" t="s">
        <v>192</v>
      </c>
      <c r="D110" s="227" t="s">
        <v>550</v>
      </c>
      <c r="E110" s="226">
        <v>43073.638888888891</v>
      </c>
      <c r="F110" s="226">
        <v>43073.64607638889</v>
      </c>
      <c r="G110" s="225">
        <v>58</v>
      </c>
      <c r="H110" s="227" t="s">
        <v>966</v>
      </c>
      <c r="I110" s="226">
        <v>43073.671643518515</v>
      </c>
      <c r="J110" s="225">
        <v>0</v>
      </c>
      <c r="K110" s="237" t="str">
        <f t="shared" si="28"/>
        <v>4057/4058</v>
      </c>
      <c r="L110" s="245" t="str">
        <f>VLOOKUP(A110,'Trips&amp;Operators'!$C$1:$G$99911,5,FALSE)</f>
        <v>LONG FULLER</v>
      </c>
      <c r="M110" s="224">
        <f t="shared" si="29"/>
        <v>2.5567129625414964E-2</v>
      </c>
      <c r="N110" s="225">
        <f t="shared" si="30"/>
        <v>36.816666660597548</v>
      </c>
      <c r="O110" s="225"/>
      <c r="P110" s="225"/>
      <c r="Q110" s="228"/>
      <c r="R110" s="242"/>
      <c r="S110" s="249">
        <f t="shared" si="31"/>
        <v>1</v>
      </c>
      <c r="T110" s="242" t="str">
        <f t="shared" si="32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-04T14:20:00-0700',mode:absolute,to:'2017-12-04T17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0" s="247" t="str">
        <f>IF(AA110&lt;VLOOKUP(AG110,Variables!$AC$3:$AD$8,2,FALSE),"Y","N")</f>
        <v>N</v>
      </c>
      <c r="X110" s="247">
        <f t="shared" si="33"/>
        <v>1</v>
      </c>
      <c r="Y110" s="247">
        <f t="shared" si="34"/>
        <v>5.7500000000000002E-2</v>
      </c>
      <c r="Z110" s="247">
        <f t="shared" si="35"/>
        <v>23.326799999999999</v>
      </c>
      <c r="AA110" s="247">
        <f t="shared" si="36"/>
        <v>23.269299999999998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7"/>
        <v>195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/stypes="app*4058*20171204*" /stext=" 23:.+((SYSTEM_STATE.+slice.+state.+changed )|(ment ac)|(multiple cpu faults)|(system.+state.+changed )|(\[timeout)|(PRM\|1\|D)|(kpr)|(kdp)|(train st.+moving)|(\|lc)|(penalty))"</v>
      </c>
      <c r="AG110" s="244" t="str">
        <f t="shared" si="38"/>
        <v>EC</v>
      </c>
      <c r="AH110" s="236" t="str">
        <f t="shared" si="39"/>
        <v>"%USERPROFILE%\Documents\GitHub\eaglep3\Utilities\RefineRTDCRunTimes.py" --tripid 195-04 --locoid 4058 --swversion DE.1.0.9.0 --startMP 204:575 --initTime 2017-12-04T15:20:00 --startdatetime 2017-12-04T15:30:21 --delay 58 --endMP 204:233268 --enddatetime 2017-12-04T16:07:10 --enforcementcount 0 &gt;&gt;%USERPROFILE%\Documents\GitHub\eaglep3-reporting\EC\2017-12-04-refined-times.txt</v>
      </c>
      <c r="AI110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{"issue":{"subject":"","project_id":79,"tracker_id":40,"status_id":1,"priority_id":2,"assigned_to_id":338,"start_date":"2017-12-04","description":"","custom_fields":[{"id":1,"name":"Subdivision","value":"EC"},{"id":4,"name":"Milepost","value":"23.3268"},{"id":17,"name":"Train ID","value":"195-04"},{"id":16,"name":"Locomotive ID","value":"4058"},{"id":130,"name":"Impact","value":""},{"id":150,"name":"Time of Event (Mountain Time)","value":"16:07:10"},{"id":151,"name":"Denver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1"/>
        <v>start /low /b %USERPROFILE%\Documents\GitHub\eaglep3\Utilities\DownloadLogsFromS3.py --loco 4058 --day 2017-12-04</v>
      </c>
      <c r="AN110" s="241" t="str">
        <f t="shared" si="42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3"/>
        <v>https://d0f6bd738d7f1b3e5a7ca70fe4ff75f0.us-east-1.aws.found.io/app/kibana#/discover/Steve-Slow-Train-Analysis-(2080s-and-2083s)?_g=(refreshInterval:(display:Off,pause:!f,section:0,value:0),time:(from:'2017-12-04T14:20:00-0700',mode:absolute,to:'2017-12-04T17:07:10-0700'))&amp;_a=(columns:!('Message%20ID',Summary),filters:!(),index:'emp_*',interval:auto,query:(query_string:(analyze_wildcard:!t,query:'%22rtdc.l.rtdc.4058%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826</v>
      </c>
      <c r="B111" s="225">
        <v>4057</v>
      </c>
      <c r="C111" s="227" t="s">
        <v>192</v>
      </c>
      <c r="D111" s="227" t="s">
        <v>591</v>
      </c>
      <c r="E111" s="226">
        <v>43073.673750000002</v>
      </c>
      <c r="F111" s="226">
        <v>43073.685601851852</v>
      </c>
      <c r="G111" s="225">
        <v>56</v>
      </c>
      <c r="H111" s="227" t="s">
        <v>540</v>
      </c>
      <c r="I111" s="226">
        <v>43073.712581018517</v>
      </c>
      <c r="J111" s="225">
        <v>0</v>
      </c>
      <c r="K111" s="237" t="str">
        <f t="shared" si="28"/>
        <v>4057/4058</v>
      </c>
      <c r="L111" s="245" t="str">
        <f>VLOOKUP(A111,'Trips&amp;Operators'!$C$1:$G$99911,5,FALSE)</f>
        <v>LONG FULLER</v>
      </c>
      <c r="M111" s="224">
        <f t="shared" si="29"/>
        <v>2.6979166665114462E-2</v>
      </c>
      <c r="N111" s="225">
        <f t="shared" si="30"/>
        <v>38.849999997764826</v>
      </c>
      <c r="O111" s="225"/>
      <c r="P111" s="225"/>
      <c r="Q111" s="228"/>
      <c r="R111" s="242"/>
      <c r="S111" s="249">
        <f t="shared" si="31"/>
        <v>1</v>
      </c>
      <c r="T111" s="242" t="str">
        <f t="shared" si="32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-04T15:10:12-0700',mode:absolute,to:'2017-12-04T18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1" s="247" t="str">
        <f>IF(AA111&lt;VLOOKUP(AG111,Variables!$AC$3:$AD$8,2,FALSE),"Y","N")</f>
        <v>N</v>
      </c>
      <c r="X111" s="247">
        <f t="shared" si="33"/>
        <v>1</v>
      </c>
      <c r="Y111" s="247">
        <f t="shared" si="34"/>
        <v>23.294699999999999</v>
      </c>
      <c r="Z111" s="247">
        <f t="shared" si="35"/>
        <v>2.01E-2</v>
      </c>
      <c r="AA111" s="247">
        <f t="shared" si="36"/>
        <v>23.2746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7"/>
        <v>196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/stypes="app*4057*20171205*" /stext=" 00:.+((SYSTEM_STATE.+slice.+state.+changed )|(ment ac)|(multiple cpu faults)|(system.+state.+changed )|(\[timeout)|(PRM\|1\|D)|(kpr)|(kdp)|(train st.+moving)|(\|lc)|(penalty))"</v>
      </c>
      <c r="AG111" s="244" t="str">
        <f t="shared" si="38"/>
        <v>EC</v>
      </c>
      <c r="AH111" s="236" t="str">
        <f t="shared" si="39"/>
        <v>"%USERPROFILE%\Documents\GitHub\eaglep3\Utilities\RefineRTDCRunTimes.py" --tripid 196-04 --locoid 4057 --swversion DE.1.0.9.0 --startMP 204:232947 --initTime 2017-12-04T16:10:12 --startdatetime 2017-12-04T16:27:16 --delay 56 --endMP 204:201 --enddatetime 2017-12-04T17:06:07 --enforcementcount 0 &gt;&gt;%USERPROFILE%\Documents\GitHub\eaglep3-reporting\EC\2017-12-04-refined-times.txt</v>
      </c>
      <c r="AI111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{"issue":{"subject":"","project_id":79,"tracker_id":40,"status_id":1,"priority_id":2,"assigned_to_id":338,"start_date":"2017-12-04","description":"","custom_fields":[{"id":1,"name":"Subdivision","value":"EC"},{"id":4,"name":"Milepost","value":"0.0201"},{"id":17,"name":"Train ID","value":"196-04"},{"id":16,"name":"Locomotive ID","value":"4057"},{"id":130,"name":"Impact","value":""},{"id":150,"name":"Time of Event (Mountain Time)","value":"17:06:07"},{"id":151,"name":"Denver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1"/>
        <v>start /low /b %USERPROFILE%\Documents\GitHub\eaglep3\Utilities\DownloadLogsFromS3.py --loco 4057 --day 2017-12-04</v>
      </c>
      <c r="AN111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3"/>
        <v>https://d0f6bd738d7f1b3e5a7ca70fe4ff75f0.us-east-1.aws.found.io/app/kibana#/discover/Steve-Slow-Train-Analysis-(2080s-and-2083s)?_g=(refreshInterval:(display:Off,pause:!f,section:0,value:0),time:(from:'2017-12-04T15:10:12-0700',mode:absolute,to:'2017-12-04T18:06:07-0700'))&amp;_a=(columns:!('Message%20ID',Summary),filters:!(),index:'emp_*',interval:auto,query:(query_string:(analyze_wildcard:!t,query:'%22rtdc.l.rtdc.4057%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819</v>
      </c>
      <c r="B112" s="225">
        <v>4030</v>
      </c>
      <c r="C112" s="227" t="s">
        <v>192</v>
      </c>
      <c r="D112" s="227" t="s">
        <v>548</v>
      </c>
      <c r="E112" s="226">
        <v>43073.652939814812</v>
      </c>
      <c r="F112" s="226">
        <v>43073.656435185185</v>
      </c>
      <c r="G112" s="225">
        <v>70</v>
      </c>
      <c r="H112" s="227" t="s">
        <v>967</v>
      </c>
      <c r="I112" s="226">
        <v>43073.681747685187</v>
      </c>
      <c r="J112" s="225">
        <v>0</v>
      </c>
      <c r="K112" s="237" t="str">
        <f t="shared" si="28"/>
        <v>4029/4030</v>
      </c>
      <c r="L112" s="245" t="str">
        <f>VLOOKUP(A112,'Trips&amp;Operators'!$C$1:$G$99911,5,FALSE)</f>
        <v>SAFIEF AEIMEN</v>
      </c>
      <c r="M112" s="224">
        <f t="shared" si="29"/>
        <v>2.531250000174623E-2</v>
      </c>
      <c r="N112" s="225">
        <f t="shared" si="30"/>
        <v>36.450000002514571</v>
      </c>
      <c r="O112" s="225"/>
      <c r="P112" s="225"/>
      <c r="Q112" s="228"/>
      <c r="R112" s="242"/>
      <c r="S112" s="249">
        <f t="shared" si="31"/>
        <v>1</v>
      </c>
      <c r="T112" s="242" t="str">
        <f t="shared" si="32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-04T14:40:14-0700',mode:absolute,to:'2017-12-04T17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247" t="str">
        <f>IF(AA112&lt;VLOOKUP(AG112,Variables!$AC$3:$AD$8,2,FALSE),"Y","N")</f>
        <v>N</v>
      </c>
      <c r="X112" s="247">
        <f t="shared" si="33"/>
        <v>1</v>
      </c>
      <c r="Y112" s="247">
        <f t="shared" si="34"/>
        <v>4.9700000000000001E-2</v>
      </c>
      <c r="Z112" s="247">
        <f t="shared" si="35"/>
        <v>23.323799999999999</v>
      </c>
      <c r="AA112" s="247">
        <f t="shared" si="36"/>
        <v>23.274099999999997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7"/>
        <v>197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/stypes="app*4030*20171204*" /stext=" 23:.+((SYSTEM_STATE.+slice.+state.+changed )|(ment ac)|(multiple cpu faults)|(system.+state.+changed )|(\[timeout)|(PRM\|1\|D)|(kpr)|(kdp)|(train st.+moving)|(\|lc)|(penalty))"</v>
      </c>
      <c r="AG112" s="244" t="str">
        <f t="shared" si="38"/>
        <v>EC</v>
      </c>
      <c r="AH112" s="236" t="str">
        <f t="shared" si="39"/>
        <v>"%USERPROFILE%\Documents\GitHub\eaglep3\Utilities\RefineRTDCRunTimes.py" --tripid 197-04 --locoid 4030 --swversion DE.1.0.9.0 --startMP 204:497 --initTime 2017-12-04T15:40:14 --startdatetime 2017-12-04T15:45:16 --delay 70 --endMP 204:233238 --enddatetime 2017-12-04T16:21:43 --enforcementcount 0 &gt;&gt;%USERPROFILE%\Documents\GitHub\eaglep3-reporting\EC\2017-12-04-refined-times.txt</v>
      </c>
      <c r="AI112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{"issue":{"subject":"","project_id":79,"tracker_id":40,"status_id":1,"priority_id":2,"assigned_to_id":338,"start_date":"2017-12-04","description":"","custom_fields":[{"id":1,"name":"Subdivision","value":"EC"},{"id":4,"name":"Milepost","value":"23.3238"},{"id":17,"name":"Train ID","value":"197-04"},{"id":16,"name":"Locomotive ID","value":"4030"},{"id":130,"name":"Impact","value":""},{"id":150,"name":"Time of Event (Mountain Time)","value":"16:21:43"},{"id":151,"name":"Denver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1"/>
        <v>start /low /b %USERPROFILE%\Documents\GitHub\eaglep3\Utilities\DownloadLogsFromS3.py --loco 4030 --day 2017-12-04</v>
      </c>
      <c r="AN112" s="241" t="str">
        <f t="shared" si="42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3"/>
        <v>https://d0f6bd738d7f1b3e5a7ca70fe4ff75f0.us-east-1.aws.found.io/app/kibana#/discover/Steve-Slow-Train-Analysis-(2080s-and-2083s)?_g=(refreshInterval:(display:Off,pause:!f,section:0,value:0),time:(from:'2017-12-04T14:40:14-0700',mode:absolute,to:'2017-12-04T17:21:43-0700'))&amp;_a=(columns:!('Message%20ID',Summary),filters:!(),index:'emp_*',interval:auto,query:(query_string:(analyze_wildcard:!t,query:'%22rtdc.l.rtdc.4030%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831</v>
      </c>
      <c r="B113" s="225">
        <v>4029</v>
      </c>
      <c r="C113" s="227" t="s">
        <v>192</v>
      </c>
      <c r="D113" s="227" t="s">
        <v>638</v>
      </c>
      <c r="E113" s="226">
        <v>43073.68513888889</v>
      </c>
      <c r="F113" s="226">
        <v>43073.696076388886</v>
      </c>
      <c r="G113" s="225">
        <v>71</v>
      </c>
      <c r="H113" s="227" t="s">
        <v>629</v>
      </c>
      <c r="I113" s="226">
        <v>43073.722418981481</v>
      </c>
      <c r="J113" s="225">
        <v>0</v>
      </c>
      <c r="K113" s="237" t="str">
        <f t="shared" si="28"/>
        <v>4029/4030</v>
      </c>
      <c r="L113" s="245" t="str">
        <f>VLOOKUP(A113,'Trips&amp;Operators'!$C$1:$G$99911,5,FALSE)</f>
        <v>SAFIEF AEIMEN</v>
      </c>
      <c r="M113" s="224">
        <f t="shared" si="29"/>
        <v>2.6342592595028691E-2</v>
      </c>
      <c r="N113" s="225">
        <f t="shared" si="30"/>
        <v>37.933333336841315</v>
      </c>
      <c r="O113" s="225"/>
      <c r="P113" s="225"/>
      <c r="Q113" s="228"/>
      <c r="R113" s="242"/>
      <c r="S113" s="249">
        <f t="shared" si="31"/>
        <v>1</v>
      </c>
      <c r="T113" s="242" t="str">
        <f t="shared" si="32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-04T15:26:36-0700',mode:absolute,to:'2017-12-04T18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247" t="str">
        <f>IF(AA113&lt;VLOOKUP(AG113,Variables!$AC$3:$AD$8,2,FALSE),"Y","N")</f>
        <v>N</v>
      </c>
      <c r="X113" s="247">
        <f t="shared" si="33"/>
        <v>1</v>
      </c>
      <c r="Y113" s="247">
        <f t="shared" si="34"/>
        <v>23.292100000000001</v>
      </c>
      <c r="Z113" s="247">
        <f t="shared" si="35"/>
        <v>1.9800000000000002E-2</v>
      </c>
      <c r="AA113" s="247">
        <f t="shared" si="36"/>
        <v>23.272300000000001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7"/>
        <v>198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/stypes="app*4029*20171205*" /stext=" 00:.+((SYSTEM_STATE.+slice.+state.+changed )|(ment ac)|(multiple cpu faults)|(system.+state.+changed )|(\[timeout)|(PRM\|1\|D)|(kpr)|(kdp)|(train st.+moving)|(\|lc)|(penalty))"</v>
      </c>
      <c r="AG113" s="244" t="str">
        <f t="shared" si="38"/>
        <v>EC</v>
      </c>
      <c r="AH113" s="236" t="str">
        <f t="shared" si="39"/>
        <v>"%USERPROFILE%\Documents\GitHub\eaglep3\Utilities\RefineRTDCRunTimes.py" --tripid 198-04 --locoid 4029 --swversion DE.1.0.9.0 --startMP 204:232921 --initTime 2017-12-04T16:26:36 --startdatetime 2017-12-04T16:42:21 --delay 71 --endMP 204:198 --enddatetime 2017-12-04T17:20:17 --enforcementcount 0 &gt;&gt;%USERPROFILE%\Documents\GitHub\eaglep3-reporting\EC\2017-12-04-refined-times.txt</v>
      </c>
      <c r="AI113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{"issue":{"subject":"","project_id":79,"tracker_id":40,"status_id":1,"priority_id":2,"assigned_to_id":338,"start_date":"2017-12-04","description":"","custom_fields":[{"id":1,"name":"Subdivision","value":"EC"},{"id":4,"name":"Milepost","value":"0.0198"},{"id":17,"name":"Train ID","value":"198-04"},{"id":16,"name":"Locomotive ID","value":"4029"},{"id":130,"name":"Impact","value":""},{"id":150,"name":"Time of Event (Mountain Time)","value":"17:20:17"},{"id":151,"name":"Denver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1"/>
        <v>start /low /b %USERPROFILE%\Documents\GitHub\eaglep3\Utilities\DownloadLogsFromS3.py --loco 4029 --day 2017-12-04</v>
      </c>
      <c r="AN113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3"/>
        <v>https://d0f6bd738d7f1b3e5a7ca70fe4ff75f0.us-east-1.aws.found.io/app/kibana#/discover/Steve-Slow-Train-Analysis-(2080s-and-2083s)?_g=(refreshInterval:(display:Off,pause:!f,section:0,value:0),time:(from:'2017-12-04T15:26:36-0700',mode:absolute,to:'2017-12-04T18:20:17-0700'))&amp;_a=(columns:!('Message%20ID',Summary),filters:!(),index:'emp_*',interval:auto,query:(query_string:(analyze_wildcard:!t,query:'%22rtdc.l.rtdc.4029%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25">
      <c r="A114" s="229" t="s">
        <v>820</v>
      </c>
      <c r="B114" s="225">
        <v>4064</v>
      </c>
      <c r="C114" s="227" t="s">
        <v>192</v>
      </c>
      <c r="D114" s="227" t="s">
        <v>1054</v>
      </c>
      <c r="E114" s="226">
        <v>43073.660486111112</v>
      </c>
      <c r="F114" s="226">
        <v>43073.666805555556</v>
      </c>
      <c r="G114" s="225">
        <v>50</v>
      </c>
      <c r="H114" s="227" t="s">
        <v>635</v>
      </c>
      <c r="I114" s="226">
        <v>43073.691064814811</v>
      </c>
      <c r="J114" s="225">
        <v>0</v>
      </c>
      <c r="K114" s="237" t="str">
        <f t="shared" si="28"/>
        <v>4063/4064</v>
      </c>
      <c r="L114" s="245" t="str">
        <f>VLOOKUP(A114,'Trips&amp;Operators'!$C$1:$G$99911,5,FALSE)</f>
        <v>BIRENBAUM THOMAS</v>
      </c>
      <c r="M114" s="224">
        <f t="shared" si="29"/>
        <v>2.4259259254904464E-2</v>
      </c>
      <c r="N114" s="225">
        <f t="shared" si="30"/>
        <v>34.933333327062428</v>
      </c>
      <c r="O114" s="225"/>
      <c r="P114" s="225"/>
      <c r="Q114" s="228"/>
      <c r="R114" s="242"/>
      <c r="S114" s="249">
        <f t="shared" si="31"/>
        <v>1</v>
      </c>
      <c r="T114" s="242" t="str">
        <f t="shared" si="32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-04T14:51:06-0700',mode:absolute,to:'2017-12-04T17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4" s="247" t="str">
        <f>IF(AA114&lt;VLOOKUP(AG114,Variables!$AC$3:$AD$8,2,FALSE),"Y","N")</f>
        <v>N</v>
      </c>
      <c r="X114" s="247">
        <f t="shared" si="33"/>
        <v>1</v>
      </c>
      <c r="Y114" s="247">
        <f t="shared" si="34"/>
        <v>4.53E-2</v>
      </c>
      <c r="Z114" s="247">
        <f t="shared" si="35"/>
        <v>23.328099999999999</v>
      </c>
      <c r="AA114" s="247">
        <f t="shared" si="36"/>
        <v>23.282799999999998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7"/>
        <v>199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/stypes="app*4064*20171204*" /stext=" 23:.+((SYSTEM_STATE.+slice.+state.+changed )|(ment ac)|(multiple cpu faults)|(system.+state.+changed )|(\[timeout)|(PRM\|1\|D)|(kpr)|(kdp)|(train st.+moving)|(\|lc)|(penalty))"</v>
      </c>
      <c r="AG114" s="244" t="str">
        <f t="shared" si="38"/>
        <v>EC</v>
      </c>
      <c r="AH114" s="236" t="str">
        <f t="shared" si="39"/>
        <v>"%USERPROFILE%\Documents\GitHub\eaglep3\Utilities\RefineRTDCRunTimes.py" --tripid 199-04 --locoid 4064 --swversion DE.1.0.9.0 --startMP 204:453 --initTime 2017-12-04T15:51:06 --startdatetime 2017-12-04T16:00:12 --delay 50 --endMP 204:233281 --enddatetime 2017-12-04T16:35:08 --enforcementcount 0 &gt;&gt;%USERPROFILE%\Documents\GitHub\eaglep3-reporting\EC\2017-12-04-refined-times.txt</v>
      </c>
      <c r="AI114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{"issue":{"subject":"","project_id":79,"tracker_id":40,"status_id":1,"priority_id":2,"assigned_to_id":338,"start_date":"2017-12-04","description":"","custom_fields":[{"id":1,"name":"Subdivision","value":"EC"},{"id":4,"name":"Milepost","value":"23.3281"},{"id":17,"name":"Train ID","value":"199-04"},{"id":16,"name":"Locomotive ID","value":"4064"},{"id":130,"name":"Impact","value":""},{"id":150,"name":"Time of Event (Mountain Time)","value":"16:35:08"},{"id":151,"name":"Denver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41"/>
        <v>start /low /b %USERPROFILE%\Documents\GitHub\eaglep3\Utilities\DownloadLogsFromS3.py --loco 4064 --day 2017-12-04</v>
      </c>
      <c r="AN114" s="241" t="str">
        <f t="shared" si="42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3"/>
        <v>https://d0f6bd738d7f1b3e5a7ca70fe4ff75f0.us-east-1.aws.found.io/app/kibana#/discover/Steve-Slow-Train-Analysis-(2080s-and-2083s)?_g=(refreshInterval:(display:Off,pause:!f,section:0,value:0),time:(from:'2017-12-04T14:51:06-0700',mode:absolute,to:'2017-12-04T17:35:08-0700'))&amp;_a=(columns:!('Message%20ID',Summary),filters:!(),index:'emp_*',interval:auto,query:(query_string:(analyze_wildcard:!t,query:'%22rtdc.l.rtdc.4064%22')),sort:!(Time.ISO8601,asc))</v>
      </c>
    </row>
    <row r="115" spans="1:91" s="20" customFormat="1" x14ac:dyDescent="0.25">
      <c r="A115" s="229" t="s">
        <v>832</v>
      </c>
      <c r="B115" s="225">
        <v>4063</v>
      </c>
      <c r="C115" s="227" t="s">
        <v>192</v>
      </c>
      <c r="D115" s="227" t="s">
        <v>610</v>
      </c>
      <c r="E115" s="226">
        <v>43073.692430555559</v>
      </c>
      <c r="F115" s="226">
        <v>43073.706469907411</v>
      </c>
      <c r="G115" s="225">
        <v>49</v>
      </c>
      <c r="H115" s="227" t="s">
        <v>936</v>
      </c>
      <c r="I115" s="226">
        <v>43073.732928240737</v>
      </c>
      <c r="J115" s="225">
        <v>0</v>
      </c>
      <c r="K115" s="237" t="str">
        <f t="shared" si="28"/>
        <v>4063/4064</v>
      </c>
      <c r="L115" s="245" t="str">
        <f>VLOOKUP(A115,'Trips&amp;Operators'!$C$1:$G$99911,5,FALSE)</f>
        <v>BIRENBAUM THOMAS</v>
      </c>
      <c r="M115" s="224">
        <f t="shared" si="29"/>
        <v>2.6458333326445427E-2</v>
      </c>
      <c r="N115" s="225">
        <f t="shared" si="30"/>
        <v>38.099999990081415</v>
      </c>
      <c r="O115" s="225"/>
      <c r="P115" s="225"/>
      <c r="Q115" s="228"/>
      <c r="R115" s="242"/>
      <c r="S115" s="249">
        <f t="shared" si="31"/>
        <v>1</v>
      </c>
      <c r="T115" s="242" t="str">
        <f t="shared" si="32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-04T15:37:06-0700',mode:absolute,to:'2017-12-04T18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5" s="247" t="str">
        <f>IF(AA115&lt;VLOOKUP(AG115,Variables!$AC$3:$AD$8,2,FALSE),"Y","N")</f>
        <v>N</v>
      </c>
      <c r="X115" s="247">
        <f t="shared" si="33"/>
        <v>1</v>
      </c>
      <c r="Y115" s="247">
        <f t="shared" si="34"/>
        <v>23.296600000000002</v>
      </c>
      <c r="Z115" s="247">
        <f t="shared" si="35"/>
        <v>1.7999999999999999E-2</v>
      </c>
      <c r="AA115" s="247">
        <f t="shared" si="36"/>
        <v>23.278600000000001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7"/>
        <v>200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/stypes="app*4063*20171205*" /stext=" 00:.+((SYSTEM_STATE.+slice.+state.+changed )|(ment ac)|(multiple cpu faults)|(system.+state.+changed )|(\[timeout)|(PRM\|1\|D)|(kpr)|(kdp)|(train st.+moving)|(\|lc)|(penalty))"</v>
      </c>
      <c r="AG115" s="244" t="str">
        <f t="shared" si="38"/>
        <v>EC</v>
      </c>
      <c r="AH115" s="236" t="str">
        <f t="shared" si="39"/>
        <v>"%USERPROFILE%\Documents\GitHub\eaglep3\Utilities\RefineRTDCRunTimes.py" --tripid 200-04 --locoid 4063 --swversion DE.1.0.9.0 --startMP 204:232966 --initTime 2017-12-04T16:37:06 --startdatetime 2017-12-04T16:57:19 --delay 49 --endMP 204:180 --enddatetime 2017-12-04T17:35:25 --enforcementcount 0 &gt;&gt;%USERPROFILE%\Documents\GitHub\eaglep3-reporting\EC\2017-12-04-refined-times.txt</v>
      </c>
      <c r="AI115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{"issue":{"subject":"","project_id":79,"tracker_id":40,"status_id":1,"priority_id":2,"assigned_to_id":338,"start_date":"2017-12-04","description":"","custom_fields":[{"id":1,"name":"Subdivision","value":"EC"},{"id":4,"name":"Milepost","value":"0.018"},{"id":17,"name":"Train ID","value":"200-04"},{"id":16,"name":"Locomotive ID","value":"4063"},{"id":130,"name":"Impact","value":""},{"id":150,"name":"Time of Event (Mountain Time)","value":"17:35:25"},{"id":151,"name":"Denver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1"/>
        <v>start /low /b %USERPROFILE%\Documents\GitHub\eaglep3\Utilities\DownloadLogsFromS3.py --loco 4063 --day 2017-12-04</v>
      </c>
      <c r="AN115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3"/>
        <v>https://d0f6bd738d7f1b3e5a7ca70fe4ff75f0.us-east-1.aws.found.io/app/kibana#/discover/Steve-Slow-Train-Analysis-(2080s-and-2083s)?_g=(refreshInterval:(display:Off,pause:!f,section:0,value:0),time:(from:'2017-12-04T15:37:06-0700',mode:absolute,to:'2017-12-04T18:35:25-0700'))&amp;_a=(columns:!('Message%20ID',Summary),filters:!(),index:'emp_*',interval:auto,query:(query_string:(analyze_wildcard:!t,query:'%22rtdc.l.rtdc.4063%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825</v>
      </c>
      <c r="B116" s="225">
        <v>4022</v>
      </c>
      <c r="C116" s="227" t="s">
        <v>192</v>
      </c>
      <c r="D116" s="227" t="s">
        <v>645</v>
      </c>
      <c r="E116" s="226">
        <v>43073.671759259261</v>
      </c>
      <c r="F116" s="226">
        <v>43073.677303240744</v>
      </c>
      <c r="G116" s="225">
        <v>78</v>
      </c>
      <c r="H116" s="227" t="s">
        <v>968</v>
      </c>
      <c r="I116" s="226">
        <v>43073.702314814815</v>
      </c>
      <c r="J116" s="225">
        <v>0</v>
      </c>
      <c r="K116" s="237" t="str">
        <f t="shared" si="28"/>
        <v>4021/4022</v>
      </c>
      <c r="L116" s="245" t="str">
        <f>VLOOKUP(A116,'Trips&amp;Operators'!$C$1:$G$99911,5,FALSE)</f>
        <v>SMITH MICHAEL</v>
      </c>
      <c r="M116" s="224">
        <f t="shared" si="29"/>
        <v>2.5011574070958886E-2</v>
      </c>
      <c r="N116" s="225">
        <f t="shared" si="30"/>
        <v>36.016666662180796</v>
      </c>
      <c r="O116" s="225"/>
      <c r="P116" s="225"/>
      <c r="Q116" s="228"/>
      <c r="R116" s="242"/>
      <c r="S116" s="249">
        <f t="shared" si="31"/>
        <v>1</v>
      </c>
      <c r="T116" s="242" t="str">
        <f t="shared" si="32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-04T15:07:20-0700',mode:absolute,to:'2017-12-04T17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6" s="247" t="str">
        <f>IF(AA116&lt;VLOOKUP(AG116,Variables!$AC$3:$AD$8,2,FALSE),"Y","N")</f>
        <v>N</v>
      </c>
      <c r="X116" s="247">
        <f t="shared" si="33"/>
        <v>1</v>
      </c>
      <c r="Y116" s="247">
        <f t="shared" si="34"/>
        <v>5.4800000000000001E-2</v>
      </c>
      <c r="Z116" s="247">
        <f t="shared" si="35"/>
        <v>23.319199999999999</v>
      </c>
      <c r="AA116" s="247">
        <f t="shared" si="36"/>
        <v>23.264399999999998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7"/>
        <v>201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/stypes="app*4022*20171204*" /stext=" 23:.+((SYSTEM_STATE.+slice.+state.+changed )|(ment ac)|(multiple cpu faults)|(system.+state.+changed )|(\[timeout)|(PRM\|1\|D)|(kpr)|(kdp)|(train st.+moving)|(\|lc)|(penalty))"</v>
      </c>
      <c r="AG116" s="244" t="str">
        <f t="shared" si="38"/>
        <v>EC</v>
      </c>
      <c r="AH116" s="236" t="str">
        <f t="shared" si="39"/>
        <v>"%USERPROFILE%\Documents\GitHub\eaglep3\Utilities\RefineRTDCRunTimes.py" --tripid 201-04 --locoid 4022 --swversion DE.1.0.9.0 --startMP 204:548 --initTime 2017-12-04T16:07:20 --startdatetime 2017-12-04T16:15:19 --delay 78 --endMP 204:233192 --enddatetime 2017-12-04T16:51:20 --enforcementcount 0 &gt;&gt;%USERPROFILE%\Documents\GitHub\eaglep3-reporting\EC\2017-12-04-refined-times.txt</v>
      </c>
      <c r="AI116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{"issue":{"subject":"","project_id":79,"tracker_id":40,"status_id":1,"priority_id":2,"assigned_to_id":338,"start_date":"2017-12-04","description":"","custom_fields":[{"id":1,"name":"Subdivision","value":"EC"},{"id":4,"name":"Milepost","value":"23.3192"},{"id":17,"name":"Train ID","value":"201-04"},{"id":16,"name":"Locomotive ID","value":"4022"},{"id":130,"name":"Impact","value":""},{"id":150,"name":"Time of Event (Mountain Time)","value":"16:51:20"},{"id":151,"name":"Denver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1"/>
        <v>start /low /b %USERPROFILE%\Documents\GitHub\eaglep3\Utilities\DownloadLogsFromS3.py --loco 4022 --day 2017-12-04</v>
      </c>
      <c r="AN116" s="241" t="str">
        <f t="shared" si="42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3"/>
        <v>https://d0f6bd738d7f1b3e5a7ca70fe4ff75f0.us-east-1.aws.found.io/app/kibana#/discover/Steve-Slow-Train-Analysis-(2080s-and-2083s)?_g=(refreshInterval:(display:Off,pause:!f,section:0,value:0),time:(from:'2017-12-04T15:07:20-0700',mode:absolute,to:'2017-12-04T17:51:20-0700'))&amp;_a=(columns:!('Message%20ID',Summary),filters:!(),index:'emp_*',interval:auto,query:(query_string:(analyze_wildcard:!t,query:'%22rtdc.l.rtdc.4022%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835</v>
      </c>
      <c r="B117" s="225">
        <v>4021</v>
      </c>
      <c r="C117" s="227" t="s">
        <v>192</v>
      </c>
      <c r="D117" s="227" t="s">
        <v>971</v>
      </c>
      <c r="E117" s="226">
        <v>43073.737754629627</v>
      </c>
      <c r="F117" s="226">
        <v>43073.738692129627</v>
      </c>
      <c r="G117" s="225">
        <v>38</v>
      </c>
      <c r="H117" s="227" t="s">
        <v>500</v>
      </c>
      <c r="I117" s="226">
        <v>43073.745509259257</v>
      </c>
      <c r="J117" s="225">
        <v>0</v>
      </c>
      <c r="K117" s="237" t="str">
        <f t="shared" si="28"/>
        <v>4021/4022</v>
      </c>
      <c r="L117" s="245" t="str">
        <f>VLOOKUP(A117,'Trips&amp;Operators'!$C$1:$G$99911,5,FALSE)</f>
        <v>SMITH MICHAEL</v>
      </c>
      <c r="M117" s="224">
        <f t="shared" si="29"/>
        <v>6.8171296297805384E-3</v>
      </c>
      <c r="N117" s="225"/>
      <c r="O117" s="225"/>
      <c r="P117" s="225">
        <f t="shared" si="30"/>
        <v>9.8166666668839753</v>
      </c>
      <c r="Q117" s="228"/>
      <c r="R117" s="242" t="s">
        <v>1102</v>
      </c>
      <c r="S117" s="249">
        <f>1/IF(AG117="EC",12,1)*SUM(U117:U118)</f>
        <v>1</v>
      </c>
      <c r="T117" s="242" t="str">
        <f t="shared" si="32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3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-04T16:42:22-0700',mode:absolute,to:'2017-12-04T18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7" s="247" t="str">
        <f>IF(AA117&lt;VLOOKUP(AG117,Variables!$AC$3:$AD$8,2,FALSE),"Y","N")</f>
        <v>Y</v>
      </c>
      <c r="X117" s="247">
        <f t="shared" si="33"/>
        <v>1</v>
      </c>
      <c r="Y117" s="247">
        <f t="shared" si="34"/>
        <v>3.6787999999999998</v>
      </c>
      <c r="Z117" s="247">
        <f t="shared" si="35"/>
        <v>2.3199999999999998E-2</v>
      </c>
      <c r="AA117" s="247">
        <f t="shared" si="36"/>
        <v>3.6555999999999997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7"/>
        <v>202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/stypes="app*4021*20171205*" /stext=" 00:.+((SYSTEM_STATE.+slice.+state.+changed )|(ment ac)|(multiple cpu faults)|(system.+state.+changed )|(\[timeout)|(PRM\|1\|D)|(kpr)|(kdp)|(train st.+moving)|(\|lc)|(penalty))"</v>
      </c>
      <c r="AG117" s="244" t="str">
        <f t="shared" si="38"/>
        <v>EC</v>
      </c>
      <c r="AH117" s="236" t="str">
        <f t="shared" si="39"/>
        <v>"%USERPROFILE%\Documents\GitHub\eaglep3\Utilities\RefineRTDCRunTimes.py" --tripid 202-04 --locoid 4021 --swversion DE.1.0.9.0 --startMP 204:36788 --initTime 2017-12-04T17:42:22 --startdatetime 2017-12-04T17:43:43 --delay 38 --endMP 204:232 --enddatetime 2017-12-04T17:53:32 --enforcementcount 0 &gt;&gt;%USERPROFILE%\Documents\GitHub\eaglep3-reporting\EC\2017-12-04-refined-times.txt</v>
      </c>
      <c r="AI117" s="238" t="str">
        <f t="shared" si="40"/>
        <v>echo {"issue":{"subject":"Minor Onboard in-route failure caused signal unknown banner","project_id":79,"tracker_id":40,"status_id":1,"priority_id":2,"assigned_to_id":338,"start_date":"2017-12-04","description":"","custom_fields":[{"id":1,"name":"Subdivision","value":"EC"},{"id":4,"name":"Milepost","value":"0.0232"},{"id":17,"name":"Train ID","value":"202-04"},{"id":16,"name":"Locomotive ID","value":"4021"},{"id":130,"name":"Impact","value":""},{"id":150,"name":"Time of Event (Mountain Time)","value":"17:53:32"},{"id":151,"name":"Denver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41"/>
        <v>start /low /b %USERPROFILE%\Documents\GitHub\eaglep3\Utilities\DownloadLogsFromS3.py --loco 4021 --day 2017-12-04</v>
      </c>
      <c r="AN117" s="241" t="str">
        <f t="shared" si="42"/>
        <v>echo {"issue":{"subject":"Minor Onboard in-route failure caused signal unknown banner","project_id":30,"tracker_id":4,"status_id":1,"priority_id":1,"assigned_to_id":10,"start_date":"2017-12-05","description":"","custom_fields":[{"id":30,"name":"Category","value":"Issue"},{"id":3,"name":"Functional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3"/>
        <v>https://d0f6bd738d7f1b3e5a7ca70fe4ff75f0.us-east-1.aws.found.io/app/kibana#/discover/Steve-Slow-Train-Analysis-(2080s-and-2083s)?_g=(refreshInterval:(display:Off,pause:!f,section:0,value:0),time:(from:'2017-12-04T16:42:22-0700',mode:absolute,to:'2017-12-04T18:53:32-0700'))&amp;_a=(columns:!('Message%20ID',Summary),filters:!(),index:'emp_*',interval:auto,query:(query_string:(analyze_wildcard:!t,query:'%22rtdc.l.rtdc.4021%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835</v>
      </c>
      <c r="B118" s="225">
        <v>4021</v>
      </c>
      <c r="C118" s="227" t="s">
        <v>192</v>
      </c>
      <c r="D118" s="227" t="s">
        <v>969</v>
      </c>
      <c r="E118" s="226">
        <v>43073.708379629628</v>
      </c>
      <c r="F118" s="226">
        <v>43073.738692129627</v>
      </c>
      <c r="G118" s="225">
        <v>63</v>
      </c>
      <c r="H118" s="227" t="s">
        <v>970</v>
      </c>
      <c r="I118" s="226">
        <v>43073.745509259257</v>
      </c>
      <c r="J118" s="225">
        <v>0</v>
      </c>
      <c r="K118" s="237" t="str">
        <f t="shared" si="28"/>
        <v>4021/4022</v>
      </c>
      <c r="L118" s="245" t="str">
        <f>VLOOKUP(A118,'Trips&amp;Operators'!$C$1:$G$99911,5,FALSE)</f>
        <v>SMITH MICHAEL</v>
      </c>
      <c r="M118" s="224">
        <f t="shared" si="29"/>
        <v>6.8171296297805384E-3</v>
      </c>
      <c r="N118" s="225"/>
      <c r="O118" s="225"/>
      <c r="P118" s="225"/>
      <c r="Q118" s="228"/>
      <c r="R118" s="242"/>
      <c r="S118" s="249"/>
      <c r="T118" s="242" t="str">
        <f t="shared" si="32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9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-04T16:00:04-0700',mode:absolute,to:'2017-12-04T18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247" t="str">
        <f>IF(AA118&lt;VLOOKUP(AG118,Variables!$AC$3:$AD$8,2,FALSE),"Y","N")</f>
        <v>Y</v>
      </c>
      <c r="X118" s="247">
        <f t="shared" si="33"/>
        <v>0</v>
      </c>
      <c r="Y118" s="247">
        <f t="shared" si="34"/>
        <v>23.287500000000001</v>
      </c>
      <c r="Z118" s="247">
        <f t="shared" si="35"/>
        <v>3.9115000000000002</v>
      </c>
      <c r="AA118" s="247">
        <f t="shared" si="36"/>
        <v>19.376000000000001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7"/>
        <v>202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/stypes="app*4021*20171205*" /stext=" 00:.+((SYSTEM_STATE.+slice.+state.+changed )|(ment ac)|(multiple cpu faults)|(system.+state.+changed )|(\[timeout)|(PRM\|1\|D)|(kpr)|(kdp)|(train st.+moving)|(\|lc)|(penalty))"</v>
      </c>
      <c r="AG118" s="244" t="str">
        <f t="shared" si="38"/>
        <v>EC</v>
      </c>
      <c r="AH118" s="236" t="str">
        <f t="shared" si="39"/>
        <v>"%USERPROFILE%\Documents\GitHub\eaglep3\Utilities\RefineRTDCRunTimes.py" --tripid 202-04 --locoid 4021 --swversion DE.1.0.9.0 --startMP 204:232875 --initTime 2017-12-04T17:00:04 --startdatetime 2017-12-04T17:43:43 --delay 63 --endMP 204:39115 --enddatetime 2017-12-04T17:53:32 --enforcementcount 0 &gt;&gt;%USERPROFILE%\Documents\GitHub\eaglep3-reporting\EC\2017-12-04-refined-times.txt</v>
      </c>
      <c r="AI118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{"issue":{"subject":"","project_id":79,"tracker_id":40,"status_id":1,"priority_id":2,"assigned_to_id":338,"start_date":"2017-12-04","description":"","custom_fields":[{"id":1,"name":"Subdivision","value":"EC"},{"id":4,"name":"Milepost","value":"3.9115"},{"id":17,"name":"Train ID","value":"202-04"},{"id":16,"name":"Locomotive ID","value":"4021"},{"id":130,"name":"Impact","value":""},{"id":150,"name":"Time of Event (Mountain Time)","value":"17:53:32"},{"id":151,"name":"Denver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1"/>
        <v>start /low /b %USERPROFILE%\Documents\GitHub\eaglep3\Utilities\DownloadLogsFromS3.py --loco 4021 --day 2017-12-04</v>
      </c>
      <c r="AN118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3"/>
        <v>https://d0f6bd738d7f1b3e5a7ca70fe4ff75f0.us-east-1.aws.found.io/app/kibana#/discover/Steve-Slow-Train-Analysis-(2080s-and-2083s)?_g=(refreshInterval:(display:Off,pause:!f,section:0,value:0),time:(from:'2017-12-04T16:00:04-0700',mode:absolute,to:'2017-12-04T18:53:32-0700'))&amp;_a=(columns:!('Message%20ID',Summary),filters:!(),index:'emp_*',interval:auto,query:(query_string:(analyze_wildcard:!t,query:'%22rtdc.l.rtdc.4021%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828</v>
      </c>
      <c r="B119" s="225">
        <v>4008</v>
      </c>
      <c r="C119" s="227" t="s">
        <v>192</v>
      </c>
      <c r="D119" s="227" t="s">
        <v>608</v>
      </c>
      <c r="E119" s="226">
        <v>43073.682986111111</v>
      </c>
      <c r="F119" s="226">
        <v>43073.68787037037</v>
      </c>
      <c r="G119" s="225">
        <v>62</v>
      </c>
      <c r="H119" s="227" t="s">
        <v>541</v>
      </c>
      <c r="I119" s="226">
        <v>43073.715370370373</v>
      </c>
      <c r="J119" s="225">
        <v>0</v>
      </c>
      <c r="K119" s="237" t="str">
        <f t="shared" si="28"/>
        <v>4007/4008</v>
      </c>
      <c r="L119" s="245" t="str">
        <f>VLOOKUP(A119,'Trips&amp;Operators'!$C$1:$G$99911,5,FALSE)</f>
        <v>DAVIS MICHAEL</v>
      </c>
      <c r="M119" s="224">
        <f t="shared" si="29"/>
        <v>2.7500000003783498E-2</v>
      </c>
      <c r="N119" s="225">
        <f t="shared" si="30"/>
        <v>39.600000005448237</v>
      </c>
      <c r="O119" s="225"/>
      <c r="P119" s="225"/>
      <c r="Q119" s="228"/>
      <c r="R119" s="242"/>
      <c r="S119" s="249">
        <f t="shared" si="31"/>
        <v>1</v>
      </c>
      <c r="T119" s="242" t="str">
        <f t="shared" si="32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-04T15:23:30-0700',mode:absolute,to:'2017-12-04T18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247" t="str">
        <f>IF(AA119&lt;VLOOKUP(AG119,Variables!$AC$3:$AD$8,2,FALSE),"Y","N")</f>
        <v>N</v>
      </c>
      <c r="X119" s="247">
        <f t="shared" si="33"/>
        <v>1</v>
      </c>
      <c r="Y119" s="247">
        <f t="shared" si="34"/>
        <v>5.2400000000000002E-2</v>
      </c>
      <c r="Z119" s="247">
        <f t="shared" si="35"/>
        <v>23.331499999999998</v>
      </c>
      <c r="AA119" s="247">
        <f t="shared" si="36"/>
        <v>23.2791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7"/>
        <v>203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/stypes="app*4008*20171205*" /stext=" 00:.+((SYSTEM_STATE.+slice.+state.+changed )|(ment ac)|(multiple cpu faults)|(system.+state.+changed )|(\[timeout)|(PRM\|1\|D)|(kpr)|(kdp)|(train st.+moving)|(\|lc)|(penalty))"</v>
      </c>
      <c r="AG119" s="244" t="str">
        <f t="shared" si="38"/>
        <v>EC</v>
      </c>
      <c r="AH119" s="236" t="str">
        <f t="shared" si="39"/>
        <v>"%USERPROFILE%\Documents\GitHub\eaglep3\Utilities\RefineRTDCRunTimes.py" --tripid 203-04 --locoid 4008 --swversion DE.1.0.9.0 --startMP 204:524 --initTime 2017-12-04T16:23:30 --startdatetime 2017-12-04T16:30:32 --delay 62 --endMP 204:233315 --enddatetime 2017-12-04T17:10:08 --enforcementcount 0 &gt;&gt;%USERPROFILE%\Documents\GitHub\eaglep3-reporting\EC\2017-12-04-refined-times.txt</v>
      </c>
      <c r="AI119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{"issue":{"subject":"","project_id":79,"tracker_id":40,"status_id":1,"priority_id":2,"assigned_to_id":338,"start_date":"2017-12-04","description":"","custom_fields":[{"id":1,"name":"Subdivision","value":"EC"},{"id":4,"name":"Milepost","value":"23.3315"},{"id":17,"name":"Train ID","value":"203-04"},{"id":16,"name":"Locomotive ID","value":"4008"},{"id":130,"name":"Impact","value":""},{"id":150,"name":"Time of Event (Mountain Time)","value":"17:10:08"},{"id":151,"name":"Denver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1"/>
        <v>start /low /b %USERPROFILE%\Documents\GitHub\eaglep3\Utilities\DownloadLogsFromS3.py --loco 4008 --day 2017-12-04</v>
      </c>
      <c r="AN119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3"/>
        <v>https://d0f6bd738d7f1b3e5a7ca70fe4ff75f0.us-east-1.aws.found.io/app/kibana#/discover/Steve-Slow-Train-Analysis-(2080s-and-2083s)?_g=(refreshInterval:(display:Off,pause:!f,section:0,value:0),time:(from:'2017-12-04T15:23:30-0700',mode:absolute,to:'2017-12-04T18:10:08-0700'))&amp;_a=(columns:!('Message%20ID',Summary),filters:!(),index:'emp_*',interval:auto,query:(query_string:(analyze_wildcard:!t,query:'%22rtdc.l.rtdc.4008%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842</v>
      </c>
      <c r="B120" s="225">
        <v>4007</v>
      </c>
      <c r="C120" s="227" t="s">
        <v>192</v>
      </c>
      <c r="D120" s="227" t="s">
        <v>603</v>
      </c>
      <c r="E120" s="226">
        <v>43073.725104166668</v>
      </c>
      <c r="F120" s="226">
        <v>43073.727476851855</v>
      </c>
      <c r="G120" s="225">
        <v>55</v>
      </c>
      <c r="H120" s="227" t="s">
        <v>909</v>
      </c>
      <c r="I120" s="226">
        <v>43073.757222222222</v>
      </c>
      <c r="J120" s="225">
        <v>0</v>
      </c>
      <c r="K120" s="237" t="str">
        <f t="shared" si="28"/>
        <v>4007/4008</v>
      </c>
      <c r="L120" s="245" t="str">
        <f>VLOOKUP(A120,'Trips&amp;Operators'!$C$1:$G$99911,5,FALSE)</f>
        <v>DAVIS MICHAEL</v>
      </c>
      <c r="M120" s="224">
        <f t="shared" si="29"/>
        <v>2.9745370367891155E-2</v>
      </c>
      <c r="N120" s="225">
        <f t="shared" si="30"/>
        <v>42.833333329763263</v>
      </c>
      <c r="O120" s="225"/>
      <c r="P120" s="225"/>
      <c r="Q120" s="228"/>
      <c r="R120" s="242"/>
      <c r="S120" s="249">
        <f t="shared" si="31"/>
        <v>1</v>
      </c>
      <c r="T120" s="242" t="str">
        <f t="shared" si="32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-04T16:24:09-0700',mode:absolute,to:'2017-12-04T19:10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247" t="str">
        <f>IF(AA120&lt;VLOOKUP(AG120,Variables!$AC$3:$AD$8,2,FALSE),"Y","N")</f>
        <v>N</v>
      </c>
      <c r="X120" s="247">
        <f t="shared" si="33"/>
        <v>1</v>
      </c>
      <c r="Y120" s="247">
        <f t="shared" si="34"/>
        <v>23.298100000000002</v>
      </c>
      <c r="Z120" s="247">
        <f t="shared" si="35"/>
        <v>2.1399999999999999E-2</v>
      </c>
      <c r="AA120" s="247">
        <f t="shared" si="36"/>
        <v>23.276700000000002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7"/>
        <v>204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/stypes="app*4007*20171205*" /stext=" 01:.+((SYSTEM_STATE.+slice.+state.+changed )|(ment ac)|(multiple cpu faults)|(system.+state.+changed )|(\[timeout)|(PRM\|1\|D)|(kpr)|(kdp)|(train st.+moving)|(\|lc)|(penalty))"</v>
      </c>
      <c r="AG120" s="244" t="str">
        <f t="shared" si="38"/>
        <v>EC</v>
      </c>
      <c r="AH120" s="236" t="str">
        <f t="shared" si="39"/>
        <v>"%USERPROFILE%\Documents\GitHub\eaglep3\Utilities\RefineRTDCRunTimes.py" --tripid 204-04 --locoid 4007 --swversion DE.1.0.9.0 --startMP 204:232981 --initTime 2017-12-04T17:24:09 --startdatetime 2017-12-04T17:27:34 --delay 55 --endMP 204:214 --enddatetime 2017-12-04T18:10:24 --enforcementcount 0 &gt;&gt;%USERPROFILE%\Documents\GitHub\eaglep3-reporting\EC\2017-12-04-refined-times.txt</v>
      </c>
      <c r="AI120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{"issue":{"subject":"","project_id":79,"tracker_id":40,"status_id":1,"priority_id":2,"assigned_to_id":338,"start_date":"2017-12-04","description":"","custom_fields":[{"id":1,"name":"Subdivision","value":"EC"},{"id":4,"name":"Milepost","value":"0.0214"},{"id":17,"name":"Train ID","value":"204-04"},{"id":16,"name":"Locomotive ID","value":"4007"},{"id":130,"name":"Impact","value":""},{"id":150,"name":"Time of Event (Mountain Time)","value":"18:10:24"},{"id":151,"name":"Denver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1"/>
        <v>start /low /b %USERPROFILE%\Documents\GitHub\eaglep3\Utilities\DownloadLogsFromS3.py --loco 4007 --day 2017-12-04</v>
      </c>
      <c r="AN120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01:10:24"},{"id":29,"name":"Sharepoint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3"/>
        <v>https://d0f6bd738d7f1b3e5a7ca70fe4ff75f0.us-east-1.aws.found.io/app/kibana#/discover/Steve-Slow-Train-Analysis-(2080s-and-2083s)?_g=(refreshInterval:(display:Off,pause:!f,section:0,value:0),time:(from:'2017-12-04T16:24:09-0700',mode:absolute,to:'2017-12-04T19:10:24-0700'))&amp;_a=(columns:!('Message%20ID',Summary),filters:!(),index:'emp_*',interval:auto,query:(query_string:(analyze_wildcard:!t,query:'%22rtdc.l.rtdc.4007%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25">
      <c r="A121" s="229" t="s">
        <v>833</v>
      </c>
      <c r="B121" s="225">
        <v>4010</v>
      </c>
      <c r="C121" s="227" t="s">
        <v>192</v>
      </c>
      <c r="D121" s="227" t="s">
        <v>599</v>
      </c>
      <c r="E121" s="226">
        <v>43073.693796296298</v>
      </c>
      <c r="F121" s="226">
        <v>43073.698113425926</v>
      </c>
      <c r="G121" s="225">
        <v>54</v>
      </c>
      <c r="H121" s="227" t="s">
        <v>643</v>
      </c>
      <c r="I121" s="226">
        <v>43073.724039351851</v>
      </c>
      <c r="J121" s="225">
        <v>0</v>
      </c>
      <c r="K121" s="237" t="str">
        <f t="shared" si="28"/>
        <v>4009/4010</v>
      </c>
      <c r="L121" s="245" t="str">
        <f>VLOOKUP(A121,'Trips&amp;Operators'!$C$1:$G$99911,5,FALSE)</f>
        <v>STEWART MICHAEL</v>
      </c>
      <c r="M121" s="224">
        <f t="shared" si="29"/>
        <v>2.5925925925548654E-2</v>
      </c>
      <c r="N121" s="225">
        <f t="shared" si="30"/>
        <v>37.333333332790062</v>
      </c>
      <c r="O121" s="225"/>
      <c r="P121" s="225"/>
      <c r="Q121" s="228"/>
      <c r="R121" s="242"/>
      <c r="S121" s="249">
        <f t="shared" si="31"/>
        <v>1</v>
      </c>
      <c r="T121" s="242" t="str">
        <f t="shared" si="32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-04T15:39:04-0700',mode:absolute,to:'2017-12-04T18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1" s="247" t="str">
        <f>IF(AA121&lt;VLOOKUP(AG121,Variables!$AC$3:$AD$8,2,FALSE),"Y","N")</f>
        <v>N</v>
      </c>
      <c r="X121" s="247">
        <f t="shared" si="33"/>
        <v>1</v>
      </c>
      <c r="Y121" s="247">
        <f t="shared" si="34"/>
        <v>5.1299999999999998E-2</v>
      </c>
      <c r="Z121" s="247">
        <f t="shared" si="35"/>
        <v>23.3276</v>
      </c>
      <c r="AA121" s="247">
        <f t="shared" si="36"/>
        <v>23.276299999999999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7"/>
        <v>205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/stypes="app*4010*20171205*" /stext=" 00:.+((SYSTEM_STATE.+slice.+state.+changed )|(ment ac)|(multiple cpu faults)|(system.+state.+changed )|(\[timeout)|(PRM\|1\|D)|(kpr)|(kdp)|(train st.+moving)|(\|lc)|(penalty))"</v>
      </c>
      <c r="AG121" s="244" t="str">
        <f t="shared" si="38"/>
        <v>EC</v>
      </c>
      <c r="AH121" s="236" t="str">
        <f t="shared" si="39"/>
        <v>"%USERPROFILE%\Documents\GitHub\eaglep3\Utilities\RefineRTDCRunTimes.py" --tripid 205-04 --locoid 4010 --swversion DE.1.0.9.0 --startMP 204:513 --initTime 2017-12-04T16:39:04 --startdatetime 2017-12-04T16:45:17 --delay 54 --endMP 204:233276 --enddatetime 2017-12-04T17:22:37 --enforcementcount 0 &gt;&gt;%USERPROFILE%\Documents\GitHub\eaglep3-reporting\EC\2017-12-04-refined-times.txt</v>
      </c>
      <c r="AI121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{"issue":{"subject":"","project_id":79,"tracker_id":40,"status_id":1,"priority_id":2,"assigned_to_id":338,"start_date":"2017-12-04","description":"","custom_fields":[{"id":1,"name":"Subdivision","value":"EC"},{"id":4,"name":"Milepost","value":"23.3276"},{"id":17,"name":"Train ID","value":"205-04"},{"id":16,"name":"Locomotive ID","value":"4010"},{"id":130,"name":"Impact","value":""},{"id":150,"name":"Time of Event (Mountain Time)","value":"17:22:37"},{"id":151,"name":"Denver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1"/>
        <v>start /low /b %USERPROFILE%\Documents\GitHub\eaglep3\Utilities\DownloadLogsFromS3.py --loco 4010 --day 2017-12-04</v>
      </c>
      <c r="AN121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3"/>
        <v>https://d0f6bd738d7f1b3e5a7ca70fe4ff75f0.us-east-1.aws.found.io/app/kibana#/discover/Steve-Slow-Train-Analysis-(2080s-and-2083s)?_g=(refreshInterval:(display:Off,pause:!f,section:0,value:0),time:(from:'2017-12-04T15:39:04-0700',mode:absolute,to:'2017-12-04T18:22:37-0700'))&amp;_a=(columns:!('Message%20ID',Summary),filters:!(),index:'emp_*',interval:auto,query:(query_string:(analyze_wildcard:!t,query:'%22rtdc.l.rtdc.4010%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846</v>
      </c>
      <c r="B122" s="225">
        <v>4009</v>
      </c>
      <c r="C122" s="227" t="s">
        <v>192</v>
      </c>
      <c r="D122" s="227" t="s">
        <v>972</v>
      </c>
      <c r="E122" s="226">
        <v>43073.735763888886</v>
      </c>
      <c r="F122" s="226">
        <v>43073.737708333334</v>
      </c>
      <c r="G122" s="225">
        <v>66</v>
      </c>
      <c r="H122" s="227" t="s">
        <v>559</v>
      </c>
      <c r="I122" s="226">
        <v>43073.764166666668</v>
      </c>
      <c r="J122" s="225">
        <v>0</v>
      </c>
      <c r="K122" s="237" t="str">
        <f t="shared" si="28"/>
        <v>4009/4010</v>
      </c>
      <c r="L122" s="245" t="str">
        <f>VLOOKUP(A122,'Trips&amp;Operators'!$C$1:$G$99911,5,FALSE)</f>
        <v>STEWART MICHAEL</v>
      </c>
      <c r="M122" s="224">
        <f t="shared" si="29"/>
        <v>2.6458333333721384E-2</v>
      </c>
      <c r="N122" s="225">
        <f t="shared" si="30"/>
        <v>38.100000000558794</v>
      </c>
      <c r="O122" s="225"/>
      <c r="P122" s="225"/>
      <c r="Q122" s="228"/>
      <c r="R122" s="242"/>
      <c r="S122" s="249">
        <f t="shared" si="31"/>
        <v>1</v>
      </c>
      <c r="T122" s="242" t="str">
        <f t="shared" si="32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-04T16:39:30-0700',mode:absolute,to:'2017-12-04T19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2" s="247" t="str">
        <f>IF(AA122&lt;VLOOKUP(AG122,Variables!$AC$3:$AD$8,2,FALSE),"Y","N")</f>
        <v>N</v>
      </c>
      <c r="X122" s="247">
        <f t="shared" si="33"/>
        <v>1</v>
      </c>
      <c r="Y122" s="247">
        <f t="shared" si="34"/>
        <v>23.296099999999999</v>
      </c>
      <c r="Z122" s="247">
        <f t="shared" si="35"/>
        <v>1.9199999999999998E-2</v>
      </c>
      <c r="AA122" s="247">
        <f t="shared" si="36"/>
        <v>23.276899999999998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7"/>
        <v>206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/stypes="app*4009*20171205*" /stext=" 01:.+((SYSTEM_STATE.+slice.+state.+changed )|(ment ac)|(multiple cpu faults)|(system.+state.+changed )|(\[timeout)|(PRM\|1\|D)|(kpr)|(kdp)|(train st.+moving)|(\|lc)|(penalty))"</v>
      </c>
      <c r="AG122" s="244" t="str">
        <f t="shared" si="38"/>
        <v>EC</v>
      </c>
      <c r="AH122" s="236" t="str">
        <f t="shared" si="39"/>
        <v>"%USERPROFILE%\Documents\GitHub\eaglep3\Utilities\RefineRTDCRunTimes.py" --tripid 206-04 --locoid 4009 --swversion DE.1.0.9.0 --startMP 204:232961 --initTime 2017-12-04T17:39:30 --startdatetime 2017-12-04T17:42:18 --delay 66 --endMP 204:192 --enddatetime 2017-12-04T18:20:24 --enforcementcount 0 &gt;&gt;%USERPROFILE%\Documents\GitHub\eaglep3-reporting\EC\2017-12-04-refined-times.txt</v>
      </c>
      <c r="AI122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{"issue":{"subject":"","project_id":79,"tracker_id":40,"status_id":1,"priority_id":2,"assigned_to_id":338,"start_date":"2017-12-04","description":"","custom_fields":[{"id":1,"name":"Subdivision","value":"EC"},{"id":4,"name":"Milepost","value":"0.0192"},{"id":17,"name":"Train ID","value":"206-04"},{"id":16,"name":"Locomotive ID","value":"4009"},{"id":130,"name":"Impact","value":""},{"id":150,"name":"Time of Event (Mountain Time)","value":"18:20:24"},{"id":151,"name":"Denver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1"/>
        <v>start /low /b %USERPROFILE%\Documents\GitHub\eaglep3\Utilities\DownloadLogsFromS3.py --loco 4009 --day 2017-12-04</v>
      </c>
      <c r="AN122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3"/>
        <v>https://d0f6bd738d7f1b3e5a7ca70fe4ff75f0.us-east-1.aws.found.io/app/kibana#/discover/Steve-Slow-Train-Analysis-(2080s-and-2083s)?_g=(refreshInterval:(display:Off,pause:!f,section:0,value:0),time:(from:'2017-12-04T16:39:30-0700',mode:absolute,to:'2017-12-04T19:20:24-0700'))&amp;_a=(columns:!('Message%20ID',Summary),filters:!(),index:'emp_*',interval:auto,query:(query_string:(analyze_wildcard:!t,query:'%22rtdc.l.rtdc.4009%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9" t="s">
        <v>834</v>
      </c>
      <c r="B123" s="225">
        <v>4042</v>
      </c>
      <c r="C123" s="227" t="s">
        <v>192</v>
      </c>
      <c r="D123" s="227" t="s">
        <v>939</v>
      </c>
      <c r="E123" s="226">
        <v>43073.703530092593</v>
      </c>
      <c r="F123" s="226">
        <v>43073.708506944444</v>
      </c>
      <c r="G123" s="225">
        <v>64</v>
      </c>
      <c r="H123" s="227" t="s">
        <v>604</v>
      </c>
      <c r="I123" s="226">
        <v>43073.735162037039</v>
      </c>
      <c r="J123" s="225">
        <v>0</v>
      </c>
      <c r="K123" s="237" t="str">
        <f t="shared" si="28"/>
        <v>4041/4042</v>
      </c>
      <c r="L123" s="245" t="str">
        <f>VLOOKUP(A123,'Trips&amp;Operators'!$C$1:$G$99911,5,FALSE)</f>
        <v>NICHOLAS PLOYSA</v>
      </c>
      <c r="M123" s="224">
        <f t="shared" si="29"/>
        <v>2.6655092595319729E-2</v>
      </c>
      <c r="N123" s="225">
        <f t="shared" si="30"/>
        <v>38.38333333726041</v>
      </c>
      <c r="O123" s="225"/>
      <c r="P123" s="225"/>
      <c r="Q123" s="228"/>
      <c r="R123" s="242"/>
      <c r="S123" s="249">
        <f t="shared" si="31"/>
        <v>1</v>
      </c>
      <c r="T123" s="242" t="str">
        <f t="shared" si="32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-04T15:53:05-0700',mode:absolute,to:'2017-12-04T18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247" t="str">
        <f>IF(AA123&lt;VLOOKUP(AG123,Variables!$AC$3:$AD$8,2,FALSE),"Y","N")</f>
        <v>N</v>
      </c>
      <c r="X123" s="247">
        <f t="shared" si="33"/>
        <v>1</v>
      </c>
      <c r="Y123" s="247">
        <f t="shared" si="34"/>
        <v>5.3699999999999998E-2</v>
      </c>
      <c r="Z123" s="247">
        <f t="shared" si="35"/>
        <v>23.3232</v>
      </c>
      <c r="AA123" s="247">
        <f t="shared" si="36"/>
        <v>23.269500000000001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7"/>
        <v>207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/stypes="app*4042*20171205*" /stext=" 00:.+((SYSTEM_STATE.+slice.+state.+changed )|(ment ac)|(multiple cpu faults)|(system.+state.+changed )|(\[timeout)|(PRM\|1\|D)|(kpr)|(kdp)|(train st.+moving)|(\|lc)|(penalty))"</v>
      </c>
      <c r="AG123" s="244" t="str">
        <f t="shared" si="38"/>
        <v>EC</v>
      </c>
      <c r="AH123" s="236" t="str">
        <f t="shared" si="39"/>
        <v>"%USERPROFILE%\Documents\GitHub\eaglep3\Utilities\RefineRTDCRunTimes.py" --tripid 207-04 --locoid 4042 --swversion DE.1.0.9.0 --startMP 204:537 --initTime 2017-12-04T16:53:05 --startdatetime 2017-12-04T17:00:15 --delay 64 --endMP 204:233232 --enddatetime 2017-12-04T17:38:38 --enforcementcount 0 &gt;&gt;%USERPROFILE%\Documents\GitHub\eaglep3-reporting\EC\2017-12-04-refined-times.txt</v>
      </c>
      <c r="AI123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{"issue":{"subject":"","project_id":79,"tracker_id":40,"status_id":1,"priority_id":2,"assigned_to_id":338,"start_date":"2017-12-04","description":"","custom_fields":[{"id":1,"name":"Subdivision","value":"EC"},{"id":4,"name":"Milepost","value":"23.3232"},{"id":17,"name":"Train ID","value":"207-04"},{"id":16,"name":"Locomotive ID","value":"4042"},{"id":130,"name":"Impact","value":""},{"id":150,"name":"Time of Event (Mountain Time)","value":"17:38:38"},{"id":151,"name":"Denver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41"/>
        <v>start /low /b %USERPROFILE%\Documents\GitHub\eaglep3\Utilities\DownloadLogsFromS3.py --loco 4042 --day 2017-12-04</v>
      </c>
      <c r="AN123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3"/>
        <v>https://d0f6bd738d7f1b3e5a7ca70fe4ff75f0.us-east-1.aws.found.io/app/kibana#/discover/Steve-Slow-Train-Analysis-(2080s-and-2083s)?_g=(refreshInterval:(display:Off,pause:!f,section:0,value:0),time:(from:'2017-12-04T15:53:05-0700',mode:absolute,to:'2017-12-04T18:38:38-0700'))&amp;_a=(columns:!('Message%20ID',Summary),filters:!(),index:'emp_*',interval:auto,query:(query_string:(analyze_wildcard:!t,query:'%22rtdc.l.rtdc.4042%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29" t="s">
        <v>848</v>
      </c>
      <c r="B124" s="225">
        <v>4041</v>
      </c>
      <c r="C124" s="227" t="s">
        <v>192</v>
      </c>
      <c r="D124" s="227" t="s">
        <v>554</v>
      </c>
      <c r="E124" s="226">
        <v>43073.741666666669</v>
      </c>
      <c r="F124" s="226">
        <v>43073.748090277775</v>
      </c>
      <c r="G124" s="225">
        <v>71</v>
      </c>
      <c r="H124" s="227" t="s">
        <v>406</v>
      </c>
      <c r="I124" s="226">
        <v>43073.776319444441</v>
      </c>
      <c r="J124" s="225">
        <v>0</v>
      </c>
      <c r="K124" s="237" t="str">
        <f t="shared" si="28"/>
        <v>4041/4042</v>
      </c>
      <c r="L124" s="245" t="str">
        <f>VLOOKUP(A124,'Trips&amp;Operators'!$C$1:$G$99911,5,FALSE)</f>
        <v>NICHOLAS PLOYSA</v>
      </c>
      <c r="M124" s="224">
        <f t="shared" si="29"/>
        <v>2.8229166666278616E-2</v>
      </c>
      <c r="N124" s="225">
        <f t="shared" si="30"/>
        <v>40.649999999441206</v>
      </c>
      <c r="O124" s="225"/>
      <c r="P124" s="225"/>
      <c r="Q124" s="228"/>
      <c r="R124" s="242"/>
      <c r="S124" s="249">
        <f t="shared" si="31"/>
        <v>1</v>
      </c>
      <c r="T124" s="242" t="str">
        <f t="shared" si="32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-04T16:48:00-0700',mode:absolute,to:'2017-12-04T19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247" t="str">
        <f>IF(AA124&lt;VLOOKUP(AG124,Variables!$AC$3:$AD$8,2,FALSE),"Y","N")</f>
        <v>N</v>
      </c>
      <c r="X124" s="247">
        <f t="shared" si="33"/>
        <v>1</v>
      </c>
      <c r="Y124" s="247">
        <f t="shared" si="34"/>
        <v>23.292300000000001</v>
      </c>
      <c r="Z124" s="247">
        <f t="shared" si="35"/>
        <v>2.07E-2</v>
      </c>
      <c r="AA124" s="247">
        <f t="shared" si="36"/>
        <v>23.271599999999999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7"/>
        <v>208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/stypes="app*4041*20171205*" /stext=" 01:.+((SYSTEM_STATE.+slice.+state.+changed )|(ment ac)|(multiple cpu faults)|(system.+state.+changed )|(\[timeout)|(PRM\|1\|D)|(kpr)|(kdp)|(train st.+moving)|(\|lc)|(penalty))"</v>
      </c>
      <c r="AG124" s="244" t="str">
        <f t="shared" si="38"/>
        <v>EC</v>
      </c>
      <c r="AH124" s="236" t="str">
        <f t="shared" si="39"/>
        <v>"%USERPROFILE%\Documents\GitHub\eaglep3\Utilities\RefineRTDCRunTimes.py" --tripid 208-04 --locoid 4041 --swversion DE.1.0.9.0 --startMP 204:232923 --initTime 2017-12-04T17:48:00 --startdatetime 2017-12-04T17:57:15 --delay 71 --endMP 204:207 --enddatetime 2017-12-04T18:37:54 --enforcementcount 0 &gt;&gt;%USERPROFILE%\Documents\GitHub\eaglep3-reporting\EC\2017-12-04-refined-times.txt</v>
      </c>
      <c r="AI124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{"issue":{"subject":"","project_id":79,"tracker_id":40,"status_id":1,"priority_id":2,"assigned_to_id":338,"start_date":"2017-12-04","description":"","custom_fields":[{"id":1,"name":"Subdivision","value":"EC"},{"id":4,"name":"Milepost","value":"0.0207"},{"id":17,"name":"Train ID","value":"208-04"},{"id":16,"name":"Locomotive ID","value":"4041"},{"id":130,"name":"Impact","value":""},{"id":150,"name":"Time of Event (Mountain Time)","value":"18:37:54"},{"id":151,"name":"Denver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1"/>
        <v>start /low /b %USERPROFILE%\Documents\GitHub\eaglep3\Utilities\DownloadLogsFromS3.py --loco 4041 --day 2017-12-04</v>
      </c>
      <c r="AN124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3"/>
        <v>https://d0f6bd738d7f1b3e5a7ca70fe4ff75f0.us-east-1.aws.found.io/app/kibana#/discover/Steve-Slow-Train-Analysis-(2080s-and-2083s)?_g=(refreshInterval:(display:Off,pause:!f,section:0,value:0),time:(from:'2017-12-04T16:48:00-0700',mode:absolute,to:'2017-12-04T19:37:54-0700'))&amp;_a=(columns:!('Message%20ID',Summary),filters:!(),index:'emp_*',interval:auto,query:(query_string:(analyze_wildcard:!t,query:'%22rtdc.l.rtdc.4041%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29" t="s">
        <v>837</v>
      </c>
      <c r="B125" s="225">
        <v>4058</v>
      </c>
      <c r="C125" s="227" t="s">
        <v>192</v>
      </c>
      <c r="D125" s="227" t="s">
        <v>973</v>
      </c>
      <c r="E125" s="226">
        <v>43073.714745370373</v>
      </c>
      <c r="F125" s="226">
        <v>43073.718981481485</v>
      </c>
      <c r="G125" s="225">
        <v>53</v>
      </c>
      <c r="H125" s="227" t="s">
        <v>974</v>
      </c>
      <c r="I125" s="226">
        <v>43073.744490740741</v>
      </c>
      <c r="J125" s="225">
        <v>0</v>
      </c>
      <c r="K125" s="237" t="str">
        <f t="shared" si="28"/>
        <v>4057/4058</v>
      </c>
      <c r="L125" s="245" t="str">
        <f>VLOOKUP(A125,'Trips&amp;Operators'!$C$1:$G$99911,5,FALSE)</f>
        <v>LONG FULLER</v>
      </c>
      <c r="M125" s="224">
        <f t="shared" si="29"/>
        <v>2.5509259256068617E-2</v>
      </c>
      <c r="N125" s="225">
        <f t="shared" si="30"/>
        <v>36.733333328738809</v>
      </c>
      <c r="O125" s="225"/>
      <c r="P125" s="225"/>
      <c r="Q125" s="228"/>
      <c r="R125" s="242"/>
      <c r="S125" s="249">
        <f t="shared" si="31"/>
        <v>1</v>
      </c>
      <c r="T125" s="242" t="str">
        <f t="shared" si="32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-04T16:09:14-0700',mode:absolute,to:'2017-12-04T18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5" s="247" t="str">
        <f>IF(AA125&lt;VLOOKUP(AG125,Variables!$AC$3:$AD$8,2,FALSE),"Y","N")</f>
        <v>N</v>
      </c>
      <c r="X125" s="247">
        <f t="shared" si="33"/>
        <v>1</v>
      </c>
      <c r="Y125" s="247">
        <f t="shared" si="34"/>
        <v>5.3100000000000001E-2</v>
      </c>
      <c r="Z125" s="247">
        <f t="shared" si="35"/>
        <v>23.318999999999999</v>
      </c>
      <c r="AA125" s="247">
        <f t="shared" si="36"/>
        <v>23.265899999999998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7"/>
        <v>209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/stypes="app*4058*20171205*" /stext=" 00:.+((SYSTEM_STATE.+slice.+state.+changed )|(ment ac)|(multiple cpu faults)|(system.+state.+changed )|(\[timeout)|(PRM\|1\|D)|(kpr)|(kdp)|(train st.+moving)|(\|lc)|(penalty))"</v>
      </c>
      <c r="AG125" s="244" t="str">
        <f t="shared" si="38"/>
        <v>EC</v>
      </c>
      <c r="AH125" s="236" t="str">
        <f t="shared" si="39"/>
        <v>"%USERPROFILE%\Documents\GitHub\eaglep3\Utilities\RefineRTDCRunTimes.py" --tripid 209-04 --locoid 4058 --swversion DE.1.0.9.0 --startMP 204:531 --initTime 2017-12-04T17:09:14 --startdatetime 2017-12-04T17:15:20 --delay 53 --endMP 204:233190 --enddatetime 2017-12-04T17:52:04 --enforcementcount 0 &gt;&gt;%USERPROFILE%\Documents\GitHub\eaglep3-reporting\EC\2017-12-04-refined-times.txt</v>
      </c>
      <c r="AI125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{"issue":{"subject":"","project_id":79,"tracker_id":40,"status_id":1,"priority_id":2,"assigned_to_id":338,"start_date":"2017-12-04","description":"","custom_fields":[{"id":1,"name":"Subdivision","value":"EC"},{"id":4,"name":"Milepost","value":"23.319"},{"id":17,"name":"Train ID","value":"209-04"},{"id":16,"name":"Locomotive ID","value":"4058"},{"id":130,"name":"Impact","value":""},{"id":150,"name":"Time of Event (Mountain Time)","value":"17:52:04"},{"id":151,"name":"Denver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41"/>
        <v>start /low /b %USERPROFILE%\Documents\GitHub\eaglep3\Utilities\DownloadLogsFromS3.py --loco 4058 --day 2017-12-04</v>
      </c>
      <c r="AN125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3"/>
        <v>https://d0f6bd738d7f1b3e5a7ca70fe4ff75f0.us-east-1.aws.found.io/app/kibana#/discover/Steve-Slow-Train-Analysis-(2080s-and-2083s)?_g=(refreshInterval:(display:Off,pause:!f,section:0,value:0),time:(from:'2017-12-04T16:09:14-0700',mode:absolute,to:'2017-12-04T18:52:04-0700'))&amp;_a=(columns:!('Message%20ID',Summary),filters:!(),index:'emp_*',interval:auto,query:(query_string:(analyze_wildcard:!t,query:'%22rtdc.l.rtdc.4058%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851</v>
      </c>
      <c r="B126" s="225">
        <v>4057</v>
      </c>
      <c r="C126" s="227" t="s">
        <v>192</v>
      </c>
      <c r="D126" s="227" t="s">
        <v>616</v>
      </c>
      <c r="E126" s="226">
        <v>43073.749409722222</v>
      </c>
      <c r="F126" s="226">
        <v>43073.758553240739</v>
      </c>
      <c r="G126" s="225">
        <v>59</v>
      </c>
      <c r="H126" s="227" t="s">
        <v>909</v>
      </c>
      <c r="I126" s="226">
        <v>43073.784386574072</v>
      </c>
      <c r="J126" s="225">
        <v>0</v>
      </c>
      <c r="K126" s="237" t="str">
        <f t="shared" si="28"/>
        <v>4057/4058</v>
      </c>
      <c r="L126" s="245" t="str">
        <f>VLOOKUP(A126,'Trips&amp;Operators'!$C$1:$G$99911,5,FALSE)</f>
        <v>LONG FULLER</v>
      </c>
      <c r="M126" s="224">
        <f t="shared" si="29"/>
        <v>2.5833333333139308E-2</v>
      </c>
      <c r="N126" s="225">
        <f t="shared" si="30"/>
        <v>37.199999999720603</v>
      </c>
      <c r="O126" s="225"/>
      <c r="P126" s="225"/>
      <c r="Q126" s="228"/>
      <c r="R126" s="242"/>
      <c r="S126" s="249">
        <f t="shared" si="31"/>
        <v>1</v>
      </c>
      <c r="T126" s="242" t="str">
        <f t="shared" si="32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-04T16:59:09-0700',mode:absolute,to:'2017-12-04T19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6" s="247" t="str">
        <f>IF(AA126&lt;VLOOKUP(AG126,Variables!$AC$3:$AD$8,2,FALSE),"Y","N")</f>
        <v>N</v>
      </c>
      <c r="X126" s="247">
        <f t="shared" si="33"/>
        <v>1</v>
      </c>
      <c r="Y126" s="247">
        <f t="shared" si="34"/>
        <v>23.286300000000001</v>
      </c>
      <c r="Z126" s="247">
        <f t="shared" si="35"/>
        <v>2.1399999999999999E-2</v>
      </c>
      <c r="AA126" s="247">
        <f t="shared" si="36"/>
        <v>23.264900000000001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7"/>
        <v>210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/stypes="app*4057*20171205*" /stext=" 01:.+((SYSTEM_STATE.+slice.+state.+changed )|(ment ac)|(multiple cpu faults)|(system.+state.+changed )|(\[timeout)|(PRM\|1\|D)|(kpr)|(kdp)|(train st.+moving)|(\|lc)|(penalty))"</v>
      </c>
      <c r="AG126" s="244" t="str">
        <f t="shared" si="38"/>
        <v>EC</v>
      </c>
      <c r="AH126" s="236" t="str">
        <f t="shared" si="39"/>
        <v>"%USERPROFILE%\Documents\GitHub\eaglep3\Utilities\RefineRTDCRunTimes.py" --tripid 210-04 --locoid 4057 --swversion DE.1.0.9.0 --startMP 204:232863 --initTime 2017-12-04T17:59:09 --startdatetime 2017-12-04T18:12:19 --delay 59 --endMP 204:214 --enddatetime 2017-12-04T18:49:31 --enforcementcount 0 &gt;&gt;%USERPROFILE%\Documents\GitHub\eaglep3-reporting\EC\2017-12-04-refined-times.txt</v>
      </c>
      <c r="AI126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{"issue":{"subject":"","project_id":79,"tracker_id":40,"status_id":1,"priority_id":2,"assigned_to_id":338,"start_date":"2017-12-04","description":"","custom_fields":[{"id":1,"name":"Subdivision","value":"EC"},{"id":4,"name":"Milepost","value":"0.0214"},{"id":17,"name":"Train ID","value":"210-04"},{"id":16,"name":"Locomotive ID","value":"4057"},{"id":130,"name":"Impact","value":""},{"id":150,"name":"Time of Event (Mountain Time)","value":"18:49:31"},{"id":151,"name":"Denver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1"/>
        <v>start /low /b %USERPROFILE%\Documents\GitHub\eaglep3\Utilities\DownloadLogsFromS3.py --loco 4057 --day 2017-12-04</v>
      </c>
      <c r="AN126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3"/>
        <v>https://d0f6bd738d7f1b3e5a7ca70fe4ff75f0.us-east-1.aws.found.io/app/kibana#/discover/Steve-Slow-Train-Analysis-(2080s-and-2083s)?_g=(refreshInterval:(display:Off,pause:!f,section:0,value:0),time:(from:'2017-12-04T16:59:09-0700',mode:absolute,to:'2017-12-04T19:49:31-0700'))&amp;_a=(columns:!('Message%20ID',Summary),filters:!(),index:'emp_*',interval:auto,query:(query_string:(analyze_wildcard:!t,query:'%22rtdc.l.rtdc.4057%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25">
      <c r="A127" s="229" t="s">
        <v>843</v>
      </c>
      <c r="B127" s="225">
        <v>4030</v>
      </c>
      <c r="C127" s="227" t="s">
        <v>192</v>
      </c>
      <c r="D127" s="227" t="s">
        <v>558</v>
      </c>
      <c r="E127" s="226">
        <v>43073.725624999999</v>
      </c>
      <c r="F127" s="226">
        <v>43073.729907407411</v>
      </c>
      <c r="G127" s="225">
        <v>73</v>
      </c>
      <c r="H127" s="227" t="s">
        <v>618</v>
      </c>
      <c r="I127" s="226">
        <v>43073.755057870374</v>
      </c>
      <c r="J127" s="225">
        <v>0</v>
      </c>
      <c r="K127" s="237" t="str">
        <f t="shared" si="28"/>
        <v>4029/4030</v>
      </c>
      <c r="L127" s="245" t="str">
        <f>VLOOKUP(A127,'Trips&amp;Operators'!$C$1:$G$99911,5,FALSE)</f>
        <v>SAFIEF AEIMEN</v>
      </c>
      <c r="M127" s="224">
        <f t="shared" si="29"/>
        <v>2.5150462963210884E-2</v>
      </c>
      <c r="N127" s="225">
        <f t="shared" si="30"/>
        <v>36.216666667023674</v>
      </c>
      <c r="O127" s="225"/>
      <c r="P127" s="225"/>
      <c r="Q127" s="228"/>
      <c r="R127" s="242"/>
      <c r="S127" s="249">
        <f t="shared" si="31"/>
        <v>1</v>
      </c>
      <c r="T127" s="242" t="str">
        <f t="shared" si="32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-04T16:24:54-0700',mode:absolute,to:'2017-12-04T19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247" t="str">
        <f>IF(AA127&lt;VLOOKUP(AG127,Variables!$AC$3:$AD$8,2,FALSE),"Y","N")</f>
        <v>N</v>
      </c>
      <c r="X127" s="247">
        <f t="shared" si="33"/>
        <v>1</v>
      </c>
      <c r="Y127" s="247">
        <f t="shared" si="34"/>
        <v>5.0200000000000002E-2</v>
      </c>
      <c r="Z127" s="247">
        <f t="shared" si="35"/>
        <v>23.322700000000001</v>
      </c>
      <c r="AA127" s="247">
        <f t="shared" si="36"/>
        <v>23.272500000000001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7"/>
        <v>211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/stypes="app*4030*20171205*" /stext=" 01:.+((SYSTEM_STATE.+slice.+state.+changed )|(ment ac)|(multiple cpu faults)|(system.+state.+changed )|(\[timeout)|(PRM\|1\|D)|(kpr)|(kdp)|(train st.+moving)|(\|lc)|(penalty))"</v>
      </c>
      <c r="AG127" s="244" t="str">
        <f t="shared" si="38"/>
        <v>EC</v>
      </c>
      <c r="AH127" s="236" t="str">
        <f t="shared" si="39"/>
        <v>"%USERPROFILE%\Documents\GitHub\eaglep3\Utilities\RefineRTDCRunTimes.py" --tripid 211-04 --locoid 4030 --swversion DE.1.0.9.0 --startMP 204:502 --initTime 2017-12-04T17:24:54 --startdatetime 2017-12-04T17:31:04 --delay 73 --endMP 204:233227 --enddatetime 2017-12-04T18:07:17 --enforcementcount 0 &gt;&gt;%USERPROFILE%\Documents\GitHub\eaglep3-reporting\EC\2017-12-04-refined-times.txt</v>
      </c>
      <c r="AI127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{"issue":{"subject":"","project_id":79,"tracker_id":40,"status_id":1,"priority_id":2,"assigned_to_id":338,"start_date":"2017-12-04","description":"","custom_fields":[{"id":1,"name":"Subdivision","value":"EC"},{"id":4,"name":"Milepost","value":"23.3227"},{"id":17,"name":"Train ID","value":"211-04"},{"id":16,"name":"Locomotive ID","value":"4030"},{"id":130,"name":"Impact","value":""},{"id":150,"name":"Time of Event (Mountain Time)","value":"18:07:17"},{"id":151,"name":"Denver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41"/>
        <v>start /low /b %USERPROFILE%\Documents\GitHub\eaglep3\Utilities\DownloadLogsFromS3.py --loco 4030 --day 2017-12-04</v>
      </c>
      <c r="AN127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3"/>
        <v>https://d0f6bd738d7f1b3e5a7ca70fe4ff75f0.us-east-1.aws.found.io/app/kibana#/discover/Steve-Slow-Train-Analysis-(2080s-and-2083s)?_g=(refreshInterval:(display:Off,pause:!f,section:0,value:0),time:(from:'2017-12-04T16:24:54-0700',mode:absolute,to:'2017-12-04T19:07:17-0700'))&amp;_a=(columns:!('Message%20ID',Summary),filters:!(),index:'emp_*',interval:auto,query:(query_string:(analyze_wildcard:!t,query:'%22rtdc.l.rtdc.4030%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854</v>
      </c>
      <c r="B128" s="225">
        <v>4029</v>
      </c>
      <c r="C128" s="227" t="s">
        <v>192</v>
      </c>
      <c r="D128" s="227" t="s">
        <v>553</v>
      </c>
      <c r="E128" s="226">
        <v>43073.75885416667</v>
      </c>
      <c r="F128" s="226">
        <v>43073.768912037034</v>
      </c>
      <c r="G128" s="225">
        <v>97</v>
      </c>
      <c r="H128" s="227" t="s">
        <v>629</v>
      </c>
      <c r="I128" s="226">
        <v>43073.796076388891</v>
      </c>
      <c r="J128" s="225">
        <v>0</v>
      </c>
      <c r="K128" s="237" t="str">
        <f t="shared" si="28"/>
        <v>4029/4030</v>
      </c>
      <c r="L128" s="245" t="str">
        <f>VLOOKUP(A128,'Trips&amp;Operators'!$C$1:$G$99911,5,FALSE)</f>
        <v>SAFIEF AEIMEN</v>
      </c>
      <c r="M128" s="224">
        <f t="shared" si="29"/>
        <v>2.7164351857209112E-2</v>
      </c>
      <c r="N128" s="225">
        <f t="shared" si="30"/>
        <v>39.116666674381122</v>
      </c>
      <c r="O128" s="225"/>
      <c r="P128" s="225"/>
      <c r="Q128" s="228"/>
      <c r="R128" s="242"/>
      <c r="S128" s="249">
        <f t="shared" si="31"/>
        <v>1</v>
      </c>
      <c r="T128" s="242" t="str">
        <f t="shared" si="32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-04T17:12:45-0700',mode:absolute,to:'2017-12-04T20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8" s="247" t="str">
        <f>IF(AA128&lt;VLOOKUP(AG128,Variables!$AC$3:$AD$8,2,FALSE),"Y","N")</f>
        <v>N</v>
      </c>
      <c r="X128" s="247">
        <f t="shared" si="33"/>
        <v>1</v>
      </c>
      <c r="Y128" s="247">
        <f t="shared" si="34"/>
        <v>23.290800000000001</v>
      </c>
      <c r="Z128" s="247">
        <f t="shared" si="35"/>
        <v>1.9800000000000002E-2</v>
      </c>
      <c r="AA128" s="247">
        <f t="shared" si="36"/>
        <v>23.271000000000001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7"/>
        <v>212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/stypes="app*4029*20171205*" /stext=" 02:.+((SYSTEM_STATE.+slice.+state.+changed )|(ment ac)|(multiple cpu faults)|(system.+state.+changed )|(\[timeout)|(PRM\|1\|D)|(kpr)|(kdp)|(train st.+moving)|(\|lc)|(penalty))"</v>
      </c>
      <c r="AG128" s="244" t="str">
        <f t="shared" si="38"/>
        <v>EC</v>
      </c>
      <c r="AH128" s="236" t="str">
        <f t="shared" si="39"/>
        <v>"%USERPROFILE%\Documents\GitHub\eaglep3\Utilities\RefineRTDCRunTimes.py" --tripid 212-04 --locoid 4029 --swversion DE.1.0.9.0 --startMP 204:232908 --initTime 2017-12-04T18:12:45 --startdatetime 2017-12-04T18:27:14 --delay 97 --endMP 204:198 --enddatetime 2017-12-04T19:06:21 --enforcementcount 0 &gt;&gt;%USERPROFILE%\Documents\GitHub\eaglep3-reporting\EC\2017-12-04-refined-times.txt</v>
      </c>
      <c r="AI128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{"issue":{"subject":"","project_id":79,"tracker_id":40,"status_id":1,"priority_id":2,"assigned_to_id":338,"start_date":"2017-12-04","description":"","custom_fields":[{"id":1,"name":"Subdivision","value":"EC"},{"id":4,"name":"Milepost","value":"0.0198"},{"id":17,"name":"Train ID","value":"212-04"},{"id":16,"name":"Locomotive ID","value":"4029"},{"id":130,"name":"Impact","value":""},{"id":150,"name":"Time of Event (Mountain Time)","value":"19:06:21"},{"id":151,"name":"Denver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1"/>
        <v>start /low /b %USERPROFILE%\Documents\GitHub\eaglep3\Utilities\DownloadLogsFromS3.py --loco 4029 --day 2017-12-04</v>
      </c>
      <c r="AN128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3"/>
        <v>https://d0f6bd738d7f1b3e5a7ca70fe4ff75f0.us-east-1.aws.found.io/app/kibana#/discover/Steve-Slow-Train-Analysis-(2080s-and-2083s)?_g=(refreshInterval:(display:Off,pause:!f,section:0,value:0),time:(from:'2017-12-04T17:12:45-0700',mode:absolute,to:'2017-12-04T20:06:21-0700'))&amp;_a=(columns:!('Message%20ID',Summary),filters:!(),index:'emp_*',interval:auto,query:(query_string:(analyze_wildcard:!t,query:'%22rtdc.l.rtdc.4029%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847</v>
      </c>
      <c r="B129" s="225">
        <v>4064</v>
      </c>
      <c r="C129" s="227" t="s">
        <v>192</v>
      </c>
      <c r="D129" s="227" t="s">
        <v>919</v>
      </c>
      <c r="E129" s="226">
        <v>43073.73710648148</v>
      </c>
      <c r="F129" s="226">
        <v>43073.73982638889</v>
      </c>
      <c r="G129" s="225">
        <v>152</v>
      </c>
      <c r="H129" s="227" t="s">
        <v>549</v>
      </c>
      <c r="I129" s="226">
        <v>43073.76462962963</v>
      </c>
      <c r="J129" s="225">
        <v>0</v>
      </c>
      <c r="K129" s="237" t="str">
        <f t="shared" si="28"/>
        <v>4063/4064</v>
      </c>
      <c r="L129" s="245" t="str">
        <f>VLOOKUP(A129,'Trips&amp;Operators'!$C$1:$G$99911,5,FALSE)</f>
        <v>LOZA FIDEL</v>
      </c>
      <c r="M129" s="224">
        <f t="shared" si="29"/>
        <v>2.4803240739856847E-2</v>
      </c>
      <c r="N129" s="225">
        <f t="shared" si="30"/>
        <v>35.716666665393859</v>
      </c>
      <c r="O129" s="225"/>
      <c r="P129" s="225"/>
      <c r="Q129" s="228"/>
      <c r="R129" s="242"/>
      <c r="S129" s="249">
        <f t="shared" si="31"/>
        <v>1</v>
      </c>
      <c r="T129" s="242" t="str">
        <f t="shared" si="32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-04T16:41:26-0700',mode:absolute,to:'2017-12-04T19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9" s="247" t="str">
        <f>IF(AA129&lt;VLOOKUP(AG129,Variables!$AC$3:$AD$8,2,FALSE),"Y","N")</f>
        <v>N</v>
      </c>
      <c r="X129" s="247">
        <f t="shared" si="33"/>
        <v>1</v>
      </c>
      <c r="Y129" s="247">
        <f t="shared" si="34"/>
        <v>4.6899999999999997E-2</v>
      </c>
      <c r="Z129" s="247">
        <f t="shared" si="35"/>
        <v>23.3245</v>
      </c>
      <c r="AA129" s="247">
        <f t="shared" si="36"/>
        <v>23.2776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7"/>
        <v>213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/stypes="app*4064*20171205*" /stext=" 01:.+((SYSTEM_STATE.+slice.+state.+changed )|(ment ac)|(multiple cpu faults)|(system.+state.+changed )|(\[timeout)|(PRM\|1\|D)|(kpr)|(kdp)|(train st.+moving)|(\|lc)|(penalty))"</v>
      </c>
      <c r="AG129" s="244" t="str">
        <f t="shared" si="38"/>
        <v>EC</v>
      </c>
      <c r="AH129" s="236" t="str">
        <f t="shared" si="39"/>
        <v>"%USERPROFILE%\Documents\GitHub\eaglep3\Utilities\RefineRTDCRunTimes.py" --tripid 213-04 --locoid 4064 --swversion DE.1.0.9.0 --startMP 204:469 --initTime 2017-12-04T17:41:26 --startdatetime 2017-12-04T17:45:21 --delay 152 --endMP 204:233245 --enddatetime 2017-12-04T18:21:04 --enforcementcount 0 &gt;&gt;%USERPROFILE%\Documents\GitHub\eaglep3-reporting\EC\2017-12-04-refined-times.txt</v>
      </c>
      <c r="AI129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{"issue":{"subject":"","project_id":79,"tracker_id":40,"status_id":1,"priority_id":2,"assigned_to_id":338,"start_date":"2017-12-04","description":"","custom_fields":[{"id":1,"name":"Subdivision","value":"EC"},{"id":4,"name":"Milepost","value":"23.3245"},{"id":17,"name":"Train ID","value":"213-04"},{"id":16,"name":"Locomotive ID","value":"4064"},{"id":130,"name":"Impact","value":""},{"id":150,"name":"Time of Event (Mountain Time)","value":"18:21:04"},{"id":151,"name":"Denver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41"/>
        <v>start /low /b %USERPROFILE%\Documents\GitHub\eaglep3\Utilities\DownloadLogsFromS3.py --loco 4064 --day 2017-12-04</v>
      </c>
      <c r="AN129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3"/>
        <v>https://d0f6bd738d7f1b3e5a7ca70fe4ff75f0.us-east-1.aws.found.io/app/kibana#/discover/Steve-Slow-Train-Analysis-(2080s-and-2083s)?_g=(refreshInterval:(display:Off,pause:!f,section:0,value:0),time:(from:'2017-12-04T16:41:26-0700',mode:absolute,to:'2017-12-04T19:21:04-0700'))&amp;_a=(columns:!('Message%20ID',Summary),filters:!(),index:'emp_*',interval:auto,query:(query_string:(analyze_wildcard:!t,query:'%22rtdc.l.rtdc.4064%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25">
      <c r="A130" s="229" t="s">
        <v>857</v>
      </c>
      <c r="B130" s="225">
        <v>4063</v>
      </c>
      <c r="C130" s="227" t="s">
        <v>192</v>
      </c>
      <c r="D130" s="227" t="s">
        <v>920</v>
      </c>
      <c r="E130" s="226">
        <v>43073.777071759258</v>
      </c>
      <c r="F130" s="226">
        <v>43073.77957175926</v>
      </c>
      <c r="G130" s="225">
        <v>106</v>
      </c>
      <c r="H130" s="227" t="s">
        <v>629</v>
      </c>
      <c r="I130" s="226">
        <v>43073.804594907408</v>
      </c>
      <c r="J130" s="225">
        <v>0</v>
      </c>
      <c r="K130" s="237" t="str">
        <f t="shared" si="28"/>
        <v>4063/4064</v>
      </c>
      <c r="L130" s="245" t="str">
        <f>VLOOKUP(A130,'Trips&amp;Operators'!$C$1:$G$99911,5,FALSE)</f>
        <v>LOZA FIDEL</v>
      </c>
      <c r="M130" s="224">
        <f t="shared" si="29"/>
        <v>2.5023148147738539E-2</v>
      </c>
      <c r="N130" s="225">
        <f t="shared" si="30"/>
        <v>36.033333332743496</v>
      </c>
      <c r="O130" s="225"/>
      <c r="P130" s="225"/>
      <c r="Q130" s="228"/>
      <c r="R130" s="242"/>
      <c r="S130" s="249">
        <f t="shared" si="31"/>
        <v>1</v>
      </c>
      <c r="T130" s="242" t="str">
        <f t="shared" si="32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-04T17:38:59-0700',mode:absolute,to:'2017-12-04T20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0" s="247" t="str">
        <f>IF(AA130&lt;VLOOKUP(AG130,Variables!$AC$3:$AD$8,2,FALSE),"Y","N")</f>
        <v>N</v>
      </c>
      <c r="X130" s="247">
        <f t="shared" si="33"/>
        <v>1</v>
      </c>
      <c r="Y130" s="247">
        <f t="shared" si="34"/>
        <v>23.295000000000002</v>
      </c>
      <c r="Z130" s="247">
        <f t="shared" si="35"/>
        <v>1.9800000000000002E-2</v>
      </c>
      <c r="AA130" s="247">
        <f t="shared" si="36"/>
        <v>23.275200000000002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7"/>
        <v>214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/stypes="app*4063*20171205*" /stext=" 02:.+((SYSTEM_STATE.+slice.+state.+changed )|(ment ac)|(multiple cpu faults)|(system.+state.+changed )|(\[timeout)|(PRM\|1\|D)|(kpr)|(kdp)|(train st.+moving)|(\|lc)|(penalty))"</v>
      </c>
      <c r="AG130" s="244" t="str">
        <f t="shared" si="38"/>
        <v>EC</v>
      </c>
      <c r="AH130" s="236" t="str">
        <f t="shared" si="39"/>
        <v>"%USERPROFILE%\Documents\GitHub\eaglep3\Utilities\RefineRTDCRunTimes.py" --tripid 214-04 --locoid 4063 --swversion DE.1.0.9.0 --startMP 204:232950 --initTime 2017-12-04T18:38:59 --startdatetime 2017-12-04T18:42:35 --delay 106 --endMP 204:198 --enddatetime 2017-12-04T19:18:37 --enforcementcount 0 &gt;&gt;%USERPROFILE%\Documents\GitHub\eaglep3-reporting\EC\2017-12-04-refined-times.txt</v>
      </c>
      <c r="AI130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{"issue":{"subject":"","project_id":79,"tracker_id":40,"status_id":1,"priority_id":2,"assigned_to_id":338,"start_date":"2017-12-04","description":"","custom_fields":[{"id":1,"name":"Subdivision","value":"EC"},{"id":4,"name":"Milepost","value":"0.0198"},{"id":17,"name":"Train ID","value":"214-04"},{"id":16,"name":"Locomotive ID","value":"4063"},{"id":130,"name":"Impact","value":""},{"id":150,"name":"Time of Event (Mountain Time)","value":"19:18:37"},{"id":151,"name":"Denver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41"/>
        <v>start /low /b %USERPROFILE%\Documents\GitHub\eaglep3\Utilities\DownloadLogsFromS3.py --loco 4063 --day 2017-12-04</v>
      </c>
      <c r="AN130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02:18:37"},{"id":29,"name":"Sharepoint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3"/>
        <v>https://d0f6bd738d7f1b3e5a7ca70fe4ff75f0.us-east-1.aws.found.io/app/kibana#/discover/Steve-Slow-Train-Analysis-(2080s-and-2083s)?_g=(refreshInterval:(display:Off,pause:!f,section:0,value:0),time:(from:'2017-12-04T17:38:59-0700',mode:absolute,to:'2017-12-04T20:18:37-0700'))&amp;_a=(columns:!('Message%20ID',Summary),filters:!(),index:'emp_*',interval:auto,query:(query_string:(analyze_wildcard:!t,query:'%22rtdc.l.rtdc.4063%22')),sort:!(Time.ISO8601,asc))</v>
      </c>
    </row>
    <row r="131" spans="1:91" s="20" customFormat="1" x14ac:dyDescent="0.25">
      <c r="A131" s="229" t="s">
        <v>850</v>
      </c>
      <c r="B131" s="225">
        <v>4022</v>
      </c>
      <c r="C131" s="227" t="s">
        <v>192</v>
      </c>
      <c r="D131" s="227" t="s">
        <v>939</v>
      </c>
      <c r="E131" s="226">
        <v>43073.748217592591</v>
      </c>
      <c r="F131" s="226">
        <v>43073.750219907408</v>
      </c>
      <c r="G131" s="225">
        <v>64</v>
      </c>
      <c r="H131" s="227" t="s">
        <v>910</v>
      </c>
      <c r="I131" s="226">
        <v>43073.777222222219</v>
      </c>
      <c r="J131" s="225">
        <v>0</v>
      </c>
      <c r="K131" s="237" t="str">
        <f t="shared" si="28"/>
        <v>4021/4022</v>
      </c>
      <c r="L131" s="245" t="str">
        <f>VLOOKUP(A131,'Trips&amp;Operators'!$C$1:$G$99911,5,FALSE)</f>
        <v>MAGEE KENYA</v>
      </c>
      <c r="M131" s="224">
        <f t="shared" si="29"/>
        <v>2.700231481139781E-2</v>
      </c>
      <c r="N131" s="225">
        <f t="shared" si="30"/>
        <v>38.883333328412846</v>
      </c>
      <c r="O131" s="225"/>
      <c r="P131" s="225"/>
      <c r="Q131" s="228"/>
      <c r="R131" s="242"/>
      <c r="S131" s="249">
        <f t="shared" si="31"/>
        <v>1</v>
      </c>
      <c r="T131" s="242" t="str">
        <f t="shared" si="32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-04T16:57:26-0700',mode:absolute,to:'2017-12-04T19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247" t="str">
        <f>IF(AA131&lt;VLOOKUP(AG131,Variables!$AC$3:$AD$8,2,FALSE),"Y","N")</f>
        <v>N</v>
      </c>
      <c r="X131" s="247">
        <f t="shared" si="33"/>
        <v>1</v>
      </c>
      <c r="Y131" s="247">
        <f t="shared" si="34"/>
        <v>5.3699999999999998E-2</v>
      </c>
      <c r="Z131" s="247">
        <f t="shared" si="35"/>
        <v>23.3278</v>
      </c>
      <c r="AA131" s="247">
        <f t="shared" si="36"/>
        <v>23.274100000000001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7"/>
        <v>215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/stypes="app*4022*20171205*" /stext=" 01:.+((SYSTEM_STATE.+slice.+state.+changed )|(ment ac)|(multiple cpu faults)|(system.+state.+changed )|(\[timeout)|(PRM\|1\|D)|(kpr)|(kdp)|(train st.+moving)|(\|lc)|(penalty))"</v>
      </c>
      <c r="AG131" s="244" t="str">
        <f t="shared" si="38"/>
        <v>EC</v>
      </c>
      <c r="AH131" s="236" t="str">
        <f t="shared" si="39"/>
        <v>"%USERPROFILE%\Documents\GitHub\eaglep3\Utilities\RefineRTDCRunTimes.py" --tripid 215-04 --locoid 4022 --swversion DE.1.0.9.0 --startMP 204:537 --initTime 2017-12-04T17:57:26 --startdatetime 2017-12-04T18:00:19 --delay 64 --endMP 204:233278 --enddatetime 2017-12-04T18:39:12 --enforcementcount 0 &gt;&gt;%USERPROFILE%\Documents\GitHub\eaglep3-reporting\EC\2017-12-04-refined-times.txt</v>
      </c>
      <c r="AI131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{"issue":{"subject":"","project_id":79,"tracker_id":40,"status_id":1,"priority_id":2,"assigned_to_id":338,"start_date":"2017-12-04","description":"","custom_fields":[{"id":1,"name":"Subdivision","value":"EC"},{"id":4,"name":"Milepost","value":"23.3278"},{"id":17,"name":"Train ID","value":"215-04"},{"id":16,"name":"Locomotive ID","value":"4022"},{"id":130,"name":"Impact","value":""},{"id":150,"name":"Time of Event (Mountain Time)","value":"18:39:12"},{"id":151,"name":"Denver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41"/>
        <v>start /low /b %USERPROFILE%\Documents\GitHub\eaglep3\Utilities\DownloadLogsFromS3.py --loco 4022 --day 2017-12-04</v>
      </c>
      <c r="AN131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3"/>
        <v>https://d0f6bd738d7f1b3e5a7ca70fe4ff75f0.us-east-1.aws.found.io/app/kibana#/discover/Steve-Slow-Train-Analysis-(2080s-and-2083s)?_g=(refreshInterval:(display:Off,pause:!f,section:0,value:0),time:(from:'2017-12-04T16:57:26-0700',mode:absolute,to:'2017-12-04T19:39:12-0700'))&amp;_a=(columns:!('Message%20ID',Summary),filters:!(),index:'emp_*',interval:auto,query:(query_string:(analyze_wildcard:!t,query:'%22rtdc.l.rtdc.4022%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860</v>
      </c>
      <c r="B132" s="225">
        <v>4021</v>
      </c>
      <c r="C132" s="227" t="s">
        <v>192</v>
      </c>
      <c r="D132" s="227" t="s">
        <v>911</v>
      </c>
      <c r="E132" s="226">
        <v>43073.787268518521</v>
      </c>
      <c r="F132" s="226">
        <v>43073.789803240739</v>
      </c>
      <c r="G132" s="225">
        <v>71</v>
      </c>
      <c r="H132" s="227" t="s">
        <v>506</v>
      </c>
      <c r="I132" s="226">
        <v>43073.816840277781</v>
      </c>
      <c r="J132" s="225">
        <v>0</v>
      </c>
      <c r="K132" s="237" t="str">
        <f t="shared" si="28"/>
        <v>4021/4022</v>
      </c>
      <c r="L132" s="245" t="str">
        <f>VLOOKUP(A132,'Trips&amp;Operators'!$C$1:$G$99911,5,FALSE)</f>
        <v>MAGEE KENYA</v>
      </c>
      <c r="M132" s="224">
        <f t="shared" si="29"/>
        <v>2.7037037041736767E-2</v>
      </c>
      <c r="N132" s="225">
        <f t="shared" si="30"/>
        <v>38.933333340100944</v>
      </c>
      <c r="O132" s="225"/>
      <c r="P132" s="225"/>
      <c r="Q132" s="228"/>
      <c r="R132" s="242"/>
      <c r="S132" s="249">
        <f t="shared" si="31"/>
        <v>1</v>
      </c>
      <c r="T132" s="242" t="str">
        <f t="shared" si="32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-04T17:53:40-0700',mode:absolute,to:'2017-12-04T20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247" t="str">
        <f>IF(AA132&lt;VLOOKUP(AG132,Variables!$AC$3:$AD$8,2,FALSE),"Y","N")</f>
        <v>N</v>
      </c>
      <c r="X132" s="247">
        <f t="shared" si="33"/>
        <v>1</v>
      </c>
      <c r="Y132" s="247">
        <f t="shared" si="34"/>
        <v>23.295999999999999</v>
      </c>
      <c r="Z132" s="247">
        <f t="shared" si="35"/>
        <v>1.8499999999999999E-2</v>
      </c>
      <c r="AA132" s="247">
        <f t="shared" si="36"/>
        <v>23.2775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7"/>
        <v>216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/stypes="app*4021*20171205*" /stext=" 02:.+((SYSTEM_STATE.+slice.+state.+changed )|(ment ac)|(multiple cpu faults)|(system.+state.+changed )|(\[timeout)|(PRM\|1\|D)|(kpr)|(kdp)|(train st.+moving)|(\|lc)|(penalty))"</v>
      </c>
      <c r="AG132" s="244" t="str">
        <f t="shared" si="38"/>
        <v>EC</v>
      </c>
      <c r="AH132" s="236" t="str">
        <f t="shared" si="39"/>
        <v>"%USERPROFILE%\Documents\GitHub\eaglep3\Utilities\RefineRTDCRunTimes.py" --tripid 216-04 --locoid 4021 --swversion DE.1.0.9.0 --startMP 204:232960 --initTime 2017-12-04T18:53:40 --startdatetime 2017-12-04T18:57:19 --delay 71 --endMP 204:185 --enddatetime 2017-12-04T19:36:15 --enforcementcount 0 &gt;&gt;%USERPROFILE%\Documents\GitHub\eaglep3-reporting\EC\2017-12-04-refined-times.txt</v>
      </c>
      <c r="AI132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{"issue":{"subject":"","project_id":79,"tracker_id":40,"status_id":1,"priority_id":2,"assigned_to_id":338,"start_date":"2017-12-04","description":"","custom_fields":[{"id":1,"name":"Subdivision","value":"EC"},{"id":4,"name":"Milepost","value":"0.0185"},{"id":17,"name":"Train ID","value":"216-04"},{"id":16,"name":"Locomotive ID","value":"4021"},{"id":130,"name":"Impact","value":""},{"id":150,"name":"Time of Event (Mountain Time)","value":"19:36:15"},{"id":151,"name":"Denver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41"/>
        <v>start /low /b %USERPROFILE%\Documents\GitHub\eaglep3\Utilities\DownloadLogsFromS3.py --loco 4021 --day 2017-12-04</v>
      </c>
      <c r="AN132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3"/>
        <v>https://d0f6bd738d7f1b3e5a7ca70fe4ff75f0.us-east-1.aws.found.io/app/kibana#/discover/Steve-Slow-Train-Analysis-(2080s-and-2083s)?_g=(refreshInterval:(display:Off,pause:!f,section:0,value:0),time:(from:'2017-12-04T17:53:40-0700',mode:absolute,to:'2017-12-04T20:36:15-0700'))&amp;_a=(columns:!('Message%20ID',Summary),filters:!(),index:'emp_*',interval:auto,query:(query_string:(analyze_wildcard:!t,query:'%22rtdc.l.rtdc.4021%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25">
      <c r="A133" s="229" t="s">
        <v>853</v>
      </c>
      <c r="B133" s="225">
        <v>4008</v>
      </c>
      <c r="C133" s="227" t="s">
        <v>192</v>
      </c>
      <c r="D133" s="227" t="s">
        <v>975</v>
      </c>
      <c r="E133" s="226">
        <v>43073.757800925923</v>
      </c>
      <c r="F133" s="226">
        <v>43073.760567129626</v>
      </c>
      <c r="G133" s="225">
        <v>107</v>
      </c>
      <c r="H133" s="227" t="s">
        <v>497</v>
      </c>
      <c r="I133" s="226">
        <v>43073.785381944443</v>
      </c>
      <c r="J133" s="225">
        <v>0</v>
      </c>
      <c r="K133" s="237" t="str">
        <f t="shared" si="28"/>
        <v>4007/4008</v>
      </c>
      <c r="L133" s="245" t="str">
        <f>VLOOKUP(A133,'Trips&amp;Operators'!$C$1:$G$99911,5,FALSE)</f>
        <v>RESPASS AARON</v>
      </c>
      <c r="M133" s="224">
        <f t="shared" si="29"/>
        <v>2.4814814816636499E-2</v>
      </c>
      <c r="N133" s="225">
        <f t="shared" si="30"/>
        <v>35.733333335956559</v>
      </c>
      <c r="O133" s="225"/>
      <c r="P133" s="225"/>
      <c r="Q133" s="228"/>
      <c r="R133" s="242"/>
      <c r="S133" s="249">
        <f t="shared" si="31"/>
        <v>1</v>
      </c>
      <c r="T133" s="242" t="str">
        <f t="shared" si="32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-04T17:11:14-0700',mode:absolute,to:'2017-12-04T19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247" t="str">
        <f>IF(AA133&lt;VLOOKUP(AG133,Variables!$AC$3:$AD$8,2,FALSE),"Y","N")</f>
        <v>N</v>
      </c>
      <c r="X133" s="247">
        <f t="shared" si="33"/>
        <v>1</v>
      </c>
      <c r="Y133" s="247">
        <f t="shared" si="34"/>
        <v>5.5500000000000001E-2</v>
      </c>
      <c r="Z133" s="247">
        <f t="shared" si="35"/>
        <v>23.323</v>
      </c>
      <c r="AA133" s="247">
        <f t="shared" si="36"/>
        <v>23.267500000000002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7"/>
        <v>217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/stypes="app*4008*20171205*" /stext=" 01:.+((SYSTEM_STATE.+slice.+state.+changed )|(ment ac)|(multiple cpu faults)|(system.+state.+changed )|(\[timeout)|(PRM\|1\|D)|(kpr)|(kdp)|(train st.+moving)|(\|lc)|(penalty))"</v>
      </c>
      <c r="AG133" s="244" t="str">
        <f t="shared" si="38"/>
        <v>EC</v>
      </c>
      <c r="AH133" s="236" t="str">
        <f t="shared" si="39"/>
        <v>"%USERPROFILE%\Documents\GitHub\eaglep3\Utilities\RefineRTDCRunTimes.py" --tripid 217-04 --locoid 4008 --swversion DE.1.0.9.0 --startMP 204:555 --initTime 2017-12-04T18:11:14 --startdatetime 2017-12-04T18:15:13 --delay 107 --endMP 204:233230 --enddatetime 2017-12-04T18:50:57 --enforcementcount 0 &gt;&gt;%USERPROFILE%\Documents\GitHub\eaglep3-reporting\EC\2017-12-04-refined-times.txt</v>
      </c>
      <c r="AI133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{"issue":{"subject":"","project_id":79,"tracker_id":40,"status_id":1,"priority_id":2,"assigned_to_id":338,"start_date":"2017-12-04","description":"","custom_fields":[{"id":1,"name":"Subdivision","value":"EC"},{"id":4,"name":"Milepost","value":"23.323"},{"id":17,"name":"Train ID","value":"217-04"},{"id":16,"name":"Locomotive ID","value":"4008"},{"id":130,"name":"Impact","value":""},{"id":150,"name":"Time of Event (Mountain Time)","value":"18:50:57"},{"id":151,"name":"Denver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41"/>
        <v>start /low /b %USERPROFILE%\Documents\GitHub\eaglep3\Utilities\DownloadLogsFromS3.py --loco 4008 --day 2017-12-04</v>
      </c>
      <c r="AN133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3"/>
        <v>https://d0f6bd738d7f1b3e5a7ca70fe4ff75f0.us-east-1.aws.found.io/app/kibana#/discover/Steve-Slow-Train-Analysis-(2080s-and-2083s)?_g=(refreshInterval:(display:Off,pause:!f,section:0,value:0),time:(from:'2017-12-04T17:11:14-0700',mode:absolute,to:'2017-12-04T19:50:57-0700'))&amp;_a=(columns:!('Message%20ID',Summary),filters:!(),index:'emp_*',interval:auto,query:(query_string:(analyze_wildcard:!t,query:'%22rtdc.l.rtdc.4008%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863</v>
      </c>
      <c r="B134" s="225">
        <v>4007</v>
      </c>
      <c r="C134" s="227" t="s">
        <v>192</v>
      </c>
      <c r="D134" s="227" t="s">
        <v>976</v>
      </c>
      <c r="E134" s="226">
        <v>43073.795937499999</v>
      </c>
      <c r="F134" s="226">
        <v>43073.800196759257</v>
      </c>
      <c r="G134" s="225">
        <v>103</v>
      </c>
      <c r="H134" s="227" t="s">
        <v>977</v>
      </c>
      <c r="I134" s="226">
        <v>43073.82545138889</v>
      </c>
      <c r="J134" s="225">
        <v>0</v>
      </c>
      <c r="K134" s="237" t="str">
        <f t="shared" si="28"/>
        <v>4007/4008</v>
      </c>
      <c r="L134" s="245" t="str">
        <f>VLOOKUP(A134,'Trips&amp;Operators'!$C$1:$G$99911,5,FALSE)</f>
        <v>RESPASS AARON</v>
      </c>
      <c r="M134" s="224">
        <f t="shared" si="29"/>
        <v>2.5254629632399883E-2</v>
      </c>
      <c r="N134" s="225">
        <f t="shared" si="30"/>
        <v>36.366666670655832</v>
      </c>
      <c r="O134" s="225"/>
      <c r="P134" s="225"/>
      <c r="Q134" s="228"/>
      <c r="R134" s="242"/>
      <c r="S134" s="249">
        <f t="shared" si="31"/>
        <v>1</v>
      </c>
      <c r="T134" s="242" t="str">
        <f t="shared" si="32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-04T18:06:09-0700',mode:absolute,to:'2017-12-04T20:48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247" t="str">
        <f>IF(AA134&lt;VLOOKUP(AG134,Variables!$AC$3:$AD$8,2,FALSE),"Y","N")</f>
        <v>N</v>
      </c>
      <c r="X134" s="247">
        <f t="shared" si="33"/>
        <v>1</v>
      </c>
      <c r="Y134" s="247">
        <f t="shared" si="34"/>
        <v>23.290900000000001</v>
      </c>
      <c r="Z134" s="247">
        <f t="shared" si="35"/>
        <v>2.4899999999999999E-2</v>
      </c>
      <c r="AA134" s="247">
        <f t="shared" si="36"/>
        <v>23.266000000000002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7"/>
        <v>218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/stypes="app*4007*20171205*" /stext=" 02:.+((SYSTEM_STATE.+slice.+state.+changed )|(ment ac)|(multiple cpu faults)|(system.+state.+changed )|(\[timeout)|(PRM\|1\|D)|(kpr)|(kdp)|(train st.+moving)|(\|lc)|(penalty))"</v>
      </c>
      <c r="AG134" s="244" t="str">
        <f t="shared" si="38"/>
        <v>EC</v>
      </c>
      <c r="AH134" s="236" t="str">
        <f t="shared" si="39"/>
        <v>"%USERPROFILE%\Documents\GitHub\eaglep3\Utilities\RefineRTDCRunTimes.py" --tripid 218-04 --locoid 4007 --swversion DE.1.0.9.0 --startMP 204:232909 --initTime 2017-12-04T19:06:09 --startdatetime 2017-12-04T19:12:17 --delay 103 --endMP 204:249 --enddatetime 2017-12-04T19:48:39 --enforcementcount 0 &gt;&gt;%USERPROFILE%\Documents\GitHub\eaglep3-reporting\EC\2017-12-04-refined-times.txt</v>
      </c>
      <c r="AI134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{"issue":{"subject":"","project_id":79,"tracker_id":40,"status_id":1,"priority_id":2,"assigned_to_id":338,"start_date":"2017-12-04","description":"","custom_fields":[{"id":1,"name":"Subdivision","value":"EC"},{"id":4,"name":"Milepost","value":"0.0249"},{"id":17,"name":"Train ID","value":"218-04"},{"id":16,"name":"Locomotive ID","value":"4007"},{"id":130,"name":"Impact","value":""},{"id":150,"name":"Time of Event (Mountain Time)","value":"19:48:39"},{"id":151,"name":"Denver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1"/>
        <v>start /low /b %USERPROFILE%\Documents\GitHub\eaglep3\Utilities\DownloadLogsFromS3.py --loco 4007 --day 2017-12-04</v>
      </c>
      <c r="AN134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3"/>
        <v>https://d0f6bd738d7f1b3e5a7ca70fe4ff75f0.us-east-1.aws.found.io/app/kibana#/discover/Steve-Slow-Train-Analysis-(2080s-and-2083s)?_g=(refreshInterval:(display:Off,pause:!f,section:0,value:0),time:(from:'2017-12-04T18:06:09-0700',mode:absolute,to:'2017-12-04T20:48:39-0700'))&amp;_a=(columns:!('Message%20ID',Summary),filters:!(),index:'emp_*',interval:auto,query:(query_string:(analyze_wildcard:!t,query:'%22rtdc.l.rtdc.4007%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855</v>
      </c>
      <c r="B135" s="225">
        <v>4010</v>
      </c>
      <c r="C135" s="227" t="s">
        <v>192</v>
      </c>
      <c r="D135" s="227" t="s">
        <v>551</v>
      </c>
      <c r="E135" s="226">
        <v>43073.767013888886</v>
      </c>
      <c r="F135" s="226">
        <v>43073.770995370367</v>
      </c>
      <c r="G135" s="225">
        <v>117</v>
      </c>
      <c r="H135" s="227" t="s">
        <v>962</v>
      </c>
      <c r="I135" s="226">
        <v>43073.796481481484</v>
      </c>
      <c r="J135" s="225">
        <v>0</v>
      </c>
      <c r="K135" s="237" t="str">
        <f t="shared" si="28"/>
        <v>4009/4010</v>
      </c>
      <c r="L135" s="245" t="str">
        <f>VLOOKUP(A135,'Trips&amp;Operators'!$C$1:$G$99911,5,FALSE)</f>
        <v>WILLIAMS DONTE</v>
      </c>
      <c r="M135" s="224">
        <f t="shared" si="29"/>
        <v>2.5486111117061228E-2</v>
      </c>
      <c r="N135" s="225">
        <f t="shared" si="30"/>
        <v>36.700000008568168</v>
      </c>
      <c r="O135" s="225"/>
      <c r="P135" s="225"/>
      <c r="Q135" s="228"/>
      <c r="R135" s="242"/>
      <c r="S135" s="249">
        <f t="shared" si="31"/>
        <v>1</v>
      </c>
      <c r="T135" s="242" t="str">
        <f t="shared" si="32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-04T17:24:30-0700',mode:absolute,to:'2017-12-04T20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5" s="247" t="str">
        <f>IF(AA135&lt;VLOOKUP(AG135,Variables!$AC$3:$AD$8,2,FALSE),"Y","N")</f>
        <v>N</v>
      </c>
      <c r="X135" s="247">
        <f t="shared" si="33"/>
        <v>1</v>
      </c>
      <c r="Y135" s="247">
        <f t="shared" si="34"/>
        <v>5.0599999999999999E-2</v>
      </c>
      <c r="Z135" s="247">
        <f t="shared" si="35"/>
        <v>23.3215</v>
      </c>
      <c r="AA135" s="247">
        <f t="shared" si="36"/>
        <v>23.270900000000001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7"/>
        <v>219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/stypes="app*4010*20171205*" /stext=" 02:.+((SYSTEM_STATE.+slice.+state.+changed )|(ment ac)|(multiple cpu faults)|(system.+state.+changed )|(\[timeout)|(PRM\|1\|D)|(kpr)|(kdp)|(train st.+moving)|(\|lc)|(penalty))"</v>
      </c>
      <c r="AG135" s="244" t="str">
        <f t="shared" si="38"/>
        <v>EC</v>
      </c>
      <c r="AH135" s="236" t="str">
        <f t="shared" si="39"/>
        <v>"%USERPROFILE%\Documents\GitHub\eaglep3\Utilities\RefineRTDCRunTimes.py" --tripid 219-04 --locoid 4010 --swversion DE.1.0.9.0 --startMP 204:506 --initTime 2017-12-04T18:24:30 --startdatetime 2017-12-04T18:30:14 --delay 117 --endMP 204:233215 --enddatetime 2017-12-04T19:06:56 --enforcementcount 0 &gt;&gt;%USERPROFILE%\Documents\GitHub\eaglep3-reporting\EC\2017-12-04-refined-times.txt</v>
      </c>
      <c r="AI135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{"issue":{"subject":"","project_id":79,"tracker_id":40,"status_id":1,"priority_id":2,"assigned_to_id":338,"start_date":"2017-12-04","description":"","custom_fields":[{"id":1,"name":"Subdivision","value":"EC"},{"id":4,"name":"Milepost","value":"23.3215"},{"id":17,"name":"Train ID","value":"219-04"},{"id":16,"name":"Locomotive ID","value":"4010"},{"id":130,"name":"Impact","value":""},{"id":150,"name":"Time of Event (Mountain Time)","value":"19:06:56"},{"id":151,"name":"Denver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1"/>
        <v>start /low /b %USERPROFILE%\Documents\GitHub\eaglep3\Utilities\DownloadLogsFromS3.py --loco 4010 --day 2017-12-04</v>
      </c>
      <c r="AN135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3"/>
        <v>https://d0f6bd738d7f1b3e5a7ca70fe4ff75f0.us-east-1.aws.found.io/app/kibana#/discover/Steve-Slow-Train-Analysis-(2080s-and-2083s)?_g=(refreshInterval:(display:Off,pause:!f,section:0,value:0),time:(from:'2017-12-04T17:24:30-0700',mode:absolute,to:'2017-12-04T20:06:56-0700'))&amp;_a=(columns:!('Message%20ID',Summary),filters:!(),index:'emp_*',interval:auto,query:(query_string:(analyze_wildcard:!t,query:'%22rtdc.l.rtdc.4010%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865</v>
      </c>
      <c r="B136" s="225">
        <v>4009</v>
      </c>
      <c r="C136" s="227" t="s">
        <v>192</v>
      </c>
      <c r="D136" s="227" t="s">
        <v>976</v>
      </c>
      <c r="E136" s="226">
        <v>43073.806851851848</v>
      </c>
      <c r="F136" s="226">
        <v>43073.810844907406</v>
      </c>
      <c r="G136" s="225">
        <v>118</v>
      </c>
      <c r="H136" s="227" t="s">
        <v>412</v>
      </c>
      <c r="I136" s="226">
        <v>43073.837314814817</v>
      </c>
      <c r="J136" s="225">
        <v>0</v>
      </c>
      <c r="K136" s="237" t="str">
        <f t="shared" si="28"/>
        <v>4009/4010</v>
      </c>
      <c r="L136" s="245" t="str">
        <f>VLOOKUP(A136,'Trips&amp;Operators'!$C$1:$G$99911,5,FALSE)</f>
        <v>WILLIAMS DONTE</v>
      </c>
      <c r="M136" s="224">
        <f t="shared" si="29"/>
        <v>2.6469907410501037E-2</v>
      </c>
      <c r="N136" s="225">
        <f t="shared" si="30"/>
        <v>38.116666671121493</v>
      </c>
      <c r="O136" s="225"/>
      <c r="P136" s="225"/>
      <c r="Q136" s="228"/>
      <c r="R136" s="242"/>
      <c r="S136" s="249">
        <f t="shared" si="31"/>
        <v>1</v>
      </c>
      <c r="T136" s="242" t="str">
        <f t="shared" si="32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-04T18:21:52-0700',mode:absolute,to:'2017-12-04T21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247" t="str">
        <f>IF(AA136&lt;VLOOKUP(AG136,Variables!$AC$3:$AD$8,2,FALSE),"Y","N")</f>
        <v>N</v>
      </c>
      <c r="X136" s="247">
        <f t="shared" si="33"/>
        <v>1</v>
      </c>
      <c r="Y136" s="247">
        <f t="shared" si="34"/>
        <v>23.290900000000001</v>
      </c>
      <c r="Z136" s="247">
        <f t="shared" si="35"/>
        <v>2.12E-2</v>
      </c>
      <c r="AA136" s="247">
        <f t="shared" si="36"/>
        <v>23.2697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7"/>
        <v>220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/stypes="app*4009*20171205*" /stext=" 03:.+((SYSTEM_STATE.+slice.+state.+changed )|(ment ac)|(multiple cpu faults)|(system.+state.+changed )|(\[timeout)|(PRM\|1\|D)|(kpr)|(kdp)|(train st.+moving)|(\|lc)|(penalty))"</v>
      </c>
      <c r="AG136" s="244" t="str">
        <f t="shared" si="38"/>
        <v>EC</v>
      </c>
      <c r="AH136" s="236" t="str">
        <f t="shared" si="39"/>
        <v>"%USERPROFILE%\Documents\GitHub\eaglep3\Utilities\RefineRTDCRunTimes.py" --tripid 220-04 --locoid 4009 --swversion DE.1.0.9.0 --startMP 204:232909 --initTime 2017-12-04T19:21:52 --startdatetime 2017-12-04T19:27:37 --delay 118 --endMP 204:212 --enddatetime 2017-12-04T20:05:44 --enforcementcount 0 &gt;&gt;%USERPROFILE%\Documents\GitHub\eaglep3-reporting\EC\2017-12-04-refined-times.txt</v>
      </c>
      <c r="AI136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{"issue":{"subject":"","project_id":79,"tracker_id":40,"status_id":1,"priority_id":2,"assigned_to_id":338,"start_date":"2017-12-04","description":"","custom_fields":[{"id":1,"name":"Subdivision","value":"EC"},{"id":4,"name":"Milepost","value":"0.0212"},{"id":17,"name":"Train ID","value":"220-04"},{"id":16,"name":"Locomotive ID","value":"4009"},{"id":130,"name":"Impact","value":""},{"id":150,"name":"Time of Event (Mountain Time)","value":"20:05:44"},{"id":151,"name":"Denver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1"/>
        <v>start /low /b %USERPROFILE%\Documents\GitHub\eaglep3\Utilities\DownloadLogsFromS3.py --loco 4009 --day 2017-12-04</v>
      </c>
      <c r="AN136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3"/>
        <v>https://d0f6bd738d7f1b3e5a7ca70fe4ff75f0.us-east-1.aws.found.io/app/kibana#/discover/Steve-Slow-Train-Analysis-(2080s-and-2083s)?_g=(refreshInterval:(display:Off,pause:!f,section:0,value:0),time:(from:'2017-12-04T18:21:52-0700',mode:absolute,to:'2017-12-04T21:05:44-0700'))&amp;_a=(columns:!('Message%20ID',Summary),filters:!(),index:'emp_*',interval:auto,query:(query_string:(analyze_wildcard:!t,query:'%22rtdc.l.rtdc.4009%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859</v>
      </c>
      <c r="B137" s="225">
        <v>4058</v>
      </c>
      <c r="C137" s="227" t="s">
        <v>192</v>
      </c>
      <c r="D137" s="227" t="s">
        <v>416</v>
      </c>
      <c r="E137" s="226">
        <v>43073.785624999997</v>
      </c>
      <c r="F137" s="226">
        <v>43073.791828703703</v>
      </c>
      <c r="G137" s="225">
        <v>101</v>
      </c>
      <c r="H137" s="227" t="s">
        <v>644</v>
      </c>
      <c r="I137" s="226">
        <v>43073.816168981481</v>
      </c>
      <c r="J137" s="225">
        <v>0</v>
      </c>
      <c r="K137" s="237" t="str">
        <f t="shared" si="28"/>
        <v>4057/4058</v>
      </c>
      <c r="L137" s="245" t="str">
        <f>VLOOKUP(A137,'Trips&amp;Operators'!$C$1:$G$99911,5,FALSE)</f>
        <v>ELBAUM MIKE</v>
      </c>
      <c r="M137" s="224">
        <f t="shared" si="29"/>
        <v>2.4340277777810115E-2</v>
      </c>
      <c r="N137" s="225">
        <f t="shared" si="30"/>
        <v>35.050000000046566</v>
      </c>
      <c r="O137" s="225"/>
      <c r="P137" s="225"/>
      <c r="Q137" s="228"/>
      <c r="R137" s="242"/>
      <c r="S137" s="249">
        <f t="shared" si="31"/>
        <v>1</v>
      </c>
      <c r="T137" s="242" t="str">
        <f t="shared" si="32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-04T17:51:18-0700',mode:absolute,to:'2017-12-04T20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7" s="247" t="str">
        <f>IF(AA137&lt;VLOOKUP(AG137,Variables!$AC$3:$AD$8,2,FALSE),"Y","N")</f>
        <v>N</v>
      </c>
      <c r="X137" s="247">
        <f t="shared" si="33"/>
        <v>1</v>
      </c>
      <c r="Y137" s="247">
        <f t="shared" si="34"/>
        <v>5.11E-2</v>
      </c>
      <c r="Z137" s="247">
        <f t="shared" si="35"/>
        <v>23.3264</v>
      </c>
      <c r="AA137" s="247">
        <f t="shared" si="36"/>
        <v>23.275299999999998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7"/>
        <v>221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/stypes="app*4058*20171205*" /stext=" 02:.+((SYSTEM_STATE.+slice.+state.+changed )|(ment ac)|(multiple cpu faults)|(system.+state.+changed )|(\[timeout)|(PRM\|1\|D)|(kpr)|(kdp)|(train st.+moving)|(\|lc)|(penalty))"</v>
      </c>
      <c r="AG137" s="244" t="str">
        <f t="shared" si="38"/>
        <v>EC</v>
      </c>
      <c r="AH137" s="236" t="str">
        <f t="shared" si="39"/>
        <v>"%USERPROFILE%\Documents\GitHub\eaglep3\Utilities\RefineRTDCRunTimes.py" --tripid 221-04 --locoid 4058 --swversion DE.1.0.9.0 --startMP 204:511 --initTime 2017-12-04T18:51:18 --startdatetime 2017-12-04T19:00:14 --delay 101 --endMP 204:233264 --enddatetime 2017-12-04T19:35:17 --enforcementcount 0 &gt;&gt;%USERPROFILE%\Documents\GitHub\eaglep3-reporting\EC\2017-12-04-refined-times.txt</v>
      </c>
      <c r="AI137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{"issue":{"subject":"","project_id":79,"tracker_id":40,"status_id":1,"priority_id":2,"assigned_to_id":338,"start_date":"2017-12-04","description":"","custom_fields":[{"id":1,"name":"Subdivision","value":"EC"},{"id":4,"name":"Milepost","value":"23.3264"},{"id":17,"name":"Train ID","value":"221-04"},{"id":16,"name":"Locomotive ID","value":"4058"},{"id":130,"name":"Impact","value":""},{"id":150,"name":"Time of Event (Mountain Time)","value":"19:35:17"},{"id":151,"name":"Denver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1"/>
        <v>start /low /b %USERPROFILE%\Documents\GitHub\eaglep3\Utilities\DownloadLogsFromS3.py --loco 4058 --day 2017-12-04</v>
      </c>
      <c r="AN137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3"/>
        <v>https://d0f6bd738d7f1b3e5a7ca70fe4ff75f0.us-east-1.aws.found.io/app/kibana#/discover/Steve-Slow-Train-Analysis-(2080s-and-2083s)?_g=(refreshInterval:(display:Off,pause:!f,section:0,value:0),time:(from:'2017-12-04T17:51:18-0700',mode:absolute,to:'2017-12-04T20:35:17-0700'))&amp;_a=(columns:!('Message%20ID',Summary),filters:!(),index:'emp_*',interval:auto,query:(query_string:(analyze_wildcard:!t,query:'%22rtdc.l.rtdc.4058%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868</v>
      </c>
      <c r="B138" s="225">
        <v>4057</v>
      </c>
      <c r="C138" s="227" t="s">
        <v>192</v>
      </c>
      <c r="D138" s="227" t="s">
        <v>978</v>
      </c>
      <c r="E138" s="226">
        <v>43073.828472222223</v>
      </c>
      <c r="F138" s="226">
        <v>43073.831400462965</v>
      </c>
      <c r="G138" s="225">
        <v>55</v>
      </c>
      <c r="H138" s="227" t="s">
        <v>557</v>
      </c>
      <c r="I138" s="226">
        <v>43073.85665509259</v>
      </c>
      <c r="J138" s="225">
        <v>0</v>
      </c>
      <c r="K138" s="237" t="str">
        <f t="shared" si="28"/>
        <v>4057/4058</v>
      </c>
      <c r="L138" s="245" t="str">
        <f>VLOOKUP(A138,'Trips&amp;Operators'!$C$1:$G$99911,5,FALSE)</f>
        <v>ELBAUM MIKE</v>
      </c>
      <c r="M138" s="224">
        <f t="shared" si="29"/>
        <v>2.5254629625123926E-2</v>
      </c>
      <c r="N138" s="225">
        <f t="shared" si="30"/>
        <v>36.366666660178453</v>
      </c>
      <c r="O138" s="225"/>
      <c r="P138" s="225"/>
      <c r="Q138" s="228"/>
      <c r="R138" s="242"/>
      <c r="S138" s="249">
        <f t="shared" si="31"/>
        <v>1</v>
      </c>
      <c r="T138" s="242" t="str">
        <f t="shared" si="32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-04T18:53:00-0700',mode:absolute,to:'2017-12-04T21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8" s="247" t="str">
        <f>IF(AA138&lt;VLOOKUP(AG138,Variables!$AC$3:$AD$8,2,FALSE),"Y","N")</f>
        <v>N</v>
      </c>
      <c r="X138" s="247">
        <f t="shared" si="33"/>
        <v>1</v>
      </c>
      <c r="Y138" s="247">
        <f t="shared" si="34"/>
        <v>23.294499999999999</v>
      </c>
      <c r="Z138" s="247">
        <f t="shared" si="35"/>
        <v>2.69E-2</v>
      </c>
      <c r="AA138" s="247">
        <f t="shared" si="36"/>
        <v>23.267599999999998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7"/>
        <v>222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/stypes="app*4057*20171205*" /stext=" 03:.+((SYSTEM_STATE.+slice.+state.+changed )|(ment ac)|(multiple cpu faults)|(system.+state.+changed )|(\[timeout)|(PRM\|1\|D)|(kpr)|(kdp)|(train st.+moving)|(\|lc)|(penalty))"</v>
      </c>
      <c r="AG138" s="244" t="str">
        <f t="shared" si="38"/>
        <v>EC</v>
      </c>
      <c r="AH138" s="236" t="str">
        <f t="shared" si="39"/>
        <v>"%USERPROFILE%\Documents\GitHub\eaglep3\Utilities\RefineRTDCRunTimes.py" --tripid 222-04 --locoid 4057 --swversion DE.1.0.9.0 --startMP 204:232945 --initTime 2017-12-04T19:53:00 --startdatetime 2017-12-04T19:57:13 --delay 55 --endMP 204:269 --enddatetime 2017-12-04T20:33:35 --enforcementcount 0 &gt;&gt;%USERPROFILE%\Documents\GitHub\eaglep3-reporting\EC\2017-12-04-refined-times.txt</v>
      </c>
      <c r="AI138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{"issue":{"subject":"","project_id":79,"tracker_id":40,"status_id":1,"priority_id":2,"assigned_to_id":338,"start_date":"2017-12-04","description":"","custom_fields":[{"id":1,"name":"Subdivision","value":"EC"},{"id":4,"name":"Milepost","value":"0.0269"},{"id":17,"name":"Train ID","value":"222-04"},{"id":16,"name":"Locomotive ID","value":"4057"},{"id":130,"name":"Impact","value":""},{"id":150,"name":"Time of Event (Mountain Time)","value":"20:33:35"},{"id":151,"name":"Denver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1"/>
        <v>start /low /b %USERPROFILE%\Documents\GitHub\eaglep3\Utilities\DownloadLogsFromS3.py --loco 4057 --day 2017-12-04</v>
      </c>
      <c r="AN138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03:33:35"},{"id":29,"name":"Sharepoint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3"/>
        <v>https://d0f6bd738d7f1b3e5a7ca70fe4ff75f0.us-east-1.aws.found.io/app/kibana#/discover/Steve-Slow-Train-Analysis-(2080s-and-2083s)?_g=(refreshInterval:(display:Off,pause:!f,section:0,value:0),time:(from:'2017-12-04T18:53:00-0700',mode:absolute,to:'2017-12-04T21:33:35-0700'))&amp;_a=(columns:!('Message%20ID',Summary),filters:!(),index:'emp_*',interval:auto,query:(query_string:(analyze_wildcard:!t,query:'%22rtdc.l.rtdc.4057%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25">
      <c r="A139" s="229" t="s">
        <v>866</v>
      </c>
      <c r="B139" s="225">
        <v>4064</v>
      </c>
      <c r="C139" s="227" t="s">
        <v>192</v>
      </c>
      <c r="D139" s="227" t="s">
        <v>415</v>
      </c>
      <c r="E139" s="226">
        <v>43073.807337962964</v>
      </c>
      <c r="F139" s="226">
        <v>43073.812731481485</v>
      </c>
      <c r="G139" s="225">
        <v>125</v>
      </c>
      <c r="H139" s="227" t="s">
        <v>949</v>
      </c>
      <c r="I139" s="226">
        <v>43073.83798611111</v>
      </c>
      <c r="J139" s="225">
        <v>0</v>
      </c>
      <c r="K139" s="237" t="str">
        <f t="shared" si="28"/>
        <v>4063/4064</v>
      </c>
      <c r="L139" s="245" t="str">
        <f>VLOOKUP(A139,'Trips&amp;Operators'!$C$1:$G$99911,5,FALSE)</f>
        <v>LORI SANTOS</v>
      </c>
      <c r="M139" s="224">
        <f t="shared" si="29"/>
        <v>2.5254629625123926E-2</v>
      </c>
      <c r="N139" s="225">
        <f t="shared" si="30"/>
        <v>36.366666660178453</v>
      </c>
      <c r="O139" s="225"/>
      <c r="P139" s="225"/>
      <c r="Q139" s="228"/>
      <c r="R139" s="242"/>
      <c r="S139" s="249">
        <f t="shared" si="31"/>
        <v>1</v>
      </c>
      <c r="T139" s="242" t="str">
        <f t="shared" si="32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-04T18:22:34-0700',mode:absolute,to:'2017-12-04T21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9" s="247" t="str">
        <f>IF(AA139&lt;VLOOKUP(AG139,Variables!$AC$3:$AD$8,2,FALSE),"Y","N")</f>
        <v>N</v>
      </c>
      <c r="X139" s="247">
        <f t="shared" si="33"/>
        <v>1</v>
      </c>
      <c r="Y139" s="247">
        <f t="shared" si="34"/>
        <v>5.0799999999999998E-2</v>
      </c>
      <c r="Z139" s="247">
        <f t="shared" si="35"/>
        <v>23.328700000000001</v>
      </c>
      <c r="AA139" s="247">
        <f t="shared" si="36"/>
        <v>23.277900000000002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7"/>
        <v>223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/stypes="app*4064*20171205*" /stext=" 03:.+((SYSTEM_STATE.+slice.+state.+changed )|(ment ac)|(multiple cpu faults)|(system.+state.+changed )|(\[timeout)|(PRM\|1\|D)|(kpr)|(kdp)|(train st.+moving)|(\|lc)|(penalty))"</v>
      </c>
      <c r="AG139" s="244" t="str">
        <f t="shared" si="38"/>
        <v>EC</v>
      </c>
      <c r="AH139" s="236" t="str">
        <f t="shared" si="39"/>
        <v>"%USERPROFILE%\Documents\GitHub\eaglep3\Utilities\RefineRTDCRunTimes.py" --tripid 223-04 --locoid 4064 --swversion DE.1.0.9.0 --startMP 204:508 --initTime 2017-12-04T19:22:34 --startdatetime 2017-12-04T19:30:20 --delay 125 --endMP 204:233287 --enddatetime 2017-12-04T20:06:42 --enforcementcount 0 &gt;&gt;%USERPROFILE%\Documents\GitHub\eaglep3-reporting\EC\2017-12-04-refined-times.txt</v>
      </c>
      <c r="AI139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{"issue":{"subject":"","project_id":79,"tracker_id":40,"status_id":1,"priority_id":2,"assigned_to_id":338,"start_date":"2017-12-04","description":"","custom_fields":[{"id":1,"name":"Subdivision","value":"EC"},{"id":4,"name":"Milepost","value":"23.3287"},{"id":17,"name":"Train ID","value":"223-04"},{"id":16,"name":"Locomotive ID","value":"4064"},{"id":130,"name":"Impact","value":""},{"id":150,"name":"Time of Event (Mountain Time)","value":"20:06:42"},{"id":151,"name":"Denver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41"/>
        <v>start /low /b %USERPROFILE%\Documents\GitHub\eaglep3\Utilities\DownloadLogsFromS3.py --loco 4064 --day 2017-12-04</v>
      </c>
      <c r="AN139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03:06:42"},{"id":29,"name":"Sharepoint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3"/>
        <v>https://d0f6bd738d7f1b3e5a7ca70fe4ff75f0.us-east-1.aws.found.io/app/kibana#/discover/Steve-Slow-Train-Analysis-(2080s-and-2083s)?_g=(refreshInterval:(display:Off,pause:!f,section:0,value:0),time:(from:'2017-12-04T18:22:34-0700',mode:absolute,to:'2017-12-04T21:06:42-0700'))&amp;_a=(columns:!('Message%20ID',Summary),filters:!(),index:'emp_*',interval:auto,query:(query_string:(analyze_wildcard:!t,query:'%22rtdc.l.rtdc.4064%22')),sort:!(Time.ISO8601,asc))</v>
      </c>
    </row>
    <row r="140" spans="1:91" s="20" customFormat="1" x14ac:dyDescent="0.25">
      <c r="A140" s="229" t="s">
        <v>873</v>
      </c>
      <c r="B140" s="225">
        <v>4063</v>
      </c>
      <c r="C140" s="227" t="s">
        <v>192</v>
      </c>
      <c r="D140" s="227" t="s">
        <v>979</v>
      </c>
      <c r="E140" s="226">
        <v>43073.849618055552</v>
      </c>
      <c r="F140" s="226">
        <v>43073.852349537039</v>
      </c>
      <c r="G140" s="225">
        <v>63</v>
      </c>
      <c r="H140" s="227" t="s">
        <v>501</v>
      </c>
      <c r="I140" s="226">
        <v>43073.878182870372</v>
      </c>
      <c r="J140" s="225">
        <v>0</v>
      </c>
      <c r="K140" s="237" t="str">
        <f t="shared" si="28"/>
        <v>4063/4064</v>
      </c>
      <c r="L140" s="245" t="str">
        <f>VLOOKUP(A140,'Trips&amp;Operators'!$C$1:$G$99911,5,FALSE)</f>
        <v>LORI SANTOS</v>
      </c>
      <c r="M140" s="224">
        <f t="shared" si="29"/>
        <v>2.5833333333139308E-2</v>
      </c>
      <c r="N140" s="225">
        <f t="shared" si="30"/>
        <v>37.199999999720603</v>
      </c>
      <c r="O140" s="225"/>
      <c r="P140" s="225"/>
      <c r="Q140" s="228"/>
      <c r="R140" s="242"/>
      <c r="S140" s="249">
        <f t="shared" si="31"/>
        <v>1</v>
      </c>
      <c r="T140" s="242" t="str">
        <f t="shared" si="32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-04T19:23:27-0700',mode:absolute,to:'2017-12-04T22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0" s="247" t="str">
        <f>IF(AA140&lt;VLOOKUP(AG140,Variables!$AC$3:$AD$8,2,FALSE),"Y","N")</f>
        <v>N</v>
      </c>
      <c r="X140" s="247">
        <f t="shared" si="33"/>
        <v>1</v>
      </c>
      <c r="Y140" s="247">
        <f t="shared" si="34"/>
        <v>23.296399999999998</v>
      </c>
      <c r="Z140" s="247">
        <f t="shared" si="35"/>
        <v>2.0899999999999998E-2</v>
      </c>
      <c r="AA140" s="247">
        <f t="shared" si="36"/>
        <v>23.275499999999997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7"/>
        <v>224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/stypes="app*4063*20171205*" /stext=" 04:.+((SYSTEM_STATE.+slice.+state.+changed )|(ment ac)|(multiple cpu faults)|(system.+state.+changed )|(\[timeout)|(PRM\|1\|D)|(kpr)|(kdp)|(train st.+moving)|(\|lc)|(penalty))"</v>
      </c>
      <c r="AG140" s="244" t="str">
        <f t="shared" si="38"/>
        <v>EC</v>
      </c>
      <c r="AH140" s="236" t="str">
        <f t="shared" si="39"/>
        <v>"%USERPROFILE%\Documents\GitHub\eaglep3\Utilities\RefineRTDCRunTimes.py" --tripid 224-04 --locoid 4063 --swversion DE.1.0.9.0 --startMP 204:232964 --initTime 2017-12-04T20:23:27 --startdatetime 2017-12-04T20:27:23 --delay 63 --endMP 204:209 --enddatetime 2017-12-04T21:04:35 --enforcementcount 0 &gt;&gt;%USERPROFILE%\Documents\GitHub\eaglep3-reporting\EC\2017-12-04-refined-times.txt</v>
      </c>
      <c r="AI140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{"issue":{"subject":"","project_id":79,"tracker_id":40,"status_id":1,"priority_id":2,"assigned_to_id":338,"start_date":"2017-12-04","description":"","custom_fields":[{"id":1,"name":"Subdivision","value":"EC"},{"id":4,"name":"Milepost","value":"0.0209"},{"id":17,"name":"Train ID","value":"224-04"},{"id":16,"name":"Locomotive ID","value":"4063"},{"id":130,"name":"Impact","value":""},{"id":150,"name":"Time of Event (Mountain Time)","value":"21:04:35"},{"id":151,"name":"Denver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1"/>
        <v>start /low /b %USERPROFILE%\Documents\GitHub\eaglep3\Utilities\DownloadLogsFromS3.py --loco 4063 --day 2017-12-04</v>
      </c>
      <c r="AN140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04:04:35"},{"id":29,"name":"Sharepoint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3"/>
        <v>https://d0f6bd738d7f1b3e5a7ca70fe4ff75f0.us-east-1.aws.found.io/app/kibana#/discover/Steve-Slow-Train-Analysis-(2080s-and-2083s)?_g=(refreshInterval:(display:Off,pause:!f,section:0,value:0),time:(from:'2017-12-04T19:23:27-0700',mode:absolute,to:'2017-12-04T22:04:35-0700'))&amp;_a=(columns:!('Message%20ID',Summary),filters:!(),index:'emp_*',interval:auto,query:(query_string:(analyze_wildcard:!t,query:'%22rtdc.l.rtdc.4063%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25">
      <c r="A141" s="229" t="s">
        <v>870</v>
      </c>
      <c r="B141" s="225">
        <v>4008</v>
      </c>
      <c r="C141" s="227" t="s">
        <v>192</v>
      </c>
      <c r="D141" s="227" t="s">
        <v>980</v>
      </c>
      <c r="E141" s="226">
        <v>43073.829479166663</v>
      </c>
      <c r="F141" s="226">
        <v>43073.833564814813</v>
      </c>
      <c r="G141" s="225">
        <v>63</v>
      </c>
      <c r="H141" s="227" t="s">
        <v>981</v>
      </c>
      <c r="I141" s="226">
        <v>43073.857847222222</v>
      </c>
      <c r="J141" s="225">
        <v>0</v>
      </c>
      <c r="K141" s="237" t="str">
        <f t="shared" si="28"/>
        <v>4007/4008</v>
      </c>
      <c r="L141" s="245" t="str">
        <f>VLOOKUP(A141,'Trips&amp;Operators'!$C$1:$G$99911,5,FALSE)</f>
        <v>RESPASS AARON</v>
      </c>
      <c r="M141" s="224">
        <f t="shared" si="29"/>
        <v>2.4282407408463769E-2</v>
      </c>
      <c r="N141" s="225">
        <f t="shared" si="30"/>
        <v>34.966666668187827</v>
      </c>
      <c r="O141" s="225"/>
      <c r="P141" s="225"/>
      <c r="Q141" s="228"/>
      <c r="R141" s="242"/>
      <c r="S141" s="249">
        <f t="shared" si="31"/>
        <v>1</v>
      </c>
      <c r="T141" s="242" t="str">
        <f t="shared" si="32"/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-04T18:54:27-0700',mode:absolute,to:'2017-12-04T21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247" t="str">
        <f>IF(AA141&lt;VLOOKUP(AG141,Variables!$AC$3:$AD$8,2,FALSE),"Y","N")</f>
        <v>N</v>
      </c>
      <c r="X141" s="247">
        <f t="shared" si="33"/>
        <v>1</v>
      </c>
      <c r="Y141" s="247">
        <f t="shared" si="34"/>
        <v>5.5899999999999998E-2</v>
      </c>
      <c r="Z141" s="247">
        <f t="shared" si="35"/>
        <v>23.321200000000001</v>
      </c>
      <c r="AA141" s="247">
        <f t="shared" si="36"/>
        <v>23.2653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si="37"/>
        <v>225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/stypes="app*4008*20171205*" /stext=" 03:.+((SYSTEM_STATE.+slice.+state.+changed )|(ment ac)|(multiple cpu faults)|(system.+state.+changed )|(\[timeout)|(PRM\|1\|D)|(kpr)|(kdp)|(train st.+moving)|(\|lc)|(penalty))"</v>
      </c>
      <c r="AG141" s="244" t="str">
        <f t="shared" si="38"/>
        <v>EC</v>
      </c>
      <c r="AH141" s="236" t="str">
        <f t="shared" si="39"/>
        <v>"%USERPROFILE%\Documents\GitHub\eaglep3\Utilities\RefineRTDCRunTimes.py" --tripid 225-04 --locoid 4008 --swversion DE.1.0.9.0 --startMP 204:559 --initTime 2017-12-04T19:54:27 --startdatetime 2017-12-04T20:00:20 --delay 63 --endMP 204:233212 --enddatetime 2017-12-04T20:35:18 --enforcementcount 0 &gt;&gt;%USERPROFILE%\Documents\GitHub\eaglep3-reporting\EC\2017-12-04-refined-times.txt</v>
      </c>
      <c r="AI141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{"issue":{"subject":"","project_id":79,"tracker_id":40,"status_id":1,"priority_id":2,"assigned_to_id":338,"start_date":"2017-12-04","description":"","custom_fields":[{"id":1,"name":"Subdivision","value":"EC"},{"id":4,"name":"Milepost","value":"23.3212"},{"id":17,"name":"Train ID","value":"225-04"},{"id":16,"name":"Locomotive ID","value":"4008"},{"id":130,"name":"Impact","value":""},{"id":150,"name":"Time of Event (Mountain Time)","value":"20:35:18"},{"id":151,"name":"Denver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41"/>
        <v>start /low /b %USERPROFILE%\Documents\GitHub\eaglep3\Utilities\DownloadLogsFromS3.py --loco 4008 --day 2017-12-04</v>
      </c>
      <c r="AN141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3"/>
        <v>https://d0f6bd738d7f1b3e5a7ca70fe4ff75f0.us-east-1.aws.found.io/app/kibana#/discover/Steve-Slow-Train-Analysis-(2080s-and-2083s)?_g=(refreshInterval:(display:Off,pause:!f,section:0,value:0),time:(from:'2017-12-04T18:54:27-0700',mode:absolute,to:'2017-12-04T21:35:18-0700'))&amp;_a=(columns:!('Message%20ID',Summary),filters:!(),index:'emp_*',interval:auto,query:(query_string:(analyze_wildcard:!t,query:'%22rtdc.l.rtdc.4008%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25">
      <c r="A142" s="229" t="s">
        <v>672</v>
      </c>
      <c r="B142" s="225">
        <v>4007</v>
      </c>
      <c r="C142" s="227" t="s">
        <v>192</v>
      </c>
      <c r="D142" s="227" t="s">
        <v>553</v>
      </c>
      <c r="E142" s="226">
        <v>43073.870092592595</v>
      </c>
      <c r="F142" s="226">
        <v>43073.873078703706</v>
      </c>
      <c r="G142" s="225">
        <v>56</v>
      </c>
      <c r="H142" s="227" t="s">
        <v>982</v>
      </c>
      <c r="I142" s="226">
        <v>43073.898530092592</v>
      </c>
      <c r="J142" s="225">
        <v>0</v>
      </c>
      <c r="K142" s="237" t="str">
        <f t="shared" si="28"/>
        <v>4007/4008</v>
      </c>
      <c r="L142" s="245" t="str">
        <f>VLOOKUP(A142,'Trips&amp;Operators'!$C$1:$G$99911,5,FALSE)</f>
        <v>RESPASS AARON</v>
      </c>
      <c r="M142" s="224">
        <f t="shared" si="29"/>
        <v>2.545138888672227E-2</v>
      </c>
      <c r="N142" s="225">
        <f t="shared" si="30"/>
        <v>36.649999996880069</v>
      </c>
      <c r="O142" s="225"/>
      <c r="P142" s="225"/>
      <c r="Q142" s="228"/>
      <c r="R142" s="242"/>
      <c r="S142" s="249">
        <f t="shared" si="31"/>
        <v>1</v>
      </c>
      <c r="T142" s="242" t="str">
        <f t="shared" si="32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-04T19:52:56-0700',mode:absolute,to:'2017-12-04T22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247" t="str">
        <f>IF(AA142&lt;VLOOKUP(AG142,Variables!$AC$3:$AD$8,2,FALSE),"Y","N")</f>
        <v>N</v>
      </c>
      <c r="X142" s="247">
        <f t="shared" si="33"/>
        <v>1</v>
      </c>
      <c r="Y142" s="247">
        <f t="shared" si="34"/>
        <v>23.290800000000001</v>
      </c>
      <c r="Z142" s="247">
        <f t="shared" si="35"/>
        <v>2.47E-2</v>
      </c>
      <c r="AA142" s="247">
        <f t="shared" si="36"/>
        <v>23.266100000000002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37"/>
        <v>226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/stypes="app*4007*20171205*" /stext=" 04:.+((SYSTEM_STATE.+slice.+state.+changed )|(ment ac)|(multiple cpu faults)|(system.+state.+changed )|(\[timeout)|(PRM\|1\|D)|(kpr)|(kdp)|(train st.+moving)|(\|lc)|(penalty))"</v>
      </c>
      <c r="AG142" s="244" t="str">
        <f t="shared" si="38"/>
        <v>EC</v>
      </c>
      <c r="AH142" s="236" t="str">
        <f t="shared" si="39"/>
        <v>"%USERPROFILE%\Documents\GitHub\eaglep3\Utilities\RefineRTDCRunTimes.py" --tripid 226-04 --locoid 4007 --swversion DE.1.0.9.0 --startMP 204:232908 --initTime 2017-12-04T20:52:56 --startdatetime 2017-12-04T20:57:14 --delay 56 --endMP 204:247 --enddatetime 2017-12-04T21:33:53 --enforcementcount 0 &gt;&gt;%USERPROFILE%\Documents\GitHub\eaglep3-reporting\EC\2017-12-04-refined-times.txt</v>
      </c>
      <c r="AI142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{"issue":{"subject":"","project_id":79,"tracker_id":40,"status_id":1,"priority_id":2,"assigned_to_id":338,"start_date":"2017-12-04","description":"","custom_fields":[{"id":1,"name":"Subdivision","value":"EC"},{"id":4,"name":"Milepost","value":"0.0247"},{"id":17,"name":"Train ID","value":"226-04"},{"id":16,"name":"Locomotive ID","value":"4007"},{"id":130,"name":"Impact","value":""},{"id":150,"name":"Time of Event (Mountain Time)","value":"21:33:53"},{"id":151,"name":"Denver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41"/>
        <v>start /low /b %USERPROFILE%\Documents\GitHub\eaglep3\Utilities\DownloadLogsFromS3.py --loco 4007 --day 2017-12-04</v>
      </c>
      <c r="AN142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04:33:53"},{"id":29,"name":"Sharepoint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3"/>
        <v>https://d0f6bd738d7f1b3e5a7ca70fe4ff75f0.us-east-1.aws.found.io/app/kibana#/discover/Steve-Slow-Train-Analysis-(2080s-and-2083s)?_g=(refreshInterval:(display:Off,pause:!f,section:0,value:0),time:(from:'2017-12-04T19:52:56-0700',mode:absolute,to:'2017-12-04T22:33:53-0700'))&amp;_a=(columns:!('Message%20ID',Summary),filters:!(),index:'emp_*',interval:auto,query:(query_string:(analyze_wildcard:!t,query:'%22rtdc.l.rtdc.4007%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872</v>
      </c>
      <c r="B143" s="225">
        <v>4010</v>
      </c>
      <c r="C143" s="227" t="s">
        <v>192</v>
      </c>
      <c r="D143" s="227" t="s">
        <v>561</v>
      </c>
      <c r="E143" s="226">
        <v>43073.840162037035</v>
      </c>
      <c r="F143" s="226">
        <v>43073.854351851849</v>
      </c>
      <c r="G143" s="225">
        <v>73</v>
      </c>
      <c r="H143" s="227" t="s">
        <v>601</v>
      </c>
      <c r="I143" s="226">
        <v>43073.879849537036</v>
      </c>
      <c r="J143" s="225">
        <v>0</v>
      </c>
      <c r="K143" s="237" t="str">
        <f t="shared" si="28"/>
        <v>4009/4010</v>
      </c>
      <c r="L143" s="245" t="str">
        <f>VLOOKUP(A143,'Trips&amp;Operators'!$C$1:$G$99911,5,FALSE)</f>
        <v>KILLION DAVID</v>
      </c>
      <c r="M143" s="224">
        <f t="shared" si="29"/>
        <v>2.5497685186564922E-2</v>
      </c>
      <c r="N143" s="225">
        <f t="shared" si="30"/>
        <v>36.716666668653488</v>
      </c>
      <c r="O143" s="225"/>
      <c r="P143" s="225"/>
      <c r="Q143" s="228"/>
      <c r="R143" s="242"/>
      <c r="S143" s="249">
        <f t="shared" si="31"/>
        <v>1</v>
      </c>
      <c r="T143" s="242" t="str">
        <f t="shared" si="32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-04T19:09:50-0700',mode:absolute,to:'2017-12-04T22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247" t="str">
        <f>IF(AA143&lt;VLOOKUP(AG143,Variables!$AC$3:$AD$8,2,FALSE),"Y","N")</f>
        <v>N</v>
      </c>
      <c r="X143" s="247">
        <f t="shared" si="33"/>
        <v>1</v>
      </c>
      <c r="Y143" s="247">
        <f t="shared" si="34"/>
        <v>4.8899999999999999E-2</v>
      </c>
      <c r="Z143" s="247">
        <f t="shared" si="35"/>
        <v>23.325500000000002</v>
      </c>
      <c r="AA143" s="247">
        <f t="shared" si="36"/>
        <v>23.276600000000002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37"/>
        <v>227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/stypes="app*4010*20171205*" /stext=" 04:.+((SYSTEM_STATE.+slice.+state.+changed )|(ment ac)|(multiple cpu faults)|(system.+state.+changed )|(\[timeout)|(PRM\|1\|D)|(kpr)|(kdp)|(train st.+moving)|(\|lc)|(penalty))"</v>
      </c>
      <c r="AG143" s="244" t="str">
        <f t="shared" si="38"/>
        <v>EC</v>
      </c>
      <c r="AH143" s="236" t="str">
        <f t="shared" si="39"/>
        <v>"%USERPROFILE%\Documents\GitHub\eaglep3\Utilities\RefineRTDCRunTimes.py" --tripid 227-04 --locoid 4010 --swversion DE.1.0.9.0 --startMP 204:489 --initTime 2017-12-04T20:09:50 --startdatetime 2017-12-04T20:30:16 --delay 73 --endMP 204:233255 --enddatetime 2017-12-04T21:06:59 --enforcementcount 0 &gt;&gt;%USERPROFILE%\Documents\GitHub\eaglep3-reporting\EC\2017-12-04-refined-times.txt</v>
      </c>
      <c r="AI143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{"issue":{"subject":"","project_id":79,"tracker_id":40,"status_id":1,"priority_id":2,"assigned_to_id":338,"start_date":"2017-12-04","description":"","custom_fields":[{"id":1,"name":"Subdivision","value":"EC"},{"id":4,"name":"Milepost","value":"23.3255"},{"id":17,"name":"Train ID","value":"227-04"},{"id":16,"name":"Locomotive ID","value":"4010"},{"id":130,"name":"Impact","value":""},{"id":150,"name":"Time of Event (Mountain Time)","value":"21:06:59"},{"id":151,"name":"Denver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41"/>
        <v>start /low /b %USERPROFILE%\Documents\GitHub\eaglep3\Utilities\DownloadLogsFromS3.py --loco 4010 --day 2017-12-04</v>
      </c>
      <c r="AN143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04:06:59"},{"id":29,"name":"Sharepoint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43"/>
        <v>https://d0f6bd738d7f1b3e5a7ca70fe4ff75f0.us-east-1.aws.found.io/app/kibana#/discover/Steve-Slow-Train-Analysis-(2080s-and-2083s)?_g=(refreshInterval:(display:Off,pause:!f,section:0,value:0),time:(from:'2017-12-04T19:09:50-0700',mode:absolute,to:'2017-12-04T22:06:59-0700'))&amp;_a=(columns:!('Message%20ID',Summary),filters:!(),index:'emp_*',interval:auto,query:(query_string:(analyze_wildcard:!t,query:'%22rtdc.l.rtdc.4010%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877</v>
      </c>
      <c r="B144" s="225">
        <v>4009</v>
      </c>
      <c r="C144" s="227" t="s">
        <v>192</v>
      </c>
      <c r="D144" s="227" t="s">
        <v>505</v>
      </c>
      <c r="E144" s="226">
        <v>43073.88521990741</v>
      </c>
      <c r="F144" s="226">
        <v>43073.893935185188</v>
      </c>
      <c r="G144" s="225">
        <v>69</v>
      </c>
      <c r="H144" s="227" t="s">
        <v>935</v>
      </c>
      <c r="I144" s="226">
        <v>43073.92050925926</v>
      </c>
      <c r="J144" s="225">
        <v>0</v>
      </c>
      <c r="K144" s="237" t="str">
        <f t="shared" si="28"/>
        <v>4009/4010</v>
      </c>
      <c r="L144" s="245" t="str">
        <f>VLOOKUP(A144,'Trips&amp;Operators'!$C$1:$G$99911,5,FALSE)</f>
        <v>KILLION DAVID</v>
      </c>
      <c r="M144" s="224">
        <f t="shared" si="29"/>
        <v>2.6574074072414078E-2</v>
      </c>
      <c r="N144" s="225">
        <f t="shared" si="30"/>
        <v>38.266666664276272</v>
      </c>
      <c r="O144" s="225"/>
      <c r="P144" s="225"/>
      <c r="Q144" s="228"/>
      <c r="R144" s="242"/>
      <c r="S144" s="249">
        <f t="shared" si="31"/>
        <v>1</v>
      </c>
      <c r="T144" s="242" t="str">
        <f t="shared" si="32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-04T20:14:43-0700',mode:absolute,to:'2017-12-04T23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247" t="str">
        <f>IF(AA144&lt;VLOOKUP(AG144,Variables!$AC$3:$AD$8,2,FALSE),"Y","N")</f>
        <v>N</v>
      </c>
      <c r="X144" s="247">
        <f t="shared" si="33"/>
        <v>1</v>
      </c>
      <c r="Y144" s="247">
        <f t="shared" si="34"/>
        <v>23.292999999999999</v>
      </c>
      <c r="Z144" s="247">
        <f t="shared" si="35"/>
        <v>2.29E-2</v>
      </c>
      <c r="AA144" s="247">
        <f t="shared" si="36"/>
        <v>23.270099999999999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37"/>
        <v>228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/stypes="app*4009*20171205*" /stext=" 05:.+((SYSTEM_STATE.+slice.+state.+changed )|(ment ac)|(multiple cpu faults)|(system.+state.+changed )|(\[timeout)|(PRM\|1\|D)|(kpr)|(kdp)|(train st.+moving)|(\|lc)|(penalty))"</v>
      </c>
      <c r="AG144" s="244" t="str">
        <f t="shared" si="38"/>
        <v>EC</v>
      </c>
      <c r="AH144" s="236" t="str">
        <f t="shared" si="39"/>
        <v>"%USERPROFILE%\Documents\GitHub\eaglep3\Utilities\RefineRTDCRunTimes.py" --tripid 228-04 --locoid 4009 --swversion DE.1.0.9.0 --startMP 204:232930 --initTime 2017-12-04T21:14:43 --startdatetime 2017-12-04T21:27:16 --delay 69 --endMP 204:229 --enddatetime 2017-12-04T22:05:32 --enforcementcount 0 &gt;&gt;%USERPROFILE%\Documents\GitHub\eaglep3-reporting\EC\2017-12-04-refined-times.txt</v>
      </c>
      <c r="AI144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{"issue":{"subject":"","project_id":79,"tracker_id":40,"status_id":1,"priority_id":2,"assigned_to_id":338,"start_date":"2017-12-04","description":"","custom_fields":[{"id":1,"name":"Subdivision","value":"EC"},{"id":4,"name":"Milepost","value":"0.0229"},{"id":17,"name":"Train ID","value":"228-04"},{"id":16,"name":"Locomotive ID","value":"4009"},{"id":130,"name":"Impact","value":""},{"id":150,"name":"Time of Event (Mountain Time)","value":"22:05:32"},{"id":151,"name":"Denver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41"/>
        <v>start /low /b %USERPROFILE%\Documents\GitHub\eaglep3\Utilities\DownloadLogsFromS3.py --loco 4009 --day 2017-12-04</v>
      </c>
      <c r="AN144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05:05:32"},{"id":29,"name":"Sharepoint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43"/>
        <v>https://d0f6bd738d7f1b3e5a7ca70fe4ff75f0.us-east-1.aws.found.io/app/kibana#/discover/Steve-Slow-Train-Analysis-(2080s-and-2083s)?_g=(refreshInterval:(display:Off,pause:!f,section:0,value:0),time:(from:'2017-12-04T20:14:43-0700',mode:absolute,to:'2017-12-04T23:05:32-0700'))&amp;_a=(columns:!('Message%20ID',Summary),filters:!(),index:'emp_*',interval:auto,query:(query_string:(analyze_wildcard:!t,query:'%22rtdc.l.rtdc.4009%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875</v>
      </c>
      <c r="B145" s="225">
        <v>4058</v>
      </c>
      <c r="C145" s="227" t="s">
        <v>192</v>
      </c>
      <c r="D145" s="227" t="s">
        <v>983</v>
      </c>
      <c r="E145" s="226">
        <v>43073.858518518522</v>
      </c>
      <c r="F145" s="226">
        <v>43073.875173611108</v>
      </c>
      <c r="G145" s="225">
        <v>116</v>
      </c>
      <c r="H145" s="227" t="s">
        <v>423</v>
      </c>
      <c r="I145" s="226">
        <v>43073.899733796294</v>
      </c>
      <c r="J145" s="225">
        <v>0</v>
      </c>
      <c r="K145" s="237" t="str">
        <f t="shared" si="28"/>
        <v>4057/4058</v>
      </c>
      <c r="L145" s="245" t="str">
        <f>VLOOKUP(A145,'Trips&amp;Operators'!$C$1:$G$99911,5,FALSE)</f>
        <v>GUNTHIER ERIC</v>
      </c>
      <c r="M145" s="224">
        <f t="shared" si="29"/>
        <v>2.4560185185691807E-2</v>
      </c>
      <c r="N145" s="225">
        <f t="shared" si="30"/>
        <v>35.366666667396203</v>
      </c>
      <c r="O145" s="225"/>
      <c r="P145" s="225"/>
      <c r="Q145" s="228"/>
      <c r="R145" s="242"/>
      <c r="S145" s="249">
        <f t="shared" si="31"/>
        <v>1</v>
      </c>
      <c r="T145" s="242" t="str">
        <f t="shared" si="32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-04T19:36:16-0700',mode:absolute,to:'2017-12-04T22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5" s="247" t="str">
        <f>IF(AA145&lt;VLOOKUP(AG145,Variables!$AC$3:$AD$8,2,FALSE),"Y","N")</f>
        <v>N</v>
      </c>
      <c r="X145" s="247">
        <f t="shared" si="33"/>
        <v>1</v>
      </c>
      <c r="Y145" s="247">
        <f t="shared" si="34"/>
        <v>5.7700000000000001E-2</v>
      </c>
      <c r="Z145" s="247">
        <f t="shared" si="35"/>
        <v>23.3293</v>
      </c>
      <c r="AA145" s="247">
        <f t="shared" si="36"/>
        <v>23.271599999999999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37"/>
        <v>229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/stypes="app*4058*20171205*" /stext=" 04:.+((SYSTEM_STATE.+slice.+state.+changed )|(ment ac)|(multiple cpu faults)|(system.+state.+changed )|(\[timeout)|(PRM\|1\|D)|(kpr)|(kdp)|(train st.+moving)|(\|lc)|(penalty))"</v>
      </c>
      <c r="AG145" s="244" t="str">
        <f t="shared" si="38"/>
        <v>EC</v>
      </c>
      <c r="AH145" s="236" t="str">
        <f t="shared" si="39"/>
        <v>"%USERPROFILE%\Documents\GitHub\eaglep3\Utilities\RefineRTDCRunTimes.py" --tripid 229-04 --locoid 4058 --swversion DE.1.0.9.0 --startMP 204:577 --initTime 2017-12-04T20:36:16 --startdatetime 2017-12-04T21:00:15 --delay 116 --endMP 204:233293 --enddatetime 2017-12-04T21:35:37 --enforcementcount 0 &gt;&gt;%USERPROFILE%\Documents\GitHub\eaglep3-reporting\EC\2017-12-04-refined-times.txt</v>
      </c>
      <c r="AI145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{"issue":{"subject":"","project_id":79,"tracker_id":40,"status_id":1,"priority_id":2,"assigned_to_id":338,"start_date":"2017-12-04","description":"","custom_fields":[{"id":1,"name":"Subdivision","value":"EC"},{"id":4,"name":"Milepost","value":"23.3293"},{"id":17,"name":"Train ID","value":"229-04"},{"id":16,"name":"Locomotive ID","value":"4058"},{"id":130,"name":"Impact","value":""},{"id":150,"name":"Time of Event (Mountain Time)","value":"21:35:37"},{"id":151,"name":"Denver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41"/>
        <v>start /low /b %USERPROFILE%\Documents\GitHub\eaglep3\Utilities\DownloadLogsFromS3.py --loco 4058 --day 2017-12-04</v>
      </c>
      <c r="AN145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43"/>
        <v>https://d0f6bd738d7f1b3e5a7ca70fe4ff75f0.us-east-1.aws.found.io/app/kibana#/discover/Steve-Slow-Train-Analysis-(2080s-and-2083s)?_g=(refreshInterval:(display:Off,pause:!f,section:0,value:0),time:(from:'2017-12-04T19:36:16-0700',mode:absolute,to:'2017-12-04T22:35:37-0700'))&amp;_a=(columns:!('Message%20ID',Summary),filters:!(),index:'emp_*',interval:auto,query:(query_string:(analyze_wildcard:!t,query:'%22rtdc.l.rtdc.4058%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880</v>
      </c>
      <c r="B146" s="225">
        <v>4057</v>
      </c>
      <c r="C146" s="227" t="s">
        <v>192</v>
      </c>
      <c r="D146" s="227" t="s">
        <v>555</v>
      </c>
      <c r="E146" s="226">
        <v>43073.901261574072</v>
      </c>
      <c r="F146" s="226">
        <v>43073.915034722224</v>
      </c>
      <c r="G146" s="225">
        <v>594</v>
      </c>
      <c r="H146" s="227" t="s">
        <v>613</v>
      </c>
      <c r="I146" s="226">
        <v>43073.940891203703</v>
      </c>
      <c r="J146" s="225">
        <v>0</v>
      </c>
      <c r="K146" s="237" t="str">
        <f t="shared" si="28"/>
        <v>4057/4058</v>
      </c>
      <c r="L146" s="245" t="str">
        <f>VLOOKUP(A146,'Trips&amp;Operators'!$C$1:$G$99911,5,FALSE)</f>
        <v>GUNTHIER ERIC</v>
      </c>
      <c r="M146" s="224">
        <f t="shared" si="29"/>
        <v>2.5856481479422655E-2</v>
      </c>
      <c r="N146" s="225">
        <f t="shared" si="30"/>
        <v>37.233333330368623</v>
      </c>
      <c r="O146" s="225"/>
      <c r="P146" s="225"/>
      <c r="Q146" s="228"/>
      <c r="R146" s="242"/>
      <c r="S146" s="249">
        <f t="shared" si="31"/>
        <v>1</v>
      </c>
      <c r="T146" s="242" t="str">
        <f t="shared" si="32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-04T20:37:49-0700',mode:absolute,to:'2017-12-04T23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6" s="247" t="str">
        <f>IF(AA146&lt;VLOOKUP(AG146,Variables!$AC$3:$AD$8,2,FALSE),"Y","N")</f>
        <v>N</v>
      </c>
      <c r="X146" s="247">
        <f t="shared" si="33"/>
        <v>1</v>
      </c>
      <c r="Y146" s="247">
        <f t="shared" si="34"/>
        <v>23.296800000000001</v>
      </c>
      <c r="Z146" s="247">
        <f t="shared" si="35"/>
        <v>2.4500000000000001E-2</v>
      </c>
      <c r="AA146" s="247">
        <f t="shared" si="36"/>
        <v>23.272300000000001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37"/>
        <v>230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/stypes="app*4057*20171205*" /stext=" 05:.+((SYSTEM_STATE.+slice.+state.+changed )|(ment ac)|(multiple cpu faults)|(system.+state.+changed )|(\[timeout)|(PRM\|1\|D)|(kpr)|(kdp)|(train st.+moving)|(\|lc)|(penalty))"</v>
      </c>
      <c r="AG146" s="244" t="str">
        <f t="shared" si="38"/>
        <v>EC</v>
      </c>
      <c r="AH146" s="236" t="str">
        <f t="shared" si="39"/>
        <v>"%USERPROFILE%\Documents\GitHub\eaglep3\Utilities\RefineRTDCRunTimes.py" --tripid 230-04 --locoid 4057 --swversion DE.1.0.9.0 --startMP 204:232968 --initTime 2017-12-04T21:37:49 --startdatetime 2017-12-04T21:57:39 --delay 594 --endMP 204:245 --enddatetime 2017-12-04T22:34:53 --enforcementcount 0 &gt;&gt;%USERPROFILE%\Documents\GitHub\eaglep3-reporting\EC\2017-12-04-refined-times.txt</v>
      </c>
      <c r="AI146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{"issue":{"subject":"","project_id":79,"tracker_id":40,"status_id":1,"priority_id":2,"assigned_to_id":338,"start_date":"2017-12-04","description":"","custom_fields":[{"id":1,"name":"Subdivision","value":"EC"},{"id":4,"name":"Milepost","value":"0.0245"},{"id":17,"name":"Train ID","value":"230-04"},{"id":16,"name":"Locomotive ID","value":"4057"},{"id":130,"name":"Impact","value":""},{"id":150,"name":"Time of Event (Mountain Time)","value":"22:34:53"},{"id":151,"name":"Denver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41"/>
        <v>start /low /b %USERPROFILE%\Documents\GitHub\eaglep3\Utilities\DownloadLogsFromS3.py --loco 4057 --day 2017-12-04</v>
      </c>
      <c r="AN146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05:34:53"},{"id":29,"name":"Sharepoint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43"/>
        <v>https://d0f6bd738d7f1b3e5a7ca70fe4ff75f0.us-east-1.aws.found.io/app/kibana#/discover/Steve-Slow-Train-Analysis-(2080s-and-2083s)?_g=(refreshInterval:(display:Off,pause:!f,section:0,value:0),time:(from:'2017-12-04T20:37:49-0700',mode:absolute,to:'2017-12-04T23:34:53-0700'))&amp;_a=(columns:!('Message%20ID',Summary),filters:!(),index:'emp_*',interval:auto,query:(query_string:(analyze_wildcard:!t,query:'%22rtdc.l.rtdc.4057%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25">
      <c r="A147" s="229" t="s">
        <v>878</v>
      </c>
      <c r="B147" s="225">
        <v>4064</v>
      </c>
      <c r="C147" s="227" t="s">
        <v>192</v>
      </c>
      <c r="D147" s="227" t="s">
        <v>558</v>
      </c>
      <c r="E147" s="226">
        <v>43073.889236111114</v>
      </c>
      <c r="F147" s="226">
        <v>43073.896111111113</v>
      </c>
      <c r="G147" s="225">
        <v>59</v>
      </c>
      <c r="H147" s="227" t="s">
        <v>984</v>
      </c>
      <c r="I147" s="226">
        <v>43073.920555555553</v>
      </c>
      <c r="J147" s="225">
        <v>0</v>
      </c>
      <c r="K147" s="237" t="str">
        <f t="shared" si="28"/>
        <v>4063/4064</v>
      </c>
      <c r="L147" s="245" t="str">
        <f>VLOOKUP(A147,'Trips&amp;Operators'!$C$1:$G$99911,5,FALSE)</f>
        <v>LOZA FIDEL</v>
      </c>
      <c r="M147" s="224">
        <f t="shared" si="29"/>
        <v>2.4444444439723156E-2</v>
      </c>
      <c r="N147" s="225">
        <f t="shared" si="30"/>
        <v>35.199999993201345</v>
      </c>
      <c r="O147" s="225"/>
      <c r="P147" s="225"/>
      <c r="Q147" s="228"/>
      <c r="R147" s="242"/>
      <c r="S147" s="249">
        <f t="shared" si="31"/>
        <v>1</v>
      </c>
      <c r="T147" s="242" t="str">
        <f t="shared" si="32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-04T20:20:30-0700',mode:absolute,to:'2017-12-04T23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7" s="247" t="str">
        <f>IF(AA147&lt;VLOOKUP(AG147,Variables!$AC$3:$AD$8,2,FALSE),"Y","N")</f>
        <v>N</v>
      </c>
      <c r="X147" s="247">
        <f t="shared" si="33"/>
        <v>1</v>
      </c>
      <c r="Y147" s="247">
        <f t="shared" si="34"/>
        <v>5.0200000000000002E-2</v>
      </c>
      <c r="Z147" s="247">
        <f t="shared" si="35"/>
        <v>23.325900000000001</v>
      </c>
      <c r="AA147" s="247">
        <f t="shared" si="36"/>
        <v>23.275700000000001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37"/>
        <v>231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/stypes="app*4064*20171205*" /stext=" 05:.+((SYSTEM_STATE.+slice.+state.+changed )|(ment ac)|(multiple cpu faults)|(system.+state.+changed )|(\[timeout)|(PRM\|1\|D)|(kpr)|(kdp)|(train st.+moving)|(\|lc)|(penalty))"</v>
      </c>
      <c r="AG147" s="244" t="str">
        <f t="shared" si="38"/>
        <v>EC</v>
      </c>
      <c r="AH147" s="236" t="str">
        <f t="shared" si="39"/>
        <v>"%USERPROFILE%\Documents\GitHub\eaglep3\Utilities\RefineRTDCRunTimes.py" --tripid 231-04 --locoid 4064 --swversion DE.1.0.9.0 --startMP 204:502 --initTime 2017-12-04T21:20:30 --startdatetime 2017-12-04T21:30:24 --delay 59 --endMP 204:233259 --enddatetime 2017-12-04T22:05:36 --enforcementcount 0 &gt;&gt;%USERPROFILE%\Documents\GitHub\eaglep3-reporting\EC\2017-12-04-refined-times.txt</v>
      </c>
      <c r="AI147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{"issue":{"subject":"","project_id":79,"tracker_id":40,"status_id":1,"priority_id":2,"assigned_to_id":338,"start_date":"2017-12-04","description":"","custom_fields":[{"id":1,"name":"Subdivision","value":"EC"},{"id":4,"name":"Milepost","value":"23.3259"},{"id":17,"name":"Train ID","value":"231-04"},{"id":16,"name":"Locomotive ID","value":"4064"},{"id":130,"name":"Impact","value":""},{"id":150,"name":"Time of Event (Mountain Time)","value":"22:05:36"},{"id":151,"name":"Denver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41"/>
        <v>start /low /b %USERPROFILE%\Documents\GitHub\eaglep3\Utilities\DownloadLogsFromS3.py --loco 4064 --day 2017-12-04</v>
      </c>
      <c r="AN147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05:05:36"},{"id":29,"name":"Sharepoint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43"/>
        <v>https://d0f6bd738d7f1b3e5a7ca70fe4ff75f0.us-east-1.aws.found.io/app/kibana#/discover/Steve-Slow-Train-Analysis-(2080s-and-2083s)?_g=(refreshInterval:(display:Off,pause:!f,section:0,value:0),time:(from:'2017-12-04T20:20:30-0700',mode:absolute,to:'2017-12-04T23:05:36-0700'))&amp;_a=(columns:!('Message%20ID',Summary),filters:!(),index:'emp_*',interval:auto,query:(query_string:(analyze_wildcard:!t,query:'%22rtdc.l.rtdc.4064%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883</v>
      </c>
      <c r="B148" s="225">
        <v>4063</v>
      </c>
      <c r="C148" s="227" t="s">
        <v>192</v>
      </c>
      <c r="D148" s="227" t="s">
        <v>646</v>
      </c>
      <c r="E148" s="226">
        <v>43073.930937500001</v>
      </c>
      <c r="F148" s="226">
        <v>43073.935613425929</v>
      </c>
      <c r="G148" s="225">
        <v>135</v>
      </c>
      <c r="H148" s="227" t="s">
        <v>424</v>
      </c>
      <c r="I148" s="226">
        <v>43073.961446759262</v>
      </c>
      <c r="J148" s="225">
        <v>0</v>
      </c>
      <c r="K148" s="237" t="str">
        <f t="shared" si="28"/>
        <v>4063/4064</v>
      </c>
      <c r="L148" s="245" t="str">
        <f>VLOOKUP(A148,'Trips&amp;Operators'!$C$1:$G$99911,5,FALSE)</f>
        <v>LOZA FIDEL</v>
      </c>
      <c r="M148" s="224">
        <f t="shared" si="29"/>
        <v>2.5833333333139308E-2</v>
      </c>
      <c r="N148" s="225">
        <f t="shared" si="30"/>
        <v>37.199999999720603</v>
      </c>
      <c r="O148" s="225"/>
      <c r="P148" s="225"/>
      <c r="Q148" s="228"/>
      <c r="R148" s="242"/>
      <c r="S148" s="249">
        <f t="shared" si="31"/>
        <v>1</v>
      </c>
      <c r="T148" s="242" t="str">
        <f t="shared" si="32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-04T21:20:33-0700',mode:absolute,to:'2017-12-05T00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8" s="247" t="str">
        <f>IF(AA148&lt;VLOOKUP(AG148,Variables!$AC$3:$AD$8,2,FALSE),"Y","N")</f>
        <v>N</v>
      </c>
      <c r="X148" s="247">
        <f t="shared" si="33"/>
        <v>1</v>
      </c>
      <c r="Y148" s="247">
        <f t="shared" si="34"/>
        <v>23.296199999999999</v>
      </c>
      <c r="Z148" s="247">
        <f t="shared" si="35"/>
        <v>2.0500000000000001E-2</v>
      </c>
      <c r="AA148" s="247">
        <f t="shared" si="36"/>
        <v>23.275700000000001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37"/>
        <v>232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 &amp; 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/stypes="app*4063*20171205*" /stext=" 06:.+((SYSTEM_STATE.+slice.+state.+changed )|(ment ac)|(multiple cpu faults)|(system.+state.+changed )|(\[timeout)|(PRM\|1\|D)|(kpr)|(kdp)|(train st.+moving)|(\|lc)|(penalty))"</v>
      </c>
      <c r="AG148" s="244" t="str">
        <f t="shared" si="38"/>
        <v>EC</v>
      </c>
      <c r="AH148" s="236" t="str">
        <f t="shared" si="39"/>
        <v>"%USERPROFILE%\Documents\GitHub\eaglep3\Utilities\RefineRTDCRunTimes.py" --tripid 232-04 --locoid 4063 --swversion DE.1.0.9.0 --startMP 204:232962 --initTime 2017-12-04T22:20:33 --startdatetime 2017-12-04T22:27:17 --delay 135 --endMP 204:205 --enddatetime 2017-12-04T23:04:29 --enforcementcount 0 &gt;&gt;%USERPROFILE%\Documents\GitHub\eaglep3-reporting\EC\2017-12-04-refined-times.txt</v>
      </c>
      <c r="AI148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{"issue":{"subject":"","project_id":79,"tracker_id":40,"status_id":1,"priority_id":2,"assigned_to_id":338,"start_date":"2017-12-04","description":"","custom_fields":[{"id":1,"name":"Subdivision","value":"EC"},{"id":4,"name":"Milepost","value":"0.0205"},{"id":17,"name":"Train ID","value":"232-04"},{"id":16,"name":"Locomotive ID","value":"4063"},{"id":130,"name":"Impact","value":""},{"id":150,"name":"Time of Event (Mountain Time)","value":"23:04:29"},{"id":151,"name":"Denver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41"/>
        <v>start /low /b %USERPROFILE%\Documents\GitHub\eaglep3\Utilities\DownloadLogsFromS3.py --loco 4063 --day 2017-12-04</v>
      </c>
      <c r="AN148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06:04:29"},{"id":29,"name":"Sharepoint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43"/>
        <v>https://d0f6bd738d7f1b3e5a7ca70fe4ff75f0.us-east-1.aws.found.io/app/kibana#/discover/Steve-Slow-Train-Analysis-(2080s-and-2083s)?_g=(refreshInterval:(display:Off,pause:!f,section:0,value:0),time:(from:'2017-12-04T21:20:33-0700',mode:absolute,to:'2017-12-05T00:04:29-0700'))&amp;_a=(columns:!('Message%20ID',Summary),filters:!(),index:'emp_*',interval:auto,query:(query_string:(analyze_wildcard:!t,query:'%22rtdc.l.rtdc.4063%22')),sort:!(Time.ISO8601,asc))</v>
      </c>
    </row>
    <row r="149" spans="1:91" s="223" customFormat="1" x14ac:dyDescent="0.25">
      <c r="A149" s="229" t="s">
        <v>881</v>
      </c>
      <c r="B149" s="225">
        <v>4008</v>
      </c>
      <c r="C149" s="227" t="s">
        <v>192</v>
      </c>
      <c r="D149" s="227" t="s">
        <v>640</v>
      </c>
      <c r="E149" s="226">
        <v>43073.911504629628</v>
      </c>
      <c r="F149" s="226">
        <v>43073.916909722226</v>
      </c>
      <c r="G149" s="225">
        <v>53</v>
      </c>
      <c r="H149" s="227" t="s">
        <v>938</v>
      </c>
      <c r="I149" s="226">
        <v>43073.941296296296</v>
      </c>
      <c r="J149" s="225">
        <v>0</v>
      </c>
      <c r="K149" s="237" t="str">
        <f t="shared" si="28"/>
        <v>4007/4008</v>
      </c>
      <c r="L149" s="245" t="str">
        <f>VLOOKUP(A149,'Trips&amp;Operators'!$C$1:$G$99911,5,FALSE)</f>
        <v>RESPASS AARON</v>
      </c>
      <c r="M149" s="224">
        <f t="shared" si="29"/>
        <v>2.438657407037681E-2</v>
      </c>
      <c r="N149" s="225">
        <f t="shared" si="30"/>
        <v>35.116666661342606</v>
      </c>
      <c r="O149" s="225"/>
      <c r="P149" s="225"/>
      <c r="Q149" s="228"/>
      <c r="R149" s="242"/>
      <c r="S149" s="249">
        <f t="shared" si="31"/>
        <v>1</v>
      </c>
      <c r="T149" s="242" t="str">
        <f t="shared" si="32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-04T20:52:34-0700',mode:absolute,to:'2017-12-04T23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247" t="str">
        <f>IF(AA149&lt;VLOOKUP(AG149,Variables!$AC$3:$AD$8,2,FALSE),"Y","N")</f>
        <v>N</v>
      </c>
      <c r="X149" s="247">
        <f t="shared" si="33"/>
        <v>1</v>
      </c>
      <c r="Y149" s="247">
        <f t="shared" si="34"/>
        <v>5.7099999999999998E-2</v>
      </c>
      <c r="Z149" s="247">
        <f t="shared" si="35"/>
        <v>23.3247</v>
      </c>
      <c r="AA149" s="247">
        <f t="shared" si="36"/>
        <v>23.267600000000002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37"/>
        <v>233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/stypes="app*4008*20171205*" /stext=" 05:.+((SYSTEM_STATE.+slice.+state.+changed )|(ment ac)|(multiple cpu faults)|(system.+state.+changed )|(\[timeout)|(PRM\|1\|D)|(kpr)|(kdp)|(train st.+moving)|(\|lc)|(penalty))"</v>
      </c>
      <c r="AG149" s="244" t="str">
        <f t="shared" si="38"/>
        <v>EC</v>
      </c>
      <c r="AH149" s="236" t="str">
        <f t="shared" si="39"/>
        <v>"%USERPROFILE%\Documents\GitHub\eaglep3\Utilities\RefineRTDCRunTimes.py" --tripid 233-04 --locoid 4008 --swversion DE.1.0.9.0 --startMP 204:571 --initTime 2017-12-04T21:52:34 --startdatetime 2017-12-04T22:00:21 --delay 53 --endMP 204:233247 --enddatetime 2017-12-04T22:35:28 --enforcementcount 0 &gt;&gt;%USERPROFILE%\Documents\GitHub\eaglep3-reporting\EC\2017-12-04-refined-times.txt</v>
      </c>
      <c r="AI149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{"issue":{"subject":"","project_id":79,"tracker_id":40,"status_id":1,"priority_id":2,"assigned_to_id":338,"start_date":"2017-12-04","description":"","custom_fields":[{"id":1,"name":"Subdivision","value":"EC"},{"id":4,"name":"Milepost","value":"23.3247"},{"id":17,"name":"Train ID","value":"233-04"},{"id":16,"name":"Locomotive ID","value":"4008"},{"id":130,"name":"Impact","value":""},{"id":150,"name":"Time of Event (Mountain Time)","value":"22:35:28"},{"id":151,"name":"Denver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41"/>
        <v>start /low /b %USERPROFILE%\Documents\GitHub\eaglep3\Utilities\DownloadLogsFromS3.py --loco 4008 --day 2017-12-04</v>
      </c>
      <c r="AN149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43"/>
        <v>https://d0f6bd738d7f1b3e5a7ca70fe4ff75f0.us-east-1.aws.found.io/app/kibana#/discover/Steve-Slow-Train-Analysis-(2080s-and-2083s)?_g=(refreshInterval:(display:Off,pause:!f,section:0,value:0),time:(from:'2017-12-04T20:52:34-0700',mode:absolute,to:'2017-12-04T23:35:28-0700'))&amp;_a=(columns:!('Message%20ID',Summary),filters:!(),index:'emp_*',interval:auto,query:(query_string:(analyze_wildcard:!t,query:'%22rtdc.l.rtdc.4008%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9" t="s">
        <v>887</v>
      </c>
      <c r="B150" s="225">
        <v>4007</v>
      </c>
      <c r="C150" s="227" t="s">
        <v>192</v>
      </c>
      <c r="D150" s="227" t="s">
        <v>985</v>
      </c>
      <c r="E150" s="226">
        <v>43073.950844907406</v>
      </c>
      <c r="F150" s="226">
        <v>43073.956458333334</v>
      </c>
      <c r="G150" s="225">
        <v>56</v>
      </c>
      <c r="H150" s="227" t="s">
        <v>648</v>
      </c>
      <c r="I150" s="226">
        <v>43073.982141203705</v>
      </c>
      <c r="J150" s="225">
        <v>0</v>
      </c>
      <c r="K150" s="237" t="str">
        <f t="shared" si="28"/>
        <v>4007/4008</v>
      </c>
      <c r="L150" s="245" t="str">
        <f>VLOOKUP(A150,'Trips&amp;Operators'!$C$1:$G$99911,5,FALSE)</f>
        <v>RESPASS AARON</v>
      </c>
      <c r="M150" s="224">
        <f t="shared" si="29"/>
        <v>2.5682870371383615E-2</v>
      </c>
      <c r="N150" s="225">
        <f t="shared" si="30"/>
        <v>36.983333334792405</v>
      </c>
      <c r="O150" s="225"/>
      <c r="P150" s="225"/>
      <c r="Q150" s="228"/>
      <c r="R150" s="242"/>
      <c r="S150" s="249">
        <f t="shared" si="31"/>
        <v>1</v>
      </c>
      <c r="T150" s="242" t="str">
        <f t="shared" si="32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-04T21:49:13-0700',mode:absolute,to:'2017-12-05T00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247" t="str">
        <f>IF(AA150&lt;VLOOKUP(AG150,Variables!$AC$3:$AD$8,2,FALSE),"Y","N")</f>
        <v>N</v>
      </c>
      <c r="X150" s="247">
        <f t="shared" si="33"/>
        <v>1</v>
      </c>
      <c r="Y150" s="247">
        <f t="shared" si="34"/>
        <v>23.2926</v>
      </c>
      <c r="Z150" s="247">
        <f t="shared" si="35"/>
        <v>2.7099999999999999E-2</v>
      </c>
      <c r="AA150" s="247">
        <f t="shared" si="36"/>
        <v>23.265499999999999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37"/>
        <v>234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/stypes="app*4007*20171205*" /stext=" 06:.+((SYSTEM_STATE.+slice.+state.+changed )|(ment ac)|(multiple cpu faults)|(system.+state.+changed )|(\[timeout)|(PRM\|1\|D)|(kpr)|(kdp)|(train st.+moving)|(\|lc)|(penalty))"</v>
      </c>
      <c r="AG150" s="244" t="str">
        <f t="shared" si="38"/>
        <v>EC</v>
      </c>
      <c r="AH150" s="236" t="str">
        <f t="shared" si="39"/>
        <v>"%USERPROFILE%\Documents\GitHub\eaglep3\Utilities\RefineRTDCRunTimes.py" --tripid 234-04 --locoid 4007 --swversion DE.1.0.9.0 --startMP 204:232926 --initTime 2017-12-04T22:49:13 --startdatetime 2017-12-04T22:57:18 --delay 56 --endMP 204:271 --enddatetime 2017-12-04T23:34:17 --enforcementcount 0 &gt;&gt;%USERPROFILE%\Documents\GitHub\eaglep3-reporting\EC\2017-12-04-refined-times.txt</v>
      </c>
      <c r="AI150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{"issue":{"subject":"","project_id":79,"tracker_id":40,"status_id":1,"priority_id":2,"assigned_to_id":338,"start_date":"2017-12-04","description":"","custom_fields":[{"id":1,"name":"Subdivision","value":"EC"},{"id":4,"name":"Milepost","value":"0.0271"},{"id":17,"name":"Train ID","value":"234-04"},{"id":16,"name":"Locomotive ID","value":"4007"},{"id":130,"name":"Impact","value":""},{"id":150,"name":"Time of Event (Mountain Time)","value":"23:34:17"},{"id":151,"name":"Denver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41"/>
        <v>start /low /b %USERPROFILE%\Documents\GitHub\eaglep3\Utilities\DownloadLogsFromS3.py --loco 4007 --day 2017-12-04</v>
      </c>
      <c r="AN150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06:34:17"},{"id":29,"name":"Sharepoint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43"/>
        <v>https://d0f6bd738d7f1b3e5a7ca70fe4ff75f0.us-east-1.aws.found.io/app/kibana#/discover/Steve-Slow-Train-Analysis-(2080s-and-2083s)?_g=(refreshInterval:(display:Off,pause:!f,section:0,value:0),time:(from:'2017-12-04T21:49:13-0700',mode:absolute,to:'2017-12-05T00:34:17-0700'))&amp;_a=(columns:!('Message%20ID',Summary),filters:!(),index:'emp_*',interval:auto,query:(query_string:(analyze_wildcard:!t,query:'%22rtdc.l.rtdc.4007%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885</v>
      </c>
      <c r="B151" s="225">
        <v>4010</v>
      </c>
      <c r="C151" s="227" t="s">
        <v>192</v>
      </c>
      <c r="D151" s="227" t="s">
        <v>418</v>
      </c>
      <c r="E151" s="226">
        <v>43073.933993055558</v>
      </c>
      <c r="F151" s="226">
        <v>43073.937662037039</v>
      </c>
      <c r="G151" s="225">
        <v>95</v>
      </c>
      <c r="H151" s="227" t="s">
        <v>498</v>
      </c>
      <c r="I151" s="226">
        <v>43073.963379629633</v>
      </c>
      <c r="J151" s="225">
        <v>0</v>
      </c>
      <c r="K151" s="237" t="str">
        <f t="shared" si="28"/>
        <v>4009/4010</v>
      </c>
      <c r="L151" s="245" t="str">
        <f>VLOOKUP(A151,'Trips&amp;Operators'!$C$1:$G$99911,5,FALSE)</f>
        <v>WILLIAMS DONTE</v>
      </c>
      <c r="M151" s="224">
        <f t="shared" si="29"/>
        <v>2.5717592594446614E-2</v>
      </c>
      <c r="N151" s="225">
        <f t="shared" si="30"/>
        <v>37.033333336003125</v>
      </c>
      <c r="O151" s="225"/>
      <c r="P151" s="225"/>
      <c r="Q151" s="228"/>
      <c r="R151" s="242"/>
      <c r="S151" s="249">
        <f t="shared" si="31"/>
        <v>1</v>
      </c>
      <c r="T151" s="242" t="str">
        <f t="shared" si="32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-04T21:24:57-0700',mode:absolute,to:'2017-12-05T00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247" t="str">
        <f>IF(AA151&lt;VLOOKUP(AG151,Variables!$AC$3:$AD$8,2,FALSE),"Y","N")</f>
        <v>N</v>
      </c>
      <c r="X151" s="247">
        <f t="shared" si="33"/>
        <v>1</v>
      </c>
      <c r="Y151" s="247">
        <f t="shared" si="34"/>
        <v>5.3999999999999999E-2</v>
      </c>
      <c r="Z151" s="247">
        <f t="shared" si="35"/>
        <v>23.3263</v>
      </c>
      <c r="AA151" s="247">
        <f t="shared" si="36"/>
        <v>23.272300000000001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37"/>
        <v>235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/stypes="app*4010*20171205*" /stext=" 06:.+((SYSTEM_STATE.+slice.+state.+changed )|(ment ac)|(multiple cpu faults)|(system.+state.+changed )|(\[timeout)|(PRM\|1\|D)|(kpr)|(kdp)|(train st.+moving)|(\|lc)|(penalty))"</v>
      </c>
      <c r="AG151" s="244" t="str">
        <f t="shared" si="38"/>
        <v>EC</v>
      </c>
      <c r="AH151" s="236" t="str">
        <f t="shared" si="39"/>
        <v>"%USERPROFILE%\Documents\GitHub\eaglep3\Utilities\RefineRTDCRunTimes.py" --tripid 235-04 --locoid 4010 --swversion DE.1.0.9.0 --startMP 204:540 --initTime 2017-12-04T22:24:57 --startdatetime 2017-12-04T22:30:14 --delay 95 --endMP 204:233263 --enddatetime 2017-12-04T23:07:16 --enforcementcount 0 &gt;&gt;%USERPROFILE%\Documents\GitHub\eaglep3-reporting\EC\2017-12-04-refined-times.txt</v>
      </c>
      <c r="AI151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{"issue":{"subject":"","project_id":79,"tracker_id":40,"status_id":1,"priority_id":2,"assigned_to_id":338,"start_date":"2017-12-04","description":"","custom_fields":[{"id":1,"name":"Subdivision","value":"EC"},{"id":4,"name":"Milepost","value":"23.3263"},{"id":17,"name":"Train ID","value":"235-04"},{"id":16,"name":"Locomotive ID","value":"4010"},{"id":130,"name":"Impact","value":""},{"id":150,"name":"Time of Event (Mountain Time)","value":"23:07:16"},{"id":151,"name":"Denver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41"/>
        <v>start /low /b %USERPROFILE%\Documents\GitHub\eaglep3\Utilities\DownloadLogsFromS3.py --loco 4010 --day 2017-12-04</v>
      </c>
      <c r="AN151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06:07:16"},{"id":29,"name":"Sharepoint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43"/>
        <v>https://d0f6bd738d7f1b3e5a7ca70fe4ff75f0.us-east-1.aws.found.io/app/kibana#/discover/Steve-Slow-Train-Analysis-(2080s-and-2083s)?_g=(refreshInterval:(display:Off,pause:!f,section:0,value:0),time:(from:'2017-12-04T21:24:57-0700',mode:absolute,to:'2017-12-05T00:07:16-0700'))&amp;_a=(columns:!('Message%20ID',Summary),filters:!(),index:'emp_*',interval:auto,query:(query_string:(analyze_wildcard:!t,query:'%22rtdc.l.rtdc.4010%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9" t="s">
        <v>890</v>
      </c>
      <c r="B152" s="225">
        <v>4009</v>
      </c>
      <c r="C152" s="227" t="s">
        <v>192</v>
      </c>
      <c r="D152" s="227" t="s">
        <v>633</v>
      </c>
      <c r="E152" s="226">
        <v>43073.972210648149</v>
      </c>
      <c r="F152" s="226">
        <v>43073.977222222224</v>
      </c>
      <c r="G152" s="225">
        <v>78</v>
      </c>
      <c r="H152" s="227" t="s">
        <v>637</v>
      </c>
      <c r="I152" s="226">
        <v>43074.004618055558</v>
      </c>
      <c r="J152" s="225">
        <v>0</v>
      </c>
      <c r="K152" s="237" t="str">
        <f t="shared" si="28"/>
        <v>4009/4010</v>
      </c>
      <c r="L152" s="245" t="str">
        <f>VLOOKUP(A152,'Trips&amp;Operators'!$C$1:$G$99911,5,FALSE)</f>
        <v>WILLIAMS DONTE</v>
      </c>
      <c r="M152" s="224">
        <f t="shared" si="29"/>
        <v>2.7395833334594499E-2</v>
      </c>
      <c r="N152" s="225">
        <f t="shared" si="30"/>
        <v>39.450000001816079</v>
      </c>
      <c r="O152" s="225"/>
      <c r="P152" s="225"/>
      <c r="Q152" s="228"/>
      <c r="R152" s="242"/>
      <c r="S152" s="249">
        <f t="shared" si="31"/>
        <v>1</v>
      </c>
      <c r="T152" s="242" t="str">
        <f t="shared" si="32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-04T22:19:59-0700',mode:absolute,to:'2017-12-05T01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247" t="str">
        <f>IF(AA152&lt;VLOOKUP(AG152,Variables!$AC$3:$AD$8,2,FALSE),"Y","N")</f>
        <v>N</v>
      </c>
      <c r="X152" s="247">
        <f t="shared" si="33"/>
        <v>1</v>
      </c>
      <c r="Y152" s="247">
        <f t="shared" si="34"/>
        <v>23.2942</v>
      </c>
      <c r="Z152" s="247">
        <f t="shared" si="35"/>
        <v>2.0299999999999999E-2</v>
      </c>
      <c r="AA152" s="247">
        <f t="shared" si="36"/>
        <v>23.273900000000001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37"/>
        <v>236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/stypes="app*4009*20171205*" /stext=" 07:.+((SYSTEM_STATE.+slice.+state.+changed )|(ment ac)|(multiple cpu faults)|(system.+state.+changed )|(\[timeout)|(PRM\|1\|D)|(kpr)|(kdp)|(train st.+moving)|(\|lc)|(penalty))"</v>
      </c>
      <c r="AG152" s="244" t="str">
        <f t="shared" si="38"/>
        <v>EC</v>
      </c>
      <c r="AH152" s="236" t="str">
        <f t="shared" si="39"/>
        <v>"%USERPROFILE%\Documents\GitHub\eaglep3\Utilities\RefineRTDCRunTimes.py" --tripid 236-04 --locoid 4009 --swversion DE.1.0.9.0 --startMP 204:232942 --initTime 2017-12-04T23:19:59 --startdatetime 2017-12-04T23:27:12 --delay 78 --endMP 204:203 --enddatetime 2017-12-05T00:06:39 --enforcementcount 0 &gt;&gt;%USERPROFILE%\Documents\GitHub\eaglep3-reporting\EC\2017-12-04-refined-times.txt</v>
      </c>
      <c r="AI152" s="238" t="str">
        <f t="shared" si="40"/>
        <v>echo {"issue":{"subject":"","project_id":79,"tracker_id":40,"status_id":1,"priority_id":2,"assigned_to_id":338,"start_date":"2017-12-05","description":"","custom_fields":[{"id":1,"name":"Subdivision","value":"EC"},{"id":4,"name":"Milepost","value":"0.0203"},{"id":17,"name":"Train ID","value":"236-04"},{"id":16,"name":"Locomotive ID","value":"4009"},{"id":130,"name":"Impact","value":""},{"id":150,"name":"Time of Event (Mountain Time)","value":"00:06:39"},{"id":151,"name":"Denver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41"/>
        <v>start /low /b %USERPROFILE%\Documents\GitHub\eaglep3\Utilities\DownloadLogsFromS3.py --loco 4009 --day 2017-12-04</v>
      </c>
      <c r="AN152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07:06:39"},{"id":29,"name":"Sharepoint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43"/>
        <v>https://d0f6bd738d7f1b3e5a7ca70fe4ff75f0.us-east-1.aws.found.io/app/kibana#/discover/Steve-Slow-Train-Analysis-(2080s-and-2083s)?_g=(refreshInterval:(display:Off,pause:!f,section:0,value:0),time:(from:'2017-12-04T22:19:59-0700',mode:absolute,to:'2017-12-05T01:06:39-0700'))&amp;_a=(columns:!('Message%20ID',Summary),filters:!(),index:'emp_*',interval:auto,query:(query_string:(analyze_wildcard:!t,query:'%22rtdc.l.rtdc.4009%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886</v>
      </c>
      <c r="B153" s="225">
        <v>4058</v>
      </c>
      <c r="C153" s="227" t="s">
        <v>192</v>
      </c>
      <c r="D153" s="227" t="s">
        <v>590</v>
      </c>
      <c r="E153" s="226">
        <v>43073.942025462966</v>
      </c>
      <c r="F153" s="226">
        <v>43073.958483796298</v>
      </c>
      <c r="G153" s="225">
        <v>74</v>
      </c>
      <c r="H153" s="227" t="s">
        <v>536</v>
      </c>
      <c r="I153" s="226">
        <v>43073.982719907406</v>
      </c>
      <c r="J153" s="225">
        <v>0</v>
      </c>
      <c r="K153" s="237" t="str">
        <f t="shared" si="28"/>
        <v>4057/4058</v>
      </c>
      <c r="L153" s="245" t="str">
        <f>VLOOKUP(A153,'Trips&amp;Operators'!$C$1:$G$99911,5,FALSE)</f>
        <v>ELBAUM MIKE</v>
      </c>
      <c r="M153" s="224">
        <f t="shared" si="29"/>
        <v>2.4236111108621117E-2</v>
      </c>
      <c r="N153" s="225">
        <f t="shared" si="30"/>
        <v>34.899999996414408</v>
      </c>
      <c r="O153" s="225"/>
      <c r="P153" s="225"/>
      <c r="Q153" s="228"/>
      <c r="R153" s="242"/>
      <c r="S153" s="249">
        <f t="shared" si="31"/>
        <v>1</v>
      </c>
      <c r="T153" s="242" t="str">
        <f t="shared" si="32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-04T21:36:31-0700',mode:absolute,to:'2017-12-05T00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3" s="247" t="str">
        <f>IF(AA153&lt;VLOOKUP(AG153,Variables!$AC$3:$AD$8,2,FALSE),"Y","N")</f>
        <v>N</v>
      </c>
      <c r="X153" s="247">
        <f t="shared" si="33"/>
        <v>1</v>
      </c>
      <c r="Y153" s="247">
        <f t="shared" si="34"/>
        <v>5.2600000000000001E-2</v>
      </c>
      <c r="Z153" s="247">
        <f t="shared" si="35"/>
        <v>23.327000000000002</v>
      </c>
      <c r="AA153" s="247">
        <f t="shared" si="36"/>
        <v>23.2744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37"/>
        <v>237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 &amp; 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/stypes="app*4058*20171205*" /stext=" 06:.+((SYSTEM_STATE.+slice.+state.+changed )|(ment ac)|(multiple cpu faults)|(system.+state.+changed )|(\[timeout)|(PRM\|1\|D)|(kpr)|(kdp)|(train st.+moving)|(\|lc)|(penalty))"</v>
      </c>
      <c r="AG153" s="244" t="str">
        <f t="shared" si="38"/>
        <v>EC</v>
      </c>
      <c r="AH153" s="236" t="str">
        <f t="shared" si="39"/>
        <v>"%USERPROFILE%\Documents\GitHub\eaglep3\Utilities\RefineRTDCRunTimes.py" --tripid 237-04 --locoid 4058 --swversion DE.1.0.9.0 --startMP 204:526 --initTime 2017-12-04T22:36:31 --startdatetime 2017-12-04T23:00:13 --delay 74 --endMP 204:233270 --enddatetime 2017-12-04T23:35:07 --enforcementcount 0 &gt;&gt;%USERPROFILE%\Documents\GitHub\eaglep3-reporting\EC\2017-12-04-refined-times.txt</v>
      </c>
      <c r="AI153" s="238" t="str">
        <f t="shared" si="40"/>
        <v>echo {"issue":{"subject":"","project_id":79,"tracker_id":40,"status_id":1,"priority_id":2,"assigned_to_id":338,"start_date":"2017-12-04","description":"","custom_fields":[{"id":1,"name":"Subdivision","value":"EC"},{"id":4,"name":"Milepost","value":"23.327"},{"id":17,"name":"Train ID","value":"237-04"},{"id":16,"name":"Locomotive ID","value":"4058"},{"id":130,"name":"Impact","value":""},{"id":150,"name":"Time of Event (Mountain Time)","value":"23:35:07"},{"id":151,"name":"Denver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41"/>
        <v>start /low /b %USERPROFILE%\Documents\GitHub\eaglep3\Utilities\DownloadLogsFromS3.py --loco 4058 --day 2017-12-04</v>
      </c>
      <c r="AN153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43"/>
        <v>https://d0f6bd738d7f1b3e5a7ca70fe4ff75f0.us-east-1.aws.found.io/app/kibana#/discover/Steve-Slow-Train-Analysis-(2080s-and-2083s)?_g=(refreshInterval:(display:Off,pause:!f,section:0,value:0),time:(from:'2017-12-04T21:36:31-0700',mode:absolute,to:'2017-12-05T00:35:07-0700'))&amp;_a=(columns:!('Message%20ID',Summary),filters:!(),index:'emp_*',interval:auto,query:(query_string:(analyze_wildcard:!t,query:'%22rtdc.l.rtdc.4058%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892</v>
      </c>
      <c r="B154" s="225">
        <v>4057</v>
      </c>
      <c r="C154" s="227" t="s">
        <v>192</v>
      </c>
      <c r="D154" s="227" t="s">
        <v>978</v>
      </c>
      <c r="E154" s="226">
        <v>43073.984027777777</v>
      </c>
      <c r="F154" s="226">
        <v>43073.998101851852</v>
      </c>
      <c r="G154" s="225">
        <v>64</v>
      </c>
      <c r="H154" s="227" t="s">
        <v>557</v>
      </c>
      <c r="I154" s="226">
        <v>43074.023113425923</v>
      </c>
      <c r="J154" s="225">
        <v>0</v>
      </c>
      <c r="K154" s="237" t="str">
        <f t="shared" si="28"/>
        <v>4057/4058</v>
      </c>
      <c r="L154" s="245" t="str">
        <f>VLOOKUP(A154,'Trips&amp;Operators'!$C$1:$G$99911,5,FALSE)</f>
        <v>ELBAUM MIKE</v>
      </c>
      <c r="M154" s="224">
        <f t="shared" si="29"/>
        <v>2.5011574070958886E-2</v>
      </c>
      <c r="N154" s="225">
        <f t="shared" si="30"/>
        <v>36.016666662180796</v>
      </c>
      <c r="O154" s="225"/>
      <c r="P154" s="225"/>
      <c r="Q154" s="228"/>
      <c r="R154" s="242"/>
      <c r="S154" s="249">
        <f t="shared" si="31"/>
        <v>1</v>
      </c>
      <c r="T154" s="242" t="str">
        <f t="shared" si="32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-04T22:37:00-0700',mode:absolute,to:'2017-12-05T01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4" s="247" t="str">
        <f>IF(AA154&lt;VLOOKUP(AG154,Variables!$AC$3:$AD$8,2,FALSE),"Y","N")</f>
        <v>N</v>
      </c>
      <c r="X154" s="247">
        <f t="shared" si="33"/>
        <v>1</v>
      </c>
      <c r="Y154" s="247">
        <f t="shared" si="34"/>
        <v>23.294499999999999</v>
      </c>
      <c r="Z154" s="247">
        <f t="shared" si="35"/>
        <v>2.69E-2</v>
      </c>
      <c r="AA154" s="247">
        <f t="shared" si="36"/>
        <v>23.267599999999998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37"/>
        <v>238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/stypes="app*4057*20171205*" /stext=" 07:.+((SYSTEM_STATE.+slice.+state.+changed )|(ment ac)|(multiple cpu faults)|(system.+state.+changed )|(\[timeout)|(PRM\|1\|D)|(kpr)|(kdp)|(train st.+moving)|(\|lc)|(penalty))"</v>
      </c>
      <c r="AG154" s="244" t="str">
        <f t="shared" si="38"/>
        <v>EC</v>
      </c>
      <c r="AH154" s="236" t="str">
        <f t="shared" si="39"/>
        <v>"%USERPROFILE%\Documents\GitHub\eaglep3\Utilities\RefineRTDCRunTimes.py" --tripid 238-04 --locoid 4057 --swversion DE.1.0.9.0 --startMP 204:232945 --initTime 2017-12-04T23:37:00 --startdatetime 2017-12-04T23:57:16 --delay 64 --endMP 204:269 --enddatetime 2017-12-05T00:33:17 --enforcementcount 0 &gt;&gt;%USERPROFILE%\Documents\GitHub\eaglep3-reporting\EC\2017-12-04-refined-times.txt</v>
      </c>
      <c r="AI154" s="238" t="str">
        <f t="shared" si="40"/>
        <v>echo {"issue":{"subject":"","project_id":79,"tracker_id":40,"status_id":1,"priority_id":2,"assigned_to_id":338,"start_date":"2017-12-05","description":"","custom_fields":[{"id":1,"name":"Subdivision","value":"EC"},{"id":4,"name":"Milepost","value":"0.0269"},{"id":17,"name":"Train ID","value":"238-04"},{"id":16,"name":"Locomotive ID","value":"4057"},{"id":130,"name":"Impact","value":""},{"id":150,"name":"Time of Event (Mountain Time)","value":"00:33:17"},{"id":151,"name":"Denver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41"/>
        <v>start /low /b %USERPROFILE%\Documents\GitHub\eaglep3\Utilities\DownloadLogsFromS3.py --loco 4057 --day 2017-12-04</v>
      </c>
      <c r="AN154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07:33:17"},{"id":29,"name":"Sharepoint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43"/>
        <v>https://d0f6bd738d7f1b3e5a7ca70fe4ff75f0.us-east-1.aws.found.io/app/kibana#/discover/Steve-Slow-Train-Analysis-(2080s-and-2083s)?_g=(refreshInterval:(display:Off,pause:!f,section:0,value:0),time:(from:'2017-12-04T22:37:00-0700',mode:absolute,to:'2017-12-05T01:33:17-0700'))&amp;_a=(columns:!('Message%20ID',Summary),filters:!(),index:'emp_*',interval:auto,query:(query_string:(analyze_wildcard:!t,query:'%22rtdc.l.rtdc.4057%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25">
      <c r="A155" s="229" t="s">
        <v>889</v>
      </c>
      <c r="B155" s="225">
        <v>4064</v>
      </c>
      <c r="C155" s="227" t="s">
        <v>192</v>
      </c>
      <c r="D155" s="227" t="s">
        <v>546</v>
      </c>
      <c r="E155" s="226">
        <v>43073.964745370373</v>
      </c>
      <c r="F155" s="226">
        <v>43073.979351851849</v>
      </c>
      <c r="G155" s="225">
        <v>68</v>
      </c>
      <c r="H155" s="227" t="s">
        <v>498</v>
      </c>
      <c r="I155" s="226">
        <v>43074.004224537035</v>
      </c>
      <c r="J155" s="225">
        <v>0</v>
      </c>
      <c r="K155" s="237" t="str">
        <f t="shared" si="28"/>
        <v>4063/4064</v>
      </c>
      <c r="L155" s="245" t="str">
        <f>VLOOKUP(A155,'Trips&amp;Operators'!$C$1:$G$99911,5,FALSE)</f>
        <v>LORI SANTOS</v>
      </c>
      <c r="M155" s="224">
        <f t="shared" si="29"/>
        <v>2.4872685185982846E-2</v>
      </c>
      <c r="N155" s="225">
        <f t="shared" si="30"/>
        <v>35.816666667815298</v>
      </c>
      <c r="O155" s="225"/>
      <c r="P155" s="225"/>
      <c r="Q155" s="228"/>
      <c r="R155" s="242"/>
      <c r="S155" s="249">
        <f t="shared" si="31"/>
        <v>1</v>
      </c>
      <c r="T155" s="242" t="str">
        <f t="shared" si="32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-04T22:09:14-0700',mode:absolute,to:'2017-12-05T01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5" s="247" t="str">
        <f>IF(AA155&lt;VLOOKUP(AG155,Variables!$AC$3:$AD$8,2,FALSE),"Y","N")</f>
        <v>N</v>
      </c>
      <c r="X155" s="247">
        <f t="shared" si="33"/>
        <v>1</v>
      </c>
      <c r="Y155" s="247">
        <f t="shared" si="34"/>
        <v>5.0900000000000001E-2</v>
      </c>
      <c r="Z155" s="247">
        <f t="shared" si="35"/>
        <v>23.3263</v>
      </c>
      <c r="AA155" s="247">
        <f t="shared" si="36"/>
        <v>23.275400000000001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37"/>
        <v>239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/stypes="app*4064*20171205*" /stext=" 07:.+((SYSTEM_STATE.+slice.+state.+changed )|(ment ac)|(multiple cpu faults)|(system.+state.+changed )|(\[timeout)|(PRM\|1\|D)|(kpr)|(kdp)|(train st.+moving)|(\|lc)|(penalty))"</v>
      </c>
      <c r="AG155" s="244" t="str">
        <f t="shared" si="38"/>
        <v>EC</v>
      </c>
      <c r="AH155" s="236" t="str">
        <f t="shared" si="39"/>
        <v>"%USERPROFILE%\Documents\GitHub\eaglep3\Utilities\RefineRTDCRunTimes.py" --tripid 239-04 --locoid 4064 --swversion DE.1.0.9.0 --startMP 204:509 --initTime 2017-12-04T23:09:14 --startdatetime 2017-12-04T23:30:16 --delay 68 --endMP 204:233263 --enddatetime 2017-12-05T00:06:05 --enforcementcount 0 &gt;&gt;%USERPROFILE%\Documents\GitHub\eaglep3-reporting\EC\2017-12-04-refined-times.txt</v>
      </c>
      <c r="AI155" s="238" t="str">
        <f t="shared" si="40"/>
        <v>echo {"issue":{"subject":"","project_id":79,"tracker_id":40,"status_id":1,"priority_id":2,"assigned_to_id":338,"start_date":"2017-12-05","description":"","custom_fields":[{"id":1,"name":"Subdivision","value":"EC"},{"id":4,"name":"Milepost","value":"23.3263"},{"id":17,"name":"Train ID","value":"239-04"},{"id":16,"name":"Locomotive ID","value":"4064"},{"id":130,"name":"Impact","value":""},{"id":150,"name":"Time of Event (Mountain Time)","value":"00:06:05"},{"id":151,"name":"Denver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41"/>
        <v>start /low /b %USERPROFILE%\Documents\GitHub\eaglep3\Utilities\DownloadLogsFromS3.py --loco 4064 --day 2017-12-04</v>
      </c>
      <c r="AN155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07:06:05"},{"id":29,"name":"Sharepoint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43"/>
        <v>https://d0f6bd738d7f1b3e5a7ca70fe4ff75f0.us-east-1.aws.found.io/app/kibana#/discover/Steve-Slow-Train-Analysis-(2080s-and-2083s)?_g=(refreshInterval:(display:Off,pause:!f,section:0,value:0),time:(from:'2017-12-04T22:09:14-0700',mode:absolute,to:'2017-12-05T01:06:05-0700'))&amp;_a=(columns:!('Message%20ID',Summary),filters:!(),index:'emp_*',interval:auto,query:(query_string:(analyze_wildcard:!t,query:'%22rtdc.l.rtdc.4064%22')),sort:!(Time.ISO8601,asc))</v>
      </c>
    </row>
    <row r="156" spans="1:91" s="20" customFormat="1" x14ac:dyDescent="0.25">
      <c r="A156" s="229" t="s">
        <v>895</v>
      </c>
      <c r="B156" s="225">
        <v>4063</v>
      </c>
      <c r="C156" s="227" t="s">
        <v>192</v>
      </c>
      <c r="D156" s="227" t="s">
        <v>556</v>
      </c>
      <c r="E156" s="226">
        <v>43074.015520833331</v>
      </c>
      <c r="F156" s="226">
        <v>43074.018946759257</v>
      </c>
      <c r="G156" s="225">
        <v>81</v>
      </c>
      <c r="H156" s="227" t="s">
        <v>977</v>
      </c>
      <c r="I156" s="226">
        <v>43074.044895833336</v>
      </c>
      <c r="J156" s="225">
        <v>0</v>
      </c>
      <c r="K156" s="237" t="str">
        <f t="shared" si="28"/>
        <v>4063/4064</v>
      </c>
      <c r="L156" s="245" t="str">
        <f>VLOOKUP(A156,'Trips&amp;Operators'!$C$1:$G$99911,5,FALSE)</f>
        <v>LORI SANTOS</v>
      </c>
      <c r="M156" s="224">
        <f t="shared" si="29"/>
        <v>2.5949074079107959E-2</v>
      </c>
      <c r="N156" s="225">
        <f t="shared" si="30"/>
        <v>37.366666673915461</v>
      </c>
      <c r="O156" s="225"/>
      <c r="P156" s="225"/>
      <c r="Q156" s="228"/>
      <c r="R156" s="242"/>
      <c r="S156" s="249">
        <f t="shared" si="31"/>
        <v>1</v>
      </c>
      <c r="T156" s="242" t="str">
        <f t="shared" si="32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-04T23:22:21-0700',mode:absolute,to:'2017-12-05T02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6" s="247" t="str">
        <f>IF(AA156&lt;VLOOKUP(AG156,Variables!$AC$3:$AD$8,2,FALSE),"Y","N")</f>
        <v>N</v>
      </c>
      <c r="X156" s="247">
        <f t="shared" si="33"/>
        <v>1</v>
      </c>
      <c r="Y156" s="247">
        <f t="shared" si="34"/>
        <v>23.294899999999998</v>
      </c>
      <c r="Z156" s="247">
        <f t="shared" si="35"/>
        <v>2.4899999999999999E-2</v>
      </c>
      <c r="AA156" s="247">
        <f t="shared" si="36"/>
        <v>23.27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37"/>
        <v>240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s3://rtdc.mdm.uploadarchive.raw/RTDC4063/ "%USERPROFILE%\AppData\Local\Temp\OnboardLogs"\RTDC4063\2017-12-05 --exclude "*" --recursive --include "*20171205*" &amp; "%USERPROFILE%\Documents\GitHub\mrs-test-scripts\Headless Mode &amp; Sideloading\WalkAndUnGZ.bat" "%USERPROFILE%\AppData\Local\Temp\OnboardLogs"\RTDC4063\2017-12-05 &amp; 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/stypes="app*4063*20171205*" /stext=" 08:.+((SYSTEM_STATE.+slice.+state.+changed )|(ment ac)|(multiple cpu faults)|(system.+state.+changed )|(\[timeout)|(PRM\|1\|D)|(kpr)|(kdp)|(train st.+moving)|(\|lc)|(penalty))"</v>
      </c>
      <c r="AG156" s="244" t="str">
        <f t="shared" si="38"/>
        <v>EC</v>
      </c>
      <c r="AH156" s="236" t="str">
        <f t="shared" si="39"/>
        <v>"%USERPROFILE%\Documents\GitHub\eaglep3\Utilities\RefineRTDCRunTimes.py" --tripid 240-04 --locoid 4063 --swversion DE.1.0.9.0 --startMP 204:232949 --initTime 2017-12-05T00:22:21 --startdatetime 2017-12-05T00:27:17 --delay 81 --endMP 204:249 --enddatetime 2017-12-05T01:04:39 --enforcementcount 0 &gt;&gt;%USERPROFILE%\Documents\GitHub\eaglep3-reporting\EC\2017-12-04-refined-times.txt</v>
      </c>
      <c r="AI156" s="238" t="str">
        <f t="shared" si="40"/>
        <v>echo {"issue":{"subject":"","project_id":79,"tracker_id":40,"status_id":1,"priority_id":2,"assigned_to_id":338,"start_date":"2017-12-05","description":"","custom_fields":[{"id":1,"name":"Subdivision","value":"EC"},{"id":4,"name":"Milepost","value":"0.0249"},{"id":17,"name":"Train ID","value":"240-04"},{"id":16,"name":"Locomotive ID","value":"4063"},{"id":130,"name":"Impact","value":""},{"id":150,"name":"Time of Event (Mountain Time)","value":"01:04:39"},{"id":151,"name":"Denver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41"/>
        <v>start /low /b %USERPROFILE%\Documents\GitHub\eaglep3\Utilities\DownloadLogsFromS3.py --loco 4063 --day 2017-12-05</v>
      </c>
      <c r="AN156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43"/>
        <v>https://d0f6bd738d7f1b3e5a7ca70fe4ff75f0.us-east-1.aws.found.io/app/kibana#/discover/Steve-Slow-Train-Analysis-(2080s-and-2083s)?_g=(refreshInterval:(display:Off,pause:!f,section:0,value:0),time:(from:'2017-12-04T23:22:21-0700',mode:absolute,to:'2017-12-05T02:04:39-0700'))&amp;_a=(columns:!('Message%20ID',Summary),filters:!(),index:'emp_*',interval:auto,query:(query_string:(analyze_wildcard:!t,query:'%22rtdc.l.rtdc.4063%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893</v>
      </c>
      <c r="B157" s="225">
        <v>4008</v>
      </c>
      <c r="C157" s="227" t="s">
        <v>192</v>
      </c>
      <c r="D157" s="227" t="s">
        <v>980</v>
      </c>
      <c r="E157" s="226">
        <v>43073.994756944441</v>
      </c>
      <c r="F157" s="226">
        <v>43074.000173611108</v>
      </c>
      <c r="G157" s="225">
        <v>49</v>
      </c>
      <c r="H157" s="227" t="s">
        <v>984</v>
      </c>
      <c r="I157" s="226">
        <v>43074.024618055555</v>
      </c>
      <c r="J157" s="225">
        <v>0</v>
      </c>
      <c r="K157" s="237" t="str">
        <f t="shared" si="28"/>
        <v>4007/4008</v>
      </c>
      <c r="L157" s="245" t="str">
        <f>VLOOKUP(A157,'Trips&amp;Operators'!$C$1:$G$99911,5,FALSE)</f>
        <v>RESPASS AARON</v>
      </c>
      <c r="M157" s="224">
        <f t="shared" si="29"/>
        <v>2.4444444446999114E-2</v>
      </c>
      <c r="N157" s="225">
        <f t="shared" si="30"/>
        <v>35.200000003678724</v>
      </c>
      <c r="O157" s="225"/>
      <c r="P157" s="225"/>
      <c r="Q157" s="228"/>
      <c r="R157" s="242"/>
      <c r="S157" s="249">
        <f t="shared" si="31"/>
        <v>1</v>
      </c>
      <c r="T157" s="242" t="str">
        <f t="shared" si="32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-04T22:52:27-0700',mode:absolute,to:'2017-12-05T01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247" t="str">
        <f>IF(AA157&lt;VLOOKUP(AG157,Variables!$AC$3:$AD$8,2,FALSE),"Y","N")</f>
        <v>N</v>
      </c>
      <c r="X157" s="247">
        <f t="shared" si="33"/>
        <v>1</v>
      </c>
      <c r="Y157" s="247">
        <f t="shared" si="34"/>
        <v>5.5899999999999998E-2</v>
      </c>
      <c r="Z157" s="247">
        <f t="shared" si="35"/>
        <v>23.325900000000001</v>
      </c>
      <c r="AA157" s="247">
        <f t="shared" si="36"/>
        <v>23.27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37"/>
        <v>241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 &amp; 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/stypes="app*4008*20171205*" /stext=" 07:.+((SYSTEM_STATE.+slice.+state.+changed )|(ment ac)|(multiple cpu faults)|(system.+state.+changed )|(\[timeout)|(PRM\|1\|D)|(kpr)|(kdp)|(train st.+moving)|(\|lc)|(penalty))"</v>
      </c>
      <c r="AG157" s="244" t="str">
        <f t="shared" si="38"/>
        <v>EC</v>
      </c>
      <c r="AH157" s="236" t="str">
        <f t="shared" si="39"/>
        <v>"%USERPROFILE%\Documents\GitHub\eaglep3\Utilities\RefineRTDCRunTimes.py" --tripid 241-04 --locoid 4008 --swversion DE.1.0.9.0 --startMP 204:559 --initTime 2017-12-04T23:52:27 --startdatetime 2017-12-05T00:00:15 --delay 49 --endMP 204:233259 --enddatetime 2017-12-05T00:35:27 --enforcementcount 0 &gt;&gt;%USERPROFILE%\Documents\GitHub\eaglep3-reporting\EC\2017-12-04-refined-times.txt</v>
      </c>
      <c r="AI157" s="238" t="str">
        <f t="shared" si="40"/>
        <v>echo {"issue":{"subject":"","project_id":79,"tracker_id":40,"status_id":1,"priority_id":2,"assigned_to_id":338,"start_date":"2017-12-05","description":"","custom_fields":[{"id":1,"name":"Subdivision","value":"EC"},{"id":4,"name":"Milepost","value":"23.3259"},{"id":17,"name":"Train ID","value":"241-04"},{"id":16,"name":"Locomotive ID","value":"4008"},{"id":130,"name":"Impact","value":""},{"id":150,"name":"Time of Event (Mountain Time)","value":"00:35:27"},{"id":151,"name":"Denver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41"/>
        <v>start /low /b %USERPROFILE%\Documents\GitHub\eaglep3\Utilities\DownloadLogsFromS3.py --loco 4008 --day 2017-12-05</v>
      </c>
      <c r="AN157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07:35:27"},{"id":29,"name":"Sharepoint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43"/>
        <v>https://d0f6bd738d7f1b3e5a7ca70fe4ff75f0.us-east-1.aws.found.io/app/kibana#/discover/Steve-Slow-Train-Analysis-(2080s-and-2083s)?_g=(refreshInterval:(display:Off,pause:!f,section:0,value:0),time:(from:'2017-12-04T22:52:27-0700',mode:absolute,to:'2017-12-05T01:35:27-0700'))&amp;_a=(columns:!('Message%20ID',Summary),filters:!(),index:'emp_*',interval:auto,query:(query_string:(analyze_wildcard:!t,query:'%22rtdc.l.rtdc.4008%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9" t="s">
        <v>673</v>
      </c>
      <c r="B158" s="225">
        <v>4007</v>
      </c>
      <c r="C158" s="227" t="s">
        <v>192</v>
      </c>
      <c r="D158" s="227" t="s">
        <v>986</v>
      </c>
      <c r="E158" s="226">
        <v>43074.034305555557</v>
      </c>
      <c r="F158" s="226">
        <v>43074.03974537037</v>
      </c>
      <c r="G158" s="225">
        <v>67</v>
      </c>
      <c r="H158" s="227" t="s">
        <v>987</v>
      </c>
      <c r="I158" s="226">
        <v>43074.065752314818</v>
      </c>
      <c r="J158" s="225">
        <v>0</v>
      </c>
      <c r="K158" s="237" t="str">
        <f t="shared" si="28"/>
        <v>4007/4008</v>
      </c>
      <c r="L158" s="245" t="str">
        <f>VLOOKUP(A158,'Trips&amp;Operators'!$C$1:$G$99911,5,FALSE)</f>
        <v>RESPASS AARON</v>
      </c>
      <c r="M158" s="224">
        <f t="shared" si="29"/>
        <v>2.6006944448454306E-2</v>
      </c>
      <c r="N158" s="225">
        <f t="shared" si="30"/>
        <v>37.4500000057742</v>
      </c>
      <c r="O158" s="225"/>
      <c r="P158" s="225"/>
      <c r="Q158" s="228"/>
      <c r="R158" s="242"/>
      <c r="S158" s="249">
        <f t="shared" si="31"/>
        <v>1</v>
      </c>
      <c r="T158" s="242" t="str">
        <f t="shared" si="32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-04T23:49:24-0700',mode:absolute,to:'2017-12-05T02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247" t="str">
        <f>IF(AA158&lt;VLOOKUP(AG158,Variables!$AC$3:$AD$8,2,FALSE),"Y","N")</f>
        <v>N</v>
      </c>
      <c r="X158" s="247">
        <f t="shared" si="33"/>
        <v>1</v>
      </c>
      <c r="Y158" s="247">
        <f t="shared" si="34"/>
        <v>23.294</v>
      </c>
      <c r="Z158" s="247">
        <f t="shared" si="35"/>
        <v>2.98E-2</v>
      </c>
      <c r="AA158" s="247">
        <f t="shared" si="36"/>
        <v>23.264199999999999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37"/>
        <v>242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 &amp; 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/stypes="app*4007*20171205*" /stext=" 08:.+((SYSTEM_STATE.+slice.+state.+changed )|(ment ac)|(multiple cpu faults)|(system.+state.+changed )|(\[timeout)|(PRM\|1\|D)|(kpr)|(kdp)|(train st.+moving)|(\|lc)|(penalty))"</v>
      </c>
      <c r="AG158" s="244" t="str">
        <f t="shared" si="38"/>
        <v>EC</v>
      </c>
      <c r="AH158" s="236" t="str">
        <f t="shared" si="39"/>
        <v>"%USERPROFILE%\Documents\GitHub\eaglep3\Utilities\RefineRTDCRunTimes.py" --tripid 242-04 --locoid 4007 --swversion DE.1.0.9.0 --startMP 204:232940 --initTime 2017-12-05T00:49:24 --startdatetime 2017-12-05T00:57:14 --delay 67 --endMP 204:298 --enddatetime 2017-12-05T01:34:41 --enforcementcount 0 &gt;&gt;%USERPROFILE%\Documents\GitHub\eaglep3-reporting\EC\2017-12-04-refined-times.txt</v>
      </c>
      <c r="AI158" s="238" t="str">
        <f t="shared" si="40"/>
        <v>echo {"issue":{"subject":"","project_id":79,"tracker_id":40,"status_id":1,"priority_id":2,"assigned_to_id":338,"start_date":"2017-12-05","description":"","custom_fields":[{"id":1,"name":"Subdivision","value":"EC"},{"id":4,"name":"Milepost","value":"0.0298"},{"id":17,"name":"Train ID","value":"242-04"},{"id":16,"name":"Locomotive ID","value":"4007"},{"id":130,"name":"Impact","value":""},{"id":150,"name":"Time of Event (Mountain Time)","value":"01:34:41"},{"id":151,"name":"Denver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41"/>
        <v>start /low /b %USERPROFILE%\Documents\GitHub\eaglep3\Utilities\DownloadLogsFromS3.py --loco 4007 --day 2017-12-05</v>
      </c>
      <c r="AN158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08:34:41"},{"id":29,"name":"Sharepoint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43"/>
        <v>https://d0f6bd738d7f1b3e5a7ca70fe4ff75f0.us-east-1.aws.found.io/app/kibana#/discover/Steve-Slow-Train-Analysis-(2080s-and-2083s)?_g=(refreshInterval:(display:Off,pause:!f,section:0,value:0),time:(from:'2017-12-04T23:49:24-0700',mode:absolute,to:'2017-12-05T02:34:41-0700'))&amp;_a=(columns:!('Message%20ID',Summary),filters:!(),index:'emp_*',interval:auto,query:(query_string:(analyze_wildcard:!t,query:'%22rtdc.l.rtdc.4007%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29" t="s">
        <v>894</v>
      </c>
      <c r="B159" s="225">
        <v>4010</v>
      </c>
      <c r="C159" s="227" t="s">
        <v>192</v>
      </c>
      <c r="D159" s="227" t="s">
        <v>471</v>
      </c>
      <c r="E159" s="226">
        <v>43074.010729166665</v>
      </c>
      <c r="F159" s="226">
        <v>43074.021018518521</v>
      </c>
      <c r="G159" s="225">
        <v>88</v>
      </c>
      <c r="H159" s="227" t="s">
        <v>988</v>
      </c>
      <c r="I159" s="226">
        <v>43074.045740740738</v>
      </c>
      <c r="J159" s="225">
        <v>0</v>
      </c>
      <c r="K159" s="237" t="str">
        <f t="shared" si="28"/>
        <v>4009/4010</v>
      </c>
      <c r="L159" s="245" t="str">
        <f>VLOOKUP(A159,'Trips&amp;Operators'!$C$1:$G$99911,5,FALSE)</f>
        <v>WILLIAMS DONTE</v>
      </c>
      <c r="M159" s="224">
        <f t="shared" si="29"/>
        <v>2.4722222216951195E-2</v>
      </c>
      <c r="N159" s="225">
        <f t="shared" si="30"/>
        <v>35.599999992409721</v>
      </c>
      <c r="O159" s="225"/>
      <c r="P159" s="225"/>
      <c r="Q159" s="228"/>
      <c r="R159" s="242"/>
      <c r="S159" s="249">
        <f t="shared" si="31"/>
        <v>1</v>
      </c>
      <c r="T159" s="242" t="str">
        <f t="shared" si="32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-04T23:15:27-0700',mode:absolute,to:'2017-12-05T02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9" s="247" t="str">
        <f>IF(AA159&lt;VLOOKUP(AG159,Variables!$AC$3:$AD$8,2,FALSE),"Y","N")</f>
        <v>N</v>
      </c>
      <c r="X159" s="247">
        <f t="shared" si="33"/>
        <v>1</v>
      </c>
      <c r="Y159" s="247">
        <f t="shared" si="34"/>
        <v>5.1700000000000003E-2</v>
      </c>
      <c r="Z159" s="247">
        <f t="shared" si="35"/>
        <v>23.320900000000002</v>
      </c>
      <c r="AA159" s="247">
        <f t="shared" si="36"/>
        <v>23.269200000000001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37"/>
        <v>243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 &amp; 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/stypes="app*4010*20171205*" /stext=" 08:.+((SYSTEM_STATE.+slice.+state.+changed )|(ment ac)|(multiple cpu faults)|(system.+state.+changed )|(\[timeout)|(PRM\|1\|D)|(kpr)|(kdp)|(train st.+moving)|(\|lc)|(penalty))"</v>
      </c>
      <c r="AG159" s="244" t="str">
        <f t="shared" si="38"/>
        <v>EC</v>
      </c>
      <c r="AH159" s="236" t="str">
        <f t="shared" si="39"/>
        <v>"%USERPROFILE%\Documents\GitHub\eaglep3\Utilities\RefineRTDCRunTimes.py" --tripid 243-04 --locoid 4010 --swversion DE.1.0.9.0 --startMP 204:517 --initTime 2017-12-05T00:15:27 --startdatetime 2017-12-05T00:30:16 --delay 88 --endMP 204:233209 --enddatetime 2017-12-05T01:05:52 --enforcementcount 0 &gt;&gt;%USERPROFILE%\Documents\GitHub\eaglep3-reporting\EC\2017-12-04-refined-times.txt</v>
      </c>
      <c r="AI159" s="238" t="str">
        <f t="shared" si="40"/>
        <v>echo {"issue":{"subject":"","project_id":79,"tracker_id":40,"status_id":1,"priority_id":2,"assigned_to_id":338,"start_date":"2017-12-05","description":"","custom_fields":[{"id":1,"name":"Subdivision","value":"EC"},{"id":4,"name":"Milepost","value":"23.3209"},{"id":17,"name":"Train ID","value":"243-04"},{"id":16,"name":"Locomotive ID","value":"4010"},{"id":130,"name":"Impact","value":""},{"id":150,"name":"Time of Event (Mountain Time)","value":"01:05:52"},{"id":151,"name":"Denver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41"/>
        <v>start /low /b %USERPROFILE%\Documents\GitHub\eaglep3\Utilities\DownloadLogsFromS3.py --loco 4010 --day 2017-12-05</v>
      </c>
      <c r="AN159" s="241" t="str">
        <f t="shared" si="42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43"/>
        <v>https://d0f6bd738d7f1b3e5a7ca70fe4ff75f0.us-east-1.aws.found.io/app/kibana#/discover/Steve-Slow-Train-Analysis-(2080s-and-2083s)?_g=(refreshInterval:(display:Off,pause:!f,section:0,value:0),time:(from:'2017-12-04T23:15:27-0700',mode:absolute,to:'2017-12-05T02:05:52-0700'))&amp;_a=(columns:!('Message%20ID',Summary),filters:!(),index:'emp_*',interval:auto,query:(query_string:(analyze_wildcard:!t,query:'%22rtdc.l.rtdc.4010%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898</v>
      </c>
      <c r="B160" s="225">
        <v>4009</v>
      </c>
      <c r="C160" s="227" t="s">
        <v>192</v>
      </c>
      <c r="D160" s="227" t="s">
        <v>615</v>
      </c>
      <c r="E160" s="226">
        <v>43074.054305555554</v>
      </c>
      <c r="F160" s="226">
        <v>43074.060590277775</v>
      </c>
      <c r="G160" s="225">
        <v>77</v>
      </c>
      <c r="H160" s="227" t="s">
        <v>989</v>
      </c>
      <c r="I160" s="226">
        <v>43074.086435185185</v>
      </c>
      <c r="J160" s="225">
        <v>0</v>
      </c>
      <c r="K160" s="237" t="str">
        <f>IF(ISEVEN(B160),(B160-1)&amp;"/"&amp;B160,B160&amp;"/"&amp;(B160+1))</f>
        <v>4009/4010</v>
      </c>
      <c r="L160" s="245" t="str">
        <f>VLOOKUP(A160,'Trips&amp;Operators'!$C$1:$G$99911,5,FALSE)</f>
        <v>WILLIAMS DONTE</v>
      </c>
      <c r="M160" s="224">
        <f>I160-F160</f>
        <v>2.584490740991896E-2</v>
      </c>
      <c r="N160" s="225">
        <f>24*60*SUM($M160:$M160)</f>
        <v>37.216666670283303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-05T00:18:12-0700',mode:absolute,to:'2017-12-05T03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23.288799999999998</v>
      </c>
      <c r="Z160" s="247">
        <f>RIGHT(H160,LEN(H160)-4)/10000</f>
        <v>2.18E-2</v>
      </c>
      <c r="AA160" s="247">
        <f>ABS(Z160-Y160)</f>
        <v>23.266999999999999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244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 &amp; 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/stypes="app*4009*20171205*" /stext=" 09:.+((SYSTEM_STATE.+slice.+state.+changed )|(ment ac)|(multiple cpu faults)|(system.+state.+changed )|(\[timeout)|(PRM\|1\|D)|(kpr)|(kdp)|(train st.+moving)|(\|lc)|(penalty))"</v>
      </c>
      <c r="AG160" s="244" t="str">
        <f>DetSubdiv(A160)</f>
        <v>EC</v>
      </c>
      <c r="AH160" s="236" t="str">
        <f t="shared" ref="AH160:AH210" si="44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244-04 --locoid 4009 --swversion DE.1.0.9.0 --startMP 204:232888 --initTime 2017-12-05T01:18:12 --startdatetime 2017-12-05T01:27:15 --delay 77 --endMP 204:218 --enddatetime 2017-12-05T02:04:28 --enforcementcount 0 &gt;&gt;%USERPROFILE%\Documents\GitHub\eaglep3-reporting\EC\2017-12-04-refined-times.txt</v>
      </c>
      <c r="AI160" s="238" t="str">
        <f t="shared" ref="AI160:AI210" si="45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{"issue":{"subject":"","project_id":79,"tracker_id":40,"status_id":1,"priority_id":2,"assigned_to_id":338,"start_date":"2017-12-05","description":"","custom_fields":[{"id":1,"name":"Subdivision","value":"EC"},{"id":4,"name":"Milepost","value":"0.0218"},{"id":17,"name":"Train ID","value":"244-04"},{"id":16,"name":"Locomotive ID","value":"4009"},{"id":130,"name":"Impact","value":""},{"id":150,"name":"Time of Event (Mountain Time)","value":"02:04:28"},{"id":151,"name":"Denver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ref="AM160:AM210" si="46">"start /low /b "&amp;dls3logs&amp;" --loco "&amp;B160&amp;" --day "&amp;TEXT(F160,"YYYY-MM-DD")</f>
        <v>start /low /b %USERPROFILE%\Documents\GitHub\eaglep3\Utilities\DownloadLogsFromS3.py --loco 4009 --day 2017-12-05</v>
      </c>
      <c r="AN160" s="241" t="str">
        <f t="shared" ref="AN160:AN210" si="47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09:04:28"},{"id":29,"name":"Sharepoint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ref="AO160:AO210" si="48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-05T00:18:12-0700',mode:absolute,to:'2017-12-05T03:04:28-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9" t="s">
        <v>699</v>
      </c>
      <c r="B161" s="225">
        <v>4031</v>
      </c>
      <c r="C161" s="227" t="s">
        <v>192</v>
      </c>
      <c r="D161" s="227" t="s">
        <v>626</v>
      </c>
      <c r="E161" s="226">
        <v>43073.213402777779</v>
      </c>
      <c r="F161" s="226">
        <v>43073.214699074073</v>
      </c>
      <c r="G161" s="225">
        <v>63</v>
      </c>
      <c r="H161" s="227" t="s">
        <v>619</v>
      </c>
      <c r="I161" s="226">
        <v>43073.226423611108</v>
      </c>
      <c r="J161" s="225">
        <v>0</v>
      </c>
      <c r="K161" s="237" t="str">
        <f>IF(ISEVEN(B161),(B161-1)&amp;"/"&amp;B161,B161&amp;"/"&amp;(B161+1))</f>
        <v>4031/4032</v>
      </c>
      <c r="L161" s="245" t="str">
        <f>VLOOKUP(A161,'Trips&amp;Operators'!$C$1:$G$99911,5,FALSE)</f>
        <v>MACDONALD THOMAS</v>
      </c>
      <c r="M161" s="224">
        <f>I161-F161</f>
        <v>1.1724537034751847E-2</v>
      </c>
      <c r="N161" s="225">
        <f>24*60*SUM($M161:$M161)</f>
        <v>16.88333333004266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-04T04:07:18-0700',mode:absolute,to:'2017-12-04T06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556</v>
      </c>
      <c r="Y161" s="247">
        <f>RIGHT(D161,LEN(D161)-4)/10000</f>
        <v>5.8604000000000003</v>
      </c>
      <c r="Z161" s="247">
        <f>RIGHT(H161,LEN(H161)-4)/10000</f>
        <v>1.66E-2</v>
      </c>
      <c r="AA161" s="247">
        <f>ABS(Z161-Y161)</f>
        <v>5.8437999999999999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800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/stypes="app*4031*20171204*" /stext=" 12:.+((SYSTEM_STATE.+slice.+state.+changed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44"/>
        <v>"%USERPROFILE%\Documents\GitHub\eaglep3\Utilities\RefineRTDCRunTimes.py" --tripid 800-04 --locoid 4031 --swversion DE.1.0.9.0 --startMP 300:58604 --initTime 2017-12-04T05:07:18 --startdatetime 2017-12-04T05:09:10 --delay 63 --endMP 204:166 --enddatetime 2017-12-04T05:26:03 --enforcementcount 0 &gt;&gt;%USERPROFILE%\Documents\GitHub\eaglep3-reporting\EC\2017-12-04-refined-times.txt</v>
      </c>
      <c r="AI161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{"issue":{"subject":"","project_id":79,"tracker_id":40,"status_id":1,"priority_id":2,"assigned_to_id":338,"start_date":"2017-12-04","description":"","custom_fields":[{"id":1,"name":"Subdivision","value":"NW"},{"id":4,"name":"Milepost","value":"0.0166"},{"id":17,"name":"Train ID","value":"800-04"},{"id":16,"name":"Locomotive ID","value":"4031"},{"id":130,"name":"Impact","value":""},{"id":150,"name":"Time of Event (Mountain Time)","value":"05:26:03"},{"id":151,"name":"Denver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46"/>
        <v>start /low /b %USERPROFILE%\Documents\GitHub\eaglep3\Utilities\DownloadLogsFromS3.py --loco 4031 --day 2017-12-04</v>
      </c>
      <c r="AN161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48"/>
        <v>https://d0f6bd738d7f1b3e5a7ca70fe4ff75f0.us-east-1.aws.found.io/app/kibana#/discover/Steve-Slow-Train-Analysis-(2080s-and-2083s)?_g=(refreshInterval:(display:Off,pause:!f,section:0,value:0),time:(from:'2017-12-04T04:07:18-0700',mode:absolute,to:'2017-12-04T06:26:03-0700'))&amp;_a=(columns:!('Message%20ID',Summary),filters:!(),index:'emp_*',interval:auto,query:(query_string:(analyze_wildcard:!t,query:'%22rtdc.l.rtdc.4031%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704</v>
      </c>
      <c r="B162" s="225">
        <v>4032</v>
      </c>
      <c r="C162" s="227" t="s">
        <v>192</v>
      </c>
      <c r="D162" s="227" t="s">
        <v>463</v>
      </c>
      <c r="E162" s="226">
        <v>43073.233969907407</v>
      </c>
      <c r="F162" s="226">
        <v>43073.236215277779</v>
      </c>
      <c r="G162" s="225">
        <v>51</v>
      </c>
      <c r="H162" s="227" t="s">
        <v>1013</v>
      </c>
      <c r="I162" s="226">
        <v>43073.245983796296</v>
      </c>
      <c r="J162" s="225">
        <v>0</v>
      </c>
      <c r="K162" s="237" t="str">
        <f>IF(ISEVEN(B162),(B162-1)&amp;"/"&amp;B162,B162&amp;"/"&amp;(B162+1))</f>
        <v>4031/4032</v>
      </c>
      <c r="L162" s="245" t="str">
        <f>VLOOKUP(A162,'Trips&amp;Operators'!$C$1:$G$99911,5,FALSE)</f>
        <v>MACDONALD THOMAS</v>
      </c>
      <c r="M162" s="224">
        <f>I162-F162</f>
        <v>9.7685185173759237E-3</v>
      </c>
      <c r="N162" s="225">
        <f>24*60*SUM($M162:$M162)</f>
        <v>14.06666666502133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-04T04:36:55-0700',mode:absolute,to:'2017-12-04T06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4.6199999999999998E-2</v>
      </c>
      <c r="Z162" s="247">
        <f>RIGHT(H162,LEN(H162)-4)/10000</f>
        <v>5.8924000000000003</v>
      </c>
      <c r="AA162" s="247">
        <f>ABS(Z162-Y162)</f>
        <v>5.8462000000000005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801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/stypes="app*4032*20171204*" /stext=" 12:.+((SYSTEM_STATE.+slice.+state.+changed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44"/>
        <v>"%USERPROFILE%\Documents\GitHub\eaglep3\Utilities\RefineRTDCRunTimes.py" --tripid 801-04 --locoid 4032 --swversion DE.1.0.9.0 --startMP 204:462 --initTime 2017-12-04T05:36:55 --startdatetime 2017-12-04T05:40:09 --delay 51 --endMP 300:58924 --enddatetime 2017-12-04T05:54:13 --enforcementcount 0 &gt;&gt;%USERPROFILE%\Documents\GitHub\eaglep3-reporting\EC\2017-12-04-refined-times.txt</v>
      </c>
      <c r="AI162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{"issue":{"subject":"","project_id":79,"tracker_id":40,"status_id":1,"priority_id":2,"assigned_to_id":338,"start_date":"2017-12-04","description":"","custom_fields":[{"id":1,"name":"Subdivision","value":"NW"},{"id":4,"name":"Milepost","value":"5.8924"},{"id":17,"name":"Train ID","value":"801-04"},{"id":16,"name":"Locomotive ID","value":"4032"},{"id":130,"name":"Impact","value":""},{"id":150,"name":"Time of Event (Mountain Time)","value":"05:54:13"},{"id":151,"name":"Denver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46"/>
        <v>start /low /b %USERPROFILE%\Documents\GitHub\eaglep3\Utilities\DownloadLogsFromS3.py --loco 4032 --day 2017-12-04</v>
      </c>
      <c r="AN162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48"/>
        <v>https://d0f6bd738d7f1b3e5a7ca70fe4ff75f0.us-east-1.aws.found.io/app/kibana#/discover/Steve-Slow-Train-Analysis-(2080s-and-2083s)?_g=(refreshInterval:(display:Off,pause:!f,section:0,value:0),time:(from:'2017-12-04T04:36:55-0700',mode:absolute,to:'2017-12-04T06:54:13-0700'))&amp;_a=(columns:!('Message%20ID',Summary),filters:!(),index:'emp_*',interval:auto,query:(query_string:(analyze_wildcard:!t,query:'%22rtdc.l.rtdc.4032%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712</v>
      </c>
      <c r="B163" s="225">
        <v>4031</v>
      </c>
      <c r="C163" s="227" t="s">
        <v>192</v>
      </c>
      <c r="D163" s="227" t="s">
        <v>1014</v>
      </c>
      <c r="E163" s="226">
        <v>43073.247766203705</v>
      </c>
      <c r="F163" s="226">
        <v>43073.258333333331</v>
      </c>
      <c r="G163" s="225">
        <v>48</v>
      </c>
      <c r="H163" s="227" t="s">
        <v>1015</v>
      </c>
      <c r="I163" s="226">
        <v>43073.267754629633</v>
      </c>
      <c r="J163" s="225">
        <v>0</v>
      </c>
      <c r="K163" s="237" t="str">
        <f>IF(ISEVEN(B163),(B163-1)&amp;"/"&amp;B163,B163&amp;"/"&amp;(B163+1))</f>
        <v>4031/4032</v>
      </c>
      <c r="L163" s="245" t="str">
        <f>VLOOKUP(A163,'Trips&amp;Operators'!$C$1:$G$99911,5,FALSE)</f>
        <v>MACDONALD THOMAS</v>
      </c>
      <c r="M163" s="224">
        <f>I163-F163</f>
        <v>9.4212963012978435E-3</v>
      </c>
      <c r="N163" s="225">
        <f>24*60*SUM($M163:$M163)</f>
        <v>13.566666673868895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-04T04:56:47-0700',mode:absolute,to:'2017-12-04T07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5.8593999999999999</v>
      </c>
      <c r="Z163" s="247">
        <f>RIGHT(H163,LEN(H163)-4)/10000</f>
        <v>1.4E-2</v>
      </c>
      <c r="AA163" s="247">
        <f>ABS(Z163-Y163)</f>
        <v>5.8453999999999997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802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/stypes="app*4031*20171204*"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44"/>
        <v>"%USERPROFILE%\Documents\GitHub\eaglep3\Utilities\RefineRTDCRunTimes.py" --tripid 802-04 --locoid 4031 --swversion DE.1.0.9.0 --startMP 300:58594 --initTime 2017-12-04T05:56:47 --startdatetime 2017-12-04T06:12:00 --delay 48 --endMP 204:140 --enddatetime 2017-12-04T06:25:34 --enforcementcount 0 &gt;&gt;%USERPROFILE%\Documents\GitHub\eaglep3-reporting\EC\2017-12-04-refined-times.txt</v>
      </c>
      <c r="AI163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{"issue":{"subject":"","project_id":79,"tracker_id":40,"status_id":1,"priority_id":2,"assigned_to_id":338,"start_date":"2017-12-04","description":"","custom_fields":[{"id":1,"name":"Subdivision","value":"NW"},{"id":4,"name":"Milepost","value":"0.014"},{"id":17,"name":"Train ID","value":"802-04"},{"id":16,"name":"Locomotive ID","value":"4031"},{"id":130,"name":"Impact","value":""},{"id":150,"name":"Time of Event (Mountain Time)","value":"06:25:34"},{"id":151,"name":"Denver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46"/>
        <v>start /low /b %USERPROFILE%\Documents\GitHub\eaglep3\Utilities\DownloadLogsFromS3.py --loco 4031 --day 2017-12-04</v>
      </c>
      <c r="AN163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48"/>
        <v>https://d0f6bd738d7f1b3e5a7ca70fe4ff75f0.us-east-1.aws.found.io/app/kibana#/discover/Steve-Slow-Train-Analysis-(2080s-and-2083s)?_g=(refreshInterval:(display:Off,pause:!f,section:0,value:0),time:(from:'2017-12-04T04:56:47-0700',mode:absolute,to:'2017-12-04T07:25:34-0700'))&amp;_a=(columns:!('Message%20ID',Summary),filters:!(),index:'emp_*',interval:auto,query:(query_string:(analyze_wildcard:!t,query:'%22rtdc.l.rtdc.4031%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9" t="s">
        <v>709</v>
      </c>
      <c r="B164" s="225">
        <v>4056</v>
      </c>
      <c r="C164" s="227" t="s">
        <v>192</v>
      </c>
      <c r="D164" s="227" t="s">
        <v>1016</v>
      </c>
      <c r="E164" s="226">
        <v>43073.243761574071</v>
      </c>
      <c r="F164" s="226">
        <v>43073.256412037037</v>
      </c>
      <c r="G164" s="225">
        <v>62</v>
      </c>
      <c r="H164" s="227" t="s">
        <v>1017</v>
      </c>
      <c r="I164" s="226">
        <v>43073.265868055554</v>
      </c>
      <c r="J164" s="225">
        <v>0</v>
      </c>
      <c r="K164" s="237" t="str">
        <f>IF(ISEVEN(B164),(B164-1)&amp;"/"&amp;B164,B164&amp;"/"&amp;(B164+1))</f>
        <v>4055/4056</v>
      </c>
      <c r="L164" s="245" t="str">
        <f>VLOOKUP(A164,'Trips&amp;Operators'!$C$1:$G$99911,5,FALSE)</f>
        <v>YANAI IAN</v>
      </c>
      <c r="M164" s="224">
        <f>I164-F164</f>
        <v>9.4560185170848854E-3</v>
      </c>
      <c r="N164" s="225">
        <f>24*60*SUM($M164:$M164)</f>
        <v>13.616666664602235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-04T04:51:01-0700',mode:absolute,to:'2017-12-04T07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4.24E-2</v>
      </c>
      <c r="Z164" s="247">
        <f>RIGHT(H164,LEN(H164)-4)/10000</f>
        <v>5.8914</v>
      </c>
      <c r="AA164" s="247">
        <f>ABS(Z164-Y164)</f>
        <v>5.8490000000000002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803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/stypes="app*4056*20171204*"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44"/>
        <v>"%USERPROFILE%\Documents\GitHub\eaglep3\Utilities\RefineRTDCRunTimes.py" --tripid 803-04 --locoid 4056 --swversion DE.1.0.9.0 --startMP 204:424 --initTime 2017-12-04T05:51:01 --startdatetime 2017-12-04T06:09:14 --delay 62 --endMP 300:58914 --enddatetime 2017-12-04T06:22:51 --enforcementcount 0 &gt;&gt;%USERPROFILE%\Documents\GitHub\eaglep3-reporting\EC\2017-12-04-refined-times.txt</v>
      </c>
      <c r="AI164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{"issue":{"subject":"","project_id":79,"tracker_id":40,"status_id":1,"priority_id":2,"assigned_to_id":338,"start_date":"2017-12-04","description":"","custom_fields":[{"id":1,"name":"Subdivision","value":"NW"},{"id":4,"name":"Milepost","value":"5.8914"},{"id":17,"name":"Train ID","value":"803-04"},{"id":16,"name":"Locomotive ID","value":"4056"},{"id":130,"name":"Impact","value":""},{"id":150,"name":"Time of Event (Mountain Time)","value":"06:22:51"},{"id":151,"name":"Denver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46"/>
        <v>start /low /b %USERPROFILE%\Documents\GitHub\eaglep3\Utilities\DownloadLogsFromS3.py --loco 4056 --day 2017-12-04</v>
      </c>
      <c r="AN164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48"/>
        <v>https://d0f6bd738d7f1b3e5a7ca70fe4ff75f0.us-east-1.aws.found.io/app/kibana#/discover/Steve-Slow-Train-Analysis-(2080s-and-2083s)?_g=(refreshInterval:(display:Off,pause:!f,section:0,value:0),time:(from:'2017-12-04T04:51:01-0700',mode:absolute,to:'2017-12-04T07:22:51-0700'))&amp;_a=(columns:!('Message%20ID',Summary),filters:!(),index:'emp_*',interval:auto,query:(query_string:(analyze_wildcard:!t,query:'%22rtdc.l.rtdc.4056%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25">
      <c r="A165" s="229" t="s">
        <v>716</v>
      </c>
      <c r="B165" s="225">
        <v>4055</v>
      </c>
      <c r="C165" s="227" t="s">
        <v>192</v>
      </c>
      <c r="D165" s="227" t="s">
        <v>562</v>
      </c>
      <c r="E165" s="226">
        <v>43073.266689814816</v>
      </c>
      <c r="F165" s="226">
        <v>43073.279166666667</v>
      </c>
      <c r="G165" s="225">
        <v>70</v>
      </c>
      <c r="H165" s="227" t="s">
        <v>1018</v>
      </c>
      <c r="I165" s="226">
        <v>43073.288159722222</v>
      </c>
      <c r="J165" s="225">
        <v>0</v>
      </c>
      <c r="K165" s="237" t="str">
        <f>IF(ISEVEN(B165),(B165-1)&amp;"/"&amp;B165,B165&amp;"/"&amp;(B165+1))</f>
        <v>4055/4056</v>
      </c>
      <c r="L165" s="245" t="str">
        <f>VLOOKUP(A165,'Trips&amp;Operators'!$C$1:$G$99911,5,FALSE)</f>
        <v>YANAI IAN</v>
      </c>
      <c r="M165" s="224">
        <f>I165-F165</f>
        <v>8.9930555550381541E-3</v>
      </c>
      <c r="N165" s="225">
        <f>24*60*SUM($M165:$M165)</f>
        <v>12.949999999254942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-04T05:24:02-0700',mode:absolute,to:'2017-12-04T07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5.8596000000000004</v>
      </c>
      <c r="Z165" s="247">
        <f>RIGHT(H165,LEN(H165)-4)/10000</f>
        <v>1.4200000000000001E-2</v>
      </c>
      <c r="AA165" s="247">
        <f>ABS(Z165-Y165)</f>
        <v>5.8454000000000006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804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/stypes="app*4055*20171204*" /stext=" 13:.+((SYSTEM_STATE.+slice.+state.+changed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44"/>
        <v>"%USERPROFILE%\Documents\GitHub\eaglep3\Utilities\RefineRTDCRunTimes.py" --tripid 804-04 --locoid 4055 --swversion DE.1.0.9.0 --startMP 300:58596 --initTime 2017-12-04T06:24:02 --startdatetime 2017-12-04T06:42:00 --delay 70 --endMP 204:142 --enddatetime 2017-12-04T06:54:57 --enforcementcount 0 &gt;&gt;%USERPROFILE%\Documents\GitHub\eaglep3-reporting\EC\2017-12-04-refined-times.txt</v>
      </c>
      <c r="AI165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{"issue":{"subject":"","project_id":79,"tracker_id":40,"status_id":1,"priority_id":2,"assigned_to_id":338,"start_date":"2017-12-04","description":"","custom_fields":[{"id":1,"name":"Subdivision","value":"NW"},{"id":4,"name":"Milepost","value":"0.0142"},{"id":17,"name":"Train ID","value":"804-04"},{"id":16,"name":"Locomotive ID","value":"4055"},{"id":130,"name":"Impact","value":""},{"id":150,"name":"Time of Event (Mountain Time)","value":"06:54:57"},{"id":151,"name":"Denver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46"/>
        <v>start /low /b %USERPROFILE%\Documents\GitHub\eaglep3\Utilities\DownloadLogsFromS3.py --loco 4055 --day 2017-12-04</v>
      </c>
      <c r="AN165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48"/>
        <v>https://d0f6bd738d7f1b3e5a7ca70fe4ff75f0.us-east-1.aws.found.io/app/kibana#/discover/Steve-Slow-Train-Analysis-(2080s-and-2083s)?_g=(refreshInterval:(display:Off,pause:!f,section:0,value:0),time:(from:'2017-12-04T05:24:02-0700',mode:absolute,to:'2017-12-04T07:54:57-0700'))&amp;_a=(columns:!('Message%20ID',Summary),filters:!(),index:'emp_*',interval:auto,query:(query_string:(analyze_wildcard:!t,query:'%22rtdc.l.rtdc.4055%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719</v>
      </c>
      <c r="B166" s="225">
        <v>4032</v>
      </c>
      <c r="C166" s="227" t="s">
        <v>192</v>
      </c>
      <c r="D166" s="227" t="s">
        <v>543</v>
      </c>
      <c r="E166" s="226">
        <v>43073.275949074072</v>
      </c>
      <c r="F166" s="226">
        <v>43073.277407407404</v>
      </c>
      <c r="G166" s="225">
        <v>51</v>
      </c>
      <c r="H166" s="227" t="s">
        <v>1019</v>
      </c>
      <c r="I166" s="226">
        <v>43073.287210648145</v>
      </c>
      <c r="J166" s="225">
        <v>0</v>
      </c>
      <c r="K166" s="237" t="str">
        <f>IF(ISEVEN(B166),(B166-1)&amp;"/"&amp;B166,B166&amp;"/"&amp;(B166+1))</f>
        <v>4031/4032</v>
      </c>
      <c r="L166" s="245" t="str">
        <f>VLOOKUP(A166,'Trips&amp;Operators'!$C$1:$G$99911,5,FALSE)</f>
        <v>MACDONALD THOMAS</v>
      </c>
      <c r="M166" s="224">
        <f>I166-F166</f>
        <v>9.8032407404389232E-3</v>
      </c>
      <c r="N166" s="225">
        <f>24*60*SUM($M166:$M166)</f>
        <v>14.116666666232049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-04T05:37:22-0700',mode:absolute,to:'2017-12-04T07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4.4400000000000002E-2</v>
      </c>
      <c r="Z166" s="247">
        <f>RIGHT(H166,LEN(H166)-4)/10000</f>
        <v>5.8901000000000003</v>
      </c>
      <c r="AA166" s="247">
        <f>ABS(Z166-Y166)</f>
        <v>5.8456999999999999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805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/stypes="app*4032*20171204*" /stext=" 13:.+((SYSTEM_STATE.+slice.+state.+changed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44"/>
        <v>"%USERPROFILE%\Documents\GitHub\eaglep3\Utilities\RefineRTDCRunTimes.py" --tripid 805-04 --locoid 4032 --swversion DE.1.0.9.0 --startMP 204:444 --initTime 2017-12-04T06:37:22 --startdatetime 2017-12-04T06:39:28 --delay 51 --endMP 300:58901 --enddatetime 2017-12-04T06:53:35 --enforcementcount 0 &gt;&gt;%USERPROFILE%\Documents\GitHub\eaglep3-reporting\EC\2017-12-04-refined-times.txt</v>
      </c>
      <c r="AI166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{"issue":{"subject":"","project_id":79,"tracker_id":40,"status_id":1,"priority_id":2,"assigned_to_id":338,"start_date":"2017-12-04","description":"","custom_fields":[{"id":1,"name":"Subdivision","value":"NW"},{"id":4,"name":"Milepost","value":"5.8901"},{"id":17,"name":"Train ID","value":"805-04"},{"id":16,"name":"Locomotive ID","value":"4032"},{"id":130,"name":"Impact","value":""},{"id":150,"name":"Time of Event (Mountain Time)","value":"06:53:35"},{"id":151,"name":"Denver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46"/>
        <v>start /low /b %USERPROFILE%\Documents\GitHub\eaglep3\Utilities\DownloadLogsFromS3.py --loco 4032 --day 2017-12-04</v>
      </c>
      <c r="AN166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48"/>
        <v>https://d0f6bd738d7f1b3e5a7ca70fe4ff75f0.us-east-1.aws.found.io/app/kibana#/discover/Steve-Slow-Train-Analysis-(2080s-and-2083s)?_g=(refreshInterval:(display:Off,pause:!f,section:0,value:0),time:(from:'2017-12-04T05:37:22-0700',mode:absolute,to:'2017-12-04T07:53:35-0700'))&amp;_a=(columns:!('Message%20ID',Summary),filters:!(),index:'emp_*',interval:auto,query:(query_string:(analyze_wildcard:!t,query:'%22rtdc.l.rtdc.4032%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660</v>
      </c>
      <c r="B167" s="225">
        <v>4031</v>
      </c>
      <c r="C167" s="227" t="s">
        <v>192</v>
      </c>
      <c r="D167" s="227" t="s">
        <v>1020</v>
      </c>
      <c r="E167" s="226">
        <v>43073.287812499999</v>
      </c>
      <c r="F167" s="226">
        <v>43073.3</v>
      </c>
      <c r="G167" s="225">
        <v>55</v>
      </c>
      <c r="H167" s="227" t="s">
        <v>1021</v>
      </c>
      <c r="I167" s="226">
        <v>43073.30908564815</v>
      </c>
      <c r="J167" s="225">
        <v>0</v>
      </c>
      <c r="K167" s="237" t="str">
        <f>IF(ISEVEN(B167),(B167-1)&amp;"/"&amp;B167,B167&amp;"/"&amp;(B167+1))</f>
        <v>4031/4032</v>
      </c>
      <c r="L167" s="245" t="str">
        <f>VLOOKUP(A167,'Trips&amp;Operators'!$C$1:$G$99911,5,FALSE)</f>
        <v>MACDONALD THOMAS</v>
      </c>
      <c r="M167" s="224">
        <f>I167-F167</f>
        <v>9.0856481474475004E-3</v>
      </c>
      <c r="N167" s="225">
        <f>24*60*SUM($M167:$M167)</f>
        <v>13.083333332324401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-04T05:54:27-0700',mode:absolute,to:'2017-12-04T08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247" t="str">
        <f>IF(AA167&lt;VLOOKUP(AG167,Variables!$AC$3:$AD$8,2,FALSE),"Y","N")</f>
        <v>Y</v>
      </c>
      <c r="X167" s="247">
        <f>VALUE(LEFT(AD167,4))-VALUE(LEFT(AD166,4))</f>
        <v>1</v>
      </c>
      <c r="Y167" s="247">
        <f>RIGHT(D167,LEN(D167)-4)/10000</f>
        <v>5.8581000000000003</v>
      </c>
      <c r="Z167" s="247">
        <f>RIGHT(H167,LEN(H167)-4)/10000</f>
        <v>0.44819999999999999</v>
      </c>
      <c r="AA167" s="247">
        <f>ABS(Z167-Y167)</f>
        <v>5.4099000000000004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806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/stypes="app*4031*20171204*"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44"/>
        <v>"%USERPROFILE%\Documents\GitHub\eaglep3\Utilities\RefineRTDCRunTimes.py" --tripid 806-04 --locoid 4031 --swversion DE.1.0.9.0 --startMP 300:58581 --initTime 2017-12-04T06:54:27 --startdatetime 2017-12-04T07:12:00 --delay 55 --endMP 204:4482 --enddatetime 2017-12-04T07:25:05 --enforcementcount 0 &gt;&gt;%USERPROFILE%\Documents\GitHub\eaglep3-reporting\EC\2017-12-04-refined-times.txt</v>
      </c>
      <c r="AI167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{"issue":{"subject":"","project_id":79,"tracker_id":40,"status_id":1,"priority_id":2,"assigned_to_id":338,"start_date":"2017-12-04","description":"","custom_fields":[{"id":1,"name":"Subdivision","value":"NW"},{"id":4,"name":"Milepost","value":"0.4482"},{"id":17,"name":"Train ID","value":"806-04"},{"id":16,"name":"Locomotive ID","value":"4031"},{"id":130,"name":"Impact","value":""},{"id":150,"name":"Time of Event (Mountain Time)","value":"07:25:05"},{"id":151,"name":"Denver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46"/>
        <v>start /low /b %USERPROFILE%\Documents\GitHub\eaglep3\Utilities\DownloadLogsFromS3.py --loco 4031 --day 2017-12-04</v>
      </c>
      <c r="AN167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48"/>
        <v>https://d0f6bd738d7f1b3e5a7ca70fe4ff75f0.us-east-1.aws.found.io/app/kibana#/discover/Steve-Slow-Train-Analysis-(2080s-and-2083s)?_g=(refreshInterval:(display:Off,pause:!f,section:0,value:0),time:(from:'2017-12-04T05:54:27-0700',mode:absolute,to:'2017-12-04T08:25:05-0700'))&amp;_a=(columns:!('Message%20ID',Summary),filters:!(),index:'emp_*',interval:auto,query:(query_string:(analyze_wildcard:!t,query:'%22rtdc.l.rtdc.4031%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29" t="s">
        <v>725</v>
      </c>
      <c r="B168" s="225">
        <v>4056</v>
      </c>
      <c r="C168" s="227" t="s">
        <v>192</v>
      </c>
      <c r="D168" s="227" t="s">
        <v>1022</v>
      </c>
      <c r="E168" s="226">
        <v>43073.289525462962</v>
      </c>
      <c r="F168" s="226">
        <v>43073.298067129632</v>
      </c>
      <c r="G168" s="225">
        <v>45</v>
      </c>
      <c r="H168" s="227" t="s">
        <v>627</v>
      </c>
      <c r="I168" s="226">
        <v>43073.308831018519</v>
      </c>
      <c r="J168" s="225">
        <v>0</v>
      </c>
      <c r="K168" s="237" t="str">
        <f>IF(ISEVEN(B168),(B168-1)&amp;"/"&amp;B168,B168&amp;"/"&amp;(B168+1))</f>
        <v>4055/4056</v>
      </c>
      <c r="L168" s="245" t="str">
        <f>VLOOKUP(A168,'Trips&amp;Operators'!$C$1:$G$99911,5,FALSE)</f>
        <v>YANAI IAN</v>
      </c>
      <c r="M168" s="224">
        <f>I168-F168</f>
        <v>1.0763888887595385E-2</v>
      </c>
      <c r="N168" s="225">
        <f>24*60*SUM($M168:$M168)</f>
        <v>15.499999998137355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-04T05:56:55-0700',mode:absolute,to:'2017-12-04T08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4.4999999999999998E-2</v>
      </c>
      <c r="Z168" s="247">
        <f>RIGHT(H168,LEN(H168)-4)/10000</f>
        <v>5.8921999999999999</v>
      </c>
      <c r="AA168" s="247">
        <f>ABS(Z168-Y168)</f>
        <v>5.8472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807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/stypes="app*4056*20171204*" /stext=" 14:.+((SYSTEM_STATE.+slice.+state.+changed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44"/>
        <v>"%USERPROFILE%\Documents\GitHub\eaglep3\Utilities\RefineRTDCRunTimes.py" --tripid 807-04 --locoid 4056 --swversion DE.1.0.9.0 --startMP 204:450 --initTime 2017-12-04T06:56:55 --startdatetime 2017-12-04T07:09:13 --delay 45 --endMP 300:58922 --enddatetime 2017-12-04T07:24:43 --enforcementcount 0 &gt;&gt;%USERPROFILE%\Documents\GitHub\eaglep3-reporting\EC\2017-12-04-refined-times.txt</v>
      </c>
      <c r="AI168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{"issue":{"subject":"","project_id":79,"tracker_id":40,"status_id":1,"priority_id":2,"assigned_to_id":338,"start_date":"2017-12-04","description":"","custom_fields":[{"id":1,"name":"Subdivision","value":"NW"},{"id":4,"name":"Milepost","value":"5.8922"},{"id":17,"name":"Train ID","value":"807-04"},{"id":16,"name":"Locomotive ID","value":"4056"},{"id":130,"name":"Impact","value":""},{"id":150,"name":"Time of Event (Mountain Time)","value":"07:24:43"},{"id":151,"name":"Denver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46"/>
        <v>start /low /b %USERPROFILE%\Documents\GitHub\eaglep3\Utilities\DownloadLogsFromS3.py --loco 4056 --day 2017-12-04</v>
      </c>
      <c r="AN168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48"/>
        <v>https://d0f6bd738d7f1b3e5a7ca70fe4ff75f0.us-east-1.aws.found.io/app/kibana#/discover/Steve-Slow-Train-Analysis-(2080s-and-2083s)?_g=(refreshInterval:(display:Off,pause:!f,section:0,value:0),time:(from:'2017-12-04T05:56:55-0700',mode:absolute,to:'2017-12-04T08:24:43-0700'))&amp;_a=(columns:!('Message%20ID',Summary),filters:!(),index:'emp_*',interval:auto,query:(query_string:(analyze_wildcard:!t,query:'%22rtdc.l.rtdc.4056%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729</v>
      </c>
      <c r="B169" s="225">
        <v>4055</v>
      </c>
      <c r="C169" s="227" t="s">
        <v>192</v>
      </c>
      <c r="D169" s="227" t="s">
        <v>1023</v>
      </c>
      <c r="E169" s="226">
        <v>43073.309583333335</v>
      </c>
      <c r="F169" s="226">
        <v>43073.320833333331</v>
      </c>
      <c r="G169" s="225">
        <v>48</v>
      </c>
      <c r="H169" s="227" t="s">
        <v>1015</v>
      </c>
      <c r="I169" s="226">
        <v>43073.329745370371</v>
      </c>
      <c r="J169" s="225">
        <v>0</v>
      </c>
      <c r="K169" s="237" t="str">
        <f>IF(ISEVEN(B169),(B169-1)&amp;"/"&amp;B169,B169&amp;"/"&amp;(B169+1))</f>
        <v>4055/4056</v>
      </c>
      <c r="L169" s="245" t="str">
        <f>VLOOKUP(A169,'Trips&amp;Operators'!$C$1:$G$99911,5,FALSE)</f>
        <v>YANAI IAN</v>
      </c>
      <c r="M169" s="224">
        <f>I169-F169</f>
        <v>8.9120370394084603E-3</v>
      </c>
      <c r="N169" s="225">
        <f>24*60*SUM($M169:$M169)</f>
        <v>12.833333336748183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-04T06:25:48-0700',mode:absolute,to:'2017-12-04T08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5.8609</v>
      </c>
      <c r="Z169" s="247">
        <f>RIGHT(H169,LEN(H169)-4)/10000</f>
        <v>1.4E-2</v>
      </c>
      <c r="AA169" s="247">
        <f>ABS(Z169-Y169)</f>
        <v>5.8468999999999998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808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/stypes="app*4055*20171204*" /stext=" 14:.+((SYSTEM_STATE.+slice.+state.+changed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44"/>
        <v>"%USERPROFILE%\Documents\GitHub\eaglep3\Utilities\RefineRTDCRunTimes.py" --tripid 808-04 --locoid 4055 --swversion DE.1.0.9.0 --startMP 300:58609 --initTime 2017-12-04T07:25:48 --startdatetime 2017-12-04T07:42:00 --delay 48 --endMP 204:140 --enddatetime 2017-12-04T07:54:50 --enforcementcount 0 &gt;&gt;%USERPROFILE%\Documents\GitHub\eaglep3-reporting\EC\2017-12-04-refined-times.txt</v>
      </c>
      <c r="AI169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{"issue":{"subject":"","project_id":79,"tracker_id":40,"status_id":1,"priority_id":2,"assigned_to_id":338,"start_date":"2017-12-04","description":"","custom_fields":[{"id":1,"name":"Subdivision","value":"NW"},{"id":4,"name":"Milepost","value":"0.014"},{"id":17,"name":"Train ID","value":"808-04"},{"id":16,"name":"Locomotive ID","value":"4055"},{"id":130,"name":"Impact","value":""},{"id":150,"name":"Time of Event (Mountain Time)","value":"07:54:50"},{"id":151,"name":"Denver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46"/>
        <v>start /low /b %USERPROFILE%\Documents\GitHub\eaglep3\Utilities\DownloadLogsFromS3.py --loco 4055 --day 2017-12-04</v>
      </c>
      <c r="AN169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48"/>
        <v>https://d0f6bd738d7f1b3e5a7ca70fe4ff75f0.us-east-1.aws.found.io/app/kibana#/discover/Steve-Slow-Train-Analysis-(2080s-and-2083s)?_g=(refreshInterval:(display:Off,pause:!f,section:0,value:0),time:(from:'2017-12-04T06:25:48-0700',mode:absolute,to:'2017-12-04T08:54:50-0700'))&amp;_a=(columns:!('Message%20ID',Summary),filters:!(),index:'emp_*',interval:auto,query:(query_string:(analyze_wildcard:!t,query:'%22rtdc.l.rtdc.4055%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731</v>
      </c>
      <c r="B170" s="225">
        <v>4032</v>
      </c>
      <c r="C170" s="227" t="s">
        <v>192</v>
      </c>
      <c r="D170" s="227" t="s">
        <v>449</v>
      </c>
      <c r="E170" s="226">
        <v>43073.313113425924</v>
      </c>
      <c r="F170" s="226">
        <v>43073.319016203706</v>
      </c>
      <c r="G170" s="225">
        <v>443</v>
      </c>
      <c r="H170" s="227" t="s">
        <v>621</v>
      </c>
      <c r="I170" s="226">
        <v>43073.32949074074</v>
      </c>
      <c r="J170" s="225">
        <v>0</v>
      </c>
      <c r="K170" s="237" t="str">
        <f>IF(ISEVEN(B170),(B170-1)&amp;"/"&amp;B170,B170&amp;"/"&amp;(B170+1))</f>
        <v>4031/4032</v>
      </c>
      <c r="L170" s="245" t="str">
        <f>VLOOKUP(A170,'Trips&amp;Operators'!$C$1:$G$99911,5,FALSE)</f>
        <v>MACDONALD THOMAS</v>
      </c>
      <c r="M170" s="224">
        <f>I170-F170</f>
        <v>1.0474537033587694E-2</v>
      </c>
      <c r="N170" s="225">
        <f>24*60*SUM($M170:$M170)</f>
        <v>15.08333332836628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-04T06:30:53-0700',mode:absolute,to:'2017-12-04T08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4.4600000000000001E-2</v>
      </c>
      <c r="Z170" s="247">
        <f>RIGHT(H170,LEN(H170)-4)/10000</f>
        <v>5.8917999999999999</v>
      </c>
      <c r="AA170" s="247">
        <f>ABS(Z170-Y170)</f>
        <v>5.8472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809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/stypes="app*4032*20171204*" /stext=" 14:.+((SYSTEM_STATE.+slice.+state.+changed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44"/>
        <v>"%USERPROFILE%\Documents\GitHub\eaglep3\Utilities\RefineRTDCRunTimes.py" --tripid 809-04 --locoid 4032 --swversion DE.1.0.9.0 --startMP 204:446 --initTime 2017-12-04T07:30:53 --startdatetime 2017-12-04T07:39:23 --delay 443 --endMP 300:58918 --enddatetime 2017-12-04T07:54:28 --enforcementcount 0 &gt;&gt;%USERPROFILE%\Documents\GitHub\eaglep3-reporting\EC\2017-12-04-refined-times.txt</v>
      </c>
      <c r="AI170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{"issue":{"subject":"","project_id":79,"tracker_id":40,"status_id":1,"priority_id":2,"assigned_to_id":338,"start_date":"2017-12-04","description":"","custom_fields":[{"id":1,"name":"Subdivision","value":"NW"},{"id":4,"name":"Milepost","value":"5.8918"},{"id":17,"name":"Train ID","value":"809-04"},{"id":16,"name":"Locomotive ID","value":"4032"},{"id":130,"name":"Impact","value":""},{"id":150,"name":"Time of Event (Mountain Time)","value":"07:54:28"},{"id":151,"name":"Denver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46"/>
        <v>start /low /b %USERPROFILE%\Documents\GitHub\eaglep3\Utilities\DownloadLogsFromS3.py --loco 4032 --day 2017-12-04</v>
      </c>
      <c r="AN170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14:54:28"},{"id":29,"name":"Sharepoint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48"/>
        <v>https://d0f6bd738d7f1b3e5a7ca70fe4ff75f0.us-east-1.aws.found.io/app/kibana#/discover/Steve-Slow-Train-Analysis-(2080s-and-2083s)?_g=(refreshInterval:(display:Off,pause:!f,section:0,value:0),time:(from:'2017-12-04T06:30:53-0700',mode:absolute,to:'2017-12-04T08:54:28-0700'))&amp;_a=(columns:!('Message%20ID',Summary),filters:!(),index:'emp_*',interval:auto,query:(query_string:(analyze_wildcard:!t,query:'%22rtdc.l.rtdc.4032%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662</v>
      </c>
      <c r="B171" s="225">
        <v>4031</v>
      </c>
      <c r="C171" s="227" t="s">
        <v>192</v>
      </c>
      <c r="D171" s="227" t="s">
        <v>562</v>
      </c>
      <c r="E171" s="226">
        <v>43073.330277777779</v>
      </c>
      <c r="F171" s="226">
        <v>43073.341666666667</v>
      </c>
      <c r="G171" s="225">
        <v>49</v>
      </c>
      <c r="H171" s="227" t="s">
        <v>1024</v>
      </c>
      <c r="I171" s="226">
        <v>43073.350057870368</v>
      </c>
      <c r="J171" s="225">
        <v>1</v>
      </c>
      <c r="K171" s="237" t="str">
        <f>IF(ISEVEN(B171),(B171-1)&amp;"/"&amp;B171,B171&amp;"/"&amp;(B171+1))</f>
        <v>4031/4032</v>
      </c>
      <c r="L171" s="245" t="str">
        <f>VLOOKUP(A171,'Trips&amp;Operators'!$C$1:$G$99911,5,FALSE)</f>
        <v>MACDONALD THOMAS</v>
      </c>
      <c r="M171" s="224">
        <f>I171-F171</f>
        <v>8.3912037007394247E-3</v>
      </c>
      <c r="N171" s="225">
        <f>24*60*SUM($M171:$M171)</f>
        <v>12.083333329064772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-04T06:55:36-0700',mode:absolute,to:'2017-12-04T09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47" t="str">
        <f>IF(AA171&lt;VLOOKUP(AG171,Variables!$AC$3:$AD$8,2,FALSE),"Y","N")</f>
        <v>Y</v>
      </c>
      <c r="X171" s="247">
        <f>VALUE(LEFT(AD171,4))-VALUE(LEFT(AD170,4))</f>
        <v>1</v>
      </c>
      <c r="Y171" s="247">
        <f>RIGHT(D171,LEN(D171)-4)/10000</f>
        <v>5.8596000000000004</v>
      </c>
      <c r="Z171" s="247">
        <f>RIGHT(H171,LEN(H171)-4)/10000</f>
        <v>0.45579999999999998</v>
      </c>
      <c r="AA171" s="247">
        <f>ABS(Z171-Y171)</f>
        <v>5.4038000000000004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810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/stypes="app*4031*20171204*" /stext=" 15:.+((SYSTEM_STATE.+slice.+state.+changed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44"/>
        <v>"%USERPROFILE%\Documents\GitHub\eaglep3\Utilities\RefineRTDCRunTimes.py" --tripid 810-04 --locoid 4031 --swversion DE.1.0.9.0 --startMP 300:58596 --initTime 2017-12-04T07:55:36 --startdatetime 2017-12-04T08:12:00 --delay 49 --endMP 204:4558 --enddatetime 2017-12-04T08:24:05 --enforcementcount 1 &gt;&gt;%USERPROFILE%\Documents\GitHub\eaglep3-reporting\EC\2017-12-04-refined-times.txt</v>
      </c>
      <c r="AI171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{"issue":{"subject":"","project_id":79,"tracker_id":40,"status_id":1,"priority_id":2,"assigned_to_id":338,"start_date":"2017-12-04","description":"","custom_fields":[{"id":1,"name":"Subdivision","value":"NW"},{"id":4,"name":"Milepost","value":"0.4558"},{"id":17,"name":"Train ID","value":"810-04"},{"id":16,"name":"Locomotive ID","value":"4031"},{"id":130,"name":"Impact","value":""},{"id":150,"name":"Time of Event (Mountain Time)","value":"08:24:05"},{"id":151,"name":"Denver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46"/>
        <v>start /low /b %USERPROFILE%\Documents\GitHub\eaglep3\Utilities\DownloadLogsFromS3.py --loco 4031 --day 2017-12-04</v>
      </c>
      <c r="AN171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48"/>
        <v>https://d0f6bd738d7f1b3e5a7ca70fe4ff75f0.us-east-1.aws.found.io/app/kibana#/discover/Steve-Slow-Train-Analysis-(2080s-and-2083s)?_g=(refreshInterval:(display:Off,pause:!f,section:0,value:0),time:(from:'2017-12-04T06:55:36-0700',mode:absolute,to:'2017-12-04T09:24:05-0700'))&amp;_a=(columns:!('Message%20ID',Summary),filters:!(),index:'emp_*',interval:auto,query:(query_string:(analyze_wildcard:!t,query:'%22rtdc.l.rtdc.4031%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9" t="s">
        <v>735</v>
      </c>
      <c r="B172" s="225">
        <v>4056</v>
      </c>
      <c r="C172" s="227" t="s">
        <v>192</v>
      </c>
      <c r="D172" s="227" t="s">
        <v>543</v>
      </c>
      <c r="E172" s="226">
        <v>43073.331250000003</v>
      </c>
      <c r="F172" s="226">
        <v>43073.341666666667</v>
      </c>
      <c r="G172" s="225">
        <v>48</v>
      </c>
      <c r="H172" s="227" t="s">
        <v>512</v>
      </c>
      <c r="I172" s="226">
        <v>43073.354317129626</v>
      </c>
      <c r="J172" s="225">
        <v>0</v>
      </c>
      <c r="K172" s="237" t="str">
        <f>IF(ISEVEN(B172),(B172-1)&amp;"/"&amp;B172,B172&amp;"/"&amp;(B172+1))</f>
        <v>4055/4056</v>
      </c>
      <c r="L172" s="245" t="str">
        <f>VLOOKUP(A172,'Trips&amp;Operators'!$C$1:$G$99911,5,FALSE)</f>
        <v>YANAI IAN</v>
      </c>
      <c r="M172" s="224">
        <f>I172-F172</f>
        <v>1.265046295884531E-2</v>
      </c>
      <c r="N172" s="225">
        <f>24*60*SUM($M172:$M172)</f>
        <v>18.216666660737246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-04T06:57:00-0700',mode:absolute,to:'2017-12-04T09:30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4.4400000000000002E-2</v>
      </c>
      <c r="Z172" s="247">
        <f>RIGHT(H172,LEN(H172)-4)/10000</f>
        <v>5.8928000000000003</v>
      </c>
      <c r="AA172" s="247">
        <f>ABS(Z172-Y172)</f>
        <v>5.8483999999999998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811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/stypes="app*4056*20171204*" /stext=" 15:.+((SYSTEM_STATE.+slice.+state.+changed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44"/>
        <v>"%USERPROFILE%\Documents\GitHub\eaglep3\Utilities\RefineRTDCRunTimes.py" --tripid 811-04 --locoid 4056 --swversion DE.1.0.9.0 --startMP 204:444 --initTime 2017-12-04T07:57:00 --startdatetime 2017-12-04T08:12:00 --delay 48 --endMP 300:58928 --enddatetime 2017-12-04T08:30:13 --enforcementcount 0 &gt;&gt;%USERPROFILE%\Documents\GitHub\eaglep3-reporting\EC\2017-12-04-refined-times.txt</v>
      </c>
      <c r="AI172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{"issue":{"subject":"","project_id":79,"tracker_id":40,"status_id":1,"priority_id":2,"assigned_to_id":338,"start_date":"2017-12-04","description":"","custom_fields":[{"id":1,"name":"Subdivision","value":"NW"},{"id":4,"name":"Milepost","value":"5.8928"},{"id":17,"name":"Train ID","value":"811-04"},{"id":16,"name":"Locomotive ID","value":"4056"},{"id":130,"name":"Impact","value":""},{"id":150,"name":"Time of Event (Mountain Time)","value":"08:30:13"},{"id":151,"name":"Denver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46"/>
        <v>start /low /b %USERPROFILE%\Documents\GitHub\eaglep3\Utilities\DownloadLogsFromS3.py --loco 4056 --day 2017-12-04</v>
      </c>
      <c r="AN172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15:30:13"},{"id":29,"name":"Sharepoint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48"/>
        <v>https://d0f6bd738d7f1b3e5a7ca70fe4ff75f0.us-east-1.aws.found.io/app/kibana#/discover/Steve-Slow-Train-Analysis-(2080s-and-2083s)?_g=(refreshInterval:(display:Off,pause:!f,section:0,value:0),time:(from:'2017-12-04T06:57:00-0700',mode:absolute,to:'2017-12-04T09:30:13-0700'))&amp;_a=(columns:!('Message%20ID',Summary),filters:!(),index:'emp_*',interval:auto,query:(query_string:(analyze_wildcard:!t,query:'%22rtdc.l.rtdc.4056%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740</v>
      </c>
      <c r="B173" s="225">
        <v>4055</v>
      </c>
      <c r="C173" s="227" t="s">
        <v>192</v>
      </c>
      <c r="D173" s="227" t="s">
        <v>1023</v>
      </c>
      <c r="E173" s="226">
        <v>43073.354942129627</v>
      </c>
      <c r="F173" s="226">
        <v>43073.362500000003</v>
      </c>
      <c r="G173" s="225">
        <v>46</v>
      </c>
      <c r="H173" s="227" t="s">
        <v>1025</v>
      </c>
      <c r="I173" s="226">
        <v>43073.37164351852</v>
      </c>
      <c r="J173" s="225">
        <v>0</v>
      </c>
      <c r="K173" s="237" t="str">
        <f>IF(ISEVEN(B173),(B173-1)&amp;"/"&amp;B173,B173&amp;"/"&amp;(B173+1))</f>
        <v>4055/4056</v>
      </c>
      <c r="L173" s="245" t="str">
        <f>VLOOKUP(A173,'Trips&amp;Operators'!$C$1:$G$99911,5,FALSE)</f>
        <v>YANAI IAN</v>
      </c>
      <c r="M173" s="224">
        <f>I173-F173</f>
        <v>9.1435185167938471E-3</v>
      </c>
      <c r="N173" s="225">
        <f>24*60*SUM($M173:$M173)</f>
        <v>13.16666666418314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-04T07:31:07-0700',mode:absolute,to:'2017-12-04T09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5.8609</v>
      </c>
      <c r="Z173" s="247">
        <f>RIGHT(H173,LEN(H173)-4)/10000</f>
        <v>1.6899999999999998E-2</v>
      </c>
      <c r="AA173" s="247">
        <f>ABS(Z173-Y173)</f>
        <v>5.8440000000000003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812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/stypes="app*4055*20171204*" /stext=" 15:.+((SYSTEM_STATE.+slice.+state.+changed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44"/>
        <v>"%USERPROFILE%\Documents\GitHub\eaglep3\Utilities\RefineRTDCRunTimes.py" --tripid 812-04 --locoid 4055 --swversion DE.1.0.9.0 --startMP 300:58609 --initTime 2017-12-04T08:31:07 --startdatetime 2017-12-04T08:42:00 --delay 46 --endMP 204:169 --enddatetime 2017-12-04T08:55:10 --enforcementcount 0 &gt;&gt;%USERPROFILE%\Documents\GitHub\eaglep3-reporting\EC\2017-12-04-refined-times.txt</v>
      </c>
      <c r="AI173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{"issue":{"subject":"","project_id":79,"tracker_id":40,"status_id":1,"priority_id":2,"assigned_to_id":338,"start_date":"2017-12-04","description":"","custom_fields":[{"id":1,"name":"Subdivision","value":"NW"},{"id":4,"name":"Milepost","value":"0.0169"},{"id":17,"name":"Train ID","value":"812-04"},{"id":16,"name":"Locomotive ID","value":"4055"},{"id":130,"name":"Impact","value":""},{"id":150,"name":"Time of Event (Mountain Time)","value":"08:55:10"},{"id":151,"name":"Denver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46"/>
        <v>start /low /b %USERPROFILE%\Documents\GitHub\eaglep3\Utilities\DownloadLogsFromS3.py --loco 4055 --day 2017-12-04</v>
      </c>
      <c r="AN173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48"/>
        <v>https://d0f6bd738d7f1b3e5a7ca70fe4ff75f0.us-east-1.aws.found.io/app/kibana#/discover/Steve-Slow-Train-Analysis-(2080s-and-2083s)?_g=(refreshInterval:(display:Off,pause:!f,section:0,value:0),time:(from:'2017-12-04T07:31:07-0700',mode:absolute,to:'2017-12-04T09:55:10-0700'))&amp;_a=(columns:!('Message%20ID',Summary),filters:!(),index:'emp_*',interval:auto,query:(query_string:(analyze_wildcard:!t,query:'%22rtdc.l.rtdc.4055%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25">
      <c r="A174" s="229" t="s">
        <v>745</v>
      </c>
      <c r="B174" s="225">
        <v>4056</v>
      </c>
      <c r="C174" s="227" t="s">
        <v>192</v>
      </c>
      <c r="D174" s="227" t="s">
        <v>592</v>
      </c>
      <c r="E174" s="226">
        <v>43073.372708333336</v>
      </c>
      <c r="F174" s="226">
        <v>43073.381435185183</v>
      </c>
      <c r="G174" s="225">
        <v>46</v>
      </c>
      <c r="H174" s="227" t="s">
        <v>622</v>
      </c>
      <c r="I174" s="226">
        <v>43073.390775462962</v>
      </c>
      <c r="J174" s="225">
        <v>0</v>
      </c>
      <c r="K174" s="237" t="str">
        <f>IF(ISEVEN(B174),(B174-1)&amp;"/"&amp;B174,B174&amp;"/"&amp;(B174+1))</f>
        <v>4055/4056</v>
      </c>
      <c r="L174" s="245" t="str">
        <f>VLOOKUP(A174,'Trips&amp;Operators'!$C$1:$G$99911,5,FALSE)</f>
        <v>YANAI IAN</v>
      </c>
      <c r="M174" s="224">
        <f>I174-F174</f>
        <v>9.340277778392192E-3</v>
      </c>
      <c r="N174" s="225">
        <f>24*60*SUM($M174:$M174)</f>
        <v>13.450000000884756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-04T07:56:42-0700',mode:absolute,to:'2017-12-04T10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4.9500000000000002E-2</v>
      </c>
      <c r="Z174" s="247">
        <f>RIGHT(H174,LEN(H174)-4)/10000</f>
        <v>5.8925999999999998</v>
      </c>
      <c r="AA174" s="247">
        <f>ABS(Z174-Y174)</f>
        <v>5.8430999999999997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813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/stypes="app*4056*20171204*" /stext=" 16:.+((SYSTEM_STATE.+slice.+state.+changed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44"/>
        <v>"%USERPROFILE%\Documents\GitHub\eaglep3\Utilities\RefineRTDCRunTimes.py" --tripid 813-04 --locoid 4056 --swversion DE.1.0.9.0 --startMP 204:495 --initTime 2017-12-04T08:56:42 --startdatetime 2017-12-04T09:09:16 --delay 46 --endMP 300:58926 --enddatetime 2017-12-04T09:22:43 --enforcementcount 0 &gt;&gt;%USERPROFILE%\Documents\GitHub\eaglep3-reporting\EC\2017-12-04-refined-times.txt</v>
      </c>
      <c r="AI174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{"issue":{"subject":"","project_id":79,"tracker_id":40,"status_id":1,"priority_id":2,"assigned_to_id":338,"start_date":"2017-12-04","description":"","custom_fields":[{"id":1,"name":"Subdivision","value":"NW"},{"id":4,"name":"Milepost","value":"5.8926"},{"id":17,"name":"Train ID","value":"813-04"},{"id":16,"name":"Locomotive ID","value":"4056"},{"id":130,"name":"Impact","value":""},{"id":150,"name":"Time of Event (Mountain Time)","value":"09:22:43"},{"id":151,"name":"Denver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46"/>
        <v>start /low /b %USERPROFILE%\Documents\GitHub\eaglep3\Utilities\DownloadLogsFromS3.py --loco 4056 --day 2017-12-04</v>
      </c>
      <c r="AN174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48"/>
        <v>https://d0f6bd738d7f1b3e5a7ca70fe4ff75f0.us-east-1.aws.found.io/app/kibana#/discover/Steve-Slow-Train-Analysis-(2080s-and-2083s)?_g=(refreshInterval:(display:Off,pause:!f,section:0,value:0),time:(from:'2017-12-04T07:56:42-0700',mode:absolute,to:'2017-12-04T10:22:43-0700'))&amp;_a=(columns:!('Message%20ID',Summary),filters:!(),index:'emp_*',interval:auto,query:(query_string:(analyze_wildcard:!t,query:'%22rtdc.l.rtdc.4056%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749</v>
      </c>
      <c r="B175" s="225">
        <v>4055</v>
      </c>
      <c r="C175" s="227" t="s">
        <v>192</v>
      </c>
      <c r="D175" s="227" t="s">
        <v>1026</v>
      </c>
      <c r="E175" s="226">
        <v>43073.391574074078</v>
      </c>
      <c r="F175" s="226">
        <v>43073.404166666667</v>
      </c>
      <c r="G175" s="225">
        <v>63</v>
      </c>
      <c r="H175" s="227" t="s">
        <v>560</v>
      </c>
      <c r="I175" s="226">
        <v>43073.413287037038</v>
      </c>
      <c r="J175" s="225">
        <v>0</v>
      </c>
      <c r="K175" s="237" t="str">
        <f>IF(ISEVEN(B175),(B175-1)&amp;"/"&amp;B175,B175&amp;"/"&amp;(B175+1))</f>
        <v>4055/4056</v>
      </c>
      <c r="L175" s="245" t="str">
        <f>VLOOKUP(A175,'Trips&amp;Operators'!$C$1:$G$99911,5,FALSE)</f>
        <v>YANAI IAN</v>
      </c>
      <c r="M175" s="224">
        <f>I175-F175</f>
        <v>9.1203703705104999E-3</v>
      </c>
      <c r="N175" s="225">
        <f>24*60*SUM($M175:$M175)</f>
        <v>13.13333333353512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-04T08:23:52-0700',mode:absolute,to:'2017-12-04T10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5.8619000000000003</v>
      </c>
      <c r="Z175" s="247">
        <f>RIGHT(H175,LEN(H175)-4)/10000</f>
        <v>1.3100000000000001E-2</v>
      </c>
      <c r="AA175" s="247">
        <f>ABS(Z175-Y175)</f>
        <v>5.8488000000000007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814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/stypes="app*4055*20171204*" /stext=" 16:.+((SYSTEM_STATE.+slice.+state.+changed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44"/>
        <v>"%USERPROFILE%\Documents\GitHub\eaglep3\Utilities\RefineRTDCRunTimes.py" --tripid 814-04 --locoid 4055 --swversion DE.1.0.9.0 --startMP 300:58619 --initTime 2017-12-04T09:23:52 --startdatetime 2017-12-04T09:42:00 --delay 63 --endMP 204:131 --enddatetime 2017-12-04T09:55:08 --enforcementcount 0 &gt;&gt;%USERPROFILE%\Documents\GitHub\eaglep3-reporting\EC\2017-12-04-refined-times.txt</v>
      </c>
      <c r="AI175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{"issue":{"subject":"","project_id":79,"tracker_id":40,"status_id":1,"priority_id":2,"assigned_to_id":338,"start_date":"2017-12-04","description":"","custom_fields":[{"id":1,"name":"Subdivision","value":"NW"},{"id":4,"name":"Milepost","value":"0.0131"},{"id":17,"name":"Train ID","value":"814-04"},{"id":16,"name":"Locomotive ID","value":"4055"},{"id":130,"name":"Impact","value":""},{"id":150,"name":"Time of Event (Mountain Time)","value":"09:55:08"},{"id":151,"name":"Denver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46"/>
        <v>start /low /b %USERPROFILE%\Documents\GitHub\eaglep3\Utilities\DownloadLogsFromS3.py --loco 4055 --day 2017-12-04</v>
      </c>
      <c r="AN175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16:55:08"},{"id":29,"name":"Sharepoint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48"/>
        <v>https://d0f6bd738d7f1b3e5a7ca70fe4ff75f0.us-east-1.aws.found.io/app/kibana#/discover/Steve-Slow-Train-Analysis-(2080s-and-2083s)?_g=(refreshInterval:(display:Off,pause:!f,section:0,value:0),time:(from:'2017-12-04T08:23:52-0700',mode:absolute,to:'2017-12-04T10:55:08-0700'))&amp;_a=(columns:!('Message%20ID',Summary),filters:!(),index:'emp_*',interval:auto,query:(query_string:(analyze_wildcard:!t,query:'%22rtdc.l.rtdc.4055%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755</v>
      </c>
      <c r="B176" s="225">
        <v>4056</v>
      </c>
      <c r="C176" s="227" t="s">
        <v>192</v>
      </c>
      <c r="D176" s="227" t="s">
        <v>1027</v>
      </c>
      <c r="E176" s="226">
        <v>43073.414247685185</v>
      </c>
      <c r="F176" s="226">
        <v>43073.423113425924</v>
      </c>
      <c r="G176" s="225">
        <v>46</v>
      </c>
      <c r="H176" s="227" t="s">
        <v>623</v>
      </c>
      <c r="I176" s="226">
        <v>43073.43241898148</v>
      </c>
      <c r="J176" s="225">
        <v>0</v>
      </c>
      <c r="K176" s="237" t="str">
        <f>IF(ISEVEN(B176),(B176-1)&amp;"/"&amp;B176,B176&amp;"/"&amp;(B176+1))</f>
        <v>4055/4056</v>
      </c>
      <c r="L176" s="245" t="str">
        <f>VLOOKUP(A176,'Trips&amp;Operators'!$C$1:$G$99911,5,FALSE)</f>
        <v>YANAI IAN</v>
      </c>
      <c r="M176" s="224">
        <f>I176-F176</f>
        <v>9.3055555553291924E-3</v>
      </c>
      <c r="N176" s="225">
        <f>24*60*SUM($M176:$M176)</f>
        <v>13.399999999674037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-04T08:56:31-0700',mode:absolute,to:'2017-12-04T11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4.3900000000000002E-2</v>
      </c>
      <c r="Z176" s="247">
        <f>RIGHT(H176,LEN(H176)-4)/10000</f>
        <v>5.8912000000000004</v>
      </c>
      <c r="AA176" s="247">
        <f>ABS(Z176-Y176)</f>
        <v>5.8473000000000006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815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/stypes="app*4056*20171204*" /stext=" 17:.+((SYSTEM_STATE.+slice.+state.+changed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44"/>
        <v>"%USERPROFILE%\Documents\GitHub\eaglep3\Utilities\RefineRTDCRunTimes.py" --tripid 815-04 --locoid 4056 --swversion DE.1.0.9.0 --startMP 204:439 --initTime 2017-12-04T09:56:31 --startdatetime 2017-12-04T10:09:17 --delay 46 --endMP 300:58912 --enddatetime 2017-12-04T10:22:41 --enforcementcount 0 &gt;&gt;%USERPROFILE%\Documents\GitHub\eaglep3-reporting\EC\2017-12-04-refined-times.txt</v>
      </c>
      <c r="AI176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{"issue":{"subject":"","project_id":79,"tracker_id":40,"status_id":1,"priority_id":2,"assigned_to_id":338,"start_date":"2017-12-04","description":"","custom_fields":[{"id":1,"name":"Subdivision","value":"NW"},{"id":4,"name":"Milepost","value":"5.8912"},{"id":17,"name":"Train ID","value":"815-04"},{"id":16,"name":"Locomotive ID","value":"4056"},{"id":130,"name":"Impact","value":""},{"id":150,"name":"Time of Event (Mountain Time)","value":"10:22:41"},{"id":151,"name":"Denver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46"/>
        <v>start /low /b %USERPROFILE%\Documents\GitHub\eaglep3\Utilities\DownloadLogsFromS3.py --loco 4056 --day 2017-12-04</v>
      </c>
      <c r="AN176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48"/>
        <v>https://d0f6bd738d7f1b3e5a7ca70fe4ff75f0.us-east-1.aws.found.io/app/kibana#/discover/Steve-Slow-Train-Analysis-(2080s-and-2083s)?_g=(refreshInterval:(display:Off,pause:!f,section:0,value:0),time:(from:'2017-12-04T08:56:31-0700',mode:absolute,to:'2017-12-04T11:22:41-0700'))&amp;_a=(columns:!('Message%20ID',Summary),filters:!(),index:'emp_*',interval:auto,query:(query_string:(analyze_wildcard:!t,query:'%22rtdc.l.rtdc.4056%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758</v>
      </c>
      <c r="B177" s="225">
        <v>4055</v>
      </c>
      <c r="C177" s="227" t="s">
        <v>192</v>
      </c>
      <c r="D177" s="227" t="s">
        <v>624</v>
      </c>
      <c r="E177" s="226">
        <v>43073.433379629627</v>
      </c>
      <c r="F177" s="226">
        <v>43073.445833333331</v>
      </c>
      <c r="G177" s="225">
        <v>47</v>
      </c>
      <c r="H177" s="227" t="s">
        <v>1028</v>
      </c>
      <c r="I177" s="226">
        <v>43073.454953703702</v>
      </c>
      <c r="J177" s="225">
        <v>0</v>
      </c>
      <c r="K177" s="237" t="str">
        <f>IF(ISEVEN(B177),(B177-1)&amp;"/"&amp;B177,B177&amp;"/"&amp;(B177+1))</f>
        <v>4055/4056</v>
      </c>
      <c r="L177" s="245" t="str">
        <f>VLOOKUP(A177,'Trips&amp;Operators'!$C$1:$G$99911,5,FALSE)</f>
        <v>YANAI IAN</v>
      </c>
      <c r="M177" s="224">
        <f>I177-F177</f>
        <v>9.1203703705104999E-3</v>
      </c>
      <c r="N177" s="225">
        <f>24*60*SUM($M177:$M177)</f>
        <v>13.13333333353512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-04T09:24:04-0700',mode:absolute,to:'2017-12-04T11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7" s="247" t="str">
        <f>IF(AA177&lt;VLOOKUP(AG177,Variables!$AC$3:$AD$8,2,FALSE),"Y","N")</f>
        <v>N</v>
      </c>
      <c r="X177" s="247">
        <f t="shared" ref="X177:X180" si="49">VALUE(LEFT(AD177,4))-VALUE(LEFT(AD176,4))</f>
        <v>1</v>
      </c>
      <c r="Y177" s="247">
        <f>RIGHT(D177,LEN(D177)-4)/10000</f>
        <v>5.86</v>
      </c>
      <c r="Z177" s="247">
        <f>RIGHT(H177,LEN(H177)-4)/10000</f>
        <v>1.15E-2</v>
      </c>
      <c r="AA177" s="247">
        <f>ABS(Z177-Y177)</f>
        <v>5.8485000000000005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816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/stypes="app*4055*20171204*" /stext=" 17:.+((SYSTEM_STATE.+slice.+state.+changed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44"/>
        <v>"%USERPROFILE%\Documents\GitHub\eaglep3\Utilities\RefineRTDCRunTimes.py" --tripid 816-04 --locoid 4055 --swversion DE.1.0.9.0 --startMP 300:58600 --initTime 2017-12-04T10:24:04 --startdatetime 2017-12-04T10:42:00 --delay 47 --endMP 204:115 --enddatetime 2017-12-04T10:55:08 --enforcementcount 0 &gt;&gt;%USERPROFILE%\Documents\GitHub\eaglep3-reporting\EC\2017-12-04-refined-times.txt</v>
      </c>
      <c r="AI177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{"issue":{"subject":"","project_id":79,"tracker_id":40,"status_id":1,"priority_id":2,"assigned_to_id":338,"start_date":"2017-12-04","description":"","custom_fields":[{"id":1,"name":"Subdivision","value":"NW"},{"id":4,"name":"Milepost","value":"0.0115"},{"id":17,"name":"Train ID","value":"816-04"},{"id":16,"name":"Locomotive ID","value":"4055"},{"id":130,"name":"Impact","value":""},{"id":150,"name":"Time of Event (Mountain Time)","value":"10:55:08"},{"id":151,"name":"Denver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46"/>
        <v>start /low /b %USERPROFILE%\Documents\GitHub\eaglep3\Utilities\DownloadLogsFromS3.py --loco 4055 --day 2017-12-04</v>
      </c>
      <c r="AN177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17:55:08"},{"id":29,"name":"Sharepoint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48"/>
        <v>https://d0f6bd738d7f1b3e5a7ca70fe4ff75f0.us-east-1.aws.found.io/app/kibana#/discover/Steve-Slow-Train-Analysis-(2080s-and-2083s)?_g=(refreshInterval:(display:Off,pause:!f,section:0,value:0),time:(from:'2017-12-04T09:24:04-0700',mode:absolute,to:'2017-12-04T11:55:08-0700'))&amp;_a=(columns:!('Message%20ID',Summary),filters:!(),index:'emp_*',interval:auto,query:(query_string:(analyze_wildcard:!t,query:'%22rtdc.l.rtdc.4055%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763</v>
      </c>
      <c r="B178" s="225">
        <v>4056</v>
      </c>
      <c r="C178" s="227" t="s">
        <v>192</v>
      </c>
      <c r="D178" s="227" t="s">
        <v>1029</v>
      </c>
      <c r="E178" s="226">
        <v>43073.462557870371</v>
      </c>
      <c r="F178" s="226">
        <v>43073.464768518519</v>
      </c>
      <c r="G178" s="225">
        <v>68</v>
      </c>
      <c r="H178" s="227" t="s">
        <v>1030</v>
      </c>
      <c r="I178" s="226">
        <v>43073.475104166668</v>
      </c>
      <c r="J178" s="225">
        <v>0</v>
      </c>
      <c r="K178" s="237" t="str">
        <f>IF(ISEVEN(B178),(B178-1)&amp;"/"&amp;B178,B178&amp;"/"&amp;(B178+1))</f>
        <v>4055/4056</v>
      </c>
      <c r="L178" s="245" t="str">
        <f>VLOOKUP(A178,'Trips&amp;Operators'!$C$1:$G$99911,5,FALSE)</f>
        <v>YANAI IAN</v>
      </c>
      <c r="M178" s="224">
        <f>I178-F178</f>
        <v>1.0335648148611654E-2</v>
      </c>
      <c r="N178" s="225">
        <f>24*60*SUM($M178:$M178)</f>
        <v>14.883333334000781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-04T10:06:05-0700',mode:absolute,to:'2017-12-04T12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8" s="247" t="str">
        <f>IF(AA178&lt;VLOOKUP(AG178,Variables!$AC$3:$AD$8,2,FALSE),"Y","N")</f>
        <v>N</v>
      </c>
      <c r="X178" s="247">
        <f t="shared" si="49"/>
        <v>1</v>
      </c>
      <c r="Y178" s="247">
        <f>RIGHT(D178,LEN(D178)-4)/10000</f>
        <v>4.1700000000000001E-2</v>
      </c>
      <c r="Z178" s="247">
        <f>RIGHT(H178,LEN(H178)-4)/10000</f>
        <v>5.8968999999999996</v>
      </c>
      <c r="AA178" s="247">
        <f>ABS(Z178-Y178)</f>
        <v>5.8552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817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/stypes="app*4056*20171204*" /stext=" 18:.+((SYSTEM_STATE.+slice.+state.+changed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44"/>
        <v>"%USERPROFILE%\Documents\GitHub\eaglep3\Utilities\RefineRTDCRunTimes.py" --tripid 817-04 --locoid 4056 --swversion DE.1.0.9.0 --startMP 204:417 --initTime 2017-12-04T11:06:05 --startdatetime 2017-12-04T11:09:16 --delay 68 --endMP 300:58969 --enddatetime 2017-12-04T11:24:09 --enforcementcount 0 &gt;&gt;%USERPROFILE%\Documents\GitHub\eaglep3-reporting\EC\2017-12-04-refined-times.txt</v>
      </c>
      <c r="AI178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{"issue":{"subject":"","project_id":79,"tracker_id":40,"status_id":1,"priority_id":2,"assigned_to_id":338,"start_date":"2017-12-04","description":"","custom_fields":[{"id":1,"name":"Subdivision","value":"NW"},{"id":4,"name":"Milepost","value":"5.8969"},{"id":17,"name":"Train ID","value":"817-04"},{"id":16,"name":"Locomotive ID","value":"4056"},{"id":130,"name":"Impact","value":""},{"id":150,"name":"Time of Event (Mountain Time)","value":"11:24:09"},{"id":151,"name":"Denver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46"/>
        <v>start /low /b %USERPROFILE%\Documents\GitHub\eaglep3\Utilities\DownloadLogsFromS3.py --loco 4056 --day 2017-12-04</v>
      </c>
      <c r="AN178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48"/>
        <v>https://d0f6bd738d7f1b3e5a7ca70fe4ff75f0.us-east-1.aws.found.io/app/kibana#/discover/Steve-Slow-Train-Analysis-(2080s-and-2083s)?_g=(refreshInterval:(display:Off,pause:!f,section:0,value:0),time:(from:'2017-12-04T10:06:05-0700',mode:absolute,to:'2017-12-04T12:24:09-0700'))&amp;_a=(columns:!('Message%20ID',Summary),filters:!(),index:'emp_*',interval:auto,query:(query_string:(analyze_wildcard:!t,query:'%22rtdc.l.rtdc.4056%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666</v>
      </c>
      <c r="B179" s="225">
        <v>4055</v>
      </c>
      <c r="C179" s="227" t="s">
        <v>192</v>
      </c>
      <c r="D179" s="227" t="s">
        <v>1031</v>
      </c>
      <c r="E179" s="226">
        <v>43073.476018518515</v>
      </c>
      <c r="F179" s="226">
        <v>43073.487500000003</v>
      </c>
      <c r="G179" s="225">
        <v>75</v>
      </c>
      <c r="H179" s="227" t="s">
        <v>1032</v>
      </c>
      <c r="I179" s="226">
        <v>43073.497048611112</v>
      </c>
      <c r="J179" s="225">
        <v>0</v>
      </c>
      <c r="K179" s="237" t="str">
        <f>IF(ISEVEN(B179),(B179-1)&amp;"/"&amp;B179,B179&amp;"/"&amp;(B179+1))</f>
        <v>4055/4056</v>
      </c>
      <c r="L179" s="245" t="str">
        <f>VLOOKUP(A179,'Trips&amp;Operators'!$C$1:$G$99911,5,FALSE)</f>
        <v>STRICKLAND EVAN</v>
      </c>
      <c r="M179" s="224">
        <f>I179-F179</f>
        <v>9.5486111094942316E-3</v>
      </c>
      <c r="N179" s="225">
        <f>24*60*SUM($M179:$M179)</f>
        <v>13.749999997671694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-04T10:25:28-0700',mode:absolute,to:'2017-12-04T12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9" s="247" t="str">
        <f>IF(AA179&lt;VLOOKUP(AG179,Variables!$AC$3:$AD$8,2,FALSE),"Y","N")</f>
        <v>N</v>
      </c>
      <c r="X179" s="247">
        <f t="shared" si="49"/>
        <v>1</v>
      </c>
      <c r="Y179" s="247">
        <f>RIGHT(D179,LEN(D179)-4)/10000</f>
        <v>5.8666</v>
      </c>
      <c r="Z179" s="247">
        <f>RIGHT(H179,LEN(H179)-4)/10000</f>
        <v>8.0999999999999996E-3</v>
      </c>
      <c r="AA179" s="247">
        <f>ABS(Z179-Y179)</f>
        <v>5.8585000000000003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818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/stypes="app*4055*20171204*" /stext=" 18:.+((SYSTEM_STATE.+slice.+state.+changed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44"/>
        <v>"%USERPROFILE%\Documents\GitHub\eaglep3\Utilities\RefineRTDCRunTimes.py" --tripid 818-04 --locoid 4055 --swversion DE.1.0.9.0 --startMP 300:58666 --initTime 2017-12-04T11:25:28 --startdatetime 2017-12-04T11:42:00 --delay 75 --endMP 204:81 --enddatetime 2017-12-04T11:55:45 --enforcementcount 0 &gt;&gt;%USERPROFILE%\Documents\GitHub\eaglep3-reporting\EC\2017-12-04-refined-times.txt</v>
      </c>
      <c r="AI179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{"issue":{"subject":"","project_id":79,"tracker_id":40,"status_id":1,"priority_id":2,"assigned_to_id":338,"start_date":"2017-12-04","description":"","custom_fields":[{"id":1,"name":"Subdivision","value":"NW"},{"id":4,"name":"Milepost","value":"0.0081"},{"id":17,"name":"Train ID","value":"818-04"},{"id":16,"name":"Locomotive ID","value":"4055"},{"id":130,"name":"Impact","value":""},{"id":150,"name":"Time of Event (Mountain Time)","value":"11:55:45"},{"id":151,"name":"Denver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46"/>
        <v>start /low /b %USERPROFILE%\Documents\GitHub\eaglep3\Utilities\DownloadLogsFromS3.py --loco 4055 --day 2017-12-04</v>
      </c>
      <c r="AN179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18:55:45"},{"id":29,"name":"Sharepoint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48"/>
        <v>https://d0f6bd738d7f1b3e5a7ca70fe4ff75f0.us-east-1.aws.found.io/app/kibana#/discover/Steve-Slow-Train-Analysis-(2080s-and-2083s)?_g=(refreshInterval:(display:Off,pause:!f,section:0,value:0),time:(from:'2017-12-04T10:25:28-0700',mode:absolute,to:'2017-12-04T12:55:45-0700'))&amp;_a=(columns:!('Message%20ID',Summary),filters:!(),index:'emp_*',interval:auto,query:(query_string:(analyze_wildcard:!t,query:'%22rtdc.l.rtdc.4055%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25">
      <c r="A180" s="229" t="s">
        <v>778</v>
      </c>
      <c r="B180" s="225">
        <v>4056</v>
      </c>
      <c r="C180" s="227" t="s">
        <v>192</v>
      </c>
      <c r="D180" s="227" t="s">
        <v>1033</v>
      </c>
      <c r="E180" s="226">
        <v>43073.501597222225</v>
      </c>
      <c r="F180" s="226">
        <v>43073.50640046296</v>
      </c>
      <c r="G180" s="225">
        <v>57</v>
      </c>
      <c r="H180" s="227" t="s">
        <v>454</v>
      </c>
      <c r="I180" s="226">
        <v>43073.515925925924</v>
      </c>
      <c r="J180" s="225">
        <v>0</v>
      </c>
      <c r="K180" s="237" t="str">
        <f>IF(ISEVEN(B180),(B180-1)&amp;"/"&amp;B180,B180&amp;"/"&amp;(B180+1))</f>
        <v>4055/4056</v>
      </c>
      <c r="L180" s="245" t="str">
        <f>VLOOKUP(A180,'Trips&amp;Operators'!$C$1:$G$99911,5,FALSE)</f>
        <v>YANAI IAN</v>
      </c>
      <c r="M180" s="224">
        <f>I180-F180</f>
        <v>9.5254629632108845E-3</v>
      </c>
      <c r="N180" s="225">
        <f>24*60*SUM($M180:$M180)</f>
        <v>13.716666667023674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-04T11:02:18-0700',mode:absolute,to:'2017-12-04T13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0" s="247" t="str">
        <f>IF(AA180&lt;VLOOKUP(AG180,Variables!$AC$3:$AD$8,2,FALSE),"Y","N")</f>
        <v>N</v>
      </c>
      <c r="X180" s="247">
        <f t="shared" si="49"/>
        <v>1</v>
      </c>
      <c r="Y180" s="247">
        <f>RIGHT(D180,LEN(D180)-4)/10000</f>
        <v>3.7699999999999997E-2</v>
      </c>
      <c r="Z180" s="247">
        <f>RIGHT(H180,LEN(H180)-4)/10000</f>
        <v>5.8929</v>
      </c>
      <c r="AA180" s="247">
        <f>ABS(Z180-Y180)</f>
        <v>5.8552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819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/stypes="app*4056*20171204*" /stext=" 19:.+((SYSTEM_STATE.+slice.+state.+changed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44"/>
        <v>"%USERPROFILE%\Documents\GitHub\eaglep3\Utilities\RefineRTDCRunTimes.py" --tripid 819-04 --locoid 4056 --swversion DE.1.0.9.0 --startMP 204:377 --initTime 2017-12-04T12:02:18 --startdatetime 2017-12-04T12:09:13 --delay 57 --endMP 300:58929 --enddatetime 2017-12-04T12:22:56 --enforcementcount 0 &gt;&gt;%USERPROFILE%\Documents\GitHub\eaglep3-reporting\EC\2017-12-04-refined-times.txt</v>
      </c>
      <c r="AI180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{"issue":{"subject":"","project_id":79,"tracker_id":40,"status_id":1,"priority_id":2,"assigned_to_id":338,"start_date":"2017-12-04","description":"","custom_fields":[{"id":1,"name":"Subdivision","value":"NW"},{"id":4,"name":"Milepost","value":"5.8929"},{"id":17,"name":"Train ID","value":"819-04"},{"id":16,"name":"Locomotive ID","value":"4056"},{"id":130,"name":"Impact","value":""},{"id":150,"name":"Time of Event (Mountain Time)","value":"12:22:56"},{"id":151,"name":"Denver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46"/>
        <v>start /low /b %USERPROFILE%\Documents\GitHub\eaglep3\Utilities\DownloadLogsFromS3.py --loco 4056 --day 2017-12-04</v>
      </c>
      <c r="AN180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48"/>
        <v>https://d0f6bd738d7f1b3e5a7ca70fe4ff75f0.us-east-1.aws.found.io/app/kibana#/discover/Steve-Slow-Train-Analysis-(2080s-and-2083s)?_g=(refreshInterval:(display:Off,pause:!f,section:0,value:0),time:(from:'2017-12-04T11:02:18-0700',mode:absolute,to:'2017-12-04T13:22:56-0700'))&amp;_a=(columns:!('Message%20ID',Summary),filters:!(),index:'emp_*',interval:auto,query:(query_string:(analyze_wildcard:!t,query:'%22rtdc.l.rtdc.4056%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25">
      <c r="A181" s="229" t="s">
        <v>781</v>
      </c>
      <c r="B181" s="225">
        <v>4055</v>
      </c>
      <c r="C181" s="227" t="s">
        <v>192</v>
      </c>
      <c r="D181" s="227" t="s">
        <v>515</v>
      </c>
      <c r="E181" s="226">
        <v>43073.516921296294</v>
      </c>
      <c r="F181" s="226">
        <v>43073.529166666667</v>
      </c>
      <c r="G181" s="225">
        <v>54</v>
      </c>
      <c r="H181" s="227" t="s">
        <v>1101</v>
      </c>
      <c r="I181" s="226">
        <v>43073.538159722222</v>
      </c>
      <c r="J181" s="225">
        <v>0</v>
      </c>
      <c r="K181" s="237" t="str">
        <f>IF(ISEVEN(B181),(B181-1)&amp;"/"&amp;B181,B181&amp;"/"&amp;(B181+1))</f>
        <v>4055/4056</v>
      </c>
      <c r="L181" s="245" t="str">
        <f>VLOOKUP(A181,'Trips&amp;Operators'!$C$1:$G$99911,5,FALSE)</f>
        <v>YANAI IAN</v>
      </c>
      <c r="M181" s="224">
        <f>I181-F181</f>
        <v>8.9930555550381541E-3</v>
      </c>
      <c r="N181" s="225">
        <f>24*60*SUM($M181:$M181)</f>
        <v>12.949999999254942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-04T11:24:22-0700',mode:absolute,to:'2017-12-04T13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5.8608000000000002</v>
      </c>
      <c r="Z181" s="247">
        <f>RIGHT(H181,LEN(H181)-4)/10000</f>
        <v>1.29E-2</v>
      </c>
      <c r="AA181" s="247">
        <f>ABS(Z181-Y181)</f>
        <v>5.8479000000000001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820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/stypes="app*4055*20171204*" /stext=" 19:.+((SYSTEM_STATE.+slice.+state.+changed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44"/>
        <v>"%USERPROFILE%\Documents\GitHub\eaglep3\Utilities\RefineRTDCRunTimes.py" --tripid 820-04 --locoid 4055 --swversion DE.1.0.9.0 --startMP 300:58608 --initTime 2017-12-04T12:24:22 --startdatetime 2017-12-04T12:42:00 --delay 54 --endMP 204:129 --enddatetime 2017-12-04T12:54:57 --enforcementcount 0 &gt;&gt;%USERPROFILE%\Documents\GitHub\eaglep3-reporting\EC\2017-12-04-refined-times.txt</v>
      </c>
      <c r="AI181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{"issue":{"subject":"","project_id":79,"tracker_id":40,"status_id":1,"priority_id":2,"assigned_to_id":338,"start_date":"2017-12-04","description":"","custom_fields":[{"id":1,"name":"Subdivision","value":"NW"},{"id":4,"name":"Milepost","value":"0.0129"},{"id":17,"name":"Train ID","value":"820-04"},{"id":16,"name":"Locomotive ID","value":"4055"},{"id":130,"name":"Impact","value":""},{"id":150,"name":"Time of Event (Mountain Time)","value":"12:54:57"},{"id":151,"name":"Denver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46"/>
        <v>start /low /b %USERPROFILE%\Documents\GitHub\eaglep3\Utilities\DownloadLogsFromS3.py --loco 4055 --day 2017-12-04</v>
      </c>
      <c r="AN181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19:54:57"},{"id":29,"name":"Sharepoint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48"/>
        <v>https://d0f6bd738d7f1b3e5a7ca70fe4ff75f0.us-east-1.aws.found.io/app/kibana#/discover/Steve-Slow-Train-Analysis-(2080s-and-2083s)?_g=(refreshInterval:(display:Off,pause:!f,section:0,value:0),time:(from:'2017-12-04T11:24:22-0700',mode:absolute,to:'2017-12-04T13:54:57-0700'))&amp;_a=(columns:!('Message%20ID',Summary),filters:!(),index:'emp_*',interval:auto,query:(query_string:(analyze_wildcard:!t,query:'%22rtdc.l.rtdc.4055%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788</v>
      </c>
      <c r="B182" s="225">
        <v>4056</v>
      </c>
      <c r="C182" s="227" t="s">
        <v>192</v>
      </c>
      <c r="D182" s="227" t="s">
        <v>1029</v>
      </c>
      <c r="E182" s="226">
        <v>43073.542037037034</v>
      </c>
      <c r="F182" s="226">
        <v>43073.548101851855</v>
      </c>
      <c r="G182" s="225">
        <v>114</v>
      </c>
      <c r="H182" s="227" t="s">
        <v>1034</v>
      </c>
      <c r="I182" s="226">
        <v>43073.557719907411</v>
      </c>
      <c r="J182" s="225">
        <v>0</v>
      </c>
      <c r="K182" s="237" t="str">
        <f>IF(ISEVEN(B182),(B182-1)&amp;"/"&amp;B182,B182&amp;"/"&amp;(B182+1))</f>
        <v>4055/4056</v>
      </c>
      <c r="L182" s="245" t="str">
        <f>VLOOKUP(A182,'Trips&amp;Operators'!$C$1:$G$99911,5,FALSE)</f>
        <v>LEVIN SCOTT</v>
      </c>
      <c r="M182" s="224">
        <f>I182-F182</f>
        <v>9.6180555556202307E-3</v>
      </c>
      <c r="N182" s="225">
        <f>24*60*SUM($M182:$M182)</f>
        <v>13.850000000093132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-04T12:00:32-0700',mode:absolute,to:'2017-12-04T14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4.1700000000000001E-2</v>
      </c>
      <c r="Z182" s="247">
        <f>RIGHT(H182,LEN(H182)-4)/10000</f>
        <v>5.8960999999999997</v>
      </c>
      <c r="AA182" s="247">
        <f>ABS(Z182-Y182)</f>
        <v>5.8544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821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/stypes="app*4056*20171204*" /stext=" 20:.+((SYSTEM_STATE.+slice.+state.+changed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44"/>
        <v>"%USERPROFILE%\Documents\GitHub\eaglep3\Utilities\RefineRTDCRunTimes.py" --tripid 821-04 --locoid 4056 --swversion DE.1.0.9.0 --startMP 204:417 --initTime 2017-12-04T13:00:32 --startdatetime 2017-12-04T13:09:16 --delay 114 --endMP 300:58961 --enddatetime 2017-12-04T13:23:07 --enforcementcount 0 &gt;&gt;%USERPROFILE%\Documents\GitHub\eaglep3-reporting\EC\2017-12-04-refined-times.txt</v>
      </c>
      <c r="AI182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{"issue":{"subject":"","project_id":79,"tracker_id":40,"status_id":1,"priority_id":2,"assigned_to_id":338,"start_date":"2017-12-04","description":"","custom_fields":[{"id":1,"name":"Subdivision","value":"NW"},{"id":4,"name":"Milepost","value":"5.8961"},{"id":17,"name":"Train ID","value":"821-04"},{"id":16,"name":"Locomotive ID","value":"4056"},{"id":130,"name":"Impact","value":""},{"id":150,"name":"Time of Event (Mountain Time)","value":"13:23:07"},{"id":151,"name":"Denver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46"/>
        <v>start /low /b %USERPROFILE%\Documents\GitHub\eaglep3\Utilities\DownloadLogsFromS3.py --loco 4056 --day 2017-12-04</v>
      </c>
      <c r="AN182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48"/>
        <v>https://d0f6bd738d7f1b3e5a7ca70fe4ff75f0.us-east-1.aws.found.io/app/kibana#/discover/Steve-Slow-Train-Analysis-(2080s-and-2083s)?_g=(refreshInterval:(display:Off,pause:!f,section:0,value:0),time:(from:'2017-12-04T12:00:32-0700',mode:absolute,to:'2017-12-04T14:23:07-0700'))&amp;_a=(columns:!('Message%20ID',Summary),filters:!(),index:'emp_*',interval:auto,query:(query_string:(analyze_wildcard:!t,query:'%22rtdc.l.rtdc.4056%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794</v>
      </c>
      <c r="B183" s="225">
        <v>4055</v>
      </c>
      <c r="C183" s="227" t="s">
        <v>192</v>
      </c>
      <c r="D183" s="227" t="s">
        <v>1035</v>
      </c>
      <c r="E183" s="226">
        <v>43073.558761574073</v>
      </c>
      <c r="F183" s="226">
        <v>43073.570833333331</v>
      </c>
      <c r="G183" s="225">
        <v>69</v>
      </c>
      <c r="H183" s="227" t="s">
        <v>1036</v>
      </c>
      <c r="I183" s="226">
        <v>43073.580381944441</v>
      </c>
      <c r="J183" s="225">
        <v>0</v>
      </c>
      <c r="K183" s="237" t="str">
        <f>IF(ISEVEN(B183),(B183-1)&amp;"/"&amp;B183,B183&amp;"/"&amp;(B183+1))</f>
        <v>4055/4056</v>
      </c>
      <c r="L183" s="245" t="str">
        <f>VLOOKUP(A183,'Trips&amp;Operators'!$C$1:$G$99911,5,FALSE)</f>
        <v>LEVIN SCOTT</v>
      </c>
      <c r="M183" s="224">
        <f>I183-F183</f>
        <v>9.5486111094942316E-3</v>
      </c>
      <c r="N183" s="225">
        <f>24*60*SUM($M183:$M183)</f>
        <v>13.749999997671694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-04T12:24:37-0700',mode:absolute,to:'2017-12-04T14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5.8640999999999996</v>
      </c>
      <c r="Z183" s="247">
        <f>RIGHT(H183,LEN(H183)-4)/10000</f>
        <v>9.4999999999999998E-3</v>
      </c>
      <c r="AA183" s="247">
        <f>ABS(Z183-Y183)</f>
        <v>5.8545999999999996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822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/stypes="app*4055*20171204*" /stext=" 20:.+((SYSTEM_STATE.+slice.+state.+changed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44"/>
        <v>"%USERPROFILE%\Documents\GitHub\eaglep3\Utilities\RefineRTDCRunTimes.py" --tripid 822-04 --locoid 4055 --swversion DE.1.0.9.0 --startMP 300:58641 --initTime 2017-12-04T13:24:37 --startdatetime 2017-12-04T13:42:00 --delay 69 --endMP 204:95 --enddatetime 2017-12-04T13:55:45 --enforcementcount 0 &gt;&gt;%USERPROFILE%\Documents\GitHub\eaglep3-reporting\EC\2017-12-04-refined-times.txt</v>
      </c>
      <c r="AI183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{"issue":{"subject":"","project_id":79,"tracker_id":40,"status_id":1,"priority_id":2,"assigned_to_id":338,"start_date":"2017-12-04","description":"","custom_fields":[{"id":1,"name":"Subdivision","value":"NW"},{"id":4,"name":"Milepost","value":"0.0095"},{"id":17,"name":"Train ID","value":"822-04"},{"id":16,"name":"Locomotive ID","value":"4055"},{"id":130,"name":"Impact","value":""},{"id":150,"name":"Time of Event (Mountain Time)","value":"13:55:45"},{"id":151,"name":"Denver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46"/>
        <v>start /low /b %USERPROFILE%\Documents\GitHub\eaglep3\Utilities\DownloadLogsFromS3.py --loco 4055 --day 2017-12-04</v>
      </c>
      <c r="AN183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48"/>
        <v>https://d0f6bd738d7f1b3e5a7ca70fe4ff75f0.us-east-1.aws.found.io/app/kibana#/discover/Steve-Slow-Train-Analysis-(2080s-and-2083s)?_g=(refreshInterval:(display:Off,pause:!f,section:0,value:0),time:(from:'2017-12-04T12:24:37-0700',mode:absolute,to:'2017-12-04T14:55:45-0700'))&amp;_a=(columns:!('Message%20ID',Summary),filters:!(),index:'emp_*',interval:auto,query:(query_string:(analyze_wildcard:!t,query:'%22rtdc.l.rtdc.4055%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799</v>
      </c>
      <c r="B184" s="225">
        <v>4056</v>
      </c>
      <c r="C184" s="227" t="s">
        <v>192</v>
      </c>
      <c r="D184" s="227" t="s">
        <v>1037</v>
      </c>
      <c r="E184" s="226">
        <v>43073.585104166668</v>
      </c>
      <c r="F184" s="226">
        <v>43073.589768518519</v>
      </c>
      <c r="G184" s="225">
        <v>59</v>
      </c>
      <c r="H184" s="227" t="s">
        <v>1038</v>
      </c>
      <c r="I184" s="226">
        <v>43073.599432870367</v>
      </c>
      <c r="J184" s="225">
        <v>0</v>
      </c>
      <c r="K184" s="237" t="str">
        <f>IF(ISEVEN(B184),(B184-1)&amp;"/"&amp;B184,B184&amp;"/"&amp;(B184+1))</f>
        <v>4055/4056</v>
      </c>
      <c r="L184" s="245" t="str">
        <f>VLOOKUP(A184,'Trips&amp;Operators'!$C$1:$G$99911,5,FALSE)</f>
        <v>LEVIN SCOTT</v>
      </c>
      <c r="M184" s="224">
        <f>I184-F184</f>
        <v>9.6643518481869251E-3</v>
      </c>
      <c r="N184" s="225">
        <f>24*60*SUM($M184:$M184)</f>
        <v>13.916666661389172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-04T13:02:33-0700',mode:absolute,to:'2017-12-04T15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3.95E-2</v>
      </c>
      <c r="Z184" s="247">
        <f>RIGHT(H184,LEN(H184)-4)/10000</f>
        <v>5.8958000000000004</v>
      </c>
      <c r="AA184" s="247">
        <f>ABS(Z184-Y184)</f>
        <v>5.8563000000000001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823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/stypes="app*4056*20171204*" /stext=" 21:.+((SYSTEM_STATE.+slice.+state.+changed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44"/>
        <v>"%USERPROFILE%\Documents\GitHub\eaglep3\Utilities\RefineRTDCRunTimes.py" --tripid 823-04 --locoid 4056 --swversion DE.1.0.9.0 --startMP 204:395 --initTime 2017-12-04T14:02:33 --startdatetime 2017-12-04T14:09:16 --delay 59 --endMP 300:58958 --enddatetime 2017-12-04T14:23:11 --enforcementcount 0 &gt;&gt;%USERPROFILE%\Documents\GitHub\eaglep3-reporting\EC\2017-12-04-refined-times.txt</v>
      </c>
      <c r="AI184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{"issue":{"subject":"","project_id":79,"tracker_id":40,"status_id":1,"priority_id":2,"assigned_to_id":338,"start_date":"2017-12-04","description":"","custom_fields":[{"id":1,"name":"Subdivision","value":"NW"},{"id":4,"name":"Milepost","value":"5.8958"},{"id":17,"name":"Train ID","value":"823-04"},{"id":16,"name":"Locomotive ID","value":"4056"},{"id":130,"name":"Impact","value":""},{"id":150,"name":"Time of Event (Mountain Time)","value":"14:23:11"},{"id":151,"name":"Denver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46"/>
        <v>start /low /b %USERPROFILE%\Documents\GitHub\eaglep3\Utilities\DownloadLogsFromS3.py --loco 4056 --day 2017-12-04</v>
      </c>
      <c r="AN184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48"/>
        <v>https://d0f6bd738d7f1b3e5a7ca70fe4ff75f0.us-east-1.aws.found.io/app/kibana#/discover/Steve-Slow-Train-Analysis-(2080s-and-2083s)?_g=(refreshInterval:(display:Off,pause:!f,section:0,value:0),time:(from:'2017-12-04T13:02:33-0700',mode:absolute,to:'2017-12-04T15:23:11-0700'))&amp;_a=(columns:!('Message%20ID',Summary),filters:!(),index:'emp_*',interval:auto,query:(query_string:(analyze_wildcard:!t,query:'%22rtdc.l.rtdc.4056%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804</v>
      </c>
      <c r="B185" s="225">
        <v>4055</v>
      </c>
      <c r="C185" s="227" t="s">
        <v>192</v>
      </c>
      <c r="D185" s="227" t="s">
        <v>628</v>
      </c>
      <c r="E185" s="226">
        <v>43073.60050925926</v>
      </c>
      <c r="F185" s="226">
        <v>43073.612500000003</v>
      </c>
      <c r="G185" s="225">
        <v>58</v>
      </c>
      <c r="H185" s="227" t="s">
        <v>1039</v>
      </c>
      <c r="I185" s="226">
        <v>43073.621932870374</v>
      </c>
      <c r="J185" s="225">
        <v>0</v>
      </c>
      <c r="K185" s="237" t="str">
        <f>IF(ISEVEN(B185),(B185-1)&amp;"/"&amp;B185,B185&amp;"/"&amp;(B185+1))</f>
        <v>4055/4056</v>
      </c>
      <c r="L185" s="245" t="str">
        <f>VLOOKUP(A185,'Trips&amp;Operators'!$C$1:$G$99911,5,FALSE)</f>
        <v>LEVIN SCOTT</v>
      </c>
      <c r="M185" s="224">
        <f>I185-F185</f>
        <v>9.4328703708015382E-3</v>
      </c>
      <c r="N185" s="225">
        <f>24*60*SUM($M185:$M185)</f>
        <v>13.583333333954215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-04T13:24:44-0700',mode:absolute,to:'2017-12-04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5.8658000000000001</v>
      </c>
      <c r="Z185" s="247">
        <f>RIGHT(H185,LEN(H185)-4)/10000</f>
        <v>0.01</v>
      </c>
      <c r="AA185" s="247">
        <f>ABS(Z185-Y185)</f>
        <v>5.8558000000000003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824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/stypes="app*4055*20171204*" /stext=" 21:.+((SYSTEM_STATE.+slice.+state.+changed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44"/>
        <v>"%USERPROFILE%\Documents\GitHub\eaglep3\Utilities\RefineRTDCRunTimes.py" --tripid 824-04 --locoid 4055 --swversion DE.1.0.9.0 --startMP 300:58658 --initTime 2017-12-04T14:24:44 --startdatetime 2017-12-04T14:42:00 --delay 58 --endMP 204:100 --enddatetime 2017-12-04T14:55:35 --enforcementcount 0 &gt;&gt;%USERPROFILE%\Documents\GitHub\eaglep3-reporting\EC\2017-12-04-refined-times.txt</v>
      </c>
      <c r="AI185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{"issue":{"subject":"","project_id":79,"tracker_id":40,"status_id":1,"priority_id":2,"assigned_to_id":338,"start_date":"2017-12-04","description":"","custom_fields":[{"id":1,"name":"Subdivision","value":"NW"},{"id":4,"name":"Milepost","value":"0.01"},{"id":17,"name":"Train ID","value":"824-04"},{"id":16,"name":"Locomotive ID","value":"4055"},{"id":130,"name":"Impact","value":""},{"id":150,"name":"Time of Event (Mountain Time)","value":"14:55:35"},{"id":151,"name":"Denver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46"/>
        <v>start /low /b %USERPROFILE%\Documents\GitHub\eaglep3\Utilities\DownloadLogsFromS3.py --loco 4055 --day 2017-12-04</v>
      </c>
      <c r="AN185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48"/>
        <v>https://d0f6bd738d7f1b3e5a7ca70fe4ff75f0.us-east-1.aws.found.io/app/kibana#/discover/Steve-Slow-Train-Analysis-(2080s-and-2083s)?_g=(refreshInterval:(display:Off,pause:!f,section:0,value:0),time:(from:'2017-12-04T13:24:44-0700',mode:absolute,to:'2017-12-04T15:55:35-0700'))&amp;_a=(columns:!('Message%20ID',Summary),filters:!(),index:'emp_*',interval:auto,query:(query_string:(analyze_wildcard:!t,query:'%22rtdc.l.rtdc.4055%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25">
      <c r="A186" s="229" t="s">
        <v>810</v>
      </c>
      <c r="B186" s="225">
        <v>4056</v>
      </c>
      <c r="C186" s="227" t="s">
        <v>192</v>
      </c>
      <c r="D186" s="227" t="s">
        <v>1040</v>
      </c>
      <c r="E186" s="226">
        <v>43073.630428240744</v>
      </c>
      <c r="F186" s="226">
        <v>43073.631666666668</v>
      </c>
      <c r="G186" s="225">
        <v>50</v>
      </c>
      <c r="H186" s="227" t="s">
        <v>1041</v>
      </c>
      <c r="I186" s="226">
        <v>43073.641516203701</v>
      </c>
      <c r="J186" s="225">
        <v>0</v>
      </c>
      <c r="K186" s="237" t="str">
        <f>IF(ISEVEN(B186),(B186-1)&amp;"/"&amp;B186,B186&amp;"/"&amp;(B186+1))</f>
        <v>4055/4056</v>
      </c>
      <c r="L186" s="245" t="str">
        <f>VLOOKUP(A186,'Trips&amp;Operators'!$C$1:$G$99911,5,FALSE)</f>
        <v>LEVIN SCOTT</v>
      </c>
      <c r="M186" s="224">
        <f>I186-F186</f>
        <v>9.8495370330056176E-3</v>
      </c>
      <c r="N186" s="225">
        <f>24*60*SUM($M186:$M186)</f>
        <v>14.183333327528089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-04T14:07:49-0700',mode:absolute,to:'2017-12-04T16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4.0800000000000003E-2</v>
      </c>
      <c r="Z186" s="247">
        <f>RIGHT(H186,LEN(H186)-4)/10000</f>
        <v>5.8944000000000001</v>
      </c>
      <c r="AA186" s="247">
        <f>ABS(Z186-Y186)</f>
        <v>5.8536000000000001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825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/stypes="app*4056*20171204*" /stext=" 22:.+((SYSTEM_STATE.+slice.+state.+changed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44"/>
        <v>"%USERPROFILE%\Documents\GitHub\eaglep3\Utilities\RefineRTDCRunTimes.py" --tripid 825-04 --locoid 4056 --swversion DE.1.0.9.0 --startMP 204:408 --initTime 2017-12-04T15:07:49 --startdatetime 2017-12-04T15:09:36 --delay 50 --endMP 300:58944 --enddatetime 2017-12-04T15:23:47 --enforcementcount 0 &gt;&gt;%USERPROFILE%\Documents\GitHub\eaglep3-reporting\EC\2017-12-04-refined-times.txt</v>
      </c>
      <c r="AI186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{"issue":{"subject":"","project_id":79,"tracker_id":40,"status_id":1,"priority_id":2,"assigned_to_id":338,"start_date":"2017-12-04","description":"","custom_fields":[{"id":1,"name":"Subdivision","value":"NW"},{"id":4,"name":"Milepost","value":"5.8944"},{"id":17,"name":"Train ID","value":"825-04"},{"id":16,"name":"Locomotive ID","value":"4056"},{"id":130,"name":"Impact","value":""},{"id":150,"name":"Time of Event (Mountain Time)","value":"15:23:47"},{"id":151,"name":"Denver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46"/>
        <v>start /low /b %USERPROFILE%\Documents\GitHub\eaglep3\Utilities\DownloadLogsFromS3.py --loco 4056 --day 2017-12-04</v>
      </c>
      <c r="AN186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48"/>
        <v>https://d0f6bd738d7f1b3e5a7ca70fe4ff75f0.us-east-1.aws.found.io/app/kibana#/discover/Steve-Slow-Train-Analysis-(2080s-and-2083s)?_g=(refreshInterval:(display:Off,pause:!f,section:0,value:0),time:(from:'2017-12-04T14:07:49-0700',mode:absolute,to:'2017-12-04T16:23:47-0700'))&amp;_a=(columns:!('Message%20ID',Summary),filters:!(),index:'emp_*',interval:auto,query:(query_string:(analyze_wildcard:!t,query:'%22rtdc.l.rtdc.4056%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25">
      <c r="A187" s="229" t="s">
        <v>816</v>
      </c>
      <c r="B187" s="225">
        <v>4055</v>
      </c>
      <c r="C187" s="227" t="s">
        <v>192</v>
      </c>
      <c r="D187" s="227" t="s">
        <v>1042</v>
      </c>
      <c r="E187" s="226">
        <v>43073.642581018517</v>
      </c>
      <c r="F187" s="226">
        <v>43073.654166666667</v>
      </c>
      <c r="G187" s="225">
        <v>50</v>
      </c>
      <c r="H187" s="227" t="s">
        <v>466</v>
      </c>
      <c r="I187" s="226">
        <v>43073.663622685184</v>
      </c>
      <c r="J187" s="225">
        <v>0</v>
      </c>
      <c r="K187" s="237" t="str">
        <f>IF(ISEVEN(B187),(B187-1)&amp;"/"&amp;B187,B187&amp;"/"&amp;(B187+1))</f>
        <v>4055/4056</v>
      </c>
      <c r="L187" s="245" t="str">
        <f>VLOOKUP(A187,'Trips&amp;Operators'!$C$1:$G$99911,5,FALSE)</f>
        <v>LEVIN SCOTT</v>
      </c>
      <c r="M187" s="224">
        <f>I187-F187</f>
        <v>9.4560185170848854E-3</v>
      </c>
      <c r="N187" s="225">
        <f>24*60*SUM($M187:$M187)</f>
        <v>13.616666664602235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-04T14:25:19-0700',mode:absolute,to:'2017-12-04T16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5.8630000000000004</v>
      </c>
      <c r="Z187" s="247">
        <f>RIGHT(H187,LEN(H187)-4)/10000</f>
        <v>1.5800000000000002E-2</v>
      </c>
      <c r="AA187" s="247">
        <f>ABS(Z187-Y187)</f>
        <v>5.8472000000000008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826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/stypes="app*4055*20171204*" /stext=" 22:.+((SYSTEM_STATE.+slice.+state.+changed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44"/>
        <v>"%USERPROFILE%\Documents\GitHub\eaglep3\Utilities\RefineRTDCRunTimes.py" --tripid 826-04 --locoid 4055 --swversion DE.1.0.9.0 --startMP 300:58630 --initTime 2017-12-04T15:25:19 --startdatetime 2017-12-04T15:42:00 --delay 50 --endMP 204:158 --enddatetime 2017-12-04T15:55:37 --enforcementcount 0 &gt;&gt;%USERPROFILE%\Documents\GitHub\eaglep3-reporting\EC\2017-12-04-refined-times.txt</v>
      </c>
      <c r="AI187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{"issue":{"subject":"","project_id":79,"tracker_id":40,"status_id":1,"priority_id":2,"assigned_to_id":338,"start_date":"2017-12-04","description":"","custom_fields":[{"id":1,"name":"Subdivision","value":"NW"},{"id":4,"name":"Milepost","value":"0.0158"},{"id":17,"name":"Train ID","value":"826-04"},{"id":16,"name":"Locomotive ID","value":"4055"},{"id":130,"name":"Impact","value":""},{"id":150,"name":"Time of Event (Mountain Time)","value":"15:55:37"},{"id":151,"name":"Denver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46"/>
        <v>start /low /b %USERPROFILE%\Documents\GitHub\eaglep3\Utilities\DownloadLogsFromS3.py --loco 4055 --day 2017-12-04</v>
      </c>
      <c r="AN187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48"/>
        <v>https://d0f6bd738d7f1b3e5a7ca70fe4ff75f0.us-east-1.aws.found.io/app/kibana#/discover/Steve-Slow-Train-Analysis-(2080s-and-2083s)?_g=(refreshInterval:(display:Off,pause:!f,section:0,value:0),time:(from:'2017-12-04T14:25:19-0700',mode:absolute,to:'2017-12-04T16:55:37-0700'))&amp;_a=(columns:!('Message%20ID',Summary),filters:!(),index:'emp_*',interval:auto,query:(query_string:(analyze_wildcard:!t,query:'%22rtdc.l.rtdc.4055%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25">
      <c r="A188" s="229" t="s">
        <v>817</v>
      </c>
      <c r="B188" s="225">
        <v>4032</v>
      </c>
      <c r="C188" s="227" t="s">
        <v>192</v>
      </c>
      <c r="D188" s="227" t="s">
        <v>449</v>
      </c>
      <c r="E188" s="226">
        <v>43073.644895833335</v>
      </c>
      <c r="F188" s="226">
        <v>43073.652314814812</v>
      </c>
      <c r="G188" s="225">
        <v>78</v>
      </c>
      <c r="H188" s="227" t="s">
        <v>1043</v>
      </c>
      <c r="I188" s="226">
        <v>43073.662129629629</v>
      </c>
      <c r="J188" s="225">
        <v>0</v>
      </c>
      <c r="K188" s="237" t="str">
        <f>IF(ISEVEN(B188),(B188-1)&amp;"/"&amp;B188,B188&amp;"/"&amp;(B188+1))</f>
        <v>4031/4032</v>
      </c>
      <c r="L188" s="245" t="str">
        <f>VLOOKUP(A188,'Trips&amp;Operators'!$C$1:$G$99911,5,FALSE)</f>
        <v>AUSTIN THOMPSON</v>
      </c>
      <c r="M188" s="224">
        <f>I188-F188</f>
        <v>9.8148148172185756E-3</v>
      </c>
      <c r="N188" s="225">
        <f>24*60*SUM($M188:$M188)</f>
        <v>14.133333336794749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-04T14:28:39-0700',mode:absolute,to:'2017-12-04T16:53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4.4600000000000001E-2</v>
      </c>
      <c r="Z188" s="247">
        <f>RIGHT(H188,LEN(H188)-4)/10000</f>
        <v>5.8945999999999996</v>
      </c>
      <c r="AA188" s="247">
        <f>ABS(Z188-Y188)</f>
        <v>5.85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827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/stypes="app*4032*20171204*" /stext=" 22:.+((SYSTEM_STATE.+slice.+state.+changed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44"/>
        <v>"%USERPROFILE%\Documents\GitHub\eaglep3\Utilities\RefineRTDCRunTimes.py" --tripid 827-04 --locoid 4032 --swversion DE.1.0.9.0 --startMP 204:446 --initTime 2017-12-04T15:28:39 --startdatetime 2017-12-04T15:39:20 --delay 78 --endMP 300:58946 --enddatetime 2017-12-04T15:53:28 --enforcementcount 0 &gt;&gt;%USERPROFILE%\Documents\GitHub\eaglep3-reporting\EC\2017-12-04-refined-times.txt</v>
      </c>
      <c r="AI188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{"issue":{"subject":"","project_id":79,"tracker_id":40,"status_id":1,"priority_id":2,"assigned_to_id":338,"start_date":"2017-12-04","description":"","custom_fields":[{"id":1,"name":"Subdivision","value":"NW"},{"id":4,"name":"Milepost","value":"5.8946"},{"id":17,"name":"Train ID","value":"827-04"},{"id":16,"name":"Locomotive ID","value":"4032"},{"id":130,"name":"Impact","value":""},{"id":150,"name":"Time of Event (Mountain Time)","value":"15:53:28"},{"id":151,"name":"Denver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46"/>
        <v>start /low /b %USERPROFILE%\Documents\GitHub\eaglep3\Utilities\DownloadLogsFromS3.py --loco 4032 --day 2017-12-04</v>
      </c>
      <c r="AN188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48"/>
        <v>https://d0f6bd738d7f1b3e5a7ca70fe4ff75f0.us-east-1.aws.found.io/app/kibana#/discover/Steve-Slow-Train-Analysis-(2080s-and-2083s)?_g=(refreshInterval:(display:Off,pause:!f,section:0,value:0),time:(from:'2017-12-04T14:28:39-0700',mode:absolute,to:'2017-12-04T16:53:28-0700'))&amp;_a=(columns:!('Message%20ID',Summary),filters:!(),index:'emp_*',interval:auto,query:(query_string:(analyze_wildcard:!t,query:'%22rtdc.l.rtdc.4032%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822</v>
      </c>
      <c r="B189" s="225">
        <v>4031</v>
      </c>
      <c r="C189" s="227" t="s">
        <v>192</v>
      </c>
      <c r="D189" s="227" t="s">
        <v>1044</v>
      </c>
      <c r="E189" s="226">
        <v>43073.663460648146</v>
      </c>
      <c r="F189" s="226">
        <v>43073.675000000003</v>
      </c>
      <c r="G189" s="225">
        <v>72</v>
      </c>
      <c r="H189" s="227" t="s">
        <v>1018</v>
      </c>
      <c r="I189" s="226">
        <v>43073.683657407404</v>
      </c>
      <c r="J189" s="225">
        <v>0</v>
      </c>
      <c r="K189" s="237" t="str">
        <f>IF(ISEVEN(B189),(B189-1)&amp;"/"&amp;B189,B189&amp;"/"&amp;(B189+1))</f>
        <v>4031/4032</v>
      </c>
      <c r="L189" s="245" t="str">
        <f>VLOOKUP(A189,'Trips&amp;Operators'!$C$1:$G$99911,5,FALSE)</f>
        <v>AUSTIN THOMPSON</v>
      </c>
      <c r="M189" s="224">
        <f>I189-F189</f>
        <v>8.657407401187811E-3</v>
      </c>
      <c r="N189" s="225">
        <f>24*60*SUM($M189:$M189)</f>
        <v>12.466666657710448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-04T14:55:23-0700',mode:absolute,to:'2017-12-04T17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5.8590999999999998</v>
      </c>
      <c r="Z189" s="247">
        <f>RIGHT(H189,LEN(H189)-4)/10000</f>
        <v>1.4200000000000001E-2</v>
      </c>
      <c r="AA189" s="247">
        <f>ABS(Z189-Y189)</f>
        <v>5.8449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828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/stypes="app*4031*20171204*" /stext=" 23:.+((SYSTEM_STATE.+slice.+state.+changed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44"/>
        <v>"%USERPROFILE%\Documents\GitHub\eaglep3\Utilities\RefineRTDCRunTimes.py" --tripid 828-04 --locoid 4031 --swversion DE.1.0.9.0 --startMP 300:58591 --initTime 2017-12-04T15:55:23 --startdatetime 2017-12-04T16:12:00 --delay 72 --endMP 204:142 --enddatetime 2017-12-04T16:24:28 --enforcementcount 0 &gt;&gt;%USERPROFILE%\Documents\GitHub\eaglep3-reporting\EC\2017-12-04-refined-times.txt</v>
      </c>
      <c r="AI189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{"issue":{"subject":"","project_id":79,"tracker_id":40,"status_id":1,"priority_id":2,"assigned_to_id":338,"start_date":"2017-12-04","description":"","custom_fields":[{"id":1,"name":"Subdivision","value":"NW"},{"id":4,"name":"Milepost","value":"0.0142"},{"id":17,"name":"Train ID","value":"828-04"},{"id":16,"name":"Locomotive ID","value":"4031"},{"id":130,"name":"Impact","value":""},{"id":150,"name":"Time of Event (Mountain Time)","value":"16:24:28"},{"id":151,"name":"Denver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46"/>
        <v>start /low /b %USERPROFILE%\Documents\GitHub\eaglep3\Utilities\DownloadLogsFromS3.py --loco 4031 --day 2017-12-04</v>
      </c>
      <c r="AN189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48"/>
        <v>https://d0f6bd738d7f1b3e5a7ca70fe4ff75f0.us-east-1.aws.found.io/app/kibana#/discover/Steve-Slow-Train-Analysis-(2080s-and-2083s)?_g=(refreshInterval:(display:Off,pause:!f,section:0,value:0),time:(from:'2017-12-04T14:55:23-0700',mode:absolute,to:'2017-12-04T17:24:28-0700'))&amp;_a=(columns:!('Message%20ID',Summary),filters:!(),index:'emp_*',interval:auto,query:(query_string:(analyze_wildcard:!t,query:'%22rtdc.l.rtdc.4031%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823</v>
      </c>
      <c r="B190" s="225">
        <v>4056</v>
      </c>
      <c r="C190" s="227" t="s">
        <v>192</v>
      </c>
      <c r="D190" s="227" t="s">
        <v>1045</v>
      </c>
      <c r="E190" s="226">
        <v>43073.665254629632</v>
      </c>
      <c r="F190" s="226">
        <v>43073.673090277778</v>
      </c>
      <c r="G190" s="225">
        <v>57</v>
      </c>
      <c r="H190" s="227" t="s">
        <v>1046</v>
      </c>
      <c r="I190" s="226">
        <v>43073.683217592596</v>
      </c>
      <c r="J190" s="225">
        <v>0</v>
      </c>
      <c r="K190" s="237" t="str">
        <f>IF(ISEVEN(B190),(B190-1)&amp;"/"&amp;B190,B190&amp;"/"&amp;(B190+1))</f>
        <v>4055/4056</v>
      </c>
      <c r="L190" s="245" t="str">
        <f>VLOOKUP(A190,'Trips&amp;Operators'!$C$1:$G$99911,5,FALSE)</f>
        <v>LEVIN SCOTT</v>
      </c>
      <c r="M190" s="224">
        <f>I190-F190</f>
        <v>1.0127314817509614E-2</v>
      </c>
      <c r="N190" s="225">
        <f>24*60*SUM($M190:$M190)</f>
        <v>14.583333337213844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-04T14:57:58-0700',mode:absolute,to:'2017-12-04T17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4.19E-2</v>
      </c>
      <c r="Z190" s="247">
        <f>RIGHT(H190,LEN(H190)-4)/10000</f>
        <v>5.8954000000000004</v>
      </c>
      <c r="AA190" s="247">
        <f>ABS(Z190-Y190)</f>
        <v>5.8535000000000004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829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/stypes="app*4056*20171204*" /stext=" 23:.+((SYSTEM_STATE.+slice.+state.+changed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44"/>
        <v>"%USERPROFILE%\Documents\GitHub\eaglep3\Utilities\RefineRTDCRunTimes.py" --tripid 829-04 --locoid 4056 --swversion DE.1.0.9.0 --startMP 204:419 --initTime 2017-12-04T15:57:58 --startdatetime 2017-12-04T16:09:15 --delay 57 --endMP 300:58954 --enddatetime 2017-12-04T16:23:50 --enforcementcount 0 &gt;&gt;%USERPROFILE%\Documents\GitHub\eaglep3-reporting\EC\2017-12-04-refined-times.txt</v>
      </c>
      <c r="AI190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{"issue":{"subject":"","project_id":79,"tracker_id":40,"status_id":1,"priority_id":2,"assigned_to_id":338,"start_date":"2017-12-04","description":"","custom_fields":[{"id":1,"name":"Subdivision","value":"NW"},{"id":4,"name":"Milepost","value":"5.8954"},{"id":17,"name":"Train ID","value":"829-04"},{"id":16,"name":"Locomotive ID","value":"4056"},{"id":130,"name":"Impact","value":""},{"id":150,"name":"Time of Event (Mountain Time)","value":"16:23:50"},{"id":151,"name":"Denver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46"/>
        <v>start /low /b %USERPROFILE%\Documents\GitHub\eaglep3\Utilities\DownloadLogsFromS3.py --loco 4056 --day 2017-12-04</v>
      </c>
      <c r="AN190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48"/>
        <v>https://d0f6bd738d7f1b3e5a7ca70fe4ff75f0.us-east-1.aws.found.io/app/kibana#/discover/Steve-Slow-Train-Analysis-(2080s-and-2083s)?_g=(refreshInterval:(display:Off,pause:!f,section:0,value:0),time:(from:'2017-12-04T14:57:58-0700',mode:absolute,to:'2017-12-04T17:23:50-0700'))&amp;_a=(columns:!('Message%20ID',Summary),filters:!(),index:'emp_*',interval:auto,query:(query_string:(analyze_wildcard:!t,query:'%22rtdc.l.rtdc.4056%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9" t="s">
        <v>829</v>
      </c>
      <c r="B191" s="225">
        <v>4055</v>
      </c>
      <c r="C191" s="227" t="s">
        <v>192</v>
      </c>
      <c r="D191" s="227" t="s">
        <v>1035</v>
      </c>
      <c r="E191" s="226">
        <v>43073.684629629628</v>
      </c>
      <c r="F191" s="226">
        <v>43073.695833333331</v>
      </c>
      <c r="G191" s="225">
        <v>54</v>
      </c>
      <c r="H191" s="227" t="s">
        <v>1047</v>
      </c>
      <c r="I191" s="226">
        <v>43073.705428240741</v>
      </c>
      <c r="J191" s="225">
        <v>0</v>
      </c>
      <c r="K191" s="237" t="str">
        <f>IF(ISEVEN(B191),(B191-1)&amp;"/"&amp;B191,B191&amp;"/"&amp;(B191+1))</f>
        <v>4055/4056</v>
      </c>
      <c r="L191" s="245" t="str">
        <f>VLOOKUP(A191,'Trips&amp;Operators'!$C$1:$G$99911,5,FALSE)</f>
        <v>LEVIN SCOTT</v>
      </c>
      <c r="M191" s="224">
        <f>I191-F191</f>
        <v>9.5949074093368836E-3</v>
      </c>
      <c r="N191" s="225">
        <f>24*60*SUM($M191:$M191)</f>
        <v>13.816666669445112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-04T15:25:52-0700',mode:absolute,to:'2017-12-04T17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5.8640999999999996</v>
      </c>
      <c r="Z191" s="247">
        <f>RIGHT(H191,LEN(H191)-4)/10000</f>
        <v>1.2E-2</v>
      </c>
      <c r="AA191" s="247">
        <f>ABS(Z191-Y191)</f>
        <v>5.8521000000000001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830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/stypes="app*4055*20171204*" /stext=" 23:.+((SYSTEM_STATE.+slice.+state.+changed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44"/>
        <v>"%USERPROFILE%\Documents\GitHub\eaglep3\Utilities\RefineRTDCRunTimes.py" --tripid 830-04 --locoid 4055 --swversion DE.1.0.9.0 --startMP 300:58641 --initTime 2017-12-04T16:25:52 --startdatetime 2017-12-04T16:42:00 --delay 54 --endMP 204:120 --enddatetime 2017-12-04T16:55:49 --enforcementcount 0 &gt;&gt;%USERPROFILE%\Documents\GitHub\eaglep3-reporting\EC\2017-12-04-refined-times.txt</v>
      </c>
      <c r="AI191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{"issue":{"subject":"","project_id":79,"tracker_id":40,"status_id":1,"priority_id":2,"assigned_to_id":338,"start_date":"2017-12-04","description":"","custom_fields":[{"id":1,"name":"Subdivision","value":"NW"},{"id":4,"name":"Milepost","value":"0.012"},{"id":17,"name":"Train ID","value":"830-04"},{"id":16,"name":"Locomotive ID","value":"4055"},{"id":130,"name":"Impact","value":""},{"id":150,"name":"Time of Event (Mountain Time)","value":"16:55:49"},{"id":151,"name":"Denver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46"/>
        <v>start /low /b %USERPROFILE%\Documents\GitHub\eaglep3\Utilities\DownloadLogsFromS3.py --loco 4055 --day 2017-12-04</v>
      </c>
      <c r="AN191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48"/>
        <v>https://d0f6bd738d7f1b3e5a7ca70fe4ff75f0.us-east-1.aws.found.io/app/kibana#/discover/Steve-Slow-Train-Analysis-(2080s-and-2083s)?_g=(refreshInterval:(display:Off,pause:!f,section:0,value:0),time:(from:'2017-12-04T15:25:52-0700',mode:absolute,to:'2017-12-04T17:55:49-0700'))&amp;_a=(columns:!('Message%20ID',Summary),filters:!(),index:'emp_*',interval:auto,query:(query_string:(analyze_wildcard:!t,query:'%22rtdc.l.rtdc.4055%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830</v>
      </c>
      <c r="B192" s="225">
        <v>4032</v>
      </c>
      <c r="C192" s="227" t="s">
        <v>192</v>
      </c>
      <c r="D192" s="227" t="s">
        <v>1048</v>
      </c>
      <c r="E192" s="226">
        <v>43073.684965277775</v>
      </c>
      <c r="F192" s="226">
        <v>43073.69394675926</v>
      </c>
      <c r="G192" s="225">
        <v>67</v>
      </c>
      <c r="H192" s="227" t="s">
        <v>1049</v>
      </c>
      <c r="I192" s="226">
        <v>43073.704131944447</v>
      </c>
      <c r="J192" s="225">
        <v>0</v>
      </c>
      <c r="K192" s="237" t="str">
        <f>IF(ISEVEN(B192),(B192-1)&amp;"/"&amp;B192,B192&amp;"/"&amp;(B192+1))</f>
        <v>4031/4032</v>
      </c>
      <c r="L192" s="245" t="str">
        <f>VLOOKUP(A192,'Trips&amp;Operators'!$C$1:$G$99911,5,FALSE)</f>
        <v>AUSTIN THOMPSON</v>
      </c>
      <c r="M192" s="224">
        <f>I192-F192</f>
        <v>1.0185185186855961E-2</v>
      </c>
      <c r="N192" s="225">
        <f>24*60*SUM($M192:$M192)</f>
        <v>14.666666669072583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-04T15:26:21-0700',mode:absolute,to:'2017-12-04T17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4.48E-2</v>
      </c>
      <c r="Z192" s="247">
        <f>RIGHT(H192,LEN(H192)-4)/10000</f>
        <v>5.8963000000000001</v>
      </c>
      <c r="AA192" s="247">
        <f>ABS(Z192-Y192)</f>
        <v>5.8514999999999997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831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/stypes="app*4032*20171204*" /stext=" 23:.+((SYSTEM_STATE.+slice.+state.+changed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44"/>
        <v>"%USERPROFILE%\Documents\GitHub\eaglep3\Utilities\RefineRTDCRunTimes.py" --tripid 831-04 --locoid 4032 --swversion DE.1.0.9.0 --startMP 204:448 --initTime 2017-12-04T16:26:21 --startdatetime 2017-12-04T16:39:17 --delay 67 --endMP 300:58963 --enddatetime 2017-12-04T16:53:57 --enforcementcount 0 &gt;&gt;%USERPROFILE%\Documents\GitHub\eaglep3-reporting\EC\2017-12-04-refined-times.txt</v>
      </c>
      <c r="AI192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{"issue":{"subject":"","project_id":79,"tracker_id":40,"status_id":1,"priority_id":2,"assigned_to_id":338,"start_date":"2017-12-04","description":"","custom_fields":[{"id":1,"name":"Subdivision","value":"NW"},{"id":4,"name":"Milepost","value":"5.8963"},{"id":17,"name":"Train ID","value":"831-04"},{"id":16,"name":"Locomotive ID","value":"4032"},{"id":130,"name":"Impact","value":""},{"id":150,"name":"Time of Event (Mountain Time)","value":"16:53:57"},{"id":151,"name":"Denver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46"/>
        <v>start /low /b %USERPROFILE%\Documents\GitHub\eaglep3\Utilities\DownloadLogsFromS3.py --loco 4032 --day 2017-12-04</v>
      </c>
      <c r="AN192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48"/>
        <v>https://d0f6bd738d7f1b3e5a7ca70fe4ff75f0.us-east-1.aws.found.io/app/kibana#/discover/Steve-Slow-Train-Analysis-(2080s-and-2083s)?_g=(refreshInterval:(display:Off,pause:!f,section:0,value:0),time:(from:'2017-12-04T15:26:21-0700',mode:absolute,to:'2017-12-04T17:53:57-0700'))&amp;_a=(columns:!('Message%20ID',Summary),filters:!(),index:'emp_*',interval:auto,query:(query_string:(analyze_wildcard:!t,query:'%22rtdc.l.rtdc.4032%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670</v>
      </c>
      <c r="B193" s="225">
        <v>4031</v>
      </c>
      <c r="C193" s="227" t="s">
        <v>192</v>
      </c>
      <c r="D193" s="227" t="s">
        <v>1050</v>
      </c>
      <c r="E193" s="226">
        <v>43073.716331018521</v>
      </c>
      <c r="F193" s="226">
        <v>43073.717731481483</v>
      </c>
      <c r="G193" s="225">
        <v>63</v>
      </c>
      <c r="H193" s="227" t="s">
        <v>1018</v>
      </c>
      <c r="I193" s="226">
        <v>43073.728773148148</v>
      </c>
      <c r="J193" s="225">
        <v>1</v>
      </c>
      <c r="K193" s="237" t="str">
        <f>IF(ISEVEN(B193),(B193-1)&amp;"/"&amp;B193,B193&amp;"/"&amp;(B193+1))</f>
        <v>4031/4032</v>
      </c>
      <c r="L193" s="245" t="str">
        <f>VLOOKUP(A193,'Trips&amp;Operators'!$C$1:$G$99911,5,FALSE)</f>
        <v>AUSTIN THOMPSON</v>
      </c>
      <c r="M193" s="224">
        <f>I193-F193</f>
        <v>1.1041666664823424E-2</v>
      </c>
      <c r="N193" s="225">
        <f>24*60*SUM($M193:$M193)</f>
        <v>15.899999997345731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-04T16:11:31-0700',mode:absolute,to:'2017-12-04T18:29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247" t="str">
        <f>IF(AA193&lt;VLOOKUP(AG193,Variables!$AC$3:$AD$8,2,FALSE),"Y","N")</f>
        <v>N</v>
      </c>
      <c r="X193" s="247">
        <f t="shared" ref="X193:X196" si="50">VALUE(LEFT(AD193,4))-VALUE(LEFT(AD192,4))</f>
        <v>1</v>
      </c>
      <c r="Y193" s="247">
        <f>RIGHT(D193,LEN(D193)-4)/10000</f>
        <v>5.7251000000000003</v>
      </c>
      <c r="Z193" s="247">
        <f>RIGHT(H193,LEN(H193)-4)/10000</f>
        <v>1.4200000000000001E-2</v>
      </c>
      <c r="AA193" s="247">
        <f>ABS(Z193-Y193)</f>
        <v>5.7109000000000005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832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/stypes="app*4031*20171205*" /stext=" 00:.+((SYSTEM_STATE.+slice.+state.+changed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44"/>
        <v>"%USERPROFILE%\Documents\GitHub\eaglep3\Utilities\RefineRTDCRunTimes.py" --tripid 832-04 --locoid 4031 --swversion DE.1.0.9.0 --startMP 300:57251 --initTime 2017-12-04T17:11:31 --startdatetime 2017-12-04T17:13:32 --delay 63 --endMP 204:142 --enddatetime 2017-12-04T17:29:26 --enforcementcount 1 &gt;&gt;%USERPROFILE%\Documents\GitHub\eaglep3-reporting\EC\2017-12-04-refined-times.txt</v>
      </c>
      <c r="AI193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{"issue":{"subject":"","project_id":79,"tracker_id":40,"status_id":1,"priority_id":2,"assigned_to_id":338,"start_date":"2017-12-04","description":"","custom_fields":[{"id":1,"name":"Subdivision","value":"NW"},{"id":4,"name":"Milepost","value":"0.0142"},{"id":17,"name":"Train ID","value":"832-04"},{"id":16,"name":"Locomotive ID","value":"4031"},{"id":130,"name":"Impact","value":""},{"id":150,"name":"Time of Event (Mountain Time)","value":"17:29:26"},{"id":151,"name":"Denver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46"/>
        <v>start /low /b %USERPROFILE%\Documents\GitHub\eaglep3\Utilities\DownloadLogsFromS3.py --loco 4031 --day 2017-12-04</v>
      </c>
      <c r="AN193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00:29:26"},{"id":29,"name":"Sharepoint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48"/>
        <v>https://d0f6bd738d7f1b3e5a7ca70fe4ff75f0.us-east-1.aws.found.io/app/kibana#/discover/Steve-Slow-Train-Analysis-(2080s-and-2083s)?_g=(refreshInterval:(display:Off,pause:!f,section:0,value:0),time:(from:'2017-12-04T16:11:31-0700',mode:absolute,to:'2017-12-04T18:29:26-0700'))&amp;_a=(columns:!('Message%20ID',Summary),filters:!(),index:'emp_*',interval:auto,query:(query_string:(analyze_wildcard:!t,query:'%22rtdc.l.rtdc.4031%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836</v>
      </c>
      <c r="B194" s="225">
        <v>4056</v>
      </c>
      <c r="C194" s="227" t="s">
        <v>192</v>
      </c>
      <c r="D194" s="227" t="s">
        <v>1051</v>
      </c>
      <c r="E194" s="226">
        <v>43073.709861111114</v>
      </c>
      <c r="F194" s="226">
        <v>43073.714942129627</v>
      </c>
      <c r="G194" s="225">
        <v>69</v>
      </c>
      <c r="H194" s="227" t="s">
        <v>1052</v>
      </c>
      <c r="I194" s="226">
        <v>43073.726377314815</v>
      </c>
      <c r="J194" s="225">
        <v>0</v>
      </c>
      <c r="K194" s="237" t="str">
        <f>IF(ISEVEN(B194),(B194-1)&amp;"/"&amp;B194,B194&amp;"/"&amp;(B194+1))</f>
        <v>4055/4056</v>
      </c>
      <c r="L194" s="245" t="str">
        <f>VLOOKUP(A194,'Trips&amp;Operators'!$C$1:$G$99911,5,FALSE)</f>
        <v>LEVIN SCOTT</v>
      </c>
      <c r="M194" s="224">
        <f>I194-F194</f>
        <v>1.1435185188020114E-2</v>
      </c>
      <c r="N194" s="225">
        <f>24*60*SUM($M194:$M194)</f>
        <v>16.466666670748964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-04T16:02:12-0700',mode:absolute,to:'2017-12-04T18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4" s="247" t="str">
        <f>IF(AA194&lt;VLOOKUP(AG194,Variables!$AC$3:$AD$8,2,FALSE),"Y","N")</f>
        <v>N</v>
      </c>
      <c r="X194" s="247">
        <f t="shared" si="50"/>
        <v>1</v>
      </c>
      <c r="Y194" s="247">
        <f>RIGHT(D194,LEN(D194)-4)/10000</f>
        <v>4.0599999999999997E-2</v>
      </c>
      <c r="Z194" s="247">
        <f>RIGHT(H194,LEN(H194)-4)/10000</f>
        <v>5.8940999999999999</v>
      </c>
      <c r="AA194" s="247">
        <f>ABS(Z194-Y194)</f>
        <v>5.8534999999999995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833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/stypes="app*4056*20171205*" /stext=" 00:.+((SYSTEM_STATE.+slice.+state.+changed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44"/>
        <v>"%USERPROFILE%\Documents\GitHub\eaglep3\Utilities\RefineRTDCRunTimes.py" --tripid 833-04 --locoid 4056 --swversion DE.1.0.9.0 --startMP 204:406 --initTime 2017-12-04T17:02:12 --startdatetime 2017-12-04T17:09:31 --delay 69 --endMP 300:58941 --enddatetime 2017-12-04T17:25:59 --enforcementcount 0 &gt;&gt;%USERPROFILE%\Documents\GitHub\eaglep3-reporting\EC\2017-12-04-refined-times.txt</v>
      </c>
      <c r="AI194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{"issue":{"subject":"","project_id":79,"tracker_id":40,"status_id":1,"priority_id":2,"assigned_to_id":338,"start_date":"2017-12-04","description":"","custom_fields":[{"id":1,"name":"Subdivision","value":"NW"},{"id":4,"name":"Milepost","value":"5.8941"},{"id":17,"name":"Train ID","value":"833-04"},{"id":16,"name":"Locomotive ID","value":"4056"},{"id":130,"name":"Impact","value":""},{"id":150,"name":"Time of Event (Mountain Time)","value":"17:25:59"},{"id":151,"name":"Denver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46"/>
        <v>start /low /b %USERPROFILE%\Documents\GitHub\eaglep3\Utilities\DownloadLogsFromS3.py --loco 4056 --day 2017-12-04</v>
      </c>
      <c r="AN194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48"/>
        <v>https://d0f6bd738d7f1b3e5a7ca70fe4ff75f0.us-east-1.aws.found.io/app/kibana#/discover/Steve-Slow-Train-Analysis-(2080s-and-2083s)?_g=(refreshInterval:(display:Off,pause:!f,section:0,value:0),time:(from:'2017-12-04T16:02:12-0700',mode:absolute,to:'2017-12-04T18:25:59-0700'))&amp;_a=(columns:!('Message%20ID',Summary),filters:!(),index:'emp_*',interval:auto,query:(query_string:(analyze_wildcard:!t,query:'%22rtdc.l.rtdc.4056%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844</v>
      </c>
      <c r="B195" s="225">
        <v>4055</v>
      </c>
      <c r="C195" s="227" t="s">
        <v>192</v>
      </c>
      <c r="D195" s="227" t="s">
        <v>1042</v>
      </c>
      <c r="E195" s="226">
        <v>43073.729814814818</v>
      </c>
      <c r="F195" s="226">
        <v>43073.737500000003</v>
      </c>
      <c r="G195" s="225">
        <v>78</v>
      </c>
      <c r="H195" s="227" t="s">
        <v>1053</v>
      </c>
      <c r="I195" s="226">
        <v>43073.747118055559</v>
      </c>
      <c r="J195" s="225">
        <v>0</v>
      </c>
      <c r="K195" s="237" t="str">
        <f>IF(ISEVEN(B195),(B195-1)&amp;"/"&amp;B195,B195&amp;"/"&amp;(B195+1))</f>
        <v>4055/4056</v>
      </c>
      <c r="L195" s="245" t="str">
        <f>VLOOKUP(A195,'Trips&amp;Operators'!$C$1:$G$99911,5,FALSE)</f>
        <v>LEVIN SCOTT</v>
      </c>
      <c r="M195" s="224">
        <f>I195-F195</f>
        <v>9.6180555556202307E-3</v>
      </c>
      <c r="N195" s="225">
        <f>24*60*SUM($M195:$M195)</f>
        <v>13.850000000093132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-04T16:30:56-0700',mode:absolute,to:'2017-12-04T18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5" s="247" t="str">
        <f>IF(AA195&lt;VLOOKUP(AG195,Variables!$AC$3:$AD$8,2,FALSE),"Y","N")</f>
        <v>N</v>
      </c>
      <c r="X195" s="247">
        <f t="shared" si="50"/>
        <v>1</v>
      </c>
      <c r="Y195" s="247">
        <f>RIGHT(D195,LEN(D195)-4)/10000</f>
        <v>5.8630000000000004</v>
      </c>
      <c r="Z195" s="247">
        <f>RIGHT(H195,LEN(H195)-4)/10000</f>
        <v>1.1299999999999999E-2</v>
      </c>
      <c r="AA195" s="247">
        <f>ABS(Z195-Y195)</f>
        <v>5.8517000000000001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834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/stypes="app*4055*20171205*" /stext=" 00:.+((SYSTEM_STATE.+slice.+state.+changed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44"/>
        <v>"%USERPROFILE%\Documents\GitHub\eaglep3\Utilities\RefineRTDCRunTimes.py" --tripid 834-04 --locoid 4055 --swversion DE.1.0.9.0 --startMP 300:58630 --initTime 2017-12-04T17:30:56 --startdatetime 2017-12-04T17:42:00 --delay 78 --endMP 204:113 --enddatetime 2017-12-04T17:55:51 --enforcementcount 0 &gt;&gt;%USERPROFILE%\Documents\GitHub\eaglep3-reporting\EC\2017-12-04-refined-times.txt</v>
      </c>
      <c r="AI195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{"issue":{"subject":"","project_id":79,"tracker_id":40,"status_id":1,"priority_id":2,"assigned_to_id":338,"start_date":"2017-12-04","description":"","custom_fields":[{"id":1,"name":"Subdivision","value":"NW"},{"id":4,"name":"Milepost","value":"0.0113"},{"id":17,"name":"Train ID","value":"834-04"},{"id":16,"name":"Locomotive ID","value":"4055"},{"id":130,"name":"Impact","value":""},{"id":150,"name":"Time of Event (Mountain Time)","value":"17:55:51"},{"id":151,"name":"Denver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46"/>
        <v>start /low /b %USERPROFILE%\Documents\GitHub\eaglep3\Utilities\DownloadLogsFromS3.py --loco 4055 --day 2017-12-04</v>
      </c>
      <c r="AN195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48"/>
        <v>https://d0f6bd738d7f1b3e5a7ca70fe4ff75f0.us-east-1.aws.found.io/app/kibana#/discover/Steve-Slow-Train-Analysis-(2080s-and-2083s)?_g=(refreshInterval:(display:Off,pause:!f,section:0,value:0),time:(from:'2017-12-04T16:30:56-0700',mode:absolute,to:'2017-12-04T18:55:51-0700'))&amp;_a=(columns:!('Message%20ID',Summary),filters:!(),index:'emp_*',interval:auto,query:(query_string:(analyze_wildcard:!t,query:'%22rtdc.l.rtdc.4055%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838</v>
      </c>
      <c r="B196" s="225">
        <v>4032</v>
      </c>
      <c r="C196" s="227" t="s">
        <v>192</v>
      </c>
      <c r="D196" s="227" t="s">
        <v>1054</v>
      </c>
      <c r="E196" s="226">
        <v>43073.731261574074</v>
      </c>
      <c r="F196" s="226">
        <v>43073.735671296294</v>
      </c>
      <c r="G196" s="225">
        <v>61</v>
      </c>
      <c r="H196" s="227" t="s">
        <v>1055</v>
      </c>
      <c r="I196" s="226">
        <v>43073.745821759258</v>
      </c>
      <c r="J196" s="225">
        <v>0</v>
      </c>
      <c r="K196" s="237" t="str">
        <f>IF(ISEVEN(B196),(B196-1)&amp;"/"&amp;B196,B196&amp;"/"&amp;(B196+1))</f>
        <v>4031/4032</v>
      </c>
      <c r="L196" s="245" t="str">
        <f>VLOOKUP(A196,'Trips&amp;Operators'!$C$1:$G$99911,5,FALSE)</f>
        <v>AUSTIN THOMPSON</v>
      </c>
      <c r="M196" s="224">
        <f>I196-F196</f>
        <v>1.0150462963792961E-2</v>
      </c>
      <c r="N196" s="225">
        <f>24*60*SUM($M196:$M196)</f>
        <v>14.616666667861864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-04T16:33:01-0700',mode:absolute,to:'2017-12-04T18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247" t="str">
        <f>IF(AA196&lt;VLOOKUP(AG196,Variables!$AC$3:$AD$8,2,FALSE),"Y","N")</f>
        <v>N</v>
      </c>
      <c r="X196" s="247">
        <f t="shared" si="50"/>
        <v>1</v>
      </c>
      <c r="Y196" s="247">
        <f>RIGHT(D196,LEN(D196)-4)/10000</f>
        <v>4.53E-2</v>
      </c>
      <c r="Z196" s="247">
        <f>RIGHT(H196,LEN(H196)-4)/10000</f>
        <v>5.8956</v>
      </c>
      <c r="AA196" s="247">
        <f>ABS(Z196-Y196)</f>
        <v>5.8502999999999998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835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/stypes="app*4032*20171205*" /stext=" 00:.+((SYSTEM_STATE.+slice.+state.+changed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44"/>
        <v>"%USERPROFILE%\Documents\GitHub\eaglep3\Utilities\RefineRTDCRunTimes.py" --tripid 835-04 --locoid 4032 --swversion DE.1.0.9.0 --startMP 204:453 --initTime 2017-12-04T17:33:01 --startdatetime 2017-12-04T17:39:22 --delay 61 --endMP 300:58956 --enddatetime 2017-12-04T17:53:59 --enforcementcount 0 &gt;&gt;%USERPROFILE%\Documents\GitHub\eaglep3-reporting\EC\2017-12-04-refined-times.txt</v>
      </c>
      <c r="AI196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{"issue":{"subject":"","project_id":79,"tracker_id":40,"status_id":1,"priority_id":2,"assigned_to_id":338,"start_date":"2017-12-04","description":"","custom_fields":[{"id":1,"name":"Subdivision","value":"NW"},{"id":4,"name":"Milepost","value":"5.8956"},{"id":17,"name":"Train ID","value":"835-04"},{"id":16,"name":"Locomotive ID","value":"4032"},{"id":130,"name":"Impact","value":""},{"id":150,"name":"Time of Event (Mountain Time)","value":"17:53:59"},{"id":151,"name":"Denver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46"/>
        <v>start /low /b %USERPROFILE%\Documents\GitHub\eaglep3\Utilities\DownloadLogsFromS3.py --loco 4032 --day 2017-12-04</v>
      </c>
      <c r="AN196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48"/>
        <v>https://d0f6bd738d7f1b3e5a7ca70fe4ff75f0.us-east-1.aws.found.io/app/kibana#/discover/Steve-Slow-Train-Analysis-(2080s-and-2083s)?_g=(refreshInterval:(display:Off,pause:!f,section:0,value:0),time:(from:'2017-12-04T16:33:01-0700',mode:absolute,to:'2017-12-04T18:53:59-0700'))&amp;_a=(columns:!('Message%20ID',Summary),filters:!(),index:'emp_*',interval:auto,query:(query_string:(analyze_wildcard:!t,query:'%22rtdc.l.rtdc.4032%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25">
      <c r="A197" s="229" t="s">
        <v>849</v>
      </c>
      <c r="B197" s="225">
        <v>4031</v>
      </c>
      <c r="C197" s="227" t="s">
        <v>192</v>
      </c>
      <c r="D197" s="227" t="s">
        <v>1054</v>
      </c>
      <c r="E197" s="226">
        <v>43073.731261574074</v>
      </c>
      <c r="F197" s="226">
        <v>43073.759074074071</v>
      </c>
      <c r="G197" s="225">
        <v>61</v>
      </c>
      <c r="H197" s="227" t="s">
        <v>1055</v>
      </c>
      <c r="I197" s="226">
        <v>43073.767627314817</v>
      </c>
      <c r="J197" s="225">
        <v>0</v>
      </c>
      <c r="K197" s="237" t="str">
        <f>IF(ISEVEN(B197),(B197-1)&amp;"/"&amp;B197,B197&amp;"/"&amp;(B197+1))</f>
        <v>4031/4032</v>
      </c>
      <c r="L197" s="245" t="str">
        <f>VLOOKUP(A197,'Trips&amp;Operators'!$C$1:$G$99911,5,FALSE)</f>
        <v>AUSTIN THOMPSON</v>
      </c>
      <c r="M197" s="224">
        <f>I197-F197</f>
        <v>8.5532407465507276E-3</v>
      </c>
      <c r="N197" s="225">
        <f>24*60*SUM($M197:$M197)</f>
        <v>12.316666675033048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-04T16:33:01-0700',mode:absolute,to:'2017-12-04T19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247" t="str">
        <f>IF(AA197&lt;VLOOKUP(AG197,Variables!$AC$3:$AD$8,2,FALSE),"Y","N")</f>
        <v>N</v>
      </c>
      <c r="X197" s="247">
        <f t="shared" ref="X197:X198" si="51">VALUE(LEFT(AD197,4))-VALUE(LEFT(AD196,4))</f>
        <v>1</v>
      </c>
      <c r="Y197" s="247">
        <v>5.8630000000000004</v>
      </c>
      <c r="Z197" s="247">
        <v>1.1299999999999999E-2</v>
      </c>
      <c r="AA197" s="247">
        <f>ABS(Z197-Y197)</f>
        <v>5.8517000000000001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836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/stypes="app*4031*20171205*"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ref="AH197" si="52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836-04 --locoid 4031 --swversion DE.1.0.9.0 --startMP 204:453 --initTime 2017-12-04T17:33:01 --startdatetime 2017-12-04T18:13:04 --delay 61 --endMP 300:58956 --enddatetime 2017-12-04T18:25:23 --enforcementcount 0 &gt;&gt;%USERPROFILE%\Documents\GitHub\eaglep3-reporting\EC\2017-12-04-refined-times.txt</v>
      </c>
      <c r="AI197" s="238" t="str">
        <f t="shared" ref="AI197" si="53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{"issue":{"subject":"","project_id":79,"tracker_id":40,"status_id":1,"priority_id":2,"assigned_to_id":338,"start_date":"2017-12-04","description":"","custom_fields":[{"id":1,"name":"Subdivision","value":"NW"},{"id":4,"name":"Milepost","value":"0.0113"},{"id":17,"name":"Train ID","value":"836-04"},{"id":16,"name":"Locomotive ID","value":"4031"},{"id":130,"name":"Impact","value":""},{"id":150,"name":"Time of Event (Mountain Time)","value":"18:25:23"},{"id":151,"name":"Denver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ref="AM197" si="54">"start /low /b "&amp;dls3logs&amp;" --loco "&amp;B197&amp;" --day "&amp;TEXT(F197,"YYYY-MM-DD")</f>
        <v>start /low /b %USERPROFILE%\Documents\GitHub\eaglep3\Utilities\DownloadLogsFromS3.py --loco 4031 --day 2017-12-04</v>
      </c>
      <c r="AN197" s="241" t="str">
        <f t="shared" ref="AN197" si="55"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ref="AO197" si="56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-04T16:33:01-0700',mode:absolute,to:'2017-12-04T19:25:23-0700'))&amp;_a=(columns:!('Message%20ID',Summary),filters:!(),index:'emp_*',interval:auto,query:(query_string:(analyze_wildcard:!t,query:'%22rtdc.l.rtdc.4031%22')),sort:!(Time.ISO8601,asc))</v>
      </c>
    </row>
    <row r="198" spans="1:91" s="20" customFormat="1" x14ac:dyDescent="0.25">
      <c r="A198" s="229" t="s">
        <v>852</v>
      </c>
      <c r="B198" s="225">
        <v>4056</v>
      </c>
      <c r="C198" s="227" t="s">
        <v>192</v>
      </c>
      <c r="D198" s="227" t="s">
        <v>1040</v>
      </c>
      <c r="E198" s="226">
        <v>43073.750462962962</v>
      </c>
      <c r="F198" s="226">
        <v>43073.756469907406</v>
      </c>
      <c r="G198" s="225">
        <v>68</v>
      </c>
      <c r="H198" s="227" t="s">
        <v>1056</v>
      </c>
      <c r="I198" s="226">
        <v>43073.766712962963</v>
      </c>
      <c r="J198" s="225">
        <v>0</v>
      </c>
      <c r="K198" s="237" t="str">
        <f>IF(ISEVEN(B198),(B198-1)&amp;"/"&amp;B198,B198&amp;"/"&amp;(B198+1))</f>
        <v>4055/4056</v>
      </c>
      <c r="L198" s="245" t="str">
        <f>VLOOKUP(A198,'Trips&amp;Operators'!$C$1:$G$99911,5,FALSE)</f>
        <v>KILLION DAVID</v>
      </c>
      <c r="M198" s="224">
        <f>I198-F198</f>
        <v>1.0243055556202307E-2</v>
      </c>
      <c r="N198" s="225">
        <f>24*60*SUM($M198:$M198)</f>
        <v>14.750000000931323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-04T17:00:40-0700',mode:absolute,to:'2017-12-04T19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247" t="str">
        <f>IF(AA198&lt;VLOOKUP(AG198,Variables!$AC$3:$AD$8,2,FALSE),"Y","N")</f>
        <v>N</v>
      </c>
      <c r="X198" s="247">
        <f t="shared" si="51"/>
        <v>1</v>
      </c>
      <c r="Y198" s="247">
        <f>RIGHT(D198,LEN(D198)-4)/10000</f>
        <v>4.0800000000000003E-2</v>
      </c>
      <c r="Z198" s="247">
        <f>RIGHT(H198,LEN(H198)-4)/10000</f>
        <v>5.8997000000000002</v>
      </c>
      <c r="AA198" s="247">
        <f>ABS(Z198-Y198)</f>
        <v>5.8589000000000002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837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/stypes="app*4056*20171205*" /stext=" 01:.+((SYSTEM_STATE.+slice.+state.+changed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44"/>
        <v>"%USERPROFILE%\Documents\GitHub\eaglep3\Utilities\RefineRTDCRunTimes.py" --tripid 837-04 --locoid 4056 --swversion DE.1.0.9.0 --startMP 204:408 --initTime 2017-12-04T18:00:40 --startdatetime 2017-12-04T18:09:19 --delay 68 --endMP 300:58997 --enddatetime 2017-12-04T18:24:04 --enforcementcount 0 &gt;&gt;%USERPROFILE%\Documents\GitHub\eaglep3-reporting\EC\2017-12-04-refined-times.txt</v>
      </c>
      <c r="AI198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{"issue":{"subject":"","project_id":79,"tracker_id":40,"status_id":1,"priority_id":2,"assigned_to_id":338,"start_date":"2017-12-04","description":"","custom_fields":[{"id":1,"name":"Subdivision","value":"NW"},{"id":4,"name":"Milepost","value":"5.8997"},{"id":17,"name":"Train ID","value":"837-04"},{"id":16,"name":"Locomotive ID","value":"4056"},{"id":130,"name":"Impact","value":""},{"id":150,"name":"Time of Event (Mountain Time)","value":"18:24:04"},{"id":151,"name":"Denver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46"/>
        <v>start /low /b %USERPROFILE%\Documents\GitHub\eaglep3\Utilities\DownloadLogsFromS3.py --loco 4056 --day 2017-12-04</v>
      </c>
      <c r="AN198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48"/>
        <v>https://d0f6bd738d7f1b3e5a7ca70fe4ff75f0.us-east-1.aws.found.io/app/kibana#/discover/Steve-Slow-Train-Analysis-(2080s-and-2083s)?_g=(refreshInterval:(display:Off,pause:!f,section:0,value:0),time:(from:'2017-12-04T17:00:40-0700',mode:absolute,to:'2017-12-04T19:24:04-0700'))&amp;_a=(columns:!('Message%20ID',Summary),filters:!(),index:'emp_*',interval:auto,query:(query_string:(analyze_wildcard:!t,query:'%22rtdc.l.rtdc.4056%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671</v>
      </c>
      <c r="B199" s="225">
        <v>4055</v>
      </c>
      <c r="C199" s="227" t="s">
        <v>192</v>
      </c>
      <c r="D199" s="227" t="s">
        <v>1057</v>
      </c>
      <c r="E199" s="226">
        <v>43073.768425925926</v>
      </c>
      <c r="F199" s="226">
        <v>43073.779166666667</v>
      </c>
      <c r="G199" s="225">
        <v>65</v>
      </c>
      <c r="H199" s="227" t="s">
        <v>1058</v>
      </c>
      <c r="I199" s="226">
        <v>43073.786782407406</v>
      </c>
      <c r="J199" s="225">
        <v>1</v>
      </c>
      <c r="K199" s="237" t="str">
        <f>IF(ISEVEN(B199),(B199-1)&amp;"/"&amp;B199,B199&amp;"/"&amp;(B199+1))</f>
        <v>4055/4056</v>
      </c>
      <c r="L199" s="245" t="str">
        <f>VLOOKUP(A199,'Trips&amp;Operators'!$C$1:$G$99911,5,FALSE)</f>
        <v>KILLION DAVID</v>
      </c>
      <c r="M199" s="224">
        <f>I199-F199</f>
        <v>7.6157407384016551E-3</v>
      </c>
      <c r="N199" s="225">
        <f>24*60*SUM($M199:$M199)</f>
        <v>10.966666663298383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-04T17:26:32-0700',mode:absolute,to:'2017-12-04T19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5.8681000000000001</v>
      </c>
      <c r="Z199" s="247">
        <f>RIGHT(H199,LEN(H199)-4)/10000</f>
        <v>0.45040000000000002</v>
      </c>
      <c r="AA199" s="247">
        <f>ABS(Z199-Y199)</f>
        <v>5.4177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838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/stypes="app*4055*20171205*" /stext=" 01:.+((SYSTEM_STATE.+slice.+state.+changed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44"/>
        <v>"%USERPROFILE%\Documents\GitHub\eaglep3\Utilities\RefineRTDCRunTimes.py" --tripid 838-04 --locoid 4055 --swversion DE.1.0.9.0 --startMP 300:58681 --initTime 2017-12-04T18:26:32 --startdatetime 2017-12-04T18:42:00 --delay 65 --endMP 204:4504 --enddatetime 2017-12-04T18:52:58 --enforcementcount 1 &gt;&gt;%USERPROFILE%\Documents\GitHub\eaglep3-reporting\EC\2017-12-04-refined-times.txt</v>
      </c>
      <c r="AI199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{"issue":{"subject":"","project_id":79,"tracker_id":40,"status_id":1,"priority_id":2,"assigned_to_id":338,"start_date":"2017-12-04","description":"","custom_fields":[{"id":1,"name":"Subdivision","value":"NW"},{"id":4,"name":"Milepost","value":"0.4504"},{"id":17,"name":"Train ID","value":"838-04"},{"id":16,"name":"Locomotive ID","value":"4055"},{"id":130,"name":"Impact","value":""},{"id":150,"name":"Time of Event (Mountain Time)","value":"18:52:58"},{"id":151,"name":"Denver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46"/>
        <v>start /low /b %USERPROFILE%\Documents\GitHub\eaglep3\Utilities\DownloadLogsFromS3.py --loco 4055 --day 2017-12-04</v>
      </c>
      <c r="AN199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48"/>
        <v>https://d0f6bd738d7f1b3e5a7ca70fe4ff75f0.us-east-1.aws.found.io/app/kibana#/discover/Steve-Slow-Train-Analysis-(2080s-and-2083s)?_g=(refreshInterval:(display:Off,pause:!f,section:0,value:0),time:(from:'2017-12-04T17:26:32-0700',mode:absolute,to:'2017-12-04T19:52:58-0700'))&amp;_a=(columns:!('Message%20ID',Summary),filters:!(),index:'emp_*',interval:auto,query:(query_string:(analyze_wildcard:!t,query:'%22rtdc.l.rtdc.4055%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856</v>
      </c>
      <c r="B200" s="225">
        <v>4032</v>
      </c>
      <c r="C200" s="227" t="s">
        <v>192</v>
      </c>
      <c r="D200" s="227" t="s">
        <v>543</v>
      </c>
      <c r="E200" s="226">
        <v>43073.769143518519</v>
      </c>
      <c r="F200" s="226">
        <v>43073.777650462966</v>
      </c>
      <c r="G200" s="225">
        <v>69</v>
      </c>
      <c r="H200" s="227" t="s">
        <v>1013</v>
      </c>
      <c r="I200" s="226">
        <v>43073.78707175926</v>
      </c>
      <c r="J200" s="225">
        <v>0</v>
      </c>
      <c r="K200" s="237" t="str">
        <f>IF(ISEVEN(B200),(B200-1)&amp;"/"&amp;B200,B200&amp;"/"&amp;(B200+1))</f>
        <v>4031/4032</v>
      </c>
      <c r="L200" s="245" t="str">
        <f>VLOOKUP(A200,'Trips&amp;Operators'!$C$1:$G$99911,5,FALSE)</f>
        <v>AUSTIN THOMPSON</v>
      </c>
      <c r="M200" s="224">
        <f>I200-F200</f>
        <v>9.4212962940218858E-3</v>
      </c>
      <c r="N200" s="225">
        <f>24*60*SUM($M200:$M200)</f>
        <v>13.566666663391516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-04T17:27:34-0700',mode:absolute,to:'2017-12-04T19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4.4400000000000002E-2</v>
      </c>
      <c r="Z200" s="247">
        <f>RIGHT(H200,LEN(H200)-4)/10000</f>
        <v>5.8924000000000003</v>
      </c>
      <c r="AA200" s="247">
        <f>ABS(Z200-Y200)</f>
        <v>5.8479999999999999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839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/stypes="app*4032*20171205*" /stext=" 01:.+((SYSTEM_STATE.+slice.+state.+changed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44"/>
        <v>"%USERPROFILE%\Documents\GitHub\eaglep3\Utilities\RefineRTDCRunTimes.py" --tripid 839-04 --locoid 4032 --swversion DE.1.0.9.0 --startMP 204:444 --initTime 2017-12-04T18:27:34 --startdatetime 2017-12-04T18:39:49 --delay 69 --endMP 300:58924 --enddatetime 2017-12-04T18:53:23 --enforcementcount 0 &gt;&gt;%USERPROFILE%\Documents\GitHub\eaglep3-reporting\EC\2017-12-04-refined-times.txt</v>
      </c>
      <c r="AI200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{"issue":{"subject":"","project_id":79,"tracker_id":40,"status_id":1,"priority_id":2,"assigned_to_id":338,"start_date":"2017-12-04","description":"","custom_fields":[{"id":1,"name":"Subdivision","value":"NW"},{"id":4,"name":"Milepost","value":"5.8924"},{"id":17,"name":"Train ID","value":"839-04"},{"id":16,"name":"Locomotive ID","value":"4032"},{"id":130,"name":"Impact","value":""},{"id":150,"name":"Time of Event (Mountain Time)","value":"18:53:23"},{"id":151,"name":"Denver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46"/>
        <v>start /low /b %USERPROFILE%\Documents\GitHub\eaglep3\Utilities\DownloadLogsFromS3.py --loco 4032 --day 2017-12-04</v>
      </c>
      <c r="AN200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48"/>
        <v>https://d0f6bd738d7f1b3e5a7ca70fe4ff75f0.us-east-1.aws.found.io/app/kibana#/discover/Steve-Slow-Train-Analysis-(2080s-and-2083s)?_g=(refreshInterval:(display:Off,pause:!f,section:0,value:0),time:(from:'2017-12-04T17:27:34-0700',mode:absolute,to:'2017-12-04T19:53:23-0700'))&amp;_a=(columns:!('Message%20ID',Summary),filters:!(),index:'emp_*',interval:auto,query:(query_string:(analyze_wildcard:!t,query:'%22rtdc.l.rtdc.4032%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867</v>
      </c>
      <c r="B201" s="225">
        <v>4055</v>
      </c>
      <c r="C201" s="227" t="s">
        <v>192</v>
      </c>
      <c r="D201" s="227" t="s">
        <v>1059</v>
      </c>
      <c r="E201" s="226">
        <v>43073.809421296297</v>
      </c>
      <c r="F201" s="226">
        <v>43073.820833333331</v>
      </c>
      <c r="G201" s="225">
        <v>58</v>
      </c>
      <c r="H201" s="227" t="s">
        <v>1060</v>
      </c>
      <c r="I201" s="226">
        <v>43073.830439814818</v>
      </c>
      <c r="J201" s="225">
        <v>0</v>
      </c>
      <c r="K201" s="237" t="str">
        <f>IF(ISEVEN(B201),(B201-1)&amp;"/"&amp;B201,B201&amp;"/"&amp;(B201+1))</f>
        <v>4055/4056</v>
      </c>
      <c r="L201" s="245" t="str">
        <f>VLOOKUP(A201,'Trips&amp;Operators'!$C$1:$G$99911,5,FALSE)</f>
        <v>GUNTHIER ERIC</v>
      </c>
      <c r="M201" s="224">
        <f>I201-F201</f>
        <v>9.606481486116536E-3</v>
      </c>
      <c r="N201" s="225">
        <f>24*60*SUM($M201:$M201)</f>
        <v>13.833333340007812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-04T18:25:34-0700',mode:absolute,to:'2017-12-04T20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5.8654999999999999</v>
      </c>
      <c r="Z201" s="247">
        <f>RIGHT(H201,LEN(H201)-4)/10000</f>
        <v>1.35E-2</v>
      </c>
      <c r="AA201" s="247">
        <f>ABS(Z201-Y201)</f>
        <v>5.8520000000000003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840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/stypes="app*4055*20171205*"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44"/>
        <v>"%USERPROFILE%\Documents\GitHub\eaglep3\Utilities\RefineRTDCRunTimes.py" --tripid 840-04 --locoid 4055 --swversion DE.1.0.9.0 --startMP 300:58655 --initTime 2017-12-04T19:25:34 --startdatetime 2017-12-04T19:42:00 --delay 58 --endMP 204:135 --enddatetime 2017-12-04T19:55:50 --enforcementcount 0 &gt;&gt;%USERPROFILE%\Documents\GitHub\eaglep3-reporting\EC\2017-12-04-refined-times.txt</v>
      </c>
      <c r="AI201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{"issue":{"subject":"","project_id":79,"tracker_id":40,"status_id":1,"priority_id":2,"assigned_to_id":338,"start_date":"2017-12-04","description":"","custom_fields":[{"id":1,"name":"Subdivision","value":"NW"},{"id":4,"name":"Milepost","value":"0.0135"},{"id":17,"name":"Train ID","value":"840-04"},{"id":16,"name":"Locomotive ID","value":"4055"},{"id":130,"name":"Impact","value":""},{"id":150,"name":"Time of Event (Mountain Time)","value":"19:55:50"},{"id":151,"name":"Denver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46"/>
        <v>start /low /b %USERPROFILE%\Documents\GitHub\eaglep3\Utilities\DownloadLogsFromS3.py --loco 4055 --day 2017-12-04</v>
      </c>
      <c r="AN201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48"/>
        <v>https://d0f6bd738d7f1b3e5a7ca70fe4ff75f0.us-east-1.aws.found.io/app/kibana#/discover/Steve-Slow-Train-Analysis-(2080s-and-2083s)?_g=(refreshInterval:(display:Off,pause:!f,section:0,value:0),time:(from:'2017-12-04T18:25:34-0700',mode:absolute,to:'2017-12-04T20:55:50-0700'))&amp;_a=(columns:!('Message%20ID',Summary),filters:!(),index:'emp_*',interval:auto,query:(query_string:(analyze_wildcard:!t,query:'%22rtdc.l.rtdc.4055%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862</v>
      </c>
      <c r="B202" s="225">
        <v>4056</v>
      </c>
      <c r="C202" s="227" t="s">
        <v>192</v>
      </c>
      <c r="D202" s="227" t="s">
        <v>1061</v>
      </c>
      <c r="E202" s="226">
        <v>43073.793206018519</v>
      </c>
      <c r="F202" s="226">
        <v>43073.798101851855</v>
      </c>
      <c r="G202" s="225">
        <v>56</v>
      </c>
      <c r="H202" s="227" t="s">
        <v>1062</v>
      </c>
      <c r="I202" s="226">
        <v>43073.807986111111</v>
      </c>
      <c r="J202" s="225">
        <v>0</v>
      </c>
      <c r="K202" s="237" t="str">
        <f>IF(ISEVEN(B202),(B202-1)&amp;"/"&amp;B202,B202&amp;"/"&amp;(B202+1))</f>
        <v>4055/4056</v>
      </c>
      <c r="L202" s="245" t="str">
        <f>VLOOKUP(A202,'Trips&amp;Operators'!$C$1:$G$99911,5,FALSE)</f>
        <v>GUNTHIER ERIC</v>
      </c>
      <c r="M202" s="224">
        <f>I202-F202</f>
        <v>9.8842592560686171E-3</v>
      </c>
      <c r="N202" s="225">
        <f>24*60*SUM($M202:$M202)</f>
        <v>14.233333328738809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-04T18:02:13-0700',mode:absolute,to:'2017-12-04T20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3.9899999999999998E-2</v>
      </c>
      <c r="Z202" s="247">
        <f>RIGHT(H202,LEN(H202)-4)/10000</f>
        <v>5.8982000000000001</v>
      </c>
      <c r="AA202" s="247">
        <f>ABS(Z202-Y202)</f>
        <v>5.8582999999999998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841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/stypes="app*4056*20171205*" /stext=" 02:.+((SYSTEM_STATE.+slice.+state.+changed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44"/>
        <v>"%USERPROFILE%\Documents\GitHub\eaglep3\Utilities\RefineRTDCRunTimes.py" --tripid 841-04 --locoid 4056 --swversion DE.1.0.9.0 --startMP 204:399 --initTime 2017-12-04T19:02:13 --startdatetime 2017-12-04T19:09:16 --delay 56 --endMP 300:58982 --enddatetime 2017-12-04T19:23:30 --enforcementcount 0 &gt;&gt;%USERPROFILE%\Documents\GitHub\eaglep3-reporting\EC\2017-12-04-refined-times.txt</v>
      </c>
      <c r="AI202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{"issue":{"subject":"","project_id":79,"tracker_id":40,"status_id":1,"priority_id":2,"assigned_to_id":338,"start_date":"2017-12-04","description":"","custom_fields":[{"id":1,"name":"Subdivision","value":"NW"},{"id":4,"name":"Milepost","value":"5.8982"},{"id":17,"name":"Train ID","value":"841-04"},{"id":16,"name":"Locomotive ID","value":"4056"},{"id":130,"name":"Impact","value":""},{"id":150,"name":"Time of Event (Mountain Time)","value":"19:23:30"},{"id":151,"name":"Denver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46"/>
        <v>start /low /b %USERPROFILE%\Documents\GitHub\eaglep3\Utilities\DownloadLogsFromS3.py --loco 4056 --day 2017-12-04</v>
      </c>
      <c r="AN202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48"/>
        <v>https://d0f6bd738d7f1b3e5a7ca70fe4ff75f0.us-east-1.aws.found.io/app/kibana#/discover/Steve-Slow-Train-Analysis-(2080s-and-2083s)?_g=(refreshInterval:(display:Off,pause:!f,section:0,value:0),time:(from:'2017-12-04T18:02:13-0700',mode:absolute,to:'2017-12-04T20:23:30-0700'))&amp;_a=(columns:!('Message%20ID',Summary),filters:!(),index:'emp_*',interval:auto,query:(query_string:(analyze_wildcard:!t,query:'%22rtdc.l.rtdc.4056%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874</v>
      </c>
      <c r="B203" s="225">
        <v>4055</v>
      </c>
      <c r="C203" s="227" t="s">
        <v>192</v>
      </c>
      <c r="D203" s="227" t="s">
        <v>1063</v>
      </c>
      <c r="E203" s="226">
        <v>43073.850219907406</v>
      </c>
      <c r="F203" s="226">
        <v>43073.862500000003</v>
      </c>
      <c r="G203" s="225">
        <v>82</v>
      </c>
      <c r="H203" s="227" t="s">
        <v>1064</v>
      </c>
      <c r="I203" s="226">
        <v>43073.871967592589</v>
      </c>
      <c r="J203" s="225">
        <v>0</v>
      </c>
      <c r="K203" s="237" t="str">
        <f>IF(ISEVEN(B203),(B203-1)&amp;"/"&amp;B203,B203&amp;"/"&amp;(B203+1))</f>
        <v>4055/4056</v>
      </c>
      <c r="L203" s="245" t="str">
        <f>VLOOKUP(A203,'Trips&amp;Operators'!$C$1:$G$99911,5,FALSE)</f>
        <v>LEVIN SCOTT</v>
      </c>
      <c r="M203" s="224">
        <f>I203-F203</f>
        <v>9.4675925865885802E-3</v>
      </c>
      <c r="N203" s="225">
        <f>24*60*SUM($M203:$M203)</f>
        <v>13.633333324687555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-04T19:24:19-0700',mode:absolute,to:'2017-12-04T21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5.8624000000000001</v>
      </c>
      <c r="Z203" s="247">
        <f>RIGHT(H203,LEN(H203)-4)/10000</f>
        <v>1.17E-2</v>
      </c>
      <c r="AA203" s="247">
        <f>ABS(Z203-Y203)</f>
        <v>5.8506999999999998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842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/stypes="app*4055*20171205*" /stext=" 03:.+((SYSTEM_STATE.+slice.+state.+changed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44"/>
        <v>"%USERPROFILE%\Documents\GitHub\eaglep3\Utilities\RefineRTDCRunTimes.py" --tripid 842-04 --locoid 4055 --swversion DE.1.0.9.0 --startMP 300:58624 --initTime 2017-12-04T20:24:19 --startdatetime 2017-12-04T20:42:00 --delay 82 --endMP 204:117 --enddatetime 2017-12-04T20:55:38 --enforcementcount 0 &gt;&gt;%USERPROFILE%\Documents\GitHub\eaglep3-reporting\EC\2017-12-04-refined-times.txt</v>
      </c>
      <c r="AI203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{"issue":{"subject":"","project_id":79,"tracker_id":40,"status_id":1,"priority_id":2,"assigned_to_id":338,"start_date":"2017-12-04","description":"","custom_fields":[{"id":1,"name":"Subdivision","value":"NW"},{"id":4,"name":"Milepost","value":"0.0117"},{"id":17,"name":"Train ID","value":"842-04"},{"id":16,"name":"Locomotive ID","value":"4055"},{"id":130,"name":"Impact","value":""},{"id":150,"name":"Time of Event (Mountain Time)","value":"20:55:38"},{"id":151,"name":"Denver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46"/>
        <v>start /low /b %USERPROFILE%\Documents\GitHub\eaglep3\Utilities\DownloadLogsFromS3.py --loco 4055 --day 2017-12-04</v>
      </c>
      <c r="AN203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48"/>
        <v>https://d0f6bd738d7f1b3e5a7ca70fe4ff75f0.us-east-1.aws.found.io/app/kibana#/discover/Steve-Slow-Train-Analysis-(2080s-and-2083s)?_g=(refreshInterval:(display:Off,pause:!f,section:0,value:0),time:(from:'2017-12-04T19:24:19-0700',mode:absolute,to:'2017-12-04T21:55:38-0700'))&amp;_a=(columns:!('Message%20ID',Summary),filters:!(),index:'emp_*',interval:auto,query:(query_string:(analyze_wildcard:!t,query:'%22rtdc.l.rtdc.4055%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871</v>
      </c>
      <c r="B204" s="225">
        <v>4056</v>
      </c>
      <c r="C204" s="227" t="s">
        <v>192</v>
      </c>
      <c r="D204" s="227" t="s">
        <v>1029</v>
      </c>
      <c r="E204" s="226">
        <v>43073.83326388889</v>
      </c>
      <c r="F204" s="226">
        <v>43073.839768518519</v>
      </c>
      <c r="G204" s="225">
        <v>106</v>
      </c>
      <c r="H204" s="227" t="s">
        <v>514</v>
      </c>
      <c r="I204" s="226">
        <v>43073.849374999998</v>
      </c>
      <c r="J204" s="225">
        <v>0</v>
      </c>
      <c r="K204" s="237" t="str">
        <f>IF(ISEVEN(B204),(B204-1)&amp;"/"&amp;B204,B204&amp;"/"&amp;(B204+1))</f>
        <v>4055/4056</v>
      </c>
      <c r="L204" s="245" t="str">
        <f>VLOOKUP(A204,'Trips&amp;Operators'!$C$1:$G$99911,5,FALSE)</f>
        <v>LEVIN SCOTT</v>
      </c>
      <c r="M204" s="224">
        <f>I204-F204</f>
        <v>9.6064814788405783E-3</v>
      </c>
      <c r="N204" s="225">
        <f>24*60*SUM($M204:$M204)</f>
        <v>13.833333329530433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-04T18:59:54-0700',mode:absolute,to:'2017-12-04T21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4.1700000000000001E-2</v>
      </c>
      <c r="Z204" s="247">
        <f>RIGHT(H204,LEN(H204)-4)/10000</f>
        <v>5.8935000000000004</v>
      </c>
      <c r="AA204" s="247">
        <f>ABS(Z204-Y204)</f>
        <v>5.8518000000000008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843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/stypes="app*4056*20171205*" /stext=" 03:.+((SYSTEM_STATE.+slice.+state.+changed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44"/>
        <v>"%USERPROFILE%\Documents\GitHub\eaglep3\Utilities\RefineRTDCRunTimes.py" --tripid 843-04 --locoid 4056 --swversion DE.1.0.9.0 --startMP 204:417 --initTime 2017-12-04T19:59:54 --startdatetime 2017-12-04T20:09:16 --delay 106 --endMP 300:58935 --enddatetime 2017-12-04T20:23:06 --enforcementcount 0 &gt;&gt;%USERPROFILE%\Documents\GitHub\eaglep3-reporting\EC\2017-12-04-refined-times.txt</v>
      </c>
      <c r="AI204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{"issue":{"subject":"","project_id":79,"tracker_id":40,"status_id":1,"priority_id":2,"assigned_to_id":338,"start_date":"2017-12-04","description":"","custom_fields":[{"id":1,"name":"Subdivision","value":"NW"},{"id":4,"name":"Milepost","value":"5.8935"},{"id":17,"name":"Train ID","value":"843-04"},{"id":16,"name":"Locomotive ID","value":"4056"},{"id":130,"name":"Impact","value":""},{"id":150,"name":"Time of Event (Mountain Time)","value":"20:23:06"},{"id":151,"name":"Denver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46"/>
        <v>start /low /b %USERPROFILE%\Documents\GitHub\eaglep3\Utilities\DownloadLogsFromS3.py --loco 4056 --day 2017-12-04</v>
      </c>
      <c r="AN204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03:23:06"},{"id":29,"name":"Sharepoint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48"/>
        <v>https://d0f6bd738d7f1b3e5a7ca70fe4ff75f0.us-east-1.aws.found.io/app/kibana#/discover/Steve-Slow-Train-Analysis-(2080s-and-2083s)?_g=(refreshInterval:(display:Off,pause:!f,section:0,value:0),time:(from:'2017-12-04T18:59:54-0700',mode:absolute,to:'2017-12-04T21:23:06-0700'))&amp;_a=(columns:!('Message%20ID',Summary),filters:!(),index:'emp_*',interval:auto,query:(query_string:(analyze_wildcard:!t,query:'%22rtdc.l.rtdc.4056%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879</v>
      </c>
      <c r="B205" s="225">
        <v>4055</v>
      </c>
      <c r="C205" s="227" t="s">
        <v>192</v>
      </c>
      <c r="D205" s="227" t="s">
        <v>1065</v>
      </c>
      <c r="E205" s="226">
        <v>43073.892222222225</v>
      </c>
      <c r="F205" s="226">
        <v>43073.923148148147</v>
      </c>
      <c r="G205" s="225">
        <v>66</v>
      </c>
      <c r="H205" s="227" t="s">
        <v>1060</v>
      </c>
      <c r="I205" s="226">
        <v>43073.932013888887</v>
      </c>
      <c r="J205" s="225">
        <v>0</v>
      </c>
      <c r="K205" s="237" t="str">
        <f>IF(ISEVEN(B205),(B205-1)&amp;"/"&amp;B205,B205&amp;"/"&amp;(B205+1))</f>
        <v>4055/4056</v>
      </c>
      <c r="L205" s="245" t="str">
        <f>VLOOKUP(A205,'Trips&amp;Operators'!$C$1:$G$99911,5,FALSE)</f>
        <v>AUSTIN THOMPSON</v>
      </c>
      <c r="M205" s="224">
        <f>I205-F205</f>
        <v>8.8657407395658083E-3</v>
      </c>
      <c r="N205" s="225">
        <f>24*60*SUM($M205:$M205)</f>
        <v>12.766666664974764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-04T20:24:48-0700',mode:absolute,to:'2017-12-04T23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5" s="247" t="str">
        <f>IF(AA205&lt;VLOOKUP(AG205,Variables!$AC$3:$AD$8,2,FALSE),"Y","N")</f>
        <v>N</v>
      </c>
      <c r="X205" s="247">
        <f>VALUE(LEFT(AD205,4))-VALUE(LEFT(AD204,4))</f>
        <v>1</v>
      </c>
      <c r="Y205" s="247">
        <f>RIGHT(D205,LEN(D205)-4)/10000</f>
        <v>5.8635999999999999</v>
      </c>
      <c r="Z205" s="247">
        <f>RIGHT(H205,LEN(H205)-4)/10000</f>
        <v>1.35E-2</v>
      </c>
      <c r="AA205" s="247">
        <f>ABS(Z205-Y205)</f>
        <v>5.8501000000000003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844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/stypes="app*4055*20171205*" /stext=" 05:.+((SYSTEM_STATE.+slice.+state.+changed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44"/>
        <v>"%USERPROFILE%\Documents\GitHub\eaglep3\Utilities\RefineRTDCRunTimes.py" --tripid 844-04 --locoid 4055 --swversion DE.1.0.9.0 --startMP 300:58636 --initTime 2017-12-04T21:24:48 --startdatetime 2017-12-04T22:09:20 --delay 66 --endMP 204:135 --enddatetime 2017-12-04T22:22:06 --enforcementcount 0 &gt;&gt;%USERPROFILE%\Documents\GitHub\eaglep3-reporting\EC\2017-12-04-refined-times.txt</v>
      </c>
      <c r="AI205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{"issue":{"subject":"","project_id":79,"tracker_id":40,"status_id":1,"priority_id":2,"assigned_to_id":338,"start_date":"2017-12-04","description":"","custom_fields":[{"id":1,"name":"Subdivision","value":"NW"},{"id":4,"name":"Milepost","value":"0.0135"},{"id":17,"name":"Train ID","value":"844-04"},{"id":16,"name":"Locomotive ID","value":"4055"},{"id":130,"name":"Impact","value":""},{"id":150,"name":"Time of Event (Mountain Time)","value":"22:22:06"},{"id":151,"name":"Denver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46"/>
        <v>start /low /b %USERPROFILE%\Documents\GitHub\eaglep3\Utilities\DownloadLogsFromS3.py --loco 4055 --day 2017-12-04</v>
      </c>
      <c r="AN205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48"/>
        <v>https://d0f6bd738d7f1b3e5a7ca70fe4ff75f0.us-east-1.aws.found.io/app/kibana#/discover/Steve-Slow-Train-Analysis-(2080s-and-2083s)?_g=(refreshInterval:(display:Off,pause:!f,section:0,value:0),time:(from:'2017-12-04T20:24:48-0700',mode:absolute,to:'2017-12-04T23:22:06-0700'))&amp;_a=(columns:!('Message%20ID',Summary),filters:!(),index:'emp_*',interval:auto,query:(query_string:(analyze_wildcard:!t,query:'%22rtdc.l.rtdc.4055%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876</v>
      </c>
      <c r="B206" s="225">
        <v>4056</v>
      </c>
      <c r="C206" s="227" t="s">
        <v>192</v>
      </c>
      <c r="D206" s="227" t="s">
        <v>1045</v>
      </c>
      <c r="E206" s="226">
        <v>43073.873888888891</v>
      </c>
      <c r="F206" s="226">
        <v>43073.881423611114</v>
      </c>
      <c r="G206" s="225">
        <v>72</v>
      </c>
      <c r="H206" s="227" t="s">
        <v>1066</v>
      </c>
      <c r="I206" s="226">
        <v>43073.891157407408</v>
      </c>
      <c r="J206" s="225">
        <v>0</v>
      </c>
      <c r="K206" s="237" t="str">
        <f>IF(ISEVEN(B206),(B206-1)&amp;"/"&amp;B206,B206&amp;"/"&amp;(B206+1))</f>
        <v>4055/4056</v>
      </c>
      <c r="L206" s="245" t="str">
        <f>VLOOKUP(A206,'Trips&amp;Operators'!$C$1:$G$99911,5,FALSE)</f>
        <v>AUSTIN THOMPSON</v>
      </c>
      <c r="M206" s="224">
        <f>I206-F206</f>
        <v>9.7337962943129241E-3</v>
      </c>
      <c r="N206" s="225">
        <f>24*60*SUM($M206:$M206)</f>
        <v>14.016666663810611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-04T19:58:24-0700',mode:absolute,to:'2017-12-04T22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6" s="247" t="str">
        <f>IF(AA206&lt;VLOOKUP(AG206,Variables!$AC$3:$AD$8,2,FALSE),"Y","N")</f>
        <v>N</v>
      </c>
      <c r="X206" s="247">
        <f>VALUE(LEFT(AD206,4))-VALUE(LEFT(AD205,4))</f>
        <v>1</v>
      </c>
      <c r="Y206" s="247">
        <f>RIGHT(D206,LEN(D206)-4)/10000</f>
        <v>4.19E-2</v>
      </c>
      <c r="Z206" s="247">
        <f>RIGHT(H206,LEN(H206)-4)/10000</f>
        <v>5.8948</v>
      </c>
      <c r="AA206" s="247">
        <f>ABS(Z206-Y206)</f>
        <v>5.8529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845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/stypes="app*4056*20171205*" /stext=" 04:.+((SYSTEM_STATE.+slice.+state.+changed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si="44"/>
        <v>"%USERPROFILE%\Documents\GitHub\eaglep3\Utilities\RefineRTDCRunTimes.py" --tripid 845-04 --locoid 4056 --swversion DE.1.0.9.0 --startMP 204:419 --initTime 2017-12-04T20:58:24 --startdatetime 2017-12-04T21:09:15 --delay 72 --endMP 300:58948 --enddatetime 2017-12-04T21:23:16 --enforcementcount 0 &gt;&gt;%USERPROFILE%\Documents\GitHub\eaglep3-reporting\EC\2017-12-04-refined-times.txt</v>
      </c>
      <c r="AI206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{"issue":{"subject":"","project_id":79,"tracker_id":40,"status_id":1,"priority_id":2,"assigned_to_id":338,"start_date":"2017-12-04","description":"","custom_fields":[{"id":1,"name":"Subdivision","value":"NW"},{"id":4,"name":"Milepost","value":"5.8948"},{"id":17,"name":"Train ID","value":"845-04"},{"id":16,"name":"Locomotive ID","value":"4056"},{"id":130,"name":"Impact","value":""},{"id":150,"name":"Time of Event (Mountain Time)","value":"21:23:16"},{"id":151,"name":"Denver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46"/>
        <v>start /low /b %USERPROFILE%\Documents\GitHub\eaglep3\Utilities\DownloadLogsFromS3.py --loco 4056 --day 2017-12-04</v>
      </c>
      <c r="AN206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04:23:16"},{"id":29,"name":"Sharepoint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48"/>
        <v>https://d0f6bd738d7f1b3e5a7ca70fe4ff75f0.us-east-1.aws.found.io/app/kibana#/discover/Steve-Slow-Train-Analysis-(2080s-and-2083s)?_g=(refreshInterval:(display:Off,pause:!f,section:0,value:0),time:(from:'2017-12-04T19:58:24-0700',mode:absolute,to:'2017-12-04T22:23:16-0700'))&amp;_a=(columns:!('Message%20ID',Summary),filters:!(),index:'emp_*',interval:auto,query:(query_string:(analyze_wildcard:!t,query:'%22rtdc.l.rtdc.4056%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884</v>
      </c>
      <c r="B207" s="225">
        <v>4055</v>
      </c>
      <c r="C207" s="227" t="s">
        <v>192</v>
      </c>
      <c r="D207" s="227" t="s">
        <v>1023</v>
      </c>
      <c r="E207" s="226">
        <v>43073.932928240742</v>
      </c>
      <c r="F207" s="226">
        <v>43073.945833333331</v>
      </c>
      <c r="G207" s="225">
        <v>58</v>
      </c>
      <c r="H207" s="227" t="s">
        <v>1067</v>
      </c>
      <c r="I207" s="226">
        <v>43073.954282407409</v>
      </c>
      <c r="J207" s="225">
        <v>0</v>
      </c>
      <c r="K207" s="237" t="str">
        <f>IF(ISEVEN(B207),(B207-1)&amp;"/"&amp;B207,B207&amp;"/"&amp;(B207+1))</f>
        <v>4055/4056</v>
      </c>
      <c r="L207" s="245" t="str">
        <f>VLOOKUP(A207,'Trips&amp;Operators'!$C$1:$G$99911,5,FALSE)</f>
        <v>AUSTIN THOMPSON</v>
      </c>
      <c r="M207" s="224">
        <f>I207-F207</f>
        <v>8.449074077361729E-3</v>
      </c>
      <c r="N207" s="225">
        <f>24*60*SUM($M207:$M207)</f>
        <v>12.16666667140089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-04T21:23:25-0700',mode:absolute,to:'2017-12-04T23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7" s="247" t="str">
        <f>IF(AA207&lt;VLOOKUP(AG207,Variables!$AC$3:$AD$8,2,FALSE),"Y","N")</f>
        <v>N</v>
      </c>
      <c r="X207" s="247">
        <f>VALUE(LEFT(AD207,4))-VALUE(LEFT(AD206,4))</f>
        <v>1</v>
      </c>
      <c r="Y207" s="247">
        <f>RIGHT(D207,LEN(D207)-4)/10000</f>
        <v>5.8609</v>
      </c>
      <c r="Z207" s="247">
        <f>RIGHT(H207,LEN(H207)-4)/10000</f>
        <v>1.55E-2</v>
      </c>
      <c r="AA207" s="247">
        <f>ABS(Z207-Y207)</f>
        <v>5.8453999999999997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846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/stypes="app*4055*20171205*" /stext=" 05:.+((SYSTEM_STATE.+slice.+state.+changed )|(ment ac)|(multiple cpu faults)|(system.+state.+changed )|(\[timeout)|(PRM\|1\|D)|(kpr)|(kdp)|(train st.+moving)|(\|lc)|(penalty))"</v>
      </c>
      <c r="AG207" s="244" t="str">
        <f>DetSubdiv(A207)</f>
        <v>NW</v>
      </c>
      <c r="AH207" s="236" t="str">
        <f t="shared" si="44"/>
        <v>"%USERPROFILE%\Documents\GitHub\eaglep3\Utilities\RefineRTDCRunTimes.py" --tripid 846-04 --locoid 4055 --swversion DE.1.0.9.0 --startMP 300:58609 --initTime 2017-12-04T22:23:25 --startdatetime 2017-12-04T22:42:00 --delay 58 --endMP 204:155 --enddatetime 2017-12-04T22:54:10 --enforcementcount 0 &gt;&gt;%USERPROFILE%\Documents\GitHub\eaglep3-reporting\EC\2017-12-04-refined-times.txt</v>
      </c>
      <c r="AI207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{"issue":{"subject":"","project_id":79,"tracker_id":40,"status_id":1,"priority_id":2,"assigned_to_id":338,"start_date":"2017-12-04","description":"","custom_fields":[{"id":1,"name":"Subdivision","value":"NW"},{"id":4,"name":"Milepost","value":"0.0155"},{"id":17,"name":"Train ID","value":"846-04"},{"id":16,"name":"Locomotive ID","value":"4055"},{"id":130,"name":"Impact","value":""},{"id":150,"name":"Time of Event (Mountain Time)","value":"22:54:10"},{"id":151,"name":"Denver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46"/>
        <v>start /low /b %USERPROFILE%\Documents\GitHub\eaglep3\Utilities\DownloadLogsFromS3.py --loco 4055 --day 2017-12-04</v>
      </c>
      <c r="AN207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05:54:10"},{"id":29,"name":"Sharepoint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48"/>
        <v>https://d0f6bd738d7f1b3e5a7ca70fe4ff75f0.us-east-1.aws.found.io/app/kibana#/discover/Steve-Slow-Train-Analysis-(2080s-and-2083s)?_g=(refreshInterval:(display:Off,pause:!f,section:0,value:0),time:(from:'2017-12-04T21:23:25-0700',mode:absolute,to:'2017-12-04T23:54:10-0700'))&amp;_a=(columns:!('Message%20ID',Summary),filters:!(),index:'emp_*',interval:auto,query:(query_string:(analyze_wildcard:!t,query:'%22rtdc.l.rtdc.4055%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882</v>
      </c>
      <c r="B208" s="225">
        <v>4056</v>
      </c>
      <c r="C208" s="227" t="s">
        <v>192</v>
      </c>
      <c r="D208" s="227" t="s">
        <v>1068</v>
      </c>
      <c r="E208" s="226">
        <v>43073.918749999997</v>
      </c>
      <c r="F208" s="226">
        <v>43073.923148148147</v>
      </c>
      <c r="G208" s="225">
        <v>59</v>
      </c>
      <c r="H208" s="227" t="s">
        <v>454</v>
      </c>
      <c r="I208" s="226">
        <v>43073.932013888887</v>
      </c>
      <c r="J208" s="225">
        <v>0</v>
      </c>
      <c r="K208" s="237" t="str">
        <f>IF(ISEVEN(B208),(B208-1)&amp;"/"&amp;B208,B208&amp;"/"&amp;(B208+1))</f>
        <v>4055/4056</v>
      </c>
      <c r="L208" s="245" t="str">
        <f>VLOOKUP(A208,'Trips&amp;Operators'!$C$1:$G$99911,5,FALSE)</f>
        <v>AUSTIN THOMPSON</v>
      </c>
      <c r="M208" s="224">
        <f>I208-F208</f>
        <v>8.8657407395658083E-3</v>
      </c>
      <c r="N208" s="225">
        <f>24*60*SUM($M208:$M208)</f>
        <v>12.766666664974764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-04T21:03:00-0700',mode:absolute,to:'2017-12-04T23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247" t="str">
        <f>IF(AA208&lt;VLOOKUP(AG208,Variables!$AC$3:$AD$8,2,FALSE),"Y","N")</f>
        <v>N</v>
      </c>
      <c r="X208" s="247">
        <f>VALUE(LEFT(AD208,4))-VALUE(LEFT(AD207,4))</f>
        <v>1</v>
      </c>
      <c r="Y208" s="247">
        <f>RIGHT(D208,LEN(D208)-4)/10000</f>
        <v>4.2799999999999998E-2</v>
      </c>
      <c r="Z208" s="247">
        <f>RIGHT(H208,LEN(H208)-4)/10000</f>
        <v>5.8929</v>
      </c>
      <c r="AA208" s="247">
        <f>ABS(Z208-Y208)</f>
        <v>5.8501000000000003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847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/stypes="app*4056*20171205*" /stext=" 05:.+((SYSTEM_STATE.+slice.+state.+changed )|(ment ac)|(multiple cpu faults)|(system.+state.+changed )|(\[timeout)|(PRM\|1\|D)|(kpr)|(kdp)|(train st.+moving)|(\|lc)|(penalty))"</v>
      </c>
      <c r="AG208" s="244" t="str">
        <f>DetSubdiv(A208)</f>
        <v>NW</v>
      </c>
      <c r="AH208" s="236" t="str">
        <f t="shared" si="44"/>
        <v>"%USERPROFILE%\Documents\GitHub\eaglep3\Utilities\RefineRTDCRunTimes.py" --tripid 847-04 --locoid 4056 --swversion DE.1.0.9.0 --startMP 204:428 --initTime 2017-12-04T22:03:00 --startdatetime 2017-12-04T22:09:20 --delay 59 --endMP 300:58929 --enddatetime 2017-12-04T22:22:06 --enforcementcount 0 &gt;&gt;%USERPROFILE%\Documents\GitHub\eaglep3-reporting\EC\2017-12-04-refined-times.txt</v>
      </c>
      <c r="AI208" s="238" t="str">
        <f t="shared" si="45"/>
        <v>echo {"issue":{"subject":"","project_id":79,"tracker_id":40,"status_id":1,"priority_id":2,"assigned_to_id":338,"start_date":"2017-12-04","description":"","custom_fields":[{"id":1,"name":"Subdivision","value":"NW"},{"id":4,"name":"Milepost","value":"5.8929"},{"id":17,"name":"Train ID","value":"847-04"},{"id":16,"name":"Locomotive ID","value":"4056"},{"id":130,"name":"Impact","value":""},{"id":150,"name":"Time of Event (Mountain Time)","value":"22:22:06"},{"id":151,"name":"Denver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46"/>
        <v>start /low /b %USERPROFILE%\Documents\GitHub\eaglep3\Utilities\DownloadLogsFromS3.py --loco 4056 --day 2017-12-04</v>
      </c>
      <c r="AN208" s="241" t="str">
        <f t="shared" si="47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48"/>
        <v>https://d0f6bd738d7f1b3e5a7ca70fe4ff75f0.us-east-1.aws.found.io/app/kibana#/discover/Steve-Slow-Train-Analysis-(2080s-and-2083s)?_g=(refreshInterval:(display:Off,pause:!f,section:0,value:0),time:(from:'2017-12-04T21:03:00-0700',mode:absolute,to:'2017-12-04T23:22:06-0700'))&amp;_a=(columns:!('Message%20ID',Summary),filters:!(),index:'emp_*',interval:auto,query:(query_string:(analyze_wildcard:!t,query:'%22rtdc.l.rtdc.4056%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25">
      <c r="A209" s="229" t="s">
        <v>888</v>
      </c>
      <c r="B209" s="225">
        <v>4056</v>
      </c>
      <c r="C209" s="227" t="s">
        <v>192</v>
      </c>
      <c r="D209" s="227" t="s">
        <v>1068</v>
      </c>
      <c r="E209" s="226">
        <v>43073.918749999997</v>
      </c>
      <c r="F209" s="226">
        <v>43073.964745370373</v>
      </c>
      <c r="G209" s="225">
        <v>59</v>
      </c>
      <c r="H209" s="227" t="s">
        <v>454</v>
      </c>
      <c r="I209" s="226">
        <v>43073.973437499997</v>
      </c>
      <c r="J209" s="225">
        <v>0</v>
      </c>
      <c r="K209" s="237" t="str">
        <f>IF(ISEVEN(B209),(B209-1)&amp;"/"&amp;B209,B209&amp;"/"&amp;(B209+1))</f>
        <v>4055/4056</v>
      </c>
      <c r="L209" s="245" t="str">
        <f>VLOOKUP(A209,'Trips&amp;Operators'!$C$1:$G$99911,5,FALSE)</f>
        <v>AUSTIN THOMPSON</v>
      </c>
      <c r="M209" s="224">
        <f>I209-F209</f>
        <v>8.6921296242508106E-3</v>
      </c>
      <c r="N209" s="225">
        <f>24*60*SUM($M209:$M209)</f>
        <v>12.516666658921167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-04T21:03:00-0700',mode:absolute,to:'2017-12-05T00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9" s="247" t="str">
        <f>IF(AA209&lt;VLOOKUP(AG209,Variables!$AC$3:$AD$8,2,FALSE),"Y","N")</f>
        <v>N</v>
      </c>
      <c r="X209" s="247">
        <f t="shared" ref="X209:X211" si="57">VALUE(LEFT(AD209,4))-VALUE(LEFT(AD208,4))</f>
        <v>2</v>
      </c>
      <c r="Y209" s="247">
        <f>RIGHT(D209,LEN(D209)-4)/10000</f>
        <v>4.2799999999999998E-2</v>
      </c>
      <c r="Z209" s="247">
        <f>RIGHT(H209,LEN(H209)-4)/10000</f>
        <v>5.8929</v>
      </c>
      <c r="AA209" s="247">
        <f>ABS(Z209-Y209)</f>
        <v>5.8501000000000003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849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s3://rtdc.mdm.uploadarchive.raw/RTDC4056/ "%USERPROFILE%\AppData\Local\Temp\OnboardLogs"\RTDC4056\2017-12-04 --exclude "*" --recursive --include "*20171204*" &amp; "%USERPROFILE%\Documents\GitHub\mrs-test-scripts\Headless Mode &amp; Sideloading\WalkAndUnGZ.bat" "%USERPROFILE%\AppData\Local\Temp\OnboardLogs"\RTDC4056\2017-12-04 &amp; 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/stypes="app*4056*20171205*" /stext=" 06:.+((SYSTEM_STATE.+slice.+state.+changed )|(ment ac)|(multiple cpu faults)|(system.+state.+changed )|(\[timeout)|(PRM\|1\|D)|(kpr)|(kdp)|(train st.+moving)|(\|lc)|(penalty))"</v>
      </c>
      <c r="AG209" s="244" t="str">
        <f>DetSubdiv(A209)</f>
        <v>NW</v>
      </c>
      <c r="AH209" s="236" t="str">
        <f t="shared" ref="AH209" si="58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849-04 --locoid 4056 --swversion DE.1.0.9.0 --startMP 204:428 --initTime 2017-12-04T22:03:00 --startdatetime 2017-12-04T23:09:14 --delay 59 --endMP 300:58929 --enddatetime 2017-12-04T23:21:45 --enforcementcount 0 &gt;&gt;%USERPROFILE%\Documents\GitHub\eaglep3-reporting\EC\2017-12-04-refined-times.txt</v>
      </c>
      <c r="AI209" s="238" t="str">
        <f t="shared" ref="AI209" si="59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{"issue":{"subject":"","project_id":79,"tracker_id":40,"status_id":1,"priority_id":2,"assigned_to_id":338,"start_date":"2017-12-04","description":"","custom_fields":[{"id":1,"name":"Subdivision","value":"NW"},{"id":4,"name":"Milepost","value":"5.8929"},{"id":17,"name":"Train ID","value":"849-04"},{"id":16,"name":"Locomotive ID","value":"4056"},{"id":130,"name":"Impact","value":""},{"id":150,"name":"Time of Event (Mountain Time)","value":"23:21:45"},{"id":151,"name":"Denver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ref="AM209" si="60">"start /low /b "&amp;dls3logs&amp;" --loco "&amp;B209&amp;" --day "&amp;TEXT(F209,"YYYY-MM-DD")</f>
        <v>start /low /b %USERPROFILE%\Documents\GitHub\eaglep3\Utilities\DownloadLogsFromS3.py --loco 4056 --day 2017-12-04</v>
      </c>
      <c r="AN209" s="241" t="str">
        <f t="shared" ref="AN209" si="61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06:21:45"},{"id":29,"name":"Sharepoint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ref="AO209" si="62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-04T21:03:00-0700',mode:absolute,to:'2017-12-05T00:21:45-0700'))&amp;_a=(columns:!('Message%20ID',Summary),filters:!(),index:'emp_*',interval:auto,query:(query_string:(analyze_wildcard:!t,query:'%22rtdc.l.rtdc.4056%22')),sort:!(Time.ISO8601,asc))</v>
      </c>
    </row>
    <row r="210" spans="1:91" s="20" customFormat="1" x14ac:dyDescent="0.25">
      <c r="A210" s="229" t="s">
        <v>675</v>
      </c>
      <c r="B210" s="225">
        <v>4019</v>
      </c>
      <c r="C210" s="227" t="s">
        <v>192</v>
      </c>
      <c r="D210" s="227" t="s">
        <v>990</v>
      </c>
      <c r="E210" s="226">
        <v>43073.115173611113</v>
      </c>
      <c r="F210" s="226">
        <v>43073.119745370372</v>
      </c>
      <c r="G210" s="225">
        <v>83</v>
      </c>
      <c r="H210" s="227" t="s">
        <v>942</v>
      </c>
      <c r="I210" s="226">
        <v>43073.125717592593</v>
      </c>
      <c r="J210" s="225">
        <v>0</v>
      </c>
      <c r="K210" s="237" t="str">
        <f>IF(ISEVEN(B210),(B210-1)&amp;"/"&amp;B210,B210&amp;"/"&amp;(B210+1))</f>
        <v>4019/4020</v>
      </c>
      <c r="L210" s="245" t="str">
        <f>VLOOKUP(A210,'Trips&amp;Operators'!$C$1:$G$99911,5,FALSE)</f>
        <v>THOMPSON LESTER</v>
      </c>
      <c r="M210" s="224">
        <f>I210-F210</f>
        <v>5.9722222213167697E-3</v>
      </c>
      <c r="N210" s="225">
        <f>24*60*SUM($M210:$M210)</f>
        <v>8.5999999986961484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-04T01:45:51-0700',mode:absolute,to:'2017-12-04T04:01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47" t="str">
        <f>IF(AA210&lt;VLOOKUP(AG210,Variables!$AC$3:$AD$8,2,FALSE),"Y","N")</f>
        <v>Y</v>
      </c>
      <c r="X210" s="247">
        <f t="shared" si="57"/>
        <v>-549</v>
      </c>
      <c r="Y210" s="247">
        <f>RIGHT(D210,LEN(D210)-4)/10000</f>
        <v>2.3155999999999999</v>
      </c>
      <c r="Z210" s="247">
        <f>RIGHT(H210,LEN(H210)-4)/10000</f>
        <v>1.4500000000000001E-2</v>
      </c>
      <c r="AA210" s="247">
        <f>ABS(Z210-Y210)</f>
        <v>2.3010999999999999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300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s3://rtdc.mdm.uploadarchive.raw/RTDC4019/ "%USERPROFILE%\AppData\Local\Temp\OnboardLogs"\RTDC4019\2017-12-04 --exclude "*" --recursive --include "*20171204*" &amp; "%USERPROFILE%\Documents\GitHub\mrs-test-scripts\Headless Mode &amp; Sideloading\WalkAndUnGZ.bat" "%USERPROFILE%\AppData\Local\Temp\OnboardLogs"\RTDC4019\2017-12-04 &amp; aws s3 cp s3://rtdc.mdm.uploadarchive.raw/RTDC4019/ "%USERPROFILE%\AppData\Local\Temp\OnboardLogs"\RTDC4019\2017-12-05 --exclude "*" --recursive --include "*20171205*" &amp; "%USERPROFILE%\Documents\GitHub\mrs-test-scripts\Headless Mode &amp; Sideloading\WalkAndUnGZ.bat" "%USERPROFILE%\AppData\Local\Temp\OnboardLogs"\RTDC4019\2017-12-05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/stypes="app*4019*20171204*" /stext=" 10:.+((SYSTEM_STATE.+slice.+state.+changed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44"/>
        <v>"%USERPROFILE%\Documents\GitHub\eaglep3\Utilities\RefineRTDCRunTimes.py" --tripid 300-04 --locoid 4019 --swversion DE.1.0.9.0 --startMP 300:23156 --initTime 2017-12-04T02:45:51 --startdatetime 2017-12-04T02:52:26 --delay 83 --endMP 204:145 --enddatetime 2017-12-04T03:01:02 --enforcementcount 0 &gt;&gt;%USERPROFILE%\Documents\GitHub\eaglep3-reporting\EC\2017-12-04-refined-times.txt</v>
      </c>
      <c r="AI210" s="238" t="str">
        <f t="shared" si="45"/>
        <v>echo {"issue":{"subject":"","project_id":79,"tracker_id":40,"status_id":1,"priority_id":2,"assigned_to_id":338,"start_date":"2017-12-04","description":"","custom_fields":[{"id":1,"name":"Subdivision","value":"Other"},{"id":4,"name":"Milepost","value":"0.0145"},{"id":17,"name":"Train ID","value":"300-04"},{"id":16,"name":"Locomotive ID","value":"4019"},{"id":130,"name":"Impact","value":""},{"id":150,"name":"Time of Event (Mountain Time)","value":"03:01:02"},{"id":151,"name":"Denver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46"/>
        <v>start /low /b %USERPROFILE%\Documents\GitHub\eaglep3\Utilities\DownloadLogsFromS3.py --loco 4019 --day 2017-12-04</v>
      </c>
      <c r="AN210" s="241" t="str">
        <f t="shared" si="4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10:01:02"},{"id":29,"name":"Sharepoint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48"/>
        <v>https://d0f6bd738d7f1b3e5a7ca70fe4ff75f0.us-east-1.aws.found.io/app/kibana#/discover/Steve-Slow-Train-Analysis-(2080s-and-2083s)?_g=(refreshInterval:(display:Off,pause:!f,section:0,value:0),time:(from:'2017-12-04T01:45:51-0700',mode:absolute,to:'2017-12-04T04:01:02-0700'))&amp;_a=(columns:!('Message%20ID',Summary),filters:!(),index:'emp_*',interval:auto,query:(query_string:(analyze_wildcard:!t,query:'%22rtdc.l.rtdc.4019%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675</v>
      </c>
      <c r="B211" s="225">
        <v>4019</v>
      </c>
      <c r="C211" s="227" t="s">
        <v>192</v>
      </c>
      <c r="D211" s="227" t="s">
        <v>990</v>
      </c>
      <c r="E211" s="226">
        <v>43073.118761574071</v>
      </c>
      <c r="F211" s="226">
        <v>43073.119745370372</v>
      </c>
      <c r="G211" s="225">
        <v>40</v>
      </c>
      <c r="H211" s="227" t="s">
        <v>942</v>
      </c>
      <c r="I211" s="226">
        <v>43073.125717592593</v>
      </c>
      <c r="J211" s="225">
        <v>0</v>
      </c>
      <c r="K211" s="237" t="str">
        <f>IF(ISEVEN(B211),(B211-1)&amp;"/"&amp;B211,B211&amp;"/"&amp;(B211+1))</f>
        <v>4019/4020</v>
      </c>
      <c r="L211" s="245" t="str">
        <f>VLOOKUP(A211,'Trips&amp;Operators'!$C$1:$G$99911,5,FALSE)</f>
        <v>THOMPSON LESTER</v>
      </c>
      <c r="M211" s="224">
        <f>I211-F211</f>
        <v>5.9722222213167697E-3</v>
      </c>
      <c r="N211" s="225">
        <f>24*60*SUM($M211:$M211)</f>
        <v>8.5999999986961484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-04T01:51:01-0700',mode:absolute,to:'2017-12-04T04:01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1" s="247" t="str">
        <f>IF(AA211&lt;VLOOKUP(AG211,Variables!$AC$3:$AD$8,2,FALSE),"Y","N")</f>
        <v>Y</v>
      </c>
      <c r="X211" s="247">
        <f t="shared" si="57"/>
        <v>0</v>
      </c>
      <c r="Y211" s="247">
        <f>RIGHT(D211,LEN(D211)-4)/10000</f>
        <v>2.3155999999999999</v>
      </c>
      <c r="Z211" s="247">
        <f>RIGHT(H211,LEN(H211)-4)/10000</f>
        <v>1.4500000000000001E-2</v>
      </c>
      <c r="AA211" s="247">
        <f>ABS(Z211-Y211)</f>
        <v>2.3010999999999999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300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s3://rtdc.mdm.uploadarchive.raw/RTDC4019/ "%USERPROFILE%\AppData\Local\Temp\OnboardLogs"\RTDC4019\2017-12-04 --exclude "*" --recursive --include "*20171204*" &amp; "%USERPROFILE%\Documents\GitHub\mrs-test-scripts\Headless Mode &amp; Sideloading\WalkAndUnGZ.bat" "%USERPROFILE%\AppData\Local\Temp\OnboardLogs"\RTDC4019\2017-12-04 &amp; aws s3 cp s3://rtdc.mdm.uploadarchive.raw/RTDC4019/ "%USERPROFILE%\AppData\Local\Temp\OnboardLogs"\RTDC4019\2017-12-05 --exclude "*" --recursive --include "*20171205*" &amp; "%USERPROFILE%\Documents\GitHub\mrs-test-scripts\Headless Mode &amp; Sideloading\WalkAndUnGZ.bat" "%USERPROFILE%\AppData\Local\Temp\OnboardLogs"\RTDC4019\2017-12-05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/stypes="app*4019*20171204*" /stext=" 10:.+((SYSTEM_STATE.+slice.+state.+changed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ref="AH211:AH237" si="63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300-04 --locoid 4019 --swversion DE.1.0.9.0 --startMP 300:23156 --initTime 2017-12-04T02:51:01 --startdatetime 2017-12-04T02:52:26 --delay 40 --endMP 204:145 --enddatetime 2017-12-04T03:01:02 --enforcementcount 0 &gt;&gt;%USERPROFILE%\Documents\GitHub\eaglep3-reporting\EC\2017-12-04-refined-times.txt</v>
      </c>
      <c r="AI211" s="238" t="str">
        <f t="shared" ref="AI211:AI237" si="64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{"issue":{"subject":"","project_id":79,"tracker_id":40,"status_id":1,"priority_id":2,"assigned_to_id":338,"start_date":"2017-12-04","description":"","custom_fields":[{"id":1,"name":"Subdivision","value":"Other"},{"id":4,"name":"Milepost","value":"0.0145"},{"id":17,"name":"Train ID","value":"300-04"},{"id":16,"name":"Locomotive ID","value":"4019"},{"id":130,"name":"Impact","value":""},{"id":150,"name":"Time of Event (Mountain Time)","value":"03:01:02"},{"id":151,"name":"Denver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ref="AM211:AM237" si="65">"start /low /b "&amp;dls3logs&amp;" --loco "&amp;B211&amp;" --day "&amp;TEXT(F211,"YYYY-MM-DD")</f>
        <v>start /low /b %USERPROFILE%\Documents\GitHub\eaglep3\Utilities\DownloadLogsFromS3.py --loco 4019 --day 2017-12-04</v>
      </c>
      <c r="AN211" s="241" t="str">
        <f t="shared" ref="AN211:AN237" si="66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10:01:02"},{"id":29,"name":"Sharepoint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ref="AO211:AO237" si="67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-04T01:51:01-0700',mode:absolute,to:'2017-12-04T04:01:02-0700'))&amp;_a=(columns:!('Message%20ID',Summary),filters:!(),index:'emp_*',interval:auto,query:(query_string:(analyze_wildcard:!t,query:'%22rtdc.l.rtdc.4019%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858</v>
      </c>
      <c r="B212" s="225">
        <v>4042</v>
      </c>
      <c r="C212" s="227" t="s">
        <v>192</v>
      </c>
      <c r="D212" s="227" t="s">
        <v>418</v>
      </c>
      <c r="E212" s="226">
        <v>43073.78020833333</v>
      </c>
      <c r="F212" s="226">
        <v>43073.782766203702</v>
      </c>
      <c r="G212" s="225">
        <v>112</v>
      </c>
      <c r="H212" s="227" t="s">
        <v>426</v>
      </c>
      <c r="I212" s="226">
        <v>43073.790555555555</v>
      </c>
      <c r="J212" s="225">
        <v>0</v>
      </c>
      <c r="K212" s="237" t="str">
        <f>IF(ISEVEN(B212),(B212-1)&amp;"/"&amp;B212,B212&amp;"/"&amp;(B212+1))</f>
        <v>4041/4042</v>
      </c>
      <c r="L212" s="245" t="str">
        <f>VLOOKUP(A212,'Trips&amp;Operators'!$C$1:$G$99911,5,FALSE)</f>
        <v>NICHOLAS PLOYSA</v>
      </c>
      <c r="M212" s="224">
        <f>I212-F212</f>
        <v>7.7893518537166528E-3</v>
      </c>
      <c r="N212" s="225">
        <f>24*60*SUM($M212:$M212)</f>
        <v>11.21666666935198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-04T17:43:30-0700',mode:absolute,to:'2017-12-04T19:58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5.3999999999999999E-2</v>
      </c>
      <c r="Z212" s="247">
        <f>RIGHT(H212,LEN(H212)-4)/10000</f>
        <v>2.3346</v>
      </c>
      <c r="AA212" s="247">
        <f>ABS(Z212-Y212)</f>
        <v>2.2806000000000002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301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 &amp; aws s3 cp s3://rtdc.mdm.uploadarchive.raw/RTDC4042/ "%USERPROFILE%\AppData\Local\Temp\OnboardLogs"\RTDC4042\2017-12-05 --exclude "*" --recursive --include "*20171205*" &amp; "%USERPROFILE%\Documents\GitHub\mrs-test-scripts\Headless Mode &amp; Sideloading\WalkAndUnGZ.bat" "%USERPROFILE%\AppData\Local\Temp\OnboardLogs"\RTDC4042\2017-12-05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/stypes="app*4042*20171205*" /stext=" 01:.+((SYSTEM_STATE.+slice.+state.+changed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63"/>
        <v>"%USERPROFILE%\Documents\GitHub\eaglep3\Utilities\RefineRTDCRunTimes.py" --tripid 301-04 --locoid 4042 --swversion DE.1.0.9.0 --startMP 204:540 --initTime 2017-12-04T18:43:30 --startdatetime 2017-12-04T18:47:11 --delay 112 --endMP 300:23346 --enddatetime 2017-12-04T18:58:24 --enforcementcount 0 &gt;&gt;%USERPROFILE%\Documents\GitHub\eaglep3-reporting\EC\2017-12-04-refined-times.txt</v>
      </c>
      <c r="AI212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{"issue":{"subject":"","project_id":79,"tracker_id":40,"status_id":1,"priority_id":2,"assigned_to_id":338,"start_date":"2017-12-04","description":"","custom_fields":[{"id":1,"name":"Subdivision","value":"Other"},{"id":4,"name":"Milepost","value":"2.3346"},{"id":17,"name":"Train ID","value":"301-04"},{"id":16,"name":"Locomotive ID","value":"4042"},{"id":130,"name":"Impact","value":""},{"id":150,"name":"Time of Event (Mountain Time)","value":"18:58:24"},{"id":151,"name":"Denver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65"/>
        <v>start /low /b %USERPROFILE%\Documents\GitHub\eaglep3\Utilities\DownloadLogsFromS3.py --loco 4042 --day 2017-12-04</v>
      </c>
      <c r="AN212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01:58:24"},{"id":29,"name":"Sharepoint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67"/>
        <v>https://d0f6bd738d7f1b3e5a7ca70fe4ff75f0.us-east-1.aws.found.io/app/kibana#/discover/Steve-Slow-Train-Analysis-(2080s-and-2083s)?_g=(refreshInterval:(display:Off,pause:!f,section:0,value:0),time:(from:'2017-12-04T17:43:30-0700',mode:absolute,to:'2017-12-04T19:58:24-0700'))&amp;_a=(columns:!('Message%20ID',Summary),filters:!(),index:'emp_*',interval:auto,query:(query_string:(analyze_wildcard:!t,query:'%22rtdc.l.rtdc.4042%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680</v>
      </c>
      <c r="B213" s="225">
        <v>4021</v>
      </c>
      <c r="C213" s="227" t="s">
        <v>192</v>
      </c>
      <c r="D213" s="227" t="s">
        <v>991</v>
      </c>
      <c r="E213" s="226">
        <v>43073.140810185185</v>
      </c>
      <c r="F213" s="226">
        <v>43073.14403935185</v>
      </c>
      <c r="G213" s="225">
        <v>79</v>
      </c>
      <c r="H213" s="227" t="s">
        <v>501</v>
      </c>
      <c r="I213" s="226">
        <v>43073.149525462963</v>
      </c>
      <c r="J213" s="225">
        <v>0</v>
      </c>
      <c r="K213" s="237" t="str">
        <f>IF(ISEVEN(B213),(B213-1)&amp;"/"&amp;B213,B213&amp;"/"&amp;(B213+1))</f>
        <v>4021/4022</v>
      </c>
      <c r="L213" s="245" t="str">
        <f>VLOOKUP(A213,'Trips&amp;Operators'!$C$1:$G$99911,5,FALSE)</f>
        <v>HAMMOND JUSTYNN</v>
      </c>
      <c r="M213" s="224">
        <f>I213-F213</f>
        <v>5.4861111129866913E-3</v>
      </c>
      <c r="N213" s="225">
        <f>24*60*SUM($M213:$M213)</f>
        <v>7.9000000027008355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-04T02:22:46-0700',mode:absolute,to:'2017-12-04T04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2.3466</v>
      </c>
      <c r="Z213" s="247">
        <f>RIGHT(H213,LEN(H213)-4)/10000</f>
        <v>2.0899999999999998E-2</v>
      </c>
      <c r="AA213" s="247">
        <f>ABS(Z213-Y213)</f>
        <v>2.3256999999999999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302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/stypes="app*4021*20171204*" /stext=" 10:.+((SYSTEM_STATE.+slice.+state.+changed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63"/>
        <v>"%USERPROFILE%\Documents\GitHub\eaglep3\Utilities\RefineRTDCRunTimes.py" --tripid 302-04 --locoid 4021 --swversion DE.1.0.9.0 --startMP 300:23466 --initTime 2017-12-04T03:22:46 --startdatetime 2017-12-04T03:27:25 --delay 79 --endMP 204:209 --enddatetime 2017-12-04T03:35:19 --enforcementcount 0 &gt;&gt;%USERPROFILE%\Documents\GitHub\eaglep3-reporting\EC\2017-12-04-refined-times.txt</v>
      </c>
      <c r="AI213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{"issue":{"subject":"","project_id":79,"tracker_id":40,"status_id":1,"priority_id":2,"assigned_to_id":338,"start_date":"2017-12-04","description":"","custom_fields":[{"id":1,"name":"Subdivision","value":"Other"},{"id":4,"name":"Milepost","value":"0.0209"},{"id":17,"name":"Train ID","value":"302-04"},{"id":16,"name":"Locomotive ID","value":"4021"},{"id":130,"name":"Impact","value":""},{"id":150,"name":"Time of Event (Mountain Time)","value":"03:35:19"},{"id":151,"name":"Denver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65"/>
        <v>start /low /b %USERPROFILE%\Documents\GitHub\eaglep3\Utilities\DownloadLogsFromS3.py --loco 4021 --day 2017-12-04</v>
      </c>
      <c r="AN213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67"/>
        <v>https://d0f6bd738d7f1b3e5a7ca70fe4ff75f0.us-east-1.aws.found.io/app/kibana#/discover/Steve-Slow-Train-Analysis-(2080s-and-2083s)?_g=(refreshInterval:(display:Off,pause:!f,section:0,value:0),time:(from:'2017-12-04T02:22:46-0700',mode:absolute,to:'2017-12-04T04:35:19-0700'))&amp;_a=(columns:!('Message%20ID',Summary),filters:!(),index:'emp_*',interval:auto,query:(query_string:(analyze_wildcard:!t,query:'%22rtdc.l.rtdc.4021%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25">
      <c r="A214" s="229" t="s">
        <v>864</v>
      </c>
      <c r="B214" s="225">
        <v>4030</v>
      </c>
      <c r="C214" s="227" t="s">
        <v>192</v>
      </c>
      <c r="D214" s="227" t="s">
        <v>548</v>
      </c>
      <c r="E214" s="226">
        <v>43073.797986111109</v>
      </c>
      <c r="F214" s="226">
        <v>43073.800335648149</v>
      </c>
      <c r="G214" s="225">
        <v>59</v>
      </c>
      <c r="H214" s="227" t="s">
        <v>472</v>
      </c>
      <c r="I214" s="226">
        <v>43073.809016203704</v>
      </c>
      <c r="J214" s="225">
        <v>0</v>
      </c>
      <c r="K214" s="237" t="str">
        <f>IF(ISEVEN(B214),(B214-1)&amp;"/"&amp;B214,B214&amp;"/"&amp;(B214+1))</f>
        <v>4029/4030</v>
      </c>
      <c r="L214" s="245" t="str">
        <f>VLOOKUP(A214,'Trips&amp;Operators'!$C$1:$G$99911,5,FALSE)</f>
        <v>SAFIEF AEIMEN</v>
      </c>
      <c r="M214" s="224">
        <f>I214-F214</f>
        <v>8.6805555547471158E-3</v>
      </c>
      <c r="N214" s="225">
        <f>24*60*SUM($M214:$M214)</f>
        <v>12.499999998835847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-04T18:09:06-0700',mode:absolute,to:'2017-12-04T20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4.9700000000000001E-2</v>
      </c>
      <c r="Z214" s="247">
        <f>RIGHT(H214,LEN(H214)-4)/10000</f>
        <v>2.3304</v>
      </c>
      <c r="AA214" s="247">
        <f>ABS(Z214-Y214)</f>
        <v>2.2806999999999999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303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 &amp; aws s3 cp s3://rtdc.mdm.uploadarchive.raw/RTDC4030/ "%USERPROFILE%\AppData\Local\Temp\OnboardLogs"\RTDC4030\2017-12-05 --exclude "*" --recursive --include "*20171205*" &amp; "%USERPROFILE%\Documents\GitHub\mrs-test-scripts\Headless Mode &amp; Sideloading\WalkAndUnGZ.bat" "%USERPROFILE%\AppData\Local\Temp\OnboardLogs"\RTDC4030\2017-12-05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/stypes="app*4030*20171205*" /stext=" 02:.+((SYSTEM_STATE.+slice.+state.+changed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63"/>
        <v>"%USERPROFILE%\Documents\GitHub\eaglep3\Utilities\RefineRTDCRunTimes.py" --tripid 303-04 --locoid 4030 --swversion DE.1.0.9.0 --startMP 204:497 --initTime 2017-12-04T19:09:06 --startdatetime 2017-12-04T19:12:29 --delay 59 --endMP 300:23304 --enddatetime 2017-12-04T19:24:59 --enforcementcount 0 &gt;&gt;%USERPROFILE%\Documents\GitHub\eaglep3-reporting\EC\2017-12-04-refined-times.txt</v>
      </c>
      <c r="AI214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{"issue":{"subject":"","project_id":79,"tracker_id":40,"status_id":1,"priority_id":2,"assigned_to_id":338,"start_date":"2017-12-04","description":"","custom_fields":[{"id":1,"name":"Subdivision","value":"Other"},{"id":4,"name":"Milepost","value":"2.3304"},{"id":17,"name":"Train ID","value":"303-04"},{"id":16,"name":"Locomotive ID","value":"4030"},{"id":130,"name":"Impact","value":""},{"id":150,"name":"Time of Event (Mountain Time)","value":"19:24:59"},{"id":151,"name":"Denver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65"/>
        <v>start /low /b %USERPROFILE%\Documents\GitHub\eaglep3\Utilities\DownloadLogsFromS3.py --loco 4030 --day 2017-12-04</v>
      </c>
      <c r="AN214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67"/>
        <v>https://d0f6bd738d7f1b3e5a7ca70fe4ff75f0.us-east-1.aws.found.io/app/kibana#/discover/Steve-Slow-Train-Analysis-(2080s-and-2083s)?_g=(refreshInterval:(display:Off,pause:!f,section:0,value:0),time:(from:'2017-12-04T18:09:06-0700',mode:absolute,to:'2017-12-04T20:24:59-0700'))&amp;_a=(columns:!('Message%20ID',Summary),filters:!(),index:'emp_*',interval:auto,query:(query_string:(analyze_wildcard:!t,query:'%22rtdc.l.rtdc.4030%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684</v>
      </c>
      <c r="B215" s="225">
        <v>4009</v>
      </c>
      <c r="C215" s="227" t="s">
        <v>192</v>
      </c>
      <c r="D215" s="227" t="s">
        <v>992</v>
      </c>
      <c r="E215" s="226">
        <v>43073.159537037034</v>
      </c>
      <c r="F215" s="226">
        <v>43073.162638888891</v>
      </c>
      <c r="G215" s="225">
        <v>59</v>
      </c>
      <c r="H215" s="227" t="s">
        <v>466</v>
      </c>
      <c r="I215" s="226">
        <v>43073.166493055556</v>
      </c>
      <c r="J215" s="225">
        <v>0</v>
      </c>
      <c r="K215" s="237" t="str">
        <f>IF(ISEVEN(B215),(B215-1)&amp;"/"&amp;B215,B215&amp;"/"&amp;(B215+1))</f>
        <v>4009/4010</v>
      </c>
      <c r="L215" s="245" t="str">
        <f>VLOOKUP(A215,'Trips&amp;Operators'!$C$1:$G$99911,5,FALSE)</f>
        <v>YORK EDGAR</v>
      </c>
      <c r="M215" s="224">
        <f>I215-F215</f>
        <v>3.8541666654055007E-3</v>
      </c>
      <c r="N215" s="225">
        <f>24*60*SUM($M215:$M215)</f>
        <v>5.549999998183921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-04T02:49:44-0700',mode:absolute,to:'2017-12-04T04:59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1.9824999999999999</v>
      </c>
      <c r="Z215" s="247">
        <f>RIGHT(H215,LEN(H215)-4)/10000</f>
        <v>1.5800000000000002E-2</v>
      </c>
      <c r="AA215" s="247">
        <f>ABS(Z215-Y215)</f>
        <v>1.9666999999999999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304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/stypes="app*4009*20171204*" /stext=" 10:.+((SYSTEM_STATE.+slice.+state.+changed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63"/>
        <v>"%USERPROFILE%\Documents\GitHub\eaglep3\Utilities\RefineRTDCRunTimes.py" --tripid 304-04 --locoid 4009 --swversion DE.1.0.9.0 --startMP 300:19825 --initTime 2017-12-04T03:49:44 --startdatetime 2017-12-04T03:54:12 --delay 59 --endMP 204:158 --enddatetime 2017-12-04T03:59:45 --enforcementcount 0 &gt;&gt;%USERPROFILE%\Documents\GitHub\eaglep3-reporting\EC\2017-12-04-refined-times.txt</v>
      </c>
      <c r="AI215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{"issue":{"subject":"","project_id":79,"tracker_id":40,"status_id":1,"priority_id":2,"assigned_to_id":338,"start_date":"2017-12-04","description":"","custom_fields":[{"id":1,"name":"Subdivision","value":"Other"},{"id":4,"name":"Milepost","value":"0.0158"},{"id":17,"name":"Train ID","value":"304-04"},{"id":16,"name":"Locomotive ID","value":"4009"},{"id":130,"name":"Impact","value":""},{"id":150,"name":"Time of Event (Mountain Time)","value":"03:59:45"},{"id":151,"name":"Denver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65"/>
        <v>start /low /b %USERPROFILE%\Documents\GitHub\eaglep3\Utilities\DownloadLogsFromS3.py --loco 4009 --day 2017-12-04</v>
      </c>
      <c r="AN215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10:59:45"},{"id":29,"name":"Sharepoint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67"/>
        <v>https://d0f6bd738d7f1b3e5a7ca70fe4ff75f0.us-east-1.aws.found.io/app/kibana#/discover/Steve-Slow-Train-Analysis-(2080s-and-2083s)?_g=(refreshInterval:(display:Off,pause:!f,section:0,value:0),time:(from:'2017-12-04T02:49:44-0700',mode:absolute,to:'2017-12-04T04:59:45-0700'))&amp;_a=(columns:!('Message%20ID',Summary),filters:!(),index:'emp_*',interval:auto,query:(query_string:(analyze_wildcard:!t,query:'%22rtdc.l.rtdc.4009%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869</v>
      </c>
      <c r="B216" s="225">
        <v>4022</v>
      </c>
      <c r="C216" s="227" t="s">
        <v>192</v>
      </c>
      <c r="D216" s="227" t="s">
        <v>509</v>
      </c>
      <c r="E216" s="226">
        <v>43073.818692129629</v>
      </c>
      <c r="F216" s="226">
        <v>43073.820462962962</v>
      </c>
      <c r="G216" s="225">
        <v>74</v>
      </c>
      <c r="H216" s="227" t="s">
        <v>993</v>
      </c>
      <c r="I216" s="226">
        <v>43073.825046296297</v>
      </c>
      <c r="J216" s="225">
        <v>0</v>
      </c>
      <c r="K216" s="237" t="str">
        <f>IF(ISEVEN(B216),(B216-1)&amp;"/"&amp;B216,B216&amp;"/"&amp;(B216+1))</f>
        <v>4021/4022</v>
      </c>
      <c r="L216" s="245" t="str">
        <f>VLOOKUP(A216,'Trips&amp;Operators'!$C$1:$G$99911,5,FALSE)</f>
        <v>SMITH MICHAEL</v>
      </c>
      <c r="M216" s="224">
        <f>I216-F216</f>
        <v>4.5833333351765759E-3</v>
      </c>
      <c r="N216" s="225">
        <f>24*60*SUM($M216:$M216)</f>
        <v>6.6000000026542693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-04T18:38:55-0700',mode:absolute,to:'2017-12-04T20:48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4.8399999999999999E-2</v>
      </c>
      <c r="Z216" s="247">
        <f>RIGHT(H216,LEN(H216)-4)/10000</f>
        <v>2.3298999999999999</v>
      </c>
      <c r="AA216" s="247">
        <f>ABS(Z216-Y216)</f>
        <v>2.2814999999999999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305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 &amp; aws s3 cp s3://rtdc.mdm.uploadarchive.raw/RTDC4022/ "%USERPROFILE%\AppData\Local\Temp\OnboardLogs"\RTDC4022\2017-12-05 --exclude "*" --recursive --include "*20171205*" &amp; "%USERPROFILE%\Documents\GitHub\mrs-test-scripts\Headless Mode &amp; Sideloading\WalkAndUnGZ.bat" "%USERPROFILE%\AppData\Local\Temp\OnboardLogs"\RTDC4022\2017-12-05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/stypes="app*4022*20171205*" /stext=" 02:.+((SYSTEM_STATE.+slice.+state.+changed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63"/>
        <v>"%USERPROFILE%\Documents\GitHub\eaglep3\Utilities\RefineRTDCRunTimes.py" --tripid 305-04 --locoid 4022 --swversion DE.1.0.9.0 --startMP 204:484 --initTime 2017-12-04T19:38:55 --startdatetime 2017-12-04T19:41:28 --delay 74 --endMP 300:23299 --enddatetime 2017-12-04T19:48:04 --enforcementcount 0 &gt;&gt;%USERPROFILE%\Documents\GitHub\eaglep3-reporting\EC\2017-12-04-refined-times.txt</v>
      </c>
      <c r="AI216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{"issue":{"subject":"","project_id":79,"tracker_id":40,"status_id":1,"priority_id":2,"assigned_to_id":338,"start_date":"2017-12-04","description":"","custom_fields":[{"id":1,"name":"Subdivision","value":"Other"},{"id":4,"name":"Milepost","value":"2.3299"},{"id":17,"name":"Train ID","value":"305-04"},{"id":16,"name":"Locomotive ID","value":"4022"},{"id":130,"name":"Impact","value":""},{"id":150,"name":"Time of Event (Mountain Time)","value":"19:48:04"},{"id":151,"name":"Denver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65"/>
        <v>start /low /b %USERPROFILE%\Documents\GitHub\eaglep3\Utilities\DownloadLogsFromS3.py --loco 4022 --day 2017-12-04</v>
      </c>
      <c r="AN216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02:48:04"},{"id":29,"name":"Sharepoint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67"/>
        <v>https://d0f6bd738d7f1b3e5a7ca70fe4ff75f0.us-east-1.aws.found.io/app/kibana#/discover/Steve-Slow-Train-Analysis-(2080s-and-2083s)?_g=(refreshInterval:(display:Off,pause:!f,section:0,value:0),time:(from:'2017-12-04T18:38:55-0700',mode:absolute,to:'2017-12-04T20:48:04-0700'))&amp;_a=(columns:!('Message%20ID',Summary),filters:!(),index:'emp_*',interval:auto,query:(query_string:(analyze_wildcard:!t,query:'%22rtdc.l.rtdc.4022%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685</v>
      </c>
      <c r="B217" s="225">
        <v>4041</v>
      </c>
      <c r="C217" s="227" t="s">
        <v>192</v>
      </c>
      <c r="D217" s="227" t="s">
        <v>994</v>
      </c>
      <c r="E217" s="226">
        <v>43073.166539351849</v>
      </c>
      <c r="F217" s="226">
        <v>43073.16978009259</v>
      </c>
      <c r="G217" s="225">
        <v>127</v>
      </c>
      <c r="H217" s="227" t="s">
        <v>503</v>
      </c>
      <c r="I217" s="226">
        <v>43073.172488425924</v>
      </c>
      <c r="J217" s="225">
        <v>0</v>
      </c>
      <c r="K217" s="237" t="str">
        <f>IF(ISEVEN(B217),(B217-1)&amp;"/"&amp;B217,B217&amp;"/"&amp;(B217+1))</f>
        <v>4041/4042</v>
      </c>
      <c r="L217" s="245" t="str">
        <f>VLOOKUP(A217,'Trips&amp;Operators'!$C$1:$G$99911,5,FALSE)</f>
        <v>DELGADO DIANAH</v>
      </c>
      <c r="M217" s="224">
        <f>I217-F217</f>
        <v>2.7083333334303461E-3</v>
      </c>
      <c r="N217" s="225">
        <f>24*60*SUM($M217:$M217)</f>
        <v>3.9000000001396984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-04T02:59:49-0700',mode:absolute,to:'2017-12-04T05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2.3115999999999999</v>
      </c>
      <c r="Z217" s="247">
        <f>RIGHT(H217,LEN(H217)-4)/10000</f>
        <v>1.6E-2</v>
      </c>
      <c r="AA217" s="247">
        <f>ABS(Z217-Y217)</f>
        <v>2.2955999999999999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306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 &amp; aws s3 cp s3://rtdc.mdm.uploadarchive.raw/RTDC4041/ "%USERPROFILE%\AppData\Local\Temp\OnboardLogs"\RTDC4041\2017-12-05 --exclude "*" --recursive --include "*20171205*" &amp; "%USERPROFILE%\Documents\GitHub\mrs-test-scripts\Headless Mode &amp; Sideloading\WalkAndUnGZ.bat" "%USERPROFILE%\AppData\Local\Temp\OnboardLogs"\RTDC4041\2017-12-05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/stypes="app*4041*20171204*" /stext=" 11:.+((SYSTEM_STATE.+slice.+state.+changed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63"/>
        <v>"%USERPROFILE%\Documents\GitHub\eaglep3\Utilities\RefineRTDCRunTimes.py" --tripid 306-04 --locoid 4041 --swversion DE.1.0.9.0 --startMP 300:23116 --initTime 2017-12-04T03:59:49 --startdatetime 2017-12-04T04:04:29 --delay 127 --endMP 204:160 --enddatetime 2017-12-04T04:08:23 --enforcementcount 0 &gt;&gt;%USERPROFILE%\Documents\GitHub\eaglep3-reporting\EC\2017-12-04-refined-times.txt</v>
      </c>
      <c r="AI217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{"issue":{"subject":"","project_id":79,"tracker_id":40,"status_id":1,"priority_id":2,"assigned_to_id":338,"start_date":"2017-12-04","description":"","custom_fields":[{"id":1,"name":"Subdivision","value":"Other"},{"id":4,"name":"Milepost","value":"0.016"},{"id":17,"name":"Train ID","value":"306-04"},{"id":16,"name":"Locomotive ID","value":"4041"},{"id":130,"name":"Impact","value":""},{"id":150,"name":"Time of Event (Mountain Time)","value":"04:08:23"},{"id":151,"name":"Denver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65"/>
        <v>start /low /b %USERPROFILE%\Documents\GitHub\eaglep3\Utilities\DownloadLogsFromS3.py --loco 4041 --day 2017-12-04</v>
      </c>
      <c r="AN217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11:08:23"},{"id":29,"name":"Sharepoint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67"/>
        <v>https://d0f6bd738d7f1b3e5a7ca70fe4ff75f0.us-east-1.aws.found.io/app/kibana#/discover/Steve-Slow-Train-Analysis-(2080s-and-2083s)?_g=(refreshInterval:(display:Off,pause:!f,section:0,value:0),time:(from:'2017-12-04T02:59:49-0700',mode:absolute,to:'2017-12-04T05:08:23-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897</v>
      </c>
      <c r="B218" s="225">
        <v>4064</v>
      </c>
      <c r="C218" s="227" t="s">
        <v>192</v>
      </c>
      <c r="D218" s="227" t="s">
        <v>995</v>
      </c>
      <c r="E218" s="226">
        <v>43074.047337962962</v>
      </c>
      <c r="F218" s="226">
        <v>43074.049803240741</v>
      </c>
      <c r="G218" s="225">
        <v>91</v>
      </c>
      <c r="H218" s="227" t="s">
        <v>996</v>
      </c>
      <c r="I218" s="226">
        <v>43074.057337962964</v>
      </c>
      <c r="J218" s="225">
        <v>0</v>
      </c>
      <c r="K218" s="237" t="str">
        <f>IF(ISEVEN(B218),(B218-1)&amp;"/"&amp;B218,B218&amp;"/"&amp;(B218+1))</f>
        <v>4063/4064</v>
      </c>
      <c r="L218" s="245" t="str">
        <f>VLOOKUP(A218,'Trips&amp;Operators'!$C$1:$G$99911,5,FALSE)</f>
        <v>LOZA FIDEL</v>
      </c>
      <c r="M218" s="224">
        <f>I218-F218</f>
        <v>7.5347222227719612E-3</v>
      </c>
      <c r="N218" s="225">
        <f>24*60*SUM($M218:$M218)</f>
        <v>10.850000000791624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-05T00:08:10-0700',mode:absolute,to:'2017-12-05T02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5.4600000000000003E-2</v>
      </c>
      <c r="Z218" s="247">
        <f>RIGHT(H218,LEN(H218)-4)/10000</f>
        <v>2.3302</v>
      </c>
      <c r="AA218" s="247">
        <f>ABS(Z218-Y218)</f>
        <v>2.2755999999999998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307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 &amp; 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/stypes="app*4064*20171205*" /stext=" 08:.+((SYSTEM_STATE.+slice.+state.+changed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63"/>
        <v>"%USERPROFILE%\Documents\GitHub\eaglep3\Utilities\RefineRTDCRunTimes.py" --tripid 307-04 --locoid 4064 --swversion DE.1.0.9.0 --startMP 204:546 --initTime 2017-12-05T01:08:10 --startdatetime 2017-12-05T01:11:43 --delay 91 --endMP 300:23302 --enddatetime 2017-12-05T01:22:34 --enforcementcount 0 &gt;&gt;%USERPROFILE%\Documents\GitHub\eaglep3-reporting\EC\2017-12-04-refined-times.txt</v>
      </c>
      <c r="AI218" s="238" t="str">
        <f t="shared" si="64"/>
        <v>echo {"issue":{"subject":"","project_id":79,"tracker_id":40,"status_id":1,"priority_id":2,"assigned_to_id":338,"start_date":"2017-12-05","description":"","custom_fields":[{"id":1,"name":"Subdivision","value":"Other"},{"id":4,"name":"Milepost","value":"2.3302"},{"id":17,"name":"Train ID","value":"307-04"},{"id":16,"name":"Locomotive ID","value":"4064"},{"id":130,"name":"Impact","value":""},{"id":150,"name":"Time of Event (Mountain Time)","value":"01:22:34"},{"id":151,"name":"Denver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65"/>
        <v>start /low /b %USERPROFILE%\Documents\GitHub\eaglep3\Utilities\DownloadLogsFromS3.py --loco 4064 --day 2017-12-05</v>
      </c>
      <c r="AN218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67"/>
        <v>https://d0f6bd738d7f1b3e5a7ca70fe4ff75f0.us-east-1.aws.found.io/app/kibana#/discover/Steve-Slow-Train-Analysis-(2080s-and-2083s)?_g=(refreshInterval:(display:Off,pause:!f,section:0,value:0),time:(from:'2017-12-05T00:08:10-0700',mode:absolute,to:'2017-12-05T02:22:34-0700'))&amp;_a=(columns:!('Message%20ID',Summary),filters:!(),index:'emp_*',interval:auto,query:(query_string:(analyze_wildcard:!t,query:'%22rtdc.l.rtdc.4064%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689</v>
      </c>
      <c r="B219" s="225">
        <v>4057</v>
      </c>
      <c r="C219" s="227" t="s">
        <v>192</v>
      </c>
      <c r="D219" s="227" t="s">
        <v>997</v>
      </c>
      <c r="E219" s="226">
        <v>43073.18172453704</v>
      </c>
      <c r="F219" s="226">
        <v>43073.18540509259</v>
      </c>
      <c r="G219" s="225">
        <v>67</v>
      </c>
      <c r="H219" s="227" t="s">
        <v>535</v>
      </c>
      <c r="I219" s="226">
        <v>43073.190671296295</v>
      </c>
      <c r="J219" s="225">
        <v>0</v>
      </c>
      <c r="K219" s="237" t="str">
        <f>IF(ISEVEN(B219),(B219-1)&amp;"/"&amp;B219,B219&amp;"/"&amp;(B219+1))</f>
        <v>4057/4058</v>
      </c>
      <c r="L219" s="245" t="str">
        <f>VLOOKUP(A219,'Trips&amp;Operators'!$C$1:$G$99911,5,FALSE)</f>
        <v>MAELZER KURT</v>
      </c>
      <c r="M219" s="224">
        <f>I219-F219</f>
        <v>5.2662037051049992E-3</v>
      </c>
      <c r="N219" s="225">
        <f>24*60*SUM($M219:$M219)</f>
        <v>7.5833333353511989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-04T03:21:41-0700',mode:absolute,to:'2017-12-04T05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1.9752000000000001</v>
      </c>
      <c r="Z219" s="247">
        <f>RIGHT(H219,LEN(H219)-4)/10000</f>
        <v>1.78E-2</v>
      </c>
      <c r="AA219" s="247">
        <f>ABS(Z219-Y219)</f>
        <v>1.9574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308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 &amp; aws s3 cp s3://rtdc.mdm.uploadarchive.raw/RTDC4057/ "%USERPROFILE%\AppData\Local\Temp\OnboardLogs"\RTDC4057\2017-12-05 --exclude "*" --recursive --include "*20171205*" &amp; "%USERPROFILE%\Documents\GitHub\mrs-test-scripts\Headless Mode &amp; Sideloading\WalkAndUnGZ.bat" "%USERPROFILE%\AppData\Local\Temp\OnboardLogs"\RTDC4057\2017-12-05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/stypes="app*4057*20171204*" /stext=" 11:.+((SYSTEM_STATE.+slice.+state.+changed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63"/>
        <v>"%USERPROFILE%\Documents\GitHub\eaglep3\Utilities\RefineRTDCRunTimes.py" --tripid 308-04 --locoid 4057 --swversion DE.1.0.9.0 --startMP 300:19752 --initTime 2017-12-04T04:21:41 --startdatetime 2017-12-04T04:26:59 --delay 67 --endMP 204:178 --enddatetime 2017-12-04T04:34:34 --enforcementcount 0 &gt;&gt;%USERPROFILE%\Documents\GitHub\eaglep3-reporting\EC\2017-12-04-refined-times.txt</v>
      </c>
      <c r="AI219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{"issue":{"subject":"","project_id":79,"tracker_id":40,"status_id":1,"priority_id":2,"assigned_to_id":338,"start_date":"2017-12-04","description":"","custom_fields":[{"id":1,"name":"Subdivision","value":"Other"},{"id":4,"name":"Milepost","value":"0.0178"},{"id":17,"name":"Train ID","value":"308-04"},{"id":16,"name":"Locomotive ID","value":"4057"},{"id":130,"name":"Impact","value":""},{"id":150,"name":"Time of Event (Mountain Time)","value":"04:34:34"},{"id":151,"name":"Denver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65"/>
        <v>start /low /b %USERPROFILE%\Documents\GitHub\eaglep3\Utilities\DownloadLogsFromS3.py --loco 4057 --day 2017-12-04</v>
      </c>
      <c r="AN219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67"/>
        <v>https://d0f6bd738d7f1b3e5a7ca70fe4ff75f0.us-east-1.aws.found.io/app/kibana#/discover/Steve-Slow-Train-Analysis-(2080s-and-2083s)?_g=(refreshInterval:(display:Off,pause:!f,section:0,value:0),time:(from:'2017-12-04T03:21:41-0700',mode:absolute,to:'2017-12-04T05:34:34-0700'))&amp;_a=(columns:!('Message%20ID',Summary),filters:!(),index:'emp_*',interval:auto,query:(query_string:(analyze_wildcard:!t,query:'%22rtdc.l.rtdc.4057%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899</v>
      </c>
      <c r="B220" s="225">
        <v>4008</v>
      </c>
      <c r="C220" s="227" t="s">
        <v>192</v>
      </c>
      <c r="D220" s="227" t="s">
        <v>998</v>
      </c>
      <c r="E220" s="226">
        <v>43074.067013888889</v>
      </c>
      <c r="F220" s="226">
        <v>43074.068240740744</v>
      </c>
      <c r="G220" s="225">
        <v>61</v>
      </c>
      <c r="H220" s="227" t="s">
        <v>654</v>
      </c>
      <c r="I220" s="226">
        <v>43074.075706018521</v>
      </c>
      <c r="J220" s="225">
        <v>0</v>
      </c>
      <c r="K220" s="237" t="str">
        <f>IF(ISEVEN(B220),(B220-1)&amp;"/"&amp;B220,B220&amp;"/"&amp;(B220+1))</f>
        <v>4007/4008</v>
      </c>
      <c r="L220" s="245" t="str">
        <f>VLOOKUP(A220,'Trips&amp;Operators'!$C$1:$G$99911,5,FALSE)</f>
        <v>RESPASS AARON</v>
      </c>
      <c r="M220" s="224">
        <f>I220-F220</f>
        <v>7.4652777766459621E-3</v>
      </c>
      <c r="N220" s="225">
        <f>24*60*SUM($M220:$M220)</f>
        <v>10.749999998370185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-05T00:36:30-0700',mode:absolute,to:'2017-12-05T02:49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1</v>
      </c>
      <c r="Y220" s="247">
        <f>RIGHT(D220,LEN(D220)-4)/10000</f>
        <v>5.8799999999999998E-2</v>
      </c>
      <c r="Z220" s="247">
        <f>RIGHT(H220,LEN(H220)-4)/10000</f>
        <v>2.3308</v>
      </c>
      <c r="AA220" s="247">
        <f>ABS(Z220-Y220)</f>
        <v>2.2719999999999998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309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 &amp; 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/stypes="app*4008*20171205*" /stext=" 08:.+((SYSTEM_STATE.+slice.+state.+changed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63"/>
        <v>"%USERPROFILE%\Documents\GitHub\eaglep3\Utilities\RefineRTDCRunTimes.py" --tripid 309-04 --locoid 4008 --swversion DE.1.0.9.0 --startMP 204:588 --initTime 2017-12-05T01:36:30 --startdatetime 2017-12-05T01:38:16 --delay 61 --endMP 300:23308 --enddatetime 2017-12-05T01:49:01 --enforcementcount 0 &gt;&gt;%USERPROFILE%\Documents\GitHub\eaglep3-reporting\EC\2017-12-04-refined-times.txt</v>
      </c>
      <c r="AI220" s="238" t="str">
        <f t="shared" si="64"/>
        <v>echo {"issue":{"subject":"","project_id":79,"tracker_id":40,"status_id":1,"priority_id":2,"assigned_to_id":338,"start_date":"2017-12-05","description":"","custom_fields":[{"id":1,"name":"Subdivision","value":"Other"},{"id":4,"name":"Milepost","value":"2.3308"},{"id":17,"name":"Train ID","value":"309-04"},{"id":16,"name":"Locomotive ID","value":"4008"},{"id":130,"name":"Impact","value":""},{"id":150,"name":"Time of Event (Mountain Time)","value":"01:49:01"},{"id":151,"name":"Denver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65"/>
        <v>start /low /b %USERPROFILE%\Documents\GitHub\eaglep3\Utilities\DownloadLogsFromS3.py --loco 4008 --day 2017-12-05</v>
      </c>
      <c r="AN220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08:49:01"},{"id":29,"name":"Sharepoint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67"/>
        <v>https://d0f6bd738d7f1b3e5a7ca70fe4ff75f0.us-east-1.aws.found.io/app/kibana#/discover/Steve-Slow-Train-Analysis-(2080s-and-2083s)?_g=(refreshInterval:(display:Off,pause:!f,section:0,value:0),time:(from:'2017-12-05T00:36:30-0700',mode:absolute,to:'2017-12-05T02:49:01-0700'))&amp;_a=(columns:!('Message%20ID',Summary),filters:!(),index:'emp_*',interval:auto,query:(query_string:(analyze_wildcard:!t,query:'%22rtdc.l.rtdc.4008%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693</v>
      </c>
      <c r="B221" s="225">
        <v>4033</v>
      </c>
      <c r="C221" s="227" t="s">
        <v>192</v>
      </c>
      <c r="D221" s="227" t="s">
        <v>999</v>
      </c>
      <c r="E221" s="226">
        <v>43073.196921296294</v>
      </c>
      <c r="F221" s="226">
        <v>43073.200208333335</v>
      </c>
      <c r="G221" s="225">
        <v>102</v>
      </c>
      <c r="H221" s="227" t="s">
        <v>450</v>
      </c>
      <c r="I221" s="226">
        <v>43073.206400462965</v>
      </c>
      <c r="J221" s="225">
        <v>0</v>
      </c>
      <c r="K221" s="237" t="str">
        <f>IF(ISEVEN(B221),(B221-1)&amp;"/"&amp;B221,B221&amp;"/"&amp;(B221+1))</f>
        <v>4033/4034</v>
      </c>
      <c r="L221" s="245" t="str">
        <f>VLOOKUP(A221,'Trips&amp;Operators'!$C$1:$G$99911,5,FALSE)</f>
        <v>DAVIDSON DAVID</v>
      </c>
      <c r="M221" s="224">
        <f>I221-F221</f>
        <v>6.1921296291984618E-3</v>
      </c>
      <c r="N221" s="225">
        <f>24*60*SUM($M221:$M221)</f>
        <v>8.916666666045785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-12-04T03:43:34-0700',mode:absolute,to:'2017-12-04T05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2.3268</v>
      </c>
      <c r="Z221" s="247">
        <f>RIGHT(H221,LEN(H221)-4)/10000</f>
        <v>2.2499999999999999E-2</v>
      </c>
      <c r="AA221" s="247">
        <f>ABS(Z221-Y221)</f>
        <v>2.3043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310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s3://rtdc.mdm.uploadarchive.raw/RTDC4033/ "%USERPROFILE%\AppData\Local\Temp\OnboardLogs"\RTDC4033\2017-12-04 --exclude "*" --recursive --include "*20171204*" &amp; "%USERPROFILE%\Documents\GitHub\mrs-test-scripts\Headless Mode &amp; Sideloading\WalkAndUnGZ.bat" "%USERPROFILE%\AppData\Local\Temp\OnboardLogs"\RTDC4033\2017-12-04 &amp; aws s3 cp s3://rtdc.mdm.uploadarchive.raw/RTDC4033/ "%USERPROFILE%\AppData\Local\Temp\OnboardLogs"\RTDC4033\2017-12-05 --exclude "*" --recursive --include "*20171205*" &amp; "%USERPROFILE%\Documents\GitHub\mrs-test-scripts\Headless Mode &amp; Sideloading\WalkAndUnGZ.bat" "%USERPROFILE%\AppData\Local\Temp\OnboardLogs"\RTDC4033\2017-12-05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/stypes="app*4033*20171204*" /stext=" 11:.+((SYSTEM_STATE.+slice.+state.+changed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63"/>
        <v>"%USERPROFILE%\Documents\GitHub\eaglep3\Utilities\RefineRTDCRunTimes.py" --tripid 310-04 --locoid 4033 --swversion DE.1.0.9.0 --startMP 300:23268 --initTime 2017-12-04T04:43:34 --startdatetime 2017-12-04T04:48:18 --delay 102 --endMP 204:225 --enddatetime 2017-12-04T04:57:13 --enforcementcount 0 &gt;&gt;%USERPROFILE%\Documents\GitHub\eaglep3-reporting\EC\2017-12-04-refined-times.txt</v>
      </c>
      <c r="AI221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{"issue":{"subject":"","project_id":79,"tracker_id":40,"status_id":1,"priority_id":2,"assigned_to_id":338,"start_date":"2017-12-04","description":"","custom_fields":[{"id":1,"name":"Subdivision","value":"Other"},{"id":4,"name":"Milepost","value":"0.0225"},{"id":17,"name":"Train ID","value":"310-04"},{"id":16,"name":"Locomotive ID","value":"4033"},{"id":130,"name":"Impact","value":""},{"id":150,"name":"Time of Event (Mountain Time)","value":"04:57:13"},{"id":151,"name":"Denver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65"/>
        <v>start /low /b %USERPROFILE%\Documents\GitHub\eaglep3\Utilities\DownloadLogsFromS3.py --loco 4033 --day 2017-12-04</v>
      </c>
      <c r="AN221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11:57:13"},{"id":29,"name":"Sharepoint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67"/>
        <v>https://d0f6bd738d7f1b3e5a7ca70fe4ff75f0.us-east-1.aws.found.io/app/kibana#/discover/Steve-Slow-Train-Analysis-(2080s-and-2083s)?_g=(refreshInterval:(display:Off,pause:!f,section:0,value:0),time:(from:'2017-12-04T03:43:34-0700',mode:absolute,to:'2017-12-04T05:57:13-0700'))&amp;_a=(columns:!('Message%20ID',Summary),filters:!(),index:'emp_*',interval:auto,query:(query_string:(analyze_wildcard:!t,query:'%22rtdc.l.rtdc.4033%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25">
      <c r="A222" s="229" t="s">
        <v>900</v>
      </c>
      <c r="B222" s="225">
        <v>4010</v>
      </c>
      <c r="C222" s="227" t="s">
        <v>192</v>
      </c>
      <c r="D222" s="227" t="s">
        <v>546</v>
      </c>
      <c r="E222" s="226">
        <v>43074.087719907409</v>
      </c>
      <c r="F222" s="226">
        <v>43074.091840277775</v>
      </c>
      <c r="G222" s="225">
        <v>104</v>
      </c>
      <c r="H222" s="227" t="s">
        <v>1000</v>
      </c>
      <c r="I222" s="226">
        <v>43074.102152777778</v>
      </c>
      <c r="J222" s="225">
        <v>0</v>
      </c>
      <c r="K222" s="237" t="str">
        <f>IF(ISEVEN(B222),(B222-1)&amp;"/"&amp;B222,B222&amp;"/"&amp;(B222+1))</f>
        <v>4009/4010</v>
      </c>
      <c r="L222" s="245" t="str">
        <f>VLOOKUP(A222,'Trips&amp;Operators'!$C$1:$G$99911,5,FALSE)</f>
        <v>WILLIAMS DONTE</v>
      </c>
      <c r="M222" s="224">
        <f>I222-F222</f>
        <v>1.0312500002328306E-2</v>
      </c>
      <c r="N222" s="225">
        <f>24*60*SUM($M222:$M222)</f>
        <v>14.850000003352761</v>
      </c>
      <c r="O222" s="225"/>
      <c r="P222" s="225"/>
      <c r="Q222" s="228"/>
      <c r="R222" s="242"/>
      <c r="S222" s="249">
        <f>1/IF(AG222="EC",12,1)*SUM(U222:U222)</f>
        <v>1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-12-05T01:06:19-0700',mode:absolute,to:'2017-12-05T03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1</v>
      </c>
      <c r="Y222" s="247">
        <f>RIGHT(D222,LEN(D222)-4)/10000</f>
        <v>5.0900000000000001E-2</v>
      </c>
      <c r="Z222" s="247">
        <f>RIGHT(H222,LEN(H222)-4)/10000</f>
        <v>2.2999999999999998</v>
      </c>
      <c r="AA222" s="247">
        <f>ABS(Z222-Y222)</f>
        <v>2.2490999999999999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311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 &amp; 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/stypes="app*4010*20171205*" /stext=" 09:.+((SYSTEM_STATE.+slice.+state.+changed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63"/>
        <v>"%USERPROFILE%\Documents\GitHub\eaglep3\Utilities\RefineRTDCRunTimes.py" --tripid 311-04 --locoid 4010 --swversion DE.1.0.9.0 --startMP 204:509 --initTime 2017-12-05T02:06:19 --startdatetime 2017-12-05T02:12:15 --delay 104 --endMP 300:23000 --enddatetime 2017-12-05T02:27:06 --enforcementcount 0 &gt;&gt;%USERPROFILE%\Documents\GitHub\eaglep3-reporting\EC\2017-12-04-refined-times.txt</v>
      </c>
      <c r="AI222" s="238" t="str">
        <f t="shared" si="64"/>
        <v>echo {"issue":{"subject":"","project_id":79,"tracker_id":40,"status_id":1,"priority_id":2,"assigned_to_id":338,"start_date":"2017-12-05","description":"","custom_fields":[{"id":1,"name":"Subdivision","value":"Other"},{"id":4,"name":"Milepost","value":"2.3"},{"id":17,"name":"Train ID","value":"311-04"},{"id":16,"name":"Locomotive ID","value":"4010"},{"id":130,"name":"Impact","value":""},{"id":150,"name":"Time of Event (Mountain Time)","value":"02:27:06"},{"id":151,"name":"Denver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65"/>
        <v>start /low /b %USERPROFILE%\Documents\GitHub\eaglep3\Utilities\DownloadLogsFromS3.py --loco 4010 --day 2017-12-05</v>
      </c>
      <c r="AN222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09:27:06"},{"id":29,"name":"Sharepoint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67"/>
        <v>https://d0f6bd738d7f1b3e5a7ca70fe4ff75f0.us-east-1.aws.found.io/app/kibana#/discover/Steve-Slow-Train-Analysis-(2080s-and-2083s)?_g=(refreshInterval:(display:Off,pause:!f,section:0,value:0),time:(from:'2017-12-05T01:06:19-0700',mode:absolute,to:'2017-12-05T03:27:06-0700'))&amp;_a=(columns:!('Message%20ID',Summary),filters:!(),index:'emp_*',interval:auto,query:(query_string:(analyze_wildcard:!t,query:'%22rtdc.l.rtdc.4010%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9" t="s">
        <v>701</v>
      </c>
      <c r="B223" s="225">
        <v>4007</v>
      </c>
      <c r="C223" s="227" t="s">
        <v>192</v>
      </c>
      <c r="D223" s="227" t="s">
        <v>1001</v>
      </c>
      <c r="E223" s="226">
        <v>43073.221863425926</v>
      </c>
      <c r="F223" s="226">
        <v>43073.226770833331</v>
      </c>
      <c r="G223" s="225">
        <v>65</v>
      </c>
      <c r="H223" s="227" t="s">
        <v>1002</v>
      </c>
      <c r="I223" s="226">
        <v>43073.232199074075</v>
      </c>
      <c r="J223" s="225">
        <v>0</v>
      </c>
      <c r="K223" s="237" t="str">
        <f>IF(ISEVEN(B223),(B223-1)&amp;"/"&amp;B223,B223&amp;"/"&amp;(B223+1))</f>
        <v>4007/4008</v>
      </c>
      <c r="L223" s="245" t="str">
        <f>VLOOKUP(A223,'Trips&amp;Operators'!$C$1:$G$99911,5,FALSE)</f>
        <v>LAMAR NEKESHA</v>
      </c>
      <c r="M223" s="224">
        <f>I223-F223</f>
        <v>5.4282407436403446E-3</v>
      </c>
      <c r="N223" s="225">
        <f>24*60*SUM($M223:$M223)</f>
        <v>7.8166666708420962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-12-04T04:19:29-0700',mode:absolute,to:'2017-12-04T06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1</v>
      </c>
      <c r="Y223" s="247">
        <f>RIGHT(D223,LEN(D223)-4)/10000</f>
        <v>2.2322000000000002</v>
      </c>
      <c r="Z223" s="247">
        <f>RIGHT(H223,LEN(H223)-4)/10000</f>
        <v>1.54E-2</v>
      </c>
      <c r="AA223" s="247">
        <f>ABS(Z223-Y223)</f>
        <v>2.2168000000000001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312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/stypes="app*4007*20171204*" /stext=" 12:.+((SYSTEM_STATE.+slice.+state.+changed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63"/>
        <v>"%USERPROFILE%\Documents\GitHub\eaglep3\Utilities\RefineRTDCRunTimes.py" --tripid 312-04 --locoid 4007 --swversion DE.1.0.9.0 --startMP 300:22322 --initTime 2017-12-04T05:19:29 --startdatetime 2017-12-04T05:26:33 --delay 65 --endMP 204:154 --enddatetime 2017-12-04T05:34:22 --enforcementcount 0 &gt;&gt;%USERPROFILE%\Documents\GitHub\eaglep3-reporting\EC\2017-12-04-refined-times.txt</v>
      </c>
      <c r="AI223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{"issue":{"subject":"","project_id":79,"tracker_id":40,"status_id":1,"priority_id":2,"assigned_to_id":338,"start_date":"2017-12-04","description":"","custom_fields":[{"id":1,"name":"Subdivision","value":"Other"},{"id":4,"name":"Milepost","value":"0.0154"},{"id":17,"name":"Train ID","value":"312-04"},{"id":16,"name":"Locomotive ID","value":"4007"},{"id":130,"name":"Impact","value":""},{"id":150,"name":"Time of Event (Mountain Time)","value":"05:34:22"},{"id":151,"name":"Denver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65"/>
        <v>start /low /b %USERPROFILE%\Documents\GitHub\eaglep3\Utilities\DownloadLogsFromS3.py --loco 4007 --day 2017-12-04</v>
      </c>
      <c r="AN223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67"/>
        <v>https://d0f6bd738d7f1b3e5a7ca70fe4ff75f0.us-east-1.aws.found.io/app/kibana#/discover/Steve-Slow-Train-Analysis-(2080s-and-2083s)?_g=(refreshInterval:(display:Off,pause:!f,section:0,value:0),time:(from:'2017-12-04T04:19:29-0700',mode:absolute,to:'2017-12-04T06:34:22-0700'))&amp;_a=(columns:!('Message%20ID',Summary),filters:!(),index:'emp_*',interval:auto,query:(query_string:(analyze_wildcard:!t,query:'%22rtdc.l.rtdc.4007%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896</v>
      </c>
      <c r="B224" s="225">
        <v>4058</v>
      </c>
      <c r="C224" s="227" t="s">
        <v>192</v>
      </c>
      <c r="D224" s="227" t="s">
        <v>1003</v>
      </c>
      <c r="E224" s="226">
        <v>43074.024525462963</v>
      </c>
      <c r="F224" s="226">
        <v>43074.026620370372</v>
      </c>
      <c r="G224" s="225">
        <v>101</v>
      </c>
      <c r="H224" s="227" t="s">
        <v>649</v>
      </c>
      <c r="I224" s="226">
        <v>43074.033831018518</v>
      </c>
      <c r="J224" s="225">
        <v>0</v>
      </c>
      <c r="K224" s="237" t="str">
        <f>IF(ISEVEN(B224),(B224-1)&amp;"/"&amp;B224,B224&amp;"/"&amp;(B224+1))</f>
        <v>4057/4058</v>
      </c>
      <c r="L224" s="245" t="str">
        <f>VLOOKUP(A224,'Trips&amp;Operators'!$C$1:$G$99911,5,FALSE)</f>
        <v>ELBAUM MIKE</v>
      </c>
      <c r="M224" s="224">
        <f>I224-F224</f>
        <v>7.2106481457012706E-3</v>
      </c>
      <c r="N224" s="225">
        <f>24*60*SUM($M224:$M224)</f>
        <v>10.38333332980983</v>
      </c>
      <c r="O224" s="225"/>
      <c r="P224" s="225"/>
      <c r="Q224" s="228"/>
      <c r="R224" s="242"/>
      <c r="S224" s="249">
        <f>1/IF(AG224="EC",12,1)*SUM(U224:U224)</f>
        <v>1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-12-04T23:35:19-0700',mode:absolute,to:'2017-12-05T01:48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1</v>
      </c>
      <c r="Y224" s="247">
        <f>RIGHT(D224,LEN(D224)-4)/10000</f>
        <v>5.79E-2</v>
      </c>
      <c r="Z224" s="247">
        <f>RIGHT(H224,LEN(H224)-4)/10000</f>
        <v>2.331</v>
      </c>
      <c r="AA224" s="247">
        <f>ABS(Z224-Y224)</f>
        <v>2.2730999999999999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313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s3://rtdc.mdm.uploadarchive.raw/RTDC4058/ "%USERPROFILE%\AppData\Local\Temp\OnboardLogs"\RTDC4058\2017-12-05 --exclude "*" --recursive --include "*20171205*" &amp; "%USERPROFILE%\Documents\GitHub\mrs-test-scripts\Headless Mode &amp; Sideloading\WalkAndUnGZ.bat" "%USERPROFILE%\AppData\Local\Temp\OnboardLogs"\RTDC4058\2017-12-05 &amp; 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/stypes="app*4058*20171205*" /stext=" 07:.+((SYSTEM_STATE.+slice.+state.+changed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63"/>
        <v>"%USERPROFILE%\Documents\GitHub\eaglep3\Utilities\RefineRTDCRunTimes.py" --tripid 313-04 --locoid 4058 --swversion DE.1.0.9.0 --startMP 204:579 --initTime 2017-12-05T00:35:19 --startdatetime 2017-12-05T00:38:20 --delay 101 --endMP 300:23310 --enddatetime 2017-12-05T00:48:43 --enforcementcount 0 &gt;&gt;%USERPROFILE%\Documents\GitHub\eaglep3-reporting\EC\2017-12-04-refined-times.txt</v>
      </c>
      <c r="AI224" s="238" t="str">
        <f t="shared" si="64"/>
        <v>echo {"issue":{"subject":"","project_id":79,"tracker_id":40,"status_id":1,"priority_id":2,"assigned_to_id":338,"start_date":"2017-12-05","description":"","custom_fields":[{"id":1,"name":"Subdivision","value":"Other"},{"id":4,"name":"Milepost","value":"2.331"},{"id":17,"name":"Train ID","value":"313-04"},{"id":16,"name":"Locomotive ID","value":"4058"},{"id":130,"name":"Impact","value":""},{"id":150,"name":"Time of Event (Mountain Time)","value":"00:48:43"},{"id":151,"name":"Denver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65"/>
        <v>start /low /b %USERPROFILE%\Documents\GitHub\eaglep3\Utilities\DownloadLogsFromS3.py --loco 4058 --day 2017-12-05</v>
      </c>
      <c r="AN224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07:48:43"},{"id":29,"name":"Sharepoint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67"/>
        <v>https://d0f6bd738d7f1b3e5a7ca70fe4ff75f0.us-east-1.aws.found.io/app/kibana#/discover/Steve-Slow-Train-Analysis-(2080s-and-2083s)?_g=(refreshInterval:(display:Off,pause:!f,section:0,value:0),time:(from:'2017-12-04T23:35:19-0700',mode:absolute,to:'2017-12-05T01:48:43-0700'))&amp;_a=(columns:!('Message%20ID',Summary),filters:!(),index:'emp_*',interval:auto,query:(query_string:(analyze_wildcard:!t,query:'%22rtdc.l.rtdc.4058%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9" t="s">
        <v>695</v>
      </c>
      <c r="B225" s="225">
        <v>4032</v>
      </c>
      <c r="C225" s="227" t="s">
        <v>192</v>
      </c>
      <c r="D225" s="227" t="s">
        <v>1069</v>
      </c>
      <c r="E225" s="226">
        <v>43073.203553240739</v>
      </c>
      <c r="F225" s="226">
        <v>43073.20585648148</v>
      </c>
      <c r="G225" s="225">
        <v>49</v>
      </c>
      <c r="H225" s="227" t="s">
        <v>513</v>
      </c>
      <c r="I225" s="226">
        <v>43073.211712962962</v>
      </c>
      <c r="J225" s="225">
        <v>0</v>
      </c>
      <c r="K225" s="237" t="str">
        <f>IF(ISEVEN(B225),(B225-1)&amp;"/"&amp;B225,B225&amp;"/"&amp;(B225+1))</f>
        <v>4031/4032</v>
      </c>
      <c r="L225" s="245" t="str">
        <f>VLOOKUP(A225,'Trips&amp;Operators'!$C$1:$G$99911,5,FALSE)</f>
        <v>MACDONALD THOMAS</v>
      </c>
      <c r="M225" s="224">
        <f>I225-F225</f>
        <v>5.8564814826240763E-3</v>
      </c>
      <c r="N225" s="225">
        <f>24*60*SUM($M225:$M225)</f>
        <v>8.4333333349786699</v>
      </c>
      <c r="O225" s="225"/>
      <c r="P225" s="225"/>
      <c r="Q225" s="228"/>
      <c r="R225" s="242"/>
      <c r="S225" s="249">
        <f>1/IF(AG225="EC",12,1)*SUM(U225:U225)</f>
        <v>0</v>
      </c>
      <c r="T225" s="242" t="str">
        <f>IF(ISEVEN(LEFT(AD225,4)),"Southbound","NorthBound")</f>
        <v>NorthBound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-12-04T03:53:07-0700',mode:absolute,to:'2017-12-04T06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588</v>
      </c>
      <c r="Y225" s="247">
        <f>RIGHT(D225,LEN(D225)-4)/10000</f>
        <v>2.9893000000000001</v>
      </c>
      <c r="Z225" s="247">
        <f>RIGHT(H225,LEN(H225)-4)/10000</f>
        <v>5.8916000000000004</v>
      </c>
      <c r="AA225" s="247">
        <f>ABS(Z225-Y225)</f>
        <v>2.9023000000000003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901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/stypes="app*4032*20171204*" /stext=" 12:.+((SYSTEM_STATE.+slice.+state.+changed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63"/>
        <v>"%USERPROFILE%\Documents\GitHub\eaglep3\Utilities\RefineRTDCRunTimes.py" --tripid 901-04 --locoid 4032 --swversion DE.1.0.9.0 --startMP 300:29893 --initTime 2017-12-04T04:53:07 --startdatetime 2017-12-04T04:56:26 --delay 49 --endMP 300:58916 --enddatetime 2017-12-04T05:04:52 --enforcementcount 0 &gt;&gt;%USERPROFILE%\Documents\GitHub\eaglep3-reporting\EC\2017-12-04-refined-times.txt</v>
      </c>
      <c r="AI225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{"issue":{"subject":"","project_id":79,"tracker_id":40,"status_id":1,"priority_id":2,"assigned_to_id":338,"start_date":"2017-12-04","description":"","custom_fields":[{"id":1,"name":"Subdivision","value":"Other"},{"id":4,"name":"Milepost","value":"5.8916"},{"id":17,"name":"Train ID","value":"901-04"},{"id":16,"name":"Locomotive ID","value":"4032"},{"id":130,"name":"Impact","value":""},{"id":150,"name":"Time of Event (Mountain Time)","value":"05:04:52"},{"id":151,"name":"Denver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65"/>
        <v>start /low /b %USERPROFILE%\Documents\GitHub\eaglep3\Utilities\DownloadLogsFromS3.py --loco 4032 --day 2017-12-04</v>
      </c>
      <c r="AN225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67"/>
        <v>https://d0f6bd738d7f1b3e5a7ca70fe4ff75f0.us-east-1.aws.found.io/app/kibana#/discover/Steve-Slow-Train-Analysis-(2080s-and-2083s)?_g=(refreshInterval:(display:Off,pause:!f,section:0,value:0),time:(from:'2017-12-04T03:53:07-0700',mode:absolute,to:'2017-12-04T06:04:52-0700'))&amp;_a=(columns:!('Message%20ID',Summary),filters:!(),index:'emp_*',interval:auto,query:(query_string:(analyze_wildcard:!t,query:'%22rtdc.l.rtdc.4032%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9" t="s">
        <v>705</v>
      </c>
      <c r="B226" s="225">
        <v>4055</v>
      </c>
      <c r="C226" s="227" t="s">
        <v>192</v>
      </c>
      <c r="D226" s="227" t="s">
        <v>1070</v>
      </c>
      <c r="E226" s="226">
        <v>43073.234629629631</v>
      </c>
      <c r="F226" s="226">
        <v>43073.236863425926</v>
      </c>
      <c r="G226" s="225">
        <v>65</v>
      </c>
      <c r="H226" s="227" t="s">
        <v>1071</v>
      </c>
      <c r="I226" s="226">
        <v>43073.242280092592</v>
      </c>
      <c r="J226" s="225">
        <v>0</v>
      </c>
      <c r="K226" s="237" t="str">
        <f>IF(ISEVEN(B226),(B226-1)&amp;"/"&amp;B226,B226&amp;"/"&amp;(B226+1))</f>
        <v>4055/4056</v>
      </c>
      <c r="L226" s="245" t="str">
        <f>VLOOKUP(A226,'Trips&amp;Operators'!$C$1:$G$99911,5,FALSE)</f>
        <v>YANAI IAN</v>
      </c>
      <c r="M226" s="224">
        <f>I226-F226</f>
        <v>5.4166666668606922E-3</v>
      </c>
      <c r="N226" s="225">
        <f>24*60*SUM($M226:$M226)</f>
        <v>7.8000000002793968</v>
      </c>
      <c r="O226" s="225"/>
      <c r="P226" s="225"/>
      <c r="Q226" s="228"/>
      <c r="R226" s="242"/>
      <c r="S226" s="249">
        <f>1/IF(AG226="EC",12,1)*SUM(U226:U226)</f>
        <v>1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-12-04T04:37:52-0700',mode:absolute,to:'2017-12-04T06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1</v>
      </c>
      <c r="Y226" s="247">
        <f>RIGHT(D226,LEN(D226)-4)/10000</f>
        <v>2.3727999999999998</v>
      </c>
      <c r="Z226" s="247">
        <f>RIGHT(H226,LEN(H226)-4)/10000</f>
        <v>1.2200000000000001E-2</v>
      </c>
      <c r="AA226" s="247">
        <f>ABS(Z226-Y226)</f>
        <v>2.3605999999999998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902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/stypes="app*4055*20171204*" /stext=" 12:.+((SYSTEM_STATE.+slice.+state.+changed )|(ment ac)|(multiple cpu faults)|(system.+state.+changed )|(\[timeout)|(PRM\|1\|D)|(kpr)|(kdp)|(train st.+moving)|(\|lc)|(penalty))"</v>
      </c>
      <c r="AG226" s="244" t="str">
        <f>DetSubdiv(A226)</f>
        <v>Other</v>
      </c>
      <c r="AH226" s="236" t="str">
        <f t="shared" si="63"/>
        <v>"%USERPROFILE%\Documents\GitHub\eaglep3\Utilities\RefineRTDCRunTimes.py" --tripid 902-04 --locoid 4055 --swversion DE.1.0.9.0 --startMP 300:23728 --initTime 2017-12-04T05:37:52 --startdatetime 2017-12-04T05:41:05 --delay 65 --endMP 204:122 --enddatetime 2017-12-04T05:48:53 --enforcementcount 0 &gt;&gt;%USERPROFILE%\Documents\GitHub\eaglep3-reporting\EC\2017-12-04-refined-times.txt</v>
      </c>
      <c r="AI226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{"issue":{"subject":"","project_id":79,"tracker_id":40,"status_id":1,"priority_id":2,"assigned_to_id":338,"start_date":"2017-12-04","description":"","custom_fields":[{"id":1,"name":"Subdivision","value":"Other"},{"id":4,"name":"Milepost","value":"0.0122"},{"id":17,"name":"Train ID","value":"902-04"},{"id":16,"name":"Locomotive ID","value":"4055"},{"id":130,"name":"Impact","value":""},{"id":150,"name":"Time of Event (Mountain Time)","value":"05:48:53"},{"id":151,"name":"Denver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65"/>
        <v>start /low /b %USERPROFILE%\Documents\GitHub\eaglep3\Utilities\DownloadLogsFromS3.py --loco 4055 --day 2017-12-04</v>
      </c>
      <c r="AN226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12:48:53"},{"id":29,"name":"Sharepoint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67"/>
        <v>https://d0f6bd738d7f1b3e5a7ca70fe4ff75f0.us-east-1.aws.found.io/app/kibana#/discover/Steve-Slow-Train-Analysis-(2080s-and-2083s)?_g=(refreshInterval:(display:Off,pause:!f,section:0,value:0),time:(from:'2017-12-04T04:37:52-0700',mode:absolute,to:'2017-12-04T06:48:53-0700'))&amp;_a=(columns:!('Message%20ID',Summary),filters:!(),index:'emp_*',interval:auto,query:(query_string:(analyze_wildcard:!t,query:'%22rtdc.l.rtdc.4055%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9" t="s">
        <v>739</v>
      </c>
      <c r="B227" s="225">
        <v>4032</v>
      </c>
      <c r="C227" s="227" t="s">
        <v>192</v>
      </c>
      <c r="D227" s="227" t="s">
        <v>449</v>
      </c>
      <c r="E227" s="226">
        <v>43073.353217592594</v>
      </c>
      <c r="F227" s="226">
        <v>43073.354525462964</v>
      </c>
      <c r="G227" s="225">
        <v>62</v>
      </c>
      <c r="H227" s="227" t="s">
        <v>1072</v>
      </c>
      <c r="I227" s="226">
        <v>43073.36</v>
      </c>
      <c r="J227" s="225">
        <v>0</v>
      </c>
      <c r="K227" s="237" t="str">
        <f>IF(ISEVEN(B227),(B227-1)&amp;"/"&amp;B227,B227&amp;"/"&amp;(B227+1))</f>
        <v>4031/4032</v>
      </c>
      <c r="L227" s="245" t="str">
        <f>VLOOKUP(A227,'Trips&amp;Operators'!$C$1:$G$99911,5,FALSE)</f>
        <v>MACDONALD THOMAS</v>
      </c>
      <c r="M227" s="224">
        <f>I227-F227</f>
        <v>5.4745370362070389E-3</v>
      </c>
      <c r="N227" s="225">
        <f>24*60*SUM($M227:$M227)</f>
        <v>7.883333332138136</v>
      </c>
      <c r="O227" s="225"/>
      <c r="P227" s="225"/>
      <c r="Q227" s="228"/>
      <c r="R227" s="242"/>
      <c r="S227" s="249">
        <f>1/IF(AG227="EC",12,1)*SUM(U227:U227)</f>
        <v>1</v>
      </c>
      <c r="T227" s="242" t="str">
        <f>IF(ISEVEN(LEFT(AD227,4)),"Southbound","NorthBound")</f>
        <v>NorthBound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-12-04T07:28:38-0700',mode:absolute,to:'2017-12-04T09:38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1</v>
      </c>
      <c r="Y227" s="247">
        <f>RIGHT(D227,LEN(D227)-4)/10000</f>
        <v>4.4600000000000001E-2</v>
      </c>
      <c r="Z227" s="247">
        <f>RIGHT(H227,LEN(H227)-4)/10000</f>
        <v>2.4232999999999998</v>
      </c>
      <c r="AA227" s="247">
        <f>ABS(Z227-Y227)</f>
        <v>2.3786999999999998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903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s3://rtdc.mdm.uploadarchive.raw/RTDC4032/ "%USERPROFILE%\AppData\Local\Temp\OnboardLogs"\RTDC4032\2017-12-04 --exclude "*" --recursive --include "*20171204*" &amp; "%USERPROFILE%\Documents\GitHub\mrs-test-scripts\Headless Mode &amp; Sideloading\WalkAndUnGZ.bat" "%USERPROFILE%\AppData\Local\Temp\OnboardLogs"\RTDC4032\2017-12-04 &amp; aws s3 cp s3://rtdc.mdm.uploadarchive.raw/RTDC4032/ "%USERPROFILE%\AppData\Local\Temp\OnboardLogs"\RTDC4032\2017-12-05 --exclude "*" --recursive --include "*20171205*" &amp; "%USERPROFILE%\Documents\GitHub\mrs-test-scripts\Headless Mode &amp; Sideloading\WalkAndUnGZ.bat" "%USERPROFILE%\AppData\Local\Temp\OnboardLogs"\RTDC4032\2017-12-05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/stypes="app*4032*20171204*" /stext=" 15:.+((SYSTEM_STATE.+slice.+state.+changed )|(ment ac)|(multiple cpu faults)|(system.+state.+changed )|(\[timeout)|(PRM\|1\|D)|(kpr)|(kdp)|(train st.+moving)|(\|lc)|(penalty))"</v>
      </c>
      <c r="AG227" s="244" t="str">
        <f>DetSubdiv(A227)</f>
        <v>Other</v>
      </c>
      <c r="AH227" s="236" t="str">
        <f t="shared" si="63"/>
        <v>"%USERPROFILE%\Documents\GitHub\eaglep3\Utilities\RefineRTDCRunTimes.py" --tripid 903-04 --locoid 4032 --swversion DE.1.0.9.0 --startMP 204:446 --initTime 2017-12-04T08:28:38 --startdatetime 2017-12-04T08:30:31 --delay 62 --endMP 300:24233 --enddatetime 2017-12-04T08:38:24 --enforcementcount 0 &gt;&gt;%USERPROFILE%\Documents\GitHub\eaglep3-reporting\EC\2017-12-04-refined-times.txt</v>
      </c>
      <c r="AI227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{"issue":{"subject":"","project_id":79,"tracker_id":40,"status_id":1,"priority_id":2,"assigned_to_id":338,"start_date":"2017-12-04","description":"","custom_fields":[{"id":1,"name":"Subdivision","value":"Other"},{"id":4,"name":"Milepost","value":"2.4233"},{"id":17,"name":"Train ID","value":"903-04"},{"id":16,"name":"Locomotive ID","value":"4032"},{"id":130,"name":"Impact","value":""},{"id":150,"name":"Time of Event (Mountain Time)","value":"08:38:24"},{"id":151,"name":"Denver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65"/>
        <v>start /low /b %USERPROFILE%\Documents\GitHub\eaglep3\Utilities\DownloadLogsFromS3.py --loco 4032 --day 2017-12-04</v>
      </c>
      <c r="AN227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67"/>
        <v>https://d0f6bd738d7f1b3e5a7ca70fe4ff75f0.us-east-1.aws.found.io/app/kibana#/discover/Steve-Slow-Train-Analysis-(2080s-and-2083s)?_g=(refreshInterval:(display:Off,pause:!f,section:0,value:0),time:(from:'2017-12-04T07:28:38-0700',mode:absolute,to:'2017-12-04T09:38:24-0700'))&amp;_a=(columns:!('Message%20ID',Summary),filters:!(),index:'emp_*',interval:auto,query:(query_string:(analyze_wildcard:!t,query:'%22rtdc.l.rtdc.4032%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811</v>
      </c>
      <c r="B228" s="225">
        <v>4031</v>
      </c>
      <c r="C228" s="227" t="s">
        <v>192</v>
      </c>
      <c r="D228" s="227" t="s">
        <v>1073</v>
      </c>
      <c r="E228" s="226">
        <v>43073.632418981484</v>
      </c>
      <c r="F228" s="226">
        <v>43073.637071759258</v>
      </c>
      <c r="G228" s="225">
        <v>83</v>
      </c>
      <c r="H228" s="227" t="s">
        <v>1074</v>
      </c>
      <c r="I228" s="226">
        <v>43073.642789351848</v>
      </c>
      <c r="J228" s="225">
        <v>0</v>
      </c>
      <c r="K228" s="237" t="str">
        <f>IF(ISEVEN(B228),(B228-1)&amp;"/"&amp;B228,B228&amp;"/"&amp;(B228+1))</f>
        <v>4031/4032</v>
      </c>
      <c r="L228" s="245" t="str">
        <f>VLOOKUP(A228,'Trips&amp;Operators'!$C$1:$G$99911,5,FALSE)</f>
        <v>AUSTIN THOMPSON</v>
      </c>
      <c r="M228" s="224">
        <f>I228-F228</f>
        <v>5.7175925903720781E-3</v>
      </c>
      <c r="N228" s="225">
        <f>24*60*SUM($M228:$M228)</f>
        <v>8.2333333301357925</v>
      </c>
      <c r="O228" s="225"/>
      <c r="P228" s="225"/>
      <c r="Q228" s="228"/>
      <c r="R228" s="242"/>
      <c r="S228" s="249">
        <f>1/IF(AG228="EC",12,1)*SUM(U228:U228)</f>
        <v>1</v>
      </c>
      <c r="T228" s="242" t="str">
        <f>IF(ISEVEN(LEFT(AD228,4)),"Southbound","NorthBound")</f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-12-04T14:10:41-0700',mode:absolute,to:'2017-12-04T16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1</v>
      </c>
      <c r="Y228" s="247">
        <f>RIGHT(D228,LEN(D228)-4)/10000</f>
        <v>2.3666999999999998</v>
      </c>
      <c r="Z228" s="247">
        <f>RIGHT(H228,LEN(H228)-4)/10000</f>
        <v>1.44E-2</v>
      </c>
      <c r="AA228" s="247">
        <f>ABS(Z228-Y228)</f>
        <v>2.3522999999999996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904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/stypes="app*4031*20171204*" /stext=" 22:.+((SYSTEM_STATE.+slice.+state.+changed )|(ment ac)|(multiple cpu faults)|(system.+state.+changed )|(\[timeout)|(PRM\|1\|D)|(kpr)|(kdp)|(train st.+moving)|(\|lc)|(penalty))"</v>
      </c>
      <c r="AG228" s="244" t="str">
        <f>DetSubdiv(A228)</f>
        <v>Other</v>
      </c>
      <c r="AH228" s="236" t="str">
        <f t="shared" si="63"/>
        <v>"%USERPROFILE%\Documents\GitHub\eaglep3\Utilities\RefineRTDCRunTimes.py" --tripid 904-04 --locoid 4031 --swversion DE.1.0.9.0 --startMP 300:23667 --initTime 2017-12-04T15:10:41 --startdatetime 2017-12-04T15:17:23 --delay 83 --endMP 204:144 --enddatetime 2017-12-04T15:25:37 --enforcementcount 0 &gt;&gt;%USERPROFILE%\Documents\GitHub\eaglep3-reporting\EC\2017-12-04-refined-times.txt</v>
      </c>
      <c r="AI228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{"issue":{"subject":"","project_id":79,"tracker_id":40,"status_id":1,"priority_id":2,"assigned_to_id":338,"start_date":"2017-12-04","description":"","custom_fields":[{"id":1,"name":"Subdivision","value":"Other"},{"id":4,"name":"Milepost","value":"0.0144"},{"id":17,"name":"Train ID","value":"904-04"},{"id":16,"name":"Locomotive ID","value":"4031"},{"id":130,"name":"Impact","value":""},{"id":150,"name":"Time of Event (Mountain Time)","value":"15:25:37"},{"id":151,"name":"Denver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65"/>
        <v>start /low /b %USERPROFILE%\Documents\GitHub\eaglep3\Utilities\DownloadLogsFromS3.py --loco 4031 --day 2017-12-04</v>
      </c>
      <c r="AN228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22:25:37"},{"id":29,"name":"Sharepoint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67"/>
        <v>https://d0f6bd738d7f1b3e5a7ca70fe4ff75f0.us-east-1.aws.found.io/app/kibana#/discover/Steve-Slow-Train-Analysis-(2080s-and-2083s)?_g=(refreshInterval:(display:Off,pause:!f,section:0,value:0),time:(from:'2017-12-04T14:10:41-0700',mode:absolute,to:'2017-12-04T16:25:37-0700'))&amp;_a=(columns:!('Message%20ID',Summary),filters:!(),index:'emp_*',interval:auto,query:(query_string:(analyze_wildcard:!t,query:'%22rtdc.l.rtdc.4031%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9" t="s">
        <v>861</v>
      </c>
      <c r="B229" s="225">
        <v>4031</v>
      </c>
      <c r="C229" s="227" t="s">
        <v>192</v>
      </c>
      <c r="D229" s="227" t="s">
        <v>453</v>
      </c>
      <c r="E229" s="226">
        <v>43073.788101851853</v>
      </c>
      <c r="F229" s="226">
        <v>43073.789641203701</v>
      </c>
      <c r="G229" s="225">
        <v>69</v>
      </c>
      <c r="H229" s="227" t="s">
        <v>1075</v>
      </c>
      <c r="I229" s="226">
        <v>43073.795763888891</v>
      </c>
      <c r="J229" s="225">
        <v>0</v>
      </c>
      <c r="K229" s="237" t="str">
        <f>IF(ISEVEN(B229),(B229-1)&amp;"/"&amp;B229,B229&amp;"/"&amp;(B229+1))</f>
        <v>4031/4032</v>
      </c>
      <c r="L229" s="245" t="str">
        <f>VLOOKUP(A229,'Trips&amp;Operators'!$C$1:$G$99911,5,FALSE)</f>
        <v>AUSTIN THOMPSON</v>
      </c>
      <c r="M229" s="224">
        <f>I229-F229</f>
        <v>6.1226851903484203E-3</v>
      </c>
      <c r="N229" s="225">
        <f>24*60*SUM($M229:$M229)</f>
        <v>8.8166666741017252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Southbound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-12-04T17:54:52-0700',mode:absolute,to:'2017-12-04T20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2</v>
      </c>
      <c r="Y229" s="247">
        <f>RIGHT(D229,LEN(D229)-4)/10000</f>
        <v>5.8615000000000004</v>
      </c>
      <c r="Z229" s="247">
        <f>RIGHT(H229,LEN(H229)-4)/10000</f>
        <v>2.8788</v>
      </c>
      <c r="AA229" s="247">
        <f>ABS(Z229-Y229)</f>
        <v>2.9827000000000004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906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/stypes="app*4031*20171205*" /stext=" 02:.+((SYSTEM_STATE.+slice.+state.+changed )|(ment ac)|(multiple cpu faults)|(system.+state.+changed )|(\[timeout)|(PRM\|1\|D)|(kpr)|(kdp)|(train st.+moving)|(\|lc)|(penalty))"</v>
      </c>
      <c r="AG229" s="244" t="str">
        <f>DetSubdiv(A229)</f>
        <v>Other</v>
      </c>
      <c r="AH229" s="236" t="str">
        <f t="shared" si="63"/>
        <v>"%USERPROFILE%\Documents\GitHub\eaglep3\Utilities\RefineRTDCRunTimes.py" --tripid 906-04 --locoid 4031 --swversion DE.1.0.9.0 --startMP 300:58615 --initTime 2017-12-04T18:54:52 --startdatetime 2017-12-04T18:57:05 --delay 69 --endMP 300:28788 --enddatetime 2017-12-04T19:05:54 --enforcementcount 0 &gt;&gt;%USERPROFILE%\Documents\GitHub\eaglep3-reporting\EC\2017-12-04-refined-times.txt</v>
      </c>
      <c r="AI229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{"issue":{"subject":"","project_id":79,"tracker_id":40,"status_id":1,"priority_id":2,"assigned_to_id":338,"start_date":"2017-12-04","description":"","custom_fields":[{"id":1,"name":"Subdivision","value":"Other"},{"id":4,"name":"Milepost","value":"2.8788"},{"id":17,"name":"Train ID","value":"906-04"},{"id":16,"name":"Locomotive ID","value":"4031"},{"id":130,"name":"Impact","value":""},{"id":150,"name":"Time of Event (Mountain Time)","value":"19:05:54"},{"id":151,"name":"Denver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65"/>
        <v>start /low /b %USERPROFILE%\Documents\GitHub\eaglep3\Utilities\DownloadLogsFromS3.py --loco 4031 --day 2017-12-04</v>
      </c>
      <c r="AN229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02:05:54"},{"id":29,"name":"Sharepoint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67"/>
        <v>https://d0f6bd738d7f1b3e5a7ca70fe4ff75f0.us-east-1.aws.found.io/app/kibana#/discover/Steve-Slow-Train-Analysis-(2080s-and-2083s)?_g=(refreshInterval:(display:Off,pause:!f,section:0,value:0),time:(from:'2017-12-04T17:54:52-0700',mode:absolute,to:'2017-12-04T20:05:54-0700'))&amp;_a=(columns:!('Message%20ID',Summary),filters:!(),index:'emp_*',interval:auto,query:(query_string:(analyze_wildcard:!t,query:'%22rtdc.l.rtdc.4031%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25">
      <c r="A230" s="229" t="s">
        <v>891</v>
      </c>
      <c r="B230" s="225">
        <v>4055</v>
      </c>
      <c r="C230" s="227" t="s">
        <v>192</v>
      </c>
      <c r="D230" s="227" t="s">
        <v>1076</v>
      </c>
      <c r="E230" s="226">
        <v>43073.975937499999</v>
      </c>
      <c r="F230" s="226">
        <v>43073.977708333332</v>
      </c>
      <c r="G230" s="225">
        <v>52</v>
      </c>
      <c r="H230" s="227" t="s">
        <v>1077</v>
      </c>
      <c r="I230" s="226">
        <v>43073.987349537034</v>
      </c>
      <c r="J230" s="225">
        <v>0</v>
      </c>
      <c r="K230" s="237" t="str">
        <f>IF(ISEVEN(B230),(B230-1)&amp;"/"&amp;B230,B230&amp;"/"&amp;(B230+1))</f>
        <v>4055/4056</v>
      </c>
      <c r="L230" s="245" t="str">
        <f>VLOOKUP(A230,'Trips&amp;Operators'!$C$1:$G$99911,5,FALSE)</f>
        <v>AUSTIN THOMPSON</v>
      </c>
      <c r="M230" s="224">
        <f>I230-F230</f>
        <v>9.6412037019035779E-3</v>
      </c>
      <c r="N230" s="225">
        <f>24*60*SUM($M230:$M230)</f>
        <v>13.883333330741152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-12-04T22:25:21-0700',mode:absolute,to:'2017-12-05T00:41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2</v>
      </c>
      <c r="Y230" s="247">
        <f>RIGHT(D230,LEN(D230)-4)/10000</f>
        <v>5.8639999999999999</v>
      </c>
      <c r="Z230" s="247">
        <f>RIGHT(H230,LEN(H230)-4)/10000</f>
        <v>2.8769999999999998</v>
      </c>
      <c r="AA230" s="247">
        <f>ABS(Z230-Y230)</f>
        <v>2.9870000000000001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908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/stypes="app*4055*20171205*" /stext=" 06:.+((SYSTEM_STATE.+slice.+state.+changed )|(ment ac)|(multiple cpu faults)|(system.+state.+changed )|(\[timeout)|(PRM\|1\|D)|(kpr)|(kdp)|(train st.+moving)|(\|lc)|(penalty))"</v>
      </c>
      <c r="AG230" s="244" t="str">
        <f>DetSubdiv(A230)</f>
        <v>Other</v>
      </c>
      <c r="AH230" s="236" t="str">
        <f t="shared" si="63"/>
        <v>"%USERPROFILE%\Documents\GitHub\eaglep3\Utilities\RefineRTDCRunTimes.py" --tripid 908-04 --locoid 4055 --swversion DE.1.0.9.0 --startMP 300:58640 --initTime 2017-12-04T23:25:21 --startdatetime 2017-12-04T23:27:54 --delay 52 --endMP 300:28770 --enddatetime 2017-12-04T23:41:47 --enforcementcount 0 &gt;&gt;%USERPROFILE%\Documents\GitHub\eaglep3-reporting\EC\2017-12-04-refined-times.txt</v>
      </c>
      <c r="AI230" s="238" t="str">
        <f t="shared" si="64"/>
        <v>echo {"issue":{"subject":"","project_id":79,"tracker_id":40,"status_id":1,"priority_id":2,"assigned_to_id":338,"start_date":"2017-12-04","description":"","custom_fields":[{"id":1,"name":"Subdivision","value":"Other"},{"id":4,"name":"Milepost","value":"2.877"},{"id":17,"name":"Train ID","value":"908-04"},{"id":16,"name":"Locomotive ID","value":"4055"},{"id":130,"name":"Impact","value":""},{"id":150,"name":"Time of Event (Mountain Time)","value":"23:41:47"},{"id":151,"name":"Denver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65"/>
        <v>start /low /b %USERPROFILE%\Documents\GitHub\eaglep3\Utilities\DownloadLogsFromS3.py --loco 4055 --day 2017-12-04</v>
      </c>
      <c r="AN230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06:41:47"},{"id":29,"name":"Sharepoint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67"/>
        <v>https://d0f6bd738d7f1b3e5a7ca70fe4ff75f0.us-east-1.aws.found.io/app/kibana#/discover/Steve-Slow-Train-Analysis-(2080s-and-2083s)?_g=(refreshInterval:(display:Off,pause:!f,section:0,value:0),time:(from:'2017-12-04T22:25:21-0700',mode:absolute,to:'2017-12-05T00:41:47-0700'))&amp;_a=(columns:!('Message%20ID',Summary),filters:!(),index:'emp_*',interval:auto,query:(query_string:(analyze_wildcard:!t,query:'%22rtdc.l.rtdc.4055%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29" t="s">
        <v>679</v>
      </c>
      <c r="B231" s="225">
        <v>4019</v>
      </c>
      <c r="C231" s="227" t="s">
        <v>192</v>
      </c>
      <c r="D231" s="227" t="s">
        <v>1004</v>
      </c>
      <c r="E231" s="226">
        <v>43073.139537037037</v>
      </c>
      <c r="F231" s="226">
        <v>43073.141250000001</v>
      </c>
      <c r="G231" s="225">
        <v>63</v>
      </c>
      <c r="H231" s="227" t="s">
        <v>1005</v>
      </c>
      <c r="I231" s="226">
        <v>43073.142210648148</v>
      </c>
      <c r="J231" s="225">
        <v>0</v>
      </c>
      <c r="K231" s="237" t="str">
        <f>IF(ISEVEN(B231),(B231-1)&amp;"/"&amp;B231,B231&amp;"/"&amp;(B231+1))</f>
        <v>4019/4020</v>
      </c>
      <c r="L231" s="245" t="str">
        <f>VLOOKUP(A231,'Trips&amp;Operators'!$C$1:$G$99911,5,FALSE)</f>
        <v>SPECTOR MICHAEL</v>
      </c>
      <c r="M231" s="224">
        <f>I231-F231</f>
        <v>9.6064814715646207E-4</v>
      </c>
      <c r="N231" s="225">
        <f>24*60*SUM($M231:$M231)</f>
        <v>1.3833333319053054</v>
      </c>
      <c r="O231" s="225"/>
      <c r="P231" s="225"/>
      <c r="Q231" s="228"/>
      <c r="R231" s="242"/>
      <c r="S231" s="249">
        <f>1/IF(AG231="EC",12,1)*SUM(U231:U231)</f>
        <v>0</v>
      </c>
      <c r="T231" s="242" t="str">
        <f>IF(ISEVEN(LEFT(AD231,4)),"Southbound","NorthBound")</f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-12-04T02:20:56-0700',mode:absolute,to:'2017-12-04T04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-858</v>
      </c>
      <c r="Y231" s="247">
        <f>RIGHT(D231,LEN(D231)-4)/10000</f>
        <v>0.32229999999999998</v>
      </c>
      <c r="Z231" s="247">
        <f>RIGHT(H231,LEN(H231)-4)/10000</f>
        <v>0.11940000000000001</v>
      </c>
      <c r="AA231" s="247">
        <f>ABS(Z231-Y231)</f>
        <v>0.20289999999999997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50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s3://rtdc.mdm.uploadarchive.raw/RTDC4019/ "%USERPROFILE%\AppData\Local\Temp\OnboardLogs"\RTDC4019\2017-12-04 --exclude "*" --recursive --include "*20171204*" &amp; "%USERPROFILE%\Documents\GitHub\mrs-test-scripts\Headless Mode &amp; Sideloading\WalkAndUnGZ.bat" "%USERPROFILE%\AppData\Local\Temp\OnboardLogs"\RTDC4019\2017-12-04 &amp; aws s3 cp s3://rtdc.mdm.uploadarchive.raw/RTDC4019/ "%USERPROFILE%\AppData\Local\Temp\OnboardLogs"\RTDC4019\2017-12-05 --exclude "*" --recursive --include "*20171205*" &amp; "%USERPROFILE%\Documents\GitHub\mrs-test-scripts\Headless Mode &amp; Sideloading\WalkAndUnGZ.bat" "%USERPROFILE%\AppData\Local\Temp\OnboardLogs"\RTDC4019\2017-12-05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/stypes="app*4019*20171204*" /stext=" 10:.+((SYSTEM_STATE.+slice.+state.+changed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63"/>
        <v>"%USERPROFILE%\Documents\GitHub\eaglep3\Utilities\RefineRTDCRunTimes.py" --tripid 50-04 --locoid 4019 --swversion DE.1.0.9.0 --startMP 204:3223 --initTime 2017-12-04T03:20:56 --startdatetime 2017-12-04T03:23:24 --delay 63 --endMP 204:1194 --enddatetime 2017-12-04T03:24:47 --enforcementcount 0 &gt;&gt;%USERPROFILE%\Documents\GitHub\eaglep3-reporting\EC\2017-12-04-refined-times.txt</v>
      </c>
      <c r="AI231" s="238" t="str">
        <f t="shared" si="64"/>
        <v>echo {"issue":{"subject":"","project_id":79,"tracker_id":40,"status_id":1,"priority_id":2,"assigned_to_id":338,"start_date":"2017-12-04","description":"","custom_fields":[{"id":1,"name":"Subdivision","value":"Shuttle/Test"},{"id":4,"name":"Milepost","value":"0.1194"},{"id":17,"name":"Train ID","value":"50-04"},{"id":16,"name":"Locomotive ID","value":"4019"},{"id":130,"name":"Impact","value":""},{"id":150,"name":"Time of Event (Mountain Time)","value":"03:24:47"},{"id":151,"name":"Denver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65"/>
        <v>start /low /b %USERPROFILE%\Documents\GitHub\eaglep3\Utilities\DownloadLogsFromS3.py --loco 4019 --day 2017-12-04</v>
      </c>
      <c r="AN231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10:24:47"},{"id":29,"name":"Sharepoint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67"/>
        <v>https://d0f6bd738d7f1b3e5a7ca70fe4ff75f0.us-east-1.aws.found.io/app/kibana#/discover/Steve-Slow-Train-Analysis-(2080s-and-2083s)?_g=(refreshInterval:(display:Off,pause:!f,section:0,value:0),time:(from:'2017-12-04T02:20:56-0700',mode:absolute,to:'2017-12-04T04:24:47-0700'))&amp;_a=(columns:!('Message%20ID',Summary),filters:!(),index:'emp_*',interval:auto,query:(query_string:(analyze_wildcard:!t,query:'%22rtdc.l.rtdc.4019%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29" t="s">
        <v>676</v>
      </c>
      <c r="B232" s="225">
        <v>4020</v>
      </c>
      <c r="C232" s="227" t="s">
        <v>192</v>
      </c>
      <c r="D232" s="227" t="s">
        <v>595</v>
      </c>
      <c r="E232" s="226">
        <v>43073.127199074072</v>
      </c>
      <c r="F232" s="226">
        <v>43073.13721064815</v>
      </c>
      <c r="G232" s="225">
        <v>83</v>
      </c>
      <c r="H232" s="227" t="s">
        <v>1006</v>
      </c>
      <c r="I232" s="226">
        <v>43073.138344907406</v>
      </c>
      <c r="J232" s="225">
        <v>0</v>
      </c>
      <c r="K232" s="237" t="str">
        <f>IF(ISEVEN(B232),(B232-1)&amp;"/"&amp;B232,B232&amp;"/"&amp;(B232+1))</f>
        <v>4019/4020</v>
      </c>
      <c r="L232" s="245" t="str">
        <f>VLOOKUP(A232,'Trips&amp;Operators'!$C$1:$G$99911,5,FALSE)</f>
        <v>SPECTOR MICHAEL</v>
      </c>
      <c r="M232" s="224">
        <f>I232-F232</f>
        <v>1.1342592551955022E-3</v>
      </c>
      <c r="N232" s="225">
        <f>24*60*SUM($M232:$M232)</f>
        <v>1.6333333274815232</v>
      </c>
      <c r="O232" s="225"/>
      <c r="P232" s="225"/>
      <c r="Q232" s="228"/>
      <c r="R232" s="242"/>
      <c r="S232" s="249">
        <f>1/IF(AG232="EC",12,1)*SUM(U232:U232)</f>
        <v>0</v>
      </c>
      <c r="T232" s="242" t="str">
        <f>IF(ISEVEN(LEFT(AD232,4)),"Southbound","NorthBound")</f>
        <v>NorthBound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-12-04T02:03:10-0700',mode:absolute,to:'2017-12-04T04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1</v>
      </c>
      <c r="Y232" s="247">
        <f>RIGHT(D232,LEN(D232)-4)/10000</f>
        <v>4.3099999999999999E-2</v>
      </c>
      <c r="Z232" s="247">
        <f>RIGHT(H232,LEN(H232)-4)/10000</f>
        <v>0.35460000000000003</v>
      </c>
      <c r="AA232" s="247">
        <f>ABS(Z232-Y232)</f>
        <v>0.3115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51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s3://rtdc.mdm.uploadarchive.raw/RTDC4020/ "%USERPROFILE%\AppData\Local\Temp\OnboardLogs"\RTDC4020\2017-12-04 --exclude "*" --recursive --include "*20171204*" &amp; "%USERPROFILE%\Documents\GitHub\mrs-test-scripts\Headless Mode &amp; Sideloading\WalkAndUnGZ.bat" "%USERPROFILE%\AppData\Local\Temp\OnboardLogs"\RTDC4020\2017-12-04 &amp; aws s3 cp s3://rtdc.mdm.uploadarchive.raw/RTDC4020/ "%USERPROFILE%\AppData\Local\Temp\OnboardLogs"\RTDC4020\2017-12-05 --exclude "*" --recursive --include "*20171205*" &amp; "%USERPROFILE%\Documents\GitHub\mrs-test-scripts\Headless Mode &amp; Sideloading\WalkAndUnGZ.bat" "%USERPROFILE%\AppData\Local\Temp\OnboardLogs"\RTDC4020\2017-12-05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/stypes="app*4020*20171204*" /stext=" 10:.+((SYSTEM_STATE.+slice.+state.+changed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63"/>
        <v>"%USERPROFILE%\Documents\GitHub\eaglep3\Utilities\RefineRTDCRunTimes.py" --tripid 51-04 --locoid 4020 --swversion DE.1.0.9.0 --startMP 204:431 --initTime 2017-12-04T03:03:10 --startdatetime 2017-12-04T03:17:35 --delay 83 --endMP 204:3546 --enddatetime 2017-12-04T03:19:13 --enforcementcount 0 &gt;&gt;%USERPROFILE%\Documents\GitHub\eaglep3-reporting\EC\2017-12-04-refined-times.txt</v>
      </c>
      <c r="AI232" s="238" t="str">
        <f t="shared" si="64"/>
        <v>echo {"issue":{"subject":"","project_id":79,"tracker_id":40,"status_id":1,"priority_id":2,"assigned_to_id":338,"start_date":"2017-12-04","description":"","custom_fields":[{"id":1,"name":"Subdivision","value":"Shuttle/Test"},{"id":4,"name":"Milepost","value":"0.3546"},{"id":17,"name":"Train ID","value":"51-04"},{"id":16,"name":"Locomotive ID","value":"4020"},{"id":130,"name":"Impact","value":""},{"id":150,"name":"Time of Event (Mountain Time)","value":"03:19:13"},{"id":151,"name":"Denver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65"/>
        <v>start /low /b %USERPROFILE%\Documents\GitHub\eaglep3\Utilities\DownloadLogsFromS3.py --loco 4020 --day 2017-12-04</v>
      </c>
      <c r="AN232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10:19:13"},{"id":29,"name":"Sharepoint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67"/>
        <v>https://d0f6bd738d7f1b3e5a7ca70fe4ff75f0.us-east-1.aws.found.io/app/kibana#/discover/Steve-Slow-Train-Analysis-(2080s-and-2083s)?_g=(refreshInterval:(display:Off,pause:!f,section:0,value:0),time:(from:'2017-12-04T02:03:10-0700',mode:absolute,to:'2017-12-04T04:19:13-0700'))&amp;_a=(columns:!('Message%20ID',Summary),filters:!(),index:'emp_*',interval:auto,query:(query_string:(analyze_wildcard:!t,query:'%22rtdc.l.rtdc.4020%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29" t="s">
        <v>717</v>
      </c>
      <c r="B233" s="225">
        <v>4020</v>
      </c>
      <c r="C233" s="227" t="s">
        <v>192</v>
      </c>
      <c r="D233" s="227" t="s">
        <v>1007</v>
      </c>
      <c r="E233" s="226">
        <v>43073.268194444441</v>
      </c>
      <c r="F233" s="226">
        <v>43073.281886574077</v>
      </c>
      <c r="G233" s="225">
        <v>364</v>
      </c>
      <c r="H233" s="227" t="s">
        <v>1008</v>
      </c>
      <c r="I233" s="226">
        <v>43073.282002314816</v>
      </c>
      <c r="J233" s="225">
        <v>0</v>
      </c>
      <c r="K233" s="237" t="str">
        <f>IF(ISEVEN(B233),(B233-1)&amp;"/"&amp;B233,B233&amp;"/"&amp;(B233+1))</f>
        <v>4019/4020</v>
      </c>
      <c r="L233" s="245" t="str">
        <f>VLOOKUP(A233,'Trips&amp;Operators'!$C$1:$G$99911,5,FALSE)</f>
        <v>SPECTOR MICHAEL</v>
      </c>
      <c r="M233" s="224">
        <f>I233-F233</f>
        <v>1.1574073869269341E-4</v>
      </c>
      <c r="N233" s="225">
        <f>24*60*SUM($M233:$M233)</f>
        <v>0.16666666371747851</v>
      </c>
      <c r="O233" s="225"/>
      <c r="P233" s="225"/>
      <c r="Q233" s="228"/>
      <c r="R233" s="242"/>
      <c r="S233" s="249">
        <f>1/IF(AG233="EC",12,1)*SUM(U233:U233)</f>
        <v>0</v>
      </c>
      <c r="T233" s="242" t="str">
        <f>IF(ISEVEN(LEFT(AD233,4)),"Southbound","NorthBound")</f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-12-04T05:26:12-0700',mode:absolute,to:'2017-12-04T07:46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10</v>
      </c>
      <c r="Y233" s="247">
        <f>RIGHT(D233,LEN(D233)-4)/10000</f>
        <v>0.15090000000000001</v>
      </c>
      <c r="Z233" s="247">
        <f>RIGHT(H233,LEN(H233)-4)/10000</f>
        <v>0.1507</v>
      </c>
      <c r="AA233" s="247">
        <f>ABS(Z233-Y233)</f>
        <v>2.0000000000000573E-4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61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s3://rtdc.mdm.uploadarchive.raw/RTDC4020/ "%USERPROFILE%\AppData\Local\Temp\OnboardLogs"\RTDC4020\2017-12-04 --exclude "*" --recursive --include "*20171204*" &amp; "%USERPROFILE%\Documents\GitHub\mrs-test-scripts\Headless Mode &amp; Sideloading\WalkAndUnGZ.bat" "%USERPROFILE%\AppData\Local\Temp\OnboardLogs"\RTDC4020\2017-12-04 &amp; aws s3 cp s3://rtdc.mdm.uploadarchive.raw/RTDC4020/ "%USERPROFILE%\AppData\Local\Temp\OnboardLogs"\RTDC4020\2017-12-05 --exclude "*" --recursive --include "*20171205*" &amp; "%USERPROFILE%\Documents\GitHub\mrs-test-scripts\Headless Mode &amp; Sideloading\WalkAndUnGZ.bat" "%USERPROFILE%\AppData\Local\Temp\OnboardLogs"\RTDC4020\2017-12-05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/stypes="app*4020*20171204*" /stext=" 13:.+((SYSTEM_STATE.+slice.+state.+changed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63"/>
        <v>"%USERPROFILE%\Documents\GitHub\eaglep3\Utilities\RefineRTDCRunTimes.py" --tripid 61-04 --locoid 4020 --swversion DE.1.0.9.0 --startMP 204:1509 --initTime 2017-12-04T06:26:12 --startdatetime 2017-12-04T06:45:55 --delay 364 --endMP 204:1507 --enddatetime 2017-12-04T06:46:05 --enforcementcount 0 &gt;&gt;%USERPROFILE%\Documents\GitHub\eaglep3-reporting\EC\2017-12-04-refined-times.txt</v>
      </c>
      <c r="AI233" s="238" t="str">
        <f t="shared" si="64"/>
        <v>echo {"issue":{"subject":"","project_id":79,"tracker_id":40,"status_id":1,"priority_id":2,"assigned_to_id":338,"start_date":"2017-12-04","description":"","custom_fields":[{"id":1,"name":"Subdivision","value":"Shuttle/Test"},{"id":4,"name":"Milepost","value":"0.1507"},{"id":17,"name":"Train ID","value":"61-04"},{"id":16,"name":"Locomotive ID","value":"4020"},{"id":130,"name":"Impact","value":""},{"id":150,"name":"Time of Event (Mountain Time)","value":"06:46:05"},{"id":151,"name":"Denver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65"/>
        <v>start /low /b %USERPROFILE%\Documents\GitHub\eaglep3\Utilities\DownloadLogsFromS3.py --loco 4020 --day 2017-12-04</v>
      </c>
      <c r="AN233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13:46:05"},{"id":29,"name":"Sharepoint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67"/>
        <v>https://d0f6bd738d7f1b3e5a7ca70fe4ff75f0.us-east-1.aws.found.io/app/kibana#/discover/Steve-Slow-Train-Analysis-(2080s-and-2083s)?_g=(refreshInterval:(display:Off,pause:!f,section:0,value:0),time:(from:'2017-12-04T05:26:12-0700',mode:absolute,to:'2017-12-04T07:46:05-0700'))&amp;_a=(columns:!('Message%20ID',Summary),filters:!(),index:'emp_*',interval:auto,query:(query_string:(analyze_wildcard:!t,query:'%22rtdc.l.rtdc.4020%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29" t="s">
        <v>721</v>
      </c>
      <c r="B234" s="225">
        <v>4064</v>
      </c>
      <c r="C234" s="227" t="s">
        <v>192</v>
      </c>
      <c r="D234" s="227" t="s">
        <v>652</v>
      </c>
      <c r="E234" s="226">
        <v>43073.288854166669</v>
      </c>
      <c r="F234" s="226">
        <v>43073.341863425929</v>
      </c>
      <c r="G234" s="225">
        <v>79</v>
      </c>
      <c r="H234" s="227" t="s">
        <v>1009</v>
      </c>
      <c r="I234" s="226">
        <v>43073.372372685182</v>
      </c>
      <c r="J234" s="225">
        <v>0</v>
      </c>
      <c r="K234" s="237" t="str">
        <f>IF(ISEVEN(B234),(B234-1)&amp;"/"&amp;B234,B234&amp;"/"&amp;(B234+1))</f>
        <v>4063/4064</v>
      </c>
      <c r="L234" s="245" t="str">
        <f>VLOOKUP(A234,'Trips&amp;Operators'!$C$1:$G$99911,5,FALSE)</f>
        <v>ACKERMAN JARED</v>
      </c>
      <c r="M234" s="224">
        <f>I234-F234</f>
        <v>3.0509259253449272E-2</v>
      </c>
      <c r="N234" s="225">
        <f>24*60*SUM($M234:$M234)</f>
        <v>43.933333324966952</v>
      </c>
      <c r="O234" s="225"/>
      <c r="P234" s="225"/>
      <c r="Q234" s="228"/>
      <c r="R234" s="242"/>
      <c r="S234" s="249">
        <f>1/IF(AG234="EC",12,1)*SUM(U234:U234)</f>
        <v>0</v>
      </c>
      <c r="T234" s="242" t="str">
        <f>IF(ISEVEN(LEFT(AD234,4)),"Southbound","NorthBound")</f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-12-04T05:55:57-0700',mode:absolute,to:'2017-12-04T09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4" s="247" t="str">
        <f>IF(AA234&lt;VLOOKUP(AG234,Variables!$AC$3:$AD$8,2,FALSE),"Y","N")</f>
        <v>Y</v>
      </c>
      <c r="X234" s="247">
        <f>VALUE(LEFT(AD234,4))-VALUE(LEFT(AD233,4))</f>
        <v>2</v>
      </c>
      <c r="Y234" s="247">
        <f>RIGHT(D234,LEN(D234)-4)/10000</f>
        <v>0.1164</v>
      </c>
      <c r="Z234" s="247">
        <f>RIGHT(H234,LEN(H234)-4)/10000</f>
        <v>0.3478</v>
      </c>
      <c r="AA234" s="247">
        <f>ABS(Z234-Y234)</f>
        <v>0.23139999999999999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>VALUE(LEFT(A234,LEN(A234)-3))</f>
        <v>63</v>
      </c>
      <c r="AE234" s="23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s3://rtdc.mdm.uploadarchive.raw/RTDC4064/ "%USERPROFILE%\AppData\Local\Temp\OnboardLogs"\RTDC4064\2017-12-04 --exclude "*" --recursive --include "*20171204*" &amp; "%USERPROFILE%\Documents\GitHub\mrs-test-scripts\Headless Mode &amp; Sideloading\WalkAndUnGZ.bat" "%USERPROFILE%\AppData\Local\Temp\OnboardLogs"\RTDC4064\2017-12-04 &amp; aws s3 cp s3://rtdc.mdm.uploadarchive.raw/RTDC4064/ "%USERPROFILE%\AppData\Local\Temp\OnboardLogs"\RTDC4064\2017-12-05 --exclude "*" --recursive --include "*20171205*" &amp; "%USERPROFILE%\Documents\GitHub\mrs-test-scripts\Headless Mode &amp; Sideloading\WalkAndUnGZ.bat" "%USERPROFILE%\AppData\Local\Temp\OnboardLogs"\RTDC4064\2017-12-05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/stypes="app*4064*20171204*" /stext=" 15:.+((SYSTEM_STATE.+slice.+state.+changed )|(ment ac)|(multiple cpu faults)|(system.+state.+changed )|(\[timeout)|(PRM\|1\|D)|(kpr)|(kdp)|(train st.+moving)|(\|lc)|(penalty))"</v>
      </c>
      <c r="AG234" s="244" t="str">
        <f>DetSubdiv(A234)</f>
        <v>Shuttle/Test</v>
      </c>
      <c r="AH234" s="236" t="str">
        <f t="shared" si="63"/>
        <v>"%USERPROFILE%\Documents\GitHub\eaglep3\Utilities\RefineRTDCRunTimes.py" --tripid 63-04 --locoid 4064 --swversion DE.1.0.9.0 --startMP 204:1164 --initTime 2017-12-04T06:55:57 --startdatetime 2017-12-04T08:12:17 --delay 79 --endMP 204:3478 --enddatetime 2017-12-04T08:56:13 --enforcementcount 0 &gt;&gt;%USERPROFILE%\Documents\GitHub\eaglep3-reporting\EC\2017-12-04-refined-times.txt</v>
      </c>
      <c r="AI234" s="238" t="str">
        <f t="shared" si="64"/>
        <v>echo {"issue":{"subject":"","project_id":79,"tracker_id":40,"status_id":1,"priority_id":2,"assigned_to_id":338,"start_date":"2017-12-04","description":"","custom_fields":[{"id":1,"name":"Subdivision","value":"Shuttle/Test"},{"id":4,"name":"Milepost","value":"0.3478"},{"id":17,"name":"Train ID","value":"63-04"},{"id":16,"name":"Locomotive ID","value":"4064"},{"id":130,"name":"Impact","value":""},{"id":150,"name":"Time of Event (Mountain Time)","value":"08:56:13"},{"id":151,"name":"Denver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65"/>
        <v>start /low /b %USERPROFILE%\Documents\GitHub\eaglep3\Utilities\DownloadLogsFromS3.py --loco 4064 --day 2017-12-04</v>
      </c>
      <c r="AN234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15:56:13"},{"id":29,"name":"Sharepoint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67"/>
        <v>https://d0f6bd738d7f1b3e5a7ca70fe4ff75f0.us-east-1.aws.found.io/app/kibana#/discover/Steve-Slow-Train-Analysis-(2080s-and-2083s)?_g=(refreshInterval:(display:Off,pause:!f,section:0,value:0),time:(from:'2017-12-04T05:55:57-0700',mode:absolute,to:'2017-12-04T09:56:13-0700'))&amp;_a=(columns:!('Message%20ID',Summary),filters:!(),index:'emp_*',interval:auto,query:(query_string:(analyze_wildcard:!t,query:'%22rtdc.l.rtdc.4064%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29" t="s">
        <v>845</v>
      </c>
      <c r="B235" s="225">
        <v>4023</v>
      </c>
      <c r="C235" s="227" t="s">
        <v>192</v>
      </c>
      <c r="D235" s="227" t="s">
        <v>1010</v>
      </c>
      <c r="E235" s="226">
        <v>43073.73196759259</v>
      </c>
      <c r="F235" s="226">
        <v>43073.740624999999</v>
      </c>
      <c r="G235" s="225">
        <v>132</v>
      </c>
      <c r="H235" s="227" t="s">
        <v>1011</v>
      </c>
      <c r="I235" s="226">
        <v>43073.747118055559</v>
      </c>
      <c r="J235" s="225">
        <v>0</v>
      </c>
      <c r="K235" s="237" t="str">
        <f>IF(ISEVEN(B235),(B235-1)&amp;"/"&amp;B235,B235&amp;"/"&amp;(B235+1))</f>
        <v>4023/4024</v>
      </c>
      <c r="L235" s="245" t="str">
        <f>VLOOKUP(A235,'Trips&amp;Operators'!$C$1:$G$99911,5,FALSE)</f>
        <v>GUNTHIER ERIC</v>
      </c>
      <c r="M235" s="224">
        <f>I235-F235</f>
        <v>6.4930555599858053E-3</v>
      </c>
      <c r="N235" s="225">
        <f>24*60*SUM($M235:$M235)</f>
        <v>9.3500000063795596</v>
      </c>
      <c r="O235" s="225"/>
      <c r="P235" s="225"/>
      <c r="Q235" s="228"/>
      <c r="R235" s="242"/>
      <c r="S235" s="249">
        <f>1/IF(AG235="EC",12,1)*SUM(U235:U235)</f>
        <v>1</v>
      </c>
      <c r="T235" s="242" t="str">
        <f>IF(ISEVEN(LEFT(AD235,4)),"Southbound","NorthBound")</f>
        <v>Southbound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8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-12-04T16:34:02-0700',mode:absolute,to:'2017-12-04T18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247" t="str">
        <f>IF(AA235&lt;VLOOKUP(AG235,Variables!$AC$3:$AD$8,2,FALSE),"Y","N")</f>
        <v>Y</v>
      </c>
      <c r="X235" s="247">
        <f>VALUE(LEFT(AD235,4))-VALUE(LEFT(AD234,4))</f>
        <v>5</v>
      </c>
      <c r="Y235" s="247">
        <f>RIGHT(D235,LEN(D235)-4)/10000</f>
        <v>2.3654000000000002</v>
      </c>
      <c r="Z235" s="247">
        <f>RIGHT(H235,LEN(H235)-4)/10000</f>
        <v>0.12839999999999999</v>
      </c>
      <c r="AA235" s="247">
        <f>ABS(Z235-Y235)</f>
        <v>2.2370000000000001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>VALUE(LEFT(A235,LEN(A235)-3))</f>
        <v>68</v>
      </c>
      <c r="AE235" s="23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 &amp; aws s3 cp s3://rtdc.mdm.uploadarchive.raw/RTDC4023/ "%USERPROFILE%\AppData\Local\Temp\OnboardLogs"\RTDC4023\2017-12-05 --exclude "*" --recursive --include "*20171205*" &amp; "%USERPROFILE%\Documents\GitHub\mrs-test-scripts\Headless Mode &amp; Sideloading\WalkAndUnGZ.bat" "%USERPROFILE%\AppData\Local\Temp\OnboardLogs"\RTDC4023\2017-12-05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/stypes="app*4023*20171205*" /stext=" 00:.+((SYSTEM_STATE.+slice.+state.+changed )|(ment ac)|(multiple cpu faults)|(system.+state.+changed )|(\[timeout)|(PRM\|1\|D)|(kpr)|(kdp)|(train st.+moving)|(\|lc)|(penalty))"</v>
      </c>
      <c r="AG235" s="244" t="str">
        <f>DetSubdiv(A235)</f>
        <v>Shuttle/Test</v>
      </c>
      <c r="AH235" s="236" t="str">
        <f t="shared" si="63"/>
        <v>"%USERPROFILE%\Documents\GitHub\eaglep3\Utilities\RefineRTDCRunTimes.py" --tripid 68-04 --locoid 4023 --swversion DE.1.0.9.0 --startMP 300:23654 --initTime 2017-12-04T17:34:02 --startdatetime 2017-12-04T17:46:30 --delay 132 --endMP 204:1284 --enddatetime 2017-12-04T17:55:51 --enforcementcount 0 &gt;&gt;%USERPROFILE%\Documents\GitHub\eaglep3-reporting\EC\2017-12-04-refined-times.txt</v>
      </c>
      <c r="AI235" s="238" t="str">
        <f t="shared" si="64"/>
        <v>echo {"issue":{"subject":"","project_id":79,"tracker_id":40,"status_id":1,"priority_id":2,"assigned_to_id":338,"start_date":"2017-12-04","description":"","custom_fields":[{"id":1,"name":"Subdivision","value":"Shuttle/Test"},{"id":4,"name":"Milepost","value":"0.1284"},{"id":17,"name":"Train ID","value":"68-04"},{"id":16,"name":"Locomotive ID","value":"4023"},{"id":130,"name":"Impact","value":""},{"id":150,"name":"Time of Event (Mountain Time)","value":"17:55:51"},{"id":151,"name":"Denver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65"/>
        <v>start /low /b %USERPROFILE%\Documents\GitHub\eaglep3\Utilities\DownloadLogsFromS3.py --loco 4023 --day 2017-12-04</v>
      </c>
      <c r="AN235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67"/>
        <v>https://d0f6bd738d7f1b3e5a7ca70fe4ff75f0.us-east-1.aws.found.io/app/kibana#/discover/Steve-Slow-Train-Analysis-(2080s-and-2083s)?_g=(refreshInterval:(display:Off,pause:!f,section:0,value:0),time:(from:'2017-12-04T16:34:02-0700',mode:absolute,to:'2017-12-04T18:55:51-0700'))&amp;_a=(columns:!('Message%20ID',Summary),filters:!(),index:'emp_*',interval:auto,query:(query_string:(analyze_wildcard:!t,query:'%22rtdc.l.rtdc.4023%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29" t="s">
        <v>827</v>
      </c>
      <c r="B236" s="225">
        <v>4020</v>
      </c>
      <c r="C236" s="227" t="s">
        <v>192</v>
      </c>
      <c r="D236" s="227" t="s">
        <v>1012</v>
      </c>
      <c r="E236" s="226">
        <v>43073.682129629633</v>
      </c>
      <c r="F236" s="226">
        <v>43073.685243055559</v>
      </c>
      <c r="G236" s="225">
        <v>128</v>
      </c>
      <c r="H236" s="227" t="s">
        <v>426</v>
      </c>
      <c r="I236" s="226">
        <v>43073.69327546296</v>
      </c>
      <c r="J236" s="225">
        <v>0</v>
      </c>
      <c r="K236" s="237" t="str">
        <f>IF(ISEVEN(B236),(B236-1)&amp;"/"&amp;B236,B236&amp;"/"&amp;(B236+1))</f>
        <v>4019/4020</v>
      </c>
      <c r="L236" s="245" t="str">
        <f>VLOOKUP(A236,'Trips&amp;Operators'!$C$1:$G$99911,5,FALSE)</f>
        <v>STRICKLAND EVAN</v>
      </c>
      <c r="M236" s="224">
        <f>I236-F236</f>
        <v>8.0324074006057344E-3</v>
      </c>
      <c r="N236" s="225">
        <f>24*60*SUM($M236:$M236)</f>
        <v>11.566666656872258</v>
      </c>
      <c r="O236" s="225"/>
      <c r="P236" s="225"/>
      <c r="Q236" s="228"/>
      <c r="R236" s="242"/>
      <c r="S236" s="249">
        <f>1/IF(AG236="EC",12,1)*SUM(U236:U236)</f>
        <v>1</v>
      </c>
      <c r="T236" s="242" t="str">
        <f>IF(ISEVEN(LEFT(AD236,4)),"Southbound","NorthBound")</f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8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-12-04T15:22:16-0700',mode:absolute,to:'2017-12-04T17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6" s="247" t="str">
        <f>IF(AA236&lt;VLOOKUP(AG236,Variables!$AC$3:$AD$8,2,FALSE),"Y","N")</f>
        <v>Y</v>
      </c>
      <c r="X236" s="247">
        <f>VALUE(LEFT(AD236,4))-VALUE(LEFT(AD235,4))</f>
        <v>7</v>
      </c>
      <c r="Y236" s="247">
        <f>RIGHT(D236,LEN(D236)-4)/10000</f>
        <v>0.15110000000000001</v>
      </c>
      <c r="Z236" s="247">
        <f>RIGHT(H236,LEN(H236)-4)/10000</f>
        <v>2.3346</v>
      </c>
      <c r="AA236" s="247">
        <f>ABS(Z236-Y236)</f>
        <v>2.1835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>VALUE(LEFT(A236,LEN(A236)-3))</f>
        <v>75</v>
      </c>
      <c r="AE236" s="23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s3://rtdc.mdm.uploadarchive.raw/RTDC4020/ "%USERPROFILE%\AppData\Local\Temp\OnboardLogs"\RTDC4020\2017-12-04 --exclude "*" --recursive --include "*20171204*" &amp; "%USERPROFILE%\Documents\GitHub\mrs-test-scripts\Headless Mode &amp; Sideloading\WalkAndUnGZ.bat" "%USERPROFILE%\AppData\Local\Temp\OnboardLogs"\RTDC4020\2017-12-04 &amp; aws s3 cp s3://rtdc.mdm.uploadarchive.raw/RTDC4020/ "%USERPROFILE%\AppData\Local\Temp\OnboardLogs"\RTDC4020\2017-12-05 --exclude "*" --recursive --include "*20171205*" &amp; "%USERPROFILE%\Documents\GitHub\mrs-test-scripts\Headless Mode &amp; Sideloading\WalkAndUnGZ.bat" "%USERPROFILE%\AppData\Local\Temp\OnboardLogs"\RTDC4020\2017-12-05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/stypes="app*4020*20171204*" /stext=" 23:.+((SYSTEM_STATE.+slice.+state.+changed )|(ment ac)|(multiple cpu faults)|(system.+state.+changed )|(\[timeout)|(PRM\|1\|D)|(kpr)|(kdp)|(train st.+moving)|(\|lc)|(penalty))"</v>
      </c>
      <c r="AG236" s="244" t="str">
        <f>DetSubdiv(A236)</f>
        <v>Shuttle/Test</v>
      </c>
      <c r="AH236" s="236" t="str">
        <f t="shared" si="63"/>
        <v>"%USERPROFILE%\Documents\GitHub\eaglep3\Utilities\RefineRTDCRunTimes.py" --tripid 75-04 --locoid 4020 --swversion DE.1.0.9.0 --startMP 204:1511 --initTime 2017-12-04T16:22:16 --startdatetime 2017-12-04T16:26:45 --delay 128 --endMP 300:23346 --enddatetime 2017-12-04T16:38:19 --enforcementcount 0 &gt;&gt;%USERPROFILE%\Documents\GitHub\eaglep3-reporting\EC\2017-12-04-refined-times.txt</v>
      </c>
      <c r="AI236" s="238" t="str">
        <f t="shared" si="64"/>
        <v>echo {"issue":{"subject":"","project_id":79,"tracker_id":40,"status_id":1,"priority_id":2,"assigned_to_id":338,"start_date":"2017-12-04","description":"","custom_fields":[{"id":1,"name":"Subdivision","value":"Shuttle/Test"},{"id":4,"name":"Milepost","value":"2.3346"},{"id":17,"name":"Train ID","value":"75-04"},{"id":16,"name":"Locomotive ID","value":"4020"},{"id":130,"name":"Impact","value":""},{"id":150,"name":"Time of Event (Mountain Time)","value":"16:38:19"},{"id":151,"name":"Denver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3"/>
      <c r="AK236" s="231"/>
      <c r="AL236" s="231"/>
      <c r="AM236" s="240" t="str">
        <f t="shared" si="65"/>
        <v>start /low /b %USERPROFILE%\Documents\GitHub\eaglep3\Utilities\DownloadLogsFromS3.py --loco 4020 --day 2017-12-04</v>
      </c>
      <c r="AN236" s="241" t="str">
        <f t="shared" si="66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23:38:19"},{"id":29,"name":"Sharepoint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67"/>
        <v>https://d0f6bd738d7f1b3e5a7ca70fe4ff75f0.us-east-1.aws.found.io/app/kibana#/discover/Steve-Slow-Train-Analysis-(2080s-and-2083s)?_g=(refreshInterval:(display:Off,pause:!f,section:0,value:0),time:(from:'2017-12-04T15:22:16-0700',mode:absolute,to:'2017-12-04T17:38:19-0700'))&amp;_a=(columns:!('Message%20ID',Summary),filters:!(),index:'emp_*',interval:auto,query:(query_string:(analyze_wildcard:!t,query:'%22rtdc.l.rtdc.4020%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29" t="s">
        <v>839</v>
      </c>
      <c r="B237" s="225">
        <v>4034</v>
      </c>
      <c r="C237" s="227" t="s">
        <v>192</v>
      </c>
      <c r="D237" s="227" t="s">
        <v>653</v>
      </c>
      <c r="E237" s="226">
        <v>43073.712835648148</v>
      </c>
      <c r="F237" s="226">
        <v>43073.728460648148</v>
      </c>
      <c r="G237" s="225">
        <v>621</v>
      </c>
      <c r="H237" s="227" t="s">
        <v>452</v>
      </c>
      <c r="I237" s="226">
        <v>43073.733356481483</v>
      </c>
      <c r="J237" s="225">
        <v>0</v>
      </c>
      <c r="K237" s="237" t="str">
        <f>IF(ISEVEN(B237),(B237-1)&amp;"/"&amp;B237,B237&amp;"/"&amp;(B237+1))</f>
        <v>4033/4034</v>
      </c>
      <c r="L237" s="245" t="str">
        <f>VLOOKUP(A237,'Trips&amp;Operators'!$C$1:$G$99911,5,FALSE)</f>
        <v>ROBINSON KADDIBA</v>
      </c>
      <c r="M237" s="224">
        <f>I237-F237</f>
        <v>4.8958333354676142E-3</v>
      </c>
      <c r="N237" s="225">
        <f>24*60*SUM($M237:$M237)</f>
        <v>7.0500000030733645</v>
      </c>
      <c r="O237" s="225"/>
      <c r="P237" s="225"/>
      <c r="Q237" s="228"/>
      <c r="R237" s="242"/>
      <c r="S237" s="249">
        <f>1/IF(AG237="EC",12,1)*SUM(U237:U237)</f>
        <v>1</v>
      </c>
      <c r="T237" s="242" t="str">
        <f>IF(ISEVEN(LEFT(AD237,4)),"Southbound","NorthBound")</f>
        <v>NorthBound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8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-12-04T16:06:29-0700',mode:absolute,to:'2017-12-04T18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7" s="247" t="str">
        <f>IF(AA237&lt;VLOOKUP(AG237,Variables!$AC$3:$AD$8,2,FALSE),"Y","N")</f>
        <v>Y</v>
      </c>
      <c r="X237" s="247">
        <f>VALUE(LEFT(AD237,4))-VALUE(LEFT(AD236,4))</f>
        <v>2</v>
      </c>
      <c r="Y237" s="247">
        <f>RIGHT(D237,LEN(D237)-4)/10000</f>
        <v>0.11600000000000001</v>
      </c>
      <c r="Z237" s="247">
        <f>RIGHT(H237,LEN(H237)-4)/10000</f>
        <v>2.3306</v>
      </c>
      <c r="AA237" s="247">
        <f>ABS(Z237-Y237)</f>
        <v>2.2145999999999999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>VALUE(LEFT(A237,LEN(A237)-3))</f>
        <v>77</v>
      </c>
      <c r="AE237" s="23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s3://rtdc.mdm.uploadarchive.raw/RTDC4034/ "%USERPROFILE%\AppData\Local\Temp\OnboardLogs"\RTDC4034\2017-12-04 --exclude "*" --recursive --include "*20171204*" &amp; "%USERPROFILE%\Documents\GitHub\mrs-test-scripts\Headless Mode &amp; Sideloading\WalkAndUnGZ.bat" "%USERPROFILE%\AppData\Local\Temp\OnboardLogs"\RTDC4034\2017-12-04 &amp; aws s3 cp s3://rtdc.mdm.uploadarchive.raw/RTDC4034/ "%USERPROFILE%\AppData\Local\Temp\OnboardLogs"\RTDC4034\2017-12-05 --exclude "*" --recursive --include "*20171205*" &amp; "%USERPROFILE%\Documents\GitHub\mrs-test-scripts\Headless Mode &amp; Sideloading\WalkAndUnGZ.bat" "%USERPROFILE%\AppData\Local\Temp\OnboardLogs"\RTDC4034\2017-12-05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/stypes="app*4034*20171205*" /stext=" 00:.+((SYSTEM_STATE.+slice.+state.+changed )|(ment ac)|(multiple cpu faults)|(system.+state.+changed )|(\[timeout)|(PRM\|1\|D)|(kpr)|(kdp)|(train st.+moving)|(\|lc)|(penalty))"</v>
      </c>
      <c r="AG237" s="244" t="str">
        <f>DetSubdiv(A237)</f>
        <v>Shuttle/Test</v>
      </c>
      <c r="AH237" s="236" t="str">
        <f t="shared" si="63"/>
        <v>"%USERPROFILE%\Documents\GitHub\eaglep3\Utilities\RefineRTDCRunTimes.py" --tripid 77-04 --locoid 4034 --swversion DE.1.0.9.0 --startMP 204:1160 --initTime 2017-12-04T17:06:29 --startdatetime 2017-12-04T17:28:59 --delay 621 --endMP 300:23306 --enddatetime 2017-12-04T17:36:02 --enforcementcount 0 &gt;&gt;%USERPROFILE%\Documents\GitHub\eaglep3-reporting\EC\2017-12-04-refined-times.txt</v>
      </c>
      <c r="AI237" s="238" t="str">
        <f t="shared" si="64"/>
        <v>echo {"issue":{"subject":"","project_id":79,"tracker_id":40,"status_id":1,"priority_id":2,"assigned_to_id":338,"start_date":"2017-12-04","description":"","custom_fields":[{"id":1,"name":"Subdivision","value":"Shuttle/Test"},{"id":4,"name":"Milepost","value":"2.3306"},{"id":17,"name":"Train ID","value":"77-04"},{"id":16,"name":"Locomotive ID","value":"4034"},{"id":130,"name":"Impact","value":""},{"id":150,"name":"Time of Event (Mountain Time)","value":"17:36:02"},{"id":151,"name":"Denver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65"/>
        <v>start /low /b %USERPROFILE%\Documents\GitHub\eaglep3\Utilities\DownloadLogsFromS3.py --loco 4034 --day 2017-12-04</v>
      </c>
      <c r="AN237" s="241" t="str">
        <f t="shared" si="66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67"/>
        <v>https://d0f6bd738d7f1b3e5a7ca70fe4ff75f0.us-east-1.aws.found.io/app/kibana#/discover/Steve-Slow-Train-Analysis-(2080s-and-2083s)?_g=(refreshInterval:(display:Off,pause:!f,section:0,value:0),time:(from:'2017-12-04T16:06:29-0700',mode:absolute,to:'2017-12-04T18:36:02-0700'))&amp;_a=(columns:!('Message%20ID',Summary),filters:!(),index:'emp_*',interval:auto,query:(query_string:(analyze_wildcard:!t,query:'%22rtdc.l.rtdc.4034%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23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s="20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4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4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4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4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4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4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4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</sheetData>
  <autoFilter ref="A12:AG520">
    <sortState ref="A13:AG520">
      <sortCondition ref="AG13:AG237"/>
      <sortCondition ref="AD13:AD237"/>
    </sortState>
  </autoFilter>
  <sortState ref="A13:AN425">
    <sortCondition ref="AG13:AG425"/>
    <sortCondition ref="AD13:AD425"/>
  </sortState>
  <mergeCells count="1">
    <mergeCell ref="A11:P11"/>
  </mergeCells>
  <conditionalFormatting sqref="W11:W12 W526:X1048576 W13:X237">
    <cfRule type="cellIs" dxfId="10" priority="465" operator="equal">
      <formula>"Y"</formula>
    </cfRule>
  </conditionalFormatting>
  <conditionalFormatting sqref="X526:X1048576 X13:X237">
    <cfRule type="cellIs" dxfId="9" priority="448" operator="greaterThan">
      <formula>1</formula>
    </cfRule>
  </conditionalFormatting>
  <conditionalFormatting sqref="X526:X1048576 X12:X237">
    <cfRule type="cellIs" dxfId="8" priority="445" operator="equal">
      <formula>0</formula>
    </cfRule>
  </conditionalFormatting>
  <conditionalFormatting sqref="A13:S237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6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6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19">
        <f>COUNTIF($O$7:$O$145,"=Y")</f>
        <v>5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0">
        <f>COUNTA($O$7:$O$145)-O2</f>
        <v>11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4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- 2017-12-04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8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3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79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43073.307442129626</v>
      </c>
      <c r="B7" s="30" t="s">
        <v>358</v>
      </c>
      <c r="C7" s="30" t="s">
        <v>659</v>
      </c>
      <c r="D7" s="30" t="s">
        <v>49</v>
      </c>
      <c r="E7" s="30" t="s">
        <v>183</v>
      </c>
      <c r="F7" s="42">
        <v>0</v>
      </c>
      <c r="G7" s="42">
        <v>86</v>
      </c>
      <c r="H7" s="42">
        <v>58831</v>
      </c>
      <c r="I7" s="42">
        <v>58796</v>
      </c>
      <c r="J7" s="30" t="s">
        <v>184</v>
      </c>
      <c r="K7" s="42">
        <v>58301</v>
      </c>
      <c r="L7" s="131" t="s">
        <v>51</v>
      </c>
      <c r="M7" s="132">
        <f>CONVERT((I7-K7)/10000,"mi","ft")*IF(L7="Increasing Mileposts (1)",-1,1)</f>
        <v>261.36</v>
      </c>
      <c r="N7" s="133" t="str">
        <f>VLOOKUP(C7,'Trips&amp;Operators'!$C$1:$G$99911,5,FALSE)</f>
        <v>LAMAR NEKESHA</v>
      </c>
      <c r="O7" s="174" t="s">
        <v>178</v>
      </c>
      <c r="P7" s="239" t="s">
        <v>1103</v>
      </c>
      <c r="Q7" s="30"/>
      <c r="R7" s="81" t="str">
        <f>VLOOKUP(C7,'Train Runs'!$A$13:$AE$10179,31,0)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S7" s="84" t="str">
        <f>VLOOKUP(C7,'Train Runs'!$A$13:$AE$10179,22,0)</f>
        <v>https://d0f6bd738d7f1b3e5a7ca70fe4ff75f0.us-east-1.aws.found.io/app/kibana#/discover/Steve-Slow-Train-Analysis-(2080s-and-2083s)?_g=(refreshInterval:(display:Off,pause:!f,section:0,value:0),time:(from:'2017-12-04T05:38:14-0700',mode:absolute,to:'2017-12-04T08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/stypes="*4007*201712041*" /stext=" 14:.+((SYSTEM_STATE.+slice.+state.+changed )|(ment ac)|(multiple cpu faults)|(system.+state.+changed )|(\[timeout)|(PRM\|1\|D)|(kpr)|(kdp)|(train st.+moving)|(\|lc)|(penalty))"</v>
      </c>
      <c r="U7" s="9" t="str">
        <f>MID(B7,13,4)</f>
        <v>4007</v>
      </c>
      <c r="V7" s="31">
        <f>A7-utc_offset/24</f>
        <v>43073.59910879629</v>
      </c>
      <c r="W7" s="45" t="str">
        <f>DetSubdiv(C7)</f>
        <v>EC</v>
      </c>
      <c r="X7" s="22">
        <f>VALUE(LEFT(C7,LEN(C7)-3))</f>
        <v>118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C","project_id":79,"tracker_id":40,"status_id":1,"priority_id":2,"assigned_to_id":338,"start_date":"2017-12-04","description":"","custom_fields":[{"id":1,"name":"Subdivision","value":"EC"},{"id":4,"name":"Milepost","value":"5.8301"},{"id":17,"name":"Train ID","value":"118-04"},{"id":16,"name":"Locomotive ID","value":"4007"},{"id":130,"name":"Impact","value":""},{"id":150,"name":"Time of Event (Mountain Time)","value":"07:22:43"},{"id":151,"name":"Denver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/c/Users/stu/AppData/Local/Temp/OnboardLogs/RTDC4007 --include="*4007*201712041*"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"%USERPROFILE%\AppData\Local\Temp\OnboardLogs"\RTDC4007\*4007*201712041* &gt;&gt; 2017-12-04-SliceDisagreementCheck.txt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4007 --day 2017-12-04</v>
      </c>
    </row>
    <row r="8" spans="1:32" s="1" customFormat="1" x14ac:dyDescent="0.25">
      <c r="A8" s="31">
        <v>43073.371087962965</v>
      </c>
      <c r="B8" s="30" t="s">
        <v>430</v>
      </c>
      <c r="C8" s="30" t="s">
        <v>663</v>
      </c>
      <c r="D8" s="30" t="s">
        <v>49</v>
      </c>
      <c r="E8" s="30" t="s">
        <v>183</v>
      </c>
      <c r="F8" s="42">
        <v>0</v>
      </c>
      <c r="G8" s="42">
        <v>80</v>
      </c>
      <c r="H8" s="42">
        <v>58809</v>
      </c>
      <c r="I8" s="42">
        <v>58697</v>
      </c>
      <c r="J8" s="30" t="s">
        <v>184</v>
      </c>
      <c r="K8" s="42">
        <v>58301</v>
      </c>
      <c r="L8" s="131" t="s">
        <v>51</v>
      </c>
      <c r="M8" s="132">
        <f>CONVERT((I8-K8)/10000,"mi","ft")*IF(L8="Increasing Mileposts (1)",-1,1)</f>
        <v>209.08799999999999</v>
      </c>
      <c r="N8" s="133" t="str">
        <f>VLOOKUP(C8,'Trips&amp;Operators'!$C$1:$G$99911,5,FALSE)</f>
        <v>HAMMOND JUSTYNN</v>
      </c>
      <c r="O8" s="174" t="s">
        <v>178</v>
      </c>
      <c r="P8" s="239" t="s">
        <v>1103</v>
      </c>
      <c r="Q8" s="30"/>
      <c r="R8" s="81" t="str">
        <f>VLOOKUP(C8,'Train Runs'!$A$13:$AE$10179,31,0)</f>
        <v>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 &amp; aws s3 cp s3://rtdc.mdm.uploadarchive.raw/RTDC4021/ "%USERPROFILE%\AppData\Local\Temp\OnboardLogs"\RTDC4021\2017-12-05 --exclude "*" --recursive --include "*20171205*" &amp; "%USERPROFILE%\Documents\GitHub\mrs-test-scripts\Headless Mode &amp; Sideloading\WalkAndUnGZ.bat" "%USERPROFILE%\AppData\Local\Temp\OnboardLogs"\RTDC4021\2017-12-05</v>
      </c>
      <c r="S8" s="84" t="str">
        <f>VLOOKUP(C8,'Train Runs'!$A$13:$AE$10179,22,0)</f>
        <v>https://d0f6bd738d7f1b3e5a7ca70fe4ff75f0.us-east-1.aws.found.io/app/kibana#/discover/Steve-Slow-Train-Analysis-(2080s-and-2083s)?_g=(refreshInterval:(display:Off,pause:!f,section:0,value:0),time:(from:'2017-12-04T07:17:57-0700',mode:absolute,to:'2017-12-04T10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/stypes="*4021*201712041*" /stext=" 15:.+((SYSTEM_STATE.+slice.+state.+changed )|(ment ac)|(multiple cpu faults)|(system.+state.+changed )|(\[timeout)|(PRM\|1\|D)|(kpr)|(kdp)|(train st.+moving)|(\|lc)|(penalty))"</v>
      </c>
      <c r="U8" s="9" t="str">
        <f>MID(B8,13,4)</f>
        <v>4021</v>
      </c>
      <c r="V8" s="31">
        <f>A8-utc_offset/24</f>
        <v>43073.662754629629</v>
      </c>
      <c r="W8" s="45" t="str">
        <f>DetSubdiv(C8)</f>
        <v>EC</v>
      </c>
      <c r="X8" s="228">
        <f>VALUE(LEFT(C8,LEN(C8)-3))</f>
        <v>132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C","project_id":79,"tracker_id":40,"status_id":1,"priority_id":2,"assigned_to_id":338,"start_date":"2017-12-04","description":"","custom_fields":[{"id":1,"name":"Subdivision","value":"EC"},{"id":4,"name":"Milepost","value":"5.8301"},{"id":17,"name":"Train ID","value":"132-04"},{"id":16,"name":"Locomotive ID","value":"4021"},{"id":130,"name":"Impact","value":""},{"id":150,"name":"Time of Event (Mountain Time)","value":"08:54:22"},{"id":151,"name":"Denver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/c/Users/stu/AppData/Local/Temp/OnboardLogs/RTDC4021 --include="*4021*201712041*"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"%USERPROFILE%\AppData\Local\Temp\OnboardLogs"\RTDC4021\*4021*201712041* &gt;&gt; 2017-12-04-SliceDisagreementCheck.txt</v>
      </c>
      <c r="AE8" s="144" t="str">
        <f t="shared" ref="AE8:AE22" si="1">"start /low /b "&amp;dls3logs&amp;" --loco "&amp;U8&amp;" --day "&amp;TEXT(V8,"YYYY-MM-DD")</f>
        <v>start /low /b %USERPROFILE%\Documents\GitHub\eaglep3\Utilities\DownloadLogsFromS3.py --loco 4021 --day 2017-12-04</v>
      </c>
    </row>
    <row r="9" spans="1:32" s="1" customFormat="1" x14ac:dyDescent="0.25">
      <c r="A9" s="31">
        <v>43073.348946759259</v>
      </c>
      <c r="B9" s="30" t="s">
        <v>376</v>
      </c>
      <c r="C9" s="30" t="s">
        <v>661</v>
      </c>
      <c r="D9" s="30" t="s">
        <v>49</v>
      </c>
      <c r="E9" s="30" t="s">
        <v>183</v>
      </c>
      <c r="F9" s="42">
        <v>0</v>
      </c>
      <c r="G9" s="42">
        <v>768</v>
      </c>
      <c r="H9" s="42">
        <v>69599</v>
      </c>
      <c r="I9" s="42">
        <v>66094</v>
      </c>
      <c r="J9" s="30" t="s">
        <v>184</v>
      </c>
      <c r="K9" s="42">
        <v>63309</v>
      </c>
      <c r="L9" s="131" t="s">
        <v>51</v>
      </c>
      <c r="M9" s="132">
        <f>CONVERT((I9-K9)/10000,"mi","ft")*IF(L9="Increasing Mileposts (1)",-1,1)</f>
        <v>1470.48</v>
      </c>
      <c r="N9" s="133" t="str">
        <f>VLOOKUP(C9,'Trips&amp;Operators'!$C$1:$G$99911,5,FALSE)</f>
        <v>THOMPSON LESTER</v>
      </c>
      <c r="O9" s="174" t="s">
        <v>178</v>
      </c>
      <c r="P9" s="239" t="s">
        <v>1103</v>
      </c>
      <c r="Q9" s="30"/>
      <c r="R9" s="81" t="str">
        <f>VLOOKUP(C9,'Train Runs'!$A$13:$AE$10179,31,0)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S9" s="84" t="str">
        <f>VLOOKUP(C9,'Train Runs'!$A$13:$AE$10179,22,0)</f>
        <v>https://d0f6bd738d7f1b3e5a7ca70fe4ff75f0.us-east-1.aws.found.io/app/kibana#/discover/Steve-Slow-Train-Analysis-(2080s-and-2083s)?_g=(refreshInterval:(display:Off,pause:!f,section:0,value:0),time:(from:'2017-12-04T06:57:06-0700',mode:absolute,to:'2017-12-04T09:41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/stypes="*4029*201712041*" /stext=" 15:.+((SYSTEM_STATE.+slice.+state.+changed )|(ment ac)|(multiple cpu faults)|(system.+state.+changed )|(\[timeout)|(PRM\|1\|D)|(kpr)|(kdp)|(train st.+moving)|(\|lc)|(penalty))"</v>
      </c>
      <c r="U9" s="9" t="str">
        <f>MID(B9,13,4)</f>
        <v>4029</v>
      </c>
      <c r="V9" s="31">
        <f>A9-utc_offset/24</f>
        <v>43073.640613425923</v>
      </c>
      <c r="W9" s="45" t="str">
        <f>DetSubdiv(C9)</f>
        <v>EC</v>
      </c>
      <c r="X9" s="228">
        <f>VALUE(LEFT(C9,LEN(C9)-3))</f>
        <v>128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C","project_id":79,"tracker_id":40,"status_id":1,"priority_id":2,"assigned_to_id":338,"start_date":"2017-12-04","description":"","custom_fields":[{"id":1,"name":"Subdivision","value":"EC"},{"id":4,"name":"Milepost","value":"6.3309"},{"id":17,"name":"Train ID","value":"128-04"},{"id":16,"name":"Locomotive ID","value":"4029"},{"id":130,"name":"Impact","value":""},{"id":150,"name":"Time of Event (Mountain Time)","value":"08:22:29"},{"id":151,"name":"Denver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/c/Users/stu/AppData/Local/Temp/OnboardLogs/RTDC4029 --include="*4029*201712041*"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"%USERPROFILE%\AppData\Local\Temp\OnboardLogs"\RTDC4029\*4029*201712041* &gt;&gt; 2017-12-04-SliceDisagreementCheck.txt</v>
      </c>
      <c r="AE9" s="144" t="str">
        <f t="shared" si="1"/>
        <v>start /low /b %USERPROFILE%\Documents\GitHub\eaglep3\Utilities\DownloadLogsFromS3.py --loco 4029 --day 2017-12-04</v>
      </c>
    </row>
    <row r="10" spans="1:32" x14ac:dyDescent="0.25">
      <c r="A10" s="31">
        <v>43073.350578703707</v>
      </c>
      <c r="B10" s="30" t="s">
        <v>376</v>
      </c>
      <c r="C10" s="30" t="s">
        <v>661</v>
      </c>
      <c r="D10" s="30" t="s">
        <v>49</v>
      </c>
      <c r="E10" s="30" t="s">
        <v>183</v>
      </c>
      <c r="F10" s="42">
        <v>0</v>
      </c>
      <c r="G10" s="42">
        <v>108</v>
      </c>
      <c r="H10" s="42">
        <v>63985</v>
      </c>
      <c r="I10" s="42">
        <v>63882</v>
      </c>
      <c r="J10" s="30" t="s">
        <v>184</v>
      </c>
      <c r="K10" s="42">
        <v>63309</v>
      </c>
      <c r="L10" s="131" t="s">
        <v>51</v>
      </c>
      <c r="M10" s="132">
        <f>CONVERT((I10-K10)/10000,"mi","ft")*IF(L10="Increasing Mileposts (1)",-1,1)</f>
        <v>302.54399999999998</v>
      </c>
      <c r="N10" s="133" t="str">
        <f>VLOOKUP(C10,'Trips&amp;Operators'!$C$1:$G$99911,5,FALSE)</f>
        <v>THOMPSON LESTER</v>
      </c>
      <c r="O10" s="174" t="s">
        <v>178</v>
      </c>
      <c r="P10" s="239" t="s">
        <v>1103</v>
      </c>
      <c r="Q10" s="30"/>
      <c r="R10" s="81" t="str">
        <f>VLOOKUP(C10,'Train Runs'!$A$13:$AE$10179,31,0)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S10" s="84" t="str">
        <f>VLOOKUP(C10,'Train Runs'!$A$13:$AE$10179,22,0)</f>
        <v>https://d0f6bd738d7f1b3e5a7ca70fe4ff75f0.us-east-1.aws.found.io/app/kibana#/discover/Steve-Slow-Train-Analysis-(2080s-and-2083s)?_g=(refreshInterval:(display:Off,pause:!f,section:0,value:0),time:(from:'2017-12-04T06:57:06-0700',mode:absolute,to:'2017-12-04T09:41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/stypes="*4029*201712041*" /stext=" 15:.+((SYSTEM_STATE.+slice.+state.+changed )|(ment ac)|(multiple cpu faults)|(system.+state.+changed )|(\[timeout)|(PRM\|1\|D)|(kpr)|(kdp)|(train st.+moving)|(\|lc)|(penalty))"</v>
      </c>
      <c r="U10" s="9" t="str">
        <f>MID(B10,13,4)</f>
        <v>4029</v>
      </c>
      <c r="V10" s="31">
        <f>A10-utc_offset/24</f>
        <v>43073.642245370371</v>
      </c>
      <c r="W10" s="45" t="str">
        <f>DetSubdiv(C10)</f>
        <v>EC</v>
      </c>
      <c r="X10" s="228">
        <f>VALUE(LEFT(C10,LEN(C10)-3))</f>
        <v>128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C","project_id":79,"tracker_id":40,"status_id":1,"priority_id":2,"assigned_to_id":338,"start_date":"2017-12-04","description":"","custom_fields":[{"id":1,"name":"Subdivision","value":"EC"},{"id":4,"name":"Milepost","value":"6.3309"},{"id":17,"name":"Train ID","value":"128-04"},{"id":16,"name":"Locomotive ID","value":"4029"},{"id":130,"name":"Impact","value":""},{"id":150,"name":"Time of Event (Mountain Time)","value":"08:24:50"},{"id":151,"name":"Denver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/c/Users/stu/AppData/Local/Temp/OnboardLogs/RTDC4029 --include="*4029*201712041*"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"%USERPROFILE%\AppData\Local\Temp\OnboardLogs"\RTDC4029\*4029*201712041* &gt;&gt; 2017-12-04-SliceDisagreementCheck.txt</v>
      </c>
      <c r="AE10" s="144" t="str">
        <f t="shared" si="1"/>
        <v>start /low /b %USERPROFILE%\Documents\GitHub\eaglep3\Utilities\DownloadLogsFromS3.py --loco 4029 --day 2017-12-04</v>
      </c>
      <c r="AF10" s="1"/>
    </row>
    <row r="11" spans="1:32" x14ac:dyDescent="0.25">
      <c r="A11" s="31">
        <v>43073.892638888887</v>
      </c>
      <c r="B11" s="30" t="s">
        <v>358</v>
      </c>
      <c r="C11" s="30" t="s">
        <v>672</v>
      </c>
      <c r="D11" s="30" t="s">
        <v>49</v>
      </c>
      <c r="E11" s="30" t="s">
        <v>190</v>
      </c>
      <c r="F11" s="42">
        <v>200</v>
      </c>
      <c r="G11" s="42">
        <v>269</v>
      </c>
      <c r="H11" s="42">
        <v>31234</v>
      </c>
      <c r="I11" s="42">
        <v>30788</v>
      </c>
      <c r="J11" s="30" t="s">
        <v>191</v>
      </c>
      <c r="K11" s="42">
        <v>30562</v>
      </c>
      <c r="L11" s="131" t="s">
        <v>51</v>
      </c>
      <c r="M11" s="132">
        <f>CONVERT((I11-K11)/10000,"mi","ft")*IF(L11="Increasing Mileposts (1)",-1,1)</f>
        <v>119.328</v>
      </c>
      <c r="N11" s="133" t="str">
        <f>VLOOKUP(C11,'Trips&amp;Operators'!$C$1:$G$99911,5,FALSE)</f>
        <v>RESPASS AARON</v>
      </c>
      <c r="O11" s="174" t="s">
        <v>178</v>
      </c>
      <c r="P11" s="239"/>
      <c r="Q11" s="30"/>
      <c r="R11" s="81" t="str">
        <f>VLOOKUP(C11,'Train Runs'!$A$13:$AE$10179,31,0)</f>
        <v>aws s3 cp s3://rtdc.mdm.uploadarchive.raw/RTDC4007/ "%USERPROFILE%\AppData\Local\Temp\OnboardLogs"\RTDC4007\2017-12-04 --exclude "*" --recursive --include "*20171204*" &amp; "%USERPROFILE%\Documents\GitHub\mrs-test-scripts\Headless Mode &amp; Sideloading\WalkAndUnGZ.bat" "%USERPROFILE%\AppData\Local\Temp\OnboardLogs"\RTDC4007\2017-12-04 &amp; 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</v>
      </c>
      <c r="S11" s="84" t="str">
        <f>VLOOKUP(C11,'Train Runs'!$A$13:$AE$10179,22,0)</f>
        <v>https://d0f6bd738d7f1b3e5a7ca70fe4ff75f0.us-east-1.aws.found.io/app/kibana#/discover/Steve-Slow-Train-Analysis-(2080s-and-2083s)?_g=(refreshInterval:(display:Off,pause:!f,section:0,value:0),time:(from:'2017-12-04T19:52:56-0700',mode:absolute,to:'2017-12-04T22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/stypes="*4007*201712050*" /stext=" 04:.+((SYSTEM_STATE.+slice.+state.+changed )|(ment ac)|(multiple cpu faults)|(system.+state.+changed )|(\[timeout)|(PRM\|1\|D)|(kpr)|(kdp)|(train st.+moving)|(\|lc)|(penalty))"</v>
      </c>
      <c r="U11" s="9" t="str">
        <f>MID(B11,13,4)</f>
        <v>4007</v>
      </c>
      <c r="V11" s="31">
        <f>A11-utc_offset/24</f>
        <v>43074.184305555551</v>
      </c>
      <c r="W11" s="45" t="str">
        <f>DetSubdiv(C11)</f>
        <v>EC</v>
      </c>
      <c r="X11" s="228">
        <f>VALUE(LEFT(C11,LEN(C11)-3))</f>
        <v>226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{"issue":{"subject":"","project_id":79,"tracker_id":40,"status_id":1,"priority_id":2,"assigned_to_id":338,"start_date":"2017-12-04","description":"","custom_fields":[{"id":1,"name":"Subdivision","value":"EC"},{"id":4,"name":"Milepost","value":"3.0562"},{"id":17,"name":"Train ID","value":"226-04"},{"id":16,"name":"Locomotive ID","value":"4007"},{"id":130,"name":"Impact","value":""},{"id":150,"name":"Time of Event (Mountain Time)","value":"21:25:24"},{"id":151,"name":"Denver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/c/Users/stu/AppData/Local/Temp/OnboardLogs/RTDC4007 --include="*4007*201712050*"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"%USERPROFILE%\AppData\Local\Temp\OnboardLogs"\RTDC4007\*4007*201712050* &gt;&gt; 2017-12-04-SliceDisagreementCheck.txt</v>
      </c>
      <c r="AE11" s="144" t="str">
        <f t="shared" si="1"/>
        <v>start /low /b %USERPROFILE%\Documents\GitHub\eaglep3\Utilities\DownloadLogsFromS3.py --loco 4007 --day 2017-12-05</v>
      </c>
      <c r="AF11" s="1"/>
    </row>
    <row r="12" spans="1:32" x14ac:dyDescent="0.25">
      <c r="A12" s="31">
        <v>43073.495752314811</v>
      </c>
      <c r="B12" s="30" t="s">
        <v>564</v>
      </c>
      <c r="C12" s="30" t="s">
        <v>665</v>
      </c>
      <c r="D12" s="30" t="s">
        <v>49</v>
      </c>
      <c r="E12" s="30" t="s">
        <v>190</v>
      </c>
      <c r="F12" s="42">
        <v>400</v>
      </c>
      <c r="G12" s="42">
        <v>454</v>
      </c>
      <c r="H12" s="42">
        <v>116158</v>
      </c>
      <c r="I12" s="42">
        <v>117421</v>
      </c>
      <c r="J12" s="30" t="s">
        <v>191</v>
      </c>
      <c r="K12" s="42">
        <v>116838</v>
      </c>
      <c r="L12" s="131" t="s">
        <v>50</v>
      </c>
      <c r="M12" s="132">
        <f>CONVERT((I12-K12)/10000,"mi","ft")*IF(L12="Increasing Mileposts (1)",-1,1)</f>
        <v>-307.82400000000001</v>
      </c>
      <c r="N12" s="133" t="str">
        <f>VLOOKUP(C12,'Trips&amp;Operators'!$C$1:$G$99911,5,FALSE)</f>
        <v>STEWART MICHAEL</v>
      </c>
      <c r="O12" s="174" t="s">
        <v>178</v>
      </c>
      <c r="P12" s="239"/>
      <c r="Q12" s="30"/>
      <c r="R12" s="81" t="str">
        <f>VLOOKUP(C12,'Train Runs'!$A$13:$AE$10179,31,0)</f>
        <v>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 &amp; aws s3 cp s3://rtdc.mdm.uploadarchive.raw/RTDC4010/ "%USERPROFILE%\AppData\Local\Temp\OnboardLogs"\RTDC4010\2017-12-05 --exclude "*" --recursive --include "*20171205*" &amp; "%USERPROFILE%\Documents\GitHub\mrs-test-scripts\Headless Mode &amp; Sideloading\WalkAndUnGZ.bat" "%USERPROFILE%\AppData\Local\Temp\OnboardLogs"\RTDC4010\2017-12-05</v>
      </c>
      <c r="S12" s="84" t="str">
        <f>VLOOKUP(C12,'Train Runs'!$A$13:$AE$10179,22,0)</f>
        <v>https://d0f6bd738d7f1b3e5a7ca70fe4ff75f0.us-east-1.aws.found.io/app/kibana#/discover/Steve-Slow-Train-Analysis-(2080s-and-2083s)?_g=(refreshInterval:(display:Off,pause:!f,section:0,value:0),time:(from:'2017-12-04T10:25:52-0700',mode:absolute,to:'2017-12-04T13:10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/stypes="*4010*201712041*" /stext=" 18:.+((SYSTEM_STATE.+slice.+state.+changed )|(ment ac)|(multiple cpu faults)|(system.+state.+changed )|(\[timeout)|(PRM\|1\|D)|(kpr)|(kdp)|(train st.+moving)|(\|lc)|(penalty))"</v>
      </c>
      <c r="U12" s="9" t="str">
        <f>MID(B12,13,4)</f>
        <v>4010</v>
      </c>
      <c r="V12" s="31">
        <f>A12-utc_offset/24</f>
        <v>43073.787418981476</v>
      </c>
      <c r="W12" s="45" t="str">
        <f>DetSubdiv(C12)</f>
        <v>EC</v>
      </c>
      <c r="X12" s="228">
        <f>VALUE(LEFT(C12,LEN(C12)-3))</f>
        <v>163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{"issue":{"subject":"","project_id":79,"tracker_id":40,"status_id":1,"priority_id":2,"assigned_to_id":338,"start_date":"2017-12-04","description":"","custom_fields":[{"id":1,"name":"Subdivision","value":"EC"},{"id":4,"name":"Milepost","value":"11.6838"},{"id":17,"name":"Train ID","value":"163-04"},{"id":16,"name":"Locomotive ID","value":"4010"},{"id":130,"name":"Impact","value":""},{"id":150,"name":"Time of Event (Mountain Time)","value":"11:53:53"},{"id":151,"name":"Denver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/c/Users/stu/AppData/Local/Temp/OnboardLogs/RTDC4010 --include="*4010*201712041*"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"%USERPROFILE%\AppData\Local\Temp\OnboardLogs"\RTDC4010\*4010*201712041* &gt;&gt; 2017-12-04-SliceDisagreementCheck.txt</v>
      </c>
      <c r="AE12" s="144" t="str">
        <f t="shared" si="1"/>
        <v>start /low /b %USERPROFILE%\Documents\GitHub\eaglep3\Utilities\DownloadLogsFromS3.py --loco 4010 --day 2017-12-04</v>
      </c>
      <c r="AF12" s="1"/>
    </row>
    <row r="13" spans="1:32" x14ac:dyDescent="0.25">
      <c r="A13" s="31">
        <v>43073.26284722222</v>
      </c>
      <c r="B13" s="30" t="s">
        <v>356</v>
      </c>
      <c r="C13" s="30" t="s">
        <v>656</v>
      </c>
      <c r="D13" s="30" t="s">
        <v>49</v>
      </c>
      <c r="E13" s="30" t="s">
        <v>190</v>
      </c>
      <c r="F13" s="42">
        <v>550</v>
      </c>
      <c r="G13" s="42">
        <v>779</v>
      </c>
      <c r="H13" s="42">
        <v>218051</v>
      </c>
      <c r="I13" s="42">
        <v>221678</v>
      </c>
      <c r="J13" s="30" t="s">
        <v>191</v>
      </c>
      <c r="K13" s="42">
        <v>222090</v>
      </c>
      <c r="L13" s="131" t="s">
        <v>50</v>
      </c>
      <c r="M13" s="132">
        <f>CONVERT((I13-K13)/10000,"mi","ft")*IF(L13="Increasing Mileposts (1)",-1,1)</f>
        <v>217.536</v>
      </c>
      <c r="N13" s="133" t="str">
        <f>VLOOKUP(C13,'Trips&amp;Operators'!$C$1:$G$99911,5,FALSE)</f>
        <v>LAMAR NEKESHA</v>
      </c>
      <c r="O13" s="174" t="s">
        <v>178</v>
      </c>
      <c r="P13" s="239"/>
      <c r="Q13" s="30"/>
      <c r="R13" s="81" t="str">
        <f>VLOOKUP(C13,'Train Runs'!$A$13:$AE$10179,31,0)</f>
        <v>aws s3 cp s3://rtdc.mdm.uploadarchive.raw/RTDC4008/ "%USERPROFILE%\AppData\Local\Temp\OnboardLogs"\RTDC4008\2017-12-04 --exclude "*" --recursive --include "*20171204*" &amp; "%USERPROFILE%\Documents\GitHub\mrs-test-scripts\Headless Mode &amp; Sideloading\WalkAndUnGZ.bat" "%USERPROFILE%\AppData\Local\Temp\OnboardLogs"\RTDC4008\2017-12-04 &amp; aws s3 cp s3://rtdc.mdm.uploadarchive.raw/RTDC4008/ "%USERPROFILE%\AppData\Local\Temp\OnboardLogs"\RTDC4008\2017-12-05 --exclude "*" --recursive --include "*20171205*" &amp; "%USERPROFILE%\Documents\GitHub\mrs-test-scripts\Headless Mode &amp; Sideloading\WalkAndUnGZ.bat" "%USERPROFILE%\AppData\Local\Temp\OnboardLogs"\RTDC4008\2017-12-05</v>
      </c>
      <c r="S13" s="84" t="str">
        <f>VLOOKUP(C13,'Train Runs'!$A$13:$AE$10179,22,0)</f>
        <v>https://d0f6bd738d7f1b3e5a7ca70fe4ff75f0.us-east-1.aws.found.io/app/kibana#/discover/Steve-Slow-Train-Analysis-(2080s-and-2083s)?_g=(refreshInterval:(display:Off,pause:!f,section:0,value:0),time:(from:'2017-12-04T04:38:00-0700',mode:absolute,to:'2017-12-04T07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/stypes="*4008*201712041*" /stext=" 13:.+((SYSTEM_STATE.+slice.+state.+changed )|(ment ac)|(multiple cpu faults)|(system.+state.+changed )|(\[timeout)|(PRM\|1\|D)|(kpr)|(kdp)|(train st.+moving)|(\|lc)|(penalty))"</v>
      </c>
      <c r="U13" s="9" t="str">
        <f>MID(B13,13,4)</f>
        <v>4008</v>
      </c>
      <c r="V13" s="31">
        <f>A13-utc_offset/24</f>
        <v>43073.554513888885</v>
      </c>
      <c r="W13" s="45" t="str">
        <f>DetSubdiv(C13)</f>
        <v>EC</v>
      </c>
      <c r="X13" s="228">
        <f>VALUE(LEFT(C13,LEN(C13)-3))</f>
        <v>117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{"issue":{"subject":"","project_id":79,"tracker_id":40,"status_id":1,"priority_id":2,"assigned_to_id":338,"start_date":"2017-12-04","description":"","custom_fields":[{"id":1,"name":"Subdivision","value":"EC"},{"id":4,"name":"Milepost","value":"22.209"},{"id":17,"name":"Train ID","value":"117-04"},{"id":16,"name":"Locomotive ID","value":"4008"},{"id":130,"name":"Impact","value":""},{"id":150,"name":"Time of Event (Mountain Time)","value":"06:18:30"},{"id":151,"name":"Denver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/c/Users/stu/AppData/Local/Temp/OnboardLogs/RTDC4008 --include="*4008*201712041*"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"%USERPROFILE%\AppData\Local\Temp\OnboardLogs"\RTDC4008\*4008*201712041* &gt;&gt; 2017-12-04-SliceDisagreementCheck.txt</v>
      </c>
      <c r="AE13" s="144" t="str">
        <f t="shared" si="1"/>
        <v>start /low /b %USERPROFILE%\Documents\GitHub\eaglep3\Utilities\DownloadLogsFromS3.py --loco 4008 --day 2017-12-04</v>
      </c>
      <c r="AF13" s="1"/>
    </row>
    <row r="14" spans="1:32" x14ac:dyDescent="0.25">
      <c r="A14" s="31">
        <v>43073.282013888886</v>
      </c>
      <c r="B14" s="30" t="s">
        <v>657</v>
      </c>
      <c r="C14" s="30" t="s">
        <v>658</v>
      </c>
      <c r="D14" s="30" t="s">
        <v>95</v>
      </c>
      <c r="E14" s="30" t="s">
        <v>354</v>
      </c>
      <c r="F14" s="42">
        <v>0</v>
      </c>
      <c r="G14" s="42">
        <v>50</v>
      </c>
      <c r="H14" s="42">
        <v>1808</v>
      </c>
      <c r="I14" s="42">
        <v>1829</v>
      </c>
      <c r="J14" s="30" t="s">
        <v>355</v>
      </c>
      <c r="K14" s="42">
        <v>1692</v>
      </c>
      <c r="L14" s="131" t="s">
        <v>50</v>
      </c>
      <c r="M14" s="132">
        <f>CONVERT((I14-K14)/10000,"mi","ft")*IF(L14="Increasing Mileposts (1)",-1,1)</f>
        <v>-72.335999999999999</v>
      </c>
      <c r="N14" s="133" t="str">
        <f>VLOOKUP(C14,'Trips&amp;Operators'!$C$1:$G$99911,5,FALSE)</f>
        <v>SPECTOR MICHAEL</v>
      </c>
      <c r="O14" s="174" t="s">
        <v>178</v>
      </c>
      <c r="P14" s="239" t="s">
        <v>1096</v>
      </c>
      <c r="Q14" s="30"/>
      <c r="R14" s="81" t="str">
        <f>VLOOKUP(C14,'Train Runs'!$A$13:$AE$10179,31,0)</f>
        <v>aws s3 cp s3://rtdc.mdm.uploadarchive.raw/RTDC4020/ "%USERPROFILE%\AppData\Local\Temp\OnboardLogs"\RTDC4020\2017-12-04 --exclude "*" --recursive --include "*20171204*" &amp; "%USERPROFILE%\Documents\GitHub\mrs-test-scripts\Headless Mode &amp; Sideloading\WalkAndUnGZ.bat" "%USERPROFILE%\AppData\Local\Temp\OnboardLogs"\RTDC4020\2017-12-04 &amp; aws s3 cp s3://rtdc.mdm.uploadarchive.raw/RTDC4020/ "%USERPROFILE%\AppData\Local\Temp\OnboardLogs"\RTDC4020\2017-12-05 --exclude "*" --recursive --include "*20171205*" &amp; "%USERPROFILE%\Documents\GitHub\mrs-test-scripts\Headless Mode &amp; Sideloading\WalkAndUnGZ.bat" "%USERPROFILE%\AppData\Local\Temp\OnboardLogs"\RTDC4020\2017-12-05</v>
      </c>
      <c r="S14" s="84" t="str">
        <f>VLOOKUP(C14,'Train Runs'!$A$13:$AE$10179,22,0)</f>
        <v>https://d0f6bd738d7f1b3e5a7ca70fe4ff75f0.us-east-1.aws.found.io/app/kibana#/discover/Steve-Slow-Train-Analysis-(2080s-and-2083s)?_g=(refreshInterval:(display:Off,pause:!f,section:0,value:0),time:(from:'2017-12-04T05:42:31-0700',mode:absolute,to:'2017-12-04T08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/stypes="*4020*201712041*" /stext=" 13:.+((SYSTEM_STATE.+slice.+state.+changed )|(ment ac)|(multiple cpu faults)|(system.+state.+changed )|(\[timeout)|(PRM\|1\|D)|(kpr)|(kdp)|(train st.+moving)|(\|lc)|(penalty))"</v>
      </c>
      <c r="U14" s="9" t="str">
        <f>MID(B14,13,4)</f>
        <v>4020</v>
      </c>
      <c r="V14" s="31">
        <f>A14-utc_offset/24</f>
        <v>43073.57368055555</v>
      </c>
      <c r="W14" s="45" t="str">
        <f>DetSubdiv(C14)</f>
        <v>EC</v>
      </c>
      <c r="X14" s="228">
        <f>VALUE(LEFT(C14,LEN(C14)-3))</f>
        <v>125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{"issue":{"subject":"Main 3 departure","project_id":79,"tracker_id":40,"status_id":1,"priority_id":2,"assigned_to_id":338,"start_date":"2017-12-04","description":"","custom_fields":[{"id":1,"name":"Subdivision","value":"EC"},{"id":4,"name":"Milepost","value":"0.1692"},{"id":17,"name":"Train ID","value":"125-04"},{"id":16,"name":"Locomotive ID","value":"4020"},{"id":130,"name":"Impact","value":""},{"id":150,"name":"Time of Event (Mountain Time)","value":"06:46:06"},{"id":151,"name":"Denver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/c/Users/stu/AppData/Local/Temp/OnboardLogs/RTDC4020 --include="*4020*201712041*"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"%USERPROFILE%\AppData\Local\Temp\OnboardLogs"\RTDC4020\*4020*201712041* &gt;&gt; 2017-12-04-SliceDisagreementCheck.txt</v>
      </c>
      <c r="AE14" s="144" t="str">
        <f t="shared" si="1"/>
        <v>start /low /b %USERPROFILE%\Documents\GitHub\eaglep3\Utilities\DownloadLogsFromS3.py --loco 4020 --day 2017-12-04</v>
      </c>
      <c r="AF14" s="1"/>
    </row>
    <row r="15" spans="1:32" x14ac:dyDescent="0.25">
      <c r="A15" s="31">
        <v>43073.455833333333</v>
      </c>
      <c r="B15" s="30" t="s">
        <v>563</v>
      </c>
      <c r="C15" s="30" t="s">
        <v>664</v>
      </c>
      <c r="D15" s="30" t="s">
        <v>49</v>
      </c>
      <c r="E15" s="30" t="s">
        <v>354</v>
      </c>
      <c r="F15" s="42">
        <v>0</v>
      </c>
      <c r="G15" s="42">
        <v>124</v>
      </c>
      <c r="H15" s="42">
        <v>128006</v>
      </c>
      <c r="I15" s="42">
        <v>127927</v>
      </c>
      <c r="J15" s="30" t="s">
        <v>355</v>
      </c>
      <c r="K15" s="42">
        <v>127587</v>
      </c>
      <c r="L15" s="131" t="s">
        <v>51</v>
      </c>
      <c r="M15" s="132">
        <f>CONVERT((I15-K15)/10000,"mi","ft")*IF(L15="Increasing Mileposts (1)",-1,1)</f>
        <v>179.52</v>
      </c>
      <c r="N15" s="133" t="str">
        <f>VLOOKUP(C15,'Trips&amp;Operators'!$C$1:$G$99911,5,FALSE)</f>
        <v>YORK EDGAR</v>
      </c>
      <c r="O15" s="174" t="s">
        <v>178</v>
      </c>
      <c r="P15" s="239" t="s">
        <v>1104</v>
      </c>
      <c r="Q15" s="30"/>
      <c r="R15" s="81" t="str">
        <f>VLOOKUP(C15,'Train Runs'!$A$13:$AE$10179,31,0)</f>
        <v>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 &amp; aws s3 cp s3://rtdc.mdm.uploadarchive.raw/RTDC4009/ "%USERPROFILE%\AppData\Local\Temp\OnboardLogs"\RTDC4009\2017-12-05 --exclude "*" --recursive --include "*20171205*" &amp; "%USERPROFILE%\Documents\GitHub\mrs-test-scripts\Headless Mode &amp; Sideloading\WalkAndUnGZ.bat" "%USERPROFILE%\AppData\Local\Temp\OnboardLogs"\RTDC4009\2017-12-05</v>
      </c>
      <c r="S15" s="84" t="str">
        <f>VLOOKUP(C15,'Train Runs'!$A$13:$AE$10179,22,0)</f>
        <v>https://d0f6bd738d7f1b3e5a7ca70fe4ff75f0.us-east-1.aws.found.io/app/kibana#/discover/Steve-Slow-Train-Analysis-(2080s-and-2083s)?_g=(refreshInterval:(display:Off,pause:!f,section:0,value:0),time:(from:'2017-12-04T09:35:47-0700',mode:absolute,to:'2017-12-04T12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/stypes="*4009*201712041*" /stext=" 17:.+((SYSTEM_STATE.+slice.+state.+changed )|(ment ac)|(multiple cpu faults)|(system.+state.+changed )|(\[timeout)|(PRM\|1\|D)|(kpr)|(kdp)|(train st.+moving)|(\|lc)|(penalty))"</v>
      </c>
      <c r="U15" s="9" t="str">
        <f>MID(B15,13,4)</f>
        <v>4009</v>
      </c>
      <c r="V15" s="31">
        <f>A15-utc_offset/24</f>
        <v>43073.747499999998</v>
      </c>
      <c r="W15" s="45" t="str">
        <f>DetSubdiv(C15)</f>
        <v>EC</v>
      </c>
      <c r="X15" s="228">
        <f>VALUE(LEFT(C15,LEN(C15)-3))</f>
        <v>150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{"issue":{"subject":"40th 4S STOP","project_id":79,"tracker_id":40,"status_id":1,"priority_id":2,"assigned_to_id":338,"start_date":"2017-12-04","description":"","custom_fields":[{"id":1,"name":"Subdivision","value":"EC"},{"id":4,"name":"Milepost","value":"12.7587"},{"id":17,"name":"Train ID","value":"150-04"},{"id":16,"name":"Locomotive ID","value":"4009"},{"id":130,"name":"Impact","value":""},{"id":150,"name":"Time of Event (Mountain Time)","value":"10:56:24"},{"id":151,"name":"Denver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/c/Users/stu/AppData/Local/Temp/OnboardLogs/RTDC4009 --include="*4009*201712041*"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"%USERPROFILE%\AppData\Local\Temp\OnboardLogs"\RTDC4009\*4009*201712041* &gt;&gt; 2017-12-04-SliceDisagreementCheck.txt</v>
      </c>
      <c r="AE15" s="144" t="str">
        <f t="shared" si="1"/>
        <v>start /low /b %USERPROFILE%\Documents\GitHub\eaglep3\Utilities\DownloadLogsFromS3.py --loco 4009 --day 2017-12-04</v>
      </c>
      <c r="AF15" s="1"/>
    </row>
    <row r="16" spans="1:32" x14ac:dyDescent="0.25">
      <c r="A16" s="31">
        <v>43073.56894675926</v>
      </c>
      <c r="B16" s="30" t="s">
        <v>376</v>
      </c>
      <c r="C16" s="30" t="s">
        <v>667</v>
      </c>
      <c r="D16" s="30" t="s">
        <v>49</v>
      </c>
      <c r="E16" s="30" t="s">
        <v>668</v>
      </c>
      <c r="F16" s="42">
        <v>0</v>
      </c>
      <c r="G16" s="42">
        <v>285</v>
      </c>
      <c r="H16" s="42">
        <v>58860</v>
      </c>
      <c r="I16" s="42">
        <v>58285</v>
      </c>
      <c r="J16" s="30" t="s">
        <v>669</v>
      </c>
      <c r="K16" s="42">
        <v>57801</v>
      </c>
      <c r="L16" s="131" t="s">
        <v>51</v>
      </c>
      <c r="M16" s="132">
        <f>CONVERT((I16-K16)/10000,"mi","ft")*IF(L16="Increasing Mileposts (1)",-1,1)</f>
        <v>255.55199999999999</v>
      </c>
      <c r="N16" s="133" t="str">
        <f>VLOOKUP(C16,'Trips&amp;Operators'!$C$1:$G$99911,5,FALSE)</f>
        <v>SAFIEF AEIMEN</v>
      </c>
      <c r="O16" s="174" t="s">
        <v>348</v>
      </c>
      <c r="P16" s="239" t="s">
        <v>455</v>
      </c>
      <c r="Q16" s="30"/>
      <c r="R16" s="81" t="str">
        <f>VLOOKUP(C16,'Train Runs'!$A$13:$AE$10179,31,0)</f>
        <v>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 &amp; aws s3 cp s3://rtdc.mdm.uploadarchive.raw/RTDC4029/ "%USERPROFILE%\AppData\Local\Temp\OnboardLogs"\RTDC4029\2017-12-05 --exclude "*" --recursive --include "*20171205*" &amp; "%USERPROFILE%\Documents\GitHub\mrs-test-scripts\Headless Mode &amp; Sideloading\WalkAndUnGZ.bat" "%USERPROFILE%\AppData\Local\Temp\OnboardLogs"\RTDC4029\2017-12-05</v>
      </c>
      <c r="S16" s="84" t="str">
        <f>VLOOKUP(C16,'Train Runs'!$A$13:$AE$10179,22,0)</f>
        <v>https://d0f6bd738d7f1b3e5a7ca70fe4ff75f0.us-east-1.aws.found.io/app/kibana#/discover/Steve-Slow-Train-Analysis-(2080s-and-2083s)?_g=(refreshInterval:(display:Off,pause:!f,section:0,value:0),time:(from:'2017-12-04T11:57:35-0700',mode:absolute,to:'2017-12-04T14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/stypes="*4029*201712042*" /stext=" 20:.+((SYSTEM_STATE.+slice.+state.+changed )|(ment ac)|(multiple cpu faults)|(system.+state.+changed )|(\[timeout)|(PRM\|1\|D)|(kpr)|(kdp)|(train st.+moving)|(\|lc)|(penalty))"</v>
      </c>
      <c r="U16" s="9" t="str">
        <f>MID(B16,13,4)</f>
        <v>4029</v>
      </c>
      <c r="V16" s="31">
        <f>A16-utc_offset/24</f>
        <v>43073.860613425924</v>
      </c>
      <c r="W16" s="45" t="str">
        <f>DetSubdiv(C16)</f>
        <v>EC</v>
      </c>
      <c r="X16" s="228">
        <f>VALUE(LEFT(C16,LEN(C16)-3))</f>
        <v>170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drop","project_id":79,"tracker_id":40,"status_id":1,"priority_id":2,"assigned_to_id":338,"start_date":"2017-12-04","description":"","custom_fields":[{"id":1,"name":"Subdivision","value":"EC"},{"id":4,"name":"Milepost","value":"5.7801"},{"id":17,"name":"Train ID","value":"170-04"},{"id":16,"name":"Locomotive ID","value":"4029"},{"id":130,"name":"Impact","value":""},{"id":150,"name":"Time of Event (Mountain Time)","value":"13:39:17"},{"id":151,"name":"Denver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/c/Users/stu/AppData/Local/Temp/OnboardLogs/RTDC4029 --include="*4029*201712042*"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"%USERPROFILE%\AppData\Local\Temp\OnboardLogs"\RTDC4029\*4029*201712042* &gt;&gt; 2017-12-04-SliceDisagreementCheck.txt</v>
      </c>
      <c r="AE16" s="144" t="str">
        <f t="shared" si="1"/>
        <v>start /low /b %USERPROFILE%\Documents\GitHub\eaglep3\Utilities\DownloadLogsFromS3.py --loco 4029 --day 2017-12-04</v>
      </c>
      <c r="AF16" s="1"/>
    </row>
    <row r="17" spans="1:32" x14ac:dyDescent="0.25">
      <c r="A17" s="31">
        <v>43074.065740740742</v>
      </c>
      <c r="B17" s="30" t="s">
        <v>358</v>
      </c>
      <c r="C17" s="30" t="s">
        <v>673</v>
      </c>
      <c r="D17" s="30" t="s">
        <v>49</v>
      </c>
      <c r="E17" s="30" t="s">
        <v>457</v>
      </c>
      <c r="F17" s="42">
        <v>0</v>
      </c>
      <c r="G17" s="42">
        <v>118</v>
      </c>
      <c r="H17" s="42">
        <v>382</v>
      </c>
      <c r="I17" s="42">
        <v>271</v>
      </c>
      <c r="J17" s="30" t="s">
        <v>458</v>
      </c>
      <c r="K17" s="42">
        <v>1</v>
      </c>
      <c r="L17" s="131" t="s">
        <v>51</v>
      </c>
      <c r="M17" s="132">
        <f>CONVERT((I17-K17)/10000,"mi","ft")*IF(L17="Increasing Mileposts (1)",-1,1)</f>
        <v>142.56</v>
      </c>
      <c r="N17" s="133" t="str">
        <f>VLOOKUP(C17,'Trips&amp;Operators'!$C$1:$G$99911,5,FALSE)</f>
        <v>RESPASS AARON</v>
      </c>
      <c r="O17" s="174" t="s">
        <v>178</v>
      </c>
      <c r="P17" s="239"/>
      <c r="Q17" s="30"/>
      <c r="R17" s="81" t="str">
        <f>VLOOKUP(C17,'Train Runs'!$A$13:$AE$10179,31,0)</f>
        <v>aws s3 cp s3://rtdc.mdm.uploadarchive.raw/RTDC4007/ "%USERPROFILE%\AppData\Local\Temp\OnboardLogs"\RTDC4007\2017-12-05 --exclude "*" --recursive --include "*20171205*" &amp; "%USERPROFILE%\Documents\GitHub\mrs-test-scripts\Headless Mode &amp; Sideloading\WalkAndUnGZ.bat" "%USERPROFILE%\AppData\Local\Temp\OnboardLogs"\RTDC4007\2017-12-05 &amp; 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</v>
      </c>
      <c r="S17" s="84" t="str">
        <f>VLOOKUP(C17,'Train Runs'!$A$13:$AE$10179,22,0)</f>
        <v>https://d0f6bd738d7f1b3e5a7ca70fe4ff75f0.us-east-1.aws.found.io/app/kibana#/discover/Steve-Slow-Train-Analysis-(2080s-and-2083s)?_g=(refreshInterval:(display:Off,pause:!f,section:0,value:0),time:(from:'2017-12-04T23:49:24-0700',mode:absolute,to:'2017-12-05T02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/stypes="*4007*201712050*" /stext=" 08:.+((SYSTEM_STATE.+slice.+state.+changed )|(ment ac)|(multiple cpu faults)|(system.+state.+changed )|(\[timeout)|(PRM\|1\|D)|(kpr)|(kdp)|(train st.+moving)|(\|lc)|(penalty))"</v>
      </c>
      <c r="U17" s="9" t="str">
        <f>MID(B17,13,4)</f>
        <v>4007</v>
      </c>
      <c r="V17" s="31">
        <f>A17-utc_offset/24</f>
        <v>43074.357407407406</v>
      </c>
      <c r="W17" s="45" t="str">
        <f>DetSubdiv(C17)</f>
        <v>EC</v>
      </c>
      <c r="X17" s="228">
        <f>VALUE(LEFT(C17,LEN(C17)-3))</f>
        <v>242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{"issue":{"subject":"","project_id":79,"tracker_id":40,"status_id":1,"priority_id":2,"assigned_to_id":338,"start_date":"2017-12-05","description":"","custom_fields":[{"id":1,"name":"Subdivision","value":"EC"},{"id":4,"name":"Milepost","value":"0.0001"},{"id":17,"name":"Train ID","value":"242-04"},{"id":16,"name":"Locomotive ID","value":"4007"},{"id":130,"name":"Impact","value":""},{"id":150,"name":"Time of Event (Mountain Time)","value":"01:34:40"},{"id":151,"name":"Denver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/c/Users/stu/AppData/Local/Temp/OnboardLogs/RTDC4007 --include="*4007*201712050*"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"%USERPROFILE%\AppData\Local\Temp\OnboardLogs"\RTDC4007\*4007*201712050* &gt;&gt; 2017-12-04-SliceDisagreementCheck.txt</v>
      </c>
      <c r="AE17" s="144" t="str">
        <f t="shared" si="1"/>
        <v>start /low /b %USERPROFILE%\Documents\GitHub\eaglep3\Utilities\DownloadLogsFromS3.py --loco 4007 --day 2017-12-05</v>
      </c>
      <c r="AF17" s="1"/>
    </row>
    <row r="18" spans="1:32" x14ac:dyDescent="0.25">
      <c r="A18" s="31">
        <v>43073.722395833334</v>
      </c>
      <c r="B18" s="30" t="s">
        <v>473</v>
      </c>
      <c r="C18" s="30" t="s">
        <v>670</v>
      </c>
      <c r="D18" s="30" t="s">
        <v>95</v>
      </c>
      <c r="E18" s="30" t="s">
        <v>190</v>
      </c>
      <c r="F18" s="42">
        <v>600</v>
      </c>
      <c r="G18" s="42">
        <v>651</v>
      </c>
      <c r="H18" s="42">
        <v>30831</v>
      </c>
      <c r="I18" s="42">
        <v>28050</v>
      </c>
      <c r="J18" s="30" t="s">
        <v>191</v>
      </c>
      <c r="K18" s="42">
        <v>37577</v>
      </c>
      <c r="L18" s="131" t="s">
        <v>51</v>
      </c>
      <c r="M18" s="132">
        <f>CONVERT((I18-K18)/10000,"mi","ft")*IF(L18="Increasing Mileposts (1)",-1,1)</f>
        <v>-5030.2560000000003</v>
      </c>
      <c r="N18" s="133" t="str">
        <f>VLOOKUP(C18,'Trips&amp;Operators'!$C$1:$G$99911,5,FALSE)</f>
        <v>AUSTIN THOMPSON</v>
      </c>
      <c r="O18" s="174" t="s">
        <v>178</v>
      </c>
      <c r="P18" s="239"/>
      <c r="Q18" s="30"/>
      <c r="R18" s="81" t="str">
        <f>VLOOKUP(C18,'Train Runs'!$A$13:$AE$10179,31,0)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S18" s="84" t="str">
        <f>VLOOKUP(C18,'Train Runs'!$A$13:$AE$10179,22,0)</f>
        <v>https://d0f6bd738d7f1b3e5a7ca70fe4ff75f0.us-east-1.aws.found.io/app/kibana#/discover/Steve-Slow-Train-Analysis-(2080s-and-2083s)?_g=(refreshInterval:(display:Off,pause:!f,section:0,value:0),time:(from:'2017-12-04T16:11:31-0700',mode:absolute,to:'2017-12-04T18:29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/stypes="*4031*201712050*" /stext=" 00:.+((SYSTEM_STATE.+slice.+state.+changed )|(ment ac)|(multiple cpu faults)|(system.+state.+changed )|(\[timeout)|(PRM\|1\|D)|(kpr)|(kdp)|(train st.+moving)|(\|lc)|(penalty))"</v>
      </c>
      <c r="U18" s="9" t="str">
        <f>MID(B18,13,4)</f>
        <v>4031</v>
      </c>
      <c r="V18" s="31">
        <f>A18-utc_offset/24</f>
        <v>43074.014062499999</v>
      </c>
      <c r="W18" s="45" t="str">
        <f>DetSubdiv(C18)</f>
        <v>NW</v>
      </c>
      <c r="X18" s="228">
        <f>VALUE(LEFT(C18,LEN(C18)-3))</f>
        <v>832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{"issue":{"subject":"","project_id":79,"tracker_id":40,"status_id":1,"priority_id":2,"assigned_to_id":338,"start_date":"2017-12-04","description":"","custom_fields":[{"id":1,"name":"Subdivision","value":"NW"},{"id":4,"name":"Milepost","value":"3.7577"},{"id":17,"name":"Train ID","value":"832-04"},{"id":16,"name":"Locomotive ID","value":"4031"},{"id":130,"name":"Impact","value":""},{"id":150,"name":"Time of Event (Mountain Time)","value":"17:20:15"},{"id":151,"name":"Denver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/c/Users/stu/AppData/Local/Temp/OnboardLogs/RTDC4031 --include="*4031*201712050*"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"%USERPROFILE%\AppData\Local\Temp\OnboardLogs"\RTDC4031\*4031*201712050* &gt;&gt; 2017-12-04-SliceDisagreementCheck.txt</v>
      </c>
      <c r="AE18" s="144" t="str">
        <f t="shared" si="1"/>
        <v>start /low /b %USERPROFILE%\Documents\GitHub\eaglep3\Utilities\DownloadLogsFromS3.py --loco 4031 --day 2017-12-05</v>
      </c>
      <c r="AF18" s="1"/>
    </row>
    <row r="19" spans="1:32" x14ac:dyDescent="0.25">
      <c r="A19" s="31">
        <v>43073.30909722222</v>
      </c>
      <c r="B19" s="30" t="s">
        <v>473</v>
      </c>
      <c r="C19" s="30" t="s">
        <v>660</v>
      </c>
      <c r="D19" s="30" t="s">
        <v>49</v>
      </c>
      <c r="E19" s="30" t="s">
        <v>354</v>
      </c>
      <c r="F19" s="42">
        <v>0</v>
      </c>
      <c r="G19" s="42">
        <v>105</v>
      </c>
      <c r="H19" s="42">
        <v>4819</v>
      </c>
      <c r="I19" s="42">
        <v>4656</v>
      </c>
      <c r="J19" s="30" t="s">
        <v>355</v>
      </c>
      <c r="K19" s="42">
        <v>4798</v>
      </c>
      <c r="L19" s="131" t="s">
        <v>51</v>
      </c>
      <c r="M19" s="132">
        <f>CONVERT((I19-K19)/10000,"mi","ft")*IF(L19="Increasing Mileposts (1)",-1,1)</f>
        <v>-74.975999999999999</v>
      </c>
      <c r="N19" s="133" t="str">
        <f>VLOOKUP(C19,'Trips&amp;Operators'!$C$1:$G$99911,5,FALSE)</f>
        <v>MACDONALD THOMAS</v>
      </c>
      <c r="O19" s="174" t="s">
        <v>348</v>
      </c>
      <c r="P19" s="239" t="s">
        <v>1105</v>
      </c>
      <c r="Q19" s="30"/>
      <c r="R19" s="81" t="str">
        <f>VLOOKUP(C19,'Train Runs'!$A$13:$AE$10179,31,0)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S19" s="84" t="str">
        <f>VLOOKUP(C19,'Train Runs'!$A$13:$AE$10179,22,0)</f>
        <v>https://d0f6bd738d7f1b3e5a7ca70fe4ff75f0.us-east-1.aws.found.io/app/kibana#/discover/Steve-Slow-Train-Analysis-(2080s-and-2083s)?_g=(refreshInterval:(display:Off,pause:!f,section:0,value:0),time:(from:'2017-12-04T05:54:27-0700',mode:absolute,to:'2017-12-04T08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/stypes="*4031*201712041*" /stext=" 14:.+((SYSTEM_STATE.+slice.+state.+changed )|(ment ac)|(multiple cpu faults)|(system.+state.+changed )|(\[timeout)|(PRM\|1\|D)|(kpr)|(kdp)|(train st.+moving)|(\|lc)|(penalty))"</v>
      </c>
      <c r="U19" s="9" t="str">
        <f>MID(B19,13,4)</f>
        <v>4031</v>
      </c>
      <c r="V19" s="31">
        <f>A19-utc_offset/24</f>
        <v>43073.600763888884</v>
      </c>
      <c r="W19" s="45" t="str">
        <f>DetSubdiv(C19)</f>
        <v>NW</v>
      </c>
      <c r="X19" s="228">
        <f>VALUE(LEFT(C19,LEN(C19)-3))</f>
        <v>806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Wewatta","project_id":79,"tracker_id":40,"status_id":1,"priority_id":2,"assigned_to_id":338,"start_date":"2017-12-04","description":"","custom_fields":[{"id":1,"name":"Subdivision","value":"NW"},{"id":4,"name":"Milepost","value":"0.4798"},{"id":17,"name":"Train ID","value":"806-04"},{"id":16,"name":"Locomotive ID","value":"4031"},{"id":130,"name":"Impact","value":""},{"id":150,"name":"Time of Event (Mountain Time)","value":"07:25:06"},{"id":151,"name":"Denver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/c/Users/stu/AppData/Local/Temp/OnboardLogs/RTDC4031 --include="*4031*201712041*"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"%USERPROFILE%\AppData\Local\Temp\OnboardLogs"\RTDC4031\*4031*201712041* &gt;&gt; 2017-12-04-SliceDisagreementCheck.txt</v>
      </c>
      <c r="AE19" s="144" t="str">
        <f t="shared" si="1"/>
        <v>start /low /b %USERPROFILE%\Documents\GitHub\eaglep3\Utilities\DownloadLogsFromS3.py --loco 4031 --day 2017-12-04</v>
      </c>
      <c r="AF19" s="1"/>
    </row>
    <row r="20" spans="1:32" x14ac:dyDescent="0.25">
      <c r="A20" s="31">
        <v>43073.350069444445</v>
      </c>
      <c r="B20" s="30" t="s">
        <v>473</v>
      </c>
      <c r="C20" s="30" t="s">
        <v>662</v>
      </c>
      <c r="D20" s="30" t="s">
        <v>95</v>
      </c>
      <c r="E20" s="30" t="s">
        <v>354</v>
      </c>
      <c r="F20" s="42">
        <v>0</v>
      </c>
      <c r="G20" s="42">
        <v>103</v>
      </c>
      <c r="H20" s="42">
        <v>4781</v>
      </c>
      <c r="I20" s="42">
        <v>4630</v>
      </c>
      <c r="J20" s="30" t="s">
        <v>355</v>
      </c>
      <c r="K20" s="42">
        <v>4798</v>
      </c>
      <c r="L20" s="131" t="s">
        <v>51</v>
      </c>
      <c r="M20" s="132">
        <f>CONVERT((I20-K20)/10000,"mi","ft")*IF(L20="Increasing Mileposts (1)",-1,1)</f>
        <v>-88.703999999999994</v>
      </c>
      <c r="N20" s="133" t="str">
        <f>VLOOKUP(C20,'Trips&amp;Operators'!$C$1:$G$99911,5,FALSE)</f>
        <v>MACDONALD THOMAS</v>
      </c>
      <c r="O20" s="174" t="s">
        <v>348</v>
      </c>
      <c r="P20" s="239" t="s">
        <v>1105</v>
      </c>
      <c r="Q20" s="30"/>
      <c r="R20" s="81" t="str">
        <f>VLOOKUP(C20,'Train Runs'!$A$13:$AE$10179,31,0)</f>
        <v>aws s3 cp s3://rtdc.mdm.uploadarchive.raw/RTDC4031/ "%USERPROFILE%\AppData\Local\Temp\OnboardLogs"\RTDC4031\2017-12-04 --exclude "*" --recursive --include "*20171204*" &amp; "%USERPROFILE%\Documents\GitHub\mrs-test-scripts\Headless Mode &amp; Sideloading\WalkAndUnGZ.bat" "%USERPROFILE%\AppData\Local\Temp\OnboardLogs"\RTDC4031\2017-12-04 &amp; aws s3 cp s3://rtdc.mdm.uploadarchive.raw/RTDC4031/ "%USERPROFILE%\AppData\Local\Temp\OnboardLogs"\RTDC4031\2017-12-05 --exclude "*" --recursive --include "*20171205*" &amp; "%USERPROFILE%\Documents\GitHub\mrs-test-scripts\Headless Mode &amp; Sideloading\WalkAndUnGZ.bat" "%USERPROFILE%\AppData\Local\Temp\OnboardLogs"\RTDC4031\2017-12-05</v>
      </c>
      <c r="S20" s="84" t="str">
        <f>VLOOKUP(C20,'Train Runs'!$A$13:$AE$10179,22,0)</f>
        <v>https://d0f6bd738d7f1b3e5a7ca70fe4ff75f0.us-east-1.aws.found.io/app/kibana#/discover/Steve-Slow-Train-Analysis-(2080s-and-2083s)?_g=(refreshInterval:(display:Off,pause:!f,section:0,value:0),time:(from:'2017-12-04T06:55:36-0700',mode:absolute,to:'2017-12-04T09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/stypes="*4031*201712041*" /stext=" 15:.+((SYSTEM_STATE.+slice.+state.+changed )|(ment ac)|(multiple cpu faults)|(system.+state.+changed )|(\[timeout)|(PRM\|1\|D)|(kpr)|(kdp)|(train st.+moving)|(\|lc)|(penalty))"</v>
      </c>
      <c r="U20" s="9" t="str">
        <f>MID(B20,13,4)</f>
        <v>4031</v>
      </c>
      <c r="V20" s="31">
        <f>A20-utc_offset/24</f>
        <v>43073.641736111109</v>
      </c>
      <c r="W20" s="45" t="str">
        <f>DetSubdiv(C20)</f>
        <v>NW</v>
      </c>
      <c r="X20" s="228">
        <f>VALUE(LEFT(C20,LEN(C20)-3))</f>
        <v>810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Wewatta","project_id":79,"tracker_id":40,"status_id":1,"priority_id":2,"assigned_to_id":338,"start_date":"2017-12-04","description":"","custom_fields":[{"id":1,"name":"Subdivision","value":"NW"},{"id":4,"name":"Milepost","value":"0.4798"},{"id":17,"name":"Train ID","value":"810-04"},{"id":16,"name":"Locomotive ID","value":"4031"},{"id":130,"name":"Impact","value":""},{"id":150,"name":"Time of Event (Mountain Time)","value":"08:24:06"},{"id":151,"name":"Denver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/c/Users/stu/AppData/Local/Temp/OnboardLogs/RTDC4031 --include="*4031*201712041*"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"%USERPROFILE%\AppData\Local\Temp\OnboardLogs"\RTDC4031\*4031*201712041* &gt;&gt; 2017-12-04-SliceDisagreementCheck.txt</v>
      </c>
      <c r="AE20" s="144" t="str">
        <f t="shared" si="1"/>
        <v>start /low /b %USERPROFILE%\Documents\GitHub\eaglep3\Utilities\DownloadLogsFromS3.py --loco 4031 --day 2017-12-04</v>
      </c>
      <c r="AF20" s="1"/>
    </row>
    <row r="21" spans="1:32" x14ac:dyDescent="0.25">
      <c r="A21" s="31">
        <v>43073.786782407406</v>
      </c>
      <c r="B21" s="30" t="s">
        <v>351</v>
      </c>
      <c r="C21" s="30" t="s">
        <v>671</v>
      </c>
      <c r="D21" s="30" t="s">
        <v>49</v>
      </c>
      <c r="E21" s="30" t="s">
        <v>354</v>
      </c>
      <c r="F21" s="42">
        <v>0</v>
      </c>
      <c r="G21" s="42">
        <v>88</v>
      </c>
      <c r="H21" s="42">
        <v>4826</v>
      </c>
      <c r="I21" s="42">
        <v>4469</v>
      </c>
      <c r="J21" s="30" t="s">
        <v>355</v>
      </c>
      <c r="K21" s="42">
        <v>4798</v>
      </c>
      <c r="L21" s="131" t="s">
        <v>51</v>
      </c>
      <c r="M21" s="132">
        <f>CONVERT((I21-K21)/10000,"mi","ft")*IF(L21="Increasing Mileposts (1)",-1,1)</f>
        <v>-173.71199999999999</v>
      </c>
      <c r="N21" s="133" t="str">
        <f>VLOOKUP(C21,'Trips&amp;Operators'!$C$1:$G$99911,5,FALSE)</f>
        <v>KILLION DAVID</v>
      </c>
      <c r="O21" s="174" t="s">
        <v>348</v>
      </c>
      <c r="P21" s="239" t="s">
        <v>1105</v>
      </c>
      <c r="Q21" s="30"/>
      <c r="R21" s="81" t="str">
        <f>VLOOKUP(C21,'Train Runs'!$A$13:$AE$10179,31,0)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S21" s="84" t="str">
        <f>VLOOKUP(C21,'Train Runs'!$A$13:$AE$10179,22,0)</f>
        <v>https://d0f6bd738d7f1b3e5a7ca70fe4ff75f0.us-east-1.aws.found.io/app/kibana#/discover/Steve-Slow-Train-Analysis-(2080s-and-2083s)?_g=(refreshInterval:(display:Off,pause:!f,section:0,value:0),time:(from:'2017-12-04T17:26:32-0700',mode:absolute,to:'2017-12-04T19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/stypes="*4055*201712050*" /stext=" 01:.+((SYSTEM_STATE.+slice.+state.+changed )|(ment ac)|(multiple cpu faults)|(system.+state.+changed )|(\[timeout)|(PRM\|1\|D)|(kpr)|(kdp)|(train st.+moving)|(\|lc)|(penalty))"</v>
      </c>
      <c r="U21" s="9" t="str">
        <f>MID(B21,13,4)</f>
        <v>4055</v>
      </c>
      <c r="V21" s="31">
        <f>A21-utc_offset/24</f>
        <v>43074.07844907407</v>
      </c>
      <c r="W21" s="45" t="str">
        <f>DetSubdiv(C21)</f>
        <v>NW</v>
      </c>
      <c r="X21" s="228">
        <f>VALUE(LEFT(C21,LEN(C21)-3))</f>
        <v>838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Wewatta","project_id":79,"tracker_id":40,"status_id":1,"priority_id":2,"assigned_to_id":338,"start_date":"2017-12-04","description":"","custom_fields":[{"id":1,"name":"Subdivision","value":"NW"},{"id":4,"name":"Milepost","value":"0.4798"},{"id":17,"name":"Train ID","value":"838-04"},{"id":16,"name":"Locomotive ID","value":"4055"},{"id":130,"name":"Impact","value":""},{"id":150,"name":"Time of Event (Mountain Time)","value":"18:52:58"},{"id":151,"name":"Denver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/c/Users/stu/AppData/Local/Temp/OnboardLogs/RTDC4055 --include="*4055*201712050*"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"%USERPROFILE%\AppData\Local\Temp\OnboardLogs"\RTDC4055\*4055*201712050* &gt;&gt; 2017-12-04-SliceDisagreementCheck.txt</v>
      </c>
      <c r="AE21" s="144" t="str">
        <f t="shared" si="1"/>
        <v>start /low /b %USERPROFILE%\Documents\GitHub\eaglep3\Utilities\DownloadLogsFromS3.py --loco 4055 --day 2017-12-05</v>
      </c>
      <c r="AF21" s="1"/>
    </row>
    <row r="22" spans="1:32" x14ac:dyDescent="0.25">
      <c r="A22" s="31">
        <v>43073.787395833337</v>
      </c>
      <c r="B22" s="30" t="s">
        <v>351</v>
      </c>
      <c r="C22" s="30" t="s">
        <v>671</v>
      </c>
      <c r="D22" s="30" t="s">
        <v>95</v>
      </c>
      <c r="E22" s="30" t="s">
        <v>354</v>
      </c>
      <c r="F22" s="42">
        <v>0</v>
      </c>
      <c r="G22" s="42">
        <v>2</v>
      </c>
      <c r="H22" s="42">
        <v>4490</v>
      </c>
      <c r="I22" s="42">
        <v>4486</v>
      </c>
      <c r="J22" s="30" t="s">
        <v>355</v>
      </c>
      <c r="K22" s="42">
        <v>4798</v>
      </c>
      <c r="L22" s="131" t="s">
        <v>51</v>
      </c>
      <c r="M22" s="132">
        <f>CONVERT((I22-K22)/10000,"mi","ft")*IF(L22="Increasing Mileposts (1)",-1,1)</f>
        <v>-164.73599999999999</v>
      </c>
      <c r="N22" s="133" t="str">
        <f>VLOOKUP(C22,'Trips&amp;Operators'!$C$1:$G$99911,5,FALSE)</f>
        <v>KILLION DAVID</v>
      </c>
      <c r="O22" s="174" t="s">
        <v>348</v>
      </c>
      <c r="P22" s="239" t="s">
        <v>1105</v>
      </c>
      <c r="Q22" s="30"/>
      <c r="R22" s="81" t="str">
        <f>VLOOKUP(C22,'Train Runs'!$A$13:$AE$10179,31,0)</f>
        <v>aws s3 cp s3://rtdc.mdm.uploadarchive.raw/RTDC4055/ "%USERPROFILE%\AppData\Local\Temp\OnboardLogs"\RTDC4055\2017-12-04 --exclude "*" --recursive --include "*20171204*" &amp; "%USERPROFILE%\Documents\GitHub\mrs-test-scripts\Headless Mode &amp; Sideloading\WalkAndUnGZ.bat" "%USERPROFILE%\AppData\Local\Temp\OnboardLogs"\RTDC4055\2017-12-04 &amp; 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</v>
      </c>
      <c r="S22" s="84" t="str">
        <f>VLOOKUP(C22,'Train Runs'!$A$13:$AE$10179,22,0)</f>
        <v>https://d0f6bd738d7f1b3e5a7ca70fe4ff75f0.us-east-1.aws.found.io/app/kibana#/discover/Steve-Slow-Train-Analysis-(2080s-and-2083s)?_g=(refreshInterval:(display:Off,pause:!f,section:0,value:0),time:(from:'2017-12-04T17:26:32-0700',mode:absolute,to:'2017-12-04T19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/stypes="*4055*201712050*" /stext=" 01:.+((SYSTEM_STATE.+slice.+state.+changed )|(ment ac)|(multiple cpu faults)|(system.+state.+changed )|(\[timeout)|(PRM\|1\|D)|(kpr)|(kdp)|(train st.+moving)|(\|lc)|(penalty))"</v>
      </c>
      <c r="U22" s="9" t="str">
        <f>MID(B22,13,4)</f>
        <v>4055</v>
      </c>
      <c r="V22" s="31">
        <f>A22-utc_offset/24</f>
        <v>43074.079062500001</v>
      </c>
      <c r="W22" s="45" t="str">
        <f>DetSubdiv(C22)</f>
        <v>NW</v>
      </c>
      <c r="X22" s="228">
        <f>VALUE(LEFT(C22,LEN(C22)-3))</f>
        <v>838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Wewatta","project_id":79,"tracker_id":40,"status_id":1,"priority_id":2,"assigned_to_id":338,"start_date":"2017-12-04","description":"","custom_fields":[{"id":1,"name":"Subdivision","value":"NW"},{"id":4,"name":"Milepost","value":"0.4798"},{"id":17,"name":"Train ID","value":"838-04"},{"id":16,"name":"Locomotive ID","value":"4055"},{"id":130,"name":"Impact","value":""},{"id":150,"name":"Time of Event (Mountain Time)","value":"18:53:51"},{"id":151,"name":"Denver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/c/Users/stu/AppData/Local/Temp/OnboardLogs/RTDC4055 --include="*4055*201712050*"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"%USERPROFILE%\AppData\Local\Temp\OnboardLogs"\RTDC4055\*4055*201712050* &gt;&gt; 2017-12-04-SliceDisagreementCheck.txt</v>
      </c>
      <c r="AE22" s="144" t="str">
        <f t="shared" si="1"/>
        <v>start /low /b %USERPROFILE%\Documents\GitHub\eaglep3\Utilities\DownloadLogsFromS3.py --loco 4055 --day 2017-12-05</v>
      </c>
      <c r="AF22" s="1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</sheetData>
  <autoFilter ref="A6:AC15">
    <sortState ref="A7:AC22">
      <sortCondition ref="W7:W22"/>
      <sortCondition ref="E7:E22"/>
      <sortCondition ref="K7:K22"/>
      <sortCondition ref="F7:F22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4:O1048576 O7:O22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1" t="str">
        <f>"Trips that did not appear in PTC Data "&amp;TEXT(Variables!$A$2,"YYYY-mm-dd")</f>
        <v>Trips that did not appear in PTC Data 2017-12-04</v>
      </c>
      <c r="C1" s="251"/>
      <c r="D1" s="251"/>
      <c r="E1" s="251"/>
      <c r="F1" s="251"/>
      <c r="I1" s="187"/>
    </row>
    <row r="2" spans="1:10" s="23" customFormat="1" ht="45" x14ac:dyDescent="0.25">
      <c r="A2" s="221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849</v>
      </c>
      <c r="B3" s="42" t="str">
        <f>A3&amp;"-"&amp;IF(DAY(Variables!$A$2)&lt;10,0,"")&amp;DAY(Variables!$A$2)</f>
        <v>849-04</v>
      </c>
      <c r="C3" s="134"/>
      <c r="D3" s="222" t="str">
        <f>VLOOKUP(B3,'Trips&amp;Operators'!$C$1:$H$1072,6,FALSE)</f>
        <v>4056</v>
      </c>
      <c r="E3" s="30"/>
      <c r="F3" s="21" t="str">
        <f>VLOOKUP(B3,'Trips&amp;Operators'!$C$2:$E$9912,3,FALSE)</f>
        <v>AUSTIN</v>
      </c>
      <c r="G3" s="21" t="str">
        <f>VLOOKUP(B3,'Trips&amp;Operators'!$C$1:$F$9912,4,FALSE)</f>
        <v>THOMPSON</v>
      </c>
      <c r="H3" s="29" t="str">
        <f>VLOOKUP(B3,'Trips&amp;Operators'!$C$1:$H$9912,5,FALSE)</f>
        <v>AUSTIN THOMPSON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22849-04%22)),sort:!(Time.ISO8601,asc))</v>
      </c>
      <c r="J3" s="30" t="str">
        <f>VLOOKUP(B3,'Train Runs'!$A$13:$A$100176,1,FALSE)</f>
        <v>849-04</v>
      </c>
    </row>
    <row r="4" spans="1:10" x14ac:dyDescent="0.25">
      <c r="A4" s="196"/>
      <c r="B4" s="42" t="str">
        <f>A4&amp;"-"&amp;IF(DAY(Variables!$A$2)&lt;10,0,"")&amp;DAY(Variables!$A$2)</f>
        <v>-04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Runs'!$A$13:$A$100176,1,FALSE)</f>
        <v>#N/A</v>
      </c>
    </row>
    <row r="5" spans="1:10" x14ac:dyDescent="0.25">
      <c r="A5" s="196"/>
      <c r="B5" s="42" t="str">
        <f>A5&amp;"-"&amp;IF(DAY(Variables!$A$2)&lt;10,0,"")&amp;DAY(Variables!$A$2)</f>
        <v>-04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Runs'!$A$13:$A$100176,1,FALSE)</f>
        <v>#N/A</v>
      </c>
    </row>
    <row r="6" spans="1:10" x14ac:dyDescent="0.25">
      <c r="A6" s="196"/>
      <c r="B6" s="42" t="str">
        <f>A6&amp;"-"&amp;IF(DAY(Variables!$A$2)&lt;10,0,"")&amp;DAY(Variables!$A$2)</f>
        <v>-04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Runs'!$A$13:$A$100176,1,FALSE)</f>
        <v>#N/A</v>
      </c>
    </row>
    <row r="7" spans="1:10" x14ac:dyDescent="0.25">
      <c r="A7" s="196"/>
      <c r="B7" s="42" t="str">
        <f>A7&amp;"-"&amp;IF(DAY(Variables!$A$2)&lt;10,0,"")&amp;DAY(Variables!$A$2)</f>
        <v>-04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Runs'!$A$13:$A$100176,1,FALSE)</f>
        <v>#N/A</v>
      </c>
    </row>
    <row r="8" spans="1:10" x14ac:dyDescent="0.25">
      <c r="A8" s="196"/>
      <c r="B8" s="42" t="str">
        <f>A8&amp;"-"&amp;IF(DAY(Variables!$A$2)&lt;10,0,"")&amp;DAY(Variables!$A$2)</f>
        <v>-04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Runs'!$A$13:$A$100176,1,FALSE)</f>
        <v>#N/A</v>
      </c>
    </row>
    <row r="9" spans="1:10" x14ac:dyDescent="0.25">
      <c r="A9" s="196"/>
      <c r="B9" s="42" t="str">
        <f>A9&amp;"-"&amp;IF(DAY(Variables!$A$2)&lt;10,0,"")&amp;DAY(Variables!$A$2)</f>
        <v>-04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Runs'!$A$13:$A$100176,1,FALSE)</f>
        <v>#N/A</v>
      </c>
    </row>
    <row r="10" spans="1:10" x14ac:dyDescent="0.25">
      <c r="A10" s="196"/>
      <c r="B10" s="42" t="str">
        <f>A10&amp;"-"&amp;IF(DAY(Variables!$A$2)&lt;10,0,"")&amp;DAY(Variables!$A$2)</f>
        <v>-04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Runs'!$A$13:$A$100176,1,FALSE)</f>
        <v>#N/A</v>
      </c>
    </row>
    <row r="11" spans="1:10" x14ac:dyDescent="0.25">
      <c r="A11" s="196"/>
      <c r="B11" s="42" t="str">
        <f>A11&amp;"-"&amp;IF(DAY(Variables!$A$2)&lt;10,0,"")&amp;DAY(Variables!$A$2)</f>
        <v>-04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Runs'!$A$13:$A$100176,1,FALSE)</f>
        <v>#N/A</v>
      </c>
    </row>
    <row r="12" spans="1:10" x14ac:dyDescent="0.25">
      <c r="A12" s="196"/>
      <c r="B12" s="42" t="str">
        <f>A12&amp;"-"&amp;IF(DAY(Variables!$A$2)&lt;10,0,"")&amp;DAY(Variables!$A$2)</f>
        <v>-04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Runs'!$A$13:$A$100176,1,FALSE)</f>
        <v>#N/A</v>
      </c>
    </row>
    <row r="13" spans="1:10" x14ac:dyDescent="0.25">
      <c r="A13" s="196"/>
      <c r="B13" s="42" t="str">
        <f>A13&amp;"-"&amp;IF(DAY(Variables!$A$2)&lt;10,0,"")&amp;DAY(Variables!$A$2)</f>
        <v>-04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Runs'!$A$13:$A$100176,1,FALSE)</f>
        <v>#N/A</v>
      </c>
    </row>
    <row r="14" spans="1:10" x14ac:dyDescent="0.25">
      <c r="A14" s="196"/>
      <c r="B14" s="42" t="str">
        <f>A14&amp;"-"&amp;IF(DAY(Variables!$A$2)&lt;10,0,"")&amp;DAY(Variables!$A$2)</f>
        <v>-04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Runs'!$A$13:$A$100176,1,FALSE)</f>
        <v>#N/A</v>
      </c>
    </row>
    <row r="15" spans="1:10" x14ac:dyDescent="0.25">
      <c r="A15" s="196"/>
      <c r="B15" s="42" t="str">
        <f>A15&amp;"-"&amp;IF(DAY(Variables!$A$2)&lt;10,0,"")&amp;DAY(Variables!$A$2)</f>
        <v>-04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Runs'!$A$13:$A$100176,1,FALSE)</f>
        <v>#N/A</v>
      </c>
    </row>
    <row r="16" spans="1:10" x14ac:dyDescent="0.25">
      <c r="A16" s="196"/>
      <c r="B16" s="42" t="str">
        <f>A16&amp;"-"&amp;IF(DAY(Variables!$A$2)&lt;10,0,"")&amp;DAY(Variables!$A$2)</f>
        <v>-04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Runs'!$A$13:$A$100176,1,FALSE)</f>
        <v>#N/A</v>
      </c>
    </row>
    <row r="17" spans="1:10" x14ac:dyDescent="0.25">
      <c r="A17" s="196"/>
      <c r="B17" s="42" t="str">
        <f>A17&amp;"-"&amp;IF(DAY(Variables!$A$2)&lt;10,0,"")&amp;DAY(Variables!$A$2)</f>
        <v>-04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Runs'!$A$13:$A$100176,1,FALSE)</f>
        <v>#N/A</v>
      </c>
    </row>
    <row r="18" spans="1:10" x14ac:dyDescent="0.25">
      <c r="A18" s="196"/>
      <c r="B18" s="42" t="str">
        <f>A18&amp;"-"&amp;IF(DAY(Variables!$A$2)&lt;10,0,"")&amp;DAY(Variables!$A$2)</f>
        <v>-04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Runs'!$A$13:$A$100176,1,FALSE)</f>
        <v>#N/A</v>
      </c>
    </row>
    <row r="19" spans="1:10" x14ac:dyDescent="0.25">
      <c r="A19" s="196"/>
      <c r="B19" s="42"/>
      <c r="C19" s="134"/>
      <c r="D19" s="152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4"/>
      <c r="D20" s="152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4"/>
      <c r="D21" s="152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4"/>
      <c r="D22" s="152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4"/>
      <c r="D23" s="152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4"/>
      <c r="D24" s="152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4"/>
      <c r="D25" s="152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4"/>
      <c r="D26" s="152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4"/>
      <c r="D27" s="152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4"/>
      <c r="D28" s="152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4"/>
      <c r="D29" s="152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4"/>
      <c r="D30" s="152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4"/>
      <c r="D31" s="152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4"/>
      <c r="D32" s="152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4"/>
      <c r="D33" s="152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4"/>
      <c r="D34" s="152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4"/>
      <c r="D35" s="152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4"/>
      <c r="D36" s="152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4"/>
      <c r="D37" s="152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4"/>
      <c r="D38" s="152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4"/>
      <c r="D39" s="152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4"/>
      <c r="D40" s="152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4"/>
      <c r="D41" s="152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4"/>
      <c r="D42" s="152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4"/>
      <c r="D43" s="152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4"/>
      <c r="D44" s="152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4"/>
      <c r="D45" s="152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4"/>
      <c r="D46" s="152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4"/>
      <c r="D47" s="152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4"/>
      <c r="D48" s="152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4"/>
      <c r="D49" s="152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4"/>
      <c r="D50" s="152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4"/>
      <c r="D51" s="152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4"/>
      <c r="D52" s="152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4"/>
      <c r="D53" s="152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4"/>
      <c r="D54" s="152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4"/>
      <c r="D55" s="152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4"/>
      <c r="D56" s="152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4"/>
      <c r="D57" s="152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4"/>
      <c r="D58" s="152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4"/>
      <c r="D59" s="152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4"/>
      <c r="D60" s="152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4"/>
      <c r="D61" s="152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4"/>
      <c r="D62" s="152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4"/>
      <c r="D63" s="152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4"/>
      <c r="D64" s="152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4"/>
      <c r="D65" s="152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4"/>
      <c r="D66" s="152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4"/>
      <c r="D67" s="152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4"/>
      <c r="D68" s="152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4"/>
      <c r="D69" s="152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4"/>
      <c r="D70" s="152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4"/>
      <c r="D71" s="152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4"/>
      <c r="D72" s="152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4"/>
      <c r="D73" s="152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4"/>
      <c r="D74" s="152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43073.047719907408</v>
      </c>
      <c r="B2" s="20" t="s">
        <v>366</v>
      </c>
      <c r="C2" s="20" t="s">
        <v>584</v>
      </c>
      <c r="D2" s="137">
        <v>890000</v>
      </c>
      <c r="E2" s="20" t="s">
        <v>344</v>
      </c>
      <c r="F2" s="20" t="s">
        <v>345</v>
      </c>
      <c r="G2" s="8" t="str">
        <f>E2&amp;" "&amp;F2</f>
        <v>LOZA FIDEL</v>
      </c>
      <c r="H2" t="str">
        <f>MID(B2,13,4)</f>
        <v>4012</v>
      </c>
    </row>
    <row r="3" spans="1:8" x14ac:dyDescent="0.25">
      <c r="A3" s="8">
        <v>43073.054652777777</v>
      </c>
      <c r="B3" s="20" t="s">
        <v>519</v>
      </c>
      <c r="C3" s="20" t="s">
        <v>585</v>
      </c>
      <c r="D3" s="137">
        <v>3220000</v>
      </c>
      <c r="E3" s="20" t="s">
        <v>370</v>
      </c>
      <c r="F3" s="20" t="s">
        <v>371</v>
      </c>
      <c r="G3" s="8" t="str">
        <f t="shared" ref="G3:G66" si="0">E3&amp;" "&amp;F3</f>
        <v>RESPASS AARON</v>
      </c>
      <c r="H3" s="20" t="str">
        <f t="shared" ref="H3:H66" si="1">MID(B3,13,4)</f>
        <v>4053</v>
      </c>
    </row>
    <row r="4" spans="1:8" x14ac:dyDescent="0.25">
      <c r="A4" s="8">
        <v>43073.066053240742</v>
      </c>
      <c r="B4" s="20" t="s">
        <v>427</v>
      </c>
      <c r="C4" s="20" t="s">
        <v>586</v>
      </c>
      <c r="D4" s="137">
        <v>3340000</v>
      </c>
      <c r="E4" s="20" t="s">
        <v>409</v>
      </c>
      <c r="F4" s="20" t="s">
        <v>410</v>
      </c>
      <c r="G4" s="8" t="str">
        <f t="shared" si="0"/>
        <v>ELBAUM MIKE</v>
      </c>
      <c r="H4" s="20" t="str">
        <f t="shared" si="1"/>
        <v>4044</v>
      </c>
    </row>
    <row r="5" spans="1:8" x14ac:dyDescent="0.25">
      <c r="A5" s="8">
        <v>43073.08797453704</v>
      </c>
      <c r="B5" s="20" t="s">
        <v>524</v>
      </c>
      <c r="C5" s="20" t="s">
        <v>587</v>
      </c>
      <c r="D5" s="137">
        <v>3220000</v>
      </c>
      <c r="E5" s="20" t="s">
        <v>370</v>
      </c>
      <c r="F5" s="20" t="s">
        <v>371</v>
      </c>
      <c r="G5" s="8" t="str">
        <f t="shared" si="0"/>
        <v>RESPASS AARON</v>
      </c>
      <c r="H5" s="20" t="str">
        <f t="shared" si="1"/>
        <v>4054</v>
      </c>
    </row>
    <row r="6" spans="1:8" x14ac:dyDescent="0.25">
      <c r="A6" s="8">
        <v>43073.115868055553</v>
      </c>
      <c r="B6" s="20" t="s">
        <v>674</v>
      </c>
      <c r="C6" s="20" t="s">
        <v>675</v>
      </c>
      <c r="D6" s="137">
        <v>3120000</v>
      </c>
      <c r="E6" s="20" t="s">
        <v>565</v>
      </c>
      <c r="F6" s="20" t="s">
        <v>566</v>
      </c>
      <c r="G6" s="8" t="str">
        <f t="shared" si="0"/>
        <v>THOMPSON LESTER</v>
      </c>
      <c r="H6" s="20" t="str">
        <f t="shared" si="1"/>
        <v>4019</v>
      </c>
    </row>
    <row r="7" spans="1:8" x14ac:dyDescent="0.25">
      <c r="A7" s="8">
        <v>43073.118993055556</v>
      </c>
      <c r="B7" s="20" t="s">
        <v>674</v>
      </c>
      <c r="C7" s="20" t="s">
        <v>675</v>
      </c>
      <c r="D7" s="137">
        <v>3120000</v>
      </c>
      <c r="E7" s="20" t="s">
        <v>565</v>
      </c>
      <c r="F7" s="20" t="s">
        <v>566</v>
      </c>
      <c r="G7" s="8" t="str">
        <f t="shared" si="0"/>
        <v>THOMPSON LESTER</v>
      </c>
      <c r="H7" s="20" t="str">
        <f t="shared" si="1"/>
        <v>4019</v>
      </c>
    </row>
    <row r="8" spans="1:8" x14ac:dyDescent="0.25">
      <c r="A8" s="8">
        <v>43073.127847222226</v>
      </c>
      <c r="B8" s="20" t="s">
        <v>657</v>
      </c>
      <c r="C8" s="20" t="s">
        <v>676</v>
      </c>
      <c r="D8" s="137">
        <v>1090000</v>
      </c>
      <c r="E8" s="20" t="s">
        <v>677</v>
      </c>
      <c r="F8" s="20" t="s">
        <v>352</v>
      </c>
      <c r="G8" s="8" t="str">
        <f t="shared" si="0"/>
        <v>SPECTOR MICHAEL</v>
      </c>
      <c r="H8" s="20" t="str">
        <f t="shared" si="1"/>
        <v>4020</v>
      </c>
    </row>
    <row r="9" spans="1:8" ht="15.75" thickBot="1" x14ac:dyDescent="0.3">
      <c r="A9" s="24">
        <v>43073.131319444445</v>
      </c>
      <c r="B9" s="20" t="s">
        <v>379</v>
      </c>
      <c r="C9" s="20" t="s">
        <v>678</v>
      </c>
      <c r="D9" s="137">
        <v>3120000</v>
      </c>
      <c r="E9" s="20" t="s">
        <v>565</v>
      </c>
      <c r="F9" s="20" t="s">
        <v>566</v>
      </c>
      <c r="G9" s="8" t="str">
        <f t="shared" si="0"/>
        <v>THOMPSON LESTER</v>
      </c>
      <c r="H9" s="20" t="str">
        <f t="shared" si="1"/>
        <v>4030</v>
      </c>
    </row>
    <row r="10" spans="1:8" x14ac:dyDescent="0.25">
      <c r="A10" s="8">
        <v>43073.140034722222</v>
      </c>
      <c r="B10" s="20" t="s">
        <v>674</v>
      </c>
      <c r="C10" s="20" t="s">
        <v>679</v>
      </c>
      <c r="D10" s="137">
        <v>1090000</v>
      </c>
      <c r="E10" s="20" t="s">
        <v>677</v>
      </c>
      <c r="F10" s="20" t="s">
        <v>352</v>
      </c>
      <c r="G10" s="8" t="str">
        <f t="shared" si="0"/>
        <v>SPECTOR MICHAEL</v>
      </c>
      <c r="H10" s="20" t="str">
        <f t="shared" si="1"/>
        <v>4019</v>
      </c>
    </row>
    <row r="11" spans="1:8" x14ac:dyDescent="0.25">
      <c r="A11" s="8">
        <v>43073.141493055555</v>
      </c>
      <c r="B11" s="20" t="s">
        <v>430</v>
      </c>
      <c r="C11" s="20" t="s">
        <v>680</v>
      </c>
      <c r="D11" s="137">
        <v>3680000</v>
      </c>
      <c r="E11" s="20" t="s">
        <v>681</v>
      </c>
      <c r="F11" s="20" t="s">
        <v>682</v>
      </c>
      <c r="G11" s="8" t="str">
        <f t="shared" si="0"/>
        <v>HAMMOND JUSTYNN</v>
      </c>
      <c r="H11" s="20" t="str">
        <f t="shared" si="1"/>
        <v>4021</v>
      </c>
    </row>
    <row r="12" spans="1:8" x14ac:dyDescent="0.25">
      <c r="A12" s="8">
        <v>43073.152581018519</v>
      </c>
      <c r="B12" s="20" t="s">
        <v>374</v>
      </c>
      <c r="C12" s="20" t="s">
        <v>683</v>
      </c>
      <c r="D12" s="137">
        <v>3680000</v>
      </c>
      <c r="E12" s="20" t="s">
        <v>681</v>
      </c>
      <c r="F12" s="20" t="s">
        <v>682</v>
      </c>
      <c r="G12" s="8" t="str">
        <f t="shared" si="0"/>
        <v>HAMMOND JUSTYNN</v>
      </c>
      <c r="H12" s="20" t="str">
        <f t="shared" si="1"/>
        <v>4022</v>
      </c>
    </row>
    <row r="13" spans="1:8" x14ac:dyDescent="0.25">
      <c r="A13" s="8">
        <v>43073.159930555557</v>
      </c>
      <c r="B13" s="20" t="s">
        <v>563</v>
      </c>
      <c r="C13" s="20" t="s">
        <v>684</v>
      </c>
      <c r="D13" s="137">
        <v>1830000</v>
      </c>
      <c r="E13" s="20" t="s">
        <v>346</v>
      </c>
      <c r="F13" s="20" t="s">
        <v>347</v>
      </c>
      <c r="G13" s="8" t="str">
        <f t="shared" si="0"/>
        <v>YORK EDGAR</v>
      </c>
      <c r="H13" s="20" t="str">
        <f t="shared" si="1"/>
        <v>4009</v>
      </c>
    </row>
    <row r="14" spans="1:8" x14ac:dyDescent="0.25">
      <c r="A14" s="8">
        <v>43073.167719907404</v>
      </c>
      <c r="B14" s="20" t="s">
        <v>517</v>
      </c>
      <c r="C14" s="20" t="s">
        <v>685</v>
      </c>
      <c r="D14" s="137">
        <v>2370000</v>
      </c>
      <c r="E14" s="20" t="s">
        <v>527</v>
      </c>
      <c r="F14" s="20" t="s">
        <v>528</v>
      </c>
      <c r="G14" s="8" t="str">
        <f t="shared" si="0"/>
        <v>DELGADO DIANAH</v>
      </c>
      <c r="H14" s="20" t="str">
        <f t="shared" si="1"/>
        <v>4041</v>
      </c>
    </row>
    <row r="15" spans="1:8" x14ac:dyDescent="0.25">
      <c r="A15" s="8">
        <v>43073.168032407404</v>
      </c>
      <c r="B15" s="20" t="s">
        <v>564</v>
      </c>
      <c r="C15" s="20" t="s">
        <v>686</v>
      </c>
      <c r="D15" s="137">
        <v>1830000</v>
      </c>
      <c r="E15" s="20" t="s">
        <v>346</v>
      </c>
      <c r="F15" s="20" t="s">
        <v>347</v>
      </c>
      <c r="G15" s="8" t="str">
        <f t="shared" si="0"/>
        <v>YORK EDGAR</v>
      </c>
      <c r="H15" s="20" t="str">
        <f t="shared" si="1"/>
        <v>4010</v>
      </c>
    </row>
    <row r="16" spans="1:8" x14ac:dyDescent="0.25">
      <c r="A16" s="8">
        <v>43073.173877314817</v>
      </c>
      <c r="B16" s="20" t="s">
        <v>376</v>
      </c>
      <c r="C16" s="20" t="s">
        <v>687</v>
      </c>
      <c r="D16" s="137">
        <v>3120000</v>
      </c>
      <c r="E16" s="20" t="s">
        <v>565</v>
      </c>
      <c r="F16" s="20" t="s">
        <v>566</v>
      </c>
      <c r="G16" s="8" t="str">
        <f t="shared" si="0"/>
        <v>THOMPSON LESTER</v>
      </c>
      <c r="H16" s="20" t="str">
        <f t="shared" si="1"/>
        <v>4029</v>
      </c>
    </row>
    <row r="17" spans="1:8" x14ac:dyDescent="0.25">
      <c r="A17" s="8">
        <v>43073.182210648149</v>
      </c>
      <c r="B17" s="20" t="s">
        <v>688</v>
      </c>
      <c r="C17" s="20" t="s">
        <v>689</v>
      </c>
      <c r="D17" s="137">
        <v>2010000</v>
      </c>
      <c r="E17" s="20" t="s">
        <v>521</v>
      </c>
      <c r="F17" s="20" t="s">
        <v>522</v>
      </c>
      <c r="G17" s="8" t="str">
        <f t="shared" si="0"/>
        <v>MAELZER KURT</v>
      </c>
      <c r="H17" s="20" t="str">
        <f t="shared" si="1"/>
        <v>4057</v>
      </c>
    </row>
    <row r="18" spans="1:8" x14ac:dyDescent="0.25">
      <c r="A18" s="8">
        <v>43073.182870370372</v>
      </c>
      <c r="B18" s="20" t="s">
        <v>523</v>
      </c>
      <c r="C18" s="20" t="s">
        <v>690</v>
      </c>
      <c r="D18" s="137">
        <v>2370000</v>
      </c>
      <c r="E18" s="20" t="s">
        <v>527</v>
      </c>
      <c r="F18" s="20" t="s">
        <v>528</v>
      </c>
      <c r="G18" s="8" t="str">
        <f t="shared" si="0"/>
        <v>DELGADO DIANAH</v>
      </c>
      <c r="H18" s="20" t="str">
        <f t="shared" si="1"/>
        <v>4042</v>
      </c>
    </row>
    <row r="19" spans="1:8" x14ac:dyDescent="0.25">
      <c r="A19" s="8">
        <v>43073.19258101852</v>
      </c>
      <c r="B19" s="20" t="s">
        <v>430</v>
      </c>
      <c r="C19" s="20" t="s">
        <v>691</v>
      </c>
      <c r="D19" s="137">
        <v>3680000</v>
      </c>
      <c r="E19" s="20" t="s">
        <v>681</v>
      </c>
      <c r="F19" s="20" t="s">
        <v>682</v>
      </c>
      <c r="G19" s="8" t="str">
        <f t="shared" si="0"/>
        <v>HAMMOND JUSTYNN</v>
      </c>
      <c r="H19" s="20" t="str">
        <f t="shared" si="1"/>
        <v>4021</v>
      </c>
    </row>
    <row r="20" spans="1:8" x14ac:dyDescent="0.25">
      <c r="A20" s="8">
        <v>43073.193090277775</v>
      </c>
      <c r="B20" s="20" t="s">
        <v>460</v>
      </c>
      <c r="C20" s="20" t="s">
        <v>692</v>
      </c>
      <c r="D20" s="137">
        <v>2010000</v>
      </c>
      <c r="E20" s="20" t="s">
        <v>521</v>
      </c>
      <c r="F20" s="20" t="s">
        <v>522</v>
      </c>
      <c r="G20" s="8" t="str">
        <f t="shared" si="0"/>
        <v>MAELZER KURT</v>
      </c>
      <c r="H20" s="20" t="str">
        <f t="shared" si="1"/>
        <v>4058</v>
      </c>
    </row>
    <row r="21" spans="1:8" x14ac:dyDescent="0.25">
      <c r="A21" s="8">
        <v>43073.197858796295</v>
      </c>
      <c r="B21" s="20" t="s">
        <v>516</v>
      </c>
      <c r="C21" s="20" t="s">
        <v>693</v>
      </c>
      <c r="D21" s="137">
        <v>2600000</v>
      </c>
      <c r="E21" s="20" t="s">
        <v>694</v>
      </c>
      <c r="F21" s="20" t="s">
        <v>411</v>
      </c>
      <c r="G21" s="8" t="str">
        <f t="shared" si="0"/>
        <v>DAVIDSON DAVID</v>
      </c>
      <c r="H21" s="20" t="str">
        <f t="shared" si="1"/>
        <v>4033</v>
      </c>
    </row>
    <row r="22" spans="1:8" x14ac:dyDescent="0.25">
      <c r="A22" s="26">
        <v>43073.200671296298</v>
      </c>
      <c r="B22" s="20" t="s">
        <v>474</v>
      </c>
      <c r="C22" s="20" t="s">
        <v>695</v>
      </c>
      <c r="D22" s="137">
        <v>2560000</v>
      </c>
      <c r="E22" s="20" t="s">
        <v>567</v>
      </c>
      <c r="F22" s="20" t="s">
        <v>568</v>
      </c>
      <c r="G22" s="8" t="str">
        <f t="shared" si="0"/>
        <v>MACDONALD THOMAS</v>
      </c>
      <c r="H22" s="20" t="str">
        <f t="shared" si="1"/>
        <v>4032</v>
      </c>
    </row>
    <row r="23" spans="1:8" x14ac:dyDescent="0.25">
      <c r="A23" s="8">
        <v>43073.202141203707</v>
      </c>
      <c r="B23" s="20" t="s">
        <v>474</v>
      </c>
      <c r="C23" s="20" t="s">
        <v>695</v>
      </c>
      <c r="D23" s="137">
        <v>2560000</v>
      </c>
      <c r="E23" s="20" t="s">
        <v>567</v>
      </c>
      <c r="F23" s="20" t="s">
        <v>568</v>
      </c>
      <c r="G23" s="8" t="str">
        <f t="shared" si="0"/>
        <v>MACDONALD THOMAS</v>
      </c>
      <c r="H23" s="20" t="str">
        <f t="shared" si="1"/>
        <v>4032</v>
      </c>
    </row>
    <row r="24" spans="1:8" x14ac:dyDescent="0.25">
      <c r="A24" s="8">
        <v>43073.202256944445</v>
      </c>
      <c r="B24" s="20" t="s">
        <v>563</v>
      </c>
      <c r="C24" s="20" t="s">
        <v>696</v>
      </c>
      <c r="D24" s="137">
        <v>1830000</v>
      </c>
      <c r="E24" s="20" t="s">
        <v>346</v>
      </c>
      <c r="F24" s="20" t="s">
        <v>347</v>
      </c>
      <c r="G24" s="8" t="str">
        <f t="shared" si="0"/>
        <v>YORK EDGAR</v>
      </c>
      <c r="H24" s="20" t="str">
        <f t="shared" si="1"/>
        <v>4009</v>
      </c>
    </row>
    <row r="25" spans="1:8" x14ac:dyDescent="0.25">
      <c r="A25" s="8">
        <v>43073.203912037039</v>
      </c>
      <c r="B25" s="20" t="s">
        <v>474</v>
      </c>
      <c r="C25" s="20" t="s">
        <v>695</v>
      </c>
      <c r="D25" s="137">
        <v>2560000</v>
      </c>
      <c r="E25" s="20" t="s">
        <v>567</v>
      </c>
      <c r="F25" s="20" t="s">
        <v>568</v>
      </c>
      <c r="G25" s="8" t="str">
        <f t="shared" si="0"/>
        <v>MACDONALD THOMAS</v>
      </c>
      <c r="H25" s="20" t="str">
        <f t="shared" si="1"/>
        <v>4032</v>
      </c>
    </row>
    <row r="26" spans="1:8" x14ac:dyDescent="0.25">
      <c r="A26" s="8">
        <v>43073.206759259258</v>
      </c>
      <c r="B26" s="20" t="s">
        <v>379</v>
      </c>
      <c r="C26" s="20" t="s">
        <v>697</v>
      </c>
      <c r="D26" s="137">
        <v>3120000</v>
      </c>
      <c r="E26" s="20" t="s">
        <v>565</v>
      </c>
      <c r="F26" s="20" t="s">
        <v>566</v>
      </c>
      <c r="G26" s="8" t="str">
        <f t="shared" si="0"/>
        <v>THOMPSON LESTER</v>
      </c>
      <c r="H26" s="20" t="str">
        <f t="shared" si="1"/>
        <v>4030</v>
      </c>
    </row>
    <row r="27" spans="1:8" x14ac:dyDescent="0.25">
      <c r="A27" s="8">
        <v>43073.208680555559</v>
      </c>
      <c r="B27" s="20" t="s">
        <v>518</v>
      </c>
      <c r="C27" s="20" t="s">
        <v>698</v>
      </c>
      <c r="D27" s="137">
        <v>2600000</v>
      </c>
      <c r="E27" s="20" t="s">
        <v>694</v>
      </c>
      <c r="F27" s="20" t="s">
        <v>411</v>
      </c>
      <c r="G27" s="8" t="str">
        <f t="shared" si="0"/>
        <v>DAVIDSON DAVID</v>
      </c>
      <c r="H27" s="20" t="str">
        <f t="shared" si="1"/>
        <v>4034</v>
      </c>
    </row>
    <row r="28" spans="1:8" x14ac:dyDescent="0.25">
      <c r="A28" s="8">
        <v>43073.213912037034</v>
      </c>
      <c r="B28" s="20" t="s">
        <v>473</v>
      </c>
      <c r="C28" s="20" t="s">
        <v>699</v>
      </c>
      <c r="D28" s="137">
        <v>2560000</v>
      </c>
      <c r="E28" s="20" t="s">
        <v>567</v>
      </c>
      <c r="F28" s="20" t="s">
        <v>568</v>
      </c>
      <c r="G28" s="8" t="str">
        <f t="shared" si="0"/>
        <v>MACDONALD THOMAS</v>
      </c>
      <c r="H28" s="20" t="str">
        <f t="shared" si="1"/>
        <v>4031</v>
      </c>
    </row>
    <row r="29" spans="1:8" x14ac:dyDescent="0.25">
      <c r="A29" s="8">
        <v>43073.21665509259</v>
      </c>
      <c r="B29" s="20" t="s">
        <v>517</v>
      </c>
      <c r="C29" s="20" t="s">
        <v>700</v>
      </c>
      <c r="D29" s="137">
        <v>2370000</v>
      </c>
      <c r="E29" s="20" t="s">
        <v>527</v>
      </c>
      <c r="F29" s="20" t="s">
        <v>528</v>
      </c>
      <c r="G29" s="8" t="str">
        <f t="shared" si="0"/>
        <v>DELGADO DIANAH</v>
      </c>
      <c r="H29" s="20" t="str">
        <f t="shared" si="1"/>
        <v>4041</v>
      </c>
    </row>
    <row r="30" spans="1:8" x14ac:dyDescent="0.25">
      <c r="A30" s="8">
        <v>43073.222337962965</v>
      </c>
      <c r="B30" s="20" t="s">
        <v>358</v>
      </c>
      <c r="C30" s="20" t="s">
        <v>701</v>
      </c>
      <c r="D30" s="137">
        <v>3090000</v>
      </c>
      <c r="E30" s="20" t="s">
        <v>569</v>
      </c>
      <c r="F30" s="20" t="s">
        <v>570</v>
      </c>
      <c r="G30" s="8" t="str">
        <f t="shared" si="0"/>
        <v>LAMAR NEKESHA</v>
      </c>
      <c r="H30" s="20" t="str">
        <f t="shared" si="1"/>
        <v>4007</v>
      </c>
    </row>
    <row r="31" spans="1:8" x14ac:dyDescent="0.25">
      <c r="A31" s="8">
        <v>43073.22556712963</v>
      </c>
      <c r="B31" s="20" t="s">
        <v>374</v>
      </c>
      <c r="C31" s="20" t="s">
        <v>702</v>
      </c>
      <c r="D31" s="137">
        <v>3680000</v>
      </c>
      <c r="E31" s="20" t="s">
        <v>681</v>
      </c>
      <c r="F31" s="20" t="s">
        <v>682</v>
      </c>
      <c r="G31" s="8" t="str">
        <f t="shared" si="0"/>
        <v>HAMMOND JUSTYNN</v>
      </c>
      <c r="H31" s="20" t="str">
        <f t="shared" si="1"/>
        <v>4022</v>
      </c>
    </row>
    <row r="32" spans="1:8" x14ac:dyDescent="0.25">
      <c r="A32" s="8">
        <v>43073.228888888887</v>
      </c>
      <c r="B32" s="20" t="s">
        <v>688</v>
      </c>
      <c r="C32" s="20" t="s">
        <v>703</v>
      </c>
      <c r="D32" s="137">
        <v>2010000</v>
      </c>
      <c r="E32" s="20" t="s">
        <v>521</v>
      </c>
      <c r="F32" s="20" t="s">
        <v>522</v>
      </c>
      <c r="G32" s="8" t="str">
        <f t="shared" si="0"/>
        <v>MAELZER KURT</v>
      </c>
      <c r="H32" s="20" t="str">
        <f t="shared" si="1"/>
        <v>4057</v>
      </c>
    </row>
    <row r="33" spans="1:8" x14ac:dyDescent="0.25">
      <c r="A33" s="8">
        <v>43073.2343287037</v>
      </c>
      <c r="B33" s="20" t="s">
        <v>474</v>
      </c>
      <c r="C33" s="20" t="s">
        <v>704</v>
      </c>
      <c r="D33" s="137">
        <v>2560000</v>
      </c>
      <c r="E33" s="20" t="s">
        <v>567</v>
      </c>
      <c r="F33" s="20" t="s">
        <v>568</v>
      </c>
      <c r="G33" s="8" t="str">
        <f t="shared" si="0"/>
        <v>MACDONALD THOMAS</v>
      </c>
      <c r="H33" s="20" t="str">
        <f t="shared" si="1"/>
        <v>4032</v>
      </c>
    </row>
    <row r="34" spans="1:8" x14ac:dyDescent="0.25">
      <c r="A34" s="8">
        <v>43073.235092592593</v>
      </c>
      <c r="B34" s="20" t="s">
        <v>351</v>
      </c>
      <c r="C34" s="20" t="s">
        <v>705</v>
      </c>
      <c r="D34" s="137">
        <v>1230000</v>
      </c>
      <c r="E34" s="20" t="s">
        <v>706</v>
      </c>
      <c r="F34" s="20" t="s">
        <v>707</v>
      </c>
      <c r="G34" s="8" t="str">
        <f t="shared" si="0"/>
        <v>YANAI IAN</v>
      </c>
      <c r="H34" s="20" t="str">
        <f t="shared" si="1"/>
        <v>4055</v>
      </c>
    </row>
    <row r="35" spans="1:8" x14ac:dyDescent="0.25">
      <c r="A35" s="8">
        <v>43073.235833333332</v>
      </c>
      <c r="B35" s="20" t="s">
        <v>356</v>
      </c>
      <c r="C35" s="20" t="s">
        <v>656</v>
      </c>
      <c r="D35" s="137">
        <v>3090000</v>
      </c>
      <c r="E35" s="20" t="s">
        <v>569</v>
      </c>
      <c r="F35" s="20" t="s">
        <v>570</v>
      </c>
      <c r="G35" s="8" t="str">
        <f t="shared" si="0"/>
        <v>LAMAR NEKESHA</v>
      </c>
      <c r="H35" s="20" t="str">
        <f t="shared" si="1"/>
        <v>4008</v>
      </c>
    </row>
    <row r="36" spans="1:8" x14ac:dyDescent="0.25">
      <c r="A36" s="8">
        <v>43073.243587962963</v>
      </c>
      <c r="B36" s="20" t="s">
        <v>564</v>
      </c>
      <c r="C36" s="20" t="s">
        <v>708</v>
      </c>
      <c r="D36" s="137">
        <v>1830000</v>
      </c>
      <c r="E36" s="20" t="s">
        <v>346</v>
      </c>
      <c r="F36" s="20" t="s">
        <v>347</v>
      </c>
      <c r="G36" s="8" t="str">
        <f t="shared" si="0"/>
        <v>YORK EDGAR</v>
      </c>
      <c r="H36" s="20" t="str">
        <f t="shared" si="1"/>
        <v>4010</v>
      </c>
    </row>
    <row r="37" spans="1:8" x14ac:dyDescent="0.25">
      <c r="A37" s="8">
        <v>43073.244259259256</v>
      </c>
      <c r="B37" s="20" t="s">
        <v>413</v>
      </c>
      <c r="C37" s="20" t="s">
        <v>709</v>
      </c>
      <c r="D37" s="137">
        <v>1230000</v>
      </c>
      <c r="E37" s="20" t="s">
        <v>706</v>
      </c>
      <c r="F37" s="20" t="s">
        <v>707</v>
      </c>
      <c r="G37" s="8" t="str">
        <f t="shared" si="0"/>
        <v>YANAI IAN</v>
      </c>
      <c r="H37" s="20" t="str">
        <f t="shared" si="1"/>
        <v>4056</v>
      </c>
    </row>
    <row r="38" spans="1:8" x14ac:dyDescent="0.25">
      <c r="A38" s="8">
        <v>43073.246620370373</v>
      </c>
      <c r="B38" s="20" t="s">
        <v>376</v>
      </c>
      <c r="C38" s="20" t="s">
        <v>710</v>
      </c>
      <c r="D38" s="137">
        <v>3120000</v>
      </c>
      <c r="E38" s="20" t="s">
        <v>565</v>
      </c>
      <c r="F38" s="20" t="s">
        <v>566</v>
      </c>
      <c r="G38" s="8" t="str">
        <f t="shared" si="0"/>
        <v>THOMPSON LESTER</v>
      </c>
      <c r="H38" s="20" t="str">
        <f t="shared" si="1"/>
        <v>4029</v>
      </c>
    </row>
    <row r="39" spans="1:8" x14ac:dyDescent="0.25">
      <c r="A39" s="8">
        <v>43073.246759259258</v>
      </c>
      <c r="B39" s="20" t="s">
        <v>516</v>
      </c>
      <c r="C39" s="20" t="s">
        <v>711</v>
      </c>
      <c r="D39" s="137">
        <v>2600000</v>
      </c>
      <c r="E39" s="20" t="s">
        <v>694</v>
      </c>
      <c r="F39" s="20" t="s">
        <v>411</v>
      </c>
      <c r="G39" s="8" t="str">
        <f t="shared" si="0"/>
        <v>DAVIDSON DAVID</v>
      </c>
      <c r="H39" s="20" t="str">
        <f t="shared" si="1"/>
        <v>4033</v>
      </c>
    </row>
    <row r="40" spans="1:8" x14ac:dyDescent="0.25">
      <c r="A40" s="8">
        <v>43073.248113425929</v>
      </c>
      <c r="B40" s="25" t="s">
        <v>473</v>
      </c>
      <c r="C40" s="20" t="s">
        <v>712</v>
      </c>
      <c r="D40" s="137">
        <v>2560000</v>
      </c>
      <c r="E40" s="20" t="s">
        <v>567</v>
      </c>
      <c r="F40" s="20" t="s">
        <v>568</v>
      </c>
      <c r="G40" s="8" t="str">
        <f t="shared" si="0"/>
        <v>MACDONALD THOMAS</v>
      </c>
      <c r="H40" s="20" t="str">
        <f t="shared" si="1"/>
        <v>4031</v>
      </c>
    </row>
    <row r="41" spans="1:8" x14ac:dyDescent="0.25">
      <c r="A41" s="8">
        <v>43073.256493055553</v>
      </c>
      <c r="B41" s="20" t="s">
        <v>523</v>
      </c>
      <c r="C41" s="20" t="s">
        <v>713</v>
      </c>
      <c r="D41" s="137">
        <v>2370000</v>
      </c>
      <c r="E41" s="20" t="s">
        <v>527</v>
      </c>
      <c r="F41" s="20" t="s">
        <v>528</v>
      </c>
      <c r="G41" s="8" t="str">
        <f t="shared" si="0"/>
        <v>DELGADO DIANAH</v>
      </c>
      <c r="H41" s="20" t="str">
        <f t="shared" si="1"/>
        <v>4042</v>
      </c>
    </row>
    <row r="42" spans="1:8" x14ac:dyDescent="0.25">
      <c r="A42" s="8">
        <v>43073.266400462962</v>
      </c>
      <c r="B42" s="20" t="s">
        <v>430</v>
      </c>
      <c r="C42" s="20" t="s">
        <v>714</v>
      </c>
      <c r="D42" s="137">
        <v>3680000</v>
      </c>
      <c r="E42" s="20" t="s">
        <v>681</v>
      </c>
      <c r="F42" s="20" t="s">
        <v>682</v>
      </c>
      <c r="G42" s="8" t="str">
        <f t="shared" si="0"/>
        <v>HAMMOND JUSTYNN</v>
      </c>
      <c r="H42" s="20" t="str">
        <f t="shared" si="1"/>
        <v>4021</v>
      </c>
    </row>
    <row r="43" spans="1:8" x14ac:dyDescent="0.25">
      <c r="A43" s="8">
        <v>43073.266944444447</v>
      </c>
      <c r="B43" s="20" t="s">
        <v>460</v>
      </c>
      <c r="C43" s="20" t="s">
        <v>715</v>
      </c>
      <c r="D43" s="137">
        <v>2010000</v>
      </c>
      <c r="E43" s="20" t="s">
        <v>521</v>
      </c>
      <c r="F43" s="20" t="s">
        <v>522</v>
      </c>
      <c r="G43" s="8" t="str">
        <f t="shared" si="0"/>
        <v>MAELZER KURT</v>
      </c>
      <c r="H43" s="20" t="str">
        <f t="shared" si="1"/>
        <v>4058</v>
      </c>
    </row>
    <row r="44" spans="1:8" x14ac:dyDescent="0.25">
      <c r="A44" s="8">
        <v>43073.267233796294</v>
      </c>
      <c r="B44" s="20" t="s">
        <v>351</v>
      </c>
      <c r="C44" s="20" t="s">
        <v>716</v>
      </c>
      <c r="D44" s="137">
        <v>1230000</v>
      </c>
      <c r="E44" s="20" t="s">
        <v>706</v>
      </c>
      <c r="F44" s="20" t="s">
        <v>707</v>
      </c>
      <c r="G44" s="8" t="str">
        <f t="shared" si="0"/>
        <v>YANAI IAN</v>
      </c>
      <c r="H44" s="20" t="str">
        <f t="shared" si="1"/>
        <v>4055</v>
      </c>
    </row>
    <row r="45" spans="1:8" x14ac:dyDescent="0.25">
      <c r="A45" s="8">
        <v>43073.271284722221</v>
      </c>
      <c r="B45" s="20" t="s">
        <v>657</v>
      </c>
      <c r="C45" s="20" t="s">
        <v>717</v>
      </c>
      <c r="D45" s="137">
        <v>1090000</v>
      </c>
      <c r="E45" s="20" t="s">
        <v>677</v>
      </c>
      <c r="F45" s="20" t="s">
        <v>352</v>
      </c>
      <c r="G45" s="8" t="str">
        <f t="shared" si="0"/>
        <v>SPECTOR MICHAEL</v>
      </c>
      <c r="H45" s="20" t="str">
        <f t="shared" si="1"/>
        <v>4020</v>
      </c>
    </row>
    <row r="46" spans="1:8" x14ac:dyDescent="0.25">
      <c r="A46" s="8">
        <v>43073.275578703702</v>
      </c>
      <c r="B46" s="20" t="s">
        <v>563</v>
      </c>
      <c r="C46" s="20" t="s">
        <v>718</v>
      </c>
      <c r="D46" s="137">
        <v>1830000</v>
      </c>
      <c r="E46" s="20" t="s">
        <v>346</v>
      </c>
      <c r="F46" s="20" t="s">
        <v>347</v>
      </c>
      <c r="G46" s="8" t="str">
        <f t="shared" si="0"/>
        <v>YORK EDGAR</v>
      </c>
      <c r="H46" s="20" t="str">
        <f t="shared" si="1"/>
        <v>4009</v>
      </c>
    </row>
    <row r="47" spans="1:8" x14ac:dyDescent="0.25">
      <c r="A47" s="8">
        <v>43073.276307870372</v>
      </c>
      <c r="B47" s="20" t="s">
        <v>474</v>
      </c>
      <c r="C47" s="20" t="s">
        <v>719</v>
      </c>
      <c r="D47" s="137">
        <v>2560000</v>
      </c>
      <c r="E47" s="20" t="s">
        <v>567</v>
      </c>
      <c r="F47" s="20" t="s">
        <v>568</v>
      </c>
      <c r="G47" s="8" t="str">
        <f t="shared" si="0"/>
        <v>MACDONALD THOMAS</v>
      </c>
      <c r="H47" s="20" t="str">
        <f t="shared" si="1"/>
        <v>4032</v>
      </c>
    </row>
    <row r="48" spans="1:8" x14ac:dyDescent="0.25">
      <c r="A48" s="8">
        <v>43073.277071759258</v>
      </c>
      <c r="B48" s="20" t="s">
        <v>358</v>
      </c>
      <c r="C48" s="20" t="s">
        <v>659</v>
      </c>
      <c r="D48" s="137">
        <v>3090000</v>
      </c>
      <c r="E48" s="20" t="s">
        <v>569</v>
      </c>
      <c r="F48" s="20" t="s">
        <v>570</v>
      </c>
      <c r="G48" s="8" t="str">
        <f t="shared" si="0"/>
        <v>LAMAR NEKESHA</v>
      </c>
      <c r="H48" s="20" t="str">
        <f t="shared" si="1"/>
        <v>4007</v>
      </c>
    </row>
    <row r="49" spans="1:8" x14ac:dyDescent="0.25">
      <c r="A49" s="8">
        <v>43073.278993055559</v>
      </c>
      <c r="B49" s="20" t="s">
        <v>657</v>
      </c>
      <c r="C49" s="20" t="s">
        <v>658</v>
      </c>
      <c r="D49" s="137">
        <v>1090000</v>
      </c>
      <c r="E49" s="20" t="s">
        <v>677</v>
      </c>
      <c r="F49" s="20" t="s">
        <v>352</v>
      </c>
      <c r="G49" s="8" t="str">
        <f t="shared" si="0"/>
        <v>SPECTOR MICHAEL</v>
      </c>
      <c r="H49" s="20" t="str">
        <f t="shared" si="1"/>
        <v>4020</v>
      </c>
    </row>
    <row r="50" spans="1:8" x14ac:dyDescent="0.25">
      <c r="A50" s="8">
        <v>43073.279895833337</v>
      </c>
      <c r="B50" s="20" t="s">
        <v>657</v>
      </c>
      <c r="C50" s="20" t="s">
        <v>658</v>
      </c>
      <c r="D50" s="137">
        <v>1090000</v>
      </c>
      <c r="E50" s="20" t="s">
        <v>677</v>
      </c>
      <c r="F50" s="20" t="s">
        <v>352</v>
      </c>
      <c r="G50" s="8" t="str">
        <f t="shared" si="0"/>
        <v>SPECTOR MICHAEL</v>
      </c>
      <c r="H50" s="20" t="str">
        <f t="shared" si="1"/>
        <v>4020</v>
      </c>
    </row>
    <row r="51" spans="1:8" x14ac:dyDescent="0.25">
      <c r="A51" s="8">
        <v>43073.285590277781</v>
      </c>
      <c r="B51" s="20" t="s">
        <v>657</v>
      </c>
      <c r="C51" s="20" t="s">
        <v>658</v>
      </c>
      <c r="D51" s="137">
        <v>1090000</v>
      </c>
      <c r="E51" s="20" t="s">
        <v>677</v>
      </c>
      <c r="F51" s="20" t="s">
        <v>352</v>
      </c>
      <c r="G51" s="8" t="str">
        <f t="shared" si="0"/>
        <v>SPECTOR MICHAEL</v>
      </c>
      <c r="H51" s="20" t="str">
        <f t="shared" si="1"/>
        <v>4020</v>
      </c>
    </row>
    <row r="52" spans="1:8" x14ac:dyDescent="0.25">
      <c r="A52" s="8">
        <v>43073.288113425922</v>
      </c>
      <c r="B52" s="20" t="s">
        <v>473</v>
      </c>
      <c r="C52" s="20" t="s">
        <v>660</v>
      </c>
      <c r="D52" s="137">
        <v>2560000</v>
      </c>
      <c r="E52" s="20" t="s">
        <v>567</v>
      </c>
      <c r="F52" s="20" t="s">
        <v>568</v>
      </c>
      <c r="G52" s="8" t="str">
        <f t="shared" si="0"/>
        <v>MACDONALD THOMAS</v>
      </c>
      <c r="H52" s="20" t="str">
        <f t="shared" si="1"/>
        <v>4031</v>
      </c>
    </row>
    <row r="53" spans="1:8" x14ac:dyDescent="0.25">
      <c r="A53" s="8">
        <v>43073.289537037039</v>
      </c>
      <c r="B53" s="20" t="s">
        <v>720</v>
      </c>
      <c r="C53" s="20" t="s">
        <v>721</v>
      </c>
      <c r="D53" s="137">
        <v>1260000</v>
      </c>
      <c r="E53" s="20" t="s">
        <v>722</v>
      </c>
      <c r="F53" s="20" t="s">
        <v>723</v>
      </c>
      <c r="G53" s="8" t="str">
        <f t="shared" si="0"/>
        <v>ACKERMAN JARED</v>
      </c>
      <c r="H53" s="20" t="str">
        <f t="shared" si="1"/>
        <v>4064</v>
      </c>
    </row>
    <row r="54" spans="1:8" x14ac:dyDescent="0.25">
      <c r="A54" s="8">
        <v>43073.28974537037</v>
      </c>
      <c r="B54" s="20" t="s">
        <v>379</v>
      </c>
      <c r="C54" s="20" t="s">
        <v>724</v>
      </c>
      <c r="D54" s="137">
        <v>3120000</v>
      </c>
      <c r="E54" s="20" t="s">
        <v>565</v>
      </c>
      <c r="F54" s="20" t="s">
        <v>566</v>
      </c>
      <c r="G54" s="8" t="str">
        <f t="shared" si="0"/>
        <v>THOMPSON LESTER</v>
      </c>
      <c r="H54" s="20" t="str">
        <f t="shared" si="1"/>
        <v>4030</v>
      </c>
    </row>
    <row r="55" spans="1:8" x14ac:dyDescent="0.25">
      <c r="A55" s="8">
        <v>43073.289849537039</v>
      </c>
      <c r="B55" s="20" t="s">
        <v>413</v>
      </c>
      <c r="C55" s="20" t="s">
        <v>725</v>
      </c>
      <c r="D55" s="137">
        <v>1230000</v>
      </c>
      <c r="E55" s="20" t="s">
        <v>706</v>
      </c>
      <c r="F55" s="20" t="s">
        <v>707</v>
      </c>
      <c r="G55" s="8" t="str">
        <f t="shared" si="0"/>
        <v>YANAI IAN</v>
      </c>
      <c r="H55" s="20" t="str">
        <f t="shared" si="1"/>
        <v>4056</v>
      </c>
    </row>
    <row r="56" spans="1:8" x14ac:dyDescent="0.25">
      <c r="A56" s="8">
        <v>43073.293194444443</v>
      </c>
      <c r="B56" s="20" t="s">
        <v>582</v>
      </c>
      <c r="C56" s="20" t="s">
        <v>721</v>
      </c>
      <c r="D56" s="137">
        <v>1260000</v>
      </c>
      <c r="E56" s="20" t="s">
        <v>722</v>
      </c>
      <c r="F56" s="20" t="s">
        <v>723</v>
      </c>
      <c r="G56" s="8" t="str">
        <f t="shared" si="0"/>
        <v>ACKERMAN JARED</v>
      </c>
      <c r="H56" s="20" t="str">
        <f t="shared" si="1"/>
        <v>4063</v>
      </c>
    </row>
    <row r="57" spans="1:8" x14ac:dyDescent="0.25">
      <c r="A57" s="8">
        <v>43073.293865740743</v>
      </c>
      <c r="B57" s="20" t="s">
        <v>582</v>
      </c>
      <c r="C57" s="20" t="s">
        <v>721</v>
      </c>
      <c r="D57" s="137">
        <v>1260000</v>
      </c>
      <c r="E57" s="20" t="s">
        <v>722</v>
      </c>
      <c r="F57" s="20" t="s">
        <v>723</v>
      </c>
      <c r="G57" s="8" t="str">
        <f t="shared" si="0"/>
        <v>ACKERMAN JARED</v>
      </c>
      <c r="H57" s="20" t="str">
        <f t="shared" si="1"/>
        <v>4063</v>
      </c>
    </row>
    <row r="58" spans="1:8" x14ac:dyDescent="0.25">
      <c r="A58" s="8">
        <v>43073.297430555554</v>
      </c>
      <c r="B58" s="20" t="s">
        <v>460</v>
      </c>
      <c r="C58" s="20" t="s">
        <v>715</v>
      </c>
      <c r="D58" s="137">
        <v>2010000</v>
      </c>
      <c r="E58" s="20" t="s">
        <v>521</v>
      </c>
      <c r="F58" s="20" t="s">
        <v>522</v>
      </c>
      <c r="G58" s="8" t="str">
        <f t="shared" si="0"/>
        <v>MAELZER KURT</v>
      </c>
      <c r="H58" s="20" t="str">
        <f t="shared" si="1"/>
        <v>4058</v>
      </c>
    </row>
    <row r="59" spans="1:8" x14ac:dyDescent="0.25">
      <c r="A59" s="8">
        <v>43073.298020833332</v>
      </c>
      <c r="B59" s="20" t="s">
        <v>517</v>
      </c>
      <c r="C59" s="20" t="s">
        <v>726</v>
      </c>
      <c r="D59" s="137">
        <v>2370000</v>
      </c>
      <c r="E59" s="20" t="s">
        <v>527</v>
      </c>
      <c r="F59" s="20" t="s">
        <v>528</v>
      </c>
      <c r="G59" s="8" t="str">
        <f t="shared" si="0"/>
        <v>DELGADO DIANAH</v>
      </c>
      <c r="H59" s="20" t="str">
        <f t="shared" si="1"/>
        <v>4041</v>
      </c>
    </row>
    <row r="60" spans="1:8" x14ac:dyDescent="0.25">
      <c r="A60" s="8">
        <v>43073.299120370371</v>
      </c>
      <c r="B60" s="20" t="s">
        <v>720</v>
      </c>
      <c r="C60" s="20" t="s">
        <v>727</v>
      </c>
      <c r="D60" s="137">
        <v>1260000</v>
      </c>
      <c r="E60" s="20" t="s">
        <v>722</v>
      </c>
      <c r="F60" s="20" t="s">
        <v>723</v>
      </c>
      <c r="G60" s="8" t="str">
        <f t="shared" si="0"/>
        <v>ACKERMAN JARED</v>
      </c>
      <c r="H60" s="20" t="str">
        <f t="shared" si="1"/>
        <v>4064</v>
      </c>
    </row>
    <row r="61" spans="1:8" x14ac:dyDescent="0.25">
      <c r="A61" s="8">
        <v>43073.307326388887</v>
      </c>
      <c r="B61" s="20" t="s">
        <v>374</v>
      </c>
      <c r="C61" s="20" t="s">
        <v>728</v>
      </c>
      <c r="D61" s="137">
        <v>3680000</v>
      </c>
      <c r="E61" s="20" t="s">
        <v>681</v>
      </c>
      <c r="F61" s="20" t="s">
        <v>682</v>
      </c>
      <c r="G61" s="8" t="str">
        <f t="shared" si="0"/>
        <v>HAMMOND JUSTYNN</v>
      </c>
      <c r="H61" s="20" t="str">
        <f t="shared" si="1"/>
        <v>4022</v>
      </c>
    </row>
    <row r="62" spans="1:8" x14ac:dyDescent="0.25">
      <c r="A62" s="8">
        <v>43073.309930555559</v>
      </c>
      <c r="B62" s="20" t="s">
        <v>351</v>
      </c>
      <c r="C62" s="20" t="s">
        <v>729</v>
      </c>
      <c r="D62" s="137">
        <v>1230000</v>
      </c>
      <c r="E62" s="20" t="s">
        <v>706</v>
      </c>
      <c r="F62" s="20" t="s">
        <v>707</v>
      </c>
      <c r="G62" s="8" t="str">
        <f t="shared" si="0"/>
        <v>YANAI IAN</v>
      </c>
      <c r="H62" s="20" t="str">
        <f t="shared" si="1"/>
        <v>4055</v>
      </c>
    </row>
    <row r="63" spans="1:8" x14ac:dyDescent="0.25">
      <c r="A63" s="8">
        <v>43073.311203703706</v>
      </c>
      <c r="B63" s="20" t="s">
        <v>688</v>
      </c>
      <c r="C63" s="20" t="s">
        <v>715</v>
      </c>
      <c r="D63" s="137">
        <v>2010000</v>
      </c>
      <c r="E63" s="20" t="s">
        <v>521</v>
      </c>
      <c r="F63" s="20" t="s">
        <v>522</v>
      </c>
      <c r="G63" s="8" t="str">
        <f t="shared" si="0"/>
        <v>MAELZER KURT</v>
      </c>
      <c r="H63" s="20" t="str">
        <f t="shared" si="1"/>
        <v>4057</v>
      </c>
    </row>
    <row r="64" spans="1:8" x14ac:dyDescent="0.25">
      <c r="A64" s="26">
        <v>43073.312106481484</v>
      </c>
      <c r="B64" s="20" t="s">
        <v>688</v>
      </c>
      <c r="C64" s="20" t="s">
        <v>730</v>
      </c>
      <c r="D64" s="137">
        <v>2010000</v>
      </c>
      <c r="E64" s="20" t="s">
        <v>521</v>
      </c>
      <c r="F64" s="20" t="s">
        <v>522</v>
      </c>
      <c r="G64" s="8" t="str">
        <f t="shared" si="0"/>
        <v>MAELZER KURT</v>
      </c>
      <c r="H64" s="20" t="str">
        <f t="shared" si="1"/>
        <v>4057</v>
      </c>
    </row>
    <row r="65" spans="1:8" x14ac:dyDescent="0.25">
      <c r="A65" s="8">
        <v>43073.312650462962</v>
      </c>
      <c r="B65" s="20" t="s">
        <v>688</v>
      </c>
      <c r="C65" s="20" t="s">
        <v>730</v>
      </c>
      <c r="D65" s="137">
        <v>2010000</v>
      </c>
      <c r="E65" s="20" t="s">
        <v>521</v>
      </c>
      <c r="F65" s="20" t="s">
        <v>522</v>
      </c>
      <c r="G65" s="8" t="str">
        <f t="shared" si="0"/>
        <v>MAELZER KURT</v>
      </c>
      <c r="H65" s="20" t="str">
        <f t="shared" si="1"/>
        <v>4057</v>
      </c>
    </row>
    <row r="66" spans="1:8" x14ac:dyDescent="0.25">
      <c r="A66" s="8">
        <v>43073.315150462964</v>
      </c>
      <c r="B66" s="20" t="s">
        <v>563</v>
      </c>
      <c r="C66" s="20" t="s">
        <v>718</v>
      </c>
      <c r="D66" s="137">
        <v>1830000</v>
      </c>
      <c r="E66" s="20" t="s">
        <v>346</v>
      </c>
      <c r="F66" s="20" t="s">
        <v>347</v>
      </c>
      <c r="G66" s="8" t="str">
        <f t="shared" si="0"/>
        <v>YORK EDGAR</v>
      </c>
      <c r="H66" s="20" t="str">
        <f t="shared" si="1"/>
        <v>4009</v>
      </c>
    </row>
    <row r="67" spans="1:8" x14ac:dyDescent="0.25">
      <c r="A67" s="8">
        <v>43073.318020833336</v>
      </c>
      <c r="B67" s="20" t="s">
        <v>474</v>
      </c>
      <c r="C67" s="20" t="s">
        <v>731</v>
      </c>
      <c r="D67" s="137">
        <v>2560000</v>
      </c>
      <c r="E67" s="20" t="s">
        <v>567</v>
      </c>
      <c r="F67" s="20" t="s">
        <v>568</v>
      </c>
      <c r="G67" s="8" t="str">
        <f t="shared" ref="G67:G130" si="2">E67&amp;" "&amp;F67</f>
        <v>MACDONALD THOMAS</v>
      </c>
      <c r="H67" s="20" t="str">
        <f t="shared" ref="H67:H130" si="3">MID(B67,13,4)</f>
        <v>4032</v>
      </c>
    </row>
    <row r="68" spans="1:8" x14ac:dyDescent="0.25">
      <c r="A68" s="8">
        <v>43073.318993055553</v>
      </c>
      <c r="B68" s="20" t="s">
        <v>674</v>
      </c>
      <c r="C68" s="20" t="s">
        <v>732</v>
      </c>
      <c r="D68" s="137">
        <v>1090000</v>
      </c>
      <c r="E68" s="20" t="s">
        <v>677</v>
      </c>
      <c r="F68" s="20" t="s">
        <v>352</v>
      </c>
      <c r="G68" s="8" t="str">
        <f t="shared" si="2"/>
        <v>SPECTOR MICHAEL</v>
      </c>
      <c r="H68" s="20" t="str">
        <f t="shared" si="3"/>
        <v>4019</v>
      </c>
    </row>
    <row r="69" spans="1:8" x14ac:dyDescent="0.25">
      <c r="A69" s="8">
        <v>43073.320428240739</v>
      </c>
      <c r="B69" s="20" t="s">
        <v>356</v>
      </c>
      <c r="C69" s="20" t="s">
        <v>733</v>
      </c>
      <c r="D69" s="137">
        <v>3090000</v>
      </c>
      <c r="E69" s="20" t="s">
        <v>569</v>
      </c>
      <c r="F69" s="20" t="s">
        <v>570</v>
      </c>
      <c r="G69" s="8" t="str">
        <f t="shared" si="2"/>
        <v>LAMAR NEKESHA</v>
      </c>
      <c r="H69" s="20" t="str">
        <f t="shared" si="3"/>
        <v>4008</v>
      </c>
    </row>
    <row r="70" spans="1:8" x14ac:dyDescent="0.25">
      <c r="A70" s="8">
        <v>43073.323900462965</v>
      </c>
      <c r="B70" s="20" t="s">
        <v>688</v>
      </c>
      <c r="C70" s="20" t="s">
        <v>730</v>
      </c>
      <c r="D70" s="137">
        <v>2010000</v>
      </c>
      <c r="E70" s="20" t="s">
        <v>521</v>
      </c>
      <c r="F70" s="20" t="s">
        <v>522</v>
      </c>
      <c r="G70" s="8" t="str">
        <f t="shared" si="2"/>
        <v>MAELZER KURT</v>
      </c>
      <c r="H70" s="20" t="str">
        <f t="shared" si="3"/>
        <v>4057</v>
      </c>
    </row>
    <row r="71" spans="1:8" x14ac:dyDescent="0.25">
      <c r="A71" s="8">
        <v>43073.323958333334</v>
      </c>
      <c r="B71" s="20" t="s">
        <v>564</v>
      </c>
      <c r="C71" s="20" t="s">
        <v>734</v>
      </c>
      <c r="D71" s="137">
        <v>1830000</v>
      </c>
      <c r="E71" s="20" t="s">
        <v>346</v>
      </c>
      <c r="F71" s="20" t="s">
        <v>347</v>
      </c>
      <c r="G71" s="8" t="str">
        <f t="shared" si="2"/>
        <v>YORK EDGAR</v>
      </c>
      <c r="H71" s="20" t="str">
        <f t="shared" si="3"/>
        <v>4010</v>
      </c>
    </row>
    <row r="72" spans="1:8" x14ac:dyDescent="0.25">
      <c r="A72" s="8">
        <v>43073.324988425928</v>
      </c>
      <c r="B72" s="20" t="s">
        <v>564</v>
      </c>
      <c r="C72" s="20" t="s">
        <v>734</v>
      </c>
      <c r="D72" s="137">
        <v>1830000</v>
      </c>
      <c r="E72" s="20" t="s">
        <v>346</v>
      </c>
      <c r="F72" s="20" t="s">
        <v>347</v>
      </c>
      <c r="G72" s="8" t="str">
        <f t="shared" si="2"/>
        <v>YORK EDGAR</v>
      </c>
      <c r="H72" s="20" t="str">
        <f t="shared" si="3"/>
        <v>4010</v>
      </c>
    </row>
    <row r="73" spans="1:8" x14ac:dyDescent="0.25">
      <c r="A73" s="8">
        <v>43073.330613425926</v>
      </c>
      <c r="B73" s="20" t="s">
        <v>473</v>
      </c>
      <c r="C73" s="20" t="s">
        <v>662</v>
      </c>
      <c r="D73" s="137">
        <v>2560000</v>
      </c>
      <c r="E73" s="20" t="s">
        <v>567</v>
      </c>
      <c r="F73" s="20" t="s">
        <v>568</v>
      </c>
      <c r="G73" s="8" t="str">
        <f t="shared" si="2"/>
        <v>MACDONALD THOMAS</v>
      </c>
      <c r="H73" s="20" t="str">
        <f t="shared" si="3"/>
        <v>4031</v>
      </c>
    </row>
    <row r="74" spans="1:8" x14ac:dyDescent="0.25">
      <c r="A74" s="8">
        <v>43073.331608796296</v>
      </c>
      <c r="B74" s="20" t="s">
        <v>413</v>
      </c>
      <c r="C74" s="20" t="s">
        <v>735</v>
      </c>
      <c r="D74" s="137">
        <v>1230000</v>
      </c>
      <c r="E74" s="20" t="s">
        <v>706</v>
      </c>
      <c r="F74" s="20" t="s">
        <v>707</v>
      </c>
      <c r="G74" s="8" t="str">
        <f t="shared" si="2"/>
        <v>YANAI IAN</v>
      </c>
      <c r="H74" s="20" t="str">
        <f t="shared" si="3"/>
        <v>4056</v>
      </c>
    </row>
    <row r="75" spans="1:8" x14ac:dyDescent="0.25">
      <c r="A75" s="8">
        <v>43073.331782407404</v>
      </c>
      <c r="B75" s="20" t="s">
        <v>376</v>
      </c>
      <c r="C75" s="20" t="s">
        <v>661</v>
      </c>
      <c r="D75" s="137">
        <v>3120000</v>
      </c>
      <c r="E75" s="20" t="s">
        <v>565</v>
      </c>
      <c r="F75" s="20" t="s">
        <v>566</v>
      </c>
      <c r="G75" s="8" t="str">
        <f t="shared" si="2"/>
        <v>THOMPSON LESTER</v>
      </c>
      <c r="H75" s="20" t="str">
        <f t="shared" si="3"/>
        <v>4029</v>
      </c>
    </row>
    <row r="76" spans="1:8" x14ac:dyDescent="0.25">
      <c r="A76" s="8">
        <v>43073.331932870373</v>
      </c>
      <c r="B76" s="20" t="s">
        <v>523</v>
      </c>
      <c r="C76" s="20" t="s">
        <v>736</v>
      </c>
      <c r="D76" s="137">
        <v>2370000</v>
      </c>
      <c r="E76" s="20" t="s">
        <v>527</v>
      </c>
      <c r="F76" s="20" t="s">
        <v>528</v>
      </c>
      <c r="G76" s="8" t="str">
        <f t="shared" si="2"/>
        <v>DELGADO DIANAH</v>
      </c>
      <c r="H76" s="20" t="str">
        <f t="shared" si="3"/>
        <v>4042</v>
      </c>
    </row>
    <row r="77" spans="1:8" x14ac:dyDescent="0.25">
      <c r="A77" s="8">
        <v>43073.337708333333</v>
      </c>
      <c r="B77" s="20" t="s">
        <v>582</v>
      </c>
      <c r="C77" s="20" t="s">
        <v>737</v>
      </c>
      <c r="D77" s="137">
        <v>1260000</v>
      </c>
      <c r="E77" s="20" t="s">
        <v>722</v>
      </c>
      <c r="F77" s="20" t="s">
        <v>723</v>
      </c>
      <c r="G77" s="8" t="str">
        <f t="shared" si="2"/>
        <v>ACKERMAN JARED</v>
      </c>
      <c r="H77" s="20" t="str">
        <f t="shared" si="3"/>
        <v>4063</v>
      </c>
    </row>
    <row r="78" spans="1:8" x14ac:dyDescent="0.25">
      <c r="A78" s="8">
        <v>43073.338379629633</v>
      </c>
      <c r="B78" s="20" t="s">
        <v>582</v>
      </c>
      <c r="C78" s="20" t="s">
        <v>737</v>
      </c>
      <c r="D78" s="137">
        <v>1260000</v>
      </c>
      <c r="E78" s="20" t="s">
        <v>722</v>
      </c>
      <c r="F78" s="20" t="s">
        <v>723</v>
      </c>
      <c r="G78" s="8" t="str">
        <f t="shared" si="2"/>
        <v>ACKERMAN JARED</v>
      </c>
      <c r="H78" s="20" t="str">
        <f t="shared" si="3"/>
        <v>4063</v>
      </c>
    </row>
    <row r="79" spans="1:8" x14ac:dyDescent="0.25">
      <c r="A79" s="8">
        <v>43073.339560185188</v>
      </c>
      <c r="B79" s="20" t="s">
        <v>582</v>
      </c>
      <c r="C79" s="20" t="s">
        <v>737</v>
      </c>
      <c r="D79" s="137">
        <v>1260000</v>
      </c>
      <c r="E79" s="20" t="s">
        <v>722</v>
      </c>
      <c r="F79" s="20" t="s">
        <v>723</v>
      </c>
      <c r="G79" s="8" t="str">
        <f t="shared" si="2"/>
        <v>ACKERMAN JARED</v>
      </c>
      <c r="H79" s="20" t="str">
        <f t="shared" si="3"/>
        <v>4063</v>
      </c>
    </row>
    <row r="80" spans="1:8" x14ac:dyDescent="0.25">
      <c r="A80" s="8">
        <v>43073.346261574072</v>
      </c>
      <c r="B80" s="20" t="s">
        <v>430</v>
      </c>
      <c r="C80" s="20" t="s">
        <v>663</v>
      </c>
      <c r="D80" s="137">
        <v>3680000</v>
      </c>
      <c r="E80" s="20" t="s">
        <v>681</v>
      </c>
      <c r="F80" s="20" t="s">
        <v>682</v>
      </c>
      <c r="G80" s="8" t="str">
        <f t="shared" si="2"/>
        <v>HAMMOND JUSTYNN</v>
      </c>
      <c r="H80" s="20" t="str">
        <f t="shared" si="3"/>
        <v>4021</v>
      </c>
    </row>
    <row r="81" spans="1:8" x14ac:dyDescent="0.25">
      <c r="A81" s="8">
        <v>43073.349351851852</v>
      </c>
      <c r="B81" s="20" t="s">
        <v>460</v>
      </c>
      <c r="C81" s="20" t="s">
        <v>738</v>
      </c>
      <c r="D81" s="137">
        <v>2010000</v>
      </c>
      <c r="E81" s="20" t="s">
        <v>521</v>
      </c>
      <c r="F81" s="20" t="s">
        <v>522</v>
      </c>
      <c r="G81" s="8" t="str">
        <f t="shared" si="2"/>
        <v>MAELZER KURT</v>
      </c>
      <c r="H81" s="20" t="str">
        <f t="shared" si="3"/>
        <v>4058</v>
      </c>
    </row>
    <row r="82" spans="1:8" x14ac:dyDescent="0.25">
      <c r="A82" s="8">
        <v>43073.353726851848</v>
      </c>
      <c r="B82" s="20" t="s">
        <v>474</v>
      </c>
      <c r="C82" s="20" t="s">
        <v>739</v>
      </c>
      <c r="D82" s="137">
        <v>2560000</v>
      </c>
      <c r="E82" s="20" t="s">
        <v>567</v>
      </c>
      <c r="F82" s="20" t="s">
        <v>568</v>
      </c>
      <c r="G82" s="8" t="str">
        <f t="shared" si="2"/>
        <v>MACDONALD THOMAS</v>
      </c>
      <c r="H82" s="20" t="str">
        <f t="shared" si="3"/>
        <v>4032</v>
      </c>
    </row>
    <row r="83" spans="1:8" x14ac:dyDescent="0.25">
      <c r="A83" s="8">
        <v>43073.355266203704</v>
      </c>
      <c r="B83" s="20" t="s">
        <v>351</v>
      </c>
      <c r="C83" s="20" t="s">
        <v>740</v>
      </c>
      <c r="D83" s="137">
        <v>1230000</v>
      </c>
      <c r="E83" s="20" t="s">
        <v>706</v>
      </c>
      <c r="F83" s="20" t="s">
        <v>707</v>
      </c>
      <c r="G83" s="8" t="str">
        <f t="shared" si="2"/>
        <v>YANAI IAN</v>
      </c>
      <c r="H83" s="20" t="str">
        <f t="shared" si="3"/>
        <v>4055</v>
      </c>
    </row>
    <row r="84" spans="1:8" x14ac:dyDescent="0.25">
      <c r="A84" s="8">
        <v>43073.359548611108</v>
      </c>
      <c r="B84" s="20" t="s">
        <v>358</v>
      </c>
      <c r="C84" s="20" t="s">
        <v>741</v>
      </c>
      <c r="D84" s="137">
        <v>3090000</v>
      </c>
      <c r="E84" s="20" t="s">
        <v>569</v>
      </c>
      <c r="F84" s="20" t="s">
        <v>570</v>
      </c>
      <c r="G84" s="8" t="str">
        <f t="shared" si="2"/>
        <v>LAMAR NEKESHA</v>
      </c>
      <c r="H84" s="20" t="str">
        <f t="shared" si="3"/>
        <v>4007</v>
      </c>
    </row>
    <row r="85" spans="1:8" x14ac:dyDescent="0.25">
      <c r="A85" s="8">
        <v>43073.360393518517</v>
      </c>
      <c r="B85" s="20" t="s">
        <v>563</v>
      </c>
      <c r="C85" s="20" t="s">
        <v>742</v>
      </c>
      <c r="D85" s="137">
        <v>1830000</v>
      </c>
      <c r="E85" s="20" t="s">
        <v>346</v>
      </c>
      <c r="F85" s="20" t="s">
        <v>347</v>
      </c>
      <c r="G85" s="8" t="str">
        <f t="shared" si="2"/>
        <v>YORK EDGAR</v>
      </c>
      <c r="H85" s="20" t="str">
        <f t="shared" si="3"/>
        <v>4009</v>
      </c>
    </row>
    <row r="86" spans="1:8" x14ac:dyDescent="0.25">
      <c r="A86" s="8">
        <v>43073.363796296297</v>
      </c>
      <c r="B86" s="20" t="s">
        <v>379</v>
      </c>
      <c r="C86" s="20" t="s">
        <v>743</v>
      </c>
      <c r="D86" s="137">
        <v>2600000</v>
      </c>
      <c r="E86" s="20" t="s">
        <v>694</v>
      </c>
      <c r="F86" s="20" t="s">
        <v>411</v>
      </c>
      <c r="G86" s="8" t="str">
        <f t="shared" si="2"/>
        <v>DAVIDSON DAVID</v>
      </c>
      <c r="H86" s="20" t="str">
        <f t="shared" si="3"/>
        <v>4030</v>
      </c>
    </row>
    <row r="87" spans="1:8" x14ac:dyDescent="0.25">
      <c r="A87" s="8">
        <v>43073.371770833335</v>
      </c>
      <c r="B87" s="20" t="s">
        <v>517</v>
      </c>
      <c r="C87" s="20" t="s">
        <v>744</v>
      </c>
      <c r="D87" s="137">
        <v>2370000</v>
      </c>
      <c r="E87" s="20" t="s">
        <v>527</v>
      </c>
      <c r="F87" s="20" t="s">
        <v>528</v>
      </c>
      <c r="G87" s="8" t="str">
        <f t="shared" si="2"/>
        <v>DELGADO DIANAH</v>
      </c>
      <c r="H87" s="20" t="str">
        <f t="shared" si="3"/>
        <v>4041</v>
      </c>
    </row>
    <row r="88" spans="1:8" x14ac:dyDescent="0.25">
      <c r="A88" s="8">
        <v>43073.373043981483</v>
      </c>
      <c r="B88" s="20" t="s">
        <v>413</v>
      </c>
      <c r="C88" s="20" t="s">
        <v>745</v>
      </c>
      <c r="D88" s="137">
        <v>1230000</v>
      </c>
      <c r="E88" s="20" t="s">
        <v>706</v>
      </c>
      <c r="F88" s="20" t="s">
        <v>707</v>
      </c>
      <c r="G88" s="8" t="str">
        <f t="shared" si="2"/>
        <v>YANAI IAN</v>
      </c>
      <c r="H88" s="20" t="str">
        <f t="shared" si="3"/>
        <v>4056</v>
      </c>
    </row>
    <row r="89" spans="1:8" x14ac:dyDescent="0.25">
      <c r="A89" s="8">
        <v>43073.375439814816</v>
      </c>
      <c r="B89" s="20" t="s">
        <v>720</v>
      </c>
      <c r="C89" s="20" t="s">
        <v>746</v>
      </c>
      <c r="D89" s="137">
        <v>3300000</v>
      </c>
      <c r="E89" s="20" t="s">
        <v>571</v>
      </c>
      <c r="F89" s="20" t="s">
        <v>572</v>
      </c>
      <c r="G89" s="8" t="str">
        <f t="shared" si="2"/>
        <v>LANGERAK WILLIAM</v>
      </c>
      <c r="H89" s="20" t="str">
        <f t="shared" si="3"/>
        <v>4064</v>
      </c>
    </row>
    <row r="90" spans="1:8" x14ac:dyDescent="0.25">
      <c r="A90" s="8">
        <v>43073.376701388886</v>
      </c>
      <c r="B90" s="20" t="s">
        <v>517</v>
      </c>
      <c r="C90" s="20" t="s">
        <v>744</v>
      </c>
      <c r="D90" s="137">
        <v>2470000</v>
      </c>
      <c r="E90" s="20" t="s">
        <v>578</v>
      </c>
      <c r="F90" s="20" t="s">
        <v>579</v>
      </c>
      <c r="G90" s="8" t="str">
        <f t="shared" si="2"/>
        <v>ROMERO CHAD</v>
      </c>
      <c r="H90" s="20" t="str">
        <f t="shared" si="3"/>
        <v>4041</v>
      </c>
    </row>
    <row r="91" spans="1:8" x14ac:dyDescent="0.25">
      <c r="A91" s="8">
        <v>43073.383553240739</v>
      </c>
      <c r="B91" s="20" t="s">
        <v>374</v>
      </c>
      <c r="C91" s="20" t="s">
        <v>747</v>
      </c>
      <c r="D91" s="137">
        <v>3680000</v>
      </c>
      <c r="E91" s="20" t="s">
        <v>681</v>
      </c>
      <c r="F91" s="20" t="s">
        <v>682</v>
      </c>
      <c r="G91" s="8" t="str">
        <f t="shared" si="2"/>
        <v>HAMMOND JUSTYNN</v>
      </c>
      <c r="H91" s="20" t="str">
        <f t="shared" si="3"/>
        <v>4022</v>
      </c>
    </row>
    <row r="92" spans="1:8" x14ac:dyDescent="0.25">
      <c r="A92" s="8">
        <v>43073.386273148149</v>
      </c>
      <c r="B92" s="20" t="s">
        <v>688</v>
      </c>
      <c r="C92" s="20" t="s">
        <v>748</v>
      </c>
      <c r="D92" s="137">
        <v>2010000</v>
      </c>
      <c r="E92" s="20" t="s">
        <v>521</v>
      </c>
      <c r="F92" s="20" t="s">
        <v>522</v>
      </c>
      <c r="G92" s="8" t="str">
        <f t="shared" si="2"/>
        <v>MAELZER KURT</v>
      </c>
      <c r="H92" s="20" t="str">
        <f t="shared" si="3"/>
        <v>4057</v>
      </c>
    </row>
    <row r="93" spans="1:8" x14ac:dyDescent="0.25">
      <c r="A93" s="8">
        <v>43073.392094907409</v>
      </c>
      <c r="B93" s="20" t="s">
        <v>351</v>
      </c>
      <c r="C93" s="20" t="s">
        <v>749</v>
      </c>
      <c r="D93" s="137">
        <v>1230000</v>
      </c>
      <c r="E93" s="20" t="s">
        <v>706</v>
      </c>
      <c r="F93" s="20" t="s">
        <v>707</v>
      </c>
      <c r="G93" s="8" t="str">
        <f t="shared" si="2"/>
        <v>YANAI IAN</v>
      </c>
      <c r="H93" s="20" t="str">
        <f t="shared" si="3"/>
        <v>4055</v>
      </c>
    </row>
    <row r="94" spans="1:8" x14ac:dyDescent="0.25">
      <c r="A94" s="8">
        <v>43073.393136574072</v>
      </c>
      <c r="B94" s="20" t="s">
        <v>356</v>
      </c>
      <c r="C94" s="20" t="s">
        <v>750</v>
      </c>
      <c r="D94" s="137">
        <v>3090000</v>
      </c>
      <c r="E94" s="20" t="s">
        <v>569</v>
      </c>
      <c r="F94" s="20" t="s">
        <v>570</v>
      </c>
      <c r="G94" s="8" t="str">
        <f t="shared" si="2"/>
        <v>LAMAR NEKESHA</v>
      </c>
      <c r="H94" s="20" t="str">
        <f t="shared" si="3"/>
        <v>4008</v>
      </c>
    </row>
    <row r="95" spans="1:8" x14ac:dyDescent="0.25">
      <c r="A95" s="8">
        <v>43073.393252314818</v>
      </c>
      <c r="B95" s="20" t="s">
        <v>376</v>
      </c>
      <c r="C95" s="20" t="s">
        <v>751</v>
      </c>
      <c r="D95" s="137">
        <v>2600000</v>
      </c>
      <c r="E95" s="20" t="s">
        <v>694</v>
      </c>
      <c r="F95" s="20" t="s">
        <v>411</v>
      </c>
      <c r="G95" s="8" t="str">
        <f t="shared" si="2"/>
        <v>DAVIDSON DAVID</v>
      </c>
      <c r="H95" s="20" t="str">
        <f t="shared" si="3"/>
        <v>4029</v>
      </c>
    </row>
    <row r="96" spans="1:8" x14ac:dyDescent="0.25">
      <c r="A96" s="8">
        <v>43073.404953703706</v>
      </c>
      <c r="B96" s="20" t="s">
        <v>582</v>
      </c>
      <c r="C96" s="20" t="s">
        <v>752</v>
      </c>
      <c r="D96" s="137">
        <v>3300000</v>
      </c>
      <c r="E96" s="20" t="s">
        <v>571</v>
      </c>
      <c r="F96" s="20" t="s">
        <v>572</v>
      </c>
      <c r="G96" s="8" t="str">
        <f t="shared" si="2"/>
        <v>LANGERAK WILLIAM</v>
      </c>
      <c r="H96" s="20" t="str">
        <f t="shared" si="3"/>
        <v>4063</v>
      </c>
    </row>
    <row r="97" spans="1:8" x14ac:dyDescent="0.25">
      <c r="A97" s="8">
        <v>43073.405057870368</v>
      </c>
      <c r="B97" s="20" t="s">
        <v>564</v>
      </c>
      <c r="C97" s="20" t="s">
        <v>753</v>
      </c>
      <c r="D97" s="137">
        <v>1830000</v>
      </c>
      <c r="E97" s="20" t="s">
        <v>346</v>
      </c>
      <c r="F97" s="20" t="s">
        <v>347</v>
      </c>
      <c r="G97" s="8" t="str">
        <f t="shared" si="2"/>
        <v>YORK EDGAR</v>
      </c>
      <c r="H97" s="20" t="str">
        <f t="shared" si="3"/>
        <v>4010</v>
      </c>
    </row>
    <row r="98" spans="1:8" x14ac:dyDescent="0.25">
      <c r="A98" s="8">
        <v>43073.41300925926</v>
      </c>
      <c r="B98" s="20" t="s">
        <v>523</v>
      </c>
      <c r="C98" s="20" t="s">
        <v>754</v>
      </c>
      <c r="D98" s="137">
        <v>2370000</v>
      </c>
      <c r="E98" s="20" t="s">
        <v>527</v>
      </c>
      <c r="F98" s="20" t="s">
        <v>528</v>
      </c>
      <c r="G98" s="8" t="str">
        <f t="shared" si="2"/>
        <v>DELGADO DIANAH</v>
      </c>
      <c r="H98" s="20" t="str">
        <f t="shared" si="3"/>
        <v>4042</v>
      </c>
    </row>
    <row r="99" spans="1:8" x14ac:dyDescent="0.25">
      <c r="A99" s="8">
        <v>43073.414571759262</v>
      </c>
      <c r="B99" s="20" t="s">
        <v>413</v>
      </c>
      <c r="C99" s="20" t="s">
        <v>755</v>
      </c>
      <c r="D99" s="137">
        <v>1230000</v>
      </c>
      <c r="E99" s="20" t="s">
        <v>706</v>
      </c>
      <c r="F99" s="20" t="s">
        <v>707</v>
      </c>
      <c r="G99" s="8" t="str">
        <f t="shared" si="2"/>
        <v>YANAI IAN</v>
      </c>
      <c r="H99" s="20" t="str">
        <f t="shared" si="3"/>
        <v>4056</v>
      </c>
    </row>
    <row r="100" spans="1:8" x14ac:dyDescent="0.25">
      <c r="A100" s="8">
        <v>43073.417395833334</v>
      </c>
      <c r="B100" s="20" t="s">
        <v>430</v>
      </c>
      <c r="C100" s="20" t="s">
        <v>747</v>
      </c>
      <c r="D100" s="137">
        <v>3680000</v>
      </c>
      <c r="E100" s="20" t="s">
        <v>681</v>
      </c>
      <c r="F100" s="20" t="s">
        <v>682</v>
      </c>
      <c r="G100" s="8" t="str">
        <f t="shared" si="2"/>
        <v>HAMMOND JUSTYNN</v>
      </c>
      <c r="H100" s="20" t="str">
        <f t="shared" si="3"/>
        <v>4021</v>
      </c>
    </row>
    <row r="101" spans="1:8" x14ac:dyDescent="0.25">
      <c r="A101" s="8">
        <v>43073.418171296296</v>
      </c>
      <c r="B101" s="20" t="s">
        <v>430</v>
      </c>
      <c r="C101" s="20" t="s">
        <v>756</v>
      </c>
      <c r="D101" s="137">
        <v>3680000</v>
      </c>
      <c r="E101" s="20" t="s">
        <v>681</v>
      </c>
      <c r="F101" s="20" t="s">
        <v>682</v>
      </c>
      <c r="G101" s="8" t="str">
        <f t="shared" si="2"/>
        <v>HAMMOND JUSTYNN</v>
      </c>
      <c r="H101" s="20" t="str">
        <f t="shared" si="3"/>
        <v>4021</v>
      </c>
    </row>
    <row r="102" spans="1:8" x14ac:dyDescent="0.25">
      <c r="A102" s="8">
        <v>43073.428298611114</v>
      </c>
      <c r="B102" s="20" t="s">
        <v>460</v>
      </c>
      <c r="C102" s="20" t="s">
        <v>757</v>
      </c>
      <c r="D102" s="137">
        <v>2560000</v>
      </c>
      <c r="E102" s="20" t="s">
        <v>567</v>
      </c>
      <c r="F102" s="20" t="s">
        <v>568</v>
      </c>
      <c r="G102" s="8" t="str">
        <f t="shared" si="2"/>
        <v>MACDONALD THOMAS</v>
      </c>
      <c r="H102" s="20" t="str">
        <f t="shared" si="3"/>
        <v>4058</v>
      </c>
    </row>
    <row r="103" spans="1:8" x14ac:dyDescent="0.25">
      <c r="A103" s="8">
        <v>43073.433703703704</v>
      </c>
      <c r="B103" s="20" t="s">
        <v>351</v>
      </c>
      <c r="C103" s="20" t="s">
        <v>758</v>
      </c>
      <c r="D103" s="137">
        <v>1230000</v>
      </c>
      <c r="E103" s="20" t="s">
        <v>706</v>
      </c>
      <c r="F103" s="20" t="s">
        <v>707</v>
      </c>
      <c r="G103" s="8" t="str">
        <f t="shared" si="2"/>
        <v>YANAI IAN</v>
      </c>
      <c r="H103" s="20" t="str">
        <f t="shared" si="3"/>
        <v>4055</v>
      </c>
    </row>
    <row r="104" spans="1:8" x14ac:dyDescent="0.25">
      <c r="A104" s="8">
        <v>43073.43440972222</v>
      </c>
      <c r="B104" s="20" t="s">
        <v>358</v>
      </c>
      <c r="C104" s="20" t="s">
        <v>759</v>
      </c>
      <c r="D104" s="137">
        <v>3090000</v>
      </c>
      <c r="E104" s="20" t="s">
        <v>569</v>
      </c>
      <c r="F104" s="20" t="s">
        <v>570</v>
      </c>
      <c r="G104" s="8" t="str">
        <f t="shared" si="2"/>
        <v>LAMAR NEKESHA</v>
      </c>
      <c r="H104" s="20" t="str">
        <f t="shared" si="3"/>
        <v>4007</v>
      </c>
    </row>
    <row r="105" spans="1:8" x14ac:dyDescent="0.25">
      <c r="A105" s="8">
        <v>43073.437638888892</v>
      </c>
      <c r="B105" s="20" t="s">
        <v>379</v>
      </c>
      <c r="C105" s="20" t="s">
        <v>760</v>
      </c>
      <c r="D105" s="137">
        <v>2600000</v>
      </c>
      <c r="E105" s="20" t="s">
        <v>694</v>
      </c>
      <c r="F105" s="20" t="s">
        <v>411</v>
      </c>
      <c r="G105" s="8" t="str">
        <f t="shared" si="2"/>
        <v>DAVIDSON DAVID</v>
      </c>
      <c r="H105" s="20" t="str">
        <f t="shared" si="3"/>
        <v>4030</v>
      </c>
    </row>
    <row r="106" spans="1:8" x14ac:dyDescent="0.25">
      <c r="A106" s="8">
        <v>43073.441840277781</v>
      </c>
      <c r="B106" s="20" t="s">
        <v>563</v>
      </c>
      <c r="C106" s="20" t="s">
        <v>664</v>
      </c>
      <c r="D106" s="137">
        <v>1830000</v>
      </c>
      <c r="E106" s="20" t="s">
        <v>346</v>
      </c>
      <c r="F106" s="20" t="s">
        <v>347</v>
      </c>
      <c r="G106" s="8" t="str">
        <f t="shared" si="2"/>
        <v>YORK EDGAR</v>
      </c>
      <c r="H106" s="20" t="str">
        <f t="shared" si="3"/>
        <v>4009</v>
      </c>
    </row>
    <row r="107" spans="1:8" x14ac:dyDescent="0.25">
      <c r="A107" s="8">
        <v>43073.445648148147</v>
      </c>
      <c r="B107" s="20" t="s">
        <v>517</v>
      </c>
      <c r="C107" s="20" t="s">
        <v>754</v>
      </c>
      <c r="D107" s="137">
        <v>2370000</v>
      </c>
      <c r="E107" s="20" t="s">
        <v>527</v>
      </c>
      <c r="F107" s="20" t="s">
        <v>528</v>
      </c>
      <c r="G107" s="8" t="str">
        <f t="shared" si="2"/>
        <v>DELGADO DIANAH</v>
      </c>
      <c r="H107" s="20" t="str">
        <f t="shared" si="3"/>
        <v>4041</v>
      </c>
    </row>
    <row r="108" spans="1:8" x14ac:dyDescent="0.25">
      <c r="A108" s="8">
        <v>43073.44740740741</v>
      </c>
      <c r="B108" s="20" t="s">
        <v>517</v>
      </c>
      <c r="C108" s="20" t="s">
        <v>761</v>
      </c>
      <c r="D108" s="137">
        <v>2370000</v>
      </c>
      <c r="E108" s="20" t="s">
        <v>527</v>
      </c>
      <c r="F108" s="20" t="s">
        <v>528</v>
      </c>
      <c r="G108" s="8" t="str">
        <f t="shared" si="2"/>
        <v>DELGADO DIANAH</v>
      </c>
      <c r="H108" s="20" t="str">
        <f t="shared" si="3"/>
        <v>4041</v>
      </c>
    </row>
    <row r="109" spans="1:8" x14ac:dyDescent="0.25">
      <c r="A109" s="8">
        <v>43073.448587962965</v>
      </c>
      <c r="B109" s="20" t="s">
        <v>720</v>
      </c>
      <c r="C109" s="20" t="s">
        <v>762</v>
      </c>
      <c r="D109" s="137">
        <v>3030000</v>
      </c>
      <c r="E109" s="20" t="s">
        <v>577</v>
      </c>
      <c r="F109" s="20" t="s">
        <v>568</v>
      </c>
      <c r="G109" s="8" t="str">
        <f t="shared" si="2"/>
        <v>BIRENBAUM THOMAS</v>
      </c>
      <c r="H109" s="20" t="str">
        <f t="shared" si="3"/>
        <v>4064</v>
      </c>
    </row>
    <row r="110" spans="1:8" x14ac:dyDescent="0.25">
      <c r="A110" s="8">
        <v>43073.456087962964</v>
      </c>
      <c r="B110" s="20" t="s">
        <v>413</v>
      </c>
      <c r="C110" s="20" t="s">
        <v>763</v>
      </c>
      <c r="D110" s="137">
        <v>1230000</v>
      </c>
      <c r="E110" s="20" t="s">
        <v>706</v>
      </c>
      <c r="F110" s="20" t="s">
        <v>707</v>
      </c>
      <c r="G110" s="8" t="str">
        <f t="shared" si="2"/>
        <v>YANAI IAN</v>
      </c>
      <c r="H110" s="20" t="str">
        <f t="shared" si="3"/>
        <v>4056</v>
      </c>
    </row>
    <row r="111" spans="1:8" x14ac:dyDescent="0.25">
      <c r="A111" s="8">
        <v>43073.457824074074</v>
      </c>
      <c r="B111" s="20" t="s">
        <v>374</v>
      </c>
      <c r="C111" s="20" t="s">
        <v>764</v>
      </c>
      <c r="D111" s="137">
        <v>2270000</v>
      </c>
      <c r="E111" s="20" t="s">
        <v>765</v>
      </c>
      <c r="F111" s="20" t="s">
        <v>766</v>
      </c>
      <c r="G111" s="8" t="str">
        <f t="shared" si="2"/>
        <v>BROWN JACOB</v>
      </c>
      <c r="H111" s="20" t="str">
        <f t="shared" si="3"/>
        <v>4022</v>
      </c>
    </row>
    <row r="112" spans="1:8" x14ac:dyDescent="0.25">
      <c r="A112" s="8">
        <v>43073.463113425925</v>
      </c>
      <c r="B112" s="20" t="s">
        <v>413</v>
      </c>
      <c r="C112" s="20" t="s">
        <v>763</v>
      </c>
      <c r="D112" s="137">
        <v>1760000</v>
      </c>
      <c r="E112" s="20" t="s">
        <v>525</v>
      </c>
      <c r="F112" s="20" t="s">
        <v>526</v>
      </c>
      <c r="G112" s="8" t="str">
        <f t="shared" si="2"/>
        <v>STRICKLAND EVAN</v>
      </c>
      <c r="H112" s="20" t="str">
        <f t="shared" si="3"/>
        <v>4056</v>
      </c>
    </row>
    <row r="113" spans="1:8" x14ac:dyDescent="0.25">
      <c r="A113" s="8">
        <v>43073.466620370367</v>
      </c>
      <c r="B113" s="20" t="s">
        <v>688</v>
      </c>
      <c r="C113" s="20" t="s">
        <v>767</v>
      </c>
      <c r="D113" s="137">
        <v>2560000</v>
      </c>
      <c r="E113" s="20" t="s">
        <v>567</v>
      </c>
      <c r="F113" s="20" t="s">
        <v>568</v>
      </c>
      <c r="G113" s="8" t="str">
        <f t="shared" si="2"/>
        <v>MACDONALD THOMAS</v>
      </c>
      <c r="H113" s="20" t="str">
        <f t="shared" si="3"/>
        <v>4057</v>
      </c>
    </row>
    <row r="114" spans="1:8" x14ac:dyDescent="0.25">
      <c r="A114" s="8">
        <v>43073.468807870369</v>
      </c>
      <c r="B114" s="20" t="s">
        <v>376</v>
      </c>
      <c r="C114" s="20" t="s">
        <v>768</v>
      </c>
      <c r="D114" s="137">
        <v>2600000</v>
      </c>
      <c r="E114" s="20" t="s">
        <v>694</v>
      </c>
      <c r="F114" s="20" t="s">
        <v>411</v>
      </c>
      <c r="G114" s="8" t="str">
        <f t="shared" si="2"/>
        <v>DAVIDSON DAVID</v>
      </c>
      <c r="H114" s="20" t="str">
        <f t="shared" si="3"/>
        <v>4029</v>
      </c>
    </row>
    <row r="115" spans="1:8" x14ac:dyDescent="0.25">
      <c r="A115" s="8">
        <v>43073.469699074078</v>
      </c>
      <c r="B115" s="20" t="s">
        <v>356</v>
      </c>
      <c r="C115" s="20" t="s">
        <v>769</v>
      </c>
      <c r="D115" s="137">
        <v>920000</v>
      </c>
      <c r="E115" s="20" t="s">
        <v>573</v>
      </c>
      <c r="F115" s="20" t="s">
        <v>352</v>
      </c>
      <c r="G115" s="8" t="str">
        <f t="shared" si="2"/>
        <v>DAVIS MICHAEL</v>
      </c>
      <c r="H115" s="20" t="str">
        <f t="shared" si="3"/>
        <v>4008</v>
      </c>
    </row>
    <row r="116" spans="1:8" x14ac:dyDescent="0.25">
      <c r="A116" s="8">
        <v>43073.476643518516</v>
      </c>
      <c r="B116" s="20" t="s">
        <v>351</v>
      </c>
      <c r="C116" s="20" t="s">
        <v>666</v>
      </c>
      <c r="D116" s="137">
        <v>1760000</v>
      </c>
      <c r="E116" s="20" t="s">
        <v>525</v>
      </c>
      <c r="F116" s="20" t="s">
        <v>526</v>
      </c>
      <c r="G116" s="8" t="str">
        <f t="shared" si="2"/>
        <v>STRICKLAND EVAN</v>
      </c>
      <c r="H116" s="20" t="str">
        <f t="shared" si="3"/>
        <v>4055</v>
      </c>
    </row>
    <row r="117" spans="1:8" x14ac:dyDescent="0.25">
      <c r="A117" s="8">
        <v>43073.476782407408</v>
      </c>
      <c r="B117" s="20" t="s">
        <v>564</v>
      </c>
      <c r="C117" s="20" t="s">
        <v>665</v>
      </c>
      <c r="D117" s="137">
        <v>880000</v>
      </c>
      <c r="E117" s="20" t="s">
        <v>414</v>
      </c>
      <c r="F117" s="20" t="s">
        <v>352</v>
      </c>
      <c r="G117" s="8" t="str">
        <f t="shared" si="2"/>
        <v>STEWART MICHAEL</v>
      </c>
      <c r="H117" s="20" t="str">
        <f t="shared" si="3"/>
        <v>4010</v>
      </c>
    </row>
    <row r="118" spans="1:8" x14ac:dyDescent="0.25">
      <c r="A118" s="8">
        <v>43073.480173611111</v>
      </c>
      <c r="B118" s="20" t="s">
        <v>582</v>
      </c>
      <c r="C118" s="20" t="s">
        <v>770</v>
      </c>
      <c r="D118" s="137">
        <v>3030000</v>
      </c>
      <c r="E118" s="20" t="s">
        <v>577</v>
      </c>
      <c r="F118" s="20" t="s">
        <v>568</v>
      </c>
      <c r="G118" s="8" t="str">
        <f t="shared" si="2"/>
        <v>BIRENBAUM THOMAS</v>
      </c>
      <c r="H118" s="20" t="str">
        <f t="shared" si="3"/>
        <v>4063</v>
      </c>
    </row>
    <row r="119" spans="1:8" x14ac:dyDescent="0.25">
      <c r="A119" s="8">
        <v>43073.487708333334</v>
      </c>
      <c r="B119" s="20" t="s">
        <v>523</v>
      </c>
      <c r="C119" s="20" t="s">
        <v>771</v>
      </c>
      <c r="D119" s="137">
        <v>3790000</v>
      </c>
      <c r="E119" s="20" t="s">
        <v>772</v>
      </c>
      <c r="F119" s="20" t="s">
        <v>773</v>
      </c>
      <c r="G119" s="8" t="str">
        <f t="shared" si="2"/>
        <v>NICHOLAS PLOYSA</v>
      </c>
      <c r="H119" s="20" t="str">
        <f t="shared" si="3"/>
        <v>4042</v>
      </c>
    </row>
    <row r="120" spans="1:8" x14ac:dyDescent="0.25">
      <c r="A120" s="8">
        <v>43073.496435185189</v>
      </c>
      <c r="B120" s="20" t="s">
        <v>430</v>
      </c>
      <c r="C120" s="20" t="s">
        <v>774</v>
      </c>
      <c r="D120" s="137">
        <v>2270000</v>
      </c>
      <c r="E120" s="20" t="s">
        <v>765</v>
      </c>
      <c r="F120" s="20" t="s">
        <v>766</v>
      </c>
      <c r="G120" s="8" t="str">
        <f t="shared" si="2"/>
        <v>BROWN JACOB</v>
      </c>
      <c r="H120" s="20" t="str">
        <f t="shared" si="3"/>
        <v>4021</v>
      </c>
    </row>
    <row r="121" spans="1:8" x14ac:dyDescent="0.25">
      <c r="A121" s="8">
        <v>43073.499675925923</v>
      </c>
      <c r="B121" s="20" t="s">
        <v>460</v>
      </c>
      <c r="C121" s="20" t="s">
        <v>775</v>
      </c>
      <c r="D121" s="137">
        <v>3840000</v>
      </c>
      <c r="E121" s="20" t="s">
        <v>776</v>
      </c>
      <c r="F121" s="20" t="s">
        <v>777</v>
      </c>
      <c r="G121" s="8" t="str">
        <f t="shared" si="2"/>
        <v>LONG FULLER</v>
      </c>
      <c r="H121" s="20" t="str">
        <f t="shared" si="3"/>
        <v>4058</v>
      </c>
    </row>
    <row r="122" spans="1:8" x14ac:dyDescent="0.25">
      <c r="A122" s="8">
        <v>43073.50204861111</v>
      </c>
      <c r="B122" s="25" t="s">
        <v>413</v>
      </c>
      <c r="C122" s="20" t="s">
        <v>778</v>
      </c>
      <c r="D122" s="137">
        <v>1230000</v>
      </c>
      <c r="E122" s="20" t="s">
        <v>706</v>
      </c>
      <c r="F122" s="20" t="s">
        <v>707</v>
      </c>
      <c r="G122" s="8" t="str">
        <f t="shared" si="2"/>
        <v>YANAI IAN</v>
      </c>
      <c r="H122" s="20" t="str">
        <f t="shared" si="3"/>
        <v>4056</v>
      </c>
    </row>
    <row r="123" spans="1:8" x14ac:dyDescent="0.25">
      <c r="A123" s="8">
        <v>43073.506840277776</v>
      </c>
      <c r="B123" s="20" t="s">
        <v>358</v>
      </c>
      <c r="C123" s="20" t="s">
        <v>779</v>
      </c>
      <c r="D123" s="137">
        <v>920000</v>
      </c>
      <c r="E123" s="20" t="s">
        <v>573</v>
      </c>
      <c r="F123" s="20" t="s">
        <v>352</v>
      </c>
      <c r="G123" s="8" t="str">
        <f t="shared" si="2"/>
        <v>DAVIS MICHAEL</v>
      </c>
      <c r="H123" s="20" t="str">
        <f t="shared" si="3"/>
        <v>4007</v>
      </c>
    </row>
    <row r="124" spans="1:8" x14ac:dyDescent="0.25">
      <c r="A124" s="8">
        <v>43073.510289351849</v>
      </c>
      <c r="B124" s="20" t="s">
        <v>379</v>
      </c>
      <c r="C124" s="20" t="s">
        <v>780</v>
      </c>
      <c r="D124" s="137">
        <v>2630000</v>
      </c>
      <c r="E124" s="20" t="s">
        <v>574</v>
      </c>
      <c r="F124" s="20" t="s">
        <v>575</v>
      </c>
      <c r="G124" s="8" t="str">
        <f t="shared" si="2"/>
        <v>SAFIEF AEIMEN</v>
      </c>
      <c r="H124" s="20" t="str">
        <f t="shared" si="3"/>
        <v>4030</v>
      </c>
    </row>
    <row r="125" spans="1:8" x14ac:dyDescent="0.25">
      <c r="A125" s="8">
        <v>43073.517337962963</v>
      </c>
      <c r="B125" s="20" t="s">
        <v>351</v>
      </c>
      <c r="C125" s="20" t="s">
        <v>781</v>
      </c>
      <c r="D125" s="137">
        <v>1230000</v>
      </c>
      <c r="E125" s="20" t="s">
        <v>706</v>
      </c>
      <c r="F125" s="20" t="s">
        <v>707</v>
      </c>
      <c r="G125" s="8" t="str">
        <f t="shared" si="2"/>
        <v>YANAI IAN</v>
      </c>
      <c r="H125" s="20" t="str">
        <f t="shared" si="3"/>
        <v>4055</v>
      </c>
    </row>
    <row r="126" spans="1:8" x14ac:dyDescent="0.25">
      <c r="A126" s="8">
        <v>43073.517407407409</v>
      </c>
      <c r="B126" s="20" t="s">
        <v>563</v>
      </c>
      <c r="C126" s="20" t="s">
        <v>782</v>
      </c>
      <c r="D126" s="137">
        <v>880000</v>
      </c>
      <c r="E126" s="20" t="s">
        <v>414</v>
      </c>
      <c r="F126" s="20" t="s">
        <v>352</v>
      </c>
      <c r="G126" s="8" t="str">
        <f t="shared" si="2"/>
        <v>STEWART MICHAEL</v>
      </c>
      <c r="H126" s="20" t="str">
        <f t="shared" si="3"/>
        <v>4009</v>
      </c>
    </row>
    <row r="127" spans="1:8" x14ac:dyDescent="0.25">
      <c r="A127" s="8">
        <v>43073.517800925925</v>
      </c>
      <c r="B127" s="20" t="s">
        <v>720</v>
      </c>
      <c r="C127" s="20" t="s">
        <v>783</v>
      </c>
      <c r="D127" s="137">
        <v>3030000</v>
      </c>
      <c r="E127" s="20" t="s">
        <v>577</v>
      </c>
      <c r="F127" s="20" t="s">
        <v>568</v>
      </c>
      <c r="G127" s="8" t="str">
        <f t="shared" si="2"/>
        <v>BIRENBAUM THOMAS</v>
      </c>
      <c r="H127" s="20" t="str">
        <f t="shared" si="3"/>
        <v>4064</v>
      </c>
    </row>
    <row r="128" spans="1:8" x14ac:dyDescent="0.25">
      <c r="A128" s="8">
        <v>43073.525023148148</v>
      </c>
      <c r="B128" s="20" t="s">
        <v>517</v>
      </c>
      <c r="C128" s="20" t="s">
        <v>784</v>
      </c>
      <c r="D128" s="137">
        <v>3790000</v>
      </c>
      <c r="E128" s="20" t="s">
        <v>772</v>
      </c>
      <c r="F128" s="20" t="s">
        <v>773</v>
      </c>
      <c r="G128" s="8" t="str">
        <f t="shared" si="2"/>
        <v>NICHOLAS PLOYSA</v>
      </c>
      <c r="H128" s="20" t="str">
        <f t="shared" si="3"/>
        <v>4041</v>
      </c>
    </row>
    <row r="129" spans="1:8" x14ac:dyDescent="0.25">
      <c r="A129" s="8">
        <v>43073.528900462959</v>
      </c>
      <c r="B129" s="20" t="s">
        <v>374</v>
      </c>
      <c r="C129" s="20" t="s">
        <v>785</v>
      </c>
      <c r="D129" s="137">
        <v>2230000</v>
      </c>
      <c r="E129" s="20" t="s">
        <v>576</v>
      </c>
      <c r="F129" s="20" t="s">
        <v>352</v>
      </c>
      <c r="G129" s="8" t="str">
        <f t="shared" si="2"/>
        <v>SMITH MICHAEL</v>
      </c>
      <c r="H129" s="20" t="str">
        <f t="shared" si="3"/>
        <v>4022</v>
      </c>
    </row>
    <row r="130" spans="1:8" x14ac:dyDescent="0.25">
      <c r="A130" s="8">
        <v>43073.530277777776</v>
      </c>
      <c r="B130" s="20" t="s">
        <v>688</v>
      </c>
      <c r="C130" s="20" t="s">
        <v>786</v>
      </c>
      <c r="D130" s="137">
        <v>3840000</v>
      </c>
      <c r="E130" s="20" t="s">
        <v>776</v>
      </c>
      <c r="F130" s="20" t="s">
        <v>777</v>
      </c>
      <c r="G130" s="8" t="str">
        <f t="shared" si="2"/>
        <v>LONG FULLER</v>
      </c>
      <c r="H130" s="20" t="str">
        <f t="shared" si="3"/>
        <v>4057</v>
      </c>
    </row>
    <row r="131" spans="1:8" x14ac:dyDescent="0.25">
      <c r="A131" s="8">
        <v>43073.54109953704</v>
      </c>
      <c r="B131" s="20" t="s">
        <v>356</v>
      </c>
      <c r="C131" s="20" t="s">
        <v>787</v>
      </c>
      <c r="D131" s="137">
        <v>920000</v>
      </c>
      <c r="E131" s="20" t="s">
        <v>573</v>
      </c>
      <c r="F131" s="20" t="s">
        <v>352</v>
      </c>
      <c r="G131" s="8" t="str">
        <f t="shared" ref="G131:G194" si="4">E131&amp;" "&amp;F131</f>
        <v>DAVIS MICHAEL</v>
      </c>
      <c r="H131" s="20" t="str">
        <f t="shared" ref="H131:H194" si="5">MID(B131,13,4)</f>
        <v>4008</v>
      </c>
    </row>
    <row r="132" spans="1:8" x14ac:dyDescent="0.25">
      <c r="A132" s="8">
        <v>43073.541238425925</v>
      </c>
      <c r="B132" s="20" t="s">
        <v>376</v>
      </c>
      <c r="C132" s="20" t="s">
        <v>667</v>
      </c>
      <c r="D132" s="137">
        <v>2630000</v>
      </c>
      <c r="E132" s="20" t="s">
        <v>574</v>
      </c>
      <c r="F132" s="20" t="s">
        <v>575</v>
      </c>
      <c r="G132" s="8" t="str">
        <f t="shared" si="4"/>
        <v>SAFIEF AEIMEN</v>
      </c>
      <c r="H132" s="20" t="str">
        <f t="shared" si="5"/>
        <v>4029</v>
      </c>
    </row>
    <row r="133" spans="1:8" x14ac:dyDescent="0.25">
      <c r="A133" s="8">
        <v>43073.543124999997</v>
      </c>
      <c r="B133" s="20" t="s">
        <v>413</v>
      </c>
      <c r="C133" s="20" t="s">
        <v>788</v>
      </c>
      <c r="D133" s="137">
        <v>1300000</v>
      </c>
      <c r="E133" s="20" t="s">
        <v>789</v>
      </c>
      <c r="F133" s="20" t="s">
        <v>790</v>
      </c>
      <c r="G133" s="8" t="str">
        <f t="shared" si="4"/>
        <v>LEVIN SCOTT</v>
      </c>
      <c r="H133" s="20" t="str">
        <f t="shared" si="5"/>
        <v>4056</v>
      </c>
    </row>
    <row r="134" spans="1:8" x14ac:dyDescent="0.25">
      <c r="A134" s="8">
        <v>43073.547025462962</v>
      </c>
      <c r="B134" s="20" t="s">
        <v>582</v>
      </c>
      <c r="C134" s="20" t="s">
        <v>791</v>
      </c>
      <c r="D134" s="137">
        <v>3030000</v>
      </c>
      <c r="E134" s="20" t="s">
        <v>577</v>
      </c>
      <c r="F134" s="20" t="s">
        <v>568</v>
      </c>
      <c r="G134" s="8" t="str">
        <f t="shared" si="4"/>
        <v>BIRENBAUM THOMAS</v>
      </c>
      <c r="H134" s="20" t="str">
        <f t="shared" si="5"/>
        <v>4063</v>
      </c>
    </row>
    <row r="135" spans="1:8" x14ac:dyDescent="0.25">
      <c r="A135" s="8">
        <v>43073.550428240742</v>
      </c>
      <c r="B135" s="20" t="s">
        <v>564</v>
      </c>
      <c r="C135" s="20" t="s">
        <v>792</v>
      </c>
      <c r="D135" s="137">
        <v>880000</v>
      </c>
      <c r="E135" s="20" t="s">
        <v>414</v>
      </c>
      <c r="F135" s="20" t="s">
        <v>352</v>
      </c>
      <c r="G135" s="8" t="str">
        <f t="shared" si="4"/>
        <v>STEWART MICHAEL</v>
      </c>
      <c r="H135" s="20" t="str">
        <f t="shared" si="5"/>
        <v>4010</v>
      </c>
    </row>
    <row r="136" spans="1:8" x14ac:dyDescent="0.25">
      <c r="A136" s="8">
        <v>43073.55878472222</v>
      </c>
      <c r="B136" s="20" t="s">
        <v>523</v>
      </c>
      <c r="C136" s="20" t="s">
        <v>793</v>
      </c>
      <c r="D136" s="137">
        <v>3790000</v>
      </c>
      <c r="E136" s="20" t="s">
        <v>772</v>
      </c>
      <c r="F136" s="20" t="s">
        <v>773</v>
      </c>
      <c r="G136" s="8" t="str">
        <f t="shared" si="4"/>
        <v>NICHOLAS PLOYSA</v>
      </c>
      <c r="H136" s="20" t="str">
        <f t="shared" si="5"/>
        <v>4042</v>
      </c>
    </row>
    <row r="137" spans="1:8" x14ac:dyDescent="0.25">
      <c r="A137" s="8">
        <v>43073.559340277781</v>
      </c>
      <c r="B137" s="20" t="s">
        <v>351</v>
      </c>
      <c r="C137" s="20" t="s">
        <v>794</v>
      </c>
      <c r="D137" s="137">
        <v>1300000</v>
      </c>
      <c r="E137" s="20" t="s">
        <v>789</v>
      </c>
      <c r="F137" s="20" t="s">
        <v>790</v>
      </c>
      <c r="G137" s="8" t="str">
        <f t="shared" si="4"/>
        <v>LEVIN SCOTT</v>
      </c>
      <c r="H137" s="20" t="str">
        <f t="shared" si="5"/>
        <v>4055</v>
      </c>
    </row>
    <row r="138" spans="1:8" x14ac:dyDescent="0.25">
      <c r="A138" s="8">
        <v>43073.56050925926</v>
      </c>
      <c r="B138" s="20" t="s">
        <v>582</v>
      </c>
      <c r="C138" s="20" t="s">
        <v>791</v>
      </c>
      <c r="D138" s="137">
        <v>3030000</v>
      </c>
      <c r="E138" s="20" t="s">
        <v>577</v>
      </c>
      <c r="F138" s="20" t="s">
        <v>568</v>
      </c>
      <c r="G138" s="8" t="str">
        <f t="shared" si="4"/>
        <v>BIRENBAUM THOMAS</v>
      </c>
      <c r="H138" s="20" t="str">
        <f t="shared" si="5"/>
        <v>4063</v>
      </c>
    </row>
    <row r="139" spans="1:8" x14ac:dyDescent="0.25">
      <c r="A139" s="8">
        <v>43073.566631944443</v>
      </c>
      <c r="B139" s="20" t="s">
        <v>430</v>
      </c>
      <c r="C139" s="20" t="s">
        <v>795</v>
      </c>
      <c r="D139" s="137">
        <v>2230000</v>
      </c>
      <c r="E139" s="20" t="s">
        <v>576</v>
      </c>
      <c r="F139" s="20" t="s">
        <v>352</v>
      </c>
      <c r="G139" s="8" t="str">
        <f t="shared" si="4"/>
        <v>SMITH MICHAEL</v>
      </c>
      <c r="H139" s="20" t="str">
        <f t="shared" si="5"/>
        <v>4021</v>
      </c>
    </row>
    <row r="140" spans="1:8" x14ac:dyDescent="0.25">
      <c r="A140" s="8">
        <v>43073.570416666669</v>
      </c>
      <c r="B140" s="20" t="s">
        <v>460</v>
      </c>
      <c r="C140" s="20" t="s">
        <v>796</v>
      </c>
      <c r="D140" s="137">
        <v>3840000</v>
      </c>
      <c r="E140" s="20" t="s">
        <v>776</v>
      </c>
      <c r="F140" s="20" t="s">
        <v>777</v>
      </c>
      <c r="G140" s="8" t="str">
        <f t="shared" si="4"/>
        <v>LONG FULLER</v>
      </c>
      <c r="H140" s="20" t="str">
        <f t="shared" si="5"/>
        <v>4058</v>
      </c>
    </row>
    <row r="141" spans="1:8" x14ac:dyDescent="0.25">
      <c r="A141" s="8">
        <v>43073.579247685186</v>
      </c>
      <c r="B141" s="20" t="s">
        <v>358</v>
      </c>
      <c r="C141" s="20" t="s">
        <v>797</v>
      </c>
      <c r="D141" s="137">
        <v>920000</v>
      </c>
      <c r="E141" s="20" t="s">
        <v>573</v>
      </c>
      <c r="F141" s="20" t="s">
        <v>352</v>
      </c>
      <c r="G141" s="8" t="str">
        <f t="shared" si="4"/>
        <v>DAVIS MICHAEL</v>
      </c>
      <c r="H141" s="20" t="str">
        <f t="shared" si="5"/>
        <v>4007</v>
      </c>
    </row>
    <row r="142" spans="1:8" x14ac:dyDescent="0.25">
      <c r="A142" s="8">
        <v>43073.581377314818</v>
      </c>
      <c r="B142" s="20" t="s">
        <v>379</v>
      </c>
      <c r="C142" s="20" t="s">
        <v>798</v>
      </c>
      <c r="D142" s="137">
        <v>2630000</v>
      </c>
      <c r="E142" s="20" t="s">
        <v>574</v>
      </c>
      <c r="F142" s="20" t="s">
        <v>575</v>
      </c>
      <c r="G142" s="8" t="str">
        <f t="shared" si="4"/>
        <v>SAFIEF AEIMEN</v>
      </c>
      <c r="H142" s="20" t="str">
        <f t="shared" si="5"/>
        <v>4030</v>
      </c>
    </row>
    <row r="143" spans="1:8" x14ac:dyDescent="0.25">
      <c r="A143" s="8">
        <v>43073.585497685184</v>
      </c>
      <c r="B143" s="20" t="s">
        <v>413</v>
      </c>
      <c r="C143" s="20" t="s">
        <v>799</v>
      </c>
      <c r="D143" s="137">
        <v>1300000</v>
      </c>
      <c r="E143" s="20" t="s">
        <v>789</v>
      </c>
      <c r="F143" s="20" t="s">
        <v>790</v>
      </c>
      <c r="G143" s="8" t="str">
        <f t="shared" si="4"/>
        <v>LEVIN SCOTT</v>
      </c>
      <c r="H143" s="20" t="str">
        <f t="shared" si="5"/>
        <v>4056</v>
      </c>
    </row>
    <row r="144" spans="1:8" x14ac:dyDescent="0.25">
      <c r="A144" s="8">
        <v>43073.587627314817</v>
      </c>
      <c r="B144" s="20" t="s">
        <v>563</v>
      </c>
      <c r="C144" s="20" t="s">
        <v>800</v>
      </c>
      <c r="D144" s="137">
        <v>880000</v>
      </c>
      <c r="E144" s="20" t="s">
        <v>414</v>
      </c>
      <c r="F144" s="20" t="s">
        <v>352</v>
      </c>
      <c r="G144" s="8" t="str">
        <f t="shared" si="4"/>
        <v>STEWART MICHAEL</v>
      </c>
      <c r="H144" s="20" t="str">
        <f t="shared" si="5"/>
        <v>4009</v>
      </c>
    </row>
    <row r="145" spans="1:8" x14ac:dyDescent="0.25">
      <c r="A145" s="8">
        <v>43073.591643518521</v>
      </c>
      <c r="B145" s="20" t="s">
        <v>720</v>
      </c>
      <c r="C145" s="20" t="s">
        <v>801</v>
      </c>
      <c r="D145" s="137">
        <v>3030000</v>
      </c>
      <c r="E145" s="20" t="s">
        <v>577</v>
      </c>
      <c r="F145" s="20" t="s">
        <v>568</v>
      </c>
      <c r="G145" s="8" t="str">
        <f t="shared" si="4"/>
        <v>BIRENBAUM THOMAS</v>
      </c>
      <c r="H145" s="20" t="str">
        <f t="shared" si="5"/>
        <v>4064</v>
      </c>
    </row>
    <row r="146" spans="1:8" x14ac:dyDescent="0.25">
      <c r="A146" s="8">
        <v>43073.596886574072</v>
      </c>
      <c r="B146" s="20" t="s">
        <v>517</v>
      </c>
      <c r="C146" s="20" t="s">
        <v>802</v>
      </c>
      <c r="D146" s="137">
        <v>3790000</v>
      </c>
      <c r="E146" s="20" t="s">
        <v>772</v>
      </c>
      <c r="F146" s="20" t="s">
        <v>773</v>
      </c>
      <c r="G146" s="8" t="str">
        <f t="shared" si="4"/>
        <v>NICHOLAS PLOYSA</v>
      </c>
      <c r="H146" s="20" t="str">
        <f t="shared" si="5"/>
        <v>4041</v>
      </c>
    </row>
    <row r="147" spans="1:8" x14ac:dyDescent="0.25">
      <c r="A147" s="8">
        <v>43073.60056712963</v>
      </c>
      <c r="B147" s="20" t="s">
        <v>374</v>
      </c>
      <c r="C147" s="20" t="s">
        <v>803</v>
      </c>
      <c r="D147" s="137">
        <v>2230000</v>
      </c>
      <c r="E147" s="20" t="s">
        <v>576</v>
      </c>
      <c r="F147" s="20" t="s">
        <v>352</v>
      </c>
      <c r="G147" s="8" t="str">
        <f t="shared" si="4"/>
        <v>SMITH MICHAEL</v>
      </c>
      <c r="H147" s="20" t="str">
        <f t="shared" si="5"/>
        <v>4022</v>
      </c>
    </row>
    <row r="148" spans="1:8" x14ac:dyDescent="0.25">
      <c r="A148" s="8">
        <v>43073.600856481484</v>
      </c>
      <c r="B148" s="20" t="s">
        <v>351</v>
      </c>
      <c r="C148" s="20" t="s">
        <v>804</v>
      </c>
      <c r="D148" s="137">
        <v>1300000</v>
      </c>
      <c r="E148" s="20" t="s">
        <v>789</v>
      </c>
      <c r="F148" s="20" t="s">
        <v>790</v>
      </c>
      <c r="G148" s="8" t="str">
        <f t="shared" si="4"/>
        <v>LEVIN SCOTT</v>
      </c>
      <c r="H148" s="20" t="str">
        <f t="shared" si="5"/>
        <v>4055</v>
      </c>
    </row>
    <row r="149" spans="1:8" x14ac:dyDescent="0.25">
      <c r="A149" s="8">
        <v>43073.606828703705</v>
      </c>
      <c r="B149" s="20" t="s">
        <v>720</v>
      </c>
      <c r="C149" s="20" t="s">
        <v>801</v>
      </c>
      <c r="D149" s="137">
        <v>3030000</v>
      </c>
      <c r="E149" s="20" t="s">
        <v>577</v>
      </c>
      <c r="F149" s="20" t="s">
        <v>568</v>
      </c>
      <c r="G149" s="8" t="str">
        <f t="shared" si="4"/>
        <v>BIRENBAUM THOMAS</v>
      </c>
      <c r="H149" s="20" t="str">
        <f t="shared" si="5"/>
        <v>4064</v>
      </c>
    </row>
    <row r="150" spans="1:8" x14ac:dyDescent="0.25">
      <c r="A150" s="8">
        <v>43073.608946759261</v>
      </c>
      <c r="B150" s="20" t="s">
        <v>688</v>
      </c>
      <c r="C150" s="20" t="s">
        <v>805</v>
      </c>
      <c r="D150" s="137">
        <v>3840000</v>
      </c>
      <c r="E150" s="20" t="s">
        <v>776</v>
      </c>
      <c r="F150" s="20" t="s">
        <v>777</v>
      </c>
      <c r="G150" s="8" t="str">
        <f t="shared" si="4"/>
        <v>LONG FULLER</v>
      </c>
      <c r="H150" s="20" t="str">
        <f t="shared" si="5"/>
        <v>4057</v>
      </c>
    </row>
    <row r="151" spans="1:8" x14ac:dyDescent="0.25">
      <c r="A151" s="8">
        <v>43073.61037037037</v>
      </c>
      <c r="B151" s="20" t="s">
        <v>376</v>
      </c>
      <c r="C151" s="20" t="s">
        <v>806</v>
      </c>
      <c r="D151" s="137">
        <v>2630000</v>
      </c>
      <c r="E151" s="20" t="s">
        <v>574</v>
      </c>
      <c r="F151" s="20" t="s">
        <v>575</v>
      </c>
      <c r="G151" s="8" t="str">
        <f t="shared" si="4"/>
        <v>SAFIEF AEIMEN</v>
      </c>
      <c r="H151" s="20" t="str">
        <f t="shared" si="5"/>
        <v>4029</v>
      </c>
    </row>
    <row r="152" spans="1:8" x14ac:dyDescent="0.25">
      <c r="A152" s="8">
        <v>43073.613310185188</v>
      </c>
      <c r="B152" s="20" t="s">
        <v>356</v>
      </c>
      <c r="C152" s="20" t="s">
        <v>807</v>
      </c>
      <c r="D152" s="137">
        <v>920000</v>
      </c>
      <c r="E152" s="20" t="s">
        <v>573</v>
      </c>
      <c r="F152" s="20" t="s">
        <v>352</v>
      </c>
      <c r="G152" s="8" t="str">
        <f t="shared" si="4"/>
        <v>DAVIS MICHAEL</v>
      </c>
      <c r="H152" s="20" t="str">
        <f t="shared" si="5"/>
        <v>4008</v>
      </c>
    </row>
    <row r="153" spans="1:8" x14ac:dyDescent="0.25">
      <c r="A153" s="8">
        <v>43073.621249999997</v>
      </c>
      <c r="B153" s="20" t="s">
        <v>564</v>
      </c>
      <c r="C153" s="20" t="s">
        <v>808</v>
      </c>
      <c r="D153" s="137">
        <v>880000</v>
      </c>
      <c r="E153" s="20" t="s">
        <v>414</v>
      </c>
      <c r="F153" s="20" t="s">
        <v>352</v>
      </c>
      <c r="G153" s="8" t="str">
        <f t="shared" si="4"/>
        <v>STEWART MICHAEL</v>
      </c>
      <c r="H153" s="20" t="str">
        <f t="shared" si="5"/>
        <v>4010</v>
      </c>
    </row>
    <row r="154" spans="1:8" x14ac:dyDescent="0.25">
      <c r="A154" s="8">
        <v>43073.626597222225</v>
      </c>
      <c r="B154" s="20" t="s">
        <v>582</v>
      </c>
      <c r="C154" s="20" t="s">
        <v>809</v>
      </c>
      <c r="D154" s="137">
        <v>3030000</v>
      </c>
      <c r="E154" s="20" t="s">
        <v>577</v>
      </c>
      <c r="F154" s="20" t="s">
        <v>568</v>
      </c>
      <c r="G154" s="8" t="str">
        <f t="shared" si="4"/>
        <v>BIRENBAUM THOMAS</v>
      </c>
      <c r="H154" s="20" t="str">
        <f t="shared" si="5"/>
        <v>4063</v>
      </c>
    </row>
    <row r="155" spans="1:8" x14ac:dyDescent="0.25">
      <c r="A155" s="8">
        <v>43073.630787037036</v>
      </c>
      <c r="B155" s="20" t="s">
        <v>413</v>
      </c>
      <c r="C155" s="20" t="s">
        <v>810</v>
      </c>
      <c r="D155" s="137">
        <v>1300000</v>
      </c>
      <c r="E155" s="20" t="s">
        <v>789</v>
      </c>
      <c r="F155" s="20" t="s">
        <v>790</v>
      </c>
      <c r="G155" s="8" t="str">
        <f t="shared" si="4"/>
        <v>LEVIN SCOTT</v>
      </c>
      <c r="H155" s="20" t="str">
        <f t="shared" si="5"/>
        <v>4056</v>
      </c>
    </row>
    <row r="156" spans="1:8" x14ac:dyDescent="0.25">
      <c r="A156" s="8">
        <v>43073.633067129631</v>
      </c>
      <c r="B156" s="20" t="s">
        <v>473</v>
      </c>
      <c r="C156" s="20" t="s">
        <v>811</v>
      </c>
      <c r="D156" s="137">
        <v>3700000</v>
      </c>
      <c r="E156" s="20" t="s">
        <v>812</v>
      </c>
      <c r="F156" s="20" t="s">
        <v>565</v>
      </c>
      <c r="G156" s="8" t="str">
        <f t="shared" si="4"/>
        <v>AUSTIN THOMPSON</v>
      </c>
      <c r="H156" s="20" t="str">
        <f t="shared" si="5"/>
        <v>4031</v>
      </c>
    </row>
    <row r="157" spans="1:8" x14ac:dyDescent="0.25">
      <c r="A157" s="8">
        <v>43073.633379629631</v>
      </c>
      <c r="B157" s="20" t="s">
        <v>523</v>
      </c>
      <c r="C157" s="20" t="s">
        <v>813</v>
      </c>
      <c r="D157" s="137">
        <v>3790000</v>
      </c>
      <c r="E157" s="20" t="s">
        <v>772</v>
      </c>
      <c r="F157" s="20" t="s">
        <v>773</v>
      </c>
      <c r="G157" s="8" t="str">
        <f t="shared" si="4"/>
        <v>NICHOLAS PLOYSA</v>
      </c>
      <c r="H157" s="20" t="str">
        <f t="shared" si="5"/>
        <v>4042</v>
      </c>
    </row>
    <row r="158" spans="1:8" x14ac:dyDescent="0.25">
      <c r="A158" s="8">
        <v>43073.635057870371</v>
      </c>
      <c r="B158" s="20" t="s">
        <v>430</v>
      </c>
      <c r="C158" s="20" t="s">
        <v>814</v>
      </c>
      <c r="D158" s="137">
        <v>2230000</v>
      </c>
      <c r="E158" s="20" t="s">
        <v>576</v>
      </c>
      <c r="F158" s="20" t="s">
        <v>352</v>
      </c>
      <c r="G158" s="8" t="str">
        <f t="shared" si="4"/>
        <v>SMITH MICHAEL</v>
      </c>
      <c r="H158" s="20" t="str">
        <f t="shared" si="5"/>
        <v>4021</v>
      </c>
    </row>
    <row r="159" spans="1:8" x14ac:dyDescent="0.25">
      <c r="A159" s="8">
        <v>43073.639340277776</v>
      </c>
      <c r="B159" s="20" t="s">
        <v>460</v>
      </c>
      <c r="C159" s="20" t="s">
        <v>815</v>
      </c>
      <c r="D159" s="137">
        <v>3840000</v>
      </c>
      <c r="E159" s="20" t="s">
        <v>776</v>
      </c>
      <c r="F159" s="20" t="s">
        <v>777</v>
      </c>
      <c r="G159" s="8" t="str">
        <f t="shared" si="4"/>
        <v>LONG FULLER</v>
      </c>
      <c r="H159" s="20" t="str">
        <f t="shared" si="5"/>
        <v>4058</v>
      </c>
    </row>
    <row r="160" spans="1:8" x14ac:dyDescent="0.25">
      <c r="A160" s="8">
        <v>43073.642939814818</v>
      </c>
      <c r="B160" s="20" t="s">
        <v>351</v>
      </c>
      <c r="C160" s="20" t="s">
        <v>816</v>
      </c>
      <c r="D160" s="137">
        <v>1300000</v>
      </c>
      <c r="E160" s="20" t="s">
        <v>789</v>
      </c>
      <c r="F160" s="20" t="s">
        <v>790</v>
      </c>
      <c r="G160" s="8" t="str">
        <f t="shared" si="4"/>
        <v>LEVIN SCOTT</v>
      </c>
      <c r="H160" s="20" t="str">
        <f t="shared" si="5"/>
        <v>4055</v>
      </c>
    </row>
    <row r="161" spans="1:8" x14ac:dyDescent="0.25">
      <c r="A161" s="8">
        <v>43073.645578703705</v>
      </c>
      <c r="B161" s="20" t="s">
        <v>474</v>
      </c>
      <c r="C161" s="20" t="s">
        <v>817</v>
      </c>
      <c r="D161" s="137">
        <v>3700000</v>
      </c>
      <c r="E161" s="20" t="s">
        <v>812</v>
      </c>
      <c r="F161" s="20" t="s">
        <v>565</v>
      </c>
      <c r="G161" s="8" t="str">
        <f t="shared" si="4"/>
        <v>AUSTIN THOMPSON</v>
      </c>
      <c r="H161" s="20" t="str">
        <f t="shared" si="5"/>
        <v>4032</v>
      </c>
    </row>
    <row r="162" spans="1:8" x14ac:dyDescent="0.25">
      <c r="A162" s="8">
        <v>43073.652592592596</v>
      </c>
      <c r="B162" s="20" t="s">
        <v>358</v>
      </c>
      <c r="C162" s="20" t="s">
        <v>818</v>
      </c>
      <c r="D162" s="137">
        <v>920000</v>
      </c>
      <c r="E162" s="20" t="s">
        <v>573</v>
      </c>
      <c r="F162" s="20" t="s">
        <v>352</v>
      </c>
      <c r="G162" s="8" t="str">
        <f t="shared" si="4"/>
        <v>DAVIS MICHAEL</v>
      </c>
      <c r="H162" s="20" t="str">
        <f t="shared" si="5"/>
        <v>4007</v>
      </c>
    </row>
    <row r="163" spans="1:8" x14ac:dyDescent="0.25">
      <c r="A163" s="8">
        <v>43073.65351851852</v>
      </c>
      <c r="B163" s="20" t="s">
        <v>379</v>
      </c>
      <c r="C163" s="20" t="s">
        <v>819</v>
      </c>
      <c r="D163" s="137">
        <v>2630000</v>
      </c>
      <c r="E163" s="20" t="s">
        <v>574</v>
      </c>
      <c r="F163" s="20" t="s">
        <v>575</v>
      </c>
      <c r="G163" s="8" t="str">
        <f t="shared" si="4"/>
        <v>SAFIEF AEIMEN</v>
      </c>
      <c r="H163" s="20" t="str">
        <f t="shared" si="5"/>
        <v>4030</v>
      </c>
    </row>
    <row r="164" spans="1:8" x14ac:dyDescent="0.25">
      <c r="A164" s="8">
        <v>43073.660844907405</v>
      </c>
      <c r="B164" s="20" t="s">
        <v>720</v>
      </c>
      <c r="C164" s="20" t="s">
        <v>820</v>
      </c>
      <c r="D164" s="137">
        <v>3030000</v>
      </c>
      <c r="E164" s="20" t="s">
        <v>577</v>
      </c>
      <c r="F164" s="20" t="s">
        <v>568</v>
      </c>
      <c r="G164" s="8" t="str">
        <f t="shared" si="4"/>
        <v>BIRENBAUM THOMAS</v>
      </c>
      <c r="H164" s="20" t="str">
        <f t="shared" si="5"/>
        <v>4064</v>
      </c>
    </row>
    <row r="165" spans="1:8" x14ac:dyDescent="0.25">
      <c r="A165" s="8">
        <v>43073.66128472222</v>
      </c>
      <c r="B165" s="20" t="s">
        <v>563</v>
      </c>
      <c r="C165" s="20" t="s">
        <v>821</v>
      </c>
      <c r="D165" s="137">
        <v>880000</v>
      </c>
      <c r="E165" s="20" t="s">
        <v>414</v>
      </c>
      <c r="F165" s="20" t="s">
        <v>352</v>
      </c>
      <c r="G165" s="8" t="str">
        <f t="shared" si="4"/>
        <v>STEWART MICHAEL</v>
      </c>
      <c r="H165" s="20" t="str">
        <f t="shared" si="5"/>
        <v>4009</v>
      </c>
    </row>
    <row r="166" spans="1:8" x14ac:dyDescent="0.25">
      <c r="A166" s="8">
        <v>43073.664074074077</v>
      </c>
      <c r="B166" s="20" t="s">
        <v>473</v>
      </c>
      <c r="C166" s="20" t="s">
        <v>822</v>
      </c>
      <c r="D166" s="137">
        <v>3700000</v>
      </c>
      <c r="E166" s="20" t="s">
        <v>812</v>
      </c>
      <c r="F166" s="20" t="s">
        <v>565</v>
      </c>
      <c r="G166" s="8" t="str">
        <f t="shared" si="4"/>
        <v>AUSTIN THOMPSON</v>
      </c>
      <c r="H166" s="20" t="str">
        <f t="shared" si="5"/>
        <v>4031</v>
      </c>
    </row>
    <row r="167" spans="1:8" x14ac:dyDescent="0.25">
      <c r="A167" s="8">
        <v>43073.665706018517</v>
      </c>
      <c r="B167" s="20" t="s">
        <v>413</v>
      </c>
      <c r="C167" s="20" t="s">
        <v>823</v>
      </c>
      <c r="D167" s="137">
        <v>1300000</v>
      </c>
      <c r="E167" s="20" t="s">
        <v>789</v>
      </c>
      <c r="F167" s="20" t="s">
        <v>790</v>
      </c>
      <c r="G167" s="8" t="str">
        <f t="shared" si="4"/>
        <v>LEVIN SCOTT</v>
      </c>
      <c r="H167" s="20" t="str">
        <f t="shared" si="5"/>
        <v>4056</v>
      </c>
    </row>
    <row r="168" spans="1:8" x14ac:dyDescent="0.25">
      <c r="A168" s="8">
        <v>43073.668749999997</v>
      </c>
      <c r="B168" s="20" t="s">
        <v>517</v>
      </c>
      <c r="C168" s="20" t="s">
        <v>824</v>
      </c>
      <c r="D168" s="137">
        <v>3790000</v>
      </c>
      <c r="E168" s="20" t="s">
        <v>772</v>
      </c>
      <c r="F168" s="20" t="s">
        <v>773</v>
      </c>
      <c r="G168" s="8" t="str">
        <f t="shared" si="4"/>
        <v>NICHOLAS PLOYSA</v>
      </c>
      <c r="H168" s="20" t="str">
        <f t="shared" si="5"/>
        <v>4041</v>
      </c>
    </row>
    <row r="169" spans="1:8" x14ac:dyDescent="0.25">
      <c r="A169" s="8">
        <v>43073.672210648147</v>
      </c>
      <c r="B169" s="20" t="s">
        <v>374</v>
      </c>
      <c r="C169" s="20" t="s">
        <v>825</v>
      </c>
      <c r="D169" s="137">
        <v>2230000</v>
      </c>
      <c r="E169" s="20" t="s">
        <v>576</v>
      </c>
      <c r="F169" s="20" t="s">
        <v>352</v>
      </c>
      <c r="G169" s="8" t="str">
        <f t="shared" si="4"/>
        <v>SMITH MICHAEL</v>
      </c>
      <c r="H169" s="20" t="str">
        <f t="shared" si="5"/>
        <v>4022</v>
      </c>
    </row>
    <row r="170" spans="1:8" x14ac:dyDescent="0.25">
      <c r="A170" s="8">
        <v>43073.674178240741</v>
      </c>
      <c r="B170" s="20" t="s">
        <v>688</v>
      </c>
      <c r="C170" s="20" t="s">
        <v>826</v>
      </c>
      <c r="D170" s="137">
        <v>3840000</v>
      </c>
      <c r="E170" s="20" t="s">
        <v>776</v>
      </c>
      <c r="F170" s="20" t="s">
        <v>777</v>
      </c>
      <c r="G170" s="8" t="str">
        <f t="shared" si="4"/>
        <v>LONG FULLER</v>
      </c>
      <c r="H170" s="20" t="str">
        <f t="shared" si="5"/>
        <v>4057</v>
      </c>
    </row>
    <row r="171" spans="1:8" x14ac:dyDescent="0.25">
      <c r="A171" s="8">
        <v>43073.683310185188</v>
      </c>
      <c r="B171" s="20" t="s">
        <v>657</v>
      </c>
      <c r="C171" s="20" t="s">
        <v>827</v>
      </c>
      <c r="D171" s="137">
        <v>1760000</v>
      </c>
      <c r="E171" s="20" t="s">
        <v>525</v>
      </c>
      <c r="F171" s="20" t="s">
        <v>526</v>
      </c>
      <c r="G171" s="8" t="str">
        <f t="shared" si="4"/>
        <v>STRICKLAND EVAN</v>
      </c>
      <c r="H171" s="20" t="str">
        <f t="shared" si="5"/>
        <v>4020</v>
      </c>
    </row>
    <row r="172" spans="1:8" x14ac:dyDescent="0.25">
      <c r="A172" s="8">
        <v>43073.683483796296</v>
      </c>
      <c r="B172" s="20" t="s">
        <v>356</v>
      </c>
      <c r="C172" s="20" t="s">
        <v>828</v>
      </c>
      <c r="D172" s="137">
        <v>920000</v>
      </c>
      <c r="E172" s="20" t="s">
        <v>573</v>
      </c>
      <c r="F172" s="20" t="s">
        <v>352</v>
      </c>
      <c r="G172" s="8" t="str">
        <f t="shared" si="4"/>
        <v>DAVIS MICHAEL</v>
      </c>
      <c r="H172" s="20" t="str">
        <f t="shared" si="5"/>
        <v>4008</v>
      </c>
    </row>
    <row r="173" spans="1:8" x14ac:dyDescent="0.25">
      <c r="A173" s="8">
        <v>43073.685046296298</v>
      </c>
      <c r="B173" s="20" t="s">
        <v>351</v>
      </c>
      <c r="C173" s="20" t="s">
        <v>829</v>
      </c>
      <c r="D173" s="137">
        <v>1300000</v>
      </c>
      <c r="E173" s="20" t="s">
        <v>789</v>
      </c>
      <c r="F173" s="20" t="s">
        <v>790</v>
      </c>
      <c r="G173" s="8" t="str">
        <f t="shared" si="4"/>
        <v>LEVIN SCOTT</v>
      </c>
      <c r="H173" s="20" t="str">
        <f t="shared" si="5"/>
        <v>4055</v>
      </c>
    </row>
    <row r="174" spans="1:8" x14ac:dyDescent="0.25">
      <c r="A174" s="8">
        <v>43073.685474537036</v>
      </c>
      <c r="B174" s="20" t="s">
        <v>474</v>
      </c>
      <c r="C174" s="20" t="s">
        <v>830</v>
      </c>
      <c r="D174" s="137">
        <v>3700000</v>
      </c>
      <c r="E174" s="20" t="s">
        <v>812</v>
      </c>
      <c r="F174" s="20" t="s">
        <v>565</v>
      </c>
      <c r="G174" s="8" t="str">
        <f t="shared" si="4"/>
        <v>AUSTIN THOMPSON</v>
      </c>
      <c r="H174" s="20" t="str">
        <f t="shared" si="5"/>
        <v>4032</v>
      </c>
    </row>
    <row r="175" spans="1:8" x14ac:dyDescent="0.25">
      <c r="A175" s="8">
        <v>43073.685752314814</v>
      </c>
      <c r="B175" s="20" t="s">
        <v>376</v>
      </c>
      <c r="C175" s="20" t="s">
        <v>831</v>
      </c>
      <c r="D175" s="137">
        <v>2630000</v>
      </c>
      <c r="E175" s="20" t="s">
        <v>574</v>
      </c>
      <c r="F175" s="20" t="s">
        <v>575</v>
      </c>
      <c r="G175" s="8" t="str">
        <f t="shared" si="4"/>
        <v>SAFIEF AEIMEN</v>
      </c>
      <c r="H175" s="20" t="str">
        <f t="shared" si="5"/>
        <v>4029</v>
      </c>
    </row>
    <row r="176" spans="1:8" x14ac:dyDescent="0.25">
      <c r="A176" s="8">
        <v>43073.692789351851</v>
      </c>
      <c r="B176" s="20" t="s">
        <v>582</v>
      </c>
      <c r="C176" s="20" t="s">
        <v>832</v>
      </c>
      <c r="D176" s="137">
        <v>3030000</v>
      </c>
      <c r="E176" s="20" t="s">
        <v>577</v>
      </c>
      <c r="F176" s="20" t="s">
        <v>568</v>
      </c>
      <c r="G176" s="8" t="str">
        <f t="shared" si="4"/>
        <v>BIRENBAUM THOMAS</v>
      </c>
      <c r="H176" s="20" t="str">
        <f t="shared" si="5"/>
        <v>4063</v>
      </c>
    </row>
    <row r="177" spans="1:8" x14ac:dyDescent="0.25">
      <c r="A177" s="8">
        <v>43073.694166666668</v>
      </c>
      <c r="B177" s="20" t="s">
        <v>564</v>
      </c>
      <c r="C177" s="20" t="s">
        <v>833</v>
      </c>
      <c r="D177" s="137">
        <v>880000</v>
      </c>
      <c r="E177" s="20" t="s">
        <v>414</v>
      </c>
      <c r="F177" s="20" t="s">
        <v>352</v>
      </c>
      <c r="G177" s="8" t="str">
        <f t="shared" si="4"/>
        <v>STEWART MICHAEL</v>
      </c>
      <c r="H177" s="20" t="str">
        <f t="shared" si="5"/>
        <v>4010</v>
      </c>
    </row>
    <row r="178" spans="1:8" x14ac:dyDescent="0.25">
      <c r="A178" s="8">
        <v>43073.704039351855</v>
      </c>
      <c r="B178" s="20" t="s">
        <v>523</v>
      </c>
      <c r="C178" s="20" t="s">
        <v>834</v>
      </c>
      <c r="D178" s="137">
        <v>3790000</v>
      </c>
      <c r="E178" s="20" t="s">
        <v>772</v>
      </c>
      <c r="F178" s="20" t="s">
        <v>773</v>
      </c>
      <c r="G178" s="8" t="str">
        <f t="shared" si="4"/>
        <v>NICHOLAS PLOYSA</v>
      </c>
      <c r="H178" s="20" t="str">
        <f t="shared" si="5"/>
        <v>4042</v>
      </c>
    </row>
    <row r="179" spans="1:8" x14ac:dyDescent="0.25">
      <c r="A179" s="8">
        <v>43073.706134259257</v>
      </c>
      <c r="B179" s="20" t="s">
        <v>473</v>
      </c>
      <c r="C179" s="20" t="s">
        <v>670</v>
      </c>
      <c r="D179" s="137">
        <v>3700000</v>
      </c>
      <c r="E179" s="20" t="s">
        <v>812</v>
      </c>
      <c r="F179" s="20" t="s">
        <v>565</v>
      </c>
      <c r="G179" s="8" t="str">
        <f t="shared" si="4"/>
        <v>AUSTIN THOMPSON</v>
      </c>
      <c r="H179" s="20" t="str">
        <f t="shared" si="5"/>
        <v>4031</v>
      </c>
    </row>
    <row r="180" spans="1:8" x14ac:dyDescent="0.25">
      <c r="A180" s="8">
        <v>43073.708877314813</v>
      </c>
      <c r="B180" s="20" t="s">
        <v>430</v>
      </c>
      <c r="C180" s="20" t="s">
        <v>835</v>
      </c>
      <c r="D180" s="137">
        <v>2230000</v>
      </c>
      <c r="E180" s="20" t="s">
        <v>576</v>
      </c>
      <c r="F180" s="20" t="s">
        <v>352</v>
      </c>
      <c r="G180" s="8" t="str">
        <f t="shared" si="4"/>
        <v>SMITH MICHAEL</v>
      </c>
      <c r="H180" s="20" t="str">
        <f t="shared" si="5"/>
        <v>4021</v>
      </c>
    </row>
    <row r="181" spans="1:8" x14ac:dyDescent="0.25">
      <c r="A181" s="8">
        <v>43073.710439814815</v>
      </c>
      <c r="B181" s="20" t="s">
        <v>413</v>
      </c>
      <c r="C181" s="20" t="s">
        <v>836</v>
      </c>
      <c r="D181" s="137">
        <v>1300000</v>
      </c>
      <c r="E181" s="20" t="s">
        <v>789</v>
      </c>
      <c r="F181" s="20" t="s">
        <v>790</v>
      </c>
      <c r="G181" s="8" t="str">
        <f t="shared" si="4"/>
        <v>LEVIN SCOTT</v>
      </c>
      <c r="H181" s="20" t="str">
        <f t="shared" si="5"/>
        <v>4056</v>
      </c>
    </row>
    <row r="182" spans="1:8" x14ac:dyDescent="0.25">
      <c r="A182" s="8">
        <v>43073.715138888889</v>
      </c>
      <c r="B182" s="20" t="s">
        <v>460</v>
      </c>
      <c r="C182" s="20" t="s">
        <v>837</v>
      </c>
      <c r="D182" s="137">
        <v>3840000</v>
      </c>
      <c r="E182" s="20" t="s">
        <v>776</v>
      </c>
      <c r="F182" s="20" t="s">
        <v>777</v>
      </c>
      <c r="G182" s="8" t="str">
        <f t="shared" si="4"/>
        <v>LONG FULLER</v>
      </c>
      <c r="H182" s="20" t="str">
        <f t="shared" si="5"/>
        <v>4058</v>
      </c>
    </row>
    <row r="183" spans="1:8" x14ac:dyDescent="0.25">
      <c r="A183" s="8">
        <v>43073.715381944443</v>
      </c>
      <c r="B183" s="20" t="s">
        <v>473</v>
      </c>
      <c r="C183" s="20" t="s">
        <v>838</v>
      </c>
      <c r="D183" s="137">
        <v>3700000</v>
      </c>
      <c r="E183" s="20" t="s">
        <v>812</v>
      </c>
      <c r="F183" s="20" t="s">
        <v>565</v>
      </c>
      <c r="G183" s="8" t="str">
        <f t="shared" si="4"/>
        <v>AUSTIN THOMPSON</v>
      </c>
      <c r="H183" s="20" t="str">
        <f t="shared" si="5"/>
        <v>4031</v>
      </c>
    </row>
    <row r="184" spans="1:8" x14ac:dyDescent="0.25">
      <c r="A184" s="8">
        <v>43073.716192129628</v>
      </c>
      <c r="B184" s="20" t="s">
        <v>473</v>
      </c>
      <c r="C184" s="20" t="s">
        <v>838</v>
      </c>
      <c r="D184" s="137">
        <v>3700000</v>
      </c>
      <c r="E184" s="20" t="s">
        <v>812</v>
      </c>
      <c r="F184" s="20" t="s">
        <v>565</v>
      </c>
      <c r="G184" s="8" t="str">
        <f t="shared" si="4"/>
        <v>AUSTIN THOMPSON</v>
      </c>
      <c r="H184" s="20" t="str">
        <f t="shared" si="5"/>
        <v>4031</v>
      </c>
    </row>
    <row r="185" spans="1:8" x14ac:dyDescent="0.25">
      <c r="A185" s="8">
        <v>43073.716851851852</v>
      </c>
      <c r="B185" s="20" t="s">
        <v>473</v>
      </c>
      <c r="C185" s="20" t="s">
        <v>670</v>
      </c>
      <c r="D185" s="137">
        <v>3700000</v>
      </c>
      <c r="E185" s="20" t="s">
        <v>812</v>
      </c>
      <c r="F185" s="20" t="s">
        <v>565</v>
      </c>
      <c r="G185" s="8" t="str">
        <f t="shared" si="4"/>
        <v>AUSTIN THOMPSON</v>
      </c>
      <c r="H185" s="20" t="str">
        <f t="shared" si="5"/>
        <v>4031</v>
      </c>
    </row>
    <row r="186" spans="1:8" x14ac:dyDescent="0.25">
      <c r="A186" s="8">
        <v>43073.719814814816</v>
      </c>
      <c r="B186" s="20" t="s">
        <v>518</v>
      </c>
      <c r="C186" s="20" t="s">
        <v>839</v>
      </c>
      <c r="D186" s="137">
        <v>2140000</v>
      </c>
      <c r="E186" s="20" t="s">
        <v>840</v>
      </c>
      <c r="F186" s="20" t="s">
        <v>841</v>
      </c>
      <c r="G186" s="8" t="str">
        <f t="shared" si="4"/>
        <v>ROBINSON KADDIBA</v>
      </c>
      <c r="H186" s="20" t="str">
        <f t="shared" si="5"/>
        <v>4034</v>
      </c>
    </row>
    <row r="187" spans="1:8" x14ac:dyDescent="0.25">
      <c r="A187" s="8">
        <v>43073.725532407407</v>
      </c>
      <c r="B187" s="20" t="s">
        <v>358</v>
      </c>
      <c r="C187" s="20" t="s">
        <v>842</v>
      </c>
      <c r="D187" s="137">
        <v>920000</v>
      </c>
      <c r="E187" s="20" t="s">
        <v>573</v>
      </c>
      <c r="F187" s="20" t="s">
        <v>352</v>
      </c>
      <c r="G187" s="8" t="str">
        <f t="shared" si="4"/>
        <v>DAVIS MICHAEL</v>
      </c>
      <c r="H187" s="20" t="str">
        <f t="shared" si="5"/>
        <v>4007</v>
      </c>
    </row>
    <row r="188" spans="1:8" x14ac:dyDescent="0.25">
      <c r="A188" s="8">
        <v>43073.72625</v>
      </c>
      <c r="B188" s="20" t="s">
        <v>379</v>
      </c>
      <c r="C188" s="20" t="s">
        <v>843</v>
      </c>
      <c r="D188" s="137">
        <v>2630000</v>
      </c>
      <c r="E188" s="20" t="s">
        <v>574</v>
      </c>
      <c r="F188" s="20" t="s">
        <v>575</v>
      </c>
      <c r="G188" s="8" t="str">
        <f t="shared" si="4"/>
        <v>SAFIEF AEIMEN</v>
      </c>
      <c r="H188" s="20" t="str">
        <f t="shared" si="5"/>
        <v>4030</v>
      </c>
    </row>
    <row r="189" spans="1:8" x14ac:dyDescent="0.25">
      <c r="A189" s="8">
        <v>43073.730381944442</v>
      </c>
      <c r="B189" s="20" t="s">
        <v>351</v>
      </c>
      <c r="C189" s="20" t="s">
        <v>844</v>
      </c>
      <c r="D189" s="137">
        <v>1300000</v>
      </c>
      <c r="E189" s="20" t="s">
        <v>789</v>
      </c>
      <c r="F189" s="20" t="s">
        <v>790</v>
      </c>
      <c r="G189" s="8" t="str">
        <f t="shared" si="4"/>
        <v>LEVIN SCOTT</v>
      </c>
      <c r="H189" s="20" t="str">
        <f t="shared" si="5"/>
        <v>4055</v>
      </c>
    </row>
    <row r="190" spans="1:8" x14ac:dyDescent="0.25">
      <c r="A190" s="8">
        <v>43073.731759259259</v>
      </c>
      <c r="B190" s="20" t="s">
        <v>474</v>
      </c>
      <c r="C190" s="20" t="s">
        <v>838</v>
      </c>
      <c r="D190" s="137">
        <v>3700000</v>
      </c>
      <c r="E190" s="20" t="s">
        <v>812</v>
      </c>
      <c r="F190" s="20" t="s">
        <v>565</v>
      </c>
      <c r="G190" s="8" t="str">
        <f t="shared" si="4"/>
        <v>AUSTIN THOMPSON</v>
      </c>
      <c r="H190" s="20" t="str">
        <f t="shared" si="5"/>
        <v>4032</v>
      </c>
    </row>
    <row r="191" spans="1:8" x14ac:dyDescent="0.25">
      <c r="A191" s="8">
        <v>43073.733194444445</v>
      </c>
      <c r="B191" s="20" t="s">
        <v>520</v>
      </c>
      <c r="C191" s="20" t="s">
        <v>845</v>
      </c>
      <c r="D191" s="137">
        <v>3500000</v>
      </c>
      <c r="E191" s="20" t="s">
        <v>368</v>
      </c>
      <c r="F191" s="20" t="s">
        <v>369</v>
      </c>
      <c r="G191" s="8" t="str">
        <f t="shared" si="4"/>
        <v>GUNTHIER ERIC</v>
      </c>
      <c r="H191" s="20" t="str">
        <f t="shared" si="5"/>
        <v>4023</v>
      </c>
    </row>
    <row r="192" spans="1:8" x14ac:dyDescent="0.25">
      <c r="A192" s="8">
        <v>43073.736284722225</v>
      </c>
      <c r="B192" s="20" t="s">
        <v>563</v>
      </c>
      <c r="C192" s="20" t="s">
        <v>846</v>
      </c>
      <c r="D192" s="137">
        <v>880000</v>
      </c>
      <c r="E192" s="20" t="s">
        <v>414</v>
      </c>
      <c r="F192" s="20" t="s">
        <v>352</v>
      </c>
      <c r="G192" s="8" t="str">
        <f t="shared" si="4"/>
        <v>STEWART MICHAEL</v>
      </c>
      <c r="H192" s="20" t="str">
        <f t="shared" si="5"/>
        <v>4009</v>
      </c>
    </row>
    <row r="193" spans="1:8" x14ac:dyDescent="0.25">
      <c r="A193" s="8">
        <v>43073.737986111111</v>
      </c>
      <c r="B193" s="20" t="s">
        <v>430</v>
      </c>
      <c r="C193" s="20" t="s">
        <v>835</v>
      </c>
      <c r="D193" s="137">
        <v>2230000</v>
      </c>
      <c r="E193" s="20" t="s">
        <v>576</v>
      </c>
      <c r="F193" s="20" t="s">
        <v>352</v>
      </c>
      <c r="G193" s="8" t="str">
        <f t="shared" si="4"/>
        <v>SMITH MICHAEL</v>
      </c>
      <c r="H193" s="20" t="str">
        <f t="shared" si="5"/>
        <v>4021</v>
      </c>
    </row>
    <row r="194" spans="1:8" x14ac:dyDescent="0.25">
      <c r="A194" s="8">
        <v>43073.738333333335</v>
      </c>
      <c r="B194" s="20" t="s">
        <v>720</v>
      </c>
      <c r="C194" s="20" t="s">
        <v>847</v>
      </c>
      <c r="D194" s="137">
        <v>890000</v>
      </c>
      <c r="E194" s="20" t="s">
        <v>344</v>
      </c>
      <c r="F194" s="20" t="s">
        <v>345</v>
      </c>
      <c r="G194" s="8" t="str">
        <f t="shared" si="4"/>
        <v>LOZA FIDEL</v>
      </c>
      <c r="H194" s="20" t="str">
        <f t="shared" si="5"/>
        <v>4064</v>
      </c>
    </row>
    <row r="195" spans="1:8" x14ac:dyDescent="0.25">
      <c r="A195" s="8">
        <v>43073.742268518516</v>
      </c>
      <c r="B195" s="20" t="s">
        <v>517</v>
      </c>
      <c r="C195" s="20" t="s">
        <v>848</v>
      </c>
      <c r="D195" s="137">
        <v>3790000</v>
      </c>
      <c r="E195" s="20" t="s">
        <v>772</v>
      </c>
      <c r="F195" s="20" t="s">
        <v>773</v>
      </c>
      <c r="G195" s="8" t="str">
        <f t="shared" ref="G195:G258" si="6">E195&amp;" "&amp;F195</f>
        <v>NICHOLAS PLOYSA</v>
      </c>
      <c r="H195" s="20" t="str">
        <f t="shared" ref="H195:H258" si="7">MID(B195,13,4)</f>
        <v>4041</v>
      </c>
    </row>
    <row r="196" spans="1:8" x14ac:dyDescent="0.25">
      <c r="A196" s="8">
        <v>43073.747094907405</v>
      </c>
      <c r="B196" s="20" t="s">
        <v>473</v>
      </c>
      <c r="C196" s="20" t="s">
        <v>849</v>
      </c>
      <c r="D196" s="137">
        <v>3700000</v>
      </c>
      <c r="E196" s="20" t="s">
        <v>812</v>
      </c>
      <c r="F196" s="20" t="s">
        <v>565</v>
      </c>
      <c r="G196" s="8" t="str">
        <f t="shared" si="6"/>
        <v>AUSTIN THOMPSON</v>
      </c>
      <c r="H196" s="20" t="str">
        <f t="shared" si="7"/>
        <v>4031</v>
      </c>
    </row>
    <row r="197" spans="1:8" x14ac:dyDescent="0.25">
      <c r="A197" s="8">
        <v>43073.748715277776</v>
      </c>
      <c r="B197" s="20" t="s">
        <v>374</v>
      </c>
      <c r="C197" s="20" t="s">
        <v>850</v>
      </c>
      <c r="D197" s="137">
        <v>2610000</v>
      </c>
      <c r="E197" s="20" t="s">
        <v>580</v>
      </c>
      <c r="F197" s="20" t="s">
        <v>581</v>
      </c>
      <c r="G197" s="8" t="str">
        <f t="shared" si="6"/>
        <v>MAGEE KENYA</v>
      </c>
      <c r="H197" s="20" t="str">
        <f t="shared" si="7"/>
        <v>4022</v>
      </c>
    </row>
    <row r="198" spans="1:8" x14ac:dyDescent="0.25">
      <c r="A198" s="8">
        <v>43073.749861111108</v>
      </c>
      <c r="B198" s="20" t="s">
        <v>688</v>
      </c>
      <c r="C198" s="20" t="s">
        <v>851</v>
      </c>
      <c r="D198" s="137">
        <v>3840000</v>
      </c>
      <c r="E198" s="20" t="s">
        <v>776</v>
      </c>
      <c r="F198" s="20" t="s">
        <v>777</v>
      </c>
      <c r="G198" s="8" t="str">
        <f t="shared" si="6"/>
        <v>LONG FULLER</v>
      </c>
      <c r="H198" s="20" t="str">
        <f t="shared" si="7"/>
        <v>4057</v>
      </c>
    </row>
    <row r="199" spans="1:8" x14ac:dyDescent="0.25">
      <c r="A199" s="8">
        <v>43073.751030092593</v>
      </c>
      <c r="B199" s="20" t="s">
        <v>413</v>
      </c>
      <c r="C199" s="20" t="s">
        <v>852</v>
      </c>
      <c r="D199" s="137">
        <v>2030000</v>
      </c>
      <c r="E199" s="20" t="s">
        <v>583</v>
      </c>
      <c r="F199" s="20" t="s">
        <v>411</v>
      </c>
      <c r="G199" s="8" t="str">
        <f t="shared" si="6"/>
        <v>KILLION DAVID</v>
      </c>
      <c r="H199" s="20" t="str">
        <f t="shared" si="7"/>
        <v>4056</v>
      </c>
    </row>
    <row r="200" spans="1:8" x14ac:dyDescent="0.25">
      <c r="A200" s="8">
        <v>43073.758726851855</v>
      </c>
      <c r="B200" s="20" t="s">
        <v>356</v>
      </c>
      <c r="C200" s="20" t="s">
        <v>853</v>
      </c>
      <c r="D200" s="137">
        <v>3220000</v>
      </c>
      <c r="E200" s="20" t="s">
        <v>370</v>
      </c>
      <c r="F200" s="20" t="s">
        <v>371</v>
      </c>
      <c r="G200" s="8" t="str">
        <f t="shared" si="6"/>
        <v>RESPASS AARON</v>
      </c>
      <c r="H200" s="20" t="str">
        <f t="shared" si="7"/>
        <v>4008</v>
      </c>
    </row>
    <row r="201" spans="1:8" x14ac:dyDescent="0.25">
      <c r="A201" s="8">
        <v>43073.759756944448</v>
      </c>
      <c r="B201" s="20" t="s">
        <v>376</v>
      </c>
      <c r="C201" s="20" t="s">
        <v>854</v>
      </c>
      <c r="D201" s="137">
        <v>2630000</v>
      </c>
      <c r="E201" s="20" t="s">
        <v>574</v>
      </c>
      <c r="F201" s="20" t="s">
        <v>575</v>
      </c>
      <c r="G201" s="8" t="str">
        <f t="shared" si="6"/>
        <v>SAFIEF AEIMEN</v>
      </c>
      <c r="H201" s="20" t="str">
        <f t="shared" si="7"/>
        <v>4029</v>
      </c>
    </row>
    <row r="202" spans="1:8" x14ac:dyDescent="0.25">
      <c r="A202" s="26">
        <v>43073.768101851849</v>
      </c>
      <c r="B202" s="20" t="s">
        <v>564</v>
      </c>
      <c r="C202" s="20" t="s">
        <v>855</v>
      </c>
      <c r="D202" s="137">
        <v>3040000</v>
      </c>
      <c r="E202" s="20" t="s">
        <v>365</v>
      </c>
      <c r="F202" s="20" t="s">
        <v>421</v>
      </c>
      <c r="G202" s="8" t="str">
        <f t="shared" si="6"/>
        <v>WILLIAMS DONTE</v>
      </c>
      <c r="H202" s="20" t="str">
        <f t="shared" si="7"/>
        <v>4010</v>
      </c>
    </row>
    <row r="203" spans="1:8" x14ac:dyDescent="0.25">
      <c r="A203" s="8">
        <v>43073.768923611111</v>
      </c>
      <c r="B203" s="20" t="s">
        <v>351</v>
      </c>
      <c r="C203" s="20" t="s">
        <v>671</v>
      </c>
      <c r="D203" s="137">
        <v>2030000</v>
      </c>
      <c r="E203" s="20" t="s">
        <v>583</v>
      </c>
      <c r="F203" s="20" t="s">
        <v>411</v>
      </c>
      <c r="G203" s="8" t="str">
        <f t="shared" si="6"/>
        <v>KILLION DAVID</v>
      </c>
      <c r="H203" s="20" t="str">
        <f t="shared" si="7"/>
        <v>4055</v>
      </c>
    </row>
    <row r="204" spans="1:8" x14ac:dyDescent="0.25">
      <c r="A204" s="8">
        <v>43073.76972222222</v>
      </c>
      <c r="B204" s="20" t="s">
        <v>474</v>
      </c>
      <c r="C204" s="20" t="s">
        <v>856</v>
      </c>
      <c r="D204" s="137">
        <v>3700000</v>
      </c>
      <c r="E204" s="20" t="s">
        <v>812</v>
      </c>
      <c r="F204" s="20" t="s">
        <v>565</v>
      </c>
      <c r="G204" s="8" t="str">
        <f t="shared" si="6"/>
        <v>AUSTIN THOMPSON</v>
      </c>
      <c r="H204" s="20" t="str">
        <f t="shared" si="7"/>
        <v>4032</v>
      </c>
    </row>
    <row r="205" spans="1:8" x14ac:dyDescent="0.25">
      <c r="A205" s="8">
        <v>43073.777928240743</v>
      </c>
      <c r="B205" s="20" t="s">
        <v>582</v>
      </c>
      <c r="C205" s="20" t="s">
        <v>857</v>
      </c>
      <c r="D205" s="137">
        <v>890000</v>
      </c>
      <c r="E205" s="20" t="s">
        <v>344</v>
      </c>
      <c r="F205" s="20" t="s">
        <v>345</v>
      </c>
      <c r="G205" s="8" t="str">
        <f t="shared" si="6"/>
        <v>LOZA FIDEL</v>
      </c>
      <c r="H205" s="20" t="str">
        <f t="shared" si="7"/>
        <v>4063</v>
      </c>
    </row>
    <row r="206" spans="1:8" x14ac:dyDescent="0.25">
      <c r="A206" s="8">
        <v>43073.781261574077</v>
      </c>
      <c r="B206" s="20" t="s">
        <v>523</v>
      </c>
      <c r="C206" s="20" t="s">
        <v>858</v>
      </c>
      <c r="D206" s="137">
        <v>3790000</v>
      </c>
      <c r="E206" s="20" t="s">
        <v>772</v>
      </c>
      <c r="F206" s="20" t="s">
        <v>773</v>
      </c>
      <c r="G206" s="8" t="str">
        <f t="shared" si="6"/>
        <v>NICHOLAS PLOYSA</v>
      </c>
      <c r="H206" s="20" t="str">
        <f t="shared" si="7"/>
        <v>4042</v>
      </c>
    </row>
    <row r="207" spans="1:8" x14ac:dyDescent="0.25">
      <c r="A207" s="8">
        <v>43073.786469907405</v>
      </c>
      <c r="B207" s="20" t="s">
        <v>460</v>
      </c>
      <c r="C207" s="20" t="s">
        <v>859</v>
      </c>
      <c r="D207" s="137">
        <v>3340000</v>
      </c>
      <c r="E207" s="20" t="s">
        <v>409</v>
      </c>
      <c r="F207" s="20" t="s">
        <v>410</v>
      </c>
      <c r="G207" s="8" t="str">
        <f t="shared" si="6"/>
        <v>ELBAUM MIKE</v>
      </c>
      <c r="H207" s="20" t="str">
        <f t="shared" si="7"/>
        <v>4058</v>
      </c>
    </row>
    <row r="208" spans="1:8" x14ac:dyDescent="0.25">
      <c r="A208" s="8">
        <v>43073.787893518522</v>
      </c>
      <c r="B208" s="20" t="s">
        <v>430</v>
      </c>
      <c r="C208" s="20" t="s">
        <v>860</v>
      </c>
      <c r="D208" s="137">
        <v>2610000</v>
      </c>
      <c r="E208" s="20" t="s">
        <v>580</v>
      </c>
      <c r="F208" s="20" t="s">
        <v>581</v>
      </c>
      <c r="G208" s="8" t="str">
        <f t="shared" si="6"/>
        <v>MAGEE KENYA</v>
      </c>
      <c r="H208" s="20" t="str">
        <f t="shared" si="7"/>
        <v>4021</v>
      </c>
    </row>
    <row r="209" spans="1:8" x14ac:dyDescent="0.25">
      <c r="A209" s="8">
        <v>43073.788668981484</v>
      </c>
      <c r="B209" s="20" t="s">
        <v>473</v>
      </c>
      <c r="C209" s="20" t="s">
        <v>861</v>
      </c>
      <c r="D209" s="137">
        <v>3700000</v>
      </c>
      <c r="E209" s="20" t="s">
        <v>812</v>
      </c>
      <c r="F209" s="20" t="s">
        <v>565</v>
      </c>
      <c r="G209" s="8" t="str">
        <f t="shared" si="6"/>
        <v>AUSTIN THOMPSON</v>
      </c>
      <c r="H209" s="20" t="str">
        <f t="shared" si="7"/>
        <v>4031</v>
      </c>
    </row>
    <row r="210" spans="1:8" x14ac:dyDescent="0.25">
      <c r="A210" s="8">
        <v>43073.793634259258</v>
      </c>
      <c r="B210" s="20" t="s">
        <v>413</v>
      </c>
      <c r="C210" s="20" t="s">
        <v>862</v>
      </c>
      <c r="D210" s="137">
        <v>3500000</v>
      </c>
      <c r="E210" s="20" t="s">
        <v>368</v>
      </c>
      <c r="F210" s="20" t="s">
        <v>369</v>
      </c>
      <c r="G210" s="8" t="str">
        <f t="shared" si="6"/>
        <v>GUNTHIER ERIC</v>
      </c>
      <c r="H210" s="20" t="str">
        <f t="shared" si="7"/>
        <v>4056</v>
      </c>
    </row>
    <row r="211" spans="1:8" x14ac:dyDescent="0.25">
      <c r="A211" s="8">
        <v>43073.796863425923</v>
      </c>
      <c r="B211" s="20" t="s">
        <v>358</v>
      </c>
      <c r="C211" s="20" t="s">
        <v>863</v>
      </c>
      <c r="D211" s="137">
        <v>3220000</v>
      </c>
      <c r="E211" s="20" t="s">
        <v>370</v>
      </c>
      <c r="F211" s="20" t="s">
        <v>371</v>
      </c>
      <c r="G211" s="8" t="str">
        <f t="shared" si="6"/>
        <v>RESPASS AARON</v>
      </c>
      <c r="H211" s="20" t="str">
        <f t="shared" si="7"/>
        <v>4007</v>
      </c>
    </row>
    <row r="212" spans="1:8" x14ac:dyDescent="0.25">
      <c r="A212" s="8">
        <v>43073.798437500001</v>
      </c>
      <c r="B212" s="20" t="s">
        <v>379</v>
      </c>
      <c r="C212" s="20" t="s">
        <v>864</v>
      </c>
      <c r="D212" s="137">
        <v>2630000</v>
      </c>
      <c r="E212" s="20" t="s">
        <v>574</v>
      </c>
      <c r="F212" s="20" t="s">
        <v>575</v>
      </c>
      <c r="G212" s="8" t="str">
        <f t="shared" si="6"/>
        <v>SAFIEF AEIMEN</v>
      </c>
      <c r="H212" s="20" t="str">
        <f t="shared" si="7"/>
        <v>4030</v>
      </c>
    </row>
    <row r="213" spans="1:8" x14ac:dyDescent="0.25">
      <c r="A213" s="8">
        <v>43073.807881944442</v>
      </c>
      <c r="B213" s="20" t="s">
        <v>563</v>
      </c>
      <c r="C213" s="20" t="s">
        <v>865</v>
      </c>
      <c r="D213" s="137">
        <v>3040000</v>
      </c>
      <c r="E213" s="20" t="s">
        <v>365</v>
      </c>
      <c r="F213" s="20" t="s">
        <v>421</v>
      </c>
      <c r="G213" s="8" t="str">
        <f t="shared" si="6"/>
        <v>WILLIAMS DONTE</v>
      </c>
      <c r="H213" s="20" t="str">
        <f t="shared" si="7"/>
        <v>4009</v>
      </c>
    </row>
    <row r="214" spans="1:8" x14ac:dyDescent="0.25">
      <c r="A214" s="8">
        <v>43073.808541666665</v>
      </c>
      <c r="B214" s="20" t="s">
        <v>720</v>
      </c>
      <c r="C214" s="20" t="s">
        <v>866</v>
      </c>
      <c r="D214" s="137">
        <v>3810000</v>
      </c>
      <c r="E214" s="20" t="s">
        <v>431</v>
      </c>
      <c r="F214" s="20" t="s">
        <v>432</v>
      </c>
      <c r="G214" s="8" t="str">
        <f t="shared" si="6"/>
        <v>LORI SANTOS</v>
      </c>
      <c r="H214" s="20" t="str">
        <f t="shared" si="7"/>
        <v>4064</v>
      </c>
    </row>
    <row r="215" spans="1:8" x14ac:dyDescent="0.25">
      <c r="A215" s="8">
        <v>43073.809861111113</v>
      </c>
      <c r="B215" s="20" t="s">
        <v>351</v>
      </c>
      <c r="C215" s="20" t="s">
        <v>867</v>
      </c>
      <c r="D215" s="137">
        <v>3500000</v>
      </c>
      <c r="E215" s="20" t="s">
        <v>368</v>
      </c>
      <c r="F215" s="20" t="s">
        <v>369</v>
      </c>
      <c r="G215" s="8" t="str">
        <f t="shared" si="6"/>
        <v>GUNTHIER ERIC</v>
      </c>
      <c r="H215" s="20" t="str">
        <f t="shared" si="7"/>
        <v>4055</v>
      </c>
    </row>
    <row r="216" spans="1:8" x14ac:dyDescent="0.25">
      <c r="A216" s="8">
        <v>43073.818124999998</v>
      </c>
      <c r="B216" s="20" t="s">
        <v>688</v>
      </c>
      <c r="C216" s="20" t="s">
        <v>868</v>
      </c>
      <c r="D216" s="137">
        <v>3340000</v>
      </c>
      <c r="E216" s="20" t="s">
        <v>409</v>
      </c>
      <c r="F216" s="20" t="s">
        <v>410</v>
      </c>
      <c r="G216" s="8" t="str">
        <f t="shared" si="6"/>
        <v>ELBAUM MIKE</v>
      </c>
      <c r="H216" s="20" t="str">
        <f t="shared" si="7"/>
        <v>4057</v>
      </c>
    </row>
    <row r="217" spans="1:8" x14ac:dyDescent="0.25">
      <c r="A217" s="8">
        <v>43073.819340277776</v>
      </c>
      <c r="B217" s="20" t="s">
        <v>374</v>
      </c>
      <c r="C217" s="20" t="s">
        <v>869</v>
      </c>
      <c r="D217" s="137">
        <v>2230000</v>
      </c>
      <c r="E217" s="20" t="s">
        <v>576</v>
      </c>
      <c r="F217" s="20" t="s">
        <v>352</v>
      </c>
      <c r="G217" s="8" t="str">
        <f t="shared" si="6"/>
        <v>SMITH MICHAEL</v>
      </c>
      <c r="H217" s="20" t="str">
        <f t="shared" si="7"/>
        <v>4022</v>
      </c>
    </row>
    <row r="218" spans="1:8" x14ac:dyDescent="0.25">
      <c r="A218" s="8">
        <v>43073.828888888886</v>
      </c>
      <c r="B218" s="20" t="s">
        <v>688</v>
      </c>
      <c r="C218" s="20" t="s">
        <v>868</v>
      </c>
      <c r="D218" s="137">
        <v>3340000</v>
      </c>
      <c r="E218" s="20" t="s">
        <v>409</v>
      </c>
      <c r="F218" s="20" t="s">
        <v>410</v>
      </c>
      <c r="G218" s="8" t="str">
        <f t="shared" si="6"/>
        <v>ELBAUM MIKE</v>
      </c>
      <c r="H218" s="20" t="str">
        <f t="shared" si="7"/>
        <v>4057</v>
      </c>
    </row>
    <row r="219" spans="1:8" x14ac:dyDescent="0.25">
      <c r="A219" s="8">
        <v>43073.829884259256</v>
      </c>
      <c r="B219" s="20" t="s">
        <v>356</v>
      </c>
      <c r="C219" s="20" t="s">
        <v>870</v>
      </c>
      <c r="D219" s="137">
        <v>3220000</v>
      </c>
      <c r="E219" s="20" t="s">
        <v>370</v>
      </c>
      <c r="F219" s="20" t="s">
        <v>371</v>
      </c>
      <c r="G219" s="8" t="str">
        <f t="shared" si="6"/>
        <v>RESPASS AARON</v>
      </c>
      <c r="H219" s="20" t="str">
        <f t="shared" si="7"/>
        <v>4008</v>
      </c>
    </row>
    <row r="220" spans="1:8" x14ac:dyDescent="0.25">
      <c r="A220" s="8">
        <v>43073.834270833337</v>
      </c>
      <c r="B220" s="20" t="s">
        <v>413</v>
      </c>
      <c r="C220" s="20" t="s">
        <v>871</v>
      </c>
      <c r="D220" s="137">
        <v>1300000</v>
      </c>
      <c r="E220" s="20" t="s">
        <v>789</v>
      </c>
      <c r="F220" s="20" t="s">
        <v>790</v>
      </c>
      <c r="G220" s="8" t="str">
        <f t="shared" si="6"/>
        <v>LEVIN SCOTT</v>
      </c>
      <c r="H220" s="20" t="str">
        <f t="shared" si="7"/>
        <v>4056</v>
      </c>
    </row>
    <row r="221" spans="1:8" x14ac:dyDescent="0.25">
      <c r="A221" s="8">
        <v>43073.840775462966</v>
      </c>
      <c r="B221" s="20" t="s">
        <v>564</v>
      </c>
      <c r="C221" s="20" t="s">
        <v>872</v>
      </c>
      <c r="D221" s="137">
        <v>2030000</v>
      </c>
      <c r="E221" s="20" t="s">
        <v>583</v>
      </c>
      <c r="F221" s="20" t="s">
        <v>411</v>
      </c>
      <c r="G221" s="8" t="str">
        <f t="shared" si="6"/>
        <v>KILLION DAVID</v>
      </c>
      <c r="H221" s="20" t="str">
        <f t="shared" si="7"/>
        <v>4010</v>
      </c>
    </row>
    <row r="222" spans="1:8" x14ac:dyDescent="0.25">
      <c r="A222" s="8">
        <v>43073.850127314814</v>
      </c>
      <c r="B222" s="20" t="s">
        <v>582</v>
      </c>
      <c r="C222" s="20" t="s">
        <v>873</v>
      </c>
      <c r="D222" s="137">
        <v>3810000</v>
      </c>
      <c r="E222" s="20" t="s">
        <v>431</v>
      </c>
      <c r="F222" s="20" t="s">
        <v>432</v>
      </c>
      <c r="G222" s="8" t="str">
        <f t="shared" si="6"/>
        <v>LORI SANTOS</v>
      </c>
      <c r="H222" s="20" t="str">
        <f t="shared" si="7"/>
        <v>4063</v>
      </c>
    </row>
    <row r="223" spans="1:8" x14ac:dyDescent="0.25">
      <c r="A223" s="8">
        <v>43073.850949074076</v>
      </c>
      <c r="B223" s="20" t="s">
        <v>351</v>
      </c>
      <c r="C223" s="20" t="s">
        <v>874</v>
      </c>
      <c r="D223" s="137">
        <v>1300000</v>
      </c>
      <c r="E223" s="20" t="s">
        <v>789</v>
      </c>
      <c r="F223" s="20" t="s">
        <v>790</v>
      </c>
      <c r="G223" s="8" t="str">
        <f t="shared" si="6"/>
        <v>LEVIN SCOTT</v>
      </c>
      <c r="H223" s="20" t="str">
        <f t="shared" si="7"/>
        <v>4055</v>
      </c>
    </row>
    <row r="224" spans="1:8" x14ac:dyDescent="0.25">
      <c r="A224" s="8">
        <v>43073.859444444446</v>
      </c>
      <c r="B224" t="s">
        <v>460</v>
      </c>
      <c r="C224" t="s">
        <v>875</v>
      </c>
      <c r="D224" s="137">
        <v>3500000</v>
      </c>
      <c r="E224" t="s">
        <v>368</v>
      </c>
      <c r="F224" s="20" t="s">
        <v>369</v>
      </c>
      <c r="G224" s="8" t="str">
        <f t="shared" si="6"/>
        <v>GUNTHIER ERIC</v>
      </c>
      <c r="H224" s="20" t="str">
        <f t="shared" si="7"/>
        <v>4058</v>
      </c>
    </row>
    <row r="225" spans="1:8" x14ac:dyDescent="0.25">
      <c r="A225" s="8">
        <v>43073.870520833334</v>
      </c>
      <c r="B225" t="s">
        <v>358</v>
      </c>
      <c r="C225" t="s">
        <v>672</v>
      </c>
      <c r="D225" s="137">
        <v>3220000</v>
      </c>
      <c r="E225" t="s">
        <v>370</v>
      </c>
      <c r="F225" s="20" t="s">
        <v>371</v>
      </c>
      <c r="G225" s="8" t="str">
        <f t="shared" si="6"/>
        <v>RESPASS AARON</v>
      </c>
      <c r="H225" s="20" t="str">
        <f t="shared" si="7"/>
        <v>4007</v>
      </c>
    </row>
    <row r="226" spans="1:8" x14ac:dyDescent="0.25">
      <c r="A226" s="8">
        <v>43073.874479166669</v>
      </c>
      <c r="B226" t="s">
        <v>413</v>
      </c>
      <c r="C226" t="s">
        <v>876</v>
      </c>
      <c r="D226" s="137">
        <v>3700000</v>
      </c>
      <c r="E226" t="s">
        <v>812</v>
      </c>
      <c r="F226" s="20" t="s">
        <v>565</v>
      </c>
      <c r="G226" s="8" t="str">
        <f t="shared" si="6"/>
        <v>AUSTIN THOMPSON</v>
      </c>
      <c r="H226" s="20" t="str">
        <f t="shared" si="7"/>
        <v>4056</v>
      </c>
    </row>
    <row r="227" spans="1:8" x14ac:dyDescent="0.25">
      <c r="A227" s="8">
        <v>43073.885752314818</v>
      </c>
      <c r="B227" t="s">
        <v>563</v>
      </c>
      <c r="C227" t="s">
        <v>877</v>
      </c>
      <c r="D227" s="137">
        <v>2030000</v>
      </c>
      <c r="E227" t="s">
        <v>583</v>
      </c>
      <c r="F227" s="20" t="s">
        <v>411</v>
      </c>
      <c r="G227" s="8" t="str">
        <f t="shared" si="6"/>
        <v>KILLION DAVID</v>
      </c>
      <c r="H227" s="20" t="str">
        <f t="shared" si="7"/>
        <v>4009</v>
      </c>
    </row>
    <row r="228" spans="1:8" x14ac:dyDescent="0.25">
      <c r="A228" s="8">
        <v>43073.889664351853</v>
      </c>
      <c r="B228" t="s">
        <v>720</v>
      </c>
      <c r="C228" t="s">
        <v>878</v>
      </c>
      <c r="D228" s="137">
        <v>890000</v>
      </c>
      <c r="E228" t="s">
        <v>344</v>
      </c>
      <c r="F228" s="20" t="s">
        <v>345</v>
      </c>
      <c r="G228" s="8" t="str">
        <f t="shared" si="6"/>
        <v>LOZA FIDEL</v>
      </c>
      <c r="H228" s="20" t="str">
        <f t="shared" si="7"/>
        <v>4064</v>
      </c>
    </row>
    <row r="229" spans="1:8" x14ac:dyDescent="0.25">
      <c r="A229" s="8">
        <v>43073.892754629633</v>
      </c>
      <c r="B229" t="s">
        <v>351</v>
      </c>
      <c r="C229" t="s">
        <v>879</v>
      </c>
      <c r="D229" s="137">
        <v>3700000</v>
      </c>
      <c r="E229" t="s">
        <v>812</v>
      </c>
      <c r="F229" s="20" t="s">
        <v>565</v>
      </c>
      <c r="G229" s="8" t="str">
        <f t="shared" si="6"/>
        <v>AUSTIN THOMPSON</v>
      </c>
      <c r="H229" s="20" t="str">
        <f t="shared" si="7"/>
        <v>4055</v>
      </c>
    </row>
    <row r="230" spans="1:8" x14ac:dyDescent="0.25">
      <c r="A230" s="8">
        <v>43073.907905092594</v>
      </c>
      <c r="B230" t="s">
        <v>688</v>
      </c>
      <c r="C230" t="s">
        <v>880</v>
      </c>
      <c r="D230" s="137">
        <v>3500000</v>
      </c>
      <c r="E230" t="s">
        <v>368</v>
      </c>
      <c r="F230" s="20" t="s">
        <v>369</v>
      </c>
      <c r="G230" s="8" t="str">
        <f t="shared" si="6"/>
        <v>GUNTHIER ERIC</v>
      </c>
      <c r="H230" s="20" t="str">
        <f t="shared" si="7"/>
        <v>4057</v>
      </c>
    </row>
    <row r="231" spans="1:8" x14ac:dyDescent="0.25">
      <c r="A231" s="8">
        <v>43073.911921296298</v>
      </c>
      <c r="B231" t="s">
        <v>356</v>
      </c>
      <c r="C231" t="s">
        <v>881</v>
      </c>
      <c r="D231" s="137">
        <v>3220000</v>
      </c>
      <c r="E231" t="s">
        <v>370</v>
      </c>
      <c r="F231" s="20" t="s">
        <v>371</v>
      </c>
      <c r="G231" s="8" t="str">
        <f t="shared" si="6"/>
        <v>RESPASS AARON</v>
      </c>
      <c r="H231" s="20" t="str">
        <f t="shared" si="7"/>
        <v>4008</v>
      </c>
    </row>
    <row r="232" spans="1:8" x14ac:dyDescent="0.25">
      <c r="A232" s="8">
        <v>43073.918622685182</v>
      </c>
      <c r="B232" t="s">
        <v>413</v>
      </c>
      <c r="C232" t="s">
        <v>879</v>
      </c>
      <c r="D232" s="137">
        <v>3700000</v>
      </c>
      <c r="E232" t="s">
        <v>812</v>
      </c>
      <c r="F232" s="20" t="s">
        <v>565</v>
      </c>
      <c r="G232" s="8" t="str">
        <f t="shared" si="6"/>
        <v>AUSTIN THOMPSON</v>
      </c>
      <c r="H232" s="20" t="str">
        <f t="shared" si="7"/>
        <v>4056</v>
      </c>
    </row>
    <row r="233" spans="1:8" x14ac:dyDescent="0.25">
      <c r="A233" s="8">
        <v>43073.919212962966</v>
      </c>
      <c r="B233" t="s">
        <v>413</v>
      </c>
      <c r="C233" t="s">
        <v>882</v>
      </c>
      <c r="D233" s="137">
        <v>3700000</v>
      </c>
      <c r="E233" t="s">
        <v>812</v>
      </c>
      <c r="F233" s="20" t="s">
        <v>565</v>
      </c>
      <c r="G233" s="8" t="str">
        <f t="shared" si="6"/>
        <v>AUSTIN THOMPSON</v>
      </c>
      <c r="H233" s="20" t="str">
        <f t="shared" si="7"/>
        <v>4056</v>
      </c>
    </row>
    <row r="234" spans="1:8" x14ac:dyDescent="0.25">
      <c r="A234" s="8">
        <v>43073.932106481479</v>
      </c>
      <c r="B234" t="s">
        <v>582</v>
      </c>
      <c r="C234" t="s">
        <v>883</v>
      </c>
      <c r="D234" s="137">
        <v>890000</v>
      </c>
      <c r="E234" t="s">
        <v>344</v>
      </c>
      <c r="F234" s="20" t="s">
        <v>345</v>
      </c>
      <c r="G234" s="8" t="str">
        <f t="shared" si="6"/>
        <v>LOZA FIDEL</v>
      </c>
      <c r="H234" s="20" t="str">
        <f t="shared" si="7"/>
        <v>4063</v>
      </c>
    </row>
    <row r="235" spans="1:8" x14ac:dyDescent="0.25">
      <c r="A235" s="8">
        <v>43073.933379629627</v>
      </c>
      <c r="B235" t="s">
        <v>351</v>
      </c>
      <c r="C235" t="s">
        <v>884</v>
      </c>
      <c r="D235" s="137">
        <v>3700000</v>
      </c>
      <c r="E235" t="s">
        <v>812</v>
      </c>
      <c r="F235" s="20" t="s">
        <v>565</v>
      </c>
      <c r="G235" s="8" t="str">
        <f t="shared" si="6"/>
        <v>AUSTIN THOMPSON</v>
      </c>
      <c r="H235" s="20" t="str">
        <f t="shared" si="7"/>
        <v>4055</v>
      </c>
    </row>
    <row r="236" spans="1:8" x14ac:dyDescent="0.25">
      <c r="A236" s="8">
        <v>43073.934803240743</v>
      </c>
      <c r="B236" t="s">
        <v>564</v>
      </c>
      <c r="C236" t="s">
        <v>885</v>
      </c>
      <c r="D236" s="137">
        <v>3040000</v>
      </c>
      <c r="E236" t="s">
        <v>365</v>
      </c>
      <c r="F236" s="20" t="s">
        <v>421</v>
      </c>
      <c r="G236" s="8" t="str">
        <f t="shared" si="6"/>
        <v>WILLIAMS DONTE</v>
      </c>
      <c r="H236" s="20" t="str">
        <f t="shared" si="7"/>
        <v>4010</v>
      </c>
    </row>
    <row r="237" spans="1:8" x14ac:dyDescent="0.25">
      <c r="A237" s="8">
        <v>43073.942662037036</v>
      </c>
      <c r="B237" t="s">
        <v>460</v>
      </c>
      <c r="C237" t="s">
        <v>886</v>
      </c>
      <c r="D237" s="137">
        <v>3340000</v>
      </c>
      <c r="E237" t="s">
        <v>409</v>
      </c>
      <c r="F237" s="20" t="s">
        <v>410</v>
      </c>
      <c r="G237" s="8" t="str">
        <f t="shared" si="6"/>
        <v>ELBAUM MIKE</v>
      </c>
      <c r="H237" s="20" t="str">
        <f t="shared" si="7"/>
        <v>4058</v>
      </c>
    </row>
    <row r="238" spans="1:8" x14ac:dyDescent="0.25">
      <c r="A238" s="8">
        <v>43073.951284722221</v>
      </c>
      <c r="B238" t="s">
        <v>358</v>
      </c>
      <c r="C238" t="s">
        <v>887</v>
      </c>
      <c r="D238" s="137">
        <v>3220000</v>
      </c>
      <c r="E238" t="s">
        <v>370</v>
      </c>
      <c r="F238" s="20" t="s">
        <v>371</v>
      </c>
      <c r="G238" s="8" t="str">
        <f t="shared" si="6"/>
        <v>RESPASS AARON</v>
      </c>
      <c r="H238" s="20" t="str">
        <f t="shared" si="7"/>
        <v>4007</v>
      </c>
    </row>
    <row r="239" spans="1:8" x14ac:dyDescent="0.25">
      <c r="A239" s="8">
        <v>43073.957233796296</v>
      </c>
      <c r="B239" t="s">
        <v>413</v>
      </c>
      <c r="C239" t="s">
        <v>888</v>
      </c>
      <c r="D239" s="137">
        <v>3700000</v>
      </c>
      <c r="E239" t="s">
        <v>812</v>
      </c>
      <c r="F239" s="20" t="s">
        <v>565</v>
      </c>
      <c r="G239" s="8" t="str">
        <f t="shared" si="6"/>
        <v>AUSTIN THOMPSON</v>
      </c>
      <c r="H239" s="20" t="str">
        <f t="shared" si="7"/>
        <v>4056</v>
      </c>
    </row>
    <row r="240" spans="1:8" x14ac:dyDescent="0.25">
      <c r="A240" s="8">
        <v>43073.965277777781</v>
      </c>
      <c r="B240" t="s">
        <v>720</v>
      </c>
      <c r="C240" t="s">
        <v>889</v>
      </c>
      <c r="D240" s="137">
        <v>3810000</v>
      </c>
      <c r="E240" t="s">
        <v>431</v>
      </c>
      <c r="F240" s="20" t="s">
        <v>432</v>
      </c>
      <c r="G240" s="8" t="str">
        <f t="shared" si="6"/>
        <v>LORI SANTOS</v>
      </c>
      <c r="H240" s="20" t="str">
        <f t="shared" si="7"/>
        <v>4064</v>
      </c>
    </row>
    <row r="241" spans="1:8" x14ac:dyDescent="0.25">
      <c r="A241" s="8">
        <v>43073.972766203704</v>
      </c>
      <c r="B241" t="s">
        <v>563</v>
      </c>
      <c r="C241" t="s">
        <v>890</v>
      </c>
      <c r="D241" s="137">
        <v>3040000</v>
      </c>
      <c r="E241" t="s">
        <v>365</v>
      </c>
      <c r="F241" s="20" t="s">
        <v>421</v>
      </c>
      <c r="G241" s="8" t="str">
        <f t="shared" si="6"/>
        <v>WILLIAMS DONTE</v>
      </c>
      <c r="H241" s="20" t="str">
        <f t="shared" si="7"/>
        <v>4009</v>
      </c>
    </row>
    <row r="242" spans="1:8" x14ac:dyDescent="0.25">
      <c r="A242" s="8">
        <v>43073.976331018515</v>
      </c>
      <c r="B242" t="s">
        <v>351</v>
      </c>
      <c r="C242" t="s">
        <v>891</v>
      </c>
      <c r="D242" s="137">
        <v>3700000</v>
      </c>
      <c r="E242" t="s">
        <v>812</v>
      </c>
      <c r="F242" s="20" t="s">
        <v>565</v>
      </c>
      <c r="G242" s="8" t="str">
        <f t="shared" si="6"/>
        <v>AUSTIN THOMPSON</v>
      </c>
      <c r="H242" s="20" t="str">
        <f t="shared" si="7"/>
        <v>4055</v>
      </c>
    </row>
    <row r="243" spans="1:8" x14ac:dyDescent="0.25">
      <c r="A243" s="8">
        <v>43073.984548611108</v>
      </c>
      <c r="B243" t="s">
        <v>688</v>
      </c>
      <c r="C243" t="s">
        <v>892</v>
      </c>
      <c r="D243" s="137">
        <v>3340000</v>
      </c>
      <c r="E243" t="s">
        <v>409</v>
      </c>
      <c r="F243" s="20" t="s">
        <v>410</v>
      </c>
      <c r="G243" s="8" t="str">
        <f t="shared" si="6"/>
        <v>ELBAUM MIKE</v>
      </c>
      <c r="H243" s="20" t="str">
        <f t="shared" si="7"/>
        <v>4057</v>
      </c>
    </row>
    <row r="244" spans="1:8" x14ac:dyDescent="0.25">
      <c r="A244" s="8">
        <v>43073.995127314818</v>
      </c>
      <c r="B244" t="s">
        <v>356</v>
      </c>
      <c r="C244" t="s">
        <v>893</v>
      </c>
      <c r="D244" s="137">
        <v>3220000</v>
      </c>
      <c r="E244" t="s">
        <v>370</v>
      </c>
      <c r="F244" s="20" t="s">
        <v>371</v>
      </c>
      <c r="G244" s="8" t="str">
        <f t="shared" si="6"/>
        <v>RESPASS AARON</v>
      </c>
      <c r="H244" s="20" t="str">
        <f t="shared" si="7"/>
        <v>4008</v>
      </c>
    </row>
    <row r="245" spans="1:8" x14ac:dyDescent="0.25">
      <c r="A245" s="8">
        <v>43074.011516203704</v>
      </c>
      <c r="B245" t="s">
        <v>564</v>
      </c>
      <c r="C245" t="s">
        <v>894</v>
      </c>
      <c r="D245" s="137">
        <v>3040000</v>
      </c>
      <c r="E245" t="s">
        <v>365</v>
      </c>
      <c r="F245" s="20" t="s">
        <v>421</v>
      </c>
      <c r="G245" s="8" t="str">
        <f t="shared" si="6"/>
        <v>WILLIAMS DONTE</v>
      </c>
      <c r="H245" s="20" t="str">
        <f t="shared" si="7"/>
        <v>4010</v>
      </c>
    </row>
    <row r="246" spans="1:8" x14ac:dyDescent="0.25">
      <c r="A246" s="8">
        <v>43074.016192129631</v>
      </c>
      <c r="B246" t="s">
        <v>582</v>
      </c>
      <c r="C246" t="s">
        <v>895</v>
      </c>
      <c r="D246" s="137">
        <v>3810000</v>
      </c>
      <c r="E246" t="s">
        <v>431</v>
      </c>
      <c r="F246" s="20" t="s">
        <v>432</v>
      </c>
      <c r="G246" s="8" t="str">
        <f t="shared" si="6"/>
        <v>LORI SANTOS</v>
      </c>
      <c r="H246" s="20" t="str">
        <f t="shared" si="7"/>
        <v>4063</v>
      </c>
    </row>
    <row r="247" spans="1:8" x14ac:dyDescent="0.25">
      <c r="A247" s="8">
        <v>43074.025370370371</v>
      </c>
      <c r="B247" t="s">
        <v>460</v>
      </c>
      <c r="C247" t="s">
        <v>896</v>
      </c>
      <c r="D247" s="137">
        <v>3340000</v>
      </c>
      <c r="E247" t="s">
        <v>409</v>
      </c>
      <c r="F247" s="20" t="s">
        <v>410</v>
      </c>
      <c r="G247" s="8" t="str">
        <f t="shared" si="6"/>
        <v>ELBAUM MIKE</v>
      </c>
      <c r="H247" s="20" t="str">
        <f t="shared" si="7"/>
        <v>4058</v>
      </c>
    </row>
    <row r="248" spans="1:8" x14ac:dyDescent="0.25">
      <c r="A248" s="8">
        <v>43074.034837962965</v>
      </c>
      <c r="B248" t="s">
        <v>358</v>
      </c>
      <c r="C248" t="s">
        <v>673</v>
      </c>
      <c r="D248" s="137">
        <v>3220000</v>
      </c>
      <c r="E248" t="s">
        <v>370</v>
      </c>
      <c r="F248" s="20" t="s">
        <v>371</v>
      </c>
      <c r="G248" s="8" t="str">
        <f t="shared" si="6"/>
        <v>RESPASS AARON</v>
      </c>
      <c r="H248" s="20" t="str">
        <f t="shared" si="7"/>
        <v>4007</v>
      </c>
    </row>
    <row r="249" spans="1:8" x14ac:dyDescent="0.25">
      <c r="A249" s="8">
        <v>43074.047951388886</v>
      </c>
      <c r="B249" t="s">
        <v>720</v>
      </c>
      <c r="C249" t="s">
        <v>897</v>
      </c>
      <c r="D249" s="13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4064</v>
      </c>
    </row>
    <row r="250" spans="1:8" x14ac:dyDescent="0.25">
      <c r="A250" s="8">
        <v>43074.054861111108</v>
      </c>
      <c r="B250" t="s">
        <v>563</v>
      </c>
      <c r="C250" t="s">
        <v>898</v>
      </c>
      <c r="D250" s="137">
        <v>3040000</v>
      </c>
      <c r="E250" t="s">
        <v>365</v>
      </c>
      <c r="F250" s="20" t="s">
        <v>421</v>
      </c>
      <c r="G250" s="8" t="str">
        <f t="shared" si="6"/>
        <v>WILLIAMS DONTE</v>
      </c>
      <c r="H250" s="20" t="str">
        <f t="shared" si="7"/>
        <v>4009</v>
      </c>
    </row>
    <row r="251" spans="1:8" x14ac:dyDescent="0.25">
      <c r="A251" s="8">
        <v>43074.067465277774</v>
      </c>
      <c r="B251" t="s">
        <v>356</v>
      </c>
      <c r="C251" t="s">
        <v>899</v>
      </c>
      <c r="D251" s="137">
        <v>3220000</v>
      </c>
      <c r="E251" t="s">
        <v>370</v>
      </c>
      <c r="F251" s="20" t="s">
        <v>371</v>
      </c>
      <c r="G251" s="8" t="str">
        <f t="shared" si="6"/>
        <v>RESPASS AARON</v>
      </c>
      <c r="H251" s="20" t="str">
        <f t="shared" si="7"/>
        <v>4008</v>
      </c>
    </row>
    <row r="252" spans="1:8" x14ac:dyDescent="0.25">
      <c r="A252" s="8">
        <v>43074.088437500002</v>
      </c>
      <c r="B252" t="s">
        <v>564</v>
      </c>
      <c r="C252" t="s">
        <v>900</v>
      </c>
      <c r="D252" s="137">
        <v>3040000</v>
      </c>
      <c r="E252" t="s">
        <v>365</v>
      </c>
      <c r="F252" s="20" t="s">
        <v>421</v>
      </c>
      <c r="G252" s="8" t="str">
        <f t="shared" si="6"/>
        <v>WILLIAMS DONTE</v>
      </c>
      <c r="H252" s="20" t="str">
        <f t="shared" si="7"/>
        <v>4010</v>
      </c>
    </row>
    <row r="253" spans="1:8" x14ac:dyDescent="0.25">
      <c r="A253" s="8">
        <v>43068.933634259258</v>
      </c>
      <c r="B253" t="s">
        <v>473</v>
      </c>
      <c r="C253" t="s">
        <v>478</v>
      </c>
      <c r="D253" s="137">
        <v>2000000</v>
      </c>
      <c r="E253" t="s">
        <v>380</v>
      </c>
      <c r="F253" s="20" t="s">
        <v>381</v>
      </c>
      <c r="G253" s="8" t="str">
        <f t="shared" si="6"/>
        <v>STAMBAUGH JAMES</v>
      </c>
      <c r="H253" s="20" t="str">
        <f t="shared" si="7"/>
        <v>4031</v>
      </c>
    </row>
    <row r="254" spans="1:8" x14ac:dyDescent="0.25">
      <c r="A254" s="8">
        <v>43068.936041666668</v>
      </c>
      <c r="B254" t="s">
        <v>477</v>
      </c>
      <c r="C254" t="s">
        <v>479</v>
      </c>
      <c r="D254" s="137">
        <v>3310000</v>
      </c>
      <c r="E254" t="s">
        <v>461</v>
      </c>
      <c r="F254" s="20" t="s">
        <v>462</v>
      </c>
      <c r="G254" s="8" t="str">
        <f t="shared" si="6"/>
        <v>ANDERS STEVEN</v>
      </c>
      <c r="H254" s="20" t="str">
        <f t="shared" si="7"/>
        <v>4006</v>
      </c>
    </row>
    <row r="255" spans="1:8" x14ac:dyDescent="0.25">
      <c r="A255" s="8">
        <v>43068.945405092592</v>
      </c>
      <c r="B255" t="s">
        <v>374</v>
      </c>
      <c r="C255" t="s">
        <v>480</v>
      </c>
      <c r="D255" s="137">
        <v>3320000</v>
      </c>
      <c r="E255" t="s">
        <v>360</v>
      </c>
      <c r="F255" s="20" t="s">
        <v>361</v>
      </c>
      <c r="G255" s="8" t="str">
        <f t="shared" si="6"/>
        <v>NICHOLSON WESLEY</v>
      </c>
      <c r="H255" s="20" t="str">
        <f t="shared" si="7"/>
        <v>4022</v>
      </c>
    </row>
    <row r="256" spans="1:8" x14ac:dyDescent="0.25">
      <c r="A256" s="8">
        <v>43068.952187499999</v>
      </c>
      <c r="B256" t="s">
        <v>459</v>
      </c>
      <c r="C256" t="s">
        <v>481</v>
      </c>
      <c r="D256" s="137">
        <v>890000</v>
      </c>
      <c r="E256" t="s">
        <v>344</v>
      </c>
      <c r="F256" s="20" t="s">
        <v>345</v>
      </c>
      <c r="G256" s="8" t="str">
        <f t="shared" si="6"/>
        <v>LOZA FIDEL</v>
      </c>
      <c r="H256" s="20" t="str">
        <f t="shared" si="7"/>
        <v>4001</v>
      </c>
    </row>
    <row r="257" spans="1:8" x14ac:dyDescent="0.25">
      <c r="A257" s="8">
        <v>43068.961168981485</v>
      </c>
      <c r="B257" t="s">
        <v>474</v>
      </c>
      <c r="C257" t="s">
        <v>482</v>
      </c>
      <c r="D257" s="137">
        <v>2000000</v>
      </c>
      <c r="E257" t="s">
        <v>380</v>
      </c>
      <c r="F257" s="20" t="s">
        <v>381</v>
      </c>
      <c r="G257" s="8" t="str">
        <f t="shared" si="6"/>
        <v>STAMBAUGH JAMES</v>
      </c>
      <c r="H257" s="20" t="str">
        <f t="shared" si="7"/>
        <v>4032</v>
      </c>
    </row>
    <row r="258" spans="1:8" x14ac:dyDescent="0.25">
      <c r="A258" s="8">
        <v>43068.974456018521</v>
      </c>
      <c r="B258" t="s">
        <v>420</v>
      </c>
      <c r="C258" t="s">
        <v>483</v>
      </c>
      <c r="D258" s="13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4026</v>
      </c>
    </row>
    <row r="259" spans="1:8" x14ac:dyDescent="0.25">
      <c r="A259" s="8">
        <v>43068.975543981483</v>
      </c>
      <c r="B259" t="s">
        <v>473</v>
      </c>
      <c r="C259" t="s">
        <v>484</v>
      </c>
      <c r="D259" s="13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4031</v>
      </c>
    </row>
    <row r="260" spans="1:8" x14ac:dyDescent="0.25">
      <c r="A260" s="8">
        <v>43068.975706018522</v>
      </c>
      <c r="B260" t="s">
        <v>475</v>
      </c>
      <c r="C260" t="s">
        <v>485</v>
      </c>
      <c r="D260" s="137">
        <v>3310000</v>
      </c>
      <c r="E260" t="s">
        <v>461</v>
      </c>
      <c r="F260" s="20" t="s">
        <v>462</v>
      </c>
      <c r="G260" s="8" t="str">
        <f t="shared" si="8"/>
        <v>ANDERS STEVEN</v>
      </c>
      <c r="H260" s="20" t="str">
        <f t="shared" si="9"/>
        <v>4005</v>
      </c>
    </row>
    <row r="261" spans="1:8" x14ac:dyDescent="0.25">
      <c r="A261" s="8">
        <v>43068.986145833333</v>
      </c>
      <c r="B261" t="s">
        <v>456</v>
      </c>
      <c r="C261" t="s">
        <v>486</v>
      </c>
      <c r="D261" s="13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4002</v>
      </c>
    </row>
    <row r="262" spans="1:8" x14ac:dyDescent="0.25">
      <c r="A262" s="8">
        <v>43068.990578703706</v>
      </c>
      <c r="B262" t="s">
        <v>430</v>
      </c>
      <c r="C262" t="s">
        <v>487</v>
      </c>
      <c r="D262" s="137">
        <v>3320000</v>
      </c>
      <c r="E262" t="s">
        <v>360</v>
      </c>
      <c r="F262" s="20" t="s">
        <v>361</v>
      </c>
      <c r="G262" s="8" t="str">
        <f t="shared" si="8"/>
        <v>NICHOLSON WESLEY</v>
      </c>
      <c r="H262" s="20" t="str">
        <f t="shared" si="9"/>
        <v>4021</v>
      </c>
    </row>
    <row r="263" spans="1:8" x14ac:dyDescent="0.25">
      <c r="A263" s="8">
        <v>43069.015138888892</v>
      </c>
      <c r="B263" t="s">
        <v>419</v>
      </c>
      <c r="C263" t="s">
        <v>488</v>
      </c>
      <c r="D263" s="13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4025</v>
      </c>
    </row>
    <row r="264" spans="1:8" x14ac:dyDescent="0.25">
      <c r="A264" s="8">
        <v>43069.019780092596</v>
      </c>
      <c r="B264" t="s">
        <v>477</v>
      </c>
      <c r="C264" t="s">
        <v>489</v>
      </c>
      <c r="D264" s="137">
        <v>3310000</v>
      </c>
      <c r="E264" t="s">
        <v>461</v>
      </c>
      <c r="F264" s="20" t="s">
        <v>462</v>
      </c>
      <c r="G264" s="8" t="str">
        <f t="shared" si="8"/>
        <v>ANDERS STEVEN</v>
      </c>
      <c r="H264" s="20" t="str">
        <f t="shared" si="9"/>
        <v>4006</v>
      </c>
    </row>
    <row r="265" spans="1:8" x14ac:dyDescent="0.25">
      <c r="A265" s="8">
        <v>43069.029178240744</v>
      </c>
      <c r="B265" t="s">
        <v>374</v>
      </c>
      <c r="C265" t="s">
        <v>490</v>
      </c>
      <c r="D265" s="137">
        <v>3320000</v>
      </c>
      <c r="E265" t="s">
        <v>360</v>
      </c>
      <c r="F265" s="20" t="s">
        <v>361</v>
      </c>
      <c r="G265" s="8" t="str">
        <f t="shared" si="8"/>
        <v>NICHOLSON WESLEY</v>
      </c>
      <c r="H265" s="20" t="str">
        <f t="shared" si="9"/>
        <v>4022</v>
      </c>
    </row>
    <row r="266" spans="1:8" x14ac:dyDescent="0.25">
      <c r="A266" s="8">
        <v>43069.038206018522</v>
      </c>
      <c r="B266" t="s">
        <v>459</v>
      </c>
      <c r="C266" t="s">
        <v>491</v>
      </c>
      <c r="D266" s="137">
        <v>890000</v>
      </c>
      <c r="E266" t="s">
        <v>344</v>
      </c>
      <c r="F266" s="20" t="s">
        <v>345</v>
      </c>
      <c r="G266" s="8" t="str">
        <f t="shared" si="8"/>
        <v>LOZA FIDEL</v>
      </c>
      <c r="H266" s="20" t="str">
        <f t="shared" si="9"/>
        <v>4001</v>
      </c>
    </row>
    <row r="267" spans="1:8" x14ac:dyDescent="0.25">
      <c r="A267" s="8">
        <v>43069.046111111114</v>
      </c>
      <c r="B267" t="s">
        <v>420</v>
      </c>
      <c r="C267" t="s">
        <v>492</v>
      </c>
      <c r="D267" s="137">
        <v>3220000</v>
      </c>
      <c r="E267" t="s">
        <v>370</v>
      </c>
      <c r="F267" s="20" t="s">
        <v>371</v>
      </c>
      <c r="G267" s="8" t="str">
        <f t="shared" si="8"/>
        <v>RESPASS AARON</v>
      </c>
      <c r="H267" s="20" t="str">
        <f t="shared" si="9"/>
        <v>4026</v>
      </c>
    </row>
    <row r="268" spans="1:8" x14ac:dyDescent="0.25">
      <c r="A268" s="8">
        <v>43069.050173611111</v>
      </c>
      <c r="B268" t="s">
        <v>475</v>
      </c>
      <c r="C268" t="s">
        <v>476</v>
      </c>
      <c r="D268" s="137">
        <v>3310000</v>
      </c>
      <c r="E268" t="s">
        <v>461</v>
      </c>
      <c r="F268" s="20" t="s">
        <v>462</v>
      </c>
      <c r="G268" s="8" t="str">
        <f t="shared" si="8"/>
        <v>ANDERS STEVEN</v>
      </c>
      <c r="H268" s="20" t="str">
        <f t="shared" si="9"/>
        <v>4005</v>
      </c>
    </row>
    <row r="269" spans="1:8" x14ac:dyDescent="0.25">
      <c r="A269" s="8">
        <v>43069.067777777775</v>
      </c>
      <c r="B269" t="s">
        <v>456</v>
      </c>
      <c r="C269" t="s">
        <v>493</v>
      </c>
      <c r="D269" s="137">
        <v>890000</v>
      </c>
      <c r="E269" t="s">
        <v>344</v>
      </c>
      <c r="F269" s="20" t="s">
        <v>345</v>
      </c>
      <c r="G269" s="8" t="str">
        <f t="shared" si="8"/>
        <v>LOZA FIDEL</v>
      </c>
      <c r="H269" s="20" t="str">
        <f t="shared" si="9"/>
        <v>4002</v>
      </c>
    </row>
    <row r="270" spans="1:8" x14ac:dyDescent="0.25">
      <c r="A270" s="8">
        <v>43069.090451388889</v>
      </c>
      <c r="B270" t="s">
        <v>477</v>
      </c>
      <c r="C270" t="s">
        <v>494</v>
      </c>
      <c r="D270" s="137">
        <v>3310000</v>
      </c>
      <c r="E270" t="s">
        <v>461</v>
      </c>
      <c r="F270" s="20" t="s">
        <v>462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477</v>
      </c>
      <c r="C271" t="s">
        <v>494</v>
      </c>
      <c r="D271" s="137">
        <v>3310000</v>
      </c>
      <c r="E271" t="s">
        <v>461</v>
      </c>
      <c r="F271" s="20" t="s">
        <v>462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433</v>
      </c>
      <c r="D272" s="13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434</v>
      </c>
      <c r="D273" s="13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428</v>
      </c>
      <c r="C274" t="s">
        <v>435</v>
      </c>
      <c r="D274" s="13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413</v>
      </c>
      <c r="C275" t="s">
        <v>436</v>
      </c>
      <c r="D275" s="13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437</v>
      </c>
      <c r="D276" s="13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419</v>
      </c>
      <c r="C277" t="s">
        <v>438</v>
      </c>
      <c r="D277" s="137">
        <v>3040000</v>
      </c>
      <c r="E277" t="s">
        <v>365</v>
      </c>
      <c r="F277" s="20" t="s">
        <v>421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439</v>
      </c>
      <c r="D278" s="13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440</v>
      </c>
      <c r="D279" s="13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427</v>
      </c>
      <c r="C280" t="s">
        <v>441</v>
      </c>
      <c r="D280" s="13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430</v>
      </c>
      <c r="C281" t="s">
        <v>442</v>
      </c>
      <c r="D281" s="13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420</v>
      </c>
      <c r="C282" t="s">
        <v>443</v>
      </c>
      <c r="D282" s="137">
        <v>3040000</v>
      </c>
      <c r="E282" t="s">
        <v>365</v>
      </c>
      <c r="F282" s="20" t="s">
        <v>421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444</v>
      </c>
      <c r="D283" s="13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428</v>
      </c>
      <c r="C284" t="s">
        <v>445</v>
      </c>
      <c r="D284" s="13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429</v>
      </c>
      <c r="D285" s="13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419</v>
      </c>
      <c r="C286" t="s">
        <v>446</v>
      </c>
      <c r="D286" s="137">
        <v>3040000</v>
      </c>
      <c r="E286" t="s">
        <v>365</v>
      </c>
      <c r="F286" s="20" t="s">
        <v>421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427</v>
      </c>
      <c r="C287" t="s">
        <v>447</v>
      </c>
      <c r="D287" s="13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420</v>
      </c>
      <c r="C288" t="s">
        <v>448</v>
      </c>
      <c r="D288" s="137">
        <v>3040000</v>
      </c>
      <c r="E288" t="s">
        <v>365</v>
      </c>
      <c r="F288" s="20" t="s">
        <v>421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3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3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3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3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3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3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3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3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3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3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3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3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3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3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3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3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3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3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3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3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3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3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3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3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6" t="s">
        <v>156</v>
      </c>
      <c r="B1" s="216" t="s">
        <v>159</v>
      </c>
      <c r="C1" s="216" t="s">
        <v>152</v>
      </c>
      <c r="D1" s="135" t="s">
        <v>164</v>
      </c>
      <c r="E1" s="216" t="s">
        <v>153</v>
      </c>
      <c r="F1" s="216" t="s">
        <v>151</v>
      </c>
      <c r="G1" s="216" t="s">
        <v>149</v>
      </c>
      <c r="H1" s="216" t="s">
        <v>901</v>
      </c>
      <c r="I1" s="216" t="s">
        <v>162</v>
      </c>
      <c r="J1" s="216" t="s">
        <v>163</v>
      </c>
      <c r="K1" s="216" t="s">
        <v>902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334</v>
      </c>
      <c r="Q1" s="216" t="s">
        <v>154</v>
      </c>
      <c r="R1" s="216" t="s">
        <v>161</v>
      </c>
      <c r="S1" s="216" t="s">
        <v>335</v>
      </c>
      <c r="T1" s="216" t="s">
        <v>158</v>
      </c>
    </row>
    <row r="2" spans="1:20" x14ac:dyDescent="0.25">
      <c r="A2" s="194">
        <v>44.99</v>
      </c>
      <c r="B2" s="194">
        <v>0.18</v>
      </c>
      <c r="C2" s="194">
        <v>32.58</v>
      </c>
      <c r="D2" s="8">
        <v>43073</v>
      </c>
      <c r="E2" s="194">
        <v>0.55000000000000004</v>
      </c>
      <c r="F2" s="194" t="s">
        <v>408</v>
      </c>
      <c r="G2" s="194">
        <v>302.91000000000003</v>
      </c>
      <c r="H2" s="194"/>
      <c r="I2" s="194">
        <v>0</v>
      </c>
      <c r="J2" s="194">
        <v>0</v>
      </c>
      <c r="K2" s="194"/>
      <c r="L2" s="194">
        <v>999.3</v>
      </c>
      <c r="M2" s="194" t="s">
        <v>407</v>
      </c>
      <c r="N2" s="194">
        <v>47.92</v>
      </c>
      <c r="O2" s="194">
        <v>1512370800</v>
      </c>
      <c r="P2" s="194">
        <v>0</v>
      </c>
      <c r="Q2" s="194">
        <v>3.52</v>
      </c>
      <c r="R2" s="194">
        <v>217</v>
      </c>
      <c r="S2" s="194">
        <v>16.579999999999998</v>
      </c>
      <c r="T2" s="194">
        <v>6.37</v>
      </c>
    </row>
    <row r="3" spans="1:20" x14ac:dyDescent="0.25">
      <c r="A3" s="194">
        <v>43.29</v>
      </c>
      <c r="B3" s="194">
        <v>0.18</v>
      </c>
      <c r="C3" s="194">
        <v>31.06</v>
      </c>
      <c r="D3" s="8">
        <v>43073.041666666664</v>
      </c>
      <c r="E3" s="194">
        <v>0.56000000000000005</v>
      </c>
      <c r="F3" s="194" t="s">
        <v>408</v>
      </c>
      <c r="G3" s="194">
        <v>305.52</v>
      </c>
      <c r="H3" s="194"/>
      <c r="I3" s="194">
        <v>0</v>
      </c>
      <c r="J3" s="194">
        <v>0</v>
      </c>
      <c r="K3" s="194"/>
      <c r="L3" s="194">
        <v>999.11</v>
      </c>
      <c r="M3" s="194" t="s">
        <v>407</v>
      </c>
      <c r="N3" s="194">
        <v>45.78</v>
      </c>
      <c r="O3" s="194">
        <v>1512374400</v>
      </c>
      <c r="P3" s="194">
        <v>0</v>
      </c>
      <c r="Q3" s="194">
        <v>3.52</v>
      </c>
      <c r="R3" s="194">
        <v>257</v>
      </c>
      <c r="S3" s="194">
        <v>14.19</v>
      </c>
      <c r="T3" s="194">
        <v>4.96</v>
      </c>
    </row>
    <row r="4" spans="1:20" x14ac:dyDescent="0.25">
      <c r="A4" s="194">
        <v>40.65</v>
      </c>
      <c r="B4" s="194">
        <v>0.06</v>
      </c>
      <c r="C4" s="194">
        <v>23.32</v>
      </c>
      <c r="D4" s="8">
        <v>43073.083333333336</v>
      </c>
      <c r="E4" s="194">
        <v>0.45</v>
      </c>
      <c r="F4" s="194" t="s">
        <v>408</v>
      </c>
      <c r="G4" s="194">
        <v>308.64</v>
      </c>
      <c r="H4" s="194"/>
      <c r="I4" s="194">
        <v>0</v>
      </c>
      <c r="J4" s="194">
        <v>0</v>
      </c>
      <c r="K4" s="194"/>
      <c r="L4" s="194">
        <v>999.92</v>
      </c>
      <c r="M4" s="194" t="s">
        <v>407</v>
      </c>
      <c r="N4" s="194">
        <v>43.42</v>
      </c>
      <c r="O4" s="194">
        <v>1512378000</v>
      </c>
      <c r="P4" s="194">
        <v>0</v>
      </c>
      <c r="Q4" s="194">
        <v>3.52</v>
      </c>
      <c r="R4" s="194">
        <v>281</v>
      </c>
      <c r="S4" s="194">
        <v>13.23</v>
      </c>
      <c r="T4" s="194">
        <v>4.78</v>
      </c>
    </row>
    <row r="5" spans="1:20" x14ac:dyDescent="0.25">
      <c r="A5" s="194">
        <v>37.81</v>
      </c>
      <c r="B5" s="194">
        <v>7.0000000000000007E-2</v>
      </c>
      <c r="C5" s="194">
        <v>19.63</v>
      </c>
      <c r="D5" s="8">
        <v>43073.125</v>
      </c>
      <c r="E5" s="194">
        <v>0.42</v>
      </c>
      <c r="F5" s="194" t="s">
        <v>408</v>
      </c>
      <c r="G5" s="194">
        <v>313.63</v>
      </c>
      <c r="H5" s="194"/>
      <c r="I5" s="194">
        <v>0</v>
      </c>
      <c r="J5" s="194">
        <v>0</v>
      </c>
      <c r="K5" s="194"/>
      <c r="L5" s="194">
        <v>1001.05</v>
      </c>
      <c r="M5" s="194" t="s">
        <v>407</v>
      </c>
      <c r="N5" s="194">
        <v>41.16</v>
      </c>
      <c r="O5" s="194">
        <v>1512381600</v>
      </c>
      <c r="P5" s="194">
        <v>0</v>
      </c>
      <c r="Q5" s="194">
        <v>3.52</v>
      </c>
      <c r="R5" s="194">
        <v>295</v>
      </c>
      <c r="S5" s="194">
        <v>13.04</v>
      </c>
      <c r="T5" s="194">
        <v>5.0199999999999996</v>
      </c>
    </row>
    <row r="6" spans="1:20" x14ac:dyDescent="0.25">
      <c r="A6" s="194">
        <v>32.93</v>
      </c>
      <c r="B6" s="194">
        <v>0.1</v>
      </c>
      <c r="C6" s="194">
        <v>15.84</v>
      </c>
      <c r="D6" s="8">
        <v>43073.166666666664</v>
      </c>
      <c r="E6" s="194">
        <v>0.4</v>
      </c>
      <c r="F6" s="194" t="s">
        <v>408</v>
      </c>
      <c r="G6" s="194">
        <v>318.98</v>
      </c>
      <c r="H6" s="194"/>
      <c r="I6" s="194">
        <v>0</v>
      </c>
      <c r="J6" s="194">
        <v>0</v>
      </c>
      <c r="K6" s="194"/>
      <c r="L6" s="194">
        <v>1002.58</v>
      </c>
      <c r="M6" s="194" t="s">
        <v>407</v>
      </c>
      <c r="N6" s="194">
        <v>38.21</v>
      </c>
      <c r="O6" s="194">
        <v>1512385200</v>
      </c>
      <c r="P6" s="194">
        <v>0</v>
      </c>
      <c r="Q6" s="194">
        <v>3.52</v>
      </c>
      <c r="R6" s="194">
        <v>281</v>
      </c>
      <c r="S6" s="194">
        <v>17.27</v>
      </c>
      <c r="T6" s="194">
        <v>7.08</v>
      </c>
    </row>
    <row r="7" spans="1:20" x14ac:dyDescent="0.25">
      <c r="A7" s="194">
        <v>30.76</v>
      </c>
      <c r="B7" s="194">
        <v>7.0000000000000007E-2</v>
      </c>
      <c r="C7" s="194">
        <v>13.37</v>
      </c>
      <c r="D7" s="8">
        <v>43073.208333333336</v>
      </c>
      <c r="E7" s="194">
        <v>0.37</v>
      </c>
      <c r="F7" s="194" t="s">
        <v>408</v>
      </c>
      <c r="G7" s="194">
        <v>320.43</v>
      </c>
      <c r="H7" s="194"/>
      <c r="I7" s="194">
        <v>0</v>
      </c>
      <c r="J7" s="194">
        <v>0</v>
      </c>
      <c r="K7" s="194"/>
      <c r="L7" s="194">
        <v>1004.82</v>
      </c>
      <c r="M7" s="194" t="s">
        <v>407</v>
      </c>
      <c r="N7" s="194">
        <v>36.96</v>
      </c>
      <c r="O7" s="194">
        <v>1512388800</v>
      </c>
      <c r="P7" s="194">
        <v>0</v>
      </c>
      <c r="Q7" s="194">
        <v>3.52</v>
      </c>
      <c r="R7" s="194">
        <v>288</v>
      </c>
      <c r="S7" s="194">
        <v>20.54</v>
      </c>
      <c r="T7" s="194">
        <v>8.23</v>
      </c>
    </row>
    <row r="8" spans="1:20" x14ac:dyDescent="0.25">
      <c r="A8" s="194">
        <v>26.78</v>
      </c>
      <c r="B8" s="194">
        <v>0.06</v>
      </c>
      <c r="C8" s="194">
        <v>10.1</v>
      </c>
      <c r="D8" s="8">
        <v>43073.25</v>
      </c>
      <c r="E8" s="194">
        <v>0.35</v>
      </c>
      <c r="F8" s="194" t="s">
        <v>408</v>
      </c>
      <c r="G8" s="194">
        <v>324.23</v>
      </c>
      <c r="H8" s="194"/>
      <c r="I8" s="194">
        <v>0</v>
      </c>
      <c r="J8" s="194">
        <v>0</v>
      </c>
      <c r="K8" s="194"/>
      <c r="L8" s="194">
        <v>1006.67</v>
      </c>
      <c r="M8" s="194" t="s">
        <v>407</v>
      </c>
      <c r="N8" s="194">
        <v>34.89</v>
      </c>
      <c r="O8" s="194">
        <v>1512392400</v>
      </c>
      <c r="P8" s="194">
        <v>0</v>
      </c>
      <c r="Q8" s="194">
        <v>4.79</v>
      </c>
      <c r="R8" s="194">
        <v>289</v>
      </c>
      <c r="S8" s="194">
        <v>26.4</v>
      </c>
      <c r="T8" s="194">
        <v>11.14</v>
      </c>
    </row>
    <row r="9" spans="1:20" x14ac:dyDescent="0.25">
      <c r="A9" s="194">
        <v>25.26</v>
      </c>
      <c r="B9" s="194">
        <v>0.09</v>
      </c>
      <c r="C9" s="194">
        <v>3.16</v>
      </c>
      <c r="D9" s="8">
        <v>43073.291666666664</v>
      </c>
      <c r="E9" s="194">
        <v>0.27</v>
      </c>
      <c r="F9" s="194" t="s">
        <v>408</v>
      </c>
      <c r="G9" s="194">
        <v>327.67</v>
      </c>
      <c r="H9" s="194"/>
      <c r="I9" s="194">
        <v>0</v>
      </c>
      <c r="J9" s="194">
        <v>0</v>
      </c>
      <c r="K9" s="194"/>
      <c r="L9" s="194">
        <v>1009.06</v>
      </c>
      <c r="M9" s="194" t="s">
        <v>407</v>
      </c>
      <c r="N9" s="194">
        <v>33.56</v>
      </c>
      <c r="O9" s="194">
        <v>1512396000</v>
      </c>
      <c r="P9" s="194">
        <v>0</v>
      </c>
      <c r="Q9" s="194">
        <v>4.79</v>
      </c>
      <c r="R9" s="194">
        <v>276</v>
      </c>
      <c r="S9" s="194">
        <v>23.81</v>
      </c>
      <c r="T9" s="194">
        <v>10.82</v>
      </c>
    </row>
    <row r="10" spans="1:20" x14ac:dyDescent="0.25">
      <c r="A10" s="194">
        <v>26.71</v>
      </c>
      <c r="B10" s="194">
        <v>0.09</v>
      </c>
      <c r="C10" s="194">
        <v>2.75</v>
      </c>
      <c r="D10" s="8">
        <v>43073.333333333336</v>
      </c>
      <c r="E10" s="194">
        <v>0.27</v>
      </c>
      <c r="F10" s="194" t="s">
        <v>422</v>
      </c>
      <c r="G10" s="194">
        <v>329.48</v>
      </c>
      <c r="H10" s="194">
        <v>0</v>
      </c>
      <c r="I10" s="194">
        <v>1E-4</v>
      </c>
      <c r="J10" s="194">
        <v>0.01</v>
      </c>
      <c r="K10" s="194" t="s">
        <v>903</v>
      </c>
      <c r="L10" s="194">
        <v>1011.87</v>
      </c>
      <c r="M10" s="194" t="s">
        <v>407</v>
      </c>
      <c r="N10" s="194">
        <v>33.46</v>
      </c>
      <c r="O10" s="194">
        <v>1512399600</v>
      </c>
      <c r="P10" s="194">
        <v>0</v>
      </c>
      <c r="Q10" s="194">
        <v>4.6100000000000003</v>
      </c>
      <c r="R10" s="194">
        <v>263</v>
      </c>
      <c r="S10" s="194">
        <v>19.84</v>
      </c>
      <c r="T10" s="194">
        <v>7.86</v>
      </c>
    </row>
    <row r="11" spans="1:20" x14ac:dyDescent="0.25">
      <c r="A11" s="194">
        <v>30.68</v>
      </c>
      <c r="B11" s="194">
        <v>0.13</v>
      </c>
      <c r="C11" s="194">
        <v>4.22</v>
      </c>
      <c r="D11" s="8">
        <v>43073.375</v>
      </c>
      <c r="E11" s="194">
        <v>0.26</v>
      </c>
      <c r="F11" s="194" t="s">
        <v>422</v>
      </c>
      <c r="G11" s="194">
        <v>328.65</v>
      </c>
      <c r="H11" s="194"/>
      <c r="I11" s="194">
        <v>1E-4</v>
      </c>
      <c r="J11" s="194">
        <v>0.01</v>
      </c>
      <c r="K11" s="194" t="s">
        <v>904</v>
      </c>
      <c r="L11" s="194">
        <v>1011.83</v>
      </c>
      <c r="M11" s="194" t="s">
        <v>407</v>
      </c>
      <c r="N11" s="194">
        <v>36.01</v>
      </c>
      <c r="O11" s="194">
        <v>1512403200</v>
      </c>
      <c r="P11" s="194">
        <v>1</v>
      </c>
      <c r="Q11" s="194">
        <v>4.16</v>
      </c>
      <c r="R11" s="194">
        <v>297</v>
      </c>
      <c r="S11" s="194">
        <v>16.38</v>
      </c>
      <c r="T11" s="194">
        <v>6.47</v>
      </c>
    </row>
    <row r="12" spans="1:20" x14ac:dyDescent="0.25">
      <c r="A12" s="194">
        <v>33.590000000000003</v>
      </c>
      <c r="B12" s="194">
        <v>0.17</v>
      </c>
      <c r="C12" s="194">
        <v>5.83</v>
      </c>
      <c r="D12" s="8">
        <v>43073.416666666664</v>
      </c>
      <c r="E12" s="194">
        <v>0.26</v>
      </c>
      <c r="F12" s="194" t="s">
        <v>422</v>
      </c>
      <c r="G12" s="194">
        <v>325.99</v>
      </c>
      <c r="H12" s="194"/>
      <c r="I12" s="194">
        <v>0</v>
      </c>
      <c r="J12" s="194">
        <v>0</v>
      </c>
      <c r="K12" s="194"/>
      <c r="L12" s="194">
        <v>1012.78</v>
      </c>
      <c r="M12" s="194" t="s">
        <v>407</v>
      </c>
      <c r="N12" s="194">
        <v>38.03</v>
      </c>
      <c r="O12" s="194">
        <v>1512406800</v>
      </c>
      <c r="P12" s="194">
        <v>1</v>
      </c>
      <c r="Q12" s="194">
        <v>3.78</v>
      </c>
      <c r="R12" s="194">
        <v>322</v>
      </c>
      <c r="S12" s="194">
        <v>14.93</v>
      </c>
      <c r="T12" s="194">
        <v>5.74</v>
      </c>
    </row>
    <row r="13" spans="1:20" x14ac:dyDescent="0.25">
      <c r="A13" s="194">
        <v>35.130000000000003</v>
      </c>
      <c r="B13" s="194">
        <v>0.33</v>
      </c>
      <c r="C13" s="194">
        <v>7.35</v>
      </c>
      <c r="D13" s="8">
        <v>43073.458333333336</v>
      </c>
      <c r="E13" s="194">
        <v>0.26</v>
      </c>
      <c r="F13" s="194" t="s">
        <v>905</v>
      </c>
      <c r="G13" s="194">
        <v>317.63</v>
      </c>
      <c r="H13" s="194"/>
      <c r="I13" s="194">
        <v>0</v>
      </c>
      <c r="J13" s="194">
        <v>0</v>
      </c>
      <c r="K13" s="194"/>
      <c r="L13" s="194">
        <v>1014.34</v>
      </c>
      <c r="M13" s="194" t="s">
        <v>906</v>
      </c>
      <c r="N13" s="194">
        <v>39.51</v>
      </c>
      <c r="O13" s="194">
        <v>1512410400</v>
      </c>
      <c r="P13" s="194">
        <v>2</v>
      </c>
      <c r="Q13" s="194">
        <v>4.79</v>
      </c>
      <c r="R13" s="194">
        <v>343</v>
      </c>
      <c r="S13" s="194">
        <v>15.45</v>
      </c>
      <c r="T13" s="194">
        <v>6.05</v>
      </c>
    </row>
    <row r="14" spans="1:20" x14ac:dyDescent="0.25">
      <c r="A14" s="194">
        <v>33.65</v>
      </c>
      <c r="B14" s="194">
        <v>0.28000000000000003</v>
      </c>
      <c r="C14" s="194">
        <v>9.4600000000000009</v>
      </c>
      <c r="D14" s="8">
        <v>43073.5</v>
      </c>
      <c r="E14" s="194">
        <v>0.28999999999999998</v>
      </c>
      <c r="F14" s="194" t="s">
        <v>905</v>
      </c>
      <c r="G14" s="194">
        <v>316.17</v>
      </c>
      <c r="H14" s="194"/>
      <c r="I14" s="194">
        <v>0</v>
      </c>
      <c r="J14" s="194">
        <v>0</v>
      </c>
      <c r="K14" s="194"/>
      <c r="L14" s="194">
        <v>1015.25</v>
      </c>
      <c r="M14" s="194" t="s">
        <v>906</v>
      </c>
      <c r="N14" s="194">
        <v>38.94</v>
      </c>
      <c r="O14" s="194">
        <v>1512414000</v>
      </c>
      <c r="P14" s="194">
        <v>2</v>
      </c>
      <c r="Q14" s="194">
        <v>4.79</v>
      </c>
      <c r="R14" s="194">
        <v>358</v>
      </c>
      <c r="S14" s="194">
        <v>18.670000000000002</v>
      </c>
      <c r="T14" s="194">
        <v>7.35</v>
      </c>
    </row>
    <row r="15" spans="1:20" x14ac:dyDescent="0.25">
      <c r="A15" s="194">
        <v>32.36</v>
      </c>
      <c r="B15" s="194">
        <v>0.19</v>
      </c>
      <c r="C15" s="194">
        <v>11.09</v>
      </c>
      <c r="D15" s="8">
        <v>43073.541666666664</v>
      </c>
      <c r="E15" s="194">
        <v>0.32</v>
      </c>
      <c r="F15" s="194" t="s">
        <v>422</v>
      </c>
      <c r="G15" s="194">
        <v>316.07</v>
      </c>
      <c r="H15" s="194"/>
      <c r="I15" s="194">
        <v>0</v>
      </c>
      <c r="J15" s="194">
        <v>0</v>
      </c>
      <c r="K15" s="194"/>
      <c r="L15" s="194">
        <v>1015.29</v>
      </c>
      <c r="M15" s="194" t="s">
        <v>407</v>
      </c>
      <c r="N15" s="194">
        <v>37.94</v>
      </c>
      <c r="O15" s="194">
        <v>1512417600</v>
      </c>
      <c r="P15" s="194">
        <v>2</v>
      </c>
      <c r="Q15" s="194">
        <v>4.6500000000000004</v>
      </c>
      <c r="R15" s="194">
        <v>22</v>
      </c>
      <c r="S15" s="194">
        <v>16.100000000000001</v>
      </c>
      <c r="T15" s="194">
        <v>7.51</v>
      </c>
    </row>
    <row r="16" spans="1:20" x14ac:dyDescent="0.25">
      <c r="A16" s="194">
        <v>33.75</v>
      </c>
      <c r="B16" s="194">
        <v>0.12</v>
      </c>
      <c r="C16" s="194">
        <v>11.12</v>
      </c>
      <c r="D16" s="8">
        <v>43073.583333333336</v>
      </c>
      <c r="E16" s="194">
        <v>0.32</v>
      </c>
      <c r="F16" s="194" t="s">
        <v>422</v>
      </c>
      <c r="G16" s="194">
        <v>316.39</v>
      </c>
      <c r="H16" s="194"/>
      <c r="I16" s="194">
        <v>0</v>
      </c>
      <c r="J16" s="194">
        <v>0</v>
      </c>
      <c r="K16" s="194"/>
      <c r="L16" s="194">
        <v>1015.92</v>
      </c>
      <c r="M16" s="194" t="s">
        <v>407</v>
      </c>
      <c r="N16" s="194">
        <v>38.1</v>
      </c>
      <c r="O16" s="194">
        <v>1512421200</v>
      </c>
      <c r="P16" s="194">
        <v>1</v>
      </c>
      <c r="Q16" s="194">
        <v>4.79</v>
      </c>
      <c r="R16" s="194">
        <v>33</v>
      </c>
      <c r="S16" s="194">
        <v>12.45</v>
      </c>
      <c r="T16" s="194">
        <v>5.64</v>
      </c>
    </row>
    <row r="17" spans="1:20" x14ac:dyDescent="0.25">
      <c r="A17" s="194">
        <v>33.39</v>
      </c>
      <c r="B17" s="194">
        <v>0.18</v>
      </c>
      <c r="C17" s="194">
        <v>11.39</v>
      </c>
      <c r="D17" s="8">
        <v>43073.625</v>
      </c>
      <c r="E17" s="194">
        <v>0.34</v>
      </c>
      <c r="F17" s="194" t="s">
        <v>422</v>
      </c>
      <c r="G17" s="194">
        <v>317.01</v>
      </c>
      <c r="H17" s="194"/>
      <c r="I17" s="194">
        <v>0</v>
      </c>
      <c r="J17" s="194">
        <v>0</v>
      </c>
      <c r="K17" s="194"/>
      <c r="L17" s="194">
        <v>1017.32</v>
      </c>
      <c r="M17" s="194" t="s">
        <v>407</v>
      </c>
      <c r="N17" s="194">
        <v>37.07</v>
      </c>
      <c r="O17" s="194">
        <v>1512424800</v>
      </c>
      <c r="P17" s="194">
        <v>1</v>
      </c>
      <c r="Q17" s="194">
        <v>4.79</v>
      </c>
      <c r="R17" s="194">
        <v>46</v>
      </c>
      <c r="S17" s="194">
        <v>10.68</v>
      </c>
      <c r="T17" s="194">
        <v>4.58</v>
      </c>
    </row>
    <row r="18" spans="1:20" x14ac:dyDescent="0.25">
      <c r="A18" s="194">
        <v>31.67</v>
      </c>
      <c r="B18" s="194">
        <v>0.21</v>
      </c>
      <c r="C18" s="194">
        <v>11.61</v>
      </c>
      <c r="D18" s="8">
        <v>43073.666666666664</v>
      </c>
      <c r="E18" s="194">
        <v>0.38</v>
      </c>
      <c r="F18" s="194" t="s">
        <v>422</v>
      </c>
      <c r="G18" s="194">
        <v>318.06</v>
      </c>
      <c r="H18" s="194"/>
      <c r="I18" s="194">
        <v>0</v>
      </c>
      <c r="J18" s="194">
        <v>0</v>
      </c>
      <c r="K18" s="194"/>
      <c r="L18" s="194">
        <v>1018.66</v>
      </c>
      <c r="M18" s="194" t="s">
        <v>407</v>
      </c>
      <c r="N18" s="194">
        <v>34.83</v>
      </c>
      <c r="O18" s="194">
        <v>1512428400</v>
      </c>
      <c r="P18" s="194">
        <v>0</v>
      </c>
      <c r="Q18" s="194">
        <v>4.79</v>
      </c>
      <c r="R18" s="194">
        <v>44</v>
      </c>
      <c r="S18" s="194">
        <v>9.1300000000000008</v>
      </c>
      <c r="T18" s="194">
        <v>3.7</v>
      </c>
    </row>
    <row r="19" spans="1:20" x14ac:dyDescent="0.25">
      <c r="A19" s="194">
        <v>31.95</v>
      </c>
      <c r="B19" s="194">
        <v>0.1</v>
      </c>
      <c r="C19" s="194">
        <v>11.58</v>
      </c>
      <c r="D19" s="8">
        <v>43073.708333333336</v>
      </c>
      <c r="E19" s="194">
        <v>0.42</v>
      </c>
      <c r="F19" s="194" t="s">
        <v>408</v>
      </c>
      <c r="G19" s="194">
        <v>314.7</v>
      </c>
      <c r="H19" s="194"/>
      <c r="I19" s="194">
        <v>0</v>
      </c>
      <c r="J19" s="194">
        <v>0</v>
      </c>
      <c r="K19" s="194"/>
      <c r="L19" s="194">
        <v>1020.68</v>
      </c>
      <c r="M19" s="194" t="s">
        <v>407</v>
      </c>
      <c r="N19" s="194">
        <v>31.95</v>
      </c>
      <c r="O19" s="194">
        <v>1512432000</v>
      </c>
      <c r="P19" s="194">
        <v>0</v>
      </c>
      <c r="Q19" s="194">
        <v>4.63</v>
      </c>
      <c r="R19" s="194">
        <v>50</v>
      </c>
      <c r="S19" s="194">
        <v>5.83</v>
      </c>
      <c r="T19" s="194">
        <v>2.14</v>
      </c>
    </row>
    <row r="20" spans="1:20" x14ac:dyDescent="0.25">
      <c r="A20" s="194">
        <v>29.13</v>
      </c>
      <c r="B20" s="194">
        <v>0.06</v>
      </c>
      <c r="C20" s="194">
        <v>10.76</v>
      </c>
      <c r="D20" s="8">
        <v>43073.75</v>
      </c>
      <c r="E20" s="194">
        <v>0.46</v>
      </c>
      <c r="F20" s="194" t="s">
        <v>408</v>
      </c>
      <c r="G20" s="194">
        <v>315.95999999999998</v>
      </c>
      <c r="H20" s="194"/>
      <c r="I20" s="194">
        <v>0</v>
      </c>
      <c r="J20" s="194">
        <v>0</v>
      </c>
      <c r="K20" s="194"/>
      <c r="L20" s="194">
        <v>1022.23</v>
      </c>
      <c r="M20" s="194" t="s">
        <v>407</v>
      </c>
      <c r="N20" s="194">
        <v>29.13</v>
      </c>
      <c r="O20" s="194">
        <v>1512435600</v>
      </c>
      <c r="P20" s="194">
        <v>0</v>
      </c>
      <c r="Q20" s="194">
        <v>4.63</v>
      </c>
      <c r="R20" s="194">
        <v>91</v>
      </c>
      <c r="S20" s="194">
        <v>4.68</v>
      </c>
      <c r="T20" s="194">
        <v>1.69</v>
      </c>
    </row>
    <row r="21" spans="1:20" x14ac:dyDescent="0.25">
      <c r="A21" s="194">
        <v>27.35</v>
      </c>
      <c r="B21" s="194">
        <v>0.06</v>
      </c>
      <c r="C21" s="194">
        <v>10.4</v>
      </c>
      <c r="D21" s="8">
        <v>43073.791666666664</v>
      </c>
      <c r="E21" s="194">
        <v>0.48</v>
      </c>
      <c r="F21" s="194" t="s">
        <v>408</v>
      </c>
      <c r="G21" s="194">
        <v>318.14999999999998</v>
      </c>
      <c r="H21" s="194"/>
      <c r="I21" s="194">
        <v>0</v>
      </c>
      <c r="J21" s="194">
        <v>0</v>
      </c>
      <c r="K21" s="194"/>
      <c r="L21" s="194">
        <v>1023.31</v>
      </c>
      <c r="M21" s="194" t="s">
        <v>407</v>
      </c>
      <c r="N21" s="194">
        <v>27.35</v>
      </c>
      <c r="O21" s="194">
        <v>1512439200</v>
      </c>
      <c r="P21" s="194">
        <v>0</v>
      </c>
      <c r="Q21" s="194">
        <v>4.82</v>
      </c>
      <c r="R21" s="194">
        <v>127</v>
      </c>
      <c r="S21" s="194">
        <v>2.91</v>
      </c>
      <c r="T21" s="194">
        <v>1.32</v>
      </c>
    </row>
    <row r="22" spans="1:20" x14ac:dyDescent="0.25">
      <c r="A22" s="194">
        <v>25.81</v>
      </c>
      <c r="B22" s="194">
        <v>0.05</v>
      </c>
      <c r="C22" s="194">
        <v>10.24</v>
      </c>
      <c r="D22" s="8">
        <v>43073.833333333336</v>
      </c>
      <c r="E22" s="194">
        <v>0.51</v>
      </c>
      <c r="F22" s="194" t="s">
        <v>408</v>
      </c>
      <c r="G22" s="194">
        <v>319.73</v>
      </c>
      <c r="H22" s="194"/>
      <c r="I22" s="194">
        <v>0</v>
      </c>
      <c r="J22" s="194">
        <v>0</v>
      </c>
      <c r="K22" s="194"/>
      <c r="L22" s="194">
        <v>1023.69</v>
      </c>
      <c r="M22" s="194" t="s">
        <v>407</v>
      </c>
      <c r="N22" s="194">
        <v>25.81</v>
      </c>
      <c r="O22" s="194">
        <v>1512442800</v>
      </c>
      <c r="P22" s="194">
        <v>0</v>
      </c>
      <c r="Q22" s="194">
        <v>3.31</v>
      </c>
      <c r="R22" s="194">
        <v>146</v>
      </c>
      <c r="S22" s="194">
        <v>2.06</v>
      </c>
      <c r="T22" s="194">
        <v>0.95</v>
      </c>
    </row>
    <row r="23" spans="1:20" x14ac:dyDescent="0.25">
      <c r="A23" s="194">
        <v>24.27</v>
      </c>
      <c r="B23" s="194">
        <v>0.1</v>
      </c>
      <c r="C23" s="194">
        <v>10.48</v>
      </c>
      <c r="D23" s="8">
        <v>43073.875</v>
      </c>
      <c r="E23" s="194">
        <v>0.55000000000000004</v>
      </c>
      <c r="F23" s="194" t="s">
        <v>408</v>
      </c>
      <c r="G23" s="194">
        <v>320.26</v>
      </c>
      <c r="H23" s="194"/>
      <c r="I23" s="194">
        <v>0</v>
      </c>
      <c r="J23" s="194">
        <v>0</v>
      </c>
      <c r="K23" s="194"/>
      <c r="L23" s="194">
        <v>1023.99</v>
      </c>
      <c r="M23" s="194" t="s">
        <v>407</v>
      </c>
      <c r="N23" s="194">
        <v>24.27</v>
      </c>
      <c r="O23" s="194">
        <v>1512446400</v>
      </c>
      <c r="P23" s="194">
        <v>0</v>
      </c>
      <c r="Q23" s="194">
        <v>3.57</v>
      </c>
      <c r="R23" s="194">
        <v>165</v>
      </c>
      <c r="S23" s="194">
        <v>2.67</v>
      </c>
      <c r="T23" s="194">
        <v>1.17</v>
      </c>
    </row>
    <row r="24" spans="1:20" x14ac:dyDescent="0.25">
      <c r="A24" s="194">
        <v>23.7</v>
      </c>
      <c r="B24" s="194">
        <v>0.03</v>
      </c>
      <c r="C24" s="194">
        <v>10.7</v>
      </c>
      <c r="D24" s="8">
        <v>43073.916666666664</v>
      </c>
      <c r="E24" s="194">
        <v>0.56999999999999995</v>
      </c>
      <c r="F24" s="194" t="s">
        <v>408</v>
      </c>
      <c r="G24" s="194">
        <v>320.39999999999998</v>
      </c>
      <c r="H24" s="194"/>
      <c r="I24" s="194">
        <v>0</v>
      </c>
      <c r="J24" s="194">
        <v>0</v>
      </c>
      <c r="K24" s="194"/>
      <c r="L24" s="194">
        <v>1023.76</v>
      </c>
      <c r="M24" s="194" t="s">
        <v>407</v>
      </c>
      <c r="N24" s="194">
        <v>23.7</v>
      </c>
      <c r="O24" s="194">
        <v>1512450000</v>
      </c>
      <c r="P24" s="194">
        <v>0</v>
      </c>
      <c r="Q24" s="194">
        <v>2.89</v>
      </c>
      <c r="R24" s="194">
        <v>166</v>
      </c>
      <c r="S24" s="194">
        <v>4.53</v>
      </c>
      <c r="T24" s="194">
        <v>1.86</v>
      </c>
    </row>
    <row r="25" spans="1:20" x14ac:dyDescent="0.25">
      <c r="A25" s="194">
        <v>23.62</v>
      </c>
      <c r="B25" s="194">
        <v>0.04</v>
      </c>
      <c r="C25" s="194">
        <v>10.6</v>
      </c>
      <c r="D25" s="8">
        <v>43073.958333333336</v>
      </c>
      <c r="E25" s="194">
        <v>0.56999999999999995</v>
      </c>
      <c r="F25" s="194" t="s">
        <v>408</v>
      </c>
      <c r="G25" s="194">
        <v>321.14</v>
      </c>
      <c r="H25" s="194"/>
      <c r="I25" s="194">
        <v>0</v>
      </c>
      <c r="J25" s="194">
        <v>0</v>
      </c>
      <c r="K25" s="194"/>
      <c r="L25" s="194">
        <v>1023.86</v>
      </c>
      <c r="M25" s="194" t="s">
        <v>407</v>
      </c>
      <c r="N25" s="194">
        <v>23.62</v>
      </c>
      <c r="O25" s="194">
        <v>1512453600</v>
      </c>
      <c r="P25" s="194">
        <v>0</v>
      </c>
      <c r="Q25" s="194">
        <v>3.31</v>
      </c>
      <c r="R25" s="194">
        <v>164</v>
      </c>
      <c r="S25" s="194">
        <v>4.83</v>
      </c>
      <c r="T25" s="194">
        <v>2.0499999999999998</v>
      </c>
    </row>
    <row r="26" spans="1:20" x14ac:dyDescent="0.25">
      <c r="A26" s="194">
        <v>22.54</v>
      </c>
      <c r="B26" s="194">
        <v>0.04</v>
      </c>
      <c r="C26" s="194">
        <v>10.37</v>
      </c>
      <c r="D26" s="8">
        <v>43074</v>
      </c>
      <c r="E26" s="194">
        <v>0.59</v>
      </c>
      <c r="F26" s="194" t="s">
        <v>408</v>
      </c>
      <c r="G26" s="194">
        <v>323.61</v>
      </c>
      <c r="H26" s="194"/>
      <c r="I26" s="194">
        <v>0</v>
      </c>
      <c r="J26" s="194">
        <v>0</v>
      </c>
      <c r="K26" s="194"/>
      <c r="L26" s="194">
        <v>1023.54</v>
      </c>
      <c r="M26" s="194" t="s">
        <v>407</v>
      </c>
      <c r="N26" s="194">
        <v>22.54</v>
      </c>
      <c r="O26" s="194">
        <v>1512457200</v>
      </c>
      <c r="P26" s="194">
        <v>0</v>
      </c>
      <c r="Q26" s="194">
        <v>3.31</v>
      </c>
      <c r="R26" s="194">
        <v>184</v>
      </c>
      <c r="S26" s="194">
        <v>5.09</v>
      </c>
      <c r="T26" s="194">
        <v>1.97</v>
      </c>
    </row>
    <row r="27" spans="1:20" x14ac:dyDescent="0.25">
      <c r="A27" s="194">
        <v>22.02</v>
      </c>
      <c r="B27" s="194">
        <v>0.04</v>
      </c>
      <c r="C27" s="194">
        <v>10.210000000000001</v>
      </c>
      <c r="D27" s="8">
        <v>43074.041666666664</v>
      </c>
      <c r="E27" s="194">
        <v>0.6</v>
      </c>
      <c r="F27" s="194" t="s">
        <v>408</v>
      </c>
      <c r="G27" s="194">
        <v>326.67</v>
      </c>
      <c r="H27" s="194"/>
      <c r="I27" s="194">
        <v>0</v>
      </c>
      <c r="J27" s="194">
        <v>0</v>
      </c>
      <c r="K27" s="194"/>
      <c r="L27" s="194">
        <v>1024.17</v>
      </c>
      <c r="M27" s="194" t="s">
        <v>407</v>
      </c>
      <c r="N27" s="194">
        <v>22.02</v>
      </c>
      <c r="O27" s="194">
        <v>1512460800</v>
      </c>
      <c r="P27" s="194">
        <v>0</v>
      </c>
      <c r="Q27" s="194">
        <v>3.31</v>
      </c>
      <c r="R27" s="194">
        <v>174</v>
      </c>
      <c r="S27" s="194">
        <v>5.71</v>
      </c>
      <c r="T27" s="194">
        <v>1.3</v>
      </c>
    </row>
    <row r="28" spans="1:20" x14ac:dyDescent="0.25">
      <c r="A28" s="194">
        <v>21.02</v>
      </c>
      <c r="B28" s="194">
        <v>0</v>
      </c>
      <c r="C28" s="194">
        <v>9.84</v>
      </c>
      <c r="D28" s="8">
        <v>43074.083333333336</v>
      </c>
      <c r="E28" s="194">
        <v>0.61</v>
      </c>
      <c r="F28" s="194" t="s">
        <v>408</v>
      </c>
      <c r="G28" s="194">
        <v>328.29</v>
      </c>
      <c r="H28" s="194"/>
      <c r="I28" s="194">
        <v>0</v>
      </c>
      <c r="J28" s="194">
        <v>0</v>
      </c>
      <c r="K28" s="194"/>
      <c r="L28" s="194">
        <v>1024.67</v>
      </c>
      <c r="M28" s="194" t="s">
        <v>407</v>
      </c>
      <c r="N28" s="194">
        <v>21.02</v>
      </c>
      <c r="O28" s="194">
        <v>1512464400</v>
      </c>
      <c r="P28" s="194">
        <v>0</v>
      </c>
      <c r="Q28" s="194">
        <v>3.31</v>
      </c>
      <c r="R28" s="194">
        <v>205</v>
      </c>
      <c r="S28" s="194">
        <v>4.6100000000000003</v>
      </c>
      <c r="T28" s="194">
        <v>1.06</v>
      </c>
    </row>
    <row r="29" spans="1:20" x14ac:dyDescent="0.25">
      <c r="A29" s="194">
        <v>21.8</v>
      </c>
      <c r="B29" s="194">
        <v>0</v>
      </c>
      <c r="C29" s="194">
        <v>8.6999999999999993</v>
      </c>
      <c r="D29" s="8">
        <v>43074.125</v>
      </c>
      <c r="E29" s="194">
        <v>0.56000000000000005</v>
      </c>
      <c r="F29" s="194" t="s">
        <v>408</v>
      </c>
      <c r="G29" s="194">
        <v>327.16000000000003</v>
      </c>
      <c r="H29" s="194"/>
      <c r="I29" s="194">
        <v>0</v>
      </c>
      <c r="J29" s="194">
        <v>0</v>
      </c>
      <c r="K29" s="194"/>
      <c r="L29" s="194">
        <v>1025.9100000000001</v>
      </c>
      <c r="M29" s="194" t="s">
        <v>407</v>
      </c>
      <c r="N29" s="194">
        <v>21.8</v>
      </c>
      <c r="O29" s="194">
        <v>1512468000</v>
      </c>
      <c r="P29" s="194">
        <v>0</v>
      </c>
      <c r="Q29" s="194">
        <v>5.2</v>
      </c>
      <c r="R29" s="194">
        <v>129</v>
      </c>
      <c r="S29" s="194">
        <v>4.75</v>
      </c>
      <c r="T29" s="194">
        <v>1.87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D15" sqref="D1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43073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2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1078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1079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1080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1081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1082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1083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1084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1085</v>
      </c>
      <c r="J25" s="139" t="s">
        <v>144</v>
      </c>
      <c r="M25" s="153" t="b">
        <v>1</v>
      </c>
    </row>
    <row r="26" spans="3:24" x14ac:dyDescent="0.25">
      <c r="C26" t="s">
        <v>1086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%USERPROFILE%\Documents\GitHub\eaglep3-reporting\EC\2017-12-04-refined-times.txt</v>
      </c>
    </row>
    <row r="27" spans="3:24" x14ac:dyDescent="0.25">
      <c r="C27" t="s">
        <v>1087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%USERPROFILE%\Documents\GitHub\eaglep3-reporting\EC\2017-12-04-Enforcements.txt</v>
      </c>
    </row>
    <row r="28" spans="3:24" x14ac:dyDescent="0.25">
      <c r="C28" t="s">
        <v>1088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%USERPROFILE%\Documents\GitHub\eaglep3-reporting\EC\2017-12-04-Runs-refined.txt</v>
      </c>
    </row>
    <row r="29" spans="3:24" x14ac:dyDescent="0.25">
      <c r="C29" t="s">
        <v>1089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%USERPROFILE%\Documents\GitHub\eaglep3-reporting\EC\2017-12-04-Trips.txt</v>
      </c>
    </row>
    <row r="30" spans="3:24" x14ac:dyDescent="0.25">
      <c r="C30" t="s">
        <v>1090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%USERPROFILE%\Documents\GitHub\eaglep3-reporting\EC\2017-12-04-Weather.txt</v>
      </c>
    </row>
    <row r="31" spans="3:24" x14ac:dyDescent="0.25">
      <c r="C31" t="s">
        <v>1091</v>
      </c>
      <c r="J31" s="139" t="s">
        <v>188</v>
      </c>
      <c r="M31" s="153" t="s">
        <v>189</v>
      </c>
    </row>
    <row r="32" spans="3:24" x14ac:dyDescent="0.25">
      <c r="C32" t="s">
        <v>1092</v>
      </c>
    </row>
    <row r="33" spans="3:3" x14ac:dyDescent="0.25">
      <c r="C33" t="s">
        <v>1093</v>
      </c>
    </row>
    <row r="34" spans="3:3" x14ac:dyDescent="0.25">
      <c r="C34" t="s">
        <v>1094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6" bestFit="1" customWidth="1"/>
    <col min="9" max="10" width="9.140625" style="186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6" t="s">
        <v>112</v>
      </c>
      <c r="I1" s="184" t="s">
        <v>353</v>
      </c>
      <c r="J1" s="166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3" t="s">
        <v>124</v>
      </c>
      <c r="C4" s="93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3" t="s">
        <v>126</v>
      </c>
      <c r="C5" s="93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3" t="s">
        <v>128</v>
      </c>
      <c r="C6" s="93" t="s">
        <v>129</v>
      </c>
      <c r="H6" s="185" t="s">
        <v>140</v>
      </c>
      <c r="I6" s="185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2017-12-05T16:33:06Z</dcterms:modified>
</cp:coreProperties>
</file>