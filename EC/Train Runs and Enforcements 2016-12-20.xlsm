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6" i="9" l="1"/>
  <c r="C76" i="9"/>
  <c r="B77" i="9"/>
  <c r="C78" i="9" s="1"/>
  <c r="B78" i="9"/>
  <c r="B79" i="9"/>
  <c r="C80" i="9" s="1"/>
  <c r="B80" i="9"/>
  <c r="B81" i="9"/>
  <c r="C82" i="9" s="1"/>
  <c r="B82" i="9"/>
  <c r="B83" i="9"/>
  <c r="C84" i="9" s="1"/>
  <c r="B84" i="9"/>
  <c r="B85" i="9"/>
  <c r="C86" i="9" s="1"/>
  <c r="B86" i="9"/>
  <c r="B87" i="9"/>
  <c r="C88" i="9" s="1"/>
  <c r="B88" i="9"/>
  <c r="B89" i="9"/>
  <c r="C90" i="9" s="1"/>
  <c r="B90" i="9"/>
  <c r="B91" i="9"/>
  <c r="C92" i="9" s="1"/>
  <c r="B92" i="9"/>
  <c r="B93" i="9"/>
  <c r="C94" i="9" s="1"/>
  <c r="B94" i="9"/>
  <c r="B95" i="9"/>
  <c r="C96" i="9" s="1"/>
  <c r="B96" i="9"/>
  <c r="B97" i="9"/>
  <c r="C98" i="9" s="1"/>
  <c r="B98" i="9"/>
  <c r="B99" i="9"/>
  <c r="C100" i="9" s="1"/>
  <c r="B100" i="9"/>
  <c r="B101" i="9"/>
  <c r="C102" i="9" s="1"/>
  <c r="B102" i="9"/>
  <c r="B103" i="9"/>
  <c r="C104" i="9" s="1"/>
  <c r="B104" i="9"/>
  <c r="B105" i="9"/>
  <c r="C106" i="9" s="1"/>
  <c r="B106" i="9"/>
  <c r="K197" i="1"/>
  <c r="L197" i="1"/>
  <c r="M197" i="1"/>
  <c r="P197" i="1" s="1"/>
  <c r="V197" i="1"/>
  <c r="Y197" i="1"/>
  <c r="Z197" i="1"/>
  <c r="AB197" i="1"/>
  <c r="AC197" i="1"/>
  <c r="AD197" i="1"/>
  <c r="T197" i="1" s="1"/>
  <c r="AE197" i="1"/>
  <c r="AF197" i="1"/>
  <c r="AG197" i="1"/>
  <c r="AH19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T31" i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R25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R13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R21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R22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12" i="3" s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S31" i="3" s="1"/>
  <c r="Y67" i="1"/>
  <c r="Z67" i="1"/>
  <c r="AB67" i="1"/>
  <c r="AC67" i="1"/>
  <c r="AD67" i="1"/>
  <c r="T67" i="1" s="1"/>
  <c r="AE67" i="1"/>
  <c r="R31" i="3" s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R23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S11" i="3" s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S8" i="3" s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S24" i="3" s="1"/>
  <c r="Y94" i="1"/>
  <c r="Z94" i="1"/>
  <c r="AB94" i="1"/>
  <c r="AC94" i="1"/>
  <c r="AD94" i="1"/>
  <c r="T94" i="1" s="1"/>
  <c r="AE94" i="1"/>
  <c r="R24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S14" i="3" s="1"/>
  <c r="Y97" i="1"/>
  <c r="Z97" i="1"/>
  <c r="AB97" i="1"/>
  <c r="AC97" i="1"/>
  <c r="AD97" i="1"/>
  <c r="AG97" i="1" s="1"/>
  <c r="AE97" i="1"/>
  <c r="R14" i="3" s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S32" i="3" s="1"/>
  <c r="Y105" i="1"/>
  <c r="Z105" i="1"/>
  <c r="AB105" i="1"/>
  <c r="AC105" i="1"/>
  <c r="AD105" i="1"/>
  <c r="AG105" i="1" s="1"/>
  <c r="AE105" i="1"/>
  <c r="R32" i="3" s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S27" i="3" s="1"/>
  <c r="Y130" i="1"/>
  <c r="Z130" i="1"/>
  <c r="AB130" i="1"/>
  <c r="AC130" i="1"/>
  <c r="AD130" i="1"/>
  <c r="T130" i="1" s="1"/>
  <c r="AE130" i="1"/>
  <c r="R27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S33" i="3" s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R19" i="3" s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R16" i="3" s="1"/>
  <c r="AF153" i="1"/>
  <c r="AH153" i="1"/>
  <c r="K154" i="1"/>
  <c r="L154" i="1"/>
  <c r="M154" i="1"/>
  <c r="N154" i="1" s="1"/>
  <c r="V154" i="1"/>
  <c r="S30" i="3" s="1"/>
  <c r="Y154" i="1"/>
  <c r="Z154" i="1"/>
  <c r="AB154" i="1"/>
  <c r="AC154" i="1"/>
  <c r="AD154" i="1"/>
  <c r="AG154" i="1" s="1"/>
  <c r="AE154" i="1"/>
  <c r="R30" i="3" s="1"/>
  <c r="AF154" i="1"/>
  <c r="AH154" i="1"/>
  <c r="K155" i="1"/>
  <c r="L155" i="1"/>
  <c r="M155" i="1"/>
  <c r="N155" i="1" s="1"/>
  <c r="V155" i="1"/>
  <c r="S7" i="3" s="1"/>
  <c r="Y155" i="1"/>
  <c r="Z155" i="1"/>
  <c r="AB155" i="1"/>
  <c r="AC155" i="1"/>
  <c r="AD155" i="1"/>
  <c r="T155" i="1" s="1"/>
  <c r="AE155" i="1"/>
  <c r="R7" i="3" s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67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S48" i="3" s="1"/>
  <c r="Y225" i="1"/>
  <c r="Z225" i="1"/>
  <c r="AB225" i="1"/>
  <c r="AC225" i="1"/>
  <c r="AD225" i="1"/>
  <c r="T225" i="1" s="1"/>
  <c r="AE225" i="1"/>
  <c r="R48" i="3" s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K228" i="1"/>
  <c r="L228" i="1"/>
  <c r="M228" i="1"/>
  <c r="N228" i="1" s="1"/>
  <c r="V228" i="1"/>
  <c r="S49" i="3" s="1"/>
  <c r="Y228" i="1"/>
  <c r="Z228" i="1"/>
  <c r="AB228" i="1"/>
  <c r="AC228" i="1"/>
  <c r="AD228" i="1"/>
  <c r="T228" i="1" s="1"/>
  <c r="AE228" i="1"/>
  <c r="R49" i="3" s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X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4" i="1"/>
  <c r="K159" i="1"/>
  <c r="L159" i="1"/>
  <c r="M159" i="1"/>
  <c r="N159" i="1" s="1"/>
  <c r="V159" i="1"/>
  <c r="S41" i="3" s="1"/>
  <c r="Y159" i="1"/>
  <c r="Z159" i="1"/>
  <c r="AB159" i="1"/>
  <c r="AC159" i="1"/>
  <c r="AD159" i="1"/>
  <c r="X159" i="1" s="1"/>
  <c r="AE159" i="1"/>
  <c r="R41" i="3" s="1"/>
  <c r="AF159" i="1"/>
  <c r="AH18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R40" i="3" s="1"/>
  <c r="AF167" i="1"/>
  <c r="AH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6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98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9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00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01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202" i="1"/>
  <c r="K176" i="1"/>
  <c r="L176" i="1"/>
  <c r="M176" i="1"/>
  <c r="N176" i="1" s="1"/>
  <c r="V176" i="1"/>
  <c r="S35" i="3" s="1"/>
  <c r="Y176" i="1"/>
  <c r="Z176" i="1"/>
  <c r="AB176" i="1"/>
  <c r="AC176" i="1"/>
  <c r="AD176" i="1"/>
  <c r="T176" i="1" s="1"/>
  <c r="AE176" i="1"/>
  <c r="R35" i="3" s="1"/>
  <c r="AF176" i="1"/>
  <c r="AH20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4" i="1"/>
  <c r="K178" i="1"/>
  <c r="L178" i="1"/>
  <c r="M178" i="1"/>
  <c r="N178" i="1" s="1"/>
  <c r="V178" i="1"/>
  <c r="S36" i="3" s="1"/>
  <c r="Y178" i="1"/>
  <c r="Z178" i="1"/>
  <c r="AB178" i="1"/>
  <c r="AC178" i="1"/>
  <c r="AD178" i="1"/>
  <c r="T178" i="1" s="1"/>
  <c r="AE178" i="1"/>
  <c r="R36" i="3" s="1"/>
  <c r="AF178" i="1"/>
  <c r="AH20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10" i="1"/>
  <c r="K184" i="1"/>
  <c r="L184" i="1"/>
  <c r="M184" i="1"/>
  <c r="N184" i="1" s="1"/>
  <c r="V184" i="1"/>
  <c r="S37" i="3" s="1"/>
  <c r="Y184" i="1"/>
  <c r="Z184" i="1"/>
  <c r="AB184" i="1"/>
  <c r="AC184" i="1"/>
  <c r="AD184" i="1"/>
  <c r="T184" i="1" s="1"/>
  <c r="AE184" i="1"/>
  <c r="R37" i="3" s="1"/>
  <c r="AF184" i="1"/>
  <c r="AH211" i="1"/>
  <c r="K185" i="1"/>
  <c r="L185" i="1"/>
  <c r="M185" i="1"/>
  <c r="N185" i="1" s="1"/>
  <c r="V185" i="1"/>
  <c r="S42" i="3" s="1"/>
  <c r="Y185" i="1"/>
  <c r="Z185" i="1"/>
  <c r="AB185" i="1"/>
  <c r="AC185" i="1"/>
  <c r="AD185" i="1"/>
  <c r="T185" i="1" s="1"/>
  <c r="AE185" i="1"/>
  <c r="R42" i="3" s="1"/>
  <c r="AF185" i="1"/>
  <c r="AH21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R38" i="3" s="1"/>
  <c r="AF188" i="1"/>
  <c r="AH21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6" i="1"/>
  <c r="K190" i="1"/>
  <c r="L190" i="1"/>
  <c r="M190" i="1"/>
  <c r="N190" i="1" s="1"/>
  <c r="V190" i="1"/>
  <c r="S34" i="3" s="1"/>
  <c r="Y190" i="1"/>
  <c r="Z190" i="1"/>
  <c r="AB190" i="1"/>
  <c r="AC190" i="1"/>
  <c r="AD190" i="1"/>
  <c r="AE190" i="1"/>
  <c r="R34" i="3" s="1"/>
  <c r="AF190" i="1"/>
  <c r="AH217" i="1"/>
  <c r="K191" i="1"/>
  <c r="L191" i="1"/>
  <c r="M191" i="1"/>
  <c r="N191" i="1" s="1"/>
  <c r="V191" i="1"/>
  <c r="Y191" i="1"/>
  <c r="Z191" i="1"/>
  <c r="AA191" i="1" s="1"/>
  <c r="AB191" i="1"/>
  <c r="AC191" i="1"/>
  <c r="AD191" i="1"/>
  <c r="AG191" i="1" s="1"/>
  <c r="AE191" i="1"/>
  <c r="AF191" i="1"/>
  <c r="AH218" i="1"/>
  <c r="K192" i="1"/>
  <c r="L192" i="1"/>
  <c r="M192" i="1"/>
  <c r="N192" i="1" s="1"/>
  <c r="V192" i="1"/>
  <c r="S39" i="3" s="1"/>
  <c r="Y192" i="1"/>
  <c r="Z192" i="1"/>
  <c r="AA192" i="1" s="1"/>
  <c r="AB192" i="1"/>
  <c r="AC192" i="1"/>
  <c r="AD192" i="1"/>
  <c r="T192" i="1" s="1"/>
  <c r="AE192" i="1"/>
  <c r="R39" i="3" s="1"/>
  <c r="AF192" i="1"/>
  <c r="AH219" i="1"/>
  <c r="K193" i="1"/>
  <c r="L193" i="1"/>
  <c r="M193" i="1"/>
  <c r="V193" i="1"/>
  <c r="Y193" i="1"/>
  <c r="Z193" i="1"/>
  <c r="AA193" i="1" s="1"/>
  <c r="AB193" i="1"/>
  <c r="AC193" i="1"/>
  <c r="AD193" i="1"/>
  <c r="T193" i="1" s="1"/>
  <c r="AE193" i="1"/>
  <c r="AF193" i="1"/>
  <c r="AH220" i="1"/>
  <c r="K194" i="1"/>
  <c r="L194" i="1"/>
  <c r="M194" i="1"/>
  <c r="V194" i="1"/>
  <c r="Y194" i="1"/>
  <c r="Z194" i="1"/>
  <c r="AB194" i="1"/>
  <c r="AC194" i="1"/>
  <c r="AD194" i="1"/>
  <c r="AE194" i="1"/>
  <c r="AF194" i="1"/>
  <c r="AH22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4" i="1"/>
  <c r="K199" i="1"/>
  <c r="L199" i="1"/>
  <c r="M199" i="1"/>
  <c r="N199" i="1" s="1"/>
  <c r="V199" i="1"/>
  <c r="S44" i="3" s="1"/>
  <c r="Y199" i="1"/>
  <c r="Z199" i="1"/>
  <c r="AB199" i="1"/>
  <c r="AC199" i="1"/>
  <c r="AD199" i="1"/>
  <c r="X199" i="1" s="1"/>
  <c r="AE199" i="1"/>
  <c r="R43" i="3" s="1"/>
  <c r="AF199" i="1"/>
  <c r="AH225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8" i="1"/>
  <c r="K203" i="1"/>
  <c r="L203" i="1"/>
  <c r="M203" i="1"/>
  <c r="N203" i="1" s="1"/>
  <c r="V203" i="1"/>
  <c r="S47" i="3" s="1"/>
  <c r="Y203" i="1"/>
  <c r="Z203" i="1"/>
  <c r="AB203" i="1"/>
  <c r="AC203" i="1"/>
  <c r="AD203" i="1"/>
  <c r="T203" i="1" s="1"/>
  <c r="AE203" i="1"/>
  <c r="R47" i="3" s="1"/>
  <c r="AF203" i="1"/>
  <c r="AH22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30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3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2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33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3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5" i="1"/>
  <c r="M17" i="3"/>
  <c r="R17" i="3"/>
  <c r="S17" i="3"/>
  <c r="U17" i="3"/>
  <c r="T17" i="3" s="1"/>
  <c r="V17" i="3"/>
  <c r="W17" i="3"/>
  <c r="X17" i="3"/>
  <c r="M41" i="3"/>
  <c r="U41" i="3"/>
  <c r="T41" i="3" s="1"/>
  <c r="V41" i="3"/>
  <c r="W41" i="3"/>
  <c r="X41" i="3"/>
  <c r="AC41" i="3"/>
  <c r="M13" i="3"/>
  <c r="S13" i="3"/>
  <c r="U13" i="3"/>
  <c r="T13" i="3" s="1"/>
  <c r="V13" i="3"/>
  <c r="W13" i="3"/>
  <c r="X13" i="3"/>
  <c r="AC13" i="3"/>
  <c r="M25" i="3"/>
  <c r="S25" i="3"/>
  <c r="U25" i="3"/>
  <c r="T25" i="3" s="1"/>
  <c r="V25" i="3"/>
  <c r="W25" i="3"/>
  <c r="X25" i="3"/>
  <c r="AC25" i="3"/>
  <c r="M26" i="3"/>
  <c r="S26" i="3"/>
  <c r="U26" i="3"/>
  <c r="T26" i="3" s="1"/>
  <c r="V26" i="3"/>
  <c r="W26" i="3"/>
  <c r="X26" i="3"/>
  <c r="AC26" i="3"/>
  <c r="M15" i="3"/>
  <c r="R15" i="3"/>
  <c r="S15" i="3"/>
  <c r="U15" i="3"/>
  <c r="T15" i="3" s="1"/>
  <c r="V15" i="3"/>
  <c r="W15" i="3"/>
  <c r="X15" i="3"/>
  <c r="AC15" i="3"/>
  <c r="M40" i="3"/>
  <c r="S40" i="3"/>
  <c r="U40" i="3"/>
  <c r="T40" i="3" s="1"/>
  <c r="V40" i="3"/>
  <c r="W40" i="3"/>
  <c r="X40" i="3"/>
  <c r="AC40" i="3"/>
  <c r="M20" i="3"/>
  <c r="R20" i="3"/>
  <c r="S20" i="3"/>
  <c r="U20" i="3"/>
  <c r="T20" i="3" s="1"/>
  <c r="V20" i="3"/>
  <c r="W20" i="3"/>
  <c r="X20" i="3"/>
  <c r="AC20" i="3"/>
  <c r="M12" i="3"/>
  <c r="S12" i="3"/>
  <c r="U12" i="3"/>
  <c r="T12" i="3" s="1"/>
  <c r="V12" i="3"/>
  <c r="W12" i="3"/>
  <c r="X12" i="3"/>
  <c r="AC12" i="3"/>
  <c r="M21" i="3"/>
  <c r="S21" i="3"/>
  <c r="U21" i="3"/>
  <c r="T21" i="3" s="1"/>
  <c r="V21" i="3"/>
  <c r="W21" i="3"/>
  <c r="X21" i="3"/>
  <c r="AC21" i="3"/>
  <c r="M22" i="3"/>
  <c r="S22" i="3"/>
  <c r="U22" i="3"/>
  <c r="T22" i="3" s="1"/>
  <c r="V22" i="3"/>
  <c r="W22" i="3"/>
  <c r="X22" i="3"/>
  <c r="AC22" i="3"/>
  <c r="M10" i="3"/>
  <c r="R10" i="3"/>
  <c r="S10" i="3"/>
  <c r="U10" i="3"/>
  <c r="T10" i="3" s="1"/>
  <c r="V10" i="3"/>
  <c r="W10" i="3"/>
  <c r="X10" i="3"/>
  <c r="AC10" i="3"/>
  <c r="M9" i="3"/>
  <c r="R9" i="3"/>
  <c r="S9" i="3"/>
  <c r="U9" i="3"/>
  <c r="T9" i="3" s="1"/>
  <c r="V9" i="3"/>
  <c r="W9" i="3"/>
  <c r="X9" i="3"/>
  <c r="AC9" i="3"/>
  <c r="M48" i="3"/>
  <c r="U48" i="3"/>
  <c r="T48" i="3" s="1"/>
  <c r="V48" i="3"/>
  <c r="W48" i="3"/>
  <c r="X48" i="3"/>
  <c r="AC48" i="3"/>
  <c r="M31" i="3"/>
  <c r="U31" i="3"/>
  <c r="T31" i="3" s="1"/>
  <c r="V31" i="3"/>
  <c r="W31" i="3"/>
  <c r="X31" i="3"/>
  <c r="AC31" i="3"/>
  <c r="M49" i="3"/>
  <c r="U49" i="3"/>
  <c r="T49" i="3" s="1"/>
  <c r="V49" i="3"/>
  <c r="W49" i="3"/>
  <c r="X49" i="3"/>
  <c r="AC49" i="3"/>
  <c r="M35" i="3"/>
  <c r="U35" i="3"/>
  <c r="T35" i="3" s="1"/>
  <c r="V35" i="3"/>
  <c r="W35" i="3"/>
  <c r="X35" i="3"/>
  <c r="AC35" i="3"/>
  <c r="M8" i="3"/>
  <c r="R8" i="3"/>
  <c r="U8" i="3"/>
  <c r="T8" i="3" s="1"/>
  <c r="V8" i="3"/>
  <c r="W8" i="3"/>
  <c r="X8" i="3"/>
  <c r="AC8" i="3"/>
  <c r="M23" i="3"/>
  <c r="S23" i="3"/>
  <c r="U23" i="3"/>
  <c r="T23" i="3" s="1"/>
  <c r="V23" i="3"/>
  <c r="W23" i="3"/>
  <c r="X23" i="3"/>
  <c r="AC23" i="3"/>
  <c r="M36" i="3"/>
  <c r="U36" i="3"/>
  <c r="T36" i="3" s="1"/>
  <c r="V36" i="3"/>
  <c r="W36" i="3"/>
  <c r="X36" i="3"/>
  <c r="AC36" i="3"/>
  <c r="M11" i="3"/>
  <c r="R11" i="3"/>
  <c r="U11" i="3"/>
  <c r="T11" i="3" s="1"/>
  <c r="V11" i="3"/>
  <c r="W11" i="3"/>
  <c r="X11" i="3"/>
  <c r="AC11" i="3"/>
  <c r="M14" i="3"/>
  <c r="U14" i="3"/>
  <c r="T14" i="3" s="1"/>
  <c r="V14" i="3"/>
  <c r="W14" i="3"/>
  <c r="X14" i="3"/>
  <c r="AC14" i="3"/>
  <c r="M24" i="3"/>
  <c r="U24" i="3"/>
  <c r="T24" i="3" s="1"/>
  <c r="V24" i="3"/>
  <c r="W24" i="3"/>
  <c r="X24" i="3"/>
  <c r="AC24" i="3"/>
  <c r="M32" i="3"/>
  <c r="U32" i="3"/>
  <c r="T32" i="3" s="1"/>
  <c r="V32" i="3"/>
  <c r="W32" i="3"/>
  <c r="X32" i="3"/>
  <c r="AC32" i="3"/>
  <c r="M37" i="3"/>
  <c r="U37" i="3"/>
  <c r="T37" i="3" s="1"/>
  <c r="V37" i="3"/>
  <c r="W37" i="3"/>
  <c r="X37" i="3"/>
  <c r="AC37" i="3"/>
  <c r="M42" i="3"/>
  <c r="U42" i="3"/>
  <c r="T42" i="3" s="1"/>
  <c r="V42" i="3"/>
  <c r="W42" i="3"/>
  <c r="X42" i="3"/>
  <c r="AC42" i="3"/>
  <c r="M38" i="3"/>
  <c r="S38" i="3"/>
  <c r="U38" i="3"/>
  <c r="T38" i="3" s="1"/>
  <c r="V38" i="3"/>
  <c r="W38" i="3"/>
  <c r="X38" i="3"/>
  <c r="AC38" i="3"/>
  <c r="M34" i="3"/>
  <c r="U34" i="3"/>
  <c r="T34" i="3" s="1"/>
  <c r="V34" i="3"/>
  <c r="W34" i="3"/>
  <c r="X34" i="3"/>
  <c r="AC34" i="3"/>
  <c r="M39" i="3"/>
  <c r="U39" i="3"/>
  <c r="T39" i="3" s="1"/>
  <c r="V39" i="3"/>
  <c r="W39" i="3"/>
  <c r="X39" i="3"/>
  <c r="AC39" i="3"/>
  <c r="M45" i="3"/>
  <c r="U45" i="3"/>
  <c r="T45" i="3" s="1"/>
  <c r="V45" i="3"/>
  <c r="W45" i="3"/>
  <c r="X45" i="3"/>
  <c r="AC45" i="3"/>
  <c r="M46" i="3"/>
  <c r="U46" i="3"/>
  <c r="T46" i="3" s="1"/>
  <c r="V46" i="3"/>
  <c r="W46" i="3"/>
  <c r="X46" i="3"/>
  <c r="AC46" i="3"/>
  <c r="M43" i="3"/>
  <c r="U43" i="3"/>
  <c r="T43" i="3" s="1"/>
  <c r="V43" i="3"/>
  <c r="W43" i="3"/>
  <c r="X43" i="3"/>
  <c r="AC43" i="3"/>
  <c r="M44" i="3"/>
  <c r="U44" i="3"/>
  <c r="T44" i="3" s="1"/>
  <c r="V44" i="3"/>
  <c r="W44" i="3"/>
  <c r="X44" i="3"/>
  <c r="AC44" i="3"/>
  <c r="M27" i="3"/>
  <c r="U27" i="3"/>
  <c r="T27" i="3" s="1"/>
  <c r="V27" i="3"/>
  <c r="W27" i="3"/>
  <c r="X27" i="3"/>
  <c r="AC27" i="3"/>
  <c r="M28" i="3"/>
  <c r="U28" i="3"/>
  <c r="T28" i="3" s="1"/>
  <c r="V28" i="3"/>
  <c r="W28" i="3"/>
  <c r="X28" i="3"/>
  <c r="AC28" i="3"/>
  <c r="M33" i="3"/>
  <c r="R33" i="3"/>
  <c r="U33" i="3"/>
  <c r="T33" i="3" s="1"/>
  <c r="V33" i="3"/>
  <c r="W33" i="3"/>
  <c r="X33" i="3"/>
  <c r="AC33" i="3"/>
  <c r="M47" i="3"/>
  <c r="U47" i="3"/>
  <c r="T47" i="3" s="1"/>
  <c r="V47" i="3"/>
  <c r="W47" i="3"/>
  <c r="Y47" i="3" s="1"/>
  <c r="X47" i="3"/>
  <c r="AC47" i="3"/>
  <c r="M16" i="3"/>
  <c r="S16" i="3"/>
  <c r="U16" i="3"/>
  <c r="T16" i="3" s="1"/>
  <c r="V16" i="3"/>
  <c r="W16" i="3"/>
  <c r="X16" i="3"/>
  <c r="AC16" i="3"/>
  <c r="M7" i="3"/>
  <c r="U7" i="3"/>
  <c r="T7" i="3" s="1"/>
  <c r="V7" i="3"/>
  <c r="W7" i="3"/>
  <c r="X7" i="3"/>
  <c r="AC7" i="3"/>
  <c r="M19" i="3"/>
  <c r="S19" i="3"/>
  <c r="U19" i="3"/>
  <c r="T19" i="3" s="1"/>
  <c r="V19" i="3"/>
  <c r="W19" i="3"/>
  <c r="X19" i="3"/>
  <c r="M29" i="3"/>
  <c r="S29" i="3"/>
  <c r="U29" i="3"/>
  <c r="T29" i="3" s="1"/>
  <c r="V29" i="3"/>
  <c r="W29" i="3"/>
  <c r="X29" i="3"/>
  <c r="AC29" i="3"/>
  <c r="M30" i="3"/>
  <c r="U30" i="3"/>
  <c r="T30" i="3" s="1"/>
  <c r="V30" i="3"/>
  <c r="W30" i="3"/>
  <c r="X30" i="3"/>
  <c r="M28" i="5"/>
  <c r="M18" i="3"/>
  <c r="R18" i="3"/>
  <c r="S18" i="3"/>
  <c r="U18" i="3"/>
  <c r="T18" i="3" s="1"/>
  <c r="V18" i="3"/>
  <c r="W18" i="3"/>
  <c r="X18" i="3"/>
  <c r="S45" i="3" l="1"/>
  <c r="AG55" i="1"/>
  <c r="AA143" i="1"/>
  <c r="AG37" i="1"/>
  <c r="U37" i="1" s="1"/>
  <c r="S37" i="1" s="1"/>
  <c r="AA197" i="1"/>
  <c r="W197" i="1" s="1"/>
  <c r="AA124" i="1"/>
  <c r="AA123" i="1"/>
  <c r="S43" i="3"/>
  <c r="S46" i="3"/>
  <c r="AG161" i="1"/>
  <c r="S28" i="3"/>
  <c r="AA161" i="1"/>
  <c r="W161" i="1" s="1"/>
  <c r="AA160" i="1"/>
  <c r="AA159" i="1"/>
  <c r="AA232" i="1"/>
  <c r="AA231" i="1"/>
  <c r="AA230" i="1"/>
  <c r="T212" i="1"/>
  <c r="AI139" i="1"/>
  <c r="AA139" i="1"/>
  <c r="W139" i="1" s="1"/>
  <c r="T20" i="1"/>
  <c r="U20" i="1" s="1"/>
  <c r="S20" i="1" s="1"/>
  <c r="AG90" i="1"/>
  <c r="AA68" i="1"/>
  <c r="AA61" i="1"/>
  <c r="W61" i="1" s="1"/>
  <c r="AA96" i="1"/>
  <c r="AA92" i="1"/>
  <c r="W92" i="1" s="1"/>
  <c r="T71" i="1"/>
  <c r="U71" i="1" s="1"/>
  <c r="S71" i="1" s="1"/>
  <c r="AA22" i="1"/>
  <c r="AA21" i="1"/>
  <c r="AA20" i="1"/>
  <c r="W20" i="1" s="1"/>
  <c r="P193" i="1"/>
  <c r="AA153" i="1"/>
  <c r="AA152" i="1"/>
  <c r="AA151" i="1"/>
  <c r="AA147" i="1"/>
  <c r="AG121" i="1"/>
  <c r="U121" i="1" s="1"/>
  <c r="S121" i="1" s="1"/>
  <c r="AA83" i="1"/>
  <c r="AI81" i="1"/>
  <c r="AA76" i="1"/>
  <c r="X114" i="1"/>
  <c r="X200" i="1"/>
  <c r="AA200" i="1"/>
  <c r="AG226" i="1"/>
  <c r="U226" i="1" s="1"/>
  <c r="S226" i="1" s="1"/>
  <c r="X226" i="1"/>
  <c r="AA137" i="1"/>
  <c r="AA60" i="1"/>
  <c r="AA43" i="1"/>
  <c r="AA39" i="1"/>
  <c r="AG29" i="1"/>
  <c r="X113" i="1"/>
  <c r="AG205" i="1"/>
  <c r="U205" i="1" s="1"/>
  <c r="S205" i="1" s="1"/>
  <c r="T139" i="1"/>
  <c r="U139" i="1" s="1"/>
  <c r="S139" i="1" s="1"/>
  <c r="AG86" i="1"/>
  <c r="R44" i="3"/>
  <c r="AG193" i="1"/>
  <c r="W193" i="1" s="1"/>
  <c r="AG224" i="1"/>
  <c r="AI224" i="1" s="1"/>
  <c r="AA210" i="1"/>
  <c r="AG135" i="1"/>
  <c r="U135" i="1" s="1"/>
  <c r="S135" i="1" s="1"/>
  <c r="X135" i="1"/>
  <c r="AA119" i="1"/>
  <c r="AA112" i="1"/>
  <c r="W112" i="1" s="1"/>
  <c r="AG99" i="1"/>
  <c r="U99" i="1" s="1"/>
  <c r="S99" i="1" s="1"/>
  <c r="X99" i="1"/>
  <c r="X91" i="1"/>
  <c r="AA88" i="1"/>
  <c r="W88" i="1" s="1"/>
  <c r="AA80" i="1"/>
  <c r="AA72" i="1"/>
  <c r="AA69" i="1"/>
  <c r="W69" i="1" s="1"/>
  <c r="T63" i="1"/>
  <c r="AG50" i="1"/>
  <c r="U50" i="1" s="1"/>
  <c r="X50" i="1"/>
  <c r="AA49" i="1"/>
  <c r="W49" i="1" s="1"/>
  <c r="X112" i="1"/>
  <c r="X197" i="1"/>
  <c r="X198" i="1"/>
  <c r="AA100" i="1"/>
  <c r="C105" i="9"/>
  <c r="C103" i="9"/>
  <c r="C101" i="9"/>
  <c r="C99" i="9"/>
  <c r="C97" i="9"/>
  <c r="C95" i="9"/>
  <c r="C93" i="9"/>
  <c r="C91" i="9"/>
  <c r="C89" i="9"/>
  <c r="C87" i="9"/>
  <c r="C85" i="9"/>
  <c r="C83" i="9"/>
  <c r="C81" i="9"/>
  <c r="C79" i="9"/>
  <c r="C77" i="9"/>
  <c r="Y9" i="3"/>
  <c r="Y10" i="3"/>
  <c r="Y22" i="3"/>
  <c r="AC30" i="3"/>
  <c r="AC19" i="3"/>
  <c r="Y7" i="3"/>
  <c r="Y11" i="3"/>
  <c r="Y36" i="3"/>
  <c r="Y23" i="3"/>
  <c r="Y35" i="3"/>
  <c r="Y49" i="3"/>
  <c r="Y31" i="3"/>
  <c r="U197" i="1"/>
  <c r="S197" i="1" s="1"/>
  <c r="AI197" i="1"/>
  <c r="Y29" i="3"/>
  <c r="R29" i="3"/>
  <c r="Y33" i="3"/>
  <c r="Y28" i="3"/>
  <c r="R28" i="3"/>
  <c r="Y44" i="3"/>
  <c r="Y43" i="3"/>
  <c r="Y46" i="3"/>
  <c r="R46" i="3"/>
  <c r="R45" i="3"/>
  <c r="Y39" i="3"/>
  <c r="Y34" i="3"/>
  <c r="Y38" i="3"/>
  <c r="Y37" i="3"/>
  <c r="Y32" i="3"/>
  <c r="Y24" i="3"/>
  <c r="Y12" i="3"/>
  <c r="Y20" i="3"/>
  <c r="Y40" i="3"/>
  <c r="Y26" i="3"/>
  <c r="R26" i="3"/>
  <c r="Y25" i="3"/>
  <c r="Y41" i="3"/>
  <c r="AA201" i="1"/>
  <c r="AG189" i="1"/>
  <c r="AI189" i="1" s="1"/>
  <c r="X179" i="1"/>
  <c r="AG157" i="1"/>
  <c r="AI157" i="1" s="1"/>
  <c r="X234" i="1"/>
  <c r="X229" i="1"/>
  <c r="AA228" i="1"/>
  <c r="AA227" i="1"/>
  <c r="AA217" i="1"/>
  <c r="AA216" i="1"/>
  <c r="AA207" i="1"/>
  <c r="AA206" i="1"/>
  <c r="W206" i="1" s="1"/>
  <c r="AG149" i="1"/>
  <c r="AA145" i="1"/>
  <c r="W145" i="1" s="1"/>
  <c r="AA144" i="1"/>
  <c r="AG141" i="1"/>
  <c r="U141" i="1" s="1"/>
  <c r="S141" i="1" s="1"/>
  <c r="AA115" i="1"/>
  <c r="X108" i="1"/>
  <c r="AA104" i="1"/>
  <c r="AA103" i="1"/>
  <c r="X76" i="1"/>
  <c r="AA45" i="1"/>
  <c r="AA27" i="1"/>
  <c r="AA25" i="1"/>
  <c r="AA24" i="1"/>
  <c r="AA16" i="1"/>
  <c r="T16" i="1"/>
  <c r="W200" i="1"/>
  <c r="AA181" i="1"/>
  <c r="AA180" i="1"/>
  <c r="AA179" i="1"/>
  <c r="AG169" i="1"/>
  <c r="AI169" i="1" s="1"/>
  <c r="AG228" i="1"/>
  <c r="AI228" i="1" s="1"/>
  <c r="AG207" i="1"/>
  <c r="U207" i="1" s="1"/>
  <c r="S207" i="1" s="1"/>
  <c r="AA149" i="1"/>
  <c r="AA148" i="1"/>
  <c r="AG145" i="1"/>
  <c r="U145" i="1" s="1"/>
  <c r="S145" i="1" s="1"/>
  <c r="AA141" i="1"/>
  <c r="AA140" i="1"/>
  <c r="AG107" i="1"/>
  <c r="AG72" i="1"/>
  <c r="AI72" i="1" s="1"/>
  <c r="X72" i="1"/>
  <c r="AA53" i="1"/>
  <c r="W53" i="1" s="1"/>
  <c r="AA52" i="1"/>
  <c r="W52" i="1" s="1"/>
  <c r="AA51" i="1"/>
  <c r="AG45" i="1"/>
  <c r="AA35" i="1"/>
  <c r="AA31" i="1"/>
  <c r="W31" i="1" s="1"/>
  <c r="AG16" i="1"/>
  <c r="Y19" i="3"/>
  <c r="Y17" i="3"/>
  <c r="T134" i="1"/>
  <c r="T115" i="1"/>
  <c r="AA110" i="1"/>
  <c r="AA109" i="1"/>
  <c r="W109" i="1" s="1"/>
  <c r="AA98" i="1"/>
  <c r="AA97" i="1"/>
  <c r="AG83" i="1"/>
  <c r="AI83" i="1" s="1"/>
  <c r="X83" i="1"/>
  <c r="T75" i="1"/>
  <c r="X68" i="1"/>
  <c r="AA66" i="1"/>
  <c r="X60" i="1"/>
  <c r="AA59" i="1"/>
  <c r="AA58" i="1"/>
  <c r="AI37" i="1"/>
  <c r="X20" i="1"/>
  <c r="AA19" i="1"/>
  <c r="AA18" i="1"/>
  <c r="AA17" i="1"/>
  <c r="AA203" i="1"/>
  <c r="AA198" i="1"/>
  <c r="AA196" i="1"/>
  <c r="AA195" i="1"/>
  <c r="W195" i="1" s="1"/>
  <c r="AA185" i="1"/>
  <c r="AA184" i="1"/>
  <c r="AA183" i="1"/>
  <c r="AA177" i="1"/>
  <c r="AA176" i="1"/>
  <c r="AA175" i="1"/>
  <c r="X166" i="1"/>
  <c r="AA165" i="1"/>
  <c r="AA164" i="1"/>
  <c r="AA163" i="1"/>
  <c r="AI161" i="1"/>
  <c r="T216" i="1"/>
  <c r="AA213" i="1"/>
  <c r="T206" i="1"/>
  <c r="AA155" i="1"/>
  <c r="AA133" i="1"/>
  <c r="AA132" i="1"/>
  <c r="AA131" i="1"/>
  <c r="AA128" i="1"/>
  <c r="AA127" i="1"/>
  <c r="AA126" i="1"/>
  <c r="X119" i="1"/>
  <c r="AA113" i="1"/>
  <c r="X107" i="1"/>
  <c r="AA106" i="1"/>
  <c r="AA105" i="1"/>
  <c r="X95" i="1"/>
  <c r="AA84" i="1"/>
  <c r="W84" i="1" s="1"/>
  <c r="AA81" i="1"/>
  <c r="W81" i="1" s="1"/>
  <c r="AA77" i="1"/>
  <c r="AA64" i="1"/>
  <c r="AA56" i="1"/>
  <c r="X47" i="1"/>
  <c r="X40" i="1"/>
  <c r="AA37" i="1"/>
  <c r="AA34" i="1"/>
  <c r="AA33" i="1"/>
  <c r="AA223" i="1"/>
  <c r="AI222" i="1"/>
  <c r="AG203" i="1"/>
  <c r="U203" i="1" s="1"/>
  <c r="S203" i="1" s="1"/>
  <c r="X203" i="1"/>
  <c r="AG177" i="1"/>
  <c r="AI177" i="1" s="1"/>
  <c r="AG165" i="1"/>
  <c r="AI165" i="1" s="1"/>
  <c r="X163" i="1"/>
  <c r="AG213" i="1"/>
  <c r="X213" i="1"/>
  <c r="AG155" i="1"/>
  <c r="U155" i="1" s="1"/>
  <c r="S155" i="1" s="1"/>
  <c r="AG117" i="1"/>
  <c r="AG113" i="1"/>
  <c r="AI113" i="1" s="1"/>
  <c r="AG106" i="1"/>
  <c r="AI106" i="1" s="1"/>
  <c r="AG102" i="1"/>
  <c r="U102" i="1" s="1"/>
  <c r="S102" i="1" s="1"/>
  <c r="AG64" i="1"/>
  <c r="X64" i="1"/>
  <c r="AG56" i="1"/>
  <c r="U56" i="1" s="1"/>
  <c r="S56" i="1" s="1"/>
  <c r="X56" i="1"/>
  <c r="T47" i="1"/>
  <c r="AA42" i="1"/>
  <c r="AA41" i="1"/>
  <c r="AG39" i="1"/>
  <c r="U39" i="1" s="1"/>
  <c r="S39" i="1" s="1"/>
  <c r="X32" i="1"/>
  <c r="AA29" i="1"/>
  <c r="W29" i="1" s="1"/>
  <c r="AA26" i="1"/>
  <c r="T24" i="1"/>
  <c r="U24" i="1" s="1"/>
  <c r="S24" i="1" s="1"/>
  <c r="AG17" i="1"/>
  <c r="AI17" i="1" s="1"/>
  <c r="AG198" i="1"/>
  <c r="U198" i="1" s="1"/>
  <c r="S198" i="1" s="1"/>
  <c r="AG185" i="1"/>
  <c r="AI185" i="1" s="1"/>
  <c r="AA204" i="1"/>
  <c r="W204" i="1" s="1"/>
  <c r="T195" i="1"/>
  <c r="U195" i="1" s="1"/>
  <c r="S195" i="1" s="1"/>
  <c r="AA189" i="1"/>
  <c r="AA188" i="1"/>
  <c r="AA187" i="1"/>
  <c r="AG181" i="1"/>
  <c r="AI181" i="1" s="1"/>
  <c r="AI206" i="1"/>
  <c r="AG173" i="1"/>
  <c r="AI173" i="1" s="1"/>
  <c r="X171" i="1"/>
  <c r="AA169" i="1"/>
  <c r="AA168" i="1"/>
  <c r="AA167" i="1"/>
  <c r="X158" i="1"/>
  <c r="AA157" i="1"/>
  <c r="AA235" i="1"/>
  <c r="AA234" i="1"/>
  <c r="AG232" i="1"/>
  <c r="W232" i="1" s="1"/>
  <c r="AA226" i="1"/>
  <c r="AG225" i="1"/>
  <c r="U225" i="1" s="1"/>
  <c r="S225" i="1" s="1"/>
  <c r="X225" i="1"/>
  <c r="AA224" i="1"/>
  <c r="W224" i="1" s="1"/>
  <c r="AA218" i="1"/>
  <c r="AG153" i="1"/>
  <c r="AI153" i="1" s="1"/>
  <c r="T147" i="1"/>
  <c r="U147" i="1" s="1"/>
  <c r="S147" i="1" s="1"/>
  <c r="T143" i="1"/>
  <c r="U143" i="1" s="1"/>
  <c r="S143" i="1" s="1"/>
  <c r="AA135" i="1"/>
  <c r="AA134" i="1"/>
  <c r="W134" i="1" s="1"/>
  <c r="T126" i="1"/>
  <c r="AG119" i="1"/>
  <c r="AI119" i="1" s="1"/>
  <c r="AG115" i="1"/>
  <c r="AI112" i="1"/>
  <c r="AA111" i="1"/>
  <c r="AG110" i="1"/>
  <c r="U110" i="1" s="1"/>
  <c r="S110" i="1" s="1"/>
  <c r="AG100" i="1"/>
  <c r="X100" i="1"/>
  <c r="AG98" i="1"/>
  <c r="W98" i="1" s="1"/>
  <c r="X96" i="1"/>
  <c r="AA95" i="1"/>
  <c r="AG94" i="1"/>
  <c r="U94" i="1" s="1"/>
  <c r="S94" i="1" s="1"/>
  <c r="X87" i="1"/>
  <c r="AA65" i="1"/>
  <c r="W65" i="1" s="1"/>
  <c r="AA57" i="1"/>
  <c r="W57" i="1" s="1"/>
  <c r="AI52" i="1"/>
  <c r="AI49" i="1"/>
  <c r="AI45" i="1"/>
  <c r="AI29" i="1"/>
  <c r="X17" i="1"/>
  <c r="T194" i="1"/>
  <c r="X194" i="1"/>
  <c r="AG194" i="1"/>
  <c r="W191" i="1"/>
  <c r="T191" i="1"/>
  <c r="U191" i="1" s="1"/>
  <c r="S191" i="1" s="1"/>
  <c r="X183" i="1"/>
  <c r="AI147" i="1"/>
  <c r="AI143" i="1"/>
  <c r="AA222" i="1"/>
  <c r="W222" i="1" s="1"/>
  <c r="T204" i="1"/>
  <c r="U204" i="1" s="1"/>
  <c r="S204" i="1" s="1"/>
  <c r="AG199" i="1"/>
  <c r="T199" i="1"/>
  <c r="U199" i="1" s="1"/>
  <c r="S199" i="1" s="1"/>
  <c r="X187" i="1"/>
  <c r="X182" i="1"/>
  <c r="AG182" i="1"/>
  <c r="T182" i="1"/>
  <c r="W151" i="1"/>
  <c r="AA202" i="1"/>
  <c r="T200" i="1"/>
  <c r="U200" i="1" s="1"/>
  <c r="S200" i="1" s="1"/>
  <c r="X191" i="1"/>
  <c r="T186" i="1"/>
  <c r="X186" i="1"/>
  <c r="AG186" i="1"/>
  <c r="U186" i="1" s="1"/>
  <c r="S186" i="1" s="1"/>
  <c r="W183" i="1"/>
  <c r="T183" i="1"/>
  <c r="U183" i="1" s="1"/>
  <c r="S183" i="1" s="1"/>
  <c r="AI151" i="1"/>
  <c r="AG223" i="1"/>
  <c r="X204" i="1"/>
  <c r="T202" i="1"/>
  <c r="AG202" i="1"/>
  <c r="X195" i="1"/>
  <c r="X190" i="1"/>
  <c r="AG190" i="1"/>
  <c r="T190" i="1"/>
  <c r="W189" i="1"/>
  <c r="W187" i="1"/>
  <c r="T187" i="1"/>
  <c r="U187" i="1" s="1"/>
  <c r="S187" i="1" s="1"/>
  <c r="AA199" i="1"/>
  <c r="AA190" i="1"/>
  <c r="AA182" i="1"/>
  <c r="AG179" i="1"/>
  <c r="U179" i="1" s="1"/>
  <c r="S179" i="1" s="1"/>
  <c r="AG178" i="1"/>
  <c r="U178" i="1" s="1"/>
  <c r="S178" i="1" s="1"/>
  <c r="X178" i="1"/>
  <c r="AA174" i="1"/>
  <c r="T174" i="1"/>
  <c r="AG171" i="1"/>
  <c r="U171" i="1" s="1"/>
  <c r="S171" i="1" s="1"/>
  <c r="AG170" i="1"/>
  <c r="U170" i="1" s="1"/>
  <c r="S170" i="1" s="1"/>
  <c r="X170" i="1"/>
  <c r="AA166" i="1"/>
  <c r="T166" i="1"/>
  <c r="AG163" i="1"/>
  <c r="U163" i="1" s="1"/>
  <c r="S163" i="1" s="1"/>
  <c r="AG162" i="1"/>
  <c r="U162" i="1" s="1"/>
  <c r="S162" i="1" s="1"/>
  <c r="X162" i="1"/>
  <c r="AA158" i="1"/>
  <c r="T158" i="1"/>
  <c r="AG234" i="1"/>
  <c r="U234" i="1" s="1"/>
  <c r="S234" i="1" s="1"/>
  <c r="AG233" i="1"/>
  <c r="U233" i="1" s="1"/>
  <c r="S233" i="1" s="1"/>
  <c r="X233" i="1"/>
  <c r="AA229" i="1"/>
  <c r="T229" i="1"/>
  <c r="U213" i="1"/>
  <c r="AA156" i="1"/>
  <c r="X154" i="1"/>
  <c r="T151" i="1"/>
  <c r="U151" i="1" s="1"/>
  <c r="S151" i="1" s="1"/>
  <c r="X150" i="1"/>
  <c r="W147" i="1"/>
  <c r="X146" i="1"/>
  <c r="W143" i="1"/>
  <c r="X142" i="1"/>
  <c r="X138" i="1"/>
  <c r="AG137" i="1"/>
  <c r="W137" i="1" s="1"/>
  <c r="AG131" i="1"/>
  <c r="AG130" i="1"/>
  <c r="AI130" i="1" s="1"/>
  <c r="T127" i="1"/>
  <c r="T123" i="1"/>
  <c r="AA118" i="1"/>
  <c r="AG114" i="1"/>
  <c r="AA108" i="1"/>
  <c r="T108" i="1"/>
  <c r="X104" i="1"/>
  <c r="AG104" i="1"/>
  <c r="T175" i="1"/>
  <c r="T167" i="1"/>
  <c r="T159" i="1"/>
  <c r="T230" i="1"/>
  <c r="T217" i="1"/>
  <c r="AA209" i="1"/>
  <c r="W209" i="1" s="1"/>
  <c r="W149" i="1"/>
  <c r="AG133" i="1"/>
  <c r="AI133" i="1" s="1"/>
  <c r="X131" i="1"/>
  <c r="AG127" i="1"/>
  <c r="AG125" i="1"/>
  <c r="U125" i="1" s="1"/>
  <c r="S125" i="1" s="1"/>
  <c r="AG123" i="1"/>
  <c r="W123" i="1" s="1"/>
  <c r="AG122" i="1"/>
  <c r="AI122" i="1" s="1"/>
  <c r="X122" i="1"/>
  <c r="X118" i="1"/>
  <c r="AG118" i="1"/>
  <c r="U115" i="1"/>
  <c r="S115" i="1" s="1"/>
  <c r="AI115" i="1"/>
  <c r="AA194" i="1"/>
  <c r="AA186" i="1"/>
  <c r="AA178" i="1"/>
  <c r="AG175" i="1"/>
  <c r="AG174" i="1"/>
  <c r="AA170" i="1"/>
  <c r="AG167" i="1"/>
  <c r="AG166" i="1"/>
  <c r="AA162" i="1"/>
  <c r="AG159" i="1"/>
  <c r="AG158" i="1"/>
  <c r="AA233" i="1"/>
  <c r="AG230" i="1"/>
  <c r="AG229" i="1"/>
  <c r="AA225" i="1"/>
  <c r="W225" i="1" s="1"/>
  <c r="AG217" i="1"/>
  <c r="AG216" i="1"/>
  <c r="AA212" i="1"/>
  <c r="W212" i="1" s="1"/>
  <c r="AA208" i="1"/>
  <c r="W208" i="1" s="1"/>
  <c r="X206" i="1"/>
  <c r="AA154" i="1"/>
  <c r="W154" i="1" s="1"/>
  <c r="T154" i="1"/>
  <c r="U154" i="1" s="1"/>
  <c r="S154" i="1" s="1"/>
  <c r="AA150" i="1"/>
  <c r="W150" i="1" s="1"/>
  <c r="T150" i="1"/>
  <c r="U150" i="1" s="1"/>
  <c r="S150" i="1" s="1"/>
  <c r="AA146" i="1"/>
  <c r="W146" i="1" s="1"/>
  <c r="T146" i="1"/>
  <c r="AA142" i="1"/>
  <c r="W142" i="1" s="1"/>
  <c r="T142" i="1"/>
  <c r="U142" i="1" s="1"/>
  <c r="S142" i="1" s="1"/>
  <c r="AA138" i="1"/>
  <c r="W138" i="1" s="1"/>
  <c r="T138" i="1"/>
  <c r="U138" i="1" s="1"/>
  <c r="S138" i="1" s="1"/>
  <c r="AA136" i="1"/>
  <c r="X134" i="1"/>
  <c r="AG126" i="1"/>
  <c r="AA121" i="1"/>
  <c r="AA120" i="1"/>
  <c r="W120" i="1" s="1"/>
  <c r="AA117" i="1"/>
  <c r="W117" i="1" s="1"/>
  <c r="AA116" i="1"/>
  <c r="W116" i="1" s="1"/>
  <c r="X111" i="1"/>
  <c r="AG111" i="1"/>
  <c r="AG108" i="1"/>
  <c r="X103" i="1"/>
  <c r="AG103" i="1"/>
  <c r="U100" i="1"/>
  <c r="S100" i="1" s="1"/>
  <c r="AI100" i="1"/>
  <c r="W228" i="1"/>
  <c r="AA215" i="1"/>
  <c r="W215" i="1" s="1"/>
  <c r="AA214" i="1"/>
  <c r="AA211" i="1"/>
  <c r="AA205" i="1"/>
  <c r="W205" i="1" s="1"/>
  <c r="AA125" i="1"/>
  <c r="AA122" i="1"/>
  <c r="T118" i="1"/>
  <c r="W115" i="1"/>
  <c r="T112" i="1"/>
  <c r="U112" i="1" s="1"/>
  <c r="S112" i="1" s="1"/>
  <c r="AA91" i="1"/>
  <c r="T91" i="1"/>
  <c r="AA87" i="1"/>
  <c r="T87" i="1"/>
  <c r="T80" i="1"/>
  <c r="U75" i="1"/>
  <c r="S75" i="1" s="1"/>
  <c r="AA67" i="1"/>
  <c r="U64" i="1"/>
  <c r="S64" i="1" s="1"/>
  <c r="U45" i="1"/>
  <c r="S45" i="1" s="1"/>
  <c r="AA44" i="1"/>
  <c r="W44" i="1" s="1"/>
  <c r="T44" i="1"/>
  <c r="AA36" i="1"/>
  <c r="W36" i="1" s="1"/>
  <c r="T36" i="1"/>
  <c r="U36" i="1" s="1"/>
  <c r="S36" i="1" s="1"/>
  <c r="U31" i="1"/>
  <c r="S31" i="1" s="1"/>
  <c r="AA28" i="1"/>
  <c r="W28" i="1" s="1"/>
  <c r="T28" i="1"/>
  <c r="U28" i="1" s="1"/>
  <c r="S28" i="1" s="1"/>
  <c r="T96" i="1"/>
  <c r="T92" i="1"/>
  <c r="U92" i="1" s="1"/>
  <c r="S92" i="1" s="1"/>
  <c r="T88" i="1"/>
  <c r="U88" i="1" s="1"/>
  <c r="S88" i="1" s="1"/>
  <c r="T84" i="1"/>
  <c r="U84" i="1" s="1"/>
  <c r="S84" i="1" s="1"/>
  <c r="T76" i="1"/>
  <c r="T68" i="1"/>
  <c r="T60" i="1"/>
  <c r="AG51" i="1"/>
  <c r="AA47" i="1"/>
  <c r="AG46" i="1"/>
  <c r="AI46" i="1" s="1"/>
  <c r="X46" i="1"/>
  <c r="AA14" i="1"/>
  <c r="AA114" i="1"/>
  <c r="W114" i="1" s="1"/>
  <c r="AA107" i="1"/>
  <c r="AA99" i="1"/>
  <c r="AG96" i="1"/>
  <c r="AG95" i="1"/>
  <c r="W95" i="1" s="1"/>
  <c r="AG91" i="1"/>
  <c r="AI91" i="1" s="1"/>
  <c r="AG87" i="1"/>
  <c r="AI87" i="1" s="1"/>
  <c r="AA82" i="1"/>
  <c r="X81" i="1"/>
  <c r="AG80" i="1"/>
  <c r="AG79" i="1"/>
  <c r="U79" i="1" s="1"/>
  <c r="S79" i="1" s="1"/>
  <c r="AG76" i="1"/>
  <c r="AA73" i="1"/>
  <c r="AG68" i="1"/>
  <c r="AG67" i="1"/>
  <c r="AI67" i="1" s="1"/>
  <c r="AI64" i="1"/>
  <c r="AA63" i="1"/>
  <c r="W63" i="1" s="1"/>
  <c r="AG60" i="1"/>
  <c r="AG59" i="1"/>
  <c r="W59" i="1" s="1"/>
  <c r="AA55" i="1"/>
  <c r="W55" i="1" s="1"/>
  <c r="AA48" i="1"/>
  <c r="W48" i="1" s="1"/>
  <c r="AG47" i="1"/>
  <c r="U47" i="1" s="1"/>
  <c r="S47" i="1" s="1"/>
  <c r="X44" i="1"/>
  <c r="AG43" i="1"/>
  <c r="U43" i="1" s="1"/>
  <c r="AG41" i="1"/>
  <c r="AI41" i="1" s="1"/>
  <c r="AA40" i="1"/>
  <c r="W40" i="1" s="1"/>
  <c r="T40" i="1"/>
  <c r="U40" i="1" s="1"/>
  <c r="S40" i="1" s="1"/>
  <c r="X36" i="1"/>
  <c r="AG35" i="1"/>
  <c r="U35" i="1" s="1"/>
  <c r="S35" i="1" s="1"/>
  <c r="AG33" i="1"/>
  <c r="AI33" i="1" s="1"/>
  <c r="AA32" i="1"/>
  <c r="W32" i="1" s="1"/>
  <c r="T32" i="1"/>
  <c r="U32" i="1" s="1"/>
  <c r="S32" i="1" s="1"/>
  <c r="X28" i="1"/>
  <c r="AG27" i="1"/>
  <c r="U27" i="1" s="1"/>
  <c r="S27" i="1" s="1"/>
  <c r="AG25" i="1"/>
  <c r="AI25" i="1" s="1"/>
  <c r="AA23" i="1"/>
  <c r="AG21" i="1"/>
  <c r="AG15" i="1"/>
  <c r="U15" i="1" s="1"/>
  <c r="S15" i="1" s="1"/>
  <c r="AA102" i="1"/>
  <c r="AA101" i="1"/>
  <c r="W101" i="1" s="1"/>
  <c r="AA94" i="1"/>
  <c r="AA93" i="1"/>
  <c r="X92" i="1"/>
  <c r="AA90" i="1"/>
  <c r="W90" i="1" s="1"/>
  <c r="AA89" i="1"/>
  <c r="W89" i="1" s="1"/>
  <c r="X88" i="1"/>
  <c r="AA86" i="1"/>
  <c r="W86" i="1" s="1"/>
  <c r="AA85" i="1"/>
  <c r="W85" i="1" s="1"/>
  <c r="X84" i="1"/>
  <c r="AA70" i="1"/>
  <c r="AA62" i="1"/>
  <c r="AA54" i="1"/>
  <c r="AA38" i="1"/>
  <c r="AA30" i="1"/>
  <c r="X24" i="1"/>
  <c r="AG23" i="1"/>
  <c r="U23" i="1" s="1"/>
  <c r="S23" i="1" s="1"/>
  <c r="AG19" i="1"/>
  <c r="U19" i="1" s="1"/>
  <c r="U17" i="1"/>
  <c r="S17" i="1" s="1"/>
  <c r="X222" i="1"/>
  <c r="T222" i="1"/>
  <c r="U222" i="1" s="1"/>
  <c r="S222" i="1" s="1"/>
  <c r="AA221" i="1"/>
  <c r="AA220" i="1"/>
  <c r="T219" i="1"/>
  <c r="X219" i="1"/>
  <c r="AG219" i="1"/>
  <c r="W219" i="1" s="1"/>
  <c r="T201" i="1"/>
  <c r="X201" i="1"/>
  <c r="AG201" i="1"/>
  <c r="W201" i="1" s="1"/>
  <c r="T220" i="1"/>
  <c r="X220" i="1"/>
  <c r="T221" i="1"/>
  <c r="X223" i="1"/>
  <c r="AG221" i="1"/>
  <c r="AI221" i="1" s="1"/>
  <c r="AG220" i="1"/>
  <c r="AI220" i="1" s="1"/>
  <c r="U212" i="1"/>
  <c r="S212" i="1" s="1"/>
  <c r="AI134" i="1"/>
  <c r="U134" i="1"/>
  <c r="S134" i="1" s="1"/>
  <c r="U181" i="1"/>
  <c r="S181" i="1" s="1"/>
  <c r="U169" i="1"/>
  <c r="S169" i="1" s="1"/>
  <c r="U161" i="1"/>
  <c r="S161" i="1" s="1"/>
  <c r="U224" i="1"/>
  <c r="S224" i="1" s="1"/>
  <c r="U215" i="1"/>
  <c r="S215" i="1" s="1"/>
  <c r="X212" i="1"/>
  <c r="AG211" i="1"/>
  <c r="X208" i="1"/>
  <c r="AI154" i="1"/>
  <c r="X202" i="1"/>
  <c r="AG196" i="1"/>
  <c r="AI196" i="1" s="1"/>
  <c r="X193" i="1"/>
  <c r="AG192" i="1"/>
  <c r="AI192" i="1" s="1"/>
  <c r="X189" i="1"/>
  <c r="AG188" i="1"/>
  <c r="X185" i="1"/>
  <c r="AG184" i="1"/>
  <c r="W184" i="1" s="1"/>
  <c r="AI209" i="1"/>
  <c r="X181" i="1"/>
  <c r="AG180" i="1"/>
  <c r="AI180" i="1" s="1"/>
  <c r="X177" i="1"/>
  <c r="AG176" i="1"/>
  <c r="AI176" i="1" s="1"/>
  <c r="X173" i="1"/>
  <c r="AG172" i="1"/>
  <c r="W172" i="1" s="1"/>
  <c r="X169" i="1"/>
  <c r="AG168" i="1"/>
  <c r="X165" i="1"/>
  <c r="AG164" i="1"/>
  <c r="AI164" i="1" s="1"/>
  <c r="X161" i="1"/>
  <c r="AG160" i="1"/>
  <c r="AI160" i="1" s="1"/>
  <c r="AI184" i="1"/>
  <c r="X157" i="1"/>
  <c r="AG235" i="1"/>
  <c r="X232" i="1"/>
  <c r="AG231" i="1"/>
  <c r="W231" i="1" s="1"/>
  <c r="X228" i="1"/>
  <c r="AG227" i="1"/>
  <c r="X224" i="1"/>
  <c r="AG218" i="1"/>
  <c r="AI218" i="1" s="1"/>
  <c r="X215" i="1"/>
  <c r="AG214" i="1"/>
  <c r="X211" i="1"/>
  <c r="AG210" i="1"/>
  <c r="AI210" i="1" s="1"/>
  <c r="T209" i="1"/>
  <c r="U209" i="1" s="1"/>
  <c r="S209" i="1" s="1"/>
  <c r="X209" i="1"/>
  <c r="AI158" i="1"/>
  <c r="U206" i="1"/>
  <c r="S206" i="1" s="1"/>
  <c r="T156" i="1"/>
  <c r="X156" i="1"/>
  <c r="AG156" i="1"/>
  <c r="AI150" i="1"/>
  <c r="AI146" i="1"/>
  <c r="U146" i="1"/>
  <c r="S146" i="1" s="1"/>
  <c r="AI142" i="1"/>
  <c r="AI138" i="1"/>
  <c r="X196" i="1"/>
  <c r="X192" i="1"/>
  <c r="AI216" i="1"/>
  <c r="X188" i="1"/>
  <c r="AI212" i="1"/>
  <c r="X184" i="1"/>
  <c r="AI208" i="1"/>
  <c r="X180" i="1"/>
  <c r="AI204" i="1"/>
  <c r="X176" i="1"/>
  <c r="AI200" i="1"/>
  <c r="X172" i="1"/>
  <c r="AI195" i="1"/>
  <c r="X168" i="1"/>
  <c r="AI191" i="1"/>
  <c r="X164" i="1"/>
  <c r="AI187" i="1"/>
  <c r="X160" i="1"/>
  <c r="AI183" i="1"/>
  <c r="X235" i="1"/>
  <c r="AI179" i="1"/>
  <c r="X231" i="1"/>
  <c r="X227" i="1"/>
  <c r="X218" i="1"/>
  <c r="AI167" i="1"/>
  <c r="X214" i="1"/>
  <c r="X210" i="1"/>
  <c r="T208" i="1"/>
  <c r="U208" i="1" s="1"/>
  <c r="S208" i="1" s="1"/>
  <c r="AI129" i="1"/>
  <c r="X207" i="1"/>
  <c r="X155" i="1"/>
  <c r="X151" i="1"/>
  <c r="X147" i="1"/>
  <c r="X143" i="1"/>
  <c r="X139" i="1"/>
  <c r="X130" i="1"/>
  <c r="AG124" i="1"/>
  <c r="W124" i="1" s="1"/>
  <c r="T124" i="1"/>
  <c r="X124" i="1"/>
  <c r="AI116" i="1"/>
  <c r="AI109" i="1"/>
  <c r="AI101" i="1"/>
  <c r="AI93" i="1"/>
  <c r="AI89" i="1"/>
  <c r="AI85" i="1"/>
  <c r="U149" i="1"/>
  <c r="S149" i="1" s="1"/>
  <c r="U117" i="1"/>
  <c r="S117" i="1" s="1"/>
  <c r="W105" i="1"/>
  <c r="W97" i="1"/>
  <c r="AI92" i="1"/>
  <c r="U90" i="1"/>
  <c r="S90" i="1" s="1"/>
  <c r="AI88" i="1"/>
  <c r="U86" i="1"/>
  <c r="S86" i="1" s="1"/>
  <c r="AI84" i="1"/>
  <c r="X205" i="1"/>
  <c r="X153" i="1"/>
  <c r="AG152" i="1"/>
  <c r="X149" i="1"/>
  <c r="AG148" i="1"/>
  <c r="X145" i="1"/>
  <c r="AG144" i="1"/>
  <c r="X141" i="1"/>
  <c r="AG140" i="1"/>
  <c r="X137" i="1"/>
  <c r="AG136" i="1"/>
  <c r="X133" i="1"/>
  <c r="AG132" i="1"/>
  <c r="AA130" i="1"/>
  <c r="U130" i="1"/>
  <c r="S130" i="1" s="1"/>
  <c r="AA129" i="1"/>
  <c r="W129" i="1" s="1"/>
  <c r="AG128" i="1"/>
  <c r="T128" i="1"/>
  <c r="X128" i="1"/>
  <c r="AI120" i="1"/>
  <c r="AI105" i="1"/>
  <c r="AI97" i="1"/>
  <c r="X152" i="1"/>
  <c r="AI149" i="1"/>
  <c r="X148" i="1"/>
  <c r="X144" i="1"/>
  <c r="AI141" i="1"/>
  <c r="X140" i="1"/>
  <c r="X136" i="1"/>
  <c r="X132" i="1"/>
  <c r="T129" i="1"/>
  <c r="U129" i="1" s="1"/>
  <c r="S129" i="1" s="1"/>
  <c r="X129" i="1"/>
  <c r="U113" i="1"/>
  <c r="S113" i="1" s="1"/>
  <c r="W93" i="1"/>
  <c r="X120" i="1"/>
  <c r="T120" i="1"/>
  <c r="U120" i="1" s="1"/>
  <c r="S120" i="1" s="1"/>
  <c r="AI117" i="1"/>
  <c r="X116" i="1"/>
  <c r="T116" i="1"/>
  <c r="U116" i="1" s="1"/>
  <c r="S116" i="1" s="1"/>
  <c r="X109" i="1"/>
  <c r="T109" i="1"/>
  <c r="U109" i="1" s="1"/>
  <c r="S109" i="1" s="1"/>
  <c r="X105" i="1"/>
  <c r="T105" i="1"/>
  <c r="U105" i="1" s="1"/>
  <c r="S105" i="1" s="1"/>
  <c r="AI102" i="1"/>
  <c r="X101" i="1"/>
  <c r="T101" i="1"/>
  <c r="U101" i="1" s="1"/>
  <c r="S101" i="1" s="1"/>
  <c r="X97" i="1"/>
  <c r="T97" i="1"/>
  <c r="U97" i="1" s="1"/>
  <c r="S97" i="1" s="1"/>
  <c r="AI94" i="1"/>
  <c r="X93" i="1"/>
  <c r="T93" i="1"/>
  <c r="U93" i="1" s="1"/>
  <c r="S93" i="1" s="1"/>
  <c r="AI90" i="1"/>
  <c r="X89" i="1"/>
  <c r="T89" i="1"/>
  <c r="U89" i="1" s="1"/>
  <c r="S89" i="1" s="1"/>
  <c r="AI86" i="1"/>
  <c r="X85" i="1"/>
  <c r="T85" i="1"/>
  <c r="U85" i="1" s="1"/>
  <c r="S85" i="1" s="1"/>
  <c r="AA75" i="1"/>
  <c r="W75" i="1" s="1"/>
  <c r="AA74" i="1"/>
  <c r="AG73" i="1"/>
  <c r="T73" i="1"/>
  <c r="X73" i="1"/>
  <c r="U114" i="1"/>
  <c r="S114" i="1" s="1"/>
  <c r="U107" i="1"/>
  <c r="S107" i="1" s="1"/>
  <c r="T81" i="1"/>
  <c r="U81" i="1" s="1"/>
  <c r="S81" i="1" s="1"/>
  <c r="AA79" i="1"/>
  <c r="AA78" i="1"/>
  <c r="AG77" i="1"/>
  <c r="T77" i="1"/>
  <c r="X77" i="1"/>
  <c r="T74" i="1"/>
  <c r="X74" i="1"/>
  <c r="AA71" i="1"/>
  <c r="W71" i="1" s="1"/>
  <c r="AI69" i="1"/>
  <c r="AI61" i="1"/>
  <c r="AI53" i="1"/>
  <c r="T82" i="1"/>
  <c r="X82" i="1"/>
  <c r="T78" i="1"/>
  <c r="X78" i="1"/>
  <c r="AI75" i="1"/>
  <c r="X75" i="1"/>
  <c r="AG74" i="1"/>
  <c r="X125" i="1"/>
  <c r="X121" i="1"/>
  <c r="X117" i="1"/>
  <c r="AI114" i="1"/>
  <c r="X110" i="1"/>
  <c r="AI107" i="1"/>
  <c r="X106" i="1"/>
  <c r="X102" i="1"/>
  <c r="AI99" i="1"/>
  <c r="X98" i="1"/>
  <c r="X94" i="1"/>
  <c r="X90" i="1"/>
  <c r="X86" i="1"/>
  <c r="AG82" i="1"/>
  <c r="X79" i="1"/>
  <c r="AG78" i="1"/>
  <c r="U72" i="1"/>
  <c r="S72" i="1" s="1"/>
  <c r="AI71" i="1"/>
  <c r="AI65" i="1"/>
  <c r="AI57" i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X52" i="1"/>
  <c r="X51" i="1"/>
  <c r="AA50" i="1"/>
  <c r="T42" i="1"/>
  <c r="X42" i="1"/>
  <c r="AG42" i="1"/>
  <c r="W42" i="1" s="1"/>
  <c r="X43" i="1"/>
  <c r="T38" i="1"/>
  <c r="X38" i="1"/>
  <c r="AG38" i="1"/>
  <c r="W38" i="1" s="1"/>
  <c r="X39" i="1"/>
  <c r="T34" i="1"/>
  <c r="X34" i="1"/>
  <c r="AG34" i="1"/>
  <c r="X35" i="1"/>
  <c r="T30" i="1"/>
  <c r="X30" i="1"/>
  <c r="AG30" i="1"/>
  <c r="X31" i="1"/>
  <c r="U29" i="1"/>
  <c r="S29" i="1" s="1"/>
  <c r="T26" i="1"/>
  <c r="X26" i="1"/>
  <c r="AG26" i="1"/>
  <c r="X27" i="1"/>
  <c r="AA15" i="1"/>
  <c r="U63" i="1"/>
  <c r="S63" i="1" s="1"/>
  <c r="U59" i="1"/>
  <c r="S59" i="1" s="1"/>
  <c r="U55" i="1"/>
  <c r="S55" i="1" s="1"/>
  <c r="W24" i="1"/>
  <c r="AI20" i="1"/>
  <c r="S19" i="1"/>
  <c r="AI19" i="1"/>
  <c r="T18" i="1"/>
  <c r="X18" i="1"/>
  <c r="AG18" i="1"/>
  <c r="X71" i="1"/>
  <c r="AG70" i="1"/>
  <c r="W70" i="1" s="1"/>
  <c r="X67" i="1"/>
  <c r="AG66" i="1"/>
  <c r="X63" i="1"/>
  <c r="AG62" i="1"/>
  <c r="X59" i="1"/>
  <c r="AG58" i="1"/>
  <c r="X55" i="1"/>
  <c r="AG54" i="1"/>
  <c r="W54" i="1" s="1"/>
  <c r="T48" i="1"/>
  <c r="U48" i="1" s="1"/>
  <c r="S48" i="1" s="1"/>
  <c r="U44" i="1"/>
  <c r="S44" i="1" s="1"/>
  <c r="AI44" i="1"/>
  <c r="AI40" i="1"/>
  <c r="AI36" i="1"/>
  <c r="AI32" i="1"/>
  <c r="AI28" i="1"/>
  <c r="AI24" i="1"/>
  <c r="T14" i="1"/>
  <c r="AG14" i="1"/>
  <c r="X70" i="1"/>
  <c r="X66" i="1"/>
  <c r="AI63" i="1"/>
  <c r="X62" i="1"/>
  <c r="X58" i="1"/>
  <c r="AI55" i="1"/>
  <c r="X54" i="1"/>
  <c r="T52" i="1"/>
  <c r="U52" i="1" s="1"/>
  <c r="S52" i="1" s="1"/>
  <c r="T49" i="1"/>
  <c r="U49" i="1" s="1"/>
  <c r="S49" i="1" s="1"/>
  <c r="X49" i="1"/>
  <c r="X48" i="1"/>
  <c r="AA46" i="1"/>
  <c r="AI31" i="1"/>
  <c r="W30" i="1"/>
  <c r="AI27" i="1"/>
  <c r="T22" i="1"/>
  <c r="X22" i="1"/>
  <c r="AG22" i="1"/>
  <c r="X23" i="1"/>
  <c r="X19" i="1"/>
  <c r="AI16" i="1"/>
  <c r="X15" i="1"/>
  <c r="X45" i="1"/>
  <c r="X41" i="1"/>
  <c r="X37" i="1"/>
  <c r="X33" i="1"/>
  <c r="X29" i="1"/>
  <c r="X25" i="1"/>
  <c r="X21" i="1"/>
  <c r="AD9" i="3"/>
  <c r="AC18" i="3"/>
  <c r="Y30" i="3"/>
  <c r="Y16" i="3"/>
  <c r="Y27" i="3"/>
  <c r="Y45" i="3"/>
  <c r="Y42" i="3"/>
  <c r="Y14" i="3"/>
  <c r="Y8" i="3"/>
  <c r="Y48" i="3"/>
  <c r="Y21" i="3"/>
  <c r="Y15" i="3"/>
  <c r="Y13" i="3"/>
  <c r="AD10" i="3"/>
  <c r="AD8" i="3"/>
  <c r="AD49" i="3"/>
  <c r="AD47" i="3"/>
  <c r="AD45" i="3"/>
  <c r="AD43" i="3"/>
  <c r="AD41" i="3"/>
  <c r="AD39" i="3"/>
  <c r="AD37" i="3"/>
  <c r="AD35" i="3"/>
  <c r="AD33" i="3"/>
  <c r="AD31" i="3"/>
  <c r="AD29" i="3"/>
  <c r="AD27" i="3"/>
  <c r="AD25" i="3"/>
  <c r="AD23" i="3"/>
  <c r="AD21" i="3"/>
  <c r="AD19" i="3"/>
  <c r="AD17" i="3"/>
  <c r="AD15" i="3"/>
  <c r="AD13" i="3"/>
  <c r="AD11" i="3"/>
  <c r="AD48" i="3"/>
  <c r="AD46" i="3"/>
  <c r="AD44" i="3"/>
  <c r="AD42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C17" i="3"/>
  <c r="Y18" i="3"/>
  <c r="U106" i="1" l="1"/>
  <c r="S106" i="1" s="1"/>
  <c r="U193" i="1"/>
  <c r="AI193" i="1"/>
  <c r="W37" i="1"/>
  <c r="W22" i="1"/>
  <c r="U83" i="1"/>
  <c r="S83" i="1" s="1"/>
  <c r="AI125" i="1"/>
  <c r="U16" i="1"/>
  <c r="S16" i="1" s="1"/>
  <c r="U25" i="1"/>
  <c r="S25" i="1" s="1"/>
  <c r="W83" i="1"/>
  <c r="AI121" i="1"/>
  <c r="AI205" i="1"/>
  <c r="W125" i="1"/>
  <c r="W121" i="1"/>
  <c r="U229" i="1"/>
  <c r="S229" i="1" s="1"/>
  <c r="W104" i="1"/>
  <c r="W39" i="1"/>
  <c r="W62" i="1"/>
  <c r="U232" i="1"/>
  <c r="S232" i="1" s="1"/>
  <c r="W107" i="1"/>
  <c r="W103" i="1"/>
  <c r="U158" i="1"/>
  <c r="S158" i="1" s="1"/>
  <c r="U167" i="1"/>
  <c r="S167" i="1" s="1"/>
  <c r="W133" i="1"/>
  <c r="U137" i="1"/>
  <c r="S137" i="1" s="1"/>
  <c r="AI110" i="1"/>
  <c r="AI137" i="1"/>
  <c r="W148" i="1"/>
  <c r="AI201" i="1"/>
  <c r="U157" i="1"/>
  <c r="S157" i="1" s="1"/>
  <c r="U119" i="1"/>
  <c r="S119" i="1" s="1"/>
  <c r="W157" i="1"/>
  <c r="W126" i="1"/>
  <c r="U118" i="1"/>
  <c r="S118" i="1" s="1"/>
  <c r="W141" i="1"/>
  <c r="W96" i="1"/>
  <c r="W100" i="1"/>
  <c r="W169" i="1"/>
  <c r="W16" i="1"/>
  <c r="AI23" i="1"/>
  <c r="W46" i="1"/>
  <c r="W26" i="1"/>
  <c r="AI98" i="1"/>
  <c r="AI229" i="1"/>
  <c r="AI56" i="1"/>
  <c r="W51" i="1"/>
  <c r="W111" i="1"/>
  <c r="U217" i="1"/>
  <c r="S217" i="1" s="1"/>
  <c r="W233" i="1"/>
  <c r="U175" i="1"/>
  <c r="S175" i="1" s="1"/>
  <c r="U194" i="1"/>
  <c r="U46" i="1"/>
  <c r="S46" i="1" s="1"/>
  <c r="AI35" i="1"/>
  <c r="AI126" i="1"/>
  <c r="W34" i="1"/>
  <c r="U41" i="1"/>
  <c r="S41" i="1" s="1"/>
  <c r="AI118" i="1"/>
  <c r="U133" i="1"/>
  <c r="S133" i="1" s="1"/>
  <c r="U189" i="1"/>
  <c r="S189" i="1" s="1"/>
  <c r="W178" i="1"/>
  <c r="U177" i="1"/>
  <c r="S177" i="1" s="1"/>
  <c r="W23" i="1"/>
  <c r="U91" i="1"/>
  <c r="S91" i="1" s="1"/>
  <c r="S213" i="1"/>
  <c r="AI135" i="1"/>
  <c r="W110" i="1"/>
  <c r="AI226" i="1"/>
  <c r="AI50" i="1"/>
  <c r="U103" i="1"/>
  <c r="S103" i="1" s="1"/>
  <c r="U122" i="1"/>
  <c r="S122" i="1" s="1"/>
  <c r="AI145" i="1"/>
  <c r="W168" i="1"/>
  <c r="AI225" i="1"/>
  <c r="U228" i="1"/>
  <c r="S228" i="1" s="1"/>
  <c r="S193" i="1"/>
  <c r="AI198" i="1"/>
  <c r="W223" i="1"/>
  <c r="W135" i="1"/>
  <c r="W226" i="1"/>
  <c r="W72" i="1"/>
  <c r="AI43" i="1"/>
  <c r="AI103" i="1"/>
  <c r="W130" i="1"/>
  <c r="U153" i="1"/>
  <c r="S153" i="1" s="1"/>
  <c r="S43" i="1"/>
  <c r="S50" i="1"/>
  <c r="W50" i="1"/>
  <c r="AI171" i="1"/>
  <c r="W235" i="1"/>
  <c r="AI213" i="1"/>
  <c r="W99" i="1"/>
  <c r="W216" i="1"/>
  <c r="W182" i="1"/>
  <c r="W153" i="1"/>
  <c r="W94" i="1"/>
  <c r="W80" i="1"/>
  <c r="W122" i="1"/>
  <c r="U166" i="1"/>
  <c r="S166" i="1" s="1"/>
  <c r="U126" i="1"/>
  <c r="S126" i="1" s="1"/>
  <c r="W194" i="1"/>
  <c r="U95" i="1"/>
  <c r="S95" i="1" s="1"/>
  <c r="U173" i="1"/>
  <c r="S173" i="1" s="1"/>
  <c r="U182" i="1"/>
  <c r="S182" i="1" s="1"/>
  <c r="W113" i="1"/>
  <c r="U216" i="1"/>
  <c r="S216" i="1" s="1"/>
  <c r="W165" i="1"/>
  <c r="W177" i="1"/>
  <c r="AI217" i="1"/>
  <c r="AI234" i="1"/>
  <c r="W186" i="1"/>
  <c r="W199" i="1"/>
  <c r="W207" i="1"/>
  <c r="AI95" i="1"/>
  <c r="U174" i="1"/>
  <c r="S174" i="1" s="1"/>
  <c r="U190" i="1"/>
  <c r="S190" i="1" s="1"/>
  <c r="W45" i="1"/>
  <c r="AI39" i="1"/>
  <c r="AI79" i="1"/>
  <c r="U87" i="1"/>
  <c r="S87" i="1" s="1"/>
  <c r="W211" i="1"/>
  <c r="U98" i="1"/>
  <c r="S98" i="1" s="1"/>
  <c r="AI155" i="1"/>
  <c r="W106" i="1"/>
  <c r="W155" i="1"/>
  <c r="W119" i="1"/>
  <c r="W87" i="1"/>
  <c r="AI59" i="1"/>
  <c r="AI15" i="1"/>
  <c r="U67" i="1"/>
  <c r="S67" i="1" s="1"/>
  <c r="U33" i="1"/>
  <c r="S33" i="1" s="1"/>
  <c r="AI47" i="1"/>
  <c r="AI175" i="1"/>
  <c r="AI168" i="1"/>
  <c r="W188" i="1"/>
  <c r="U165" i="1"/>
  <c r="S165" i="1" s="1"/>
  <c r="U223" i="1"/>
  <c r="S223" i="1" s="1"/>
  <c r="W47" i="1"/>
  <c r="W173" i="1"/>
  <c r="W229" i="1"/>
  <c r="W185" i="1"/>
  <c r="W56" i="1"/>
  <c r="W198" i="1"/>
  <c r="W181" i="1"/>
  <c r="W27" i="1"/>
  <c r="W15" i="1"/>
  <c r="AI111" i="1"/>
  <c r="W79" i="1"/>
  <c r="U111" i="1"/>
  <c r="S111" i="1" s="1"/>
  <c r="W128" i="1"/>
  <c r="U185" i="1"/>
  <c r="S185" i="1" s="1"/>
  <c r="W102" i="1"/>
  <c r="W162" i="1"/>
  <c r="W179" i="1"/>
  <c r="W64" i="1"/>
  <c r="W213" i="1"/>
  <c r="W203" i="1"/>
  <c r="W17" i="1"/>
  <c r="W78" i="1"/>
  <c r="AI172" i="1"/>
  <c r="AI188" i="1"/>
  <c r="AI235" i="1"/>
  <c r="W19" i="1"/>
  <c r="W67" i="1"/>
  <c r="W91" i="1"/>
  <c r="U159" i="1"/>
  <c r="S159" i="1" s="1"/>
  <c r="AI159" i="1"/>
  <c r="W170" i="1"/>
  <c r="W166" i="1"/>
  <c r="W234" i="1"/>
  <c r="W171" i="1"/>
  <c r="W175" i="1"/>
  <c r="U21" i="1"/>
  <c r="S21" i="1" s="1"/>
  <c r="AI21" i="1"/>
  <c r="U60" i="1"/>
  <c r="S60" i="1" s="1"/>
  <c r="AI60" i="1"/>
  <c r="U68" i="1"/>
  <c r="S68" i="1" s="1"/>
  <c r="AI68" i="1"/>
  <c r="U80" i="1"/>
  <c r="S80" i="1" s="1"/>
  <c r="AI80" i="1"/>
  <c r="W35" i="1"/>
  <c r="W68" i="1"/>
  <c r="U108" i="1"/>
  <c r="S108" i="1" s="1"/>
  <c r="AI108" i="1"/>
  <c r="U230" i="1"/>
  <c r="S230" i="1" s="1"/>
  <c r="AI230" i="1"/>
  <c r="U127" i="1"/>
  <c r="S127" i="1" s="1"/>
  <c r="AI127" i="1"/>
  <c r="W118" i="1"/>
  <c r="W174" i="1"/>
  <c r="W167" i="1"/>
  <c r="W159" i="1"/>
  <c r="W127" i="1"/>
  <c r="W43" i="1"/>
  <c r="U51" i="1"/>
  <c r="S51" i="1" s="1"/>
  <c r="AI51" i="1"/>
  <c r="W60" i="1"/>
  <c r="W21" i="1"/>
  <c r="W33" i="1"/>
  <c r="W108" i="1"/>
  <c r="U131" i="1"/>
  <c r="S131" i="1" s="1"/>
  <c r="AI131" i="1"/>
  <c r="W190" i="1"/>
  <c r="W131" i="1"/>
  <c r="W214" i="1"/>
  <c r="AI214" i="1"/>
  <c r="U76" i="1"/>
  <c r="S76" i="1" s="1"/>
  <c r="AI76" i="1"/>
  <c r="U96" i="1"/>
  <c r="S96" i="1" s="1"/>
  <c r="AI96" i="1"/>
  <c r="W76" i="1"/>
  <c r="W25" i="1"/>
  <c r="W41" i="1"/>
  <c r="U123" i="1"/>
  <c r="S123" i="1" s="1"/>
  <c r="AI123" i="1"/>
  <c r="U104" i="1"/>
  <c r="S104" i="1" s="1"/>
  <c r="AI104" i="1"/>
  <c r="W217" i="1"/>
  <c r="W158" i="1"/>
  <c r="AI202" i="1"/>
  <c r="U202" i="1"/>
  <c r="S202" i="1" s="1"/>
  <c r="W202" i="1"/>
  <c r="W230" i="1"/>
  <c r="W163" i="1"/>
  <c r="U73" i="1"/>
  <c r="S73" i="1" s="1"/>
  <c r="AI73" i="1"/>
  <c r="U136" i="1"/>
  <c r="S136" i="1" s="1"/>
  <c r="AI136" i="1"/>
  <c r="U144" i="1"/>
  <c r="S144" i="1" s="1"/>
  <c r="AI144" i="1"/>
  <c r="U152" i="1"/>
  <c r="S152" i="1" s="1"/>
  <c r="AI152" i="1"/>
  <c r="U156" i="1"/>
  <c r="S156" i="1" s="1"/>
  <c r="AI156" i="1"/>
  <c r="U227" i="1"/>
  <c r="S227" i="1" s="1"/>
  <c r="AI174" i="1"/>
  <c r="U164" i="1"/>
  <c r="S164" i="1" s="1"/>
  <c r="AI190" i="1"/>
  <c r="U180" i="1"/>
  <c r="S180" i="1" s="1"/>
  <c r="AI207" i="1"/>
  <c r="U196" i="1"/>
  <c r="S196" i="1" s="1"/>
  <c r="AI223" i="1"/>
  <c r="W144" i="1"/>
  <c r="AI232" i="1"/>
  <c r="U220" i="1"/>
  <c r="S220" i="1" s="1"/>
  <c r="U201" i="1"/>
  <c r="S201" i="1" s="1"/>
  <c r="AI227" i="1"/>
  <c r="W220" i="1"/>
  <c r="AI34" i="1"/>
  <c r="U34" i="1"/>
  <c r="S34" i="1" s="1"/>
  <c r="AI22" i="1"/>
  <c r="U22" i="1"/>
  <c r="S22" i="1" s="1"/>
  <c r="AI14" i="1"/>
  <c r="U14" i="1"/>
  <c r="S14" i="1" s="1"/>
  <c r="U58" i="1"/>
  <c r="S58" i="1" s="1"/>
  <c r="AI58" i="1"/>
  <c r="U66" i="1"/>
  <c r="S66" i="1" s="1"/>
  <c r="AI66" i="1"/>
  <c r="W14" i="1"/>
  <c r="AI38" i="1"/>
  <c r="U38" i="1"/>
  <c r="S38" i="1" s="1"/>
  <c r="AI78" i="1"/>
  <c r="U78" i="1"/>
  <c r="S78" i="1" s="1"/>
  <c r="U82" i="1"/>
  <c r="S82" i="1" s="1"/>
  <c r="AI82" i="1"/>
  <c r="AI74" i="1"/>
  <c r="U74" i="1"/>
  <c r="S74" i="1" s="1"/>
  <c r="W58" i="1"/>
  <c r="W66" i="1"/>
  <c r="W74" i="1"/>
  <c r="U128" i="1"/>
  <c r="S128" i="1" s="1"/>
  <c r="AI128" i="1"/>
  <c r="U218" i="1"/>
  <c r="S218" i="1" s="1"/>
  <c r="AI170" i="1"/>
  <c r="U160" i="1"/>
  <c r="S160" i="1" s="1"/>
  <c r="AI186" i="1"/>
  <c r="U176" i="1"/>
  <c r="S176" i="1" s="1"/>
  <c r="AI203" i="1"/>
  <c r="U192" i="1"/>
  <c r="S192" i="1" s="1"/>
  <c r="AI219" i="1"/>
  <c r="W136" i="1"/>
  <c r="AI163" i="1"/>
  <c r="U211" i="1"/>
  <c r="S211" i="1" s="1"/>
  <c r="AI233" i="1"/>
  <c r="U221" i="1"/>
  <c r="S221" i="1" s="1"/>
  <c r="U219" i="1"/>
  <c r="S219" i="1" s="1"/>
  <c r="AI231" i="1"/>
  <c r="W221" i="1"/>
  <c r="AI18" i="1"/>
  <c r="U18" i="1"/>
  <c r="S18" i="1" s="1"/>
  <c r="AI26" i="1"/>
  <c r="U26" i="1"/>
  <c r="S26" i="1" s="1"/>
  <c r="AI42" i="1"/>
  <c r="U42" i="1"/>
  <c r="S42" i="1" s="1"/>
  <c r="U77" i="1"/>
  <c r="S77" i="1" s="1"/>
  <c r="AI77" i="1"/>
  <c r="W73" i="1"/>
  <c r="U132" i="1"/>
  <c r="S132" i="1" s="1"/>
  <c r="AI132" i="1"/>
  <c r="U140" i="1"/>
  <c r="S140" i="1" s="1"/>
  <c r="AI140" i="1"/>
  <c r="U148" i="1"/>
  <c r="S148" i="1" s="1"/>
  <c r="AI148" i="1"/>
  <c r="U124" i="1"/>
  <c r="S124" i="1" s="1"/>
  <c r="AI124" i="1"/>
  <c r="U214" i="1"/>
  <c r="S214" i="1" s="1"/>
  <c r="AI166" i="1"/>
  <c r="U235" i="1"/>
  <c r="S235" i="1" s="1"/>
  <c r="AI182" i="1"/>
  <c r="U172" i="1"/>
  <c r="S172" i="1" s="1"/>
  <c r="AI199" i="1"/>
  <c r="U188" i="1"/>
  <c r="S188" i="1" s="1"/>
  <c r="AI215" i="1"/>
  <c r="W156" i="1"/>
  <c r="W152" i="1"/>
  <c r="U54" i="1"/>
  <c r="S54" i="1" s="1"/>
  <c r="AI54" i="1"/>
  <c r="U62" i="1"/>
  <c r="S62" i="1" s="1"/>
  <c r="AI62" i="1"/>
  <c r="U70" i="1"/>
  <c r="S70" i="1" s="1"/>
  <c r="AI70" i="1"/>
  <c r="W18" i="1"/>
  <c r="AI30" i="1"/>
  <c r="U30" i="1"/>
  <c r="S30" i="1" s="1"/>
  <c r="W82" i="1"/>
  <c r="W77" i="1"/>
  <c r="W132" i="1"/>
  <c r="U210" i="1"/>
  <c r="S210" i="1" s="1"/>
  <c r="AI162" i="1"/>
  <c r="U231" i="1"/>
  <c r="S231" i="1" s="1"/>
  <c r="AI178" i="1"/>
  <c r="U168" i="1"/>
  <c r="S168" i="1" s="1"/>
  <c r="AI194" i="1"/>
  <c r="U184" i="1"/>
  <c r="S184" i="1" s="1"/>
  <c r="AI211" i="1"/>
  <c r="W140" i="1"/>
  <c r="W210" i="1"/>
  <c r="W227" i="1"/>
  <c r="W164" i="1"/>
  <c r="W180" i="1"/>
  <c r="W196" i="1"/>
  <c r="W218" i="1"/>
  <c r="W160" i="1"/>
  <c r="W176" i="1"/>
  <c r="W192" i="1"/>
  <c r="AD7" i="3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C58" i="9" l="1"/>
  <c r="C75" i="9"/>
  <c r="C71" i="9"/>
  <c r="C67" i="9"/>
  <c r="C63" i="9"/>
  <c r="C59" i="9"/>
  <c r="C55" i="9"/>
  <c r="C54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7" i="3"/>
  <c r="N29" i="3"/>
  <c r="N30" i="3"/>
  <c r="H6" i="6"/>
  <c r="N39" i="3"/>
  <c r="N46" i="3"/>
  <c r="N45" i="3"/>
  <c r="N37" i="3"/>
  <c r="N24" i="3"/>
  <c r="N14" i="3"/>
  <c r="N8" i="3"/>
  <c r="N48" i="3"/>
  <c r="N22" i="3"/>
  <c r="N15" i="3"/>
  <c r="N41" i="3"/>
  <c r="N11" i="3"/>
  <c r="N36" i="3"/>
  <c r="N49" i="3"/>
  <c r="N40" i="3"/>
  <c r="N16" i="3"/>
  <c r="N33" i="3"/>
  <c r="N19" i="3"/>
  <c r="H5" i="6"/>
  <c r="N47" i="3"/>
  <c r="N44" i="3"/>
  <c r="N43" i="3"/>
  <c r="N28" i="3"/>
  <c r="N27" i="3"/>
  <c r="N42" i="3"/>
  <c r="N31" i="3"/>
  <c r="N10" i="3"/>
  <c r="N12" i="3"/>
  <c r="N20" i="3"/>
  <c r="N32" i="3"/>
  <c r="N34" i="3"/>
  <c r="N38" i="3"/>
  <c r="N23" i="3"/>
  <c r="N35" i="3"/>
  <c r="N9" i="3"/>
  <c r="N21" i="3"/>
  <c r="N26" i="3"/>
  <c r="N25" i="3"/>
  <c r="N13" i="3"/>
  <c r="N17" i="3"/>
  <c r="H4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<sst xmlns="http://schemas.openxmlformats.org/spreadsheetml/2006/main" count="2693" uniqueCount="972">
  <si>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</si>
  <si>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</si>
  <si>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</si>
  <si>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</si>
  <si>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</si>
  <si>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</si>
  <si>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</si>
  <si>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</si>
  <si>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</si>
  <si>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</si>
  <si>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</si>
  <si>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</si>
  <si>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</si>
  <si>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</si>
  <si>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</si>
  <si>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</si>
  <si>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</si>
  <si>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</si>
  <si>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</si>
  <si>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</si>
  <si>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</si>
  <si>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</si>
  <si>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</si>
  <si>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</si>
  <si>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</si>
  <si>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</si>
  <si>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</si>
  <si>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</si>
  <si>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</si>
  <si>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</si>
  <si>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</si>
  <si>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</si>
  <si>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</si>
  <si>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</si>
  <si>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</si>
  <si>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</si>
  <si>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</si>
  <si>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</si>
  <si>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</si>
  <si>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</si>
  <si>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</si>
  <si>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</si>
  <si>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</si>
  <si>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</si>
  <si>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</si>
  <si>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</si>
  <si>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</si>
  <si>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</si>
  <si>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</si>
  <si>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</si>
  <si>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</si>
  <si>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</si>
  <si>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</si>
  <si>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</si>
  <si>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</si>
  <si>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</si>
  <si>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</si>
  <si>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</si>
  <si>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</si>
  <si>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</si>
  <si>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</si>
  <si>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</si>
  <si>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</si>
  <si>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</si>
  <si>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</si>
  <si>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</si>
  <si>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</si>
  <si>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</si>
  <si>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</si>
  <si>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</si>
  <si>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</si>
  <si>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</si>
  <si>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</si>
  <si>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</si>
  <si>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</si>
  <si>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</si>
  <si>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</si>
  <si>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</si>
  <si>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</si>
  <si>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</si>
  <si>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</si>
  <si>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</si>
  <si>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</si>
  <si>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</si>
  <si>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</si>
  <si>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</si>
  <si>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</si>
  <si>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</si>
  <si>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</si>
  <si>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</si>
  <si>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</si>
  <si>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</si>
  <si>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</si>
  <si>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</si>
  <si>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</si>
  <si>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</si>
  <si>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</si>
  <si>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</si>
  <si>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</si>
  <si>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</si>
  <si>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</si>
  <si>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</si>
  <si>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</si>
  <si>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</si>
  <si>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</si>
  <si>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</si>
  <si>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</si>
  <si>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</si>
  <si>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</si>
  <si>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</si>
  <si>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</si>
  <si>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</si>
  <si>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</si>
  <si>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</si>
  <si>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</si>
  <si>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</si>
  <si>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</si>
  <si>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</si>
  <si>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</si>
  <si>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</si>
  <si>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</si>
  <si>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</si>
  <si>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</si>
  <si>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</si>
  <si>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</si>
  <si>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</si>
  <si>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</si>
  <si>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</si>
  <si>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</si>
  <si>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</si>
  <si>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</si>
  <si>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</si>
  <si>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</si>
  <si>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</si>
  <si>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</si>
  <si>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</si>
  <si>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</si>
  <si>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</si>
  <si>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</si>
  <si>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</si>
  <si>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</si>
  <si>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</si>
  <si>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</si>
  <si>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</si>
  <si>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</si>
  <si>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</si>
  <si>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</si>
  <si>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</si>
  <si>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</si>
  <si>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</si>
  <si>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</si>
  <si>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</si>
  <si>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</si>
  <si>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</si>
  <si>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</si>
  <si>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</si>
  <si>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</si>
  <si>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</si>
  <si>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</si>
  <si>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</si>
  <si>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</si>
  <si>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</si>
  <si>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</si>
  <si>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</si>
  <si>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</si>
  <si>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</si>
  <si>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</si>
  <si>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</si>
  <si>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</si>
  <si>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</si>
  <si>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</si>
  <si>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</si>
  <si>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</si>
  <si>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</si>
  <si>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</si>
  <si>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</si>
  <si>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</si>
  <si>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</si>
  <si>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</si>
  <si>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</si>
  <si>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</si>
  <si>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</si>
  <si>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</si>
  <si>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</si>
  <si>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</si>
  <si>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</si>
  <si>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</si>
  <si>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</si>
  <si>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</si>
  <si>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</si>
  <si>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</si>
  <si>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</si>
  <si>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</si>
  <si>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</si>
  <si>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</si>
  <si>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</si>
  <si>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</si>
  <si>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</si>
  <si>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</si>
  <si>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</si>
  <si>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</si>
  <si>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</si>
  <si>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</si>
  <si>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</si>
  <si>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</si>
  <si>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</si>
  <si>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</si>
  <si>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</si>
  <si>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</si>
  <si>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</si>
  <si>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</si>
  <si>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</si>
  <si>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</si>
  <si>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</si>
  <si>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</si>
  <si>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</si>
  <si>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</si>
  <si>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</si>
  <si>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</si>
  <si>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</si>
  <si>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</si>
  <si>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</si>
  <si>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</si>
  <si>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</si>
  <si>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</si>
  <si>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</si>
  <si>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</si>
  <si>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</si>
  <si>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</si>
  <si>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</si>
  <si>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</si>
  <si>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</si>
  <si>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</si>
  <si>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</si>
  <si>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</si>
  <si>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</si>
  <si>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</si>
  <si>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</si>
  <si>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</si>
  <si>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</si>
  <si>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</si>
  <si>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</si>
  <si>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</si>
  <si>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</si>
  <si>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</si>
  <si>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</si>
  <si>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</si>
  <si>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</si>
  <si>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</si>
  <si>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</si>
  <si>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DAVID</t>
  </si>
  <si>
    <t>JAMES</t>
  </si>
  <si>
    <t>Last + First</t>
  </si>
  <si>
    <t>Employee First Name</t>
  </si>
  <si>
    <t>KELVIN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</si>
  <si>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</si>
  <si>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</si>
  <si>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</si>
  <si>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</si>
  <si>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</si>
  <si>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</si>
  <si>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</si>
  <si>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</si>
  <si>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</si>
  <si>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</si>
  <si>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</si>
  <si>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</si>
  <si>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</si>
  <si>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</si>
  <si>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</si>
  <si>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</si>
  <si>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204:233323</t>
  </si>
  <si>
    <t>300:58931</t>
  </si>
  <si>
    <t>rtdc.l.rtdc.4004:itc</t>
  </si>
  <si>
    <t>rtdc.l.rtdc.4021:itc</t>
  </si>
  <si>
    <t>SCOTT</t>
  </si>
  <si>
    <t>rtdc.l.rtdc.4003:itc</t>
  </si>
  <si>
    <t>204:138</t>
  </si>
  <si>
    <t>204:444</t>
  </si>
  <si>
    <t>204:477</t>
  </si>
  <si>
    <t>300:23304</t>
  </si>
  <si>
    <t>rtdc.l.rtdc.4018:itc</t>
  </si>
  <si>
    <t>rtdc.l.rtdc.4017:itc</t>
  </si>
  <si>
    <t>ADANE</t>
  </si>
  <si>
    <t>ELSHADAY</t>
  </si>
  <si>
    <t>204:233289</t>
  </si>
  <si>
    <t>204:457</t>
  </si>
  <si>
    <t>204:233000</t>
  </si>
  <si>
    <t>204:232986</t>
  </si>
  <si>
    <t>204:440</t>
  </si>
  <si>
    <t>204:232971</t>
  </si>
  <si>
    <t>204:233291</t>
  </si>
  <si>
    <t>204:233299</t>
  </si>
  <si>
    <t>204:134</t>
  </si>
  <si>
    <t>204:233298</t>
  </si>
  <si>
    <t>300:58615</t>
  </si>
  <si>
    <t>rtdc.l.rtdc.4010:itc</t>
  </si>
  <si>
    <t>WENDY</t>
  </si>
  <si>
    <t>SMITH</t>
  </si>
  <si>
    <t>SWANSON</t>
  </si>
  <si>
    <t>BRYCE</t>
  </si>
  <si>
    <t>NEWELL</t>
  </si>
  <si>
    <t>GREGORY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</si>
  <si>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</si>
  <si>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</si>
  <si>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</si>
  <si>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</si>
  <si>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</si>
  <si>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</si>
  <si>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</si>
  <si>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204:232978</t>
  </si>
  <si>
    <t>300:58929</t>
  </si>
  <si>
    <t>300:58924</t>
  </si>
  <si>
    <t>300:58619</t>
  </si>
  <si>
    <t>204:678</t>
  </si>
  <si>
    <t>rtdc.l.rtdc.4028:itc</t>
  </si>
  <si>
    <t>rtdc.l.rtdc.4027:itc</t>
  </si>
  <si>
    <t>rtdc.l.rtdc.4044:itc</t>
  </si>
  <si>
    <t>rtdc.l.rtdc.4031:itc</t>
  </si>
  <si>
    <t>rtdc.l.rtdc.4043:itc</t>
  </si>
  <si>
    <t>234-18</t>
  </si>
  <si>
    <t>235-18</t>
  </si>
  <si>
    <t>OUN</t>
  </si>
  <si>
    <t>ZACK</t>
  </si>
  <si>
    <t>HAITHCOX</t>
  </si>
  <si>
    <t>STEWART</t>
  </si>
  <si>
    <t>MCREYNOLDS</t>
  </si>
  <si>
    <t>KYLE</t>
  </si>
  <si>
    <t>67-18</t>
  </si>
  <si>
    <t>233-18</t>
  </si>
  <si>
    <t>230-18</t>
  </si>
  <si>
    <t>1833-18</t>
  </si>
  <si>
    <t>232-18</t>
  </si>
  <si>
    <t>1902-18</t>
  </si>
  <si>
    <t>237-18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</si>
  <si>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</si>
  <si>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</si>
  <si>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</si>
  <si>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</si>
  <si>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</si>
  <si>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</si>
  <si>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</si>
  <si>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</si>
  <si>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</si>
  <si>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</si>
  <si>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</si>
  <si>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</si>
  <si>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</si>
  <si>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204:232976</t>
  </si>
  <si>
    <t>204:232981</t>
  </si>
  <si>
    <t>204:156</t>
  </si>
  <si>
    <t>204:433</t>
  </si>
  <si>
    <t>204:745</t>
  </si>
  <si>
    <t>204:1018</t>
  </si>
  <si>
    <t>300:58611</t>
  </si>
  <si>
    <t>204:232984</t>
  </si>
  <si>
    <t>204:170</t>
  </si>
  <si>
    <t>204:233270</t>
  </si>
  <si>
    <t>204:473</t>
  </si>
  <si>
    <t>204:233301</t>
  </si>
  <si>
    <t>204:233285</t>
  </si>
  <si>
    <t>204:233297</t>
  </si>
  <si>
    <t>204:130</t>
  </si>
  <si>
    <t>300:23302</t>
  </si>
  <si>
    <t>rtdc.l.rtdc.4019:itc</t>
  </si>
  <si>
    <t>SWITCH UNKNOWN</t>
  </si>
  <si>
    <t>Track device (7)</t>
  </si>
  <si>
    <t>MAGEE</t>
  </si>
  <si>
    <t>KENYA</t>
  </si>
  <si>
    <t>STARKS</t>
  </si>
  <si>
    <t>ANGELINA</t>
  </si>
  <si>
    <t>SIMMONS</t>
  </si>
  <si>
    <t>SHYHESHA</t>
  </si>
  <si>
    <t>rtdc.l.rtdc.4020:itc</t>
  </si>
  <si>
    <t>YANAI</t>
  </si>
  <si>
    <t>IAN</t>
  </si>
  <si>
    <t>SIMONEAUX</t>
  </si>
  <si>
    <t>TERA</t>
  </si>
  <si>
    <t>SPECTOR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</si>
  <si>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</si>
  <si>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</si>
  <si>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</si>
  <si>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</si>
  <si>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</si>
  <si>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</si>
  <si>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</si>
  <si>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</si>
  <si>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242-19</t>
  </si>
  <si>
    <t>311-19</t>
  </si>
  <si>
    <t>244-19</t>
  </si>
  <si>
    <t>313-19</t>
  </si>
  <si>
    <t>315-19</t>
  </si>
  <si>
    <t>302-20</t>
  </si>
  <si>
    <t>partly-cloudy-day</t>
  </si>
  <si>
    <t>Mostly Cloudy</t>
  </si>
  <si>
    <t>204:233312</t>
  </si>
  <si>
    <t>204:233317</t>
  </si>
  <si>
    <t>204:232658</t>
  </si>
  <si>
    <t>204:233284</t>
  </si>
  <si>
    <t>204:480</t>
  </si>
  <si>
    <t>204:233293</t>
  </si>
  <si>
    <t>204:232959</t>
  </si>
  <si>
    <t>204:232991</t>
  </si>
  <si>
    <t>204:233311</t>
  </si>
  <si>
    <t>204:233300</t>
  </si>
  <si>
    <t>204:233318</t>
  </si>
  <si>
    <t>204:233283</t>
  </si>
  <si>
    <t>204:152</t>
  </si>
  <si>
    <t>204:232967</t>
  </si>
  <si>
    <t>204:511</t>
  </si>
  <si>
    <t>204:136</t>
  </si>
  <si>
    <t>204:232955</t>
  </si>
  <si>
    <t>204:233309</t>
  </si>
  <si>
    <t>204:232975</t>
  </si>
  <si>
    <t>204:167</t>
  </si>
  <si>
    <t>204:169</t>
  </si>
  <si>
    <t>204:233302</t>
  </si>
  <si>
    <t>204:178</t>
  </si>
  <si>
    <t>204:233278</t>
  </si>
  <si>
    <t>204:1179</t>
  </si>
  <si>
    <t>204:232969</t>
  </si>
  <si>
    <t>204:232979</t>
  </si>
  <si>
    <t>204:232980</t>
  </si>
  <si>
    <t>204:435</t>
  </si>
  <si>
    <t>204:232983</t>
  </si>
  <si>
    <t>204:233349</t>
  </si>
  <si>
    <t>204:233287</t>
  </si>
  <si>
    <t>204:466</t>
  </si>
  <si>
    <t>204:233003</t>
  </si>
  <si>
    <t>204:181</t>
  </si>
  <si>
    <t>204:174</t>
  </si>
  <si>
    <t>204:176</t>
  </si>
  <si>
    <t>300:23127</t>
  </si>
  <si>
    <t>300:22828</t>
  </si>
  <si>
    <t>204:1181</t>
  </si>
  <si>
    <t>300:58696</t>
  </si>
  <si>
    <t>204:1006</t>
  </si>
  <si>
    <t>204:740</t>
  </si>
  <si>
    <t>300:58918</t>
  </si>
  <si>
    <t>204:747</t>
  </si>
  <si>
    <t>300:58630</t>
  </si>
  <si>
    <t>300:58952</t>
  </si>
  <si>
    <t>300:58948</t>
  </si>
  <si>
    <t>300:58640</t>
  </si>
  <si>
    <t>300:58609</t>
  </si>
  <si>
    <t>204:698</t>
  </si>
  <si>
    <t>204:983</t>
  </si>
  <si>
    <t>300:58928</t>
  </si>
  <si>
    <t>300:58608</t>
  </si>
  <si>
    <t>204:706</t>
  </si>
  <si>
    <t>204:988</t>
  </si>
  <si>
    <t>300:58604</t>
  </si>
  <si>
    <t>204:692</t>
  </si>
  <si>
    <t>204:691</t>
  </si>
  <si>
    <t>204:1009</t>
  </si>
  <si>
    <t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t>
  </si>
  <si>
    <t>Onboard in-route failure</t>
  </si>
  <si>
    <t>Wi-MAX data drop</t>
  </si>
  <si>
    <t>Early arrival</t>
  </si>
  <si>
    <t>102-20</t>
  </si>
  <si>
    <t>113-20</t>
  </si>
  <si>
    <t>802-20</t>
  </si>
  <si>
    <t>123-20</t>
  </si>
  <si>
    <t>120-20</t>
  </si>
  <si>
    <t>128-20</t>
  </si>
  <si>
    <t>810-20</t>
  </si>
  <si>
    <t>130-20</t>
  </si>
  <si>
    <t>143-20</t>
  </si>
  <si>
    <t>132-20</t>
  </si>
  <si>
    <t>138-20</t>
  </si>
  <si>
    <t>140-20</t>
  </si>
  <si>
    <t>153-20</t>
  </si>
  <si>
    <t>52-20</t>
  </si>
  <si>
    <t>155-20</t>
  </si>
  <si>
    <t>58-20</t>
  </si>
  <si>
    <t>819-20</t>
  </si>
  <si>
    <t>175-20</t>
  </si>
  <si>
    <t>166-20</t>
  </si>
  <si>
    <t>821-20</t>
  </si>
  <si>
    <t>174-20</t>
  </si>
  <si>
    <t>185-20</t>
  </si>
  <si>
    <t>182-20</t>
  </si>
  <si>
    <t>193-20</t>
  </si>
  <si>
    <t>827-20</t>
  </si>
  <si>
    <t>828-20</t>
  </si>
  <si>
    <t>831-20</t>
  </si>
  <si>
    <t>833-20</t>
  </si>
  <si>
    <t>835-20</t>
  </si>
  <si>
    <t>841-20</t>
  </si>
  <si>
    <t>218-20</t>
  </si>
  <si>
    <t>225-20</t>
  </si>
  <si>
    <t>845-20</t>
  </si>
  <si>
    <t>241-20</t>
  </si>
  <si>
    <t>243-20</t>
  </si>
  <si>
    <t>240-20</t>
  </si>
  <si>
    <t>242-20</t>
  </si>
  <si>
    <t>101-20</t>
  </si>
  <si>
    <t>304-20</t>
  </si>
  <si>
    <t>103-20</t>
  </si>
  <si>
    <t>306-20</t>
  </si>
  <si>
    <t>308-20</t>
  </si>
  <si>
    <t>105-20</t>
  </si>
  <si>
    <t>107-20</t>
  </si>
  <si>
    <t>310-20</t>
  </si>
  <si>
    <t>104-20</t>
  </si>
  <si>
    <t>109-20</t>
  </si>
  <si>
    <t>901-20</t>
  </si>
  <si>
    <t>111-20</t>
  </si>
  <si>
    <t>800-20</t>
  </si>
  <si>
    <t>106-20</t>
  </si>
  <si>
    <t>108-20</t>
  </si>
  <si>
    <t>115-20</t>
  </si>
  <si>
    <t>117-20</t>
  </si>
  <si>
    <t>801-20</t>
  </si>
  <si>
    <t>110-20</t>
  </si>
  <si>
    <t>112-20</t>
  </si>
  <si>
    <t>119-20</t>
  </si>
  <si>
    <t>902-20</t>
  </si>
  <si>
    <t>BROWN</t>
  </si>
  <si>
    <t>JACOB</t>
  </si>
  <si>
    <t>114-20</t>
  </si>
  <si>
    <t>116-20</t>
  </si>
  <si>
    <t>121-20</t>
  </si>
  <si>
    <t>803-20</t>
  </si>
  <si>
    <t>118-20</t>
  </si>
  <si>
    <t>804-20</t>
  </si>
  <si>
    <t>125-20</t>
  </si>
  <si>
    <t>805-20</t>
  </si>
  <si>
    <t>127-20</t>
  </si>
  <si>
    <t>122-20</t>
  </si>
  <si>
    <t>806-20</t>
  </si>
  <si>
    <t>129-20</t>
  </si>
  <si>
    <t>807-20</t>
  </si>
  <si>
    <t>124-20</t>
  </si>
  <si>
    <t>131-20</t>
  </si>
  <si>
    <t>133-20</t>
  </si>
  <si>
    <t>808-20</t>
  </si>
  <si>
    <t>126-20</t>
  </si>
  <si>
    <t>809-20</t>
  </si>
  <si>
    <t>135-20</t>
  </si>
  <si>
    <t>137-20</t>
  </si>
  <si>
    <t>811-20</t>
  </si>
  <si>
    <t>139-20</t>
  </si>
  <si>
    <t>134-20</t>
  </si>
  <si>
    <t>903-20</t>
  </si>
  <si>
    <t>51-20</t>
  </si>
  <si>
    <t>ACKERMAN</t>
  </si>
  <si>
    <t>JARED</t>
  </si>
  <si>
    <t>141-20</t>
  </si>
  <si>
    <t>812-20</t>
  </si>
  <si>
    <t>136-20</t>
  </si>
  <si>
    <t>145-20</t>
  </si>
  <si>
    <t>813-20</t>
  </si>
  <si>
    <t>147-20</t>
  </si>
  <si>
    <t>142-20</t>
  </si>
  <si>
    <t>814-20</t>
  </si>
  <si>
    <t>144-20</t>
  </si>
  <si>
    <t>54-20</t>
  </si>
  <si>
    <t>149-20</t>
  </si>
  <si>
    <t>151-20</t>
  </si>
  <si>
    <t>146-20</t>
  </si>
  <si>
    <t>815-20</t>
  </si>
  <si>
    <t>148-20</t>
  </si>
  <si>
    <t>MOSES</t>
  </si>
  <si>
    <t>BRADLEY</t>
  </si>
  <si>
    <t>150-20</t>
  </si>
  <si>
    <t>816-20</t>
  </si>
  <si>
    <t>157-20</t>
  </si>
  <si>
    <t>152-20</t>
  </si>
  <si>
    <t>159-20</t>
  </si>
  <si>
    <t>154-20</t>
  </si>
  <si>
    <t>156-20</t>
  </si>
  <si>
    <t>161-20</t>
  </si>
  <si>
    <t>817-20</t>
  </si>
  <si>
    <t>163-20</t>
  </si>
  <si>
    <t>53-20</t>
  </si>
  <si>
    <t>158-20</t>
  </si>
  <si>
    <t>818-20</t>
  </si>
  <si>
    <t>165-20</t>
  </si>
  <si>
    <t>160-20</t>
  </si>
  <si>
    <t>167-20</t>
  </si>
  <si>
    <t>CRAYTON</t>
  </si>
  <si>
    <t>QUNTRELL</t>
  </si>
  <si>
    <t>162-20</t>
  </si>
  <si>
    <t>169-20</t>
  </si>
  <si>
    <t>59-20</t>
  </si>
  <si>
    <t>LOZA</t>
  </si>
  <si>
    <t>FIDEL</t>
  </si>
  <si>
    <t>164-20</t>
  </si>
  <si>
    <t>171-20</t>
  </si>
  <si>
    <t>BRANNON</t>
  </si>
  <si>
    <t>JEFFREY</t>
  </si>
  <si>
    <t>820-20</t>
  </si>
  <si>
    <t>173-20</t>
  </si>
  <si>
    <t>168-20</t>
  </si>
  <si>
    <t>170-20</t>
  </si>
  <si>
    <t>177-20</t>
  </si>
  <si>
    <t>172-20</t>
  </si>
  <si>
    <t>179-20</t>
  </si>
  <si>
    <t>822-20</t>
  </si>
  <si>
    <t>181-20</t>
  </si>
  <si>
    <t>176-20</t>
  </si>
  <si>
    <t>183-20</t>
  </si>
  <si>
    <t>178-20</t>
  </si>
  <si>
    <t>823-20</t>
  </si>
  <si>
    <t>PERKINS</t>
  </si>
  <si>
    <t>DARREN</t>
  </si>
  <si>
    <t>180-20</t>
  </si>
  <si>
    <t>187-20</t>
  </si>
  <si>
    <t>824-20</t>
  </si>
  <si>
    <t>189-20</t>
  </si>
  <si>
    <t>184-20</t>
  </si>
  <si>
    <t>191-20</t>
  </si>
  <si>
    <t>186-20</t>
  </si>
  <si>
    <t>904-20</t>
  </si>
  <si>
    <t>HILLS</t>
  </si>
  <si>
    <t>DUSTIN</t>
  </si>
  <si>
    <t>825-20</t>
  </si>
  <si>
    <t>188-20</t>
  </si>
  <si>
    <t>195-20</t>
  </si>
  <si>
    <t>190-20</t>
  </si>
  <si>
    <t>826-20</t>
  </si>
  <si>
    <t>197-20</t>
  </si>
  <si>
    <t>192-20</t>
  </si>
  <si>
    <t>199-20</t>
  </si>
  <si>
    <t>194-20</t>
  </si>
  <si>
    <t>196-20</t>
  </si>
  <si>
    <t>201-20</t>
  </si>
  <si>
    <t>829-20</t>
  </si>
  <si>
    <t>198-20</t>
  </si>
  <si>
    <t>203-20</t>
  </si>
  <si>
    <t>830-20</t>
  </si>
  <si>
    <t>205-20</t>
  </si>
  <si>
    <t>200-20</t>
  </si>
  <si>
    <t>207-20</t>
  </si>
  <si>
    <t>71-20</t>
  </si>
  <si>
    <t>202-20</t>
  </si>
  <si>
    <t>832-20</t>
  </si>
  <si>
    <t>70-20</t>
  </si>
  <si>
    <t>209-20</t>
  </si>
  <si>
    <t>204-20</t>
  </si>
  <si>
    <t>211-20</t>
  </si>
  <si>
    <t>206-20</t>
  </si>
  <si>
    <t>834-20</t>
  </si>
  <si>
    <t>213-20</t>
  </si>
  <si>
    <t>208-20</t>
  </si>
  <si>
    <t>74-20</t>
  </si>
  <si>
    <t>STORY</t>
  </si>
  <si>
    <t>SAMANTHA</t>
  </si>
  <si>
    <t>215-20</t>
  </si>
  <si>
    <t>210-20</t>
  </si>
  <si>
    <t>836-20</t>
  </si>
  <si>
    <t>73-20</t>
  </si>
  <si>
    <t>217-20</t>
  </si>
  <si>
    <t>837-20</t>
  </si>
  <si>
    <t>212-20</t>
  </si>
  <si>
    <t>77-20</t>
  </si>
  <si>
    <t>214-20</t>
  </si>
  <si>
    <t>219-20</t>
  </si>
  <si>
    <t>838-20</t>
  </si>
  <si>
    <t>303-20</t>
  </si>
  <si>
    <t>216-20</t>
  </si>
  <si>
    <t>839-20</t>
  </si>
  <si>
    <t>221-20</t>
  </si>
  <si>
    <t>305-20</t>
  </si>
  <si>
    <t>906-20</t>
  </si>
  <si>
    <t>220-20</t>
  </si>
  <si>
    <t>223-20</t>
  </si>
  <si>
    <t>KAMDEN</t>
  </si>
  <si>
    <t>840-20</t>
  </si>
  <si>
    <t>222-20</t>
  </si>
  <si>
    <t>227-20</t>
  </si>
  <si>
    <t>224-20</t>
  </si>
  <si>
    <t>843-20</t>
  </si>
  <si>
    <t>842-20</t>
  </si>
  <si>
    <t>226-20</t>
  </si>
  <si>
    <t>229-20</t>
  </si>
  <si>
    <t>231-20</t>
  </si>
  <si>
    <t>228-20</t>
  </si>
  <si>
    <t>844-20</t>
  </si>
  <si>
    <t>233-20</t>
  </si>
  <si>
    <t>230-20</t>
  </si>
  <si>
    <t>847-20</t>
  </si>
  <si>
    <t>235-20</t>
  </si>
  <si>
    <t>232-20</t>
  </si>
  <si>
    <t>234-20</t>
  </si>
  <si>
    <t>237-20</t>
  </si>
  <si>
    <t>239-20</t>
  </si>
  <si>
    <t>236-20</t>
  </si>
  <si>
    <t>238-20</t>
  </si>
  <si>
    <t>309-20</t>
  </si>
  <si>
    <t>311-20</t>
  </si>
  <si>
    <t>244-20</t>
  </si>
  <si>
    <t>313-20</t>
  </si>
  <si>
    <t>315-20</t>
  </si>
  <si>
    <t>302-21</t>
  </si>
  <si>
    <t>ISHMAEL</t>
  </si>
  <si>
    <t>JOSEPH</t>
  </si>
  <si>
    <t>204:761</t>
  </si>
  <si>
    <t>204:233327</t>
  </si>
  <si>
    <t>204:232683</t>
  </si>
  <si>
    <t>204:763</t>
  </si>
  <si>
    <t>204:233332</t>
  </si>
  <si>
    <t>204:232707</t>
  </si>
  <si>
    <t>204:699</t>
  </si>
  <si>
    <t>204:233008</t>
  </si>
  <si>
    <t>204:772</t>
  </si>
  <si>
    <t>204:233305</t>
  </si>
  <si>
    <t>204:233304</t>
  </si>
  <si>
    <t>204:233006</t>
  </si>
  <si>
    <t>204:233306</t>
  </si>
  <si>
    <t>204:743</t>
  </si>
  <si>
    <t>204:233314</t>
  </si>
  <si>
    <t>204:897</t>
  </si>
  <si>
    <t>204:232988</t>
  </si>
  <si>
    <t>204:141</t>
  </si>
  <si>
    <t>204:446</t>
  </si>
  <si>
    <t>204:207</t>
  </si>
  <si>
    <t>204:232998</t>
  </si>
  <si>
    <t>204:233307</t>
  </si>
  <si>
    <t>204:415</t>
  </si>
  <si>
    <t>204:232989</t>
  </si>
  <si>
    <t>204:233249</t>
  </si>
  <si>
    <t>204:232987</t>
  </si>
  <si>
    <t>204:500</t>
  </si>
  <si>
    <t>204:232965</t>
  </si>
  <si>
    <t>204:482</t>
  </si>
  <si>
    <t>204:233245</t>
  </si>
  <si>
    <t>204:232927</t>
  </si>
  <si>
    <t>204:180</t>
  </si>
  <si>
    <t>204:232966</t>
  </si>
  <si>
    <t>204:233268</t>
  </si>
  <si>
    <t>204:416</t>
  </si>
  <si>
    <t>204:218</t>
  </si>
  <si>
    <t>204:233329</t>
  </si>
  <si>
    <t>204:232996</t>
  </si>
  <si>
    <t>204:233272</t>
  </si>
  <si>
    <t>204:158</t>
  </si>
  <si>
    <t>204:233328</t>
  </si>
  <si>
    <t>204:132</t>
  </si>
  <si>
    <t>204:484</t>
  </si>
  <si>
    <t>204:233206</t>
  </si>
  <si>
    <t>204:232874</t>
  </si>
  <si>
    <t>204:233004</t>
  </si>
  <si>
    <t>204:426</t>
  </si>
  <si>
    <t>204:126833</t>
  </si>
  <si>
    <t>204:896</t>
  </si>
  <si>
    <t>204:233316</t>
  </si>
  <si>
    <t>204:233036</t>
  </si>
  <si>
    <t>204:118</t>
  </si>
  <si>
    <t>204:418</t>
  </si>
  <si>
    <t>204:233324</t>
  </si>
  <si>
    <t>204:233319</t>
  </si>
  <si>
    <t>204:1216</t>
  </si>
  <si>
    <t>204:233361</t>
  </si>
  <si>
    <t>204:233042</t>
  </si>
  <si>
    <t>204:886</t>
  </si>
  <si>
    <t>204:233236</t>
  </si>
  <si>
    <t>300:22586</t>
  </si>
  <si>
    <t>300:23167</t>
  </si>
  <si>
    <t>300:23008</t>
  </si>
  <si>
    <t>300:22198</t>
  </si>
  <si>
    <t>300:22843</t>
  </si>
  <si>
    <t>300:22085</t>
  </si>
  <si>
    <t>300:23306</t>
  </si>
  <si>
    <t>300:23310</t>
  </si>
  <si>
    <t>204:1083</t>
  </si>
  <si>
    <t>204:1210</t>
  </si>
  <si>
    <t>300:22047</t>
  </si>
  <si>
    <t>204:93</t>
  </si>
  <si>
    <t>204:395</t>
  </si>
  <si>
    <t>300:24252</t>
  </si>
  <si>
    <t>300:22013</t>
  </si>
  <si>
    <t>300:22130</t>
  </si>
  <si>
    <t>204:348</t>
  </si>
  <si>
    <t>300:24241</t>
  </si>
  <si>
    <t>300:23146</t>
  </si>
  <si>
    <t>204:142</t>
  </si>
  <si>
    <t>204:1496</t>
  </si>
  <si>
    <t>300:23346</t>
  </si>
  <si>
    <t>204:716</t>
  </si>
  <si>
    <t>300:23297</t>
  </si>
  <si>
    <t>300:23160</t>
  </si>
  <si>
    <t>300:58602</t>
  </si>
  <si>
    <t>204:1035</t>
  </si>
  <si>
    <t>300:58624</t>
  </si>
  <si>
    <t>204:785</t>
  </si>
  <si>
    <t>204:1007</t>
  </si>
  <si>
    <t>300:58950</t>
  </si>
  <si>
    <t>300:58626</t>
  </si>
  <si>
    <t>204:1069</t>
  </si>
  <si>
    <t>204:717</t>
  </si>
  <si>
    <t>300:58638</t>
  </si>
  <si>
    <t>204:1002</t>
  </si>
  <si>
    <t>300:58623</t>
  </si>
  <si>
    <t>204:712</t>
  </si>
  <si>
    <t>300:58954</t>
  </si>
  <si>
    <t>204:734</t>
  </si>
  <si>
    <t>204:1011</t>
  </si>
  <si>
    <t>300:58944</t>
  </si>
  <si>
    <t>300:58636</t>
  </si>
  <si>
    <t>204:722</t>
  </si>
  <si>
    <t>204:1013</t>
  </si>
  <si>
    <t>204:733</t>
  </si>
  <si>
    <t>204:708</t>
  </si>
  <si>
    <t>204:962</t>
  </si>
  <si>
    <t>300:58941</t>
  </si>
  <si>
    <t>204:955</t>
  </si>
  <si>
    <t>300:58986</t>
  </si>
  <si>
    <t>300:58670</t>
  </si>
  <si>
    <t>204:689</t>
  </si>
  <si>
    <t>204:974</t>
  </si>
  <si>
    <t>300:58935</t>
  </si>
  <si>
    <t>300:58617</t>
  </si>
  <si>
    <t>204:684</t>
  </si>
  <si>
    <t>204:964</t>
  </si>
  <si>
    <t>300:58984</t>
  </si>
  <si>
    <t>300:58676</t>
  </si>
  <si>
    <t>204:647</t>
  </si>
  <si>
    <t>204:930</t>
  </si>
  <si>
    <t>300:58835</t>
  </si>
  <si>
    <t>300:57339</t>
  </si>
  <si>
    <t>300:57337</t>
  </si>
  <si>
    <t>300:58530</t>
  </si>
  <si>
    <t>204:967</t>
  </si>
  <si>
    <t>204:687</t>
  </si>
  <si>
    <t>204:650</t>
  </si>
  <si>
    <t>204:979</t>
  </si>
  <si>
    <t>300:59011</t>
  </si>
  <si>
    <t>204:946</t>
  </si>
  <si>
    <t>300:59001</t>
  </si>
  <si>
    <t>300:29997</t>
  </si>
  <si>
    <t>300:23203</t>
  </si>
  <si>
    <t>204:736</t>
  </si>
  <si>
    <t>204:1286</t>
  </si>
  <si>
    <t>300:31278</t>
  </si>
  <si>
    <t>300:23143</t>
  </si>
  <si>
    <t>204:675</t>
  </si>
  <si>
    <t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t>
  </si>
  <si>
    <t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t>
  </si>
  <si>
    <t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t>
  </si>
  <si>
    <t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t>
  </si>
  <si>
    <t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t>
  </si>
  <si>
    <t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t>
  </si>
  <si>
    <t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t>
  </si>
  <si>
    <t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t>
  </si>
  <si>
    <t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t>
  </si>
  <si>
    <t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t>
  </si>
  <si>
    <t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t>
  </si>
  <si>
    <t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t>
  </si>
  <si>
    <t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t>
  </si>
  <si>
    <t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t>
  </si>
  <si>
    <t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t>
  </si>
  <si>
    <t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t>
  </si>
  <si>
    <t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t>
  </si>
  <si>
    <t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t>
  </si>
  <si>
    <t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t>
  </si>
  <si>
    <t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t>
  </si>
  <si>
    <t>Delayed by onboard in-route failure</t>
  </si>
  <si>
    <t>Could not init due to BPP never going above 83</t>
  </si>
  <si>
    <t>Windows update process momentarily froze messaging virtual machines</t>
  </si>
  <si>
    <t>http://stevetu21.github.io/eaglep3/load_kml.html?kml=http://rtdc.gmaps-snips.s3.amazonaws.com/f8dc8ce2-20cb-4d66-9885-3dc22e6e668d.kml</t>
  </si>
  <si>
    <t>See title</t>
  </si>
  <si>
    <t>RESTRICTED aspect</t>
  </si>
  <si>
    <t>DUS 28S STOP</t>
  </si>
  <si>
    <t>SYS :2016/12/20 11:34:03.066:ENFORCEMENT:Predictive Enforcement Action:  Target Number: 0000A002  Target Speed:  10.0  Current Speed:  21.7</t>
  </si>
  <si>
    <t>SYS :2016/12/20 11:34:03.186:ENFORCEMENT:Predictive Enforcement Action:  Target Number: 0000A002  Target Speed:  10.0  Current Speed:  21.7</t>
  </si>
  <si>
    <t>SYS :2016/12/20 11:34:03.203:ENFORCEMENT:Predictive Enforcement Action:  Target Number: 0000A002  Target Speed:  10.0  Current Speed:  21.7</t>
  </si>
  <si>
    <t>SYS :2016/12/20 12:51:46.673:ENFORCEMENT:Reactive Enforcement Action:  Target Number: 0000401B  Target Speed:   0.0  Current Speed:  13.8</t>
  </si>
  <si>
    <t>SYS :2016/12/20 12:51:46.679:ENFORCEMENT:Predictive Enforcement Action:  Target Number: 0000401A  Target Speed:   0.0  Current Speed:  13.8</t>
  </si>
  <si>
    <t>SYS :2016/12/20 12:52:12.142:ENFORCEMENT:Reactive Enforcement Action:  Target Number: 0000401A  Target Speed:   0.0  Current Speed:  13.3</t>
  </si>
  <si>
    <t>SYS :2016/12/20 12:52:12.159:ENFORCEMENT:Reactive Enforcement Action:  Target Number: 0000401A  Target Speed:   0.0  Current Speed:  13.3</t>
  </si>
  <si>
    <t>SYS :2016/12/20 13:22:31.397:ENFORCEMENT:Predictive Enforcement Action:  Target Number: 00006155  Target Speed:   0.0  Current Speed:  36.3</t>
  </si>
  <si>
    <t>SYS :2016/12/20 13:22:31.422:ENFORCEMENT:Predictive Enforcement Action:  Target Number: 00006153  Target Speed:   0.0  Current Speed:  36.3</t>
  </si>
  <si>
    <t>SYS :2016/12/20 13:22:32.449:ENFORCEMENT:Predictive Enforcement Action:  Target Number: 0000607B  Target Speed:   0.0  Current Speed:  36.3</t>
  </si>
  <si>
    <t>SYS :2016/12/20 13:34:42.073:ENFORCEMENT:Predictive Enforcement Action:  Target Number: 0000100E  Target Speed:   0.0  Current Speed:  13.4</t>
  </si>
  <si>
    <t>SYS :2016/12/20 14:03:06.533:ENFORCEMENT:Reactive Enforcement Action:  Target Number: 00010050  Target Speed:  70.0  Current Speed:  75.5</t>
  </si>
  <si>
    <t>SYS :2016/12/20 14:03:06.810:ENFORCEMENT:Reactive Enforcement Action:  Target Number: 0001004F  Target Speed:  70.0  Current Speed:  75.5</t>
  </si>
  <si>
    <t>SYS :2016/12/20 14:03:07.185:ENFORCEMENT:Reactive Enforcement Action:  Target Number: 00010050  Target Speed:  70.0  Current Speed:  75.5</t>
  </si>
  <si>
    <t>SYS :2016/12/20 14:41:59.561:ENFORCEMENT:Predictive Enforcement Action:  Target Number: 00001003  Target Speed:   0.0  Current Speed:   5.3</t>
  </si>
  <si>
    <t>SYS :2016/12/20 14:42:06.064:ENFORCEMENT:Predictive Enforcement Action:  Target Number: 00001003  Target Speed:   0.0  Current Speed:   3.4</t>
  </si>
  <si>
    <t>SYS :2016/12/20 14:42:06.188:ENFORCEMENT:Predictive Enforcement Action:  Target Number: 00001003  Target Speed:   0.0  Current Speed:   3.4</t>
  </si>
  <si>
    <t>SYS :2016/12/20 14:42:44.560:ENFORCEMENT:Predictive Enforcement Action:  Target Number: 00001003  Target Speed:   0.0  Current Speed:   1.7</t>
  </si>
  <si>
    <t>SYS :2016/12/20 14:42:48.064:ENFORCEMENT:Predictive Enforcement Action:  Target Number: 00001003  Target Speed:   0.0  Current Speed:   1.6</t>
  </si>
  <si>
    <t>SYS :2016/12/20 14:42:48.187:ENFORCEMENT:Predictive Enforcement Action:  Target Number: 00001003  Target Speed:   0.0  Current Speed:   1.6</t>
  </si>
  <si>
    <t>SYS :2016/12/20 15:03:22.071:ENFORCEMENT:Reactive Enforcement Action:  Target Number: 00010067  Target Speed:  70.0  Current Speed:  75.0</t>
  </si>
  <si>
    <t>SYS :2016/12/20 15:03:22.207:ENFORCEMENT:Reactive Enforcement Action:  Target Number: 00010067  Target Speed:  70.0  Current Speed:  75.0</t>
  </si>
  <si>
    <t>SYS :2016/12/20 15:03:23.193:ENFORCEMENT:Reactive Enforcement Action:  Target Number: 00010067  Target Speed:  70.0  Current Speed:  75.0</t>
  </si>
  <si>
    <t>SYS :2016/12/20 15:23:22.386:ENFORCEMENT:Predictive Enforcement Action:  Target Number: 0000618B  Target Speed:   0.0  Current Speed:  14.7</t>
  </si>
  <si>
    <t>SYS :2016/12/20 15:23:22.417:ENFORCEMENT:Predictive Enforcement Action:  Target Number: 00006198  Target Speed:   0.0  Current Speed:  14.7</t>
  </si>
  <si>
    <t>SYS :2016/12/20 15:23:22.448:ENFORCEMENT:Predictive Enforcement Action:  Target Number: 000060BF  Target Speed:   0.0  Current Speed:  14.7</t>
  </si>
  <si>
    <t>SYS :2016/12/20 15:52:15.021:ENFORCEMENT:Predictive Enforcement Action:  Target Number: 00001014  Target Speed:   0.0  Current Speed:   7.1</t>
  </si>
  <si>
    <t>SYS :2016/12/20 15:52:15.196:ENFORCEMENT:Predictive Enforcement Action:  Target Number: 00001014  Target Speed:   0.0  Current Speed:   7.1</t>
  </si>
  <si>
    <t>SYS :2016/12/20 16:03:47.015:ENFORCEMENT:Predictive Enforcement Action:  Target Number: 000101EF  Target Speed:  40.0  Current Speed:  46.9</t>
  </si>
  <si>
    <t>SYS :2016/12/20 16:03:47.232:ENFORCEMENT:Predictive Enforcement Action:  Target Number: 000101EF  Target Speed:  40.0  Current Speed:  46.7</t>
  </si>
  <si>
    <t>SYS :2016/12/20 16:06:53.097:ENFORCEMENT:Predictive Enforcement Action:  Target Number: 0000100A  Target Speed:   0.0  Current Speed:   6.5</t>
  </si>
  <si>
    <t>SYS :2016/12/20 16:06:53.675:ENFORCEMENT:Predictive Enforcement Action:  Target Number: 0000100A  Target Speed:   0.0  Current Speed:   6.4</t>
  </si>
  <si>
    <t>SYS :2016/12/20 16:06:53.811:ENFORCEMENT:Predictive Enforcement Action:  Target Number: 0000100A  Target Speed:   0.0  Current Speed:   6.5</t>
  </si>
  <si>
    <t>SYS :2016/12/20 16:50:29.171:ENFORCEMENT:Predictive Enforcement Action:  Target Number: 0000100C  Target Speed:   0.0  Current Speed:   8.9</t>
  </si>
  <si>
    <t>SYS :2016/12/20 16:53:28.021:ENFORCEMENT:Predictive Enforcement Action:  Target Number: 0001703E  Target Speed:  31.0  Current Speed:  47.7</t>
  </si>
  <si>
    <t>SYS :2016/12/20 16:53:28.381:ENFORCEMENT:Predictive Enforcement Action:  Target Number: 0001703E  Target Speed:  31.0  Current Speed:  47.7</t>
  </si>
  <si>
    <t>SYS :2016/12/20 16:53:29.098:ENFORCEMENT:Predictive Enforcement Action:  Target Number: 0001703E  Target Speed:  31.0  Current Speed:  47.7</t>
  </si>
  <si>
    <t>SYS :2016/12/20 17:25:46.719:ENFORCEMENT:Predictive Enforcement Action:  Target Number: 0001704E  Target Speed:  48.0  Current Speed:  53.4</t>
  </si>
  <si>
    <t>SYS :2016/12/20 17:25:46.729:ENFORCEMENT:Predictive Enforcement Action:  Target Number: 0001704E  Target Speed:  48.0  Current Speed:  53.6</t>
  </si>
  <si>
    <t>SYS :2016/12/20 17:25:46.832:ENFORCEMENT:Predictive Enforcement Action:  Target Number: 0001704E  Target Speed:  48.0  Current Speed:  53.6</t>
  </si>
  <si>
    <t>SYS :2016/12/20 18:05:38.151:ENFORCEMENT:Predictive Enforcement Action:  Target Number: 00001009  Target Speed:   0.0  Current Speed:   7.1</t>
  </si>
  <si>
    <t>SYS :2016/12/20 19:27:08.638:ENFORCEMENT:Reactive Enforcement Action:  Target Number: 000100B0  Target Speed:  30.0  Current Speed:  35.7</t>
  </si>
  <si>
    <t>SYS :2016/12/20 19:27:09.114:ENFORCEMENT:Reactive Enforcement Action:  Target Number: 0001019C  Target Speed:  30.0  Current Speed:  35.7</t>
  </si>
  <si>
    <t>SYS :2016/12/20 19:27:09.291:ENFORCEMENT:Reactive Enforcement Action:  Target Number: 00010199  Target Speed:  30.0  Current Speed:  35.7</t>
  </si>
  <si>
    <t>SYS :2016/12/20 20:10:11.310:ENFORCEMENT:Predictive Enforcement Action:  Target Number: 0001711E  Target Speed:  30.0  Current Speed:  35.1</t>
  </si>
  <si>
    <t>SYS :2016/12/20 20:10:12.037:ENFORCEMENT:Predictive Enforcement Action:  Target Number: 0001711E  Target Speed:  30.0  Current Speed:  35.1</t>
  </si>
  <si>
    <t>SYS :2016/12/20 20:10:12.479:ENFORCEMENT:Predictive Enforcement Action:  Target Number: 00017072  Target Speed:  30.0  Current Speed:  35.1</t>
  </si>
  <si>
    <t>SYS :2016/12/20 20:23:49.174:ENFORCEMENT:Predictive Enforcement Action:  Target Number: 00001011  Target Speed:   0.0  Current Speed:   7.9</t>
  </si>
  <si>
    <t>SYS :2016/12/20 20:26:06.119:ENFORCEMENT:Predictive Enforcement Action:  Target Number: 000101BA  Target Speed:  30.0  Current Speed:  49.2</t>
  </si>
  <si>
    <t>SYS :2016/12/20 20:26:06.650:ENFORCEMENT:Predictive Enforcement Action:  Target Number: 000100CE  Target Speed:  30.0  Current Speed:  49.2</t>
  </si>
  <si>
    <t>SYS :2016/12/20 20:26:07.301:ENFORCEMENT:Predictive Enforcement Action:  Target Number: 000101B7  Target Speed:  30.0  Current Speed:  49.2</t>
  </si>
  <si>
    <t>SYS :2016/12/20 21:07:48.686:ENFORCEMENT:Predictive Enforcement Action:  Target Number: 0001708C  Target Speed:  23.0  Current Speed:  44.6</t>
  </si>
  <si>
    <t>SYS :2016/12/20 21:07:49.105:ENFORCEMENT:Predictive Enforcement Action:  Target Number: 0001708C  Target Speed:  23.0  Current Speed:  44.6</t>
  </si>
  <si>
    <t>SYS :2016/12/20 21:44:59.012:ENFORCEMENT:Reactive Enforcement Action:  Target Number: 0001026F  Target Speed:  70.0  Current Speed:  75.1</t>
  </si>
  <si>
    <t>SYS :2016/12/20 21:44:59.233:ENFORCEMENT:Reactive Enforcement Action:  Target Number: 0001026C  Target Speed:  70.0  Current Speed:  75.1</t>
  </si>
  <si>
    <t>SYS :2016/12/20 22:25:35.996:ENFORCEMENT:Predictive Enforcement Action:  Target Number: 0000100F  Target Speed:   0.0  Current Speed:   4.6</t>
  </si>
  <si>
    <t>SYS :2016/12/20 22:25:36.083:ENFORCEMENT:Predictive Enforcement Action:  Target Number: 0000100F  Target Speed:   0.0  Current Speed:   4.6</t>
  </si>
  <si>
    <t>SYS :2016/12/20 22:25:36.376:ENFORCEMENT:Predictive Enforcement Action:  Target Number: 0000100F  Target Speed:   0.0  Current Speed:   4.6</t>
  </si>
  <si>
    <t>SYS :2016/12/20 22:30:33.627:ENFORCEMENT:Reactive Enforcement Action:  Target Number: 00010105  Target Speed:  40.0  Current Speed:  45.8</t>
  </si>
  <si>
    <t>SYS :2016/12/20 22:55:43.517:ENFORCEMENT:Predictive Enforcement Action:  Target Number: 00001011  Target Speed:   0.0  Current Speed:   6.4</t>
  </si>
  <si>
    <t>SYS :2016/12/20 22:55:43.794:ENFORCEMENT:Predictive Enforcement Action:  Target Number: 00001011  Target Speed:   0.0  Current Speed:   6.4</t>
  </si>
  <si>
    <t>SYS :2016/12/20 22:55:44.162:ENFORCEMENT:Predictive Enforcement Action:  Target Number: 00001011  Target Speed:   0.0  Current Speed:   6.4</t>
  </si>
  <si>
    <t>SYS :2016/12/20 22:57:28.041:ENFORCEMENT:Reactive Enforcement Action:  Target Number: 000101E3  Target Speed:  30.0  Current Speed:  35.3</t>
  </si>
  <si>
    <t>SYS :2016/12/20 22:57:28.373:ENFORCEMENT:Reactive Enforcement Action:  Target Number: 000101E3  Target Speed:  30.0  Current Speed:  35.3</t>
  </si>
  <si>
    <t>SYS :2016/12/20 22:57:29.071:ENFORCEMENT:Reactive Enforcement Action:  Target Number: 000100BD  Target Speed:  30.0  Current Speed:  35.3</t>
  </si>
  <si>
    <t>SYS :2016/12/20 23:25:18.406:ENFORCEMENT:Predictive Enforcement Action:  Target Number: 00001031  Target Speed:   0.0  Current Speed:   6.9</t>
  </si>
  <si>
    <t>SYS :2016/12/20 23:25:19.445:ENFORCEMENT:Predictive Enforcement Action:  Target Number: 0000101B  Target Speed:   0.0  Current Speed:   6.7</t>
  </si>
  <si>
    <t>SYS :2016/12/21 00:02:05.348:ENFORCEMENT:Predictive Enforcement Action:  Target Number: 00010206  Target Speed:  15.0  Current Speed:  28.1</t>
  </si>
  <si>
    <t>SYS :2016/12/21 00:02:06.027:ENFORCEMENT:Predictive Enforcement Action:  Target Number: 00010207  Target Speed:  15.0  Current Speed:  27.2</t>
  </si>
  <si>
    <t>SYS :2016/12/21 00:02:06.055:ENFORCEMENT:Predictive Enforcement Action:  Target Number: 000100E0  Target Speed:  15.0  Current Speed:  28.1</t>
  </si>
  <si>
    <t>SYS :2016/12/21 00:24:40.099:ENFORCEMENT:Predictive Enforcement Action:  Target Number: 0000A01F  Target Speed:  10.0  Current Speed:  15.1</t>
  </si>
  <si>
    <t>SYS :2016/12/21 00:24:40.108:ENFORCEMENT:Predictive Enforcement Action:  Target Number: 00017073  Target Speed:   9.0  Current Speed:  15.1</t>
  </si>
  <si>
    <t>SYS :2016/12/21 00:24:40.288:ENFORCEMENT:Predictive Enforcement Action:  Target Number: 0000A01F  Target Speed:  10.0  Current Speed:  15.1</t>
  </si>
  <si>
    <t>SYS :2016/12/21 00:24:40.297:ENFORCEMENT:Predictive Enforcement Action:  Target Number: 00017074  Target Speed:   9.0  Current Speed:  15.1</t>
  </si>
  <si>
    <t>SYS :2016/12/21 00:24:40.634:ENFORCEMENT:Predictive Enforcement Action:  Target Number: 0000A017  Target Speed:  10.0  Current Speed:  15.3</t>
  </si>
  <si>
    <t>SYS :2016/12/21 00:24:40.643:ENFORCEMENT:Predictive Enforcement Action:  Target Number: 0001700C  Target Speed:   9.0  Current Speed:  15.3</t>
  </si>
  <si>
    <t>SYS :2016/12/21 01:02:23.032:ENFORCEMENT:Predictive Enforcement Action:  Target Number: 0001021D  Target Speed:  15.0  Current Speed:  43.6</t>
  </si>
  <si>
    <t>SYS :2016/12/21 01:02:23.354:ENFORCEMENT:Predictive Enforcement Action:  Target Number: 0001021C  Target Speed:  15.0  Current Speed:  43.6</t>
  </si>
  <si>
    <t>SYS :2016/12/21 01:05:29.023:ENFORCEMENT:Predictive Enforcement Action:  Target Number: 00001038  Target Speed:   0.0  Current Speed:   9.0</t>
  </si>
  <si>
    <t>SYS :2016/12/21 01:05:29.055:ENFORCEMENT:Predictive Enforcement Action:  Target Number: 0000101A  Target Speed:   0.0  Current Speed:   9.0</t>
  </si>
  <si>
    <t>SYS :2016/12/21 01:05:29.344:ENFORCEMENT:Predictive Enforcement Action:  Target Number: 00001037  Target Speed:   0.0  Current Speed:   9.0</t>
  </si>
  <si>
    <t>SYS :2016/12/21 01:06:04.028:ENFORCEMENT:Predictive Enforcement Action:  Target Number: 00001038  Target Speed:   0.0  Current Speed:   5.0</t>
  </si>
  <si>
    <t>SYS :2016/12/21 01:06:04.055:ENFORCEMENT:Predictive Enforcement Action:  Target Number: 0000101A  Target Speed:   0.0  Current Speed:   5.0</t>
  </si>
  <si>
    <t>SYS :2016/12/21 01:06:04.346:ENFORCEMENT:Predictive Enforcement Action:  Target Number: 00001037  Target Speed:   0.0  Current Speed:   5.0</t>
  </si>
  <si>
    <t>SYS :2016/12/21 02:34:19.069:ENFORCEMENT:Predictive Enforcement Action:  Target Number: 00001034  Target Speed:   0.0  Current Speed:  10.0</t>
  </si>
  <si>
    <t>SYS :2016/12/21 02:34:19.256:ENFORCEMENT:Predictive Enforcement Action:  Target Number: 00001033  Target Speed:   0.0  Current Speed:  10.0</t>
  </si>
  <si>
    <t>SYS :2016/12/21 02:34:19.621:ENFORCEMENT:Predictive Enforcement Action:  Target Number: 00001025  Target Speed:   0.0  Current Speed:  10.0</t>
  </si>
  <si>
    <t>SYS :2016/12/21 02:34:54.067:ENFORCEMENT:Predictive Enforcement Action:  Target Number: 00001034  Target Speed:   0.0  Current Speed:   4.1</t>
  </si>
  <si>
    <t>SYS :2016/12/21 02:34:54.255:ENFORCEMENT:Predictive Enforcement Action:  Target Number: 00001033  Target Speed:   0.0  Current Speed:   4.1</t>
  </si>
  <si>
    <t>SYS :2016/12/21 02:34:57.617:ENFORCEMENT:Predictive Enforcement Action:  Target Number: 00001025  Target Speed:   0.0  Current Speed:   4.0</t>
  </si>
  <si>
    <t>SYS :2016/12/21 02:51:58.568:ENFORCEMENT:Predictive Enforcement Action:  Target Number: 0000100A  Target Speed:   0.0  Current Speed:   3.5</t>
  </si>
  <si>
    <t>SYS :2016/12/21 02:52:17.348:ENFORCEMENT:Predictive Enforcement Action:  Target Number: 0000100A  Target Speed:   0.0  Current Speed:   1.4</t>
  </si>
  <si>
    <t>SYS :2016/12/21 02:52:17.566:ENFORCEMENT:Predictive Enforcement Action:  Target Number: 0000100A  Target Speed:   0.0  Current Speed:   1.4</t>
  </si>
  <si>
    <t>SYS :2016/12/21 02:52:18.671:ENFORCEMENT:Predictive Enforcement Action:  Target Number: 0000100A  Target Speed:   0.0  Current Speed:   1.4</t>
  </si>
  <si>
    <t>SYS :2016/12/21 03:41:09.779:ENFORCEMENT:Predictive Enforcement Action:  Target Number: 00001014  Target Speed:   0.0  Current Speed:   4.3</t>
  </si>
  <si>
    <t>SYS :2016/12/21 03:41:09.977:ENFORCEMENT:Predictive Enforcement Action:  Target Number: 00001005  Target Speed:   0.0  Current Speed:   4.3</t>
  </si>
  <si>
    <t>SYS :2016/12/21 03:41:10.140:ENFORCEMENT:Predictive Enforcement Action:  Target Number: 00001014  Target Speed:   0.0  Current Speed:   4.3</t>
  </si>
  <si>
    <t>SYS :2016/12/21 04:34:49.130:ENFORCEMENT:Predictive Enforcement Action:  Target Number: 00001003  Target Speed:   0.0  Current Speed:   6.1</t>
  </si>
  <si>
    <t>SYS :2016/12/21 04:34:49.257:ENFORCEMENT:Predictive Enforcement Action:  Target Number: 0000103A  Target Speed:   0.0  Current Speed:   6.1</t>
  </si>
  <si>
    <t>SYS :2016/12/21 04:34:50.066:ENFORCEMENT:Predictive Enforcement Action:  Target Number: 0000103B  Target Speed:   0.0  Current Speed:   5.9</t>
  </si>
  <si>
    <t>SYS :2016/12/21 07:31:12.029:ENFORCEMENT:Predictive Enforcement Action:  Target Number: 00006565  Target Speed:   0.0  Current Speed:  53.4</t>
  </si>
  <si>
    <t>SYS :2016/12/21 07:31:12.463:ENFORCEMENT:Predictive Enforcement Action:  Target Number: 00006316  Target Speed:   0.0  Current Speed:  53.4</t>
  </si>
  <si>
    <t>SYS :2016/12/21 07:36:49.214:ENFORCEMENT:Predictive Enforcement Action:  Target Number: 000170BC  Target Speed:  13.0  Current Speed:  31.9</t>
  </si>
  <si>
    <t>SYS :2016/12/21 07:36:49.327:ENFORCEMENT:Predictive Enforcement Action:  Target Number: 000170B0  Target Speed:  13.0  Current Speed:  31.9</t>
  </si>
  <si>
    <t>SYS :2016/12/21 07:36:50.023:ENFORCEMENT:Predictive Enforcement Action:  Target Number: 000170BC  Target Speed:  13.0  Current Speed:  30.3</t>
  </si>
  <si>
    <t>SYS :2016/12/21 07:48:11.600:ENFORCEMENT:Predictive Enforcement Action:  Target Number: 0000A005  Target Speed:  10.0  Current Speed:  25.9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</si>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</sst>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169" fontId="20" fillId="0" borderId="0" xfId="4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f8dc8ce2-20cb-4d66-9885-3dc22e6e668d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0"/>
  <sheetViews>
    <sheetView tabSelected="1" topLeftCell="A5" zoomScaleNormal="100" workbookViewId="0">
      <selection activeCell="V103" sqref="V10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42724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COUNTIFS($N$13:$N$9360,"&gt;0",$AG$13:$AG$9360,I1)</f>
        <v>144</v>
      </c>
      <c r="K5" s="44"/>
      <c r="L5" s="44"/>
      <c r="M5" s="45">
        <f>AVERAGEIFS($N$13:$N$9360,$AG$13:$AG$9360,I1)</f>
        <v>39.133449074652162</v>
      </c>
      <c r="N5" s="43">
        <f t="array" ref="N5">MIN(IF($AG$13:$AG$9360=I1,IF(ISNUMBER($N$13:$N$9360),IF($N$13:$N$9360&gt;0,$N$13:$N$9360))))</f>
        <v>33.833333331858739</v>
      </c>
      <c r="O5" s="3">
        <f t="array" ref="O5">MAX(IF($AG$13:$AG$9360=I1,IF(ISNUMBER($N$13:$N$9360),IF($N$13:$N$9360&gt;0,$N$13:$N$9360))))</f>
        <v>52.183333336142823</v>
      </c>
      <c r="P5" s="2"/>
      <c r="R5" s="80" t="s">
        <v>17</v>
      </c>
      <c r="S5" s="55">
        <f>COUNTIFS($N$13:$N$9360,"&gt;0",$AG$13:$AG$9360,R1)</f>
        <v>45</v>
      </c>
      <c r="T5" s="44"/>
      <c r="U5" s="168"/>
      <c r="V5" s="45">
        <f>AVERAGEIFS($N$13:$N$9360,$AG$13:$AG$9360,R1)</f>
        <v>15.052962962305173</v>
      </c>
      <c r="W5" s="43">
        <f t="array" ref="W5">MIN(IF($AG$13:$AG$9360=R1,IF(ISNUMBER($N$13:$N$9360),IF($N$13:$N$9360&gt;0,$N$13:$N$9360))))</f>
        <v>12.650000002468005</v>
      </c>
      <c r="X5" s="173">
        <f t="array" ref="X5">MAX(IF($AG$13:$AG$9360=R1,IF(ISNUMBER($N$13:$N$9360),IF($N$13:$N$9360&gt;0,$N$13:$N$9360))))</f>
        <v>18.933333327295259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COUNT($O$13:$O$145)</f>
        <v>0</v>
      </c>
      <c r="K6" s="44"/>
      <c r="L6" s="44"/>
      <c r="M6" s="45">
        <f>IFERROR(AVERAGE($O$13:$O$145),0)</f>
        <v>0</v>
      </c>
      <c r="N6" s="43">
        <f>MIN($O$13:$O$145)</f>
        <v>0</v>
      </c>
      <c r="O6" s="3">
        <f>MAX($O$13:$O$145)</f>
        <v>0</v>
      </c>
      <c r="P6" s="2"/>
      <c r="R6" s="81" t="s">
        <v>43</v>
      </c>
      <c r="S6" s="55">
        <f>COUNT($O$13:$O$145)</f>
        <v>0</v>
      </c>
      <c r="T6" s="44"/>
      <c r="U6" s="168"/>
      <c r="V6" s="45">
        <f>IFERROR(AVERAGE($O$13:$O$145),0)</f>
        <v>0</v>
      </c>
      <c r="W6" s="43">
        <f>MIN($O$13:$O$145)</f>
        <v>0</v>
      </c>
      <c r="X6" s="173">
        <f>MAX($O$13:$O$145)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COUNTIFS($P$13:$P$9360,"&gt;0",$AG$13:$AG$9360,I1)</f>
        <v>0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COUNTIFS($P$13:$P$9360,"&gt;0",$AG$13:$AG$9360,R1)</f>
        <v>2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39.133449074652162</v>
      </c>
      <c r="N8" s="43">
        <f>N5</f>
        <v>33.833333331858739</v>
      </c>
      <c r="O8" s="3">
        <f>O5</f>
        <v>52.183333336142823</v>
      </c>
      <c r="P8" s="2"/>
      <c r="R8" s="80" t="s">
        <v>16</v>
      </c>
      <c r="S8" s="55">
        <f>S5</f>
        <v>45</v>
      </c>
      <c r="T8" s="44"/>
      <c r="U8" s="168"/>
      <c r="V8" s="45">
        <f>V5</f>
        <v>15.052962962305173</v>
      </c>
      <c r="W8" s="43">
        <f>W5</f>
        <v>12.650000002468005</v>
      </c>
      <c r="X8" s="173">
        <f>X5</f>
        <v>18.933333327295259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0.95744680851063835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496</v>
      </c>
      <c r="B13" s="7">
        <v>4020</v>
      </c>
      <c r="C13" s="22" t="s">
        <v>205</v>
      </c>
      <c r="D13" s="22" t="s">
        <v>698</v>
      </c>
      <c r="E13" s="13">
        <v>42724.130555555559</v>
      </c>
      <c r="F13" s="13">
        <v>42724.135706018518</v>
      </c>
      <c r="G13" s="7">
        <v>1</v>
      </c>
      <c r="H13" s="22" t="s">
        <v>699</v>
      </c>
      <c r="I13" s="13">
        <v>42724.162303240744</v>
      </c>
      <c r="J13" s="7">
        <v>0</v>
      </c>
      <c r="K13" s="109" t="str">
        <f t="shared" ref="K13:K76" si="0">IF(ISEVEN(B13),(B13-1)&amp;"/"&amp;B13,B13&amp;"/"&amp;(B13+1))</f>
        <v>4019/4020</v>
      </c>
      <c r="L13" s="22" t="str">
        <f>VLOOKUP(A13,'Trips&amp;Operators'!$C$1:$G$99999,5,FALSE)</f>
        <v>OUN ZACK</v>
      </c>
      <c r="M13" s="6">
        <f t="shared" ref="M13:M76" si="1">I13-F13</f>
        <v>2.6597222225973383E-2</v>
      </c>
      <c r="N13" s="7">
        <f t="shared" ref="N13:N44" si="2">24*60*SUM($M13:$M13)</f>
        <v>38.300000005401671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https://search-rtdc-monitor-bjffxe2xuh6vdkpspy63sjmuny.us-east-1.es.amazonaws.com/_plugin/kibana/#/discover/Steve-Slow-Train-Analysis-(2080s-and-2083s)?_g=(refreshInterval:(display:Off,section:0,value:0),time:(from:'2016-12-20 02:08:00-700',mode:absolute,to:'2016-12-20 04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" s="52" t="str">
        <f t="shared" ref="W13:W76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76" si="8">RIGHT(D13,LEN(D13)-4)/10000</f>
        <v>7.6100000000000001E-2</v>
      </c>
      <c r="Z13" s="67">
        <f t="shared" ref="Z13:Z44" si="9">RIGHT(H13,LEN(H13)-4)/10000</f>
        <v>23.332699999999999</v>
      </c>
      <c r="AA13" s="67">
        <f t="shared" ref="AA13:AA76" si="10">ABS(Z13-Y13)</f>
        <v>23.256599999999999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/stypes="app*4020*20161220*"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4020 --swversion DE.1.0.8.0 --startMP 204:761 --initTime 2016-12-20T03:08:00 --startdatetime 2016-12-20T03:15:25 --delay 1 --endMP 204:233327 --enddatetime 2016-12-20T03:53:43 --enforcementcount 0 &gt;&gt;C:\Users\stu\Documents\GitHub\eaglep3-reporting\EC\2016-12-20-refined-times.txt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{"issue":{"subject":"","project_id":79,"tracker_id":40,"status_id":1,"priority_id":2,"assigned_to_id":23,"start_date":"2016-12-20","description":"","custom_fields":[{"id":1,"name":"Subdivision","value":"EC"},{"id":4,"name":"Milepost","value":"23.3327"},{"id":17,"name":"Train ID","value":"101-20"},{"id":16,"name":"Locomotive ID","value":"4020"},{"id":130,"name":"Impact","value":""},{"id":150,"name":"Time of Event (Mountain Time)","value":"03:53:43"},{"id":151,"name":"Denver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459</v>
      </c>
      <c r="B14" s="7">
        <v>4043</v>
      </c>
      <c r="C14" s="22" t="s">
        <v>205</v>
      </c>
      <c r="D14" s="22" t="s">
        <v>700</v>
      </c>
      <c r="E14" s="13">
        <v>42724.168865740743</v>
      </c>
      <c r="F14" s="13">
        <v>42724.17459490741</v>
      </c>
      <c r="G14" s="7">
        <v>1</v>
      </c>
      <c r="H14" s="22" t="s">
        <v>350</v>
      </c>
      <c r="I14" s="13">
        <v>42724.202962962961</v>
      </c>
      <c r="J14" s="7">
        <v>0</v>
      </c>
      <c r="K14" s="109" t="str">
        <f t="shared" si="0"/>
        <v>4043/4044</v>
      </c>
      <c r="L14" s="22" t="str">
        <f>VLOOKUP(A14,'Trips&amp;Operators'!$C$1:$G$99999,5,FALSE)</f>
        <v>OUN ZACK</v>
      </c>
      <c r="M14" s="6">
        <f t="shared" si="1"/>
        <v>2.8368055551254656E-2</v>
      </c>
      <c r="N14" s="7">
        <f t="shared" si="2"/>
        <v>40.849999993806705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03:03:10-700',mode:absolute,to:'2016-12-20 05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23.2683</v>
      </c>
      <c r="Z14" s="67">
        <f t="shared" si="9"/>
        <v>1.5599999999999999E-2</v>
      </c>
      <c r="AA14" s="67">
        <f t="shared" si="10"/>
        <v>23.252700000000001</v>
      </c>
      <c r="AB14" s="64" t="str">
        <f>VLOOKUP(A14,Enforcements!$C$7:$K$19,8,0)</f>
        <v>Bulletin (2)</v>
      </c>
      <c r="AC14" s="60" t="str">
        <f>VLOOKUP(A14,Enforcements!$C$7:$E$19,3,0)</f>
        <v>TEMPORARY SPEED RESTRICTION</v>
      </c>
      <c r="AD14" s="61" t="str">
        <f t="shared" si="11"/>
        <v>0102-20</v>
      </c>
      <c r="AE14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14" s="88" t="str">
        <f t="shared" si="13"/>
        <v>"C:\Program Files (x86)\AstroGrep\AstroGrep.exe" /spath="%USERPROFILE%\AppData\Local\Temp\OnboardLogs" /stypes="app*4043*20161220*"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4043 --swversion DE.1.0.8.0 --startMP 204:232683 --initTime 2016-12-20T04:03:10 --startdatetime 2016-12-20T04:11:25 --delay 1 --endMP 204:156 --enddatetime 2016-12-20T04:52:16 --enforcementcount 0 &gt;&gt;C:\Users\stu\Documents\GitHub\eaglep3-reporting\EC\2016-12-20-refined-times.txt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ID","value":"102-20"},{"id":16,"name":"Locomotive ID","value":"4043"},{"id":130,"name":"Impact","value":""},{"id":150,"name":"Time of Event (Mountain Time)","value":"04:52:16"},{"id":151,"name":"Denver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498</v>
      </c>
      <c r="B15" s="7">
        <v>4018</v>
      </c>
      <c r="C15" s="22" t="s">
        <v>205</v>
      </c>
      <c r="D15" s="22" t="s">
        <v>701</v>
      </c>
      <c r="E15" s="13">
        <v>42724.146874999999</v>
      </c>
      <c r="F15" s="13">
        <v>42724.156446759262</v>
      </c>
      <c r="G15" s="7">
        <v>1</v>
      </c>
      <c r="H15" s="22" t="s">
        <v>702</v>
      </c>
      <c r="I15" s="13">
        <v>42724.180833333332</v>
      </c>
      <c r="J15" s="7">
        <v>0</v>
      </c>
      <c r="K15" s="109" t="str">
        <f t="shared" si="0"/>
        <v>4017/4018</v>
      </c>
      <c r="L15" s="22" t="str">
        <f>VLOOKUP(A15,'Trips&amp;Operators'!$C$1:$G$99999,5,FALSE)</f>
        <v>MAGEE KENYA</v>
      </c>
      <c r="M15" s="6">
        <f t="shared" si="1"/>
        <v>2.438657407037681E-2</v>
      </c>
      <c r="N15" s="7">
        <f t="shared" si="2"/>
        <v>35.116666661342606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02:31:30-700',mode:absolute,to:'2016-12-20 05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7.6300000000000007E-2</v>
      </c>
      <c r="Z15" s="67">
        <f t="shared" si="9"/>
        <v>23.333200000000001</v>
      </c>
      <c r="AA15" s="67">
        <f t="shared" si="10"/>
        <v>23.256900000000002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0103-20</v>
      </c>
      <c r="AE15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5" s="88" t="str">
        <f t="shared" si="13"/>
        <v>"C:\Program Files (x86)\AstroGrep\AstroGrep.exe" /spath="%USERPROFILE%\AppData\Local\Temp\OnboardLogs" /stypes="app*4018*20161220*"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103-20 --locoid 4018 --swversion DE.1.0.8.0 --startMP 204:763 --initTime 2016-12-20T03:31:30 --startdatetime 2016-12-20T03:45:17 --delay 1 --endMP 204:233332 --enddatetime 2016-12-20T04:20:24 --enforcementcount 0 &gt;&gt;C:\Users\stu\Documents\GitHub\eaglep3-reporting\EC\2016-12-20-refined-times.txt</v>
      </c>
      <c r="AI1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{"issue":{"subject":"","project_id":79,"tracker_id":40,"status_id":1,"priority_id":2,"assigned_to_id":23,"start_date":"2016-12-20","description":"","custom_fields":[{"id":1,"name":"Subdivision","value":"EC"},{"id":4,"name":"Milepost","value":"23.3332"},{"id":17,"name":"Train ID","value":"103-20"},{"id":16,"name":"Locomotive ID","value":"4018"},{"id":130,"name":"Impact","value":""},{"id":150,"name":"Time of Event (Mountain Time)","value":"04:20:24"},{"id":151,"name":"Denver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504</v>
      </c>
      <c r="B16" s="7">
        <v>4045</v>
      </c>
      <c r="C16" s="22" t="s">
        <v>205</v>
      </c>
      <c r="D16" s="22" t="s">
        <v>703</v>
      </c>
      <c r="E16" s="13">
        <v>42724.185717592591</v>
      </c>
      <c r="F16" s="13">
        <v>42724.195289351854</v>
      </c>
      <c r="G16" s="7">
        <v>1</v>
      </c>
      <c r="H16" s="22" t="s">
        <v>235</v>
      </c>
      <c r="I16" s="13">
        <v>42724.22210648148</v>
      </c>
      <c r="J16" s="7">
        <v>0</v>
      </c>
      <c r="K16" s="109" t="str">
        <f t="shared" si="0"/>
        <v>4045/4046</v>
      </c>
      <c r="L16" s="22" t="str">
        <f>VLOOKUP(A16,'Trips&amp;Operators'!$C$1:$G$99999,5,FALSE)</f>
        <v>MAGEE KENYA</v>
      </c>
      <c r="M16" s="6">
        <f t="shared" si="1"/>
        <v>2.6817129626579117E-2</v>
      </c>
      <c r="N16" s="7">
        <f t="shared" si="2"/>
        <v>38.616666662273929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03:27:26-700',mode:absolute,to:'2016-12-20 06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23.270700000000001</v>
      </c>
      <c r="Z16" s="67">
        <f t="shared" si="9"/>
        <v>1.4500000000000001E-2</v>
      </c>
      <c r="AA16" s="67">
        <f t="shared" si="10"/>
        <v>23.2562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0104-20</v>
      </c>
      <c r="AE16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6" s="88" t="str">
        <f t="shared" si="13"/>
        <v>"C:\Program Files (x86)\AstroGrep\AstroGrep.exe" /spath="%USERPROFILE%\AppData\Local\Temp\OnboardLogs" /stypes="app*4045*20161220*"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104-20 --locoid 4045 --swversion DE.1.0.8.0 --startMP 204:232707 --initTime 2016-12-20T04:27:26 --startdatetime 2016-12-20T04:41:13 --delay 1 --endMP 204:145 --enddatetime 2016-12-20T05:19:50 --enforcementcount 0 &gt;&gt;C:\Users\stu\Documents\GitHub\eaglep3-reporting\EC\2016-12-20-refined-times.txt</v>
      </c>
      <c r="AI1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ID","value":"104-20"},{"id":16,"name":"Locomotive ID","value":"4045"},{"id":130,"name":"Impact","value":""},{"id":150,"name":"Time of Event (Mountain Time)","value":"05:19:50"},{"id":151,"name":"Denver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501</v>
      </c>
      <c r="B17" s="7">
        <v>4051</v>
      </c>
      <c r="C17" s="22" t="s">
        <v>205</v>
      </c>
      <c r="D17" s="22" t="s">
        <v>704</v>
      </c>
      <c r="E17" s="13">
        <v>42724.17465277778</v>
      </c>
      <c r="F17" s="13">
        <v>42724.177384259259</v>
      </c>
      <c r="G17" s="7">
        <v>2</v>
      </c>
      <c r="H17" s="22" t="s">
        <v>307</v>
      </c>
      <c r="I17" s="13">
        <v>42724.203113425923</v>
      </c>
      <c r="J17" s="7">
        <v>0</v>
      </c>
      <c r="K17" s="109" t="str">
        <f t="shared" si="0"/>
        <v>4051/4052</v>
      </c>
      <c r="L17" s="22" t="str">
        <f>VLOOKUP(A17,'Trips&amp;Operators'!$C$1:$G$99999,5,FALSE)</f>
        <v>STARKS ANGELINA</v>
      </c>
      <c r="M17" s="6">
        <f t="shared" si="1"/>
        <v>2.5729166663950309E-2</v>
      </c>
      <c r="N17" s="7">
        <f t="shared" si="2"/>
        <v>37.049999996088445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03:11:30-700',mode:absolute,to:'2016-12-20 05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6.9900000000000004E-2</v>
      </c>
      <c r="Z17" s="67">
        <f t="shared" si="9"/>
        <v>23.329499999999999</v>
      </c>
      <c r="AA17" s="67">
        <f t="shared" si="10"/>
        <v>23.259599999999999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0105-20</v>
      </c>
      <c r="AE17" s="91" t="str">
        <f t="shared" si="12"/>
        <v>aws s3 cp s3://rtdc.mdm.uploadarchive.raw/RTDC4051/ "%USERPROFILE%\AppData\Local\Temp\OnboardLogs"\RTDC4051\2016-12-20 --exclude "*" --recursive --include "*20161220*" &amp; "%USERPROFILE%\Documents\GitHub\mrs-test-scripts\Headless Mode &amp; Sideloading\WalkAndUnGZ.bat" "%USERPROFILE%\AppData\Local\Temp\OnboardLogs"\RTDC4051\2016-12-20 &amp; aws s3 cp s3://rtdc.mdm.uploadarchive.raw/RTDC4051/ "%USERPROFILE%\AppData\Local\Temp\OnboardLogs"\RTDC4051\2016-12-21 --exclude "*" --recursive --include "*20161221*" &amp; "%USERPROFILE%\Documents\GitHub\mrs-test-scripts\Headless Mode &amp; Sideloading\WalkAndUnGZ.bat" "%USERPROFILE%\AppData\Local\Temp\OnboardLogs"\RTDC4051\2016-12-21</v>
      </c>
      <c r="AF17" s="88" t="str">
        <f t="shared" si="13"/>
        <v>"C:\Program Files (x86)\AstroGrep\AstroGrep.exe" /spath="%USERPROFILE%\AppData\Local\Temp\OnboardLogs" /stypes="app*4051*20161220*"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105-20 --locoid 4051 --swversion DE.1.0.8.0 --startMP 204:699 --initTime 2016-12-20T04:11:30 --startdatetime 2016-12-20T04:15:26 --delay 2 --endMP 204:233295 --enddatetime 2016-12-20T04:52:29 --enforcementcount 0 &gt;&gt;C:\Users\stu\Documents\GitHub\eaglep3-reporting\EC\2016-12-20-refined-times.txt</v>
      </c>
      <c r="AI1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ID","value":"105-20"},{"id":16,"name":"Locomotive ID","value":"4051"},{"id":130,"name":"Impact","value":""},{"id":150,"name":"Time of Event (Mountain Time)","value":"04:52:29"},{"id":151,"name":"Denver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509</v>
      </c>
      <c r="B18" s="7">
        <v>4032</v>
      </c>
      <c r="C18" s="22" t="s">
        <v>205</v>
      </c>
      <c r="D18" s="22" t="s">
        <v>397</v>
      </c>
      <c r="E18" s="13">
        <v>42724.214837962965</v>
      </c>
      <c r="F18" s="13">
        <v>42724.216180555559</v>
      </c>
      <c r="G18" s="7">
        <v>1</v>
      </c>
      <c r="H18" s="22" t="s">
        <v>211</v>
      </c>
      <c r="I18" s="13">
        <v>42724.244976851849</v>
      </c>
      <c r="J18" s="7">
        <v>0</v>
      </c>
      <c r="K18" s="109" t="str">
        <f t="shared" si="0"/>
        <v>4031/4032</v>
      </c>
      <c r="L18" s="22" t="str">
        <f>VLOOKUP(A18,'Trips&amp;Operators'!$C$1:$G$99999,5,FALSE)</f>
        <v>STARKS ANGELINA</v>
      </c>
      <c r="M18" s="6">
        <f t="shared" si="1"/>
        <v>2.8796296290238388E-2</v>
      </c>
      <c r="N18" s="7">
        <f t="shared" si="2"/>
        <v>41.466666657943279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04:09:22-700',mode:absolute,to:'2016-12-20 06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23.265799999999999</v>
      </c>
      <c r="Z18" s="67">
        <f t="shared" si="9"/>
        <v>1.4999999999999999E-2</v>
      </c>
      <c r="AA18" s="67">
        <f t="shared" si="10"/>
        <v>23.250799999999998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0106-20</v>
      </c>
      <c r="AE18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8" s="88" t="str">
        <f t="shared" si="13"/>
        <v>"C:\Program Files (x86)\AstroGrep\AstroGrep.exe" /spath="%USERPROFILE%\AppData\Local\Temp\OnboardLogs" /stypes="app*4032*20161220*"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106-20 --locoid 4032 --swversion DE.1.0.8.0 --startMP 204:232658 --initTime 2016-12-20T05:09:22 --startdatetime 2016-12-20T05:11:18 --delay 1 --endMP 204:150 --enddatetime 2016-12-20T05:52:46 --enforcementcount 0 &gt;&gt;C:\Users\stu\Documents\GitHub\eaglep3-reporting\EC\2016-12-20-refined-times.txt</v>
      </c>
      <c r="AI1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ID","value":"106-20"},{"id":16,"name":"Locomotive ID","value":"4032"},{"id":130,"name":"Impact","value":""},{"id":150,"name":"Time of Event (Mountain Time)","value":"05:52:46"},{"id":151,"name":"Denver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502</v>
      </c>
      <c r="B19" s="7">
        <v>4040</v>
      </c>
      <c r="C19" s="22" t="s">
        <v>205</v>
      </c>
      <c r="D19" s="22" t="s">
        <v>264</v>
      </c>
      <c r="E19" s="13">
        <v>42724.183333333334</v>
      </c>
      <c r="F19" s="13">
        <v>42724.187673611108</v>
      </c>
      <c r="G19" s="7">
        <v>1</v>
      </c>
      <c r="H19" s="22" t="s">
        <v>361</v>
      </c>
      <c r="I19" s="13">
        <v>42724.213159722225</v>
      </c>
      <c r="J19" s="7">
        <v>0</v>
      </c>
      <c r="K19" s="109" t="str">
        <f t="shared" si="0"/>
        <v>4039/4040</v>
      </c>
      <c r="L19" s="22" t="str">
        <f>VLOOKUP(A19,'Trips&amp;Operators'!$C$1:$G$99999,5,FALSE)</f>
        <v>DAVIDSON DAVID</v>
      </c>
      <c r="M19" s="6">
        <f t="shared" si="1"/>
        <v>2.5486111117061228E-2</v>
      </c>
      <c r="N19" s="7">
        <f t="shared" si="2"/>
        <v>36.700000008568168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03:24:00-700',mode:absolute,to:'2016-12-20 06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4.6699999999999998E-2</v>
      </c>
      <c r="Z19" s="67">
        <f t="shared" si="9"/>
        <v>23.329699999999999</v>
      </c>
      <c r="AA19" s="67">
        <f t="shared" si="10"/>
        <v>23.282999999999998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0107-20</v>
      </c>
      <c r="AE19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19" s="88" t="str">
        <f t="shared" si="13"/>
        <v>"C:\Program Files (x86)\AstroGrep\AstroGrep.exe" /spath="%USERPROFILE%\AppData\Local\Temp\OnboardLogs" /stypes="app*4040*20161220*"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107-20 --locoid 4040 --swversion DE.1.0.8.0 --startMP 204:467 --initTime 2016-12-20T04:24:00 --startdatetime 2016-12-20T04:30:15 --delay 1 --endMP 204:233297 --enddatetime 2016-12-20T05:06:57 --enforcementcount 0 &gt;&gt;C:\Users\stu\Documents\GitHub\eaglep3-reporting\EC\2016-12-20-refined-times.txt</v>
      </c>
      <c r="AI1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{"issue":{"subject":"","project_id":79,"tracker_id":40,"status_id":1,"priority_id":2,"assigned_to_id":23,"start_date":"2016-12-20","description":"","custom_fields":[{"id":1,"name":"Subdivision","value":"EC"},{"id":4,"name":"Milepost","value":"23.3297"},{"id":17,"name":"Train ID","value":"107-20"},{"id":16,"name":"Locomotive ID","value":"4040"},{"id":130,"name":"Impact","value":""},{"id":150,"name":"Time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510</v>
      </c>
      <c r="B20" s="7">
        <v>4039</v>
      </c>
      <c r="C20" s="22" t="s">
        <v>205</v>
      </c>
      <c r="D20" s="22" t="s">
        <v>310</v>
      </c>
      <c r="E20" s="13">
        <v>42724.217743055553</v>
      </c>
      <c r="F20" s="13">
        <v>42724.226550925923</v>
      </c>
      <c r="G20" s="7">
        <v>1</v>
      </c>
      <c r="H20" s="22" t="s">
        <v>407</v>
      </c>
      <c r="I20" s="13">
        <v>42724.256388888891</v>
      </c>
      <c r="J20" s="7">
        <v>0</v>
      </c>
      <c r="K20" s="109" t="str">
        <f t="shared" si="0"/>
        <v>4039/4040</v>
      </c>
      <c r="L20" s="22" t="str">
        <f>VLOOKUP(A20,'Trips&amp;Operators'!$C$1:$G$99999,5,FALSE)</f>
        <v>DAVIDSON DAVID</v>
      </c>
      <c r="M20" s="6">
        <f t="shared" si="1"/>
        <v>2.9837962967576459E-2</v>
      </c>
      <c r="N20" s="7">
        <f t="shared" si="2"/>
        <v>42.966666673310101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04:13:33-700',mode:absolute,to:'2016-12-20 07:09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23.297799999999999</v>
      </c>
      <c r="Z20" s="67">
        <f t="shared" si="9"/>
        <v>1.52E-2</v>
      </c>
      <c r="AA20" s="67">
        <f t="shared" si="10"/>
        <v>23.282599999999999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0108-20</v>
      </c>
      <c r="AE20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20" s="88" t="str">
        <f t="shared" si="13"/>
        <v>"C:\Program Files (x86)\AstroGrep\AstroGrep.exe" /spath="%USERPROFILE%\AppData\Local\Temp\OnboardLogs" /stypes="app*4039*20161220*"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108-20 --locoid 4039 --swversion DE.1.0.8.0 --startMP 204:232978 --initTime 2016-12-20T05:13:33 --startdatetime 2016-12-20T05:26:14 --delay 1 --endMP 204:152 --enddatetime 2016-12-20T06:09:12 --enforcementcount 0 &gt;&gt;C:\Users\stu\Documents\GitHub\eaglep3-reporting\EC\2016-12-20-refined-times.txt</v>
      </c>
      <c r="AI2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ID","value":"108-20"},{"id":16,"name":"Locomotive ID","value":"4039"},{"id":130,"name":"Impact","value":""},{"id":150,"name":"Time of Event (Mountain Time)","value":"06:09:12"},{"id":151,"name":"Denver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505</v>
      </c>
      <c r="B21" s="7">
        <v>4042</v>
      </c>
      <c r="C21" s="22" t="s">
        <v>205</v>
      </c>
      <c r="D21" s="22" t="s">
        <v>289</v>
      </c>
      <c r="E21" s="13">
        <v>42724.193819444445</v>
      </c>
      <c r="F21" s="13">
        <v>42724.198171296295</v>
      </c>
      <c r="G21" s="7">
        <v>1</v>
      </c>
      <c r="H21" s="22" t="s">
        <v>271</v>
      </c>
      <c r="I21" s="13">
        <v>42724.223680555559</v>
      </c>
      <c r="J21" s="7">
        <v>0</v>
      </c>
      <c r="K21" s="109" t="str">
        <f t="shared" si="0"/>
        <v>4041/4042</v>
      </c>
      <c r="L21" s="22" t="str">
        <f>VLOOKUP(A21,'Trips&amp;Operators'!$C$1:$G$99999,5,FALSE)</f>
        <v>DAVIS WENDY</v>
      </c>
      <c r="M21" s="6">
        <f t="shared" si="1"/>
        <v>2.5509259263344575E-2</v>
      </c>
      <c r="N21" s="7">
        <f t="shared" si="2"/>
        <v>36.733333339216188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03:39:06-700',mode:absolute,to:'2016-12-20 06:22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4.3999999999999997E-2</v>
      </c>
      <c r="Z21" s="67">
        <f t="shared" si="9"/>
        <v>23.3323</v>
      </c>
      <c r="AA21" s="67">
        <f t="shared" si="10"/>
        <v>23.2883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0109-20</v>
      </c>
      <c r="AE21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21" s="88" t="str">
        <f t="shared" si="13"/>
        <v>"C:\Program Files (x86)\AstroGrep\AstroGrep.exe" /spath="%USERPROFILE%\AppData\Local\Temp\OnboardLogs" /stypes="app*4042*20161220*"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109-20 --locoid 4042 --swversion DE.1.0.8.0 --startMP 204:440 --initTime 2016-12-20T04:39:06 --startdatetime 2016-12-20T04:45:22 --delay 1 --endMP 204:233323 --enddatetime 2016-12-20T05:22:06 --enforcementcount 0 &gt;&gt;C:\Users\stu\Documents\GitHub\eaglep3-reporting\EC\2016-12-20-refined-times.txt</v>
      </c>
      <c r="AI2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{"issue":{"subject":"","project_id":79,"tracker_id":40,"status_id":1,"priority_id":2,"assigned_to_id":23,"start_date":"2016-12-20","description":"","custom_fields":[{"id":1,"name":"Subdivision","value":"EC"},{"id":4,"name":"Milepost","value":"23.3323"},{"id":17,"name":"Train ID","value":"109-20"},{"id":16,"name":"Locomotive ID","value":"4042"},{"id":130,"name":"Impact","value":""},{"id":150,"name":"Time of Event (Mountain Time)","value":"05:22:06"},{"id":151,"name":"Denver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514</v>
      </c>
      <c r="B22" s="7">
        <v>4041</v>
      </c>
      <c r="C22" s="22" t="s">
        <v>205</v>
      </c>
      <c r="D22" s="22" t="s">
        <v>705</v>
      </c>
      <c r="E22" s="13">
        <v>42724.23400462963</v>
      </c>
      <c r="F22" s="13">
        <v>42724.236990740741</v>
      </c>
      <c r="G22" s="7">
        <v>1</v>
      </c>
      <c r="H22" s="22" t="s">
        <v>211</v>
      </c>
      <c r="I22" s="13">
        <v>42724.266504629632</v>
      </c>
      <c r="J22" s="7">
        <v>0</v>
      </c>
      <c r="K22" s="109" t="str">
        <f t="shared" si="0"/>
        <v>4041/4042</v>
      </c>
      <c r="L22" s="22" t="str">
        <f>VLOOKUP(A22,'Trips&amp;Operators'!$C$1:$G$99999,5,FALSE)</f>
        <v>DAVIS WENDY</v>
      </c>
      <c r="M22" s="6">
        <f t="shared" si="1"/>
        <v>2.9513888890505768E-2</v>
      </c>
      <c r="N22" s="7">
        <f t="shared" si="2"/>
        <v>42.500000002328306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04:36:58-700',mode:absolute,to:'2016-12-20 07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23.300799999999999</v>
      </c>
      <c r="Z22" s="67">
        <f t="shared" si="9"/>
        <v>1.4999999999999999E-2</v>
      </c>
      <c r="AA22" s="67">
        <f t="shared" si="10"/>
        <v>23.285799999999998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0110-20</v>
      </c>
      <c r="AE22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22" s="88" t="str">
        <f t="shared" si="13"/>
        <v>"C:\Program Files (x86)\AstroGrep\AstroGrep.exe" /spath="%USERPROFILE%\AppData\Local\Temp\OnboardLogs" /stypes="app*4041*20161220*"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110-20 --locoid 4041 --swversion DE.1.0.8.0 --startMP 204:233008 --initTime 2016-12-20T05:36:58 --startdatetime 2016-12-20T05:41:16 --delay 1 --endMP 204:150 --enddatetime 2016-12-20T06:23:46 --enforcementcount 0 &gt;&gt;C:\Users\stu\Documents\GitHub\eaglep3-reporting\EC\2016-12-20-refined-times.txt</v>
      </c>
      <c r="AI2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ID","value":"110-20"},{"id":16,"name":"Locomotive ID","value":"4041"},{"id":130,"name":"Impact","value":""},{"id":150,"name":"Time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507</v>
      </c>
      <c r="B23" s="7">
        <v>4020</v>
      </c>
      <c r="C23" s="22" t="s">
        <v>205</v>
      </c>
      <c r="D23" s="22" t="s">
        <v>706</v>
      </c>
      <c r="E23" s="13">
        <v>42724.208703703705</v>
      </c>
      <c r="F23" s="13">
        <v>42724.210428240738</v>
      </c>
      <c r="G23" s="7">
        <v>1</v>
      </c>
      <c r="H23" s="22" t="s">
        <v>707</v>
      </c>
      <c r="I23" s="13">
        <v>42724.235833333332</v>
      </c>
      <c r="J23" s="7">
        <v>0</v>
      </c>
      <c r="K23" s="109" t="str">
        <f t="shared" si="0"/>
        <v>4019/4020</v>
      </c>
      <c r="L23" s="22" t="str">
        <f>VLOOKUP(A23,'Trips&amp;Operators'!$C$1:$G$99999,5,FALSE)</f>
        <v>DUNCAN SHEILA</v>
      </c>
      <c r="M23" s="6">
        <f t="shared" si="1"/>
        <v>2.5405092594155576E-2</v>
      </c>
      <c r="N23" s="7">
        <f t="shared" si="2"/>
        <v>36.58333333558403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04:00:32-700',mode:absolute,to:'2016-12-20 06:39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7.7200000000000005E-2</v>
      </c>
      <c r="Z23" s="67">
        <f t="shared" si="9"/>
        <v>23.330500000000001</v>
      </c>
      <c r="AA23" s="67">
        <f t="shared" si="10"/>
        <v>23.253299999999999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0111-20</v>
      </c>
      <c r="AE23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23" s="88" t="str">
        <f t="shared" si="13"/>
        <v>"C:\Program Files (x86)\AstroGrep\AstroGrep.exe" /spath="%USERPROFILE%\AppData\Local\Temp\OnboardLogs" /stypes="app*4020*20161220*"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111-20 --locoid 4020 --swversion DE.1.0.8.0 --startMP 204:772 --initTime 2016-12-20T05:00:32 --startdatetime 2016-12-20T05:03:01 --delay 1 --endMP 204:233305 --enddatetime 2016-12-20T05:39:36 --enforcementcount 0 &gt;&gt;C:\Users\stu\Documents\GitHub\eaglep3-reporting\EC\2016-12-20-refined-times.txt</v>
      </c>
      <c r="AI2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{"issue":{"subject":"","project_id":79,"tracker_id":40,"status_id":1,"priority_id":2,"assigned_to_id":23,"start_date":"2016-12-20","description":"","custom_fields":[{"id":1,"name":"Subdivision","value":"EC"},{"id":4,"name":"Milepost","value":"23.3305"},{"id":17,"name":"Train ID","value":"111-20"},{"id":16,"name":"Locomotive ID","value":"4020"},{"id":130,"name":"Impact","value":""},{"id":150,"name":"Time of Event (Mountain Time)","value":"05:39:36"},{"id":151,"name":"Denver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515</v>
      </c>
      <c r="B24" s="7">
        <v>4019</v>
      </c>
      <c r="C24" s="22" t="s">
        <v>205</v>
      </c>
      <c r="D24" s="22" t="s">
        <v>310</v>
      </c>
      <c r="E24" s="13">
        <v>42724.243506944447</v>
      </c>
      <c r="F24" s="13">
        <v>42724.247499999998</v>
      </c>
      <c r="G24" s="7">
        <v>2</v>
      </c>
      <c r="H24" s="22" t="s">
        <v>235</v>
      </c>
      <c r="I24" s="13">
        <v>42724.276006944441</v>
      </c>
      <c r="J24" s="7">
        <v>0</v>
      </c>
      <c r="K24" s="109" t="str">
        <f t="shared" si="0"/>
        <v>4019/4020</v>
      </c>
      <c r="L24" s="22" t="str">
        <f>VLOOKUP(A24,'Trips&amp;Operators'!$C$1:$G$99999,5,FALSE)</f>
        <v>DUNCAN SHEILA</v>
      </c>
      <c r="M24" s="6">
        <f t="shared" si="1"/>
        <v>2.8506944443506654E-2</v>
      </c>
      <c r="N24" s="7">
        <f t="shared" si="2"/>
        <v>41.049999998649582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04:50:39-700',mode:absolute,to:'2016-12-20 07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23.297799999999999</v>
      </c>
      <c r="Z24" s="67">
        <f t="shared" si="9"/>
        <v>1.4500000000000001E-2</v>
      </c>
      <c r="AA24" s="67">
        <f t="shared" si="10"/>
        <v>23.283299999999997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0112-20</v>
      </c>
      <c r="AE24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24" s="88" t="str">
        <f t="shared" si="13"/>
        <v>"C:\Program Files (x86)\AstroGrep\AstroGrep.exe" /spath="%USERPROFILE%\AppData\Local\Temp\OnboardLogs" /stypes="app*4019*20161220*"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112-20 --locoid 4019 --swversion DE.1.0.8.0 --startMP 204:232978 --initTime 2016-12-20T05:50:39 --startdatetime 2016-12-20T05:56:24 --delay 2 --endMP 204:145 --enddatetime 2016-12-20T06:37:27 --enforcementcount 0 &gt;&gt;C:\Users\stu\Documents\GitHub\eaglep3-reporting\EC\2016-12-20-refined-times.txt</v>
      </c>
      <c r="AI2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ID","value":"112-20"},{"id":16,"name":"Locomotive ID","value":"4019"},{"id":130,"name":"Impact","value":""},{"id":150,"name":"Time of Event (Mountain Time)","value":"06:37:27"},{"id":151,"name":"Denver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460</v>
      </c>
      <c r="B25" s="7">
        <v>4044</v>
      </c>
      <c r="C25" s="22" t="s">
        <v>205</v>
      </c>
      <c r="D25" s="22" t="s">
        <v>289</v>
      </c>
      <c r="E25" s="13">
        <v>42724.211238425924</v>
      </c>
      <c r="F25" s="13">
        <v>42724.2190162037</v>
      </c>
      <c r="G25" s="7">
        <v>1</v>
      </c>
      <c r="H25" s="22" t="s">
        <v>708</v>
      </c>
      <c r="I25" s="13">
        <v>42724.245972222219</v>
      </c>
      <c r="J25" s="7">
        <v>0</v>
      </c>
      <c r="K25" s="109" t="str">
        <f t="shared" si="0"/>
        <v>4043/4044</v>
      </c>
      <c r="L25" s="22" t="str">
        <f>VLOOKUP(A25,'Trips&amp;Operators'!$C$1:$G$99999,5,FALSE)</f>
        <v>OUN ZACK</v>
      </c>
      <c r="M25" s="6">
        <f t="shared" si="1"/>
        <v>2.6956018518831115E-2</v>
      </c>
      <c r="N25" s="7">
        <f t="shared" si="2"/>
        <v>38.816666667116806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04:04:11-700',mode:absolute,to:'2016-12-20 06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4.3999999999999997E-2</v>
      </c>
      <c r="Z25" s="67">
        <f t="shared" si="9"/>
        <v>23.330400000000001</v>
      </c>
      <c r="AA25" s="67">
        <f t="shared" si="10"/>
        <v>23.2864</v>
      </c>
      <c r="AB25" s="64" t="str">
        <f>VLOOKUP(A25,Enforcements!$C$7:$K$19,8,0)</f>
        <v>Track device (7)</v>
      </c>
      <c r="AC25" s="60" t="str">
        <f>VLOOKUP(A25,Enforcements!$C$7:$E$19,3,0)</f>
        <v>SWITCH UNKNOWN</v>
      </c>
      <c r="AD25" s="61" t="str">
        <f t="shared" si="11"/>
        <v>0113-20</v>
      </c>
      <c r="AE25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25" s="88" t="str">
        <f t="shared" si="13"/>
        <v>"C:\Program Files (x86)\AstroGrep\AstroGrep.exe" /spath="%USERPROFILE%\AppData\Local\Temp\OnboardLogs" /stypes="app*4044*20161220*"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113-20 --locoid 4044 --swversion DE.1.0.8.0 --startMP 204:440 --initTime 2016-12-20T05:04:11 --startdatetime 2016-12-20T05:15:23 --delay 1 --endMP 204:233304 --enddatetime 2016-12-20T05:54:12 --enforcementcount 0 &gt;&gt;C:\Users\stu\Documents\GitHub\eaglep3-reporting\EC\2016-12-20-refined-times.txt</v>
      </c>
      <c r="AI2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{"issue":{"subject":"","project_id":79,"tracker_id":40,"status_id":1,"priority_id":2,"assigned_to_id":23,"start_date":"2016-12-20","description":"","custom_fields":[{"id":1,"name":"Subdivision","value":"EC"},{"id":4,"name":"Milepost","value":"23.3304"},{"id":17,"name":"Train ID","value":"113-20"},{"id":16,"name":"Locomotive ID","value":"4044"},{"id":130,"name":"Impact","value":""},{"id":150,"name":"Time of Event (Mountain Time)","value":"05:54:12"},{"id":151,"name":"Denver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520</v>
      </c>
      <c r="B26" s="7">
        <v>4043</v>
      </c>
      <c r="C26" s="22" t="s">
        <v>205</v>
      </c>
      <c r="D26" s="22" t="s">
        <v>709</v>
      </c>
      <c r="E26" s="13">
        <v>42724.253738425927</v>
      </c>
      <c r="F26" s="13">
        <v>42724.257870370369</v>
      </c>
      <c r="G26" s="7">
        <v>1</v>
      </c>
      <c r="H26" s="22" t="s">
        <v>235</v>
      </c>
      <c r="I26" s="13">
        <v>42724.285914351851</v>
      </c>
      <c r="J26" s="7">
        <v>0</v>
      </c>
      <c r="K26" s="109" t="str">
        <f t="shared" si="0"/>
        <v>4043/4044</v>
      </c>
      <c r="L26" s="22" t="str">
        <f>VLOOKUP(A26,'Trips&amp;Operators'!$C$1:$G$99999,5,FALSE)</f>
        <v>OUN ZACK</v>
      </c>
      <c r="M26" s="6">
        <f t="shared" si="1"/>
        <v>2.8043981481459923E-2</v>
      </c>
      <c r="N26" s="7">
        <f t="shared" si="2"/>
        <v>40.383333333302289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05:05:23-700',mode:absolute,to:'2016-12-20 07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23.300599999999999</v>
      </c>
      <c r="Z26" s="67">
        <f t="shared" si="9"/>
        <v>1.4500000000000001E-2</v>
      </c>
      <c r="AA26" s="67">
        <f t="shared" si="10"/>
        <v>23.286099999999998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0114-20</v>
      </c>
      <c r="AE26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26" s="88" t="str">
        <f t="shared" si="13"/>
        <v>"C:\Program Files (x86)\AstroGrep\AstroGrep.exe" /spath="%USERPROFILE%\AppData\Local\Temp\OnboardLogs" /stypes="app*4043*20161220*"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114-20 --locoid 4043 --swversion DE.1.0.8.0 --startMP 204:233006 --initTime 2016-12-20T06:05:23 --startdatetime 2016-12-20T06:11:20 --delay 1 --endMP 204:145 --enddatetime 2016-12-20T06:51:43 --enforcementcount 0 &gt;&gt;C:\Users\stu\Documents\GitHub\eaglep3-reporting\EC\2016-12-20-refined-times.txt</v>
      </c>
      <c r="AI2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ID","value":"114-20"},{"id":16,"name":"Locomotive ID","value":"4043"},{"id":130,"name":"Impact","value":""},{"id":150,"name":"Time of Event (Mountain Time)","value":"06:51:43"},{"id":151,"name":"Denver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511</v>
      </c>
      <c r="B27" s="7">
        <v>4018</v>
      </c>
      <c r="C27" s="22" t="s">
        <v>205</v>
      </c>
      <c r="D27" s="22" t="s">
        <v>698</v>
      </c>
      <c r="E27" s="13">
        <v>42724.225127314814</v>
      </c>
      <c r="F27" s="13">
        <v>42724.229456018518</v>
      </c>
      <c r="G27" s="7">
        <v>2</v>
      </c>
      <c r="H27" s="22" t="s">
        <v>292</v>
      </c>
      <c r="I27" s="13">
        <v>42724.255370370367</v>
      </c>
      <c r="J27" s="7">
        <v>0</v>
      </c>
      <c r="K27" s="109" t="str">
        <f t="shared" si="0"/>
        <v>4017/4018</v>
      </c>
      <c r="L27" s="22" t="str">
        <f>VLOOKUP(A27,'Trips&amp;Operators'!$C$1:$G$99999,5,FALSE)</f>
        <v>SIMONEAUX TERA</v>
      </c>
      <c r="M27" s="6">
        <f t="shared" si="1"/>
        <v>2.5914351848769002E-2</v>
      </c>
      <c r="N27" s="7">
        <f t="shared" si="2"/>
        <v>37.316666662227362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04:24:11-700',mode:absolute,to:'2016-12-20 07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7.6100000000000001E-2</v>
      </c>
      <c r="Z27" s="67">
        <f t="shared" si="9"/>
        <v>23.329899999999999</v>
      </c>
      <c r="AA27" s="67">
        <f t="shared" si="10"/>
        <v>23.253799999999998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0115-20</v>
      </c>
      <c r="AE27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27" s="88" t="str">
        <f t="shared" si="13"/>
        <v>"C:\Program Files (x86)\AstroGrep\AstroGrep.exe" /spath="%USERPROFILE%\AppData\Local\Temp\OnboardLogs" /stypes="app*4018*20161220*"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115-20 --locoid 4018 --swversion DE.1.0.8.0 --startMP 204:761 --initTime 2016-12-20T05:24:11 --startdatetime 2016-12-20T05:30:25 --delay 2 --endMP 204:233299 --enddatetime 2016-12-20T06:07:44 --enforcementcount 0 &gt;&gt;C:\Users\stu\Documents\GitHub\eaglep3-reporting\EC\2016-12-20-refined-times.txt</v>
      </c>
      <c r="AI2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{"issue":{"subject":"","project_id":79,"tracker_id":40,"status_id":1,"priority_id":2,"assigned_to_id":23,"start_date":"2016-12-20","description":"","custom_fields":[{"id":1,"name":"Subdivision","value":"EC"},{"id":4,"name":"Milepost","value":"23.3299"},{"id":17,"name":"Train ID","value":"115-20"},{"id":16,"name":"Locomotive ID","value":"4018"},{"id":130,"name":"Impact","value":""},{"id":150,"name":"Time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521</v>
      </c>
      <c r="B28" s="7">
        <v>4017</v>
      </c>
      <c r="C28" s="22" t="s">
        <v>205</v>
      </c>
      <c r="D28" s="22" t="s">
        <v>288</v>
      </c>
      <c r="E28" s="13">
        <v>42724.257326388892</v>
      </c>
      <c r="F28" s="13">
        <v>42724.268240740741</v>
      </c>
      <c r="G28" s="7">
        <v>1</v>
      </c>
      <c r="H28" s="22" t="s">
        <v>414</v>
      </c>
      <c r="I28" s="13">
        <v>42724.295682870368</v>
      </c>
      <c r="J28" s="7">
        <v>0</v>
      </c>
      <c r="K28" s="109" t="str">
        <f t="shared" si="0"/>
        <v>4017/4018</v>
      </c>
      <c r="L28" s="22" t="str">
        <f>VLOOKUP(A28,'Trips&amp;Operators'!$C$1:$G$99999,5,FALSE)</f>
        <v>SIMONEAUX TERA</v>
      </c>
      <c r="M28" s="6">
        <f t="shared" si="1"/>
        <v>2.7442129627161194E-2</v>
      </c>
      <c r="N28" s="7">
        <f t="shared" si="2"/>
        <v>39.516666663112119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05:10:33-700',mode:absolute,to:'2016-12-20 08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1.67E-2</v>
      </c>
      <c r="AA28" s="67">
        <f t="shared" si="10"/>
        <v>23.2819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0116-20</v>
      </c>
      <c r="AE28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28" s="88" t="str">
        <f t="shared" si="13"/>
        <v>"C:\Program Files (x86)\AstroGrep\AstroGrep.exe" /spath="%USERPROFILE%\AppData\Local\Temp\OnboardLogs" /stypes="app*4017*20161220*"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116-20 --locoid 4017 --swversion DE.1.0.8.0 --startMP 204:232986 --initTime 2016-12-20T06:10:33 --startdatetime 2016-12-20T06:26:16 --delay 1 --endMP 204:167 --enddatetime 2016-12-20T07:05:47 --enforcementcount 0 &gt;&gt;C:\Users\stu\Documents\GitHub\eaglep3-reporting\EC\2016-12-20-refined-times.txt</v>
      </c>
      <c r="AI2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{"issue":{"subject":"","project_id":79,"tracker_id":40,"status_id":1,"priority_id":2,"assigned_to_id":23,"start_date":"2016-12-20","description":"","custom_fields":[{"id":1,"name":"Subdivision","value":"EC"},{"id":4,"name":"Milepost","value":"0.0167"},{"id":17,"name":"Train ID","value":"116-20"},{"id":16,"name":"Locomotive ID","value":"4017"},{"id":130,"name":"Impact","value":""},{"id":150,"name":"Time of Event (Mountain Time)","value":"07:05:47"},{"id":151,"name":"Denver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512</v>
      </c>
      <c r="B29" s="7">
        <v>4046</v>
      </c>
      <c r="C29" s="22" t="s">
        <v>205</v>
      </c>
      <c r="D29" s="22" t="s">
        <v>278</v>
      </c>
      <c r="E29" s="13">
        <v>42724.225648148145</v>
      </c>
      <c r="F29" s="13">
        <v>42724.239861111113</v>
      </c>
      <c r="G29" s="7">
        <v>1</v>
      </c>
      <c r="H29" s="22" t="s">
        <v>710</v>
      </c>
      <c r="I29" s="13">
        <v>42724.264722222222</v>
      </c>
      <c r="J29" s="7">
        <v>0</v>
      </c>
      <c r="K29" s="109" t="str">
        <f t="shared" si="0"/>
        <v>4045/4046</v>
      </c>
      <c r="L29" s="22" t="str">
        <f>VLOOKUP(A29,'Trips&amp;Operators'!$C$1:$G$99999,5,FALSE)</f>
        <v>MAGEE KENYA</v>
      </c>
      <c r="M29" s="6">
        <f t="shared" si="1"/>
        <v>2.4861111109203193E-2</v>
      </c>
      <c r="N29" s="7">
        <f t="shared" si="2"/>
        <v>35.799999997252598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04:24:56-700',mode:absolute,to:'2016-12-20 07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4.4400000000000002E-2</v>
      </c>
      <c r="Z29" s="67">
        <f t="shared" si="9"/>
        <v>23.3306</v>
      </c>
      <c r="AA29" s="67">
        <f t="shared" si="10"/>
        <v>23.286200000000001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0117-20</v>
      </c>
      <c r="AE29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29" s="88" t="str">
        <f t="shared" si="13"/>
        <v>"C:\Program Files (x86)\AstroGrep\AstroGrep.exe" /spath="%USERPROFILE%\AppData\Local\Temp\OnboardLogs" /stypes="app*4046*20161220*"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117-20 --locoid 4046 --swversion DE.1.0.8.0 --startMP 204:444 --initTime 2016-12-20T05:24:56 --startdatetime 2016-12-20T05:45:24 --delay 1 --endMP 204:233306 --enddatetime 2016-12-20T06:21:12 --enforcementcount 0 &gt;&gt;C:\Users\stu\Documents\GitHub\eaglep3-reporting\EC\2016-12-20-refined-times.txt</v>
      </c>
      <c r="AI2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{"issue":{"subject":"","project_id":79,"tracker_id":40,"status_id":1,"priority_id":2,"assigned_to_id":23,"start_date":"2016-12-20","description":"","custom_fields":[{"id":1,"name":"Subdivision","value":"EC"},{"id":4,"name":"Milepost","value":"23.3306"},{"id":17,"name":"Train ID","value":"117-20"},{"id":16,"name":"Locomotive ID","value":"4046"},{"id":130,"name":"Impact","value":""},{"id":150,"name":"Time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524</v>
      </c>
      <c r="B30" s="7">
        <v>4045</v>
      </c>
      <c r="C30" s="22" t="s">
        <v>205</v>
      </c>
      <c r="D30" s="22" t="s">
        <v>256</v>
      </c>
      <c r="E30" s="13">
        <v>42724.266157407408</v>
      </c>
      <c r="F30" s="13">
        <v>42724.278657407405</v>
      </c>
      <c r="G30" s="7">
        <v>11</v>
      </c>
      <c r="H30" s="22" t="s">
        <v>224</v>
      </c>
      <c r="I30" s="13">
        <v>42724.30678240741</v>
      </c>
      <c r="J30" s="7">
        <v>0</v>
      </c>
      <c r="K30" s="109" t="str">
        <f t="shared" si="0"/>
        <v>4045/4046</v>
      </c>
      <c r="L30" s="22" t="str">
        <f>VLOOKUP(A30,'Trips&amp;Operators'!$C$1:$G$99999,5,FALSE)</f>
        <v>MAGEE KENYA</v>
      </c>
      <c r="M30" s="6">
        <f t="shared" si="1"/>
        <v>2.8125000004365575E-2</v>
      </c>
      <c r="N30" s="7">
        <f t="shared" si="2"/>
        <v>40.500000006286427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05:23:16-700',mode:absolute,to:'2016-12-20 08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23.299399999999999</v>
      </c>
      <c r="Z30" s="67">
        <f t="shared" si="9"/>
        <v>1.54E-2</v>
      </c>
      <c r="AA30" s="67">
        <f t="shared" si="10"/>
        <v>23.283999999999999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0118-20</v>
      </c>
      <c r="AE30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30" s="88" t="str">
        <f t="shared" si="13"/>
        <v>"C:\Program Files (x86)\AstroGrep\AstroGrep.exe" /spath="%USERPROFILE%\AppData\Local\Temp\OnboardLogs" /stypes="app*4045*20161220*"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118-20 --locoid 4045 --swversion DE.1.0.8.0 --startMP 204:232994 --initTime 2016-12-20T06:23:16 --startdatetime 2016-12-20T06:41:16 --delay 11 --endMP 204:154 --enddatetime 2016-12-20T07:21:46 --enforcementcount 0 &gt;&gt;C:\Users\stu\Documents\GitHub\eaglep3-reporting\EC\2016-12-20-refined-times.txt</v>
      </c>
      <c r="AI3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{"issue":{"subject":"","project_id":79,"tracker_id":40,"status_id":1,"priority_id":2,"assigned_to_id":23,"start_date":"2016-12-20","description":"","custom_fields":[{"id":1,"name":"Subdivision","value":"EC"},{"id":4,"name":"Milepost","value":"0.0154"},{"id":17,"name":"Train ID","value":"118-20"},{"id":16,"name":"Locomotive ID","value":"4045"},{"id":130,"name":"Impact","value":""},{"id":150,"name":"Time of Event (Mountain Time)","value":"07:21:46"},{"id":151,"name":"Denver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516</v>
      </c>
      <c r="B31" s="7">
        <v>4051</v>
      </c>
      <c r="C31" s="22" t="s">
        <v>205</v>
      </c>
      <c r="D31" s="22" t="s">
        <v>711</v>
      </c>
      <c r="E31" s="13">
        <v>42724.24800925926</v>
      </c>
      <c r="F31" s="13">
        <v>42724.251400462963</v>
      </c>
      <c r="G31" s="7">
        <v>1</v>
      </c>
      <c r="H31" s="22" t="s">
        <v>712</v>
      </c>
      <c r="I31" s="13">
        <v>42724.275937500002</v>
      </c>
      <c r="J31" s="7">
        <v>0</v>
      </c>
      <c r="K31" s="109" t="str">
        <f t="shared" si="0"/>
        <v>4051/4052</v>
      </c>
      <c r="L31" s="22" t="str">
        <f>VLOOKUP(A31,'Trips&amp;Operators'!$C$1:$G$99999,5,FALSE)</f>
        <v>STARKS ANGELINA</v>
      </c>
      <c r="M31" s="6">
        <f t="shared" si="1"/>
        <v>2.453703703940846E-2</v>
      </c>
      <c r="N31" s="7">
        <f t="shared" si="2"/>
        <v>35.333333336748183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04:57:08-700',mode:absolute,to:'2016-12-20 07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7.4300000000000005E-2</v>
      </c>
      <c r="Z31" s="67">
        <f t="shared" si="9"/>
        <v>23.331399999999999</v>
      </c>
      <c r="AA31" s="67">
        <f t="shared" si="10"/>
        <v>23.257099999999998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0119-20</v>
      </c>
      <c r="AE31" s="91" t="str">
        <f t="shared" si="12"/>
        <v>aws s3 cp s3://rtdc.mdm.uploadarchive.raw/RTDC4051/ "%USERPROFILE%\AppData\Local\Temp\OnboardLogs"\RTDC4051\2016-12-20 --exclude "*" --recursive --include "*20161220*" &amp; "%USERPROFILE%\Documents\GitHub\mrs-test-scripts\Headless Mode &amp; Sideloading\WalkAndUnGZ.bat" "%USERPROFILE%\AppData\Local\Temp\OnboardLogs"\RTDC4051\2016-12-20 &amp; aws s3 cp s3://rtdc.mdm.uploadarchive.raw/RTDC4051/ "%USERPROFILE%\AppData\Local\Temp\OnboardLogs"\RTDC4051\2016-12-21 --exclude "*" --recursive --include "*20161221*" &amp; "%USERPROFILE%\Documents\GitHub\mrs-test-scripts\Headless Mode &amp; Sideloading\WalkAndUnGZ.bat" "%USERPROFILE%\AppData\Local\Temp\OnboardLogs"\RTDC4051\2016-12-21</v>
      </c>
      <c r="AF31" s="88" t="str">
        <f t="shared" si="13"/>
        <v>"C:\Program Files (x86)\AstroGrep\AstroGrep.exe" /spath="%USERPROFILE%\AppData\Local\Temp\OnboardLogs" /stypes="app*4051*20161220*"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119-20 --locoid 4051 --swversion DE.1.0.8.0 --startMP 204:743 --initTime 2016-12-20T05:57:08 --startdatetime 2016-12-20T06:02:01 --delay 1 --endMP 204:233314 --enddatetime 2016-12-20T06:37:21 --enforcementcount 0 &gt;&gt;C:\Users\stu\Documents\GitHub\eaglep3-reporting\EC\2016-12-20-refined-times.txt</v>
      </c>
      <c r="AI3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ID","value":"119-20"},{"id":16,"name":"Locomotive ID","value":"4051"},{"id":130,"name":"Impact","value":""},{"id":150,"name":"Time of Event (Mountain Time)","value":"06:37:21"},{"id":151,"name":"Denver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463</v>
      </c>
      <c r="B32" s="7">
        <v>4052</v>
      </c>
      <c r="C32" s="22" t="s">
        <v>205</v>
      </c>
      <c r="D32" s="22" t="s">
        <v>310</v>
      </c>
      <c r="E32" s="13">
        <v>42724.287094907406</v>
      </c>
      <c r="F32" s="13">
        <v>42724.289074074077</v>
      </c>
      <c r="G32" s="7">
        <v>1</v>
      </c>
      <c r="H32" s="22" t="s">
        <v>713</v>
      </c>
      <c r="I32" s="13">
        <v>42724.320972222224</v>
      </c>
      <c r="J32" s="7">
        <v>0</v>
      </c>
      <c r="K32" s="109" t="str">
        <f t="shared" si="0"/>
        <v>4051/4052</v>
      </c>
      <c r="L32" s="22" t="str">
        <f>VLOOKUP(A32,'Trips&amp;Operators'!$C$1:$G$99999,5,FALSE)</f>
        <v>STARKS ANGELINA</v>
      </c>
      <c r="M32" s="6">
        <f t="shared" si="1"/>
        <v>3.1898148146865424E-2</v>
      </c>
      <c r="N32" s="7">
        <f t="shared" si="2"/>
        <v>45.93333333148621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05:53:25-700',mode:absolute,to:'2016-12-20 08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23.297799999999999</v>
      </c>
      <c r="Z32" s="67">
        <f t="shared" si="9"/>
        <v>8.9700000000000002E-2</v>
      </c>
      <c r="AA32" s="67">
        <f t="shared" si="10"/>
        <v>23.208099999999998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0120-20</v>
      </c>
      <c r="AE32" s="91" t="str">
        <f t="shared" si="12"/>
        <v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v>
      </c>
      <c r="AF32" s="88" t="str">
        <f t="shared" si="13"/>
        <v>"C:\Program Files (x86)\AstroGrep\AstroGrep.exe" /spath="%USERPROFILE%\AppData\Local\Temp\OnboardLogs" /stypes="app*4052*20161220*"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120-20 --locoid 4052 --swversion DE.1.0.8.0 --startMP 204:232978 --initTime 2016-12-20T06:53:25 --startdatetime 2016-12-20T06:56:16 --delay 1 --endMP 204:897 --enddatetime 2016-12-20T07:42:12 --enforcementcount 0 &gt;&gt;C:\Users\stu\Documents\GitHub\eaglep3-reporting\EC\2016-12-20-refined-times.txt</v>
      </c>
      <c r="AI3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{"issue":{"subject":"","project_id":79,"tracker_id":40,"status_id":1,"priority_id":2,"assigned_to_id":23,"start_date":"2016-12-20","description":"","custom_fields":[{"id":1,"name":"Subdivision","value":"EC"},{"id":4,"name":"Milepost","value":"0.0897"},{"id":17,"name":"Train ID","value":"120-20"},{"id":16,"name":"Locomotive ID","value":"4052"},{"id":130,"name":"Impact","value":""},{"id":150,"name":"Time of Event (Mountain Time)","value":"07:42:12"},{"id":151,"name":"Denver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522</v>
      </c>
      <c r="B33" s="7">
        <v>4040</v>
      </c>
      <c r="C33" s="22" t="s">
        <v>205</v>
      </c>
      <c r="D33" s="22" t="s">
        <v>230</v>
      </c>
      <c r="E33" s="13">
        <v>42724.257627314815</v>
      </c>
      <c r="F33" s="13">
        <v>42724.261400462965</v>
      </c>
      <c r="G33" s="7">
        <v>1</v>
      </c>
      <c r="H33" s="22" t="s">
        <v>418</v>
      </c>
      <c r="I33" s="13">
        <v>42724.286145833335</v>
      </c>
      <c r="J33" s="7">
        <v>0</v>
      </c>
      <c r="K33" s="109" t="str">
        <f t="shared" si="0"/>
        <v>4039/4040</v>
      </c>
      <c r="L33" s="22" t="str">
        <f>VLOOKUP(A33,'Trips&amp;Operators'!$C$1:$G$99999,5,FALSE)</f>
        <v>DAVIDSON DAVID</v>
      </c>
      <c r="M33" s="6">
        <f t="shared" si="1"/>
        <v>2.47453703705105E-2</v>
      </c>
      <c r="N33" s="7">
        <f t="shared" si="2"/>
        <v>35.63333333353512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05:10:59-700',mode:absolute,to:'2016-12-20 07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4.5999999999999999E-2</v>
      </c>
      <c r="Z33" s="67">
        <f t="shared" si="9"/>
        <v>23.3278</v>
      </c>
      <c r="AA33" s="67">
        <f t="shared" si="10"/>
        <v>23.2818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0121-20</v>
      </c>
      <c r="AE33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33" s="88" t="str">
        <f t="shared" si="13"/>
        <v>"C:\Program Files (x86)\AstroGrep\AstroGrep.exe" /spath="%USERPROFILE%\AppData\Local\Temp\OnboardLogs" /stypes="app*4040*20161220*"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121-20 --locoid 4040 --swversion DE.1.0.8.0 --startMP 204:460 --initTime 2016-12-20T06:10:59 --startdatetime 2016-12-20T06:16:25 --delay 1 --endMP 204:233278 --enddatetime 2016-12-20T06:52:03 --enforcementcount 0 &gt;&gt;C:\Users\stu\Documents\GitHub\eaglep3-reporting\EC\2016-12-20-refined-times.txt</v>
      </c>
      <c r="AI3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{"issue":{"subject":"","project_id":79,"tracker_id":40,"status_id":1,"priority_id":2,"assigned_to_id":23,"start_date":"2016-12-20","description":"","custom_fields":[{"id":1,"name":"Subdivision","value":"EC"},{"id":4,"name":"Milepost","value":"23.3278"},{"id":17,"name":"Train ID","value":"121-20"},{"id":16,"name":"Locomotive ID","value":"4040"},{"id":130,"name":"Impact","value":""},{"id":150,"name":"Time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529</v>
      </c>
      <c r="B34" s="7">
        <v>4039</v>
      </c>
      <c r="C34" s="22" t="s">
        <v>205</v>
      </c>
      <c r="D34" s="22" t="s">
        <v>401</v>
      </c>
      <c r="E34" s="13">
        <v>42724.292615740742</v>
      </c>
      <c r="F34" s="13">
        <v>42724.299525462964</v>
      </c>
      <c r="G34" s="7">
        <v>1</v>
      </c>
      <c r="H34" s="22" t="s">
        <v>224</v>
      </c>
      <c r="I34" s="13">
        <v>42724.326782407406</v>
      </c>
      <c r="J34" s="7">
        <v>0</v>
      </c>
      <c r="K34" s="109" t="str">
        <f t="shared" si="0"/>
        <v>4039/4040</v>
      </c>
      <c r="L34" s="22" t="str">
        <f>VLOOKUP(A34,'Trips&amp;Operators'!$C$1:$G$99999,5,FALSE)</f>
        <v>DAVIDSON DAVID</v>
      </c>
      <c r="M34" s="6">
        <f t="shared" si="1"/>
        <v>2.7256944442342501E-2</v>
      </c>
      <c r="N34" s="7">
        <f t="shared" si="2"/>
        <v>39.249999996973202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06:01:22-700',mode:absolute,to:'2016-12-20 08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23.2959</v>
      </c>
      <c r="Z34" s="67">
        <f t="shared" si="9"/>
        <v>1.54E-2</v>
      </c>
      <c r="AA34" s="67">
        <f t="shared" si="10"/>
        <v>23.2805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0122-20</v>
      </c>
      <c r="AE34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34" s="88" t="str">
        <f t="shared" si="13"/>
        <v>"C:\Program Files (x86)\AstroGrep\AstroGrep.exe" /spath="%USERPROFILE%\AppData\Local\Temp\OnboardLogs" /stypes="app*4039*20161220*"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122-20 --locoid 4039 --swversion DE.1.0.8.0 --startMP 204:232959 --initTime 2016-12-20T07:01:22 --startdatetime 2016-12-20T07:11:19 --delay 1 --endMP 204:154 --enddatetime 2016-12-20T07:50:34 --enforcementcount 0 &gt;&gt;C:\Users\stu\Documents\GitHub\eaglep3-reporting\EC\2016-12-20-refined-times.txt</v>
      </c>
      <c r="AI3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{"issue":{"subject":"","project_id":79,"tracker_id":40,"status_id":1,"priority_id":2,"assigned_to_id":23,"start_date":"2016-12-20","description":"","custom_fields":[{"id":1,"name":"Subdivision","value":"EC"},{"id":4,"name":"Milepost","value":"0.0154"},{"id":17,"name":"Train ID","value":"122-20"},{"id":16,"name":"Locomotive ID","value":"4039"},{"id":130,"name":"Impact","value":""},{"id":150,"name":"Time of Event (Mountain Time)","value":"07:50:34"},{"id":151,"name":"Denver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462</v>
      </c>
      <c r="B35" s="7">
        <v>4042</v>
      </c>
      <c r="C35" s="22" t="s">
        <v>205</v>
      </c>
      <c r="D35" s="22" t="s">
        <v>255</v>
      </c>
      <c r="E35" s="13">
        <v>42724.268148148149</v>
      </c>
      <c r="F35" s="13">
        <v>42724.27144675926</v>
      </c>
      <c r="G35" s="7">
        <v>1</v>
      </c>
      <c r="H35" s="22" t="s">
        <v>403</v>
      </c>
      <c r="I35" s="13">
        <v>42724.299930555557</v>
      </c>
      <c r="J35" s="7">
        <v>0</v>
      </c>
      <c r="K35" s="109" t="str">
        <f t="shared" si="0"/>
        <v>4041/4042</v>
      </c>
      <c r="L35" s="22" t="str">
        <f>VLOOKUP(A35,'Trips&amp;Operators'!$C$1:$G$99999,5,FALSE)</f>
        <v>DAVIS WENDY</v>
      </c>
      <c r="M35" s="6">
        <f t="shared" si="1"/>
        <v>2.8483796297223307E-2</v>
      </c>
      <c r="N35" s="7">
        <f t="shared" si="2"/>
        <v>41.016666668001562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05:26:08-700',mode:absolute,to:'2016-12-20 08:11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4.6399999999999997E-2</v>
      </c>
      <c r="Z35" s="67">
        <f t="shared" si="9"/>
        <v>23.331099999999999</v>
      </c>
      <c r="AA35" s="67">
        <f t="shared" si="10"/>
        <v>23.284700000000001</v>
      </c>
      <c r="AB35" s="64" t="str">
        <f>VLOOKUP(A35,Enforcements!$C$7:$K$19,8,0)</f>
        <v>Speed (6)</v>
      </c>
      <c r="AC35" s="60" t="str">
        <f>VLOOKUP(A35,Enforcements!$C$7:$E$19,3,0)</f>
        <v>PERMANENT SPEED RESTRICTION</v>
      </c>
      <c r="AD35" s="61" t="str">
        <f t="shared" si="11"/>
        <v>0123-20</v>
      </c>
      <c r="AE35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35" s="88" t="str">
        <f t="shared" si="13"/>
        <v>"C:\Program Files (x86)\AstroGrep\AstroGrep.exe" /spath="%USERPROFILE%\AppData\Local\Temp\OnboardLogs" /stypes="app*4042*20161220*"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123-20 --locoid 4042 --swversion DE.1.0.8.0 --startMP 204:464 --initTime 2016-12-20T06:26:08 --startdatetime 2016-12-20T06:30:53 --delay 1 --endMP 204:233311 --enddatetime 2016-12-20T07:11:54 --enforcementcount 0 &gt;&gt;C:\Users\stu\Documents\GitHub\eaglep3-reporting\EC\2016-12-20-refined-times.txt</v>
      </c>
      <c r="AI3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{"issue":{"subject":"","project_id":79,"tracker_id":40,"status_id":1,"priority_id":2,"assigned_to_id":23,"start_date":"2016-12-20","description":"","custom_fields":[{"id":1,"name":"Subdivision","value":"EC"},{"id":4,"name":"Milepost","value":"23.3311"},{"id":17,"name":"Train ID","value":"123-20"},{"id":16,"name":"Locomotive ID","value":"4042"},{"id":130,"name":"Impact","value":""},{"id":150,"name":"Time of Event (Mountain Time)","value":"07:11:54"},{"id":151,"name":"Denver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533</v>
      </c>
      <c r="B36" s="7">
        <v>4041</v>
      </c>
      <c r="C36" s="22" t="s">
        <v>205</v>
      </c>
      <c r="D36" s="22" t="s">
        <v>714</v>
      </c>
      <c r="E36" s="13">
        <v>42724.306574074071</v>
      </c>
      <c r="F36" s="13">
        <v>42724.309884259259</v>
      </c>
      <c r="G36" s="7">
        <v>1</v>
      </c>
      <c r="H36" s="22" t="s">
        <v>235</v>
      </c>
      <c r="I36" s="13">
        <v>42724.338229166664</v>
      </c>
      <c r="J36" s="7">
        <v>0</v>
      </c>
      <c r="K36" s="109" t="str">
        <f t="shared" si="0"/>
        <v>4041/4042</v>
      </c>
      <c r="L36" s="22" t="str">
        <f>VLOOKUP(A36,'Trips&amp;Operators'!$C$1:$G$99999,5,FALSE)</f>
        <v>DAVIS WENDY</v>
      </c>
      <c r="M36" s="6">
        <f t="shared" si="1"/>
        <v>2.8344907404971309E-2</v>
      </c>
      <c r="N36" s="7">
        <f t="shared" si="2"/>
        <v>40.816666663158685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06:21:28-700',mode:absolute,to:'2016-12-20 09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23.2988</v>
      </c>
      <c r="Z36" s="67">
        <f t="shared" si="9"/>
        <v>1.4500000000000001E-2</v>
      </c>
      <c r="AA36" s="67">
        <f t="shared" si="10"/>
        <v>23.284299999999998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0124-20</v>
      </c>
      <c r="AE36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36" s="88" t="str">
        <f t="shared" si="13"/>
        <v>"C:\Program Files (x86)\AstroGrep\AstroGrep.exe" /spath="%USERPROFILE%\AppData\Local\Temp\OnboardLogs" /stypes="app*4041*20161220*"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124-20 --locoid 4041 --swversion DE.1.0.8.0 --startMP 204:232988 --initTime 2016-12-20T07:21:28 --startdatetime 2016-12-20T07:26:14 --delay 1 --endMP 204:145 --enddatetime 2016-12-20T08:07:03 --enforcementcount 0 &gt;&gt;C:\Users\stu\Documents\GitHub\eaglep3-reporting\EC\2016-12-20-refined-times.txt</v>
      </c>
      <c r="AI3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ID","value":"124-20"},{"id":16,"name":"Locomotive ID","value":"4041"},{"id":130,"name":"Impact","value":""},{"id":150,"name":"Time of Event (Mountain Time)","value":"08:07:03"},{"id":151,"name":"Denver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526</v>
      </c>
      <c r="B37" s="7">
        <v>4020</v>
      </c>
      <c r="C37" s="22" t="s">
        <v>205</v>
      </c>
      <c r="D37" s="22" t="s">
        <v>264</v>
      </c>
      <c r="E37" s="13">
        <v>42724.279166666667</v>
      </c>
      <c r="F37" s="13">
        <v>42724.282187500001</v>
      </c>
      <c r="G37" s="7">
        <v>1</v>
      </c>
      <c r="H37" s="22" t="s">
        <v>285</v>
      </c>
      <c r="I37" s="13">
        <v>42724.306805555556</v>
      </c>
      <c r="J37" s="7">
        <v>0</v>
      </c>
      <c r="K37" s="109" t="str">
        <f t="shared" si="0"/>
        <v>4019/4020</v>
      </c>
      <c r="L37" s="22" t="str">
        <f>VLOOKUP(A37,'Trips&amp;Operators'!$C$1:$G$99999,5,FALSE)</f>
        <v>DUNCAN SHEILA</v>
      </c>
      <c r="M37" s="6">
        <f t="shared" si="1"/>
        <v>2.4618055555038154E-2</v>
      </c>
      <c r="N37" s="7">
        <f t="shared" si="2"/>
        <v>35.449999999254942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05:42:00-700',mode:absolute,to:'2016-12-20 08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4.6699999999999998E-2</v>
      </c>
      <c r="Z37" s="67">
        <f t="shared" si="9"/>
        <v>23.328900000000001</v>
      </c>
      <c r="AA37" s="67">
        <f t="shared" si="10"/>
        <v>23.2822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0125-20</v>
      </c>
      <c r="AE37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37" s="88" t="str">
        <f t="shared" si="13"/>
        <v>"C:\Program Files (x86)\AstroGrep\AstroGrep.exe" /spath="%USERPROFILE%\AppData\Local\Temp\OnboardLogs" /stypes="app*4020*20161220*"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125-20 --locoid 4020 --swversion DE.1.0.8.0 --startMP 204:467 --initTime 2016-12-20T06:42:00 --startdatetime 2016-12-20T06:46:21 --delay 1 --endMP 204:233289 --enddatetime 2016-12-20T07:21:48 --enforcementcount 0 &gt;&gt;C:\Users\stu\Documents\GitHub\eaglep3-reporting\EC\2016-12-20-refined-times.txt</v>
      </c>
      <c r="AI3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{"issue":{"subject":"","project_id":79,"tracker_id":40,"status_id":1,"priority_id":2,"assigned_to_id":23,"start_date":"2016-12-20","description":"","custom_fields":[{"id":1,"name":"Subdivision","value":"EC"},{"id":4,"name":"Milepost","value":"23.3289"},{"id":17,"name":"Train ID","value":"125-20"},{"id":16,"name":"Locomotive ID","value":"4020"},{"id":130,"name":"Impact","value":""},{"id":150,"name":"Time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537</v>
      </c>
      <c r="B38" s="7">
        <v>4019</v>
      </c>
      <c r="C38" s="22" t="s">
        <v>205</v>
      </c>
      <c r="D38" s="22" t="s">
        <v>349</v>
      </c>
      <c r="E38" s="13">
        <v>42724.317141203705</v>
      </c>
      <c r="F38" s="13">
        <v>42724.3203587963</v>
      </c>
      <c r="G38" s="7">
        <v>1</v>
      </c>
      <c r="H38" s="22" t="s">
        <v>715</v>
      </c>
      <c r="I38" s="13">
        <v>42724.347581018519</v>
      </c>
      <c r="J38" s="7">
        <v>0</v>
      </c>
      <c r="K38" s="109" t="str">
        <f t="shared" si="0"/>
        <v>4019/4020</v>
      </c>
      <c r="L38" s="22" t="str">
        <f>VLOOKUP(A38,'Trips&amp;Operators'!$C$1:$G$99999,5,FALSE)</f>
        <v>DUNCAN SHEILA</v>
      </c>
      <c r="M38" s="6">
        <f t="shared" si="1"/>
        <v>2.7222222219279502E-2</v>
      </c>
      <c r="N38" s="7">
        <f t="shared" si="2"/>
        <v>39.199999995762482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06:36:41-700',mode:absolute,to:'2016-12-20 09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23.298100000000002</v>
      </c>
      <c r="Z38" s="67">
        <f t="shared" si="9"/>
        <v>1.41E-2</v>
      </c>
      <c r="AA38" s="67">
        <f t="shared" si="10"/>
        <v>23.284000000000002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0126-20</v>
      </c>
      <c r="AE38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38" s="88" t="str">
        <f t="shared" si="13"/>
        <v>"C:\Program Files (x86)\AstroGrep\AstroGrep.exe" /spath="%USERPROFILE%\AppData\Local\Temp\OnboardLogs" /stypes="app*4019*20161220*"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126-20 --locoid 4019 --swversion DE.1.0.8.0 --startMP 204:232981 --initTime 2016-12-20T07:36:41 --startdatetime 2016-12-20T07:41:19 --delay 1 --endMP 204:141 --enddatetime 2016-12-20T08:20:31 --enforcementcount 0 &gt;&gt;C:\Users\stu\Documents\GitHub\eaglep3-reporting\EC\2016-12-20-refined-times.txt</v>
      </c>
      <c r="AI3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{"issue":{"subject":"","project_id":79,"tracker_id":40,"status_id":1,"priority_id":2,"assigned_to_id":23,"start_date":"2016-12-20","description":"","custom_fields":[{"id":1,"name":"Subdivision","value":"EC"},{"id":4,"name":"Milepost","value":"0.0141"},{"id":17,"name":"Train ID","value":"126-20"},{"id":16,"name":"Locomotive ID","value":"4019"},{"id":130,"name":"Impact","value":""},{"id":150,"name":"Time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528</v>
      </c>
      <c r="B39" s="7">
        <v>4044</v>
      </c>
      <c r="C39" s="22" t="s">
        <v>205</v>
      </c>
      <c r="D39" s="22" t="s">
        <v>716</v>
      </c>
      <c r="E39" s="13">
        <v>42724.287673611114</v>
      </c>
      <c r="F39" s="13">
        <v>42724.291909722226</v>
      </c>
      <c r="G39" s="7">
        <v>1</v>
      </c>
      <c r="H39" s="22" t="s">
        <v>712</v>
      </c>
      <c r="I39" s="13">
        <v>42724.317337962966</v>
      </c>
      <c r="J39" s="7">
        <v>0</v>
      </c>
      <c r="K39" s="109" t="str">
        <f t="shared" si="0"/>
        <v>4043/4044</v>
      </c>
      <c r="L39" s="22" t="str">
        <f>VLOOKUP(A39,'Trips&amp;Operators'!$C$1:$G$99999,5,FALSE)</f>
        <v>OUN ZACK</v>
      </c>
      <c r="M39" s="6">
        <f t="shared" si="1"/>
        <v>2.5428240740438923E-2</v>
      </c>
      <c r="N39" s="7">
        <f t="shared" si="2"/>
        <v>36.616666666232049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05:54:15-700',mode:absolute,to:'2016-12-20 08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4.4600000000000001E-2</v>
      </c>
      <c r="Z39" s="67">
        <f t="shared" si="9"/>
        <v>23.331399999999999</v>
      </c>
      <c r="AA39" s="67">
        <f t="shared" si="10"/>
        <v>23.286799999999999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0127-20</v>
      </c>
      <c r="AE39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39" s="88" t="str">
        <f t="shared" si="13"/>
        <v>"C:\Program Files (x86)\AstroGrep\AstroGrep.exe" /spath="%USERPROFILE%\AppData\Local\Temp\OnboardLogs" /stypes="app*4044*20161220*"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127-20 --locoid 4044 --swversion DE.1.0.8.0 --startMP 204:446 --initTime 2016-12-20T06:54:15 --startdatetime 2016-12-20T07:00:21 --delay 1 --endMP 204:233314 --enddatetime 2016-12-20T07:36:58 --enforcementcount 0 &gt;&gt;C:\Users\stu\Documents\GitHub\eaglep3-reporting\EC\2016-12-20-refined-times.txt</v>
      </c>
      <c r="AI3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ID","value":"127-20"},{"id":16,"name":"Locomotive ID","value":"4044"},{"id":130,"name":"Impact","value":""},{"id":150,"name":"Time of Event (Mountain Time)","value":"07:36:58"},{"id":151,"name":"Denver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464</v>
      </c>
      <c r="B40" s="7">
        <v>4043</v>
      </c>
      <c r="C40" s="22" t="s">
        <v>205</v>
      </c>
      <c r="D40" s="22" t="s">
        <v>355</v>
      </c>
      <c r="E40" s="13">
        <v>42724.324490740742</v>
      </c>
      <c r="F40" s="13">
        <v>42724.330787037034</v>
      </c>
      <c r="G40" s="7">
        <v>1</v>
      </c>
      <c r="H40" s="22" t="s">
        <v>245</v>
      </c>
      <c r="I40" s="13">
        <v>42724.3596412037</v>
      </c>
      <c r="J40" s="7">
        <v>0</v>
      </c>
      <c r="K40" s="109" t="str">
        <f t="shared" si="0"/>
        <v>4043/4044</v>
      </c>
      <c r="L40" s="22" t="str">
        <f>VLOOKUP(A40,'Trips&amp;Operators'!$C$1:$G$99999,5,FALSE)</f>
        <v>OUN ZACK</v>
      </c>
      <c r="M40" s="6">
        <f t="shared" si="1"/>
        <v>2.8854166666860692E-2</v>
      </c>
      <c r="N40" s="7">
        <f t="shared" si="2"/>
        <v>41.550000000279397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06:47:16-700',mode:absolute,to:'2016-12-20 09:37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23.298400000000001</v>
      </c>
      <c r="Z40" s="67">
        <f t="shared" si="9"/>
        <v>1.6299999999999999E-2</v>
      </c>
      <c r="AA40" s="67">
        <f t="shared" si="10"/>
        <v>23.2821</v>
      </c>
      <c r="AB40" s="64" t="str">
        <f>VLOOKUP(A40,Enforcements!$C$7:$K$19,8,0)</f>
        <v>Speed (6)</v>
      </c>
      <c r="AC40" s="60" t="str">
        <f>VLOOKUP(A40,Enforcements!$C$7:$E$19,3,0)</f>
        <v>PERMANENT SPEED RESTRICTION</v>
      </c>
      <c r="AD40" s="61" t="str">
        <f t="shared" si="11"/>
        <v>0128-20</v>
      </c>
      <c r="AE40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40" s="88" t="str">
        <f t="shared" si="13"/>
        <v>"C:\Program Files (x86)\AstroGrep\AstroGrep.exe" /spath="%USERPROFILE%\AppData\Local\Temp\OnboardLogs" /stypes="app*4043*20161220*"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128-20 --locoid 4043 --swversion DE.1.0.8.0 --startMP 204:232984 --initTime 2016-12-20T07:47:16 --startdatetime 2016-12-20T07:56:20 --delay 1 --endMP 204:163 --enddatetime 2016-12-20T08:37:53 --enforcementcount 0 &gt;&gt;C:\Users\stu\Documents\GitHub\eaglep3-reporting\EC\2016-12-20-refined-times.txt</v>
      </c>
      <c r="AI4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ID","value":"128-20"},{"id":16,"name":"Locomotive ID","value":"4043"},{"id":130,"name":"Impact","value":""},{"id":150,"name":"Time of Event (Mountain Time)","value":"08:37:53"},{"id":151,"name":"Denver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531</v>
      </c>
      <c r="B41" s="7">
        <v>4018</v>
      </c>
      <c r="C41" s="22" t="s">
        <v>205</v>
      </c>
      <c r="D41" s="22" t="s">
        <v>427</v>
      </c>
      <c r="E41" s="13">
        <v>42724.297025462962</v>
      </c>
      <c r="F41" s="13">
        <v>42724.302465277775</v>
      </c>
      <c r="G41" s="7">
        <v>1</v>
      </c>
      <c r="H41" s="22" t="s">
        <v>308</v>
      </c>
      <c r="I41" s="13">
        <v>42724.328240740739</v>
      </c>
      <c r="J41" s="7">
        <v>0</v>
      </c>
      <c r="K41" s="109" t="str">
        <f t="shared" si="0"/>
        <v>4017/4018</v>
      </c>
      <c r="L41" s="22" t="str">
        <f>VLOOKUP(A41,'Trips&amp;Operators'!$C$1:$G$99999,5,FALSE)</f>
        <v>SIMONEAUX TERA</v>
      </c>
      <c r="M41" s="6">
        <f t="shared" si="1"/>
        <v>2.5775462963792961E-2</v>
      </c>
      <c r="N41" s="7">
        <f t="shared" si="2"/>
        <v>37.116666667861864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06:07:43-700',mode:absolute,to:'2016-12-20 08:52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4.6600000000000003E-2</v>
      </c>
      <c r="Z41" s="67">
        <f t="shared" si="9"/>
        <v>23.3308</v>
      </c>
      <c r="AA41" s="67">
        <f t="shared" si="10"/>
        <v>23.284199999999998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0129-20</v>
      </c>
      <c r="AE41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41" s="88" t="str">
        <f t="shared" si="13"/>
        <v>"C:\Program Files (x86)\AstroGrep\AstroGrep.exe" /spath="%USERPROFILE%\AppData\Local\Temp\OnboardLogs" /stypes="app*4018*20161220*"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129-20 --locoid 4018 --swversion DE.1.0.8.0 --startMP 204:466 --initTime 2016-12-20T07:07:43 --startdatetime 2016-12-20T07:15:33 --delay 1 --endMP 204:233308 --enddatetime 2016-12-20T07:52:40 --enforcementcount 0 &gt;&gt;C:\Users\stu\Documents\GitHub\eaglep3-reporting\EC\2016-12-20-refined-times.txt</v>
      </c>
      <c r="AI4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{"issue":{"subject":"","project_id":79,"tracker_id":40,"status_id":1,"priority_id":2,"assigned_to_id":23,"start_date":"2016-12-20","description":"","custom_fields":[{"id":1,"name":"Subdivision","value":"EC"},{"id":4,"name":"Milepost","value":"23.3308"},{"id":17,"name":"Train ID","value":"129-20"},{"id":16,"name":"Locomotive ID","value":"4018"},{"id":130,"name":"Impact","value":""},{"id":150,"name":"Time of Event (Mountain Time)","value":"07:52:40"},{"id":151,"name":"Denver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466</v>
      </c>
      <c r="B42" s="7">
        <v>4017</v>
      </c>
      <c r="C42" s="22" t="s">
        <v>205</v>
      </c>
      <c r="D42" s="22" t="s">
        <v>402</v>
      </c>
      <c r="E42" s="13">
        <v>42724.330567129633</v>
      </c>
      <c r="F42" s="13">
        <v>42724.341215277775</v>
      </c>
      <c r="G42" s="7">
        <v>1</v>
      </c>
      <c r="H42" s="22" t="s">
        <v>717</v>
      </c>
      <c r="I42" s="13">
        <v>42724.369699074072</v>
      </c>
      <c r="J42" s="7">
        <v>0</v>
      </c>
      <c r="K42" s="109" t="str">
        <f t="shared" si="0"/>
        <v>4017/4018</v>
      </c>
      <c r="L42" s="22" t="str">
        <f>VLOOKUP(A42,'Trips&amp;Operators'!$C$1:$G$99999,5,FALSE)</f>
        <v>SIMONEAUX TERA</v>
      </c>
      <c r="M42" s="6">
        <f t="shared" si="1"/>
        <v>2.8483796297223307E-2</v>
      </c>
      <c r="N42" s="7">
        <f t="shared" si="2"/>
        <v>41.016666668001562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06:56:01-700',mode:absolute,to:'2016-12-20 09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23.299099999999999</v>
      </c>
      <c r="Z42" s="67">
        <f t="shared" si="9"/>
        <v>2.07E-2</v>
      </c>
      <c r="AA42" s="67">
        <f t="shared" si="10"/>
        <v>23.278399999999998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0130-20</v>
      </c>
      <c r="AE42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42" s="88" t="str">
        <f t="shared" si="13"/>
        <v>"C:\Program Files (x86)\AstroGrep\AstroGrep.exe" /spath="%USERPROFILE%\AppData\Local\Temp\OnboardLogs" /stypes="app*4017*20161220*"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130-20 --locoid 4017 --swversion DE.1.0.8.0 --startMP 204:232991 --initTime 2016-12-20T07:56:01 --startdatetime 2016-12-20T08:11:21 --delay 1 --endMP 204:207 --enddatetime 2016-12-20T08:52:22 --enforcementcount 0 &gt;&gt;C:\Users\stu\Documents\GitHub\eaglep3-reporting\EC\2016-12-20-refined-times.txt</v>
      </c>
      <c r="AI4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{"issue":{"subject":"","project_id":79,"tracker_id":40,"status_id":1,"priority_id":2,"assigned_to_id":23,"start_date":"2016-12-20","description":"","custom_fields":[{"id":1,"name":"Subdivision","value":"EC"},{"id":4,"name":"Milepost","value":"0.0207"},{"id":17,"name":"Train ID","value":"130-20"},{"id":16,"name":"Locomotive ID","value":"4017"},{"id":130,"name":"Impact","value":""},{"id":150,"name":"Time of Event (Mountain Time)","value":"08:52:22"},{"id":151,"name":"Denver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534</v>
      </c>
      <c r="B43" s="7">
        <v>4046</v>
      </c>
      <c r="C43" s="22" t="s">
        <v>205</v>
      </c>
      <c r="D43" s="22" t="s">
        <v>255</v>
      </c>
      <c r="E43" s="13">
        <v>42724.309027777781</v>
      </c>
      <c r="F43" s="13">
        <v>42724.312650462962</v>
      </c>
      <c r="G43" s="7">
        <v>1</v>
      </c>
      <c r="H43" s="22" t="s">
        <v>412</v>
      </c>
      <c r="I43" s="13">
        <v>42724.33697916667</v>
      </c>
      <c r="J43" s="7">
        <v>0</v>
      </c>
      <c r="K43" s="109" t="str">
        <f t="shared" si="0"/>
        <v>4045/4046</v>
      </c>
      <c r="L43" s="22" t="str">
        <f>VLOOKUP(A43,'Trips&amp;Operators'!$C$1:$G$99999,5,FALSE)</f>
        <v>MAGEE KENYA</v>
      </c>
      <c r="M43" s="6">
        <f t="shared" si="1"/>
        <v>2.4328703708306421E-2</v>
      </c>
      <c r="N43" s="7">
        <f t="shared" si="2"/>
        <v>35.033333339961246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06:25:00-700',mode:absolute,to:'2016-12-20 09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4.6399999999999997E-2</v>
      </c>
      <c r="Z43" s="67">
        <f t="shared" si="9"/>
        <v>23.3309</v>
      </c>
      <c r="AA43" s="67">
        <f t="shared" si="10"/>
        <v>23.284500000000001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0131-20</v>
      </c>
      <c r="AE43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43" s="88" t="str">
        <f t="shared" si="13"/>
        <v>"C:\Program Files (x86)\AstroGrep\AstroGrep.exe" /spath="%USERPROFILE%\AppData\Local\Temp\OnboardLogs" /stypes="app*4046*20161220*"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131-20 --locoid 4046 --swversion DE.1.0.8.0 --startMP 204:464 --initTime 2016-12-20T07:25:00 --startdatetime 2016-12-20T07:30:13 --delay 1 --endMP 204:233309 --enddatetime 2016-12-20T08:05:15 --enforcementcount 0 &gt;&gt;C:\Users\stu\Documents\GitHub\eaglep3-reporting\EC\2016-12-20-refined-times.txt</v>
      </c>
      <c r="AI4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{"issue":{"subject":"","project_id":79,"tracker_id":40,"status_id":1,"priority_id":2,"assigned_to_id":23,"start_date":"2016-12-20","description":"","custom_fields":[{"id":1,"name":"Subdivision","value":"EC"},{"id":4,"name":"Milepost","value":"23.3309"},{"id":17,"name":"Train ID","value":"131-20"},{"id":16,"name":"Locomotive ID","value":"4046"},{"id":130,"name":"Impact","value":""},{"id":150,"name":"Time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468</v>
      </c>
      <c r="B44" s="7">
        <v>4045</v>
      </c>
      <c r="C44" s="22" t="s">
        <v>205</v>
      </c>
      <c r="D44" s="22" t="s">
        <v>355</v>
      </c>
      <c r="E44" s="13">
        <v>42724.339780092596</v>
      </c>
      <c r="F44" s="13">
        <v>42724.3516087963</v>
      </c>
      <c r="G44" s="7">
        <v>1</v>
      </c>
      <c r="H44" s="22" t="s">
        <v>350</v>
      </c>
      <c r="I44" s="13">
        <v>42724.379861111112</v>
      </c>
      <c r="J44" s="7">
        <v>0</v>
      </c>
      <c r="K44" s="109" t="str">
        <f t="shared" si="0"/>
        <v>4045/4046</v>
      </c>
      <c r="L44" s="22" t="str">
        <f>VLOOKUP(A44,'Trips&amp;Operators'!$C$1:$G$99999,5,FALSE)</f>
        <v>MAGEE KENYA</v>
      </c>
      <c r="M44" s="6">
        <f t="shared" si="1"/>
        <v>2.8252314812561963E-2</v>
      </c>
      <c r="N44" s="7">
        <f t="shared" si="2"/>
        <v>40.683333330089226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07:09:17-700',mode:absolute,to:'2016-12-20 10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23.298400000000001</v>
      </c>
      <c r="Z44" s="67">
        <f t="shared" si="9"/>
        <v>1.5599999999999999E-2</v>
      </c>
      <c r="AA44" s="67">
        <f t="shared" si="10"/>
        <v>23.282800000000002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0132-20</v>
      </c>
      <c r="AE44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44" s="88" t="str">
        <f t="shared" si="13"/>
        <v>"C:\Program Files (x86)\AstroGrep\AstroGrep.exe" /spath="%USERPROFILE%\AppData\Local\Temp\OnboardLogs" /stypes="app*4045*20161220*"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132-20 --locoid 4045 --swversion DE.1.0.8.0 --startMP 204:232984 --initTime 2016-12-20T08:09:17 --startdatetime 2016-12-20T08:26:19 --delay 1 --endMP 204:156 --enddatetime 2016-12-20T09:07:00 --enforcementcount 0 &gt;&gt;C:\Users\stu\Documents\GitHub\eaglep3-reporting\EC\2016-12-20-refined-times.txt</v>
      </c>
      <c r="AI4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ID","value":"132-20"},{"id":16,"name":"Locomotive ID","value":"4045"},{"id":130,"name":"Impact","value":""},{"id":150,"name":"Time of Event (Mountain Time)","value":"09:07:00"},{"id":151,"name":"Denver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535</v>
      </c>
      <c r="B45" s="7">
        <v>4031</v>
      </c>
      <c r="C45" s="22" t="s">
        <v>205</v>
      </c>
      <c r="D45" s="22" t="s">
        <v>231</v>
      </c>
      <c r="E45" s="13">
        <v>42724.313692129632</v>
      </c>
      <c r="F45" s="13">
        <v>42724.323148148149</v>
      </c>
      <c r="G45" s="7">
        <v>1</v>
      </c>
      <c r="H45" s="22" t="s">
        <v>303</v>
      </c>
      <c r="I45" s="13">
        <v>42724.347662037035</v>
      </c>
      <c r="J45" s="7">
        <v>0</v>
      </c>
      <c r="K45" s="109" t="str">
        <f t="shared" si="0"/>
        <v>4031/4032</v>
      </c>
      <c r="L45" s="22" t="str">
        <f>VLOOKUP(A45,'Trips&amp;Operators'!$C$1:$G$99999,5,FALSE)</f>
        <v>SPECTOR MICHAEL</v>
      </c>
      <c r="M45" s="6">
        <f t="shared" si="1"/>
        <v>2.4513888885849155E-2</v>
      </c>
      <c r="N45" s="7">
        <f t="shared" ref="N45:N76" si="19">24*60*SUM($M45:$M45)</f>
        <v>35.299999995622784</v>
      </c>
      <c r="O45" s="7"/>
      <c r="P45" s="7"/>
      <c r="Q45" s="23"/>
      <c r="R45" s="23"/>
      <c r="S45" s="35">
        <f t="shared" ref="S45:S76" si="20">SUM(U45:U45)/IF(AG45="EC",12,1)</f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06:31:43-700',mode:absolute,to:'2016-12-20 09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5" s="52" t="str">
        <f t="shared" si="6"/>
        <v>N</v>
      </c>
      <c r="X45" s="177">
        <f t="shared" ref="X45:X76" si="21">VALUE(LEFT(AD45,4))-VALUE(LEFT(AD44,4))</f>
        <v>1</v>
      </c>
      <c r="Y45" s="67">
        <f t="shared" si="8"/>
        <v>4.7100000000000003E-2</v>
      </c>
      <c r="Z45" s="67">
        <f t="shared" ref="Z45:Z76" si="22">RIGHT(H45,LEN(H45)-4)/10000</f>
        <v>23.331</v>
      </c>
      <c r="AA45" s="67">
        <f t="shared" si="10"/>
        <v>23.283899999999999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0133-20</v>
      </c>
      <c r="AE45" s="91" t="str">
        <f t="shared" si="12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45" s="88" t="str">
        <f t="shared" si="13"/>
        <v>"C:\Program Files (x86)\AstroGrep\AstroGrep.exe" /spath="%USERPROFILE%\AppData\Local\Temp\OnboardLogs" /stypes="app*4031*20161220*"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133-20 --locoid 4031 --swversion DE.1.0.8.0 --startMP 204:471 --initTime 2016-12-20T07:31:43 --startdatetime 2016-12-20T07:45:20 --delay 1 --endMP 204:233310 --enddatetime 2016-12-20T08:20:38 --enforcementcount 0 &gt;&gt;C:\Users\stu\Documents\GitHub\eaglep3-reporting\EC\2016-12-20-refined-times.txt</v>
      </c>
      <c r="AI4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{"issue":{"subject":"","project_id":79,"tracker_id":40,"status_id":1,"priority_id":2,"assigned_to_id":23,"start_date":"2016-12-20","description":"","custom_fields":[{"id":1,"name":"Subdivision","value":"EC"},{"id":4,"name":"Milepost","value":"23.331"},{"id":17,"name":"Train ID","value":"133-20"},{"id":16,"name":"Locomotive ID","value":"4031"},{"id":130,"name":"Impact","value":""},{"id":150,"name":"Time of Event (Mountain Time)","value":"08:20:38"},{"id":151,"name":"Denver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543</v>
      </c>
      <c r="B46" s="7">
        <v>4032</v>
      </c>
      <c r="C46" s="22" t="s">
        <v>205</v>
      </c>
      <c r="D46" s="22" t="s">
        <v>718</v>
      </c>
      <c r="E46" s="13">
        <v>42724.353773148148</v>
      </c>
      <c r="F46" s="13">
        <v>42724.361990740741</v>
      </c>
      <c r="G46" s="7">
        <v>1</v>
      </c>
      <c r="H46" s="22" t="s">
        <v>211</v>
      </c>
      <c r="I46" s="13">
        <v>42724.389745370368</v>
      </c>
      <c r="J46" s="7">
        <v>0</v>
      </c>
      <c r="K46" s="109" t="str">
        <f t="shared" si="0"/>
        <v>4031/4032</v>
      </c>
      <c r="L46" s="22" t="str">
        <f>VLOOKUP(A46,'Trips&amp;Operators'!$C$1:$G$99999,5,FALSE)</f>
        <v>SPECTOR MICHAEL</v>
      </c>
      <c r="M46" s="6">
        <f t="shared" si="1"/>
        <v>2.7754629627452232E-2</v>
      </c>
      <c r="N46" s="7">
        <f t="shared" si="19"/>
        <v>39.966666663531214</v>
      </c>
      <c r="O46" s="7"/>
      <c r="P46" s="7"/>
      <c r="Q46" s="23"/>
      <c r="R46" s="23"/>
      <c r="S46" s="35">
        <f t="shared" si="20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07:29:26-700',mode:absolute,to:'2016-12-20 10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6" s="52" t="str">
        <f t="shared" si="6"/>
        <v>N</v>
      </c>
      <c r="X46" s="177">
        <f t="shared" si="21"/>
        <v>1</v>
      </c>
      <c r="Y46" s="67">
        <f t="shared" si="8"/>
        <v>23.299800000000001</v>
      </c>
      <c r="Z46" s="67">
        <f t="shared" si="22"/>
        <v>1.4999999999999999E-2</v>
      </c>
      <c r="AA46" s="67">
        <f t="shared" si="10"/>
        <v>23.284800000000001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0134-20</v>
      </c>
      <c r="AE46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46" s="88" t="str">
        <f t="shared" si="13"/>
        <v>"C:\Program Files (x86)\AstroGrep\AstroGrep.exe" /spath="%USERPROFILE%\AppData\Local\Temp\OnboardLogs" /stypes="app*4032*20161220*"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134-20 --locoid 4032 --swversion DE.1.0.8.0 --startMP 204:232998 --initTime 2016-12-20T08:29:26 --startdatetime 2016-12-20T08:41:16 --delay 1 --endMP 204:150 --enddatetime 2016-12-20T09:21:14 --enforcementcount 0 &gt;&gt;C:\Users\stu\Documents\GitHub\eaglep3-reporting\EC\2016-12-20-refined-times.txt</v>
      </c>
      <c r="AI4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ID","value":"134-20"},{"id":16,"name":"Locomotive ID","value":"4032"},{"id":130,"name":"Impact","value":""},{"id":150,"name":"Time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539</v>
      </c>
      <c r="B47" s="7">
        <v>4040</v>
      </c>
      <c r="C47" s="22" t="s">
        <v>205</v>
      </c>
      <c r="D47" s="22" t="s">
        <v>255</v>
      </c>
      <c r="E47" s="13">
        <v>42724.328321759262</v>
      </c>
      <c r="F47" s="13">
        <v>42724.33390046296</v>
      </c>
      <c r="G47" s="7">
        <v>1</v>
      </c>
      <c r="H47" s="22" t="s">
        <v>719</v>
      </c>
      <c r="I47" s="13">
        <v>42724.360219907408</v>
      </c>
      <c r="J47" s="7">
        <v>0</v>
      </c>
      <c r="K47" s="109" t="str">
        <f t="shared" si="0"/>
        <v>4039/4040</v>
      </c>
      <c r="L47" s="22" t="str">
        <f>VLOOKUP(A47,'Trips&amp;Operators'!$C$1:$G$99999,5,FALSE)</f>
        <v>DAVIDSON DAVID</v>
      </c>
      <c r="M47" s="6">
        <f t="shared" si="1"/>
        <v>2.6319444448745344E-2</v>
      </c>
      <c r="N47" s="7">
        <f t="shared" si="19"/>
        <v>37.900000006193295</v>
      </c>
      <c r="O47" s="7"/>
      <c r="P47" s="7"/>
      <c r="Q47" s="23"/>
      <c r="R47" s="23"/>
      <c r="S47" s="35">
        <f t="shared" si="20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06:52:47-700',mode:absolute,to:'2016-12-20 09:38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4.6399999999999997E-2</v>
      </c>
      <c r="Z47" s="67">
        <f t="shared" si="22"/>
        <v>23.3307</v>
      </c>
      <c r="AA47" s="67">
        <f t="shared" si="10"/>
        <v>23.284300000000002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0135-20</v>
      </c>
      <c r="AE47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47" s="88" t="str">
        <f t="shared" si="13"/>
        <v>"C:\Program Files (x86)\AstroGrep\AstroGrep.exe" /spath="%USERPROFILE%\AppData\Local\Temp\OnboardLogs" /stypes="app*4040*20161220*"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135-20 --locoid 4040 --swversion DE.1.0.8.0 --startMP 204:464 --initTime 2016-12-20T07:52:47 --startdatetime 2016-12-20T08:00:49 --delay 1 --endMP 204:233307 --enddatetime 2016-12-20T08:38:43 --enforcementcount 0 &gt;&gt;C:\Users\stu\Documents\GitHub\eaglep3-reporting\EC\2016-12-20-refined-times.txt</v>
      </c>
      <c r="AI4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{"issue":{"subject":"","project_id":79,"tracker_id":40,"status_id":1,"priority_id":2,"assigned_to_id":23,"start_date":"2016-12-20","description":"","custom_fields":[{"id":1,"name":"Subdivision","value":"EC"},{"id":4,"name":"Milepost","value":"23.3307"},{"id":17,"name":"Train ID","value":"135-20"},{"id":16,"name":"Locomotive ID","value":"4040"},{"id":130,"name":"Impact","value":""},{"id":150,"name":"Time of Event (Mountain Time)","value":"08:38:43"},{"id":151,"name":"Denver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550</v>
      </c>
      <c r="B48" s="7">
        <v>4039</v>
      </c>
      <c r="C48" s="22" t="s">
        <v>205</v>
      </c>
      <c r="D48" s="22" t="s">
        <v>408</v>
      </c>
      <c r="E48" s="13">
        <v>42724.362291666665</v>
      </c>
      <c r="F48" s="13">
        <v>42724.372418981482</v>
      </c>
      <c r="G48" s="7">
        <v>1</v>
      </c>
      <c r="H48" s="22" t="s">
        <v>260</v>
      </c>
      <c r="I48" s="13">
        <v>42724.401608796295</v>
      </c>
      <c r="J48" s="7">
        <v>0</v>
      </c>
      <c r="K48" s="109" t="str">
        <f t="shared" si="0"/>
        <v>4039/4040</v>
      </c>
      <c r="L48" s="22" t="str">
        <f>VLOOKUP(A48,'Trips&amp;Operators'!$C$1:$G$99999,5,FALSE)</f>
        <v>DAVIDSON DAVID</v>
      </c>
      <c r="M48" s="6">
        <f t="shared" si="1"/>
        <v>2.9189814813435078E-2</v>
      </c>
      <c r="N48" s="7">
        <f t="shared" si="19"/>
        <v>42.033333331346512</v>
      </c>
      <c r="O48" s="7"/>
      <c r="P48" s="7"/>
      <c r="Q48" s="23"/>
      <c r="R48" s="23"/>
      <c r="S48" s="35">
        <f t="shared" si="20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07:41:42-700',mode:absolute,to:'2016-12-20 10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23.296700000000001</v>
      </c>
      <c r="Z48" s="67">
        <f t="shared" si="22"/>
        <v>1.47E-2</v>
      </c>
      <c r="AA48" s="67">
        <f t="shared" si="10"/>
        <v>23.282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0136-20</v>
      </c>
      <c r="AE48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48" s="88" t="str">
        <f t="shared" si="13"/>
        <v>"C:\Program Files (x86)\AstroGrep\AstroGrep.exe" /spath="%USERPROFILE%\AppData\Local\Temp\OnboardLogs" /stypes="app*4039*20161220*"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136-20 --locoid 4039 --swversion DE.1.0.8.0 --startMP 204:232967 --initTime 2016-12-20T08:41:42 --startdatetime 2016-12-20T08:56:17 --delay 1 --endMP 204:147 --enddatetime 2016-12-20T09:38:19 --enforcementcount 0 &gt;&gt;C:\Users\stu\Documents\GitHub\eaglep3-reporting\EC\2016-12-20-refined-times.txt</v>
      </c>
      <c r="AI4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{"issue":{"subject":"","project_id":79,"tracker_id":40,"status_id":1,"priority_id":2,"assigned_to_id":23,"start_date":"2016-12-20","description":"","custom_fields":[{"id":1,"name":"Subdivision","value":"EC"},{"id":4,"name":"Milepost","value":"0.0147"},{"id":17,"name":"Train ID","value":"136-20"},{"id":16,"name":"Locomotive ID","value":"4039"},{"id":130,"name":"Impact","value":""},{"id":150,"name":"Time of Event (Mountain Time)","value":"09:38:19"},{"id":151,"name":"Denver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540</v>
      </c>
      <c r="B49" s="7">
        <v>4042</v>
      </c>
      <c r="C49" s="22" t="s">
        <v>205</v>
      </c>
      <c r="D49" s="22" t="s">
        <v>720</v>
      </c>
      <c r="E49" s="13">
        <v>42724.339571759258</v>
      </c>
      <c r="F49" s="13">
        <v>42724.343946759262</v>
      </c>
      <c r="G49" s="7">
        <v>1</v>
      </c>
      <c r="H49" s="22" t="s">
        <v>395</v>
      </c>
      <c r="I49" s="13">
        <v>42724.368252314816</v>
      </c>
      <c r="J49" s="7">
        <v>0</v>
      </c>
      <c r="K49" s="109" t="str">
        <f t="shared" si="0"/>
        <v>4041/4042</v>
      </c>
      <c r="L49" s="22" t="str">
        <f>VLOOKUP(A49,'Trips&amp;Operators'!$C$1:$G$99999,5,FALSE)</f>
        <v>DAVIS WENDY</v>
      </c>
      <c r="M49" s="6">
        <f t="shared" si="1"/>
        <v>2.4305555554747116E-2</v>
      </c>
      <c r="N49" s="7">
        <f t="shared" si="19"/>
        <v>34.999999998835847</v>
      </c>
      <c r="O49" s="7"/>
      <c r="P49" s="7"/>
      <c r="Q49" s="23"/>
      <c r="R49" s="23"/>
      <c r="S49" s="35">
        <f t="shared" si="20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07:08:59-700',mode:absolute,to:'2016-12-20 09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4.1500000000000002E-2</v>
      </c>
      <c r="Z49" s="67">
        <f t="shared" si="22"/>
        <v>23.331199999999999</v>
      </c>
      <c r="AA49" s="67">
        <f t="shared" si="10"/>
        <v>23.2897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0137-20</v>
      </c>
      <c r="AE49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49" s="88" t="str">
        <f t="shared" si="13"/>
        <v>"C:\Program Files (x86)\AstroGrep\AstroGrep.exe" /spath="%USERPROFILE%\AppData\Local\Temp\OnboardLogs" /stypes="app*4042*20161220*"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137-20 --locoid 4042 --swversion DE.1.0.8.0 --startMP 204:415 --initTime 2016-12-20T08:08:59 --startdatetime 2016-12-20T08:15:17 --delay 1 --endMP 204:233312 --enddatetime 2016-12-20T08:50:17 --enforcementcount 0 &gt;&gt;C:\Users\stu\Documents\GitHub\eaglep3-reporting\EC\2016-12-20-refined-times.txt</v>
      </c>
      <c r="AI4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{"issue":{"subject":"","project_id":79,"tracker_id":40,"status_id":1,"priority_id":2,"assigned_to_id":23,"start_date":"2016-12-20","description":"","custom_fields":[{"id":1,"name":"Subdivision","value":"EC"},{"id":4,"name":"Milepost","value":"23.3312"},{"id":17,"name":"Train ID","value":"137-20"},{"id":16,"name":"Locomotive ID","value":"4042"},{"id":130,"name":"Impact","value":""},{"id":150,"name":"Time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469</v>
      </c>
      <c r="B50" s="7">
        <v>4041</v>
      </c>
      <c r="C50" s="22" t="s">
        <v>205</v>
      </c>
      <c r="D50" s="22" t="s">
        <v>721</v>
      </c>
      <c r="E50" s="13">
        <v>42724.378159722219</v>
      </c>
      <c r="F50" s="13">
        <v>42724.382905092592</v>
      </c>
      <c r="G50" s="7">
        <v>1</v>
      </c>
      <c r="H50" s="22" t="s">
        <v>350</v>
      </c>
      <c r="I50" s="13">
        <v>42724.41028935185</v>
      </c>
      <c r="J50" s="7">
        <v>0</v>
      </c>
      <c r="K50" s="109" t="str">
        <f t="shared" si="0"/>
        <v>4041/4042</v>
      </c>
      <c r="L50" s="22" t="str">
        <f>VLOOKUP(A50,'Trips&amp;Operators'!$C$1:$G$99999,5,FALSE)</f>
        <v>DAVIS WENDY</v>
      </c>
      <c r="M50" s="6">
        <f t="shared" si="1"/>
        <v>2.7384259257814847E-2</v>
      </c>
      <c r="N50" s="7">
        <f t="shared" si="19"/>
        <v>39.43333333125338</v>
      </c>
      <c r="O50" s="7"/>
      <c r="P50" s="7"/>
      <c r="Q50" s="23"/>
      <c r="R50" s="23"/>
      <c r="S50" s="35">
        <f t="shared" si="20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08:04:33-700',mode:absolute,to:'2016-12-20 10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23.2989</v>
      </c>
      <c r="Z50" s="67">
        <f t="shared" si="22"/>
        <v>1.5599999999999999E-2</v>
      </c>
      <c r="AA50" s="67">
        <f t="shared" si="10"/>
        <v>23.283300000000001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0138-20</v>
      </c>
      <c r="AE50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50" s="88" t="str">
        <f t="shared" si="13"/>
        <v>"C:\Program Files (x86)\AstroGrep\AstroGrep.exe" /spath="%USERPROFILE%\AppData\Local\Temp\OnboardLogs" /stypes="app*4041*20161220*"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138-20 --locoid 4041 --swversion DE.1.0.8.0 --startMP 204:232989 --initTime 2016-12-20T09:04:33 --startdatetime 2016-12-20T09:11:23 --delay 1 --endMP 204:156 --enddatetime 2016-12-20T09:50:49 --enforcementcount 0 &gt;&gt;C:\Users\stu\Documents\GitHub\eaglep3-reporting\EC\2016-12-20-refined-times.txt</v>
      </c>
      <c r="AI5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ID","value":"138-20"},{"id":16,"name":"Locomotive ID","value":"4041"},{"id":130,"name":"Impact","value":""},{"id":150,"name":"Time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542</v>
      </c>
      <c r="B51" s="7">
        <v>4020</v>
      </c>
      <c r="C51" s="22" t="s">
        <v>205</v>
      </c>
      <c r="D51" s="22" t="s">
        <v>304</v>
      </c>
      <c r="E51" s="13">
        <v>42724.351493055554</v>
      </c>
      <c r="F51" s="13">
        <v>42724.354884259257</v>
      </c>
      <c r="G51" s="7">
        <v>2</v>
      </c>
      <c r="H51" s="22" t="s">
        <v>307</v>
      </c>
      <c r="I51" s="13">
        <v>42724.380289351851</v>
      </c>
      <c r="J51" s="7">
        <v>0</v>
      </c>
      <c r="K51" s="109" t="str">
        <f t="shared" si="0"/>
        <v>4019/4020</v>
      </c>
      <c r="L51" s="22" t="str">
        <f>VLOOKUP(A51,'Trips&amp;Operators'!$C$1:$G$99999,5,FALSE)</f>
        <v>DUNCAN SHEILA</v>
      </c>
      <c r="M51" s="6">
        <f t="shared" si="1"/>
        <v>2.5405092594155576E-2</v>
      </c>
      <c r="N51" s="7">
        <f t="shared" si="19"/>
        <v>36.58333333558403</v>
      </c>
      <c r="O51" s="7"/>
      <c r="P51" s="7"/>
      <c r="Q51" s="23"/>
      <c r="R51" s="23"/>
      <c r="S51" s="35">
        <f t="shared" si="20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07:26:09-700',mode:absolute,to:'2016-12-20 10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1" s="52" t="str">
        <f t="shared" si="6"/>
        <v>N</v>
      </c>
      <c r="X51" s="177">
        <f t="shared" si="21"/>
        <v>1</v>
      </c>
      <c r="Y51" s="67">
        <f t="shared" si="8"/>
        <v>4.4900000000000002E-2</v>
      </c>
      <c r="Z51" s="67">
        <f t="shared" si="22"/>
        <v>23.329499999999999</v>
      </c>
      <c r="AA51" s="67">
        <f t="shared" si="10"/>
        <v>23.284600000000001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0139-20</v>
      </c>
      <c r="AE51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51" s="88" t="str">
        <f t="shared" si="13"/>
        <v>"C:\Program Files (x86)\AstroGrep\AstroGrep.exe" /spath="%USERPROFILE%\AppData\Local\Temp\OnboardLogs" /stypes="app*4020*20161220*"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139-20 --locoid 4020 --swversion DE.1.0.8.0 --startMP 204:449 --initTime 2016-12-20T08:26:09 --startdatetime 2016-12-20T08:31:02 --delay 2 --endMP 204:233295 --enddatetime 2016-12-20T09:07:37 --enforcementcount 0 &gt;&gt;C:\Users\stu\Documents\GitHub\eaglep3-reporting\EC\2016-12-20-refined-times.txt</v>
      </c>
      <c r="AI5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ID","value":"139-20"},{"id":16,"name":"Locomotive ID","value":"4020"},{"id":130,"name":"Impact","value":""},{"id":150,"name":"Time of Event (Mountain Time)","value":"09:07:37"},{"id":151,"name":"Denver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470</v>
      </c>
      <c r="B52" s="7">
        <v>4019</v>
      </c>
      <c r="C52" s="22" t="s">
        <v>205</v>
      </c>
      <c r="D52" s="22" t="s">
        <v>413</v>
      </c>
      <c r="E52" s="13">
        <v>42724.389525462961</v>
      </c>
      <c r="F52" s="13">
        <v>42724.39402777778</v>
      </c>
      <c r="G52" s="7">
        <v>1</v>
      </c>
      <c r="H52" s="22" t="s">
        <v>260</v>
      </c>
      <c r="I52" s="13">
        <v>42724.422511574077</v>
      </c>
      <c r="J52" s="7">
        <v>0</v>
      </c>
      <c r="K52" s="109" t="str">
        <f t="shared" si="0"/>
        <v>4019/4020</v>
      </c>
      <c r="L52" s="22" t="str">
        <f>VLOOKUP(A52,'Trips&amp;Operators'!$C$1:$G$99999,5,FALSE)</f>
        <v>DUNCAN SHEILA</v>
      </c>
      <c r="M52" s="6">
        <f t="shared" si="1"/>
        <v>2.8483796297223307E-2</v>
      </c>
      <c r="N52" s="7">
        <f t="shared" si="19"/>
        <v>41.016666668001562</v>
      </c>
      <c r="O52" s="7"/>
      <c r="P52" s="7"/>
      <c r="Q52" s="23"/>
      <c r="R52" s="23"/>
      <c r="S52" s="35">
        <f t="shared" si="20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08:20:55-700',mode:absolute,to:'2016-12-20 11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2" s="52" t="str">
        <f t="shared" si="6"/>
        <v>N</v>
      </c>
      <c r="X52" s="177">
        <f t="shared" si="21"/>
        <v>1</v>
      </c>
      <c r="Y52" s="67">
        <f t="shared" si="8"/>
        <v>23.297499999999999</v>
      </c>
      <c r="Z52" s="67">
        <f t="shared" si="22"/>
        <v>1.47E-2</v>
      </c>
      <c r="AA52" s="67">
        <f t="shared" si="10"/>
        <v>23.282799999999998</v>
      </c>
      <c r="AB52" s="64" t="str">
        <f>VLOOKUP(A52,Enforcements!$C$7:$K$19,8,0)</f>
        <v>Bulletin (2)</v>
      </c>
      <c r="AC52" s="60" t="str">
        <f>VLOOKUP(A52,Enforcements!$C$7:$E$19,3,0)</f>
        <v>GRADE CROSSING</v>
      </c>
      <c r="AD52" s="61" t="str">
        <f t="shared" si="11"/>
        <v>0140-20</v>
      </c>
      <c r="AE52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52" s="88" t="str">
        <f t="shared" si="13"/>
        <v>"C:\Program Files (x86)\AstroGrep\AstroGrep.exe" /spath="%USERPROFILE%\AppData\Local\Temp\OnboardLogs" /stypes="app*4019*20161220*"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140-20 --locoid 4019 --swversion DE.1.0.8.0 --startMP 204:232975 --initTime 2016-12-20T09:20:55 --startdatetime 2016-12-20T09:27:24 --delay 1 --endMP 204:147 --enddatetime 2016-12-20T10:08:25 --enforcementcount 0 &gt;&gt;C:\Users\stu\Documents\GitHub\eaglep3-reporting\EC\2016-12-20-refined-times.txt</v>
      </c>
      <c r="AI5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{"issue":{"subject":"","project_id":79,"tracker_id":40,"status_id":1,"priority_id":2,"assigned_to_id":23,"start_date":"2016-12-20","description":"","custom_fields":[{"id":1,"name":"Subdivision","value":"EC"},{"id":4,"name":"Milepost","value":"0.0147"},{"id":17,"name":"Train ID","value":"140-20"},{"id":16,"name":"Locomotive ID","value":"4019"},{"id":130,"name":"Impact","value":""},{"id":150,"name":"Time of Event (Mountain Time)","value":"10:08:25"},{"id":151,"name":"Denver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548</v>
      </c>
      <c r="B53" s="7">
        <v>4044</v>
      </c>
      <c r="C53" s="22" t="s">
        <v>205</v>
      </c>
      <c r="D53" s="22" t="s">
        <v>278</v>
      </c>
      <c r="E53" s="13">
        <v>42724.361180555556</v>
      </c>
      <c r="F53" s="13">
        <v>42724.364849537036</v>
      </c>
      <c r="G53" s="7">
        <v>1</v>
      </c>
      <c r="H53" s="22" t="s">
        <v>722</v>
      </c>
      <c r="I53" s="13">
        <v>42724.391250000001</v>
      </c>
      <c r="J53" s="7">
        <v>0</v>
      </c>
      <c r="K53" s="109" t="str">
        <f t="shared" si="0"/>
        <v>4043/4044</v>
      </c>
      <c r="L53" s="22" t="str">
        <f>VLOOKUP(A53,'Trips&amp;Operators'!$C$1:$G$99999,5,FALSE)</f>
        <v>OUN ZACK</v>
      </c>
      <c r="M53" s="6">
        <f t="shared" si="1"/>
        <v>2.6400462964375038E-2</v>
      </c>
      <c r="N53" s="7">
        <f t="shared" si="19"/>
        <v>38.016666668700054</v>
      </c>
      <c r="O53" s="7"/>
      <c r="P53" s="7"/>
      <c r="Q53" s="23"/>
      <c r="R53" s="23"/>
      <c r="S53" s="35">
        <f t="shared" si="20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07:40:06-700',mode:absolute,to:'2016-12-20 10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21"/>
        <v>1</v>
      </c>
      <c r="Y53" s="67">
        <f t="shared" si="8"/>
        <v>4.4400000000000002E-2</v>
      </c>
      <c r="Z53" s="67">
        <f t="shared" si="22"/>
        <v>23.3249</v>
      </c>
      <c r="AA53" s="67">
        <f t="shared" si="10"/>
        <v>23.2805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0141-20</v>
      </c>
      <c r="AE53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53" s="88" t="str">
        <f t="shared" si="13"/>
        <v>"C:\Program Files (x86)\AstroGrep\AstroGrep.exe" /spath="%USERPROFILE%\AppData\Local\Temp\OnboardLogs" /stypes="app*4044*20161220*"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141-20 --locoid 4044 --swversion DE.1.0.8.0 --startMP 204:444 --initTime 2016-12-20T08:40:06 --startdatetime 2016-12-20T08:45:23 --delay 1 --endMP 204:233249 --enddatetime 2016-12-20T09:23:24 --enforcementcount 0 &gt;&gt;C:\Users\stu\Documents\GitHub\eaglep3-reporting\EC\2016-12-20-refined-times.txt</v>
      </c>
      <c r="AI5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{"issue":{"subject":"","project_id":79,"tracker_id":40,"status_id":1,"priority_id":2,"assigned_to_id":23,"start_date":"2016-12-20","description":"","custom_fields":[{"id":1,"name":"Subdivision","value":"EC"},{"id":4,"name":"Milepost","value":"23.3249"},{"id":17,"name":"Train ID","value":"141-20"},{"id":16,"name":"Locomotive ID","value":"4044"},{"id":130,"name":"Impact","value":""},{"id":150,"name":"Time of Event (Mountain Time)","value":"09:23:24"},{"id":151,"name":"Denver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554</v>
      </c>
      <c r="B54" s="7">
        <v>4043</v>
      </c>
      <c r="C54" s="22" t="s">
        <v>205</v>
      </c>
      <c r="D54" s="22" t="s">
        <v>723</v>
      </c>
      <c r="E54" s="13">
        <v>42724.398946759262</v>
      </c>
      <c r="F54" s="13">
        <v>42724.403726851851</v>
      </c>
      <c r="G54" s="7">
        <v>1</v>
      </c>
      <c r="H54" s="22" t="s">
        <v>235</v>
      </c>
      <c r="I54" s="13">
        <v>42724.431122685186</v>
      </c>
      <c r="J54" s="7">
        <v>0</v>
      </c>
      <c r="K54" s="109" t="str">
        <f t="shared" si="0"/>
        <v>4043/4044</v>
      </c>
      <c r="L54" s="22" t="str">
        <f>VLOOKUP(A54,'Trips&amp;Operators'!$C$1:$G$99999,5,FALSE)</f>
        <v>OUN ZACK</v>
      </c>
      <c r="M54" s="6">
        <f t="shared" si="1"/>
        <v>2.7395833334594499E-2</v>
      </c>
      <c r="N54" s="7">
        <f t="shared" si="19"/>
        <v>39.450000001816079</v>
      </c>
      <c r="O54" s="7"/>
      <c r="P54" s="7"/>
      <c r="Q54" s="23"/>
      <c r="R54" s="23"/>
      <c r="S54" s="35">
        <f t="shared" si="20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08:34:29-700',mode:absolute,to:'2016-12-20 11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21"/>
        <v>1</v>
      </c>
      <c r="Y54" s="67">
        <f t="shared" si="8"/>
        <v>23.2987</v>
      </c>
      <c r="Z54" s="67">
        <f t="shared" si="22"/>
        <v>1.4500000000000001E-2</v>
      </c>
      <c r="AA54" s="67">
        <f t="shared" si="10"/>
        <v>23.284199999999998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0142-20</v>
      </c>
      <c r="AE54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54" s="88" t="str">
        <f t="shared" si="13"/>
        <v>"C:\Program Files (x86)\AstroGrep\AstroGrep.exe" /spath="%USERPROFILE%\AppData\Local\Temp\OnboardLogs" /stypes="app*4043*20161220*"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142-20 --locoid 4043 --swversion DE.1.0.8.0 --startMP 204:232987 --initTime 2016-12-20T09:34:29 --startdatetime 2016-12-20T09:41:22 --delay 1 --endMP 204:145 --enddatetime 2016-12-20T10:20:49 --enforcementcount 0 &gt;&gt;C:\Users\stu\Documents\GitHub\eaglep3-reporting\EC\2016-12-20-refined-times.txt</v>
      </c>
      <c r="AI5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ID","value":"142-20"},{"id":16,"name":"Locomotive ID","value":"4043"},{"id":130,"name":"Impact","value":""},{"id":150,"name":"Time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467</v>
      </c>
      <c r="B55" s="7">
        <v>4018</v>
      </c>
      <c r="C55" s="22" t="s">
        <v>205</v>
      </c>
      <c r="D55" s="22" t="s">
        <v>724</v>
      </c>
      <c r="E55" s="13">
        <v>42724.371574074074</v>
      </c>
      <c r="F55" s="13">
        <v>42724.375428240739</v>
      </c>
      <c r="G55" s="7">
        <v>1</v>
      </c>
      <c r="H55" s="22" t="s">
        <v>357</v>
      </c>
      <c r="I55" s="13">
        <v>42724.400011574071</v>
      </c>
      <c r="J55" s="7">
        <v>0</v>
      </c>
      <c r="K55" s="109" t="str">
        <f t="shared" si="0"/>
        <v>4017/4018</v>
      </c>
      <c r="L55" s="22" t="str">
        <f>VLOOKUP(A55,'Trips&amp;Operators'!$C$1:$G$99999,5,FALSE)</f>
        <v>SIMONEAUX TERA</v>
      </c>
      <c r="M55" s="6">
        <f t="shared" si="1"/>
        <v>2.4583333331975155E-2</v>
      </c>
      <c r="N55" s="7">
        <f t="shared" si="19"/>
        <v>35.399999998044223</v>
      </c>
      <c r="O55" s="7"/>
      <c r="P55" s="7"/>
      <c r="Q55" s="23"/>
      <c r="R55" s="23"/>
      <c r="S55" s="35">
        <f t="shared" si="20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07:55:04-700',mode:absolute,to:'2016-12-20 10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 t="shared" si="6"/>
        <v>N</v>
      </c>
      <c r="X55" s="177">
        <f t="shared" si="21"/>
        <v>1</v>
      </c>
      <c r="Y55" s="67">
        <f t="shared" si="8"/>
        <v>0.05</v>
      </c>
      <c r="Z55" s="67">
        <f t="shared" si="22"/>
        <v>23.327000000000002</v>
      </c>
      <c r="AA55" s="67">
        <f t="shared" si="10"/>
        <v>23.277000000000001</v>
      </c>
      <c r="AB55" s="64" t="str">
        <f>VLOOKUP(A55,Enforcements!$C$7:$K$19,8,0)</f>
        <v>Speed (6)</v>
      </c>
      <c r="AC55" s="60" t="str">
        <f>VLOOKUP(A55,Enforcements!$C$7:$E$19,3,0)</f>
        <v>PERMANENT SPEED RESTRICTION</v>
      </c>
      <c r="AD55" s="61" t="str">
        <f t="shared" si="11"/>
        <v>0143-20</v>
      </c>
      <c r="AE55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55" s="88" t="str">
        <f t="shared" si="13"/>
        <v>"C:\Program Files (x86)\AstroGrep\AstroGrep.exe" /spath="%USERPROFILE%\AppData\Local\Temp\OnboardLogs" /stypes="app*4018*20161220*"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143-20 --locoid 4018 --swversion DE.1.0.8.0 --startMP 204:500 --initTime 2016-12-20T08:55:04 --startdatetime 2016-12-20T09:00:37 --delay 1 --endMP 204:233270 --enddatetime 2016-12-20T09:36:01 --enforcementcount 0 &gt;&gt;C:\Users\stu\Documents\GitHub\eaglep3-reporting\EC\2016-12-20-refined-times.txt</v>
      </c>
      <c r="AI5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{"issue":{"subject":"","project_id":79,"tracker_id":40,"status_id":1,"priority_id":2,"assigned_to_id":23,"start_date":"2016-12-20","description":"","custom_fields":[{"id":1,"name":"Subdivision","value":"EC"},{"id":4,"name":"Milepost","value":"23.327"},{"id":17,"name":"Train ID","value":"143-20"},{"id":16,"name":"Locomotive ID","value":"4018"},{"id":130,"name":"Impact","value":""},{"id":150,"name":"Time of Event (Mountain Time)","value":"09:36:01"},{"id":151,"name":"Denver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556</v>
      </c>
      <c r="B56" s="7">
        <v>4017</v>
      </c>
      <c r="C56" s="22" t="s">
        <v>205</v>
      </c>
      <c r="D56" s="22" t="s">
        <v>725</v>
      </c>
      <c r="E56" s="13">
        <v>42724.401597222219</v>
      </c>
      <c r="F56" s="13">
        <v>42724.414155092592</v>
      </c>
      <c r="G56" s="7">
        <v>1</v>
      </c>
      <c r="H56" s="22" t="s">
        <v>245</v>
      </c>
      <c r="I56" s="13">
        <v>42724.443969907406</v>
      </c>
      <c r="J56" s="7">
        <v>0</v>
      </c>
      <c r="K56" s="109" t="str">
        <f t="shared" si="0"/>
        <v>4017/4018</v>
      </c>
      <c r="L56" s="22" t="str">
        <f>VLOOKUP(A56,'Trips&amp;Operators'!$C$1:$G$99999,5,FALSE)</f>
        <v>SIMONEAUX TERA</v>
      </c>
      <c r="M56" s="6">
        <f t="shared" si="1"/>
        <v>2.9814814814017154E-2</v>
      </c>
      <c r="N56" s="7">
        <f t="shared" si="19"/>
        <v>42.933333332184702</v>
      </c>
      <c r="O56" s="7"/>
      <c r="P56" s="7"/>
      <c r="Q56" s="23"/>
      <c r="R56" s="23"/>
      <c r="S56" s="35">
        <f t="shared" si="20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08:38:18-700',mode:absolute,to:'2016-12-20 11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 t="shared" si="6"/>
        <v>N</v>
      </c>
      <c r="X56" s="177">
        <f t="shared" si="21"/>
        <v>1</v>
      </c>
      <c r="Y56" s="67">
        <f t="shared" si="8"/>
        <v>23.296500000000002</v>
      </c>
      <c r="Z56" s="67">
        <f t="shared" si="22"/>
        <v>1.6299999999999999E-2</v>
      </c>
      <c r="AA56" s="67">
        <f t="shared" si="10"/>
        <v>23.280200000000001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0144-20</v>
      </c>
      <c r="AE56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56" s="88" t="str">
        <f t="shared" si="13"/>
        <v>"C:\Program Files (x86)\AstroGrep\AstroGrep.exe" /spath="%USERPROFILE%\AppData\Local\Temp\OnboardLogs" /stypes="app*4017*20161220*"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144-20 --locoid 4017 --swversion DE.1.0.8.0 --startMP 204:232965 --initTime 2016-12-20T09:38:18 --startdatetime 2016-12-20T09:56:23 --delay 1 --endMP 204:163 --enddatetime 2016-12-20T10:39:19 --enforcementcount 0 &gt;&gt;C:\Users\stu\Documents\GitHub\eaglep3-reporting\EC\2016-12-20-refined-times.txt</v>
      </c>
      <c r="AI5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ID","value":"144-20"},{"id":16,"name":"Locomotive ID","value":"4017"},{"id":130,"name":"Impact","value":""},{"id":150,"name":"Time of Event (Mountain Time)","value":"10:39:19"},{"id":151,"name":"Denver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551</v>
      </c>
      <c r="B57" s="7">
        <v>4046</v>
      </c>
      <c r="C57" s="22" t="s">
        <v>205</v>
      </c>
      <c r="D57" s="22" t="s">
        <v>231</v>
      </c>
      <c r="E57" s="13">
        <v>42724.382789351854</v>
      </c>
      <c r="F57" s="13">
        <v>42724.386006944442</v>
      </c>
      <c r="G57" s="7">
        <v>4</v>
      </c>
      <c r="H57" s="22" t="s">
        <v>712</v>
      </c>
      <c r="I57" s="13">
        <v>42724.410277777781</v>
      </c>
      <c r="J57" s="7">
        <v>0</v>
      </c>
      <c r="K57" s="109" t="str">
        <f t="shared" si="0"/>
        <v>4045/4046</v>
      </c>
      <c r="L57" s="22" t="str">
        <f>VLOOKUP(A57,'Trips&amp;Operators'!$C$1:$G$99999,5,FALSE)</f>
        <v>MAGEE KENYA</v>
      </c>
      <c r="M57" s="6">
        <f t="shared" si="1"/>
        <v>2.4270833338960074E-2</v>
      </c>
      <c r="N57" s="7">
        <f t="shared" si="19"/>
        <v>34.950000008102506</v>
      </c>
      <c r="O57" s="7"/>
      <c r="P57" s="7"/>
      <c r="Q57" s="23"/>
      <c r="R57" s="23"/>
      <c r="S57" s="35">
        <f t="shared" si="20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08:11:13-700',mode:absolute,to:'2016-12-20 10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7" s="52" t="str">
        <f t="shared" si="6"/>
        <v>N</v>
      </c>
      <c r="X57" s="177">
        <f t="shared" si="21"/>
        <v>1</v>
      </c>
      <c r="Y57" s="67">
        <f t="shared" si="8"/>
        <v>4.7100000000000003E-2</v>
      </c>
      <c r="Z57" s="67">
        <f t="shared" si="22"/>
        <v>23.331399999999999</v>
      </c>
      <c r="AA57" s="67">
        <f t="shared" si="10"/>
        <v>23.284299999999998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0145-20</v>
      </c>
      <c r="AE57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57" s="88" t="str">
        <f t="shared" si="13"/>
        <v>"C:\Program Files (x86)\AstroGrep\AstroGrep.exe" /spath="%USERPROFILE%\AppData\Local\Temp\OnboardLogs" /stypes="app*4046*20161220*"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145-20 --locoid 4046 --swversion DE.1.0.8.0 --startMP 204:471 --initTime 2016-12-20T09:11:13 --startdatetime 2016-12-20T09:15:51 --delay 4 --endMP 204:233314 --enddatetime 2016-12-20T09:50:48 --enforcementcount 0 &gt;&gt;C:\Users\stu\Documents\GitHub\eaglep3-reporting\EC\2016-12-20-refined-times.txt</v>
      </c>
      <c r="AI5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ID","value":"145-20"},{"id":16,"name":"Locomotive ID","value":"4046"},{"id":130,"name":"Impact","value":""},{"id":150,"name":"Time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560</v>
      </c>
      <c r="B58" s="7">
        <v>4045</v>
      </c>
      <c r="C58" s="22" t="s">
        <v>205</v>
      </c>
      <c r="D58" s="22" t="s">
        <v>269</v>
      </c>
      <c r="E58" s="13">
        <v>42724.414907407408</v>
      </c>
      <c r="F58" s="13">
        <v>42724.424618055556</v>
      </c>
      <c r="G58" s="7">
        <v>2</v>
      </c>
      <c r="H58" s="22" t="s">
        <v>235</v>
      </c>
      <c r="I58" s="13">
        <v>42724.450972222221</v>
      </c>
      <c r="J58" s="7">
        <v>0</v>
      </c>
      <c r="K58" s="109" t="str">
        <f t="shared" si="0"/>
        <v>4045/4046</v>
      </c>
      <c r="L58" s="22" t="str">
        <f>VLOOKUP(A58,'Trips&amp;Operators'!$C$1:$G$99999,5,FALSE)</f>
        <v>MAGEE KENYA</v>
      </c>
      <c r="M58" s="6">
        <f t="shared" si="1"/>
        <v>2.6354166664532386E-2</v>
      </c>
      <c r="N58" s="7">
        <f t="shared" si="19"/>
        <v>37.949999996926636</v>
      </c>
      <c r="O58" s="7"/>
      <c r="P58" s="7"/>
      <c r="Q58" s="23"/>
      <c r="R58" s="23"/>
      <c r="S58" s="35">
        <f t="shared" si="20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08:57:28-700',mode:absolute,to:'2016-12-20 11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8" s="52" t="str">
        <f t="shared" si="6"/>
        <v>N</v>
      </c>
      <c r="X58" s="177">
        <f t="shared" si="21"/>
        <v>1</v>
      </c>
      <c r="Y58" s="67">
        <f t="shared" si="8"/>
        <v>23.299299999999999</v>
      </c>
      <c r="Z58" s="67">
        <f t="shared" si="22"/>
        <v>1.4500000000000001E-2</v>
      </c>
      <c r="AA58" s="67">
        <f t="shared" si="10"/>
        <v>23.284799999999997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0146-20</v>
      </c>
      <c r="AE58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58" s="88" t="str">
        <f t="shared" si="13"/>
        <v>"C:\Program Files (x86)\AstroGrep\AstroGrep.exe" /spath="%USERPROFILE%\AppData\Local\Temp\OnboardLogs" /stypes="app*4045*20161220*"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146-20 --locoid 4045 --swversion DE.1.0.8.0 --startMP 204:232993 --initTime 2016-12-20T09:57:28 --startdatetime 2016-12-20T10:11:27 --delay 2 --endMP 204:145 --enddatetime 2016-12-20T10:49:24 --enforcementcount 0 &gt;&gt;C:\Users\stu\Documents\GitHub\eaglep3-reporting\EC\2016-12-20-refined-times.txt</v>
      </c>
      <c r="AI5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ID","value":"146-20"},{"id":16,"name":"Locomotive ID","value":"4045"},{"id":130,"name":"Impact","value":""},{"id":150,"name":"Time of Event (Mountain Time)","value":"10:49:24"},{"id":151,"name":"Denver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553</v>
      </c>
      <c r="B59" s="7">
        <v>4031</v>
      </c>
      <c r="C59" s="22" t="s">
        <v>205</v>
      </c>
      <c r="D59" s="22" t="s">
        <v>230</v>
      </c>
      <c r="E59" s="13">
        <v>42724.390462962961</v>
      </c>
      <c r="F59" s="13">
        <v>42724.395995370367</v>
      </c>
      <c r="G59" s="7">
        <v>1</v>
      </c>
      <c r="H59" s="22" t="s">
        <v>400</v>
      </c>
      <c r="I59" s="13">
        <v>42724.42046296296</v>
      </c>
      <c r="J59" s="7">
        <v>0</v>
      </c>
      <c r="K59" s="109" t="str">
        <f t="shared" si="0"/>
        <v>4031/4032</v>
      </c>
      <c r="L59" s="22" t="str">
        <f>VLOOKUP(A59,'Trips&amp;Operators'!$C$1:$G$99999,5,FALSE)</f>
        <v>STARKS ANGELINA</v>
      </c>
      <c r="M59" s="6">
        <f t="shared" si="1"/>
        <v>2.4467592593282461E-2</v>
      </c>
      <c r="N59" s="7">
        <f t="shared" si="19"/>
        <v>35.233333334326744</v>
      </c>
      <c r="O59" s="7"/>
      <c r="P59" s="7"/>
      <c r="Q59" s="23"/>
      <c r="R59" s="23"/>
      <c r="S59" s="35">
        <f t="shared" si="20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08:22:16-700',mode:absolute,to:'2016-12-20 11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9" s="52" t="str">
        <f t="shared" si="6"/>
        <v>N</v>
      </c>
      <c r="X59" s="177">
        <f t="shared" si="21"/>
        <v>1</v>
      </c>
      <c r="Y59" s="67">
        <f t="shared" si="8"/>
        <v>4.5999999999999999E-2</v>
      </c>
      <c r="Z59" s="67">
        <f t="shared" si="22"/>
        <v>23.3293</v>
      </c>
      <c r="AA59" s="67">
        <f t="shared" si="10"/>
        <v>23.283300000000001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0147-20</v>
      </c>
      <c r="AE59" s="91" t="str">
        <f t="shared" si="12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59" s="88" t="str">
        <f t="shared" si="13"/>
        <v>"C:\Program Files (x86)\AstroGrep\AstroGrep.exe" /spath="%USERPROFILE%\AppData\Local\Temp\OnboardLogs" /stypes="app*4031*20161220*"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147-20 --locoid 4031 --swversion DE.1.0.8.0 --startMP 204:460 --initTime 2016-12-20T09:22:16 --startdatetime 2016-12-20T09:30:14 --delay 1 --endMP 204:233293 --enddatetime 2016-12-20T10:05:28 --enforcementcount 0 &gt;&gt;C:\Users\stu\Documents\GitHub\eaglep3-reporting\EC\2016-12-20-refined-times.txt</v>
      </c>
      <c r="AI5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{"issue":{"subject":"","project_id":79,"tracker_id":40,"status_id":1,"priority_id":2,"assigned_to_id":23,"start_date":"2016-12-20","description":"","custom_fields":[{"id":1,"name":"Subdivision","value":"EC"},{"id":4,"name":"Milepost","value":"23.3293"},{"id":17,"name":"Train ID","value":"147-20"},{"id":16,"name":"Locomotive ID","value":"4031"},{"id":130,"name":"Impact","value":""},{"id":150,"name":"Time of Event (Mountain Time)","value":"10:05:28"},{"id":151,"name":"Denver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562</v>
      </c>
      <c r="B60" s="7">
        <v>4032</v>
      </c>
      <c r="C60" s="22" t="s">
        <v>205</v>
      </c>
      <c r="D60" s="22" t="s">
        <v>309</v>
      </c>
      <c r="E60" s="13">
        <v>42724.429282407407</v>
      </c>
      <c r="F60" s="13">
        <v>42724.437245370369</v>
      </c>
      <c r="G60" s="7">
        <v>4</v>
      </c>
      <c r="H60" s="22" t="s">
        <v>266</v>
      </c>
      <c r="I60" s="13">
        <v>42724.470081018517</v>
      </c>
      <c r="J60" s="7">
        <v>0</v>
      </c>
      <c r="K60" s="109" t="str">
        <f t="shared" si="0"/>
        <v>4031/4032</v>
      </c>
      <c r="L60" s="22" t="str">
        <f>VLOOKUP(A60,'Trips&amp;Operators'!$C$1:$G$99999,5,FALSE)</f>
        <v>STARKS ANGELINA</v>
      </c>
      <c r="M60" s="6">
        <f t="shared" si="1"/>
        <v>3.2835648147738539E-2</v>
      </c>
      <c r="N60" s="7">
        <f t="shared" si="19"/>
        <v>47.283333332743496</v>
      </c>
      <c r="O60" s="7"/>
      <c r="P60" s="7"/>
      <c r="Q60" s="23"/>
      <c r="R60" s="23"/>
      <c r="S60" s="35">
        <f t="shared" si="20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09:18:10-700',mode:absolute,to:'2016-12-20 12:16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0" s="52" t="str">
        <f t="shared" si="6"/>
        <v>N</v>
      </c>
      <c r="X60" s="177">
        <f t="shared" si="21"/>
        <v>1</v>
      </c>
      <c r="Y60" s="67">
        <f t="shared" si="8"/>
        <v>23.2973</v>
      </c>
      <c r="Z60" s="67">
        <f t="shared" si="22"/>
        <v>1.61E-2</v>
      </c>
      <c r="AA60" s="67">
        <f t="shared" si="10"/>
        <v>23.281199999999998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0148-20</v>
      </c>
      <c r="AE60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60" s="88" t="str">
        <f t="shared" si="13"/>
        <v>"C:\Program Files (x86)\AstroGrep\AstroGrep.exe" /spath="%USERPROFILE%\AppData\Local\Temp\OnboardLogs" /stypes="app*4032*20161220*"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148-20 --locoid 4032 --swversion DE.1.0.8.0 --startMP 204:232973 --initTime 2016-12-20T10:18:10 --startdatetime 2016-12-20T10:29:38 --delay 4 --endMP 204:161 --enddatetime 2016-12-20T11:16:55 --enforcementcount 0 &gt;&gt;C:\Users\stu\Documents\GitHub\eaglep3-reporting\EC\2016-12-20-refined-times.txt</v>
      </c>
      <c r="AI6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{"issue":{"subject":"","project_id":79,"tracker_id":40,"status_id":1,"priority_id":2,"assigned_to_id":23,"start_date":"2016-12-20","description":"","custom_fields":[{"id":1,"name":"Subdivision","value":"EC"},{"id":4,"name":"Milepost","value":"0.0161"},{"id":17,"name":"Train ID","value":"148-20"},{"id":16,"name":"Locomotive ID","value":"4032"},{"id":130,"name":"Impact","value":""},{"id":150,"name":"Time of Event (Mountain Time)","value":"11:16:55"},{"id":151,"name":"Denver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558</v>
      </c>
      <c r="B61" s="7">
        <v>4040</v>
      </c>
      <c r="C61" s="22" t="s">
        <v>205</v>
      </c>
      <c r="D61" s="22" t="s">
        <v>399</v>
      </c>
      <c r="E61" s="13">
        <v>42724.402777777781</v>
      </c>
      <c r="F61" s="13">
        <v>42724.406446759262</v>
      </c>
      <c r="G61" s="7">
        <v>1</v>
      </c>
      <c r="H61" s="22" t="s">
        <v>426</v>
      </c>
      <c r="I61" s="13">
        <v>42724.431863425925</v>
      </c>
      <c r="J61" s="7">
        <v>0</v>
      </c>
      <c r="K61" s="109" t="str">
        <f t="shared" si="0"/>
        <v>4039/4040</v>
      </c>
      <c r="L61" s="22" t="str">
        <f>VLOOKUP(A61,'Trips&amp;Operators'!$C$1:$G$99999,5,FALSE)</f>
        <v>DAVIDSON DAVID</v>
      </c>
      <c r="M61" s="6">
        <f t="shared" si="1"/>
        <v>2.5416666663659271E-2</v>
      </c>
      <c r="N61" s="7">
        <f t="shared" si="19"/>
        <v>36.59999999566935</v>
      </c>
      <c r="O61" s="7"/>
      <c r="P61" s="7"/>
      <c r="Q61" s="23"/>
      <c r="R61" s="23"/>
      <c r="S61" s="35">
        <f t="shared" si="20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08:40:00-700',mode:absolute,to:'2016-12-20 11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1" s="52" t="str">
        <f t="shared" si="6"/>
        <v>N</v>
      </c>
      <c r="X61" s="177">
        <f t="shared" si="21"/>
        <v>1</v>
      </c>
      <c r="Y61" s="67">
        <f t="shared" si="8"/>
        <v>4.8000000000000001E-2</v>
      </c>
      <c r="Z61" s="67">
        <f t="shared" si="22"/>
        <v>23.328700000000001</v>
      </c>
      <c r="AA61" s="67">
        <f t="shared" si="10"/>
        <v>23.280700000000003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0149-20</v>
      </c>
      <c r="AE61" s="91" t="str">
        <f t="shared" si="12"/>
        <v>aws s3 cp s3://rtdc.mdm.uploadarchive.raw/RTDC4040/ "%USERPROFILE%\AppData\Local\Temp\OnboardLogs"\RTDC4040\2016-12-20 --exclude "*" --recursive --include "*20161220*" &amp; "%USERPROFILE%\Documents\GitHub\mrs-test-scripts\Headless Mode &amp; Sideloading\WalkAndUnGZ.bat" "%USERPROFILE%\AppData\Local\Temp\OnboardLogs"\RTDC4040\2016-12-20 &amp; aws s3 cp s3://rtdc.mdm.uploadarchive.raw/RTDC4040/ "%USERPROFILE%\AppData\Local\Temp\OnboardLogs"\RTDC4040\2016-12-21 --exclude "*" --recursive --include "*20161221*" &amp; "%USERPROFILE%\Documents\GitHub\mrs-test-scripts\Headless Mode &amp; Sideloading\WalkAndUnGZ.bat" "%USERPROFILE%\AppData\Local\Temp\OnboardLogs"\RTDC4040\2016-12-21</v>
      </c>
      <c r="AF61" s="88" t="str">
        <f t="shared" si="13"/>
        <v>"C:\Program Files (x86)\AstroGrep\AstroGrep.exe" /spath="%USERPROFILE%\AppData\Local\Temp\OnboardLogs" /stypes="app*4040*20161220*"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149-20 --locoid 4040 --swversion DE.1.0.8.0 --startMP 204:480 --initTime 2016-12-20T09:40:00 --startdatetime 2016-12-20T09:45:17 --delay 1 --endMP 204:233287 --enddatetime 2016-12-20T10:21:53 --enforcementcount 0 &gt;&gt;C:\Users\stu\Documents\GitHub\eaglep3-reporting\EC\2016-12-20-refined-times.txt</v>
      </c>
      <c r="AI6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{"issue":{"subject":"","project_id":79,"tracker_id":40,"status_id":1,"priority_id":2,"assigned_to_id":23,"start_date":"2016-12-20","description":"","custom_fields":[{"id":1,"name":"Subdivision","value":"EC"},{"id":4,"name":"Milepost","value":"23.3287"},{"id":17,"name":"Train ID","value":"149-20"},{"id":16,"name":"Locomotive ID","value":"4040"},{"id":130,"name":"Impact","value":""},{"id":150,"name":"Time of Event (Mountain Time)","value":"10:21:53"},{"id":151,"name":"Denver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565</v>
      </c>
      <c r="B62" s="7">
        <v>4039</v>
      </c>
      <c r="C62" s="22" t="s">
        <v>205</v>
      </c>
      <c r="D62" s="22" t="s">
        <v>265</v>
      </c>
      <c r="E62" s="13">
        <v>42724.43822916667</v>
      </c>
      <c r="F62" s="13">
        <v>42724.445324074077</v>
      </c>
      <c r="G62" s="7">
        <v>1</v>
      </c>
      <c r="H62" s="22" t="s">
        <v>434</v>
      </c>
      <c r="I62" s="13">
        <v>42724.474166666667</v>
      </c>
      <c r="J62" s="7">
        <v>0</v>
      </c>
      <c r="K62" s="109" t="str">
        <f t="shared" si="0"/>
        <v>4039/4040</v>
      </c>
      <c r="L62" s="22" t="str">
        <f>VLOOKUP(A62,'Trips&amp;Operators'!$C$1:$G$99999,5,FALSE)</f>
        <v>DAVIDSON DAVID</v>
      </c>
      <c r="M62" s="6">
        <f t="shared" si="1"/>
        <v>2.884259259008104E-2</v>
      </c>
      <c r="N62" s="7">
        <f t="shared" si="19"/>
        <v>41.533333329716697</v>
      </c>
      <c r="O62" s="7"/>
      <c r="P62" s="7"/>
      <c r="Q62" s="23"/>
      <c r="R62" s="23"/>
      <c r="S62" s="35">
        <f t="shared" si="20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09:31:03-700',mode:absolute,to:'2016-12-20 12:22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 t="shared" si="6"/>
        <v>N</v>
      </c>
      <c r="X62" s="177">
        <f t="shared" si="21"/>
        <v>1</v>
      </c>
      <c r="Y62" s="67">
        <f t="shared" si="8"/>
        <v>23.297699999999999</v>
      </c>
      <c r="Z62" s="67">
        <f t="shared" si="22"/>
        <v>0.1181</v>
      </c>
      <c r="AA62" s="67">
        <f t="shared" si="10"/>
        <v>23.179600000000001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0150-20</v>
      </c>
      <c r="AE62" s="91" t="str">
        <f t="shared" si="12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62" s="88" t="str">
        <f t="shared" si="13"/>
        <v>"C:\Program Files (x86)\AstroGrep\AstroGrep.exe" /spath="%USERPROFILE%\AppData\Local\Temp\OnboardLogs" /stypes="app*4039*20161220*"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150-20 --locoid 4039 --swversion DE.1.0.8.0 --startMP 204:232977 --initTime 2016-12-20T10:31:03 --startdatetime 2016-12-20T10:41:16 --delay 1 --endMP 204:1181 --enddatetime 2016-12-20T11:22:48 --enforcementcount 0 &gt;&gt;C:\Users\stu\Documents\GitHub\eaglep3-reporting\EC\2016-12-20-refined-times.txt</v>
      </c>
      <c r="AI6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{"issue":{"subject":"","project_id":79,"tracker_id":40,"status_id":1,"priority_id":2,"assigned_to_id":23,"start_date":"2016-12-20","description":"","custom_fields":[{"id":1,"name":"Subdivision","value":"EC"},{"id":4,"name":"Milepost","value":"0.1181"},{"id":17,"name":"Train ID","value":"150-20"},{"id":16,"name":"Locomotive ID","value":"4039"},{"id":130,"name":"Impact","value":""},{"id":150,"name":"Time of Event (Mountain Time)","value":"11:22:48"},{"id":151,"name":"Denver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559</v>
      </c>
      <c r="B63" s="7">
        <v>4042</v>
      </c>
      <c r="C63" s="22" t="s">
        <v>205</v>
      </c>
      <c r="D63" s="22" t="s">
        <v>726</v>
      </c>
      <c r="E63" s="13">
        <v>42724.411412037036</v>
      </c>
      <c r="F63" s="13">
        <v>42724.416817129626</v>
      </c>
      <c r="G63" s="7">
        <v>0</v>
      </c>
      <c r="H63" s="22" t="s">
        <v>398</v>
      </c>
      <c r="I63" s="13">
        <v>42724.442210648151</v>
      </c>
      <c r="J63" s="7">
        <v>0</v>
      </c>
      <c r="K63" s="109" t="str">
        <f t="shared" si="0"/>
        <v>4041/4042</v>
      </c>
      <c r="L63" s="22" t="str">
        <f>VLOOKUP(A63,'Trips&amp;Operators'!$C$1:$G$99999,5,FALSE)</f>
        <v>DAVIS WENDY</v>
      </c>
      <c r="M63" s="6">
        <f t="shared" si="1"/>
        <v>2.5393518524651881E-2</v>
      </c>
      <c r="N63" s="7">
        <f t="shared" si="19"/>
        <v>36.566666675498709</v>
      </c>
      <c r="O63" s="7"/>
      <c r="P63" s="7"/>
      <c r="Q63" s="23"/>
      <c r="R63" s="23"/>
      <c r="S63" s="35">
        <f t="shared" si="20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08:52:26-700',mode:absolute,to:'2016-12-20 11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6"/>
        <v>N</v>
      </c>
      <c r="X63" s="177">
        <f t="shared" si="21"/>
        <v>1</v>
      </c>
      <c r="Y63" s="67">
        <f t="shared" si="8"/>
        <v>4.82E-2</v>
      </c>
      <c r="Z63" s="67">
        <f t="shared" si="22"/>
        <v>23.328399999999998</v>
      </c>
      <c r="AA63" s="67">
        <f t="shared" si="10"/>
        <v>23.280199999999997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0151-20</v>
      </c>
      <c r="AE63" s="91" t="str">
        <f t="shared" si="12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63" s="88" t="str">
        <f t="shared" si="13"/>
        <v>"C:\Program Files (x86)\AstroGrep\AstroGrep.exe" /spath="%USERPROFILE%\AppData\Local\Temp\OnboardLogs" /stypes="app*4042*20161220*"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151-20 --locoid 4042 --swversion DE.1.0.8.0 --startMP 204:482 --initTime 2016-12-20T09:52:26 --startdatetime 2016-12-20T10:00:13 --delay 0 --endMP 204:233284 --enddatetime 2016-12-20T10:36:47 --enforcementcount 0 &gt;&gt;C:\Users\stu\Documents\GitHub\eaglep3-reporting\EC\2016-12-20-refined-times.txt</v>
      </c>
      <c r="AI6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{"issue":{"subject":"","project_id":79,"tracker_id":40,"status_id":1,"priority_id":2,"assigned_to_id":23,"start_date":"2016-12-20","description":"","custom_fields":[{"id":1,"name":"Subdivision","value":"EC"},{"id":4,"name":"Milepost","value":"23.3284"},{"id":17,"name":"Train ID","value":"151-20"},{"id":16,"name":"Locomotive ID","value":"4042"},{"id":130,"name":"Impact","value":""},{"id":150,"name":"Time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568</v>
      </c>
      <c r="B64" s="7">
        <v>4041</v>
      </c>
      <c r="C64" s="22" t="s">
        <v>205</v>
      </c>
      <c r="D64" s="22" t="s">
        <v>290</v>
      </c>
      <c r="E64" s="13">
        <v>42724.451898148145</v>
      </c>
      <c r="F64" s="13">
        <v>42724.455717592595</v>
      </c>
      <c r="G64" s="7">
        <v>1</v>
      </c>
      <c r="H64" s="22" t="s">
        <v>407</v>
      </c>
      <c r="I64" s="13">
        <v>42724.484826388885</v>
      </c>
      <c r="J64" s="7">
        <v>0</v>
      </c>
      <c r="K64" s="109" t="str">
        <f t="shared" si="0"/>
        <v>4041/4042</v>
      </c>
      <c r="L64" s="22" t="str">
        <f>VLOOKUP(A64,'Trips&amp;Operators'!$C$1:$G$99999,5,FALSE)</f>
        <v>DAVIS WENDY</v>
      </c>
      <c r="M64" s="6">
        <f t="shared" si="1"/>
        <v>2.9108796290529426E-2</v>
      </c>
      <c r="N64" s="7">
        <f t="shared" si="19"/>
        <v>41.916666658362374</v>
      </c>
      <c r="O64" s="7"/>
      <c r="P64" s="7"/>
      <c r="Q64" s="23"/>
      <c r="R64" s="23"/>
      <c r="S64" s="35">
        <f t="shared" si="20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09:50:44-700',mode:absolute,to:'2016-12-20 12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2" t="str">
        <f t="shared" si="6"/>
        <v>N</v>
      </c>
      <c r="X64" s="177">
        <f t="shared" si="21"/>
        <v>1</v>
      </c>
      <c r="Y64" s="67">
        <f t="shared" si="8"/>
        <v>23.2971</v>
      </c>
      <c r="Z64" s="67">
        <f t="shared" si="22"/>
        <v>1.52E-2</v>
      </c>
      <c r="AA64" s="67">
        <f t="shared" si="10"/>
        <v>23.2819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0152-20</v>
      </c>
      <c r="AE64" s="91" t="str">
        <f t="shared" si="12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64" s="88" t="str">
        <f t="shared" si="13"/>
        <v>"C:\Program Files (x86)\AstroGrep\AstroGrep.exe" /spath="%USERPROFILE%\AppData\Local\Temp\OnboardLogs" /stypes="app*4041*20161220*"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152-20 --locoid 4041 --swversion DE.1.0.8.0 --startMP 204:232971 --initTime 2016-12-20T10:50:44 --startdatetime 2016-12-20T10:56:14 --delay 1 --endMP 204:152 --enddatetime 2016-12-20T11:38:09 --enforcementcount 0 &gt;&gt;C:\Users\stu\Documents\GitHub\eaglep3-reporting\EC\2016-12-20-refined-times.txt</v>
      </c>
      <c r="AI6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ID","value":"152-20"},{"id":16,"name":"Locomotive ID","value":"4041"},{"id":130,"name":"Impact","value":""},{"id":150,"name":"Time of Event (Mountain Time)","value":"11:38:09"},{"id":151,"name":"Denver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471</v>
      </c>
      <c r="B65" s="7">
        <v>4020</v>
      </c>
      <c r="C65" s="22" t="s">
        <v>205</v>
      </c>
      <c r="D65" s="22" t="s">
        <v>255</v>
      </c>
      <c r="E65" s="13">
        <v>42724.424467592595</v>
      </c>
      <c r="F65" s="13">
        <v>42724.427407407406</v>
      </c>
      <c r="G65" s="7">
        <v>1</v>
      </c>
      <c r="H65" s="22" t="s">
        <v>360</v>
      </c>
      <c r="I65" s="13">
        <v>42724.45516203704</v>
      </c>
      <c r="J65" s="7">
        <v>0</v>
      </c>
      <c r="K65" s="109" t="str">
        <f t="shared" si="0"/>
        <v>4019/4020</v>
      </c>
      <c r="L65" s="22" t="str">
        <f>VLOOKUP(A65,'Trips&amp;Operators'!$C$1:$G$99999,5,FALSE)</f>
        <v>DUNCAN SHEILA</v>
      </c>
      <c r="M65" s="6">
        <f t="shared" si="1"/>
        <v>2.775462963472819E-2</v>
      </c>
      <c r="N65" s="7">
        <f t="shared" si="19"/>
        <v>39.966666674008593</v>
      </c>
      <c r="O65" s="7"/>
      <c r="P65" s="7"/>
      <c r="Q65" s="23"/>
      <c r="R65" s="23"/>
      <c r="S65" s="35">
        <f t="shared" si="20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09:11:14-700',mode:absolute,to:'2016-12-20 11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52" t="str">
        <f t="shared" si="6"/>
        <v>N</v>
      </c>
      <c r="X65" s="177">
        <f t="shared" si="21"/>
        <v>1</v>
      </c>
      <c r="Y65" s="67">
        <f t="shared" si="8"/>
        <v>4.6399999999999997E-2</v>
      </c>
      <c r="Z65" s="67">
        <f t="shared" si="22"/>
        <v>23.328499999999998</v>
      </c>
      <c r="AA65" s="67">
        <f t="shared" si="10"/>
        <v>23.2821</v>
      </c>
      <c r="AB65" s="64" t="str">
        <f>VLOOKUP(A65,Enforcements!$C$7:$K$19,8,0)</f>
        <v>Bulletin (2)</v>
      </c>
      <c r="AC65" s="60" t="str">
        <f>VLOOKUP(A65,Enforcements!$C$7:$E$19,3,0)</f>
        <v>GRADE CROSSING</v>
      </c>
      <c r="AD65" s="61" t="str">
        <f t="shared" si="11"/>
        <v>0153-20</v>
      </c>
      <c r="AE65" s="91" t="str">
        <f t="shared" si="12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65" s="88" t="str">
        <f t="shared" si="13"/>
        <v>"C:\Program Files (x86)\AstroGrep\AstroGrep.exe" /spath="%USERPROFILE%\AppData\Local\Temp\OnboardLogs" /stypes="app*4020*20161220*"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153-20 --locoid 4020 --swversion DE.1.0.8.0 --startMP 204:464 --initTime 2016-12-20T10:11:14 --startdatetime 2016-12-20T10:15:28 --delay 1 --endMP 204:233285 --enddatetime 2016-12-20T10:55:26 --enforcementcount 0 &gt;&gt;C:\Users\stu\Documents\GitHub\eaglep3-reporting\EC\2016-12-20-refined-times.txt</v>
      </c>
      <c r="AI6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{"issue":{"subject":"","project_id":79,"tracker_id":40,"status_id":1,"priority_id":2,"assigned_to_id":23,"start_date":"2016-12-20","description":"","custom_fields":[{"id":1,"name":"Subdivision","value":"EC"},{"id":4,"name":"Milepost","value":"23.3285"},{"id":17,"name":"Train ID","value":"153-20"},{"id":16,"name":"Locomotive ID","value":"4020"},{"id":130,"name":"Impact","value":""},{"id":150,"name":"Time of Event (Mountain Time)","value":"10:55:26"},{"id":151,"name":"Denver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570</v>
      </c>
      <c r="B66" s="7">
        <v>4019</v>
      </c>
      <c r="C66" s="22" t="s">
        <v>205</v>
      </c>
      <c r="D66" s="22" t="s">
        <v>265</v>
      </c>
      <c r="E66" s="13">
        <v>42724.462025462963</v>
      </c>
      <c r="F66" s="13">
        <v>42724.466354166667</v>
      </c>
      <c r="G66" s="7">
        <v>1</v>
      </c>
      <c r="H66" s="22" t="s">
        <v>293</v>
      </c>
      <c r="I66" s="13">
        <v>42724.495011574072</v>
      </c>
      <c r="J66" s="7">
        <v>0</v>
      </c>
      <c r="K66" s="109" t="str">
        <f t="shared" si="0"/>
        <v>4019/4020</v>
      </c>
      <c r="L66" s="22" t="str">
        <f>VLOOKUP(A66,'Trips&amp;Operators'!$C$1:$G$99999,5,FALSE)</f>
        <v>DUNCAN SHEILA</v>
      </c>
      <c r="M66" s="6">
        <f t="shared" si="1"/>
        <v>2.8657407405262347E-2</v>
      </c>
      <c r="N66" s="7">
        <f t="shared" si="19"/>
        <v>41.26666666357778</v>
      </c>
      <c r="O66" s="7"/>
      <c r="P66" s="7"/>
      <c r="Q66" s="23"/>
      <c r="R66" s="23"/>
      <c r="S66" s="35">
        <f t="shared" si="20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10:05:19-700',mode:absolute,to:'2016-12-20 12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52" t="str">
        <f t="shared" si="6"/>
        <v>N</v>
      </c>
      <c r="X66" s="177">
        <f t="shared" si="21"/>
        <v>1</v>
      </c>
      <c r="Y66" s="67">
        <f t="shared" si="8"/>
        <v>23.297699999999999</v>
      </c>
      <c r="Z66" s="67">
        <f t="shared" si="22"/>
        <v>1.34E-2</v>
      </c>
      <c r="AA66" s="67">
        <f t="shared" si="10"/>
        <v>23.284299999999998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0154-20</v>
      </c>
      <c r="AE66" s="91" t="str">
        <f t="shared" si="12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66" s="88" t="str">
        <f t="shared" si="13"/>
        <v>"C:\Program Files (x86)\AstroGrep\AstroGrep.exe" /spath="%USERPROFILE%\AppData\Local\Temp\OnboardLogs" /stypes="app*4019*20161220*"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154-20 --locoid 4019 --swversion DE.1.0.8.0 --startMP 204:232977 --initTime 2016-12-20T11:05:19 --startdatetime 2016-12-20T11:11:33 --delay 1 --endMP 204:134 --enddatetime 2016-12-20T11:52:49 --enforcementcount 0 &gt;&gt;C:\Users\stu\Documents\GitHub\eaglep3-reporting\EC\2016-12-20-refined-times.txt</v>
      </c>
      <c r="AI6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{"issue":{"subject":"","project_id":79,"tracker_id":40,"status_id":1,"priority_id":2,"assigned_to_id":23,"start_date":"2016-12-20","description":"","custom_fields":[{"id":1,"name":"Subdivision","value":"EC"},{"id":4,"name":"Milepost","value":"0.0134"},{"id":17,"name":"Train ID","value":"154-20"},{"id":16,"name":"Locomotive ID","value":"4019"},{"id":130,"name":"Impact","value":""},{"id":150,"name":"Time of Event (Mountain Time)","value":"11:52:49"},{"id":151,"name":"Denver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473</v>
      </c>
      <c r="B67" s="7">
        <v>4044</v>
      </c>
      <c r="C67" s="22" t="s">
        <v>205</v>
      </c>
      <c r="D67" s="22" t="s">
        <v>716</v>
      </c>
      <c r="E67" s="13">
        <v>42724.433807870373</v>
      </c>
      <c r="F67" s="13">
        <v>42724.437847222223</v>
      </c>
      <c r="G67" s="7">
        <v>1</v>
      </c>
      <c r="H67" s="22" t="s">
        <v>727</v>
      </c>
      <c r="I67" s="13">
        <v>42724.462314814817</v>
      </c>
      <c r="J67" s="7">
        <v>0</v>
      </c>
      <c r="K67" s="109" t="str">
        <f t="shared" si="0"/>
        <v>4043/4044</v>
      </c>
      <c r="L67" s="22" t="str">
        <f>VLOOKUP(A67,'Trips&amp;Operators'!$C$1:$G$99999,5,FALSE)</f>
        <v>SIMMONS SHYHESHA</v>
      </c>
      <c r="M67" s="6">
        <f t="shared" si="1"/>
        <v>2.4467592593282461E-2</v>
      </c>
      <c r="N67" s="7">
        <f t="shared" si="19"/>
        <v>35.233333334326744</v>
      </c>
      <c r="O67" s="7"/>
      <c r="P67" s="7"/>
      <c r="Q67" s="23"/>
      <c r="R67" s="23"/>
      <c r="S67" s="35">
        <f t="shared" si="20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09:24:41-700',mode:absolute,to:'2016-12-20 12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6"/>
        <v>N</v>
      </c>
      <c r="X67" s="177">
        <f t="shared" si="21"/>
        <v>1</v>
      </c>
      <c r="Y67" s="67">
        <f t="shared" si="8"/>
        <v>4.4600000000000001E-2</v>
      </c>
      <c r="Z67" s="67">
        <f t="shared" si="22"/>
        <v>23.3245</v>
      </c>
      <c r="AA67" s="67">
        <f t="shared" si="10"/>
        <v>23.279900000000001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0155-20</v>
      </c>
      <c r="AE67" s="91" t="str">
        <f t="shared" si="12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67" s="88" t="str">
        <f t="shared" si="13"/>
        <v>"C:\Program Files (x86)\AstroGrep\AstroGrep.exe" /spath="%USERPROFILE%\AppData\Local\Temp\OnboardLogs" /stypes="app*4044*20161220*"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155-20 --locoid 4044 --swversion DE.1.0.8.0 --startMP 204:446 --initTime 2016-12-20T10:24:41 --startdatetime 2016-12-20T10:30:30 --delay 1 --endMP 204:233245 --enddatetime 2016-12-20T11:05:44 --enforcementcount 0 &gt;&gt;C:\Users\stu\Documents\GitHub\eaglep3-reporting\EC\2016-12-20-refined-times.txt</v>
      </c>
      <c r="AI6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{"issue":{"subject":"","project_id":79,"tracker_id":40,"status_id":1,"priority_id":2,"assigned_to_id":23,"start_date":"2016-12-20","description":"","custom_fields":[{"id":1,"name":"Subdivision","value":"EC"},{"id":4,"name":"Milepost","value":"23.3245"},{"id":17,"name":"Train ID","value":"155-20"},{"id":16,"name":"Locomotive ID","value":"4044"},{"id":130,"name":"Impact","value":""},{"id":150,"name":"Time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571</v>
      </c>
      <c r="B68" s="7">
        <v>4043</v>
      </c>
      <c r="C68" s="22" t="s">
        <v>205</v>
      </c>
      <c r="D68" s="22" t="s">
        <v>728</v>
      </c>
      <c r="E68" s="13">
        <v>42724.464467592596</v>
      </c>
      <c r="F68" s="13">
        <v>42724.476898148147</v>
      </c>
      <c r="G68" s="7">
        <v>1</v>
      </c>
      <c r="H68" s="22" t="s">
        <v>729</v>
      </c>
      <c r="I68" s="13">
        <v>42724.505474537036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SIMMONS SHYHESHA</v>
      </c>
      <c r="M68" s="6">
        <f t="shared" si="1"/>
        <v>2.8576388889632653E-2</v>
      </c>
      <c r="N68" s="7">
        <f t="shared" si="19"/>
        <v>41.150000001071021</v>
      </c>
      <c r="O68" s="7"/>
      <c r="P68" s="7"/>
      <c r="Q68" s="23"/>
      <c r="R68" s="23"/>
      <c r="S68" s="35">
        <f t="shared" si="20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10:08:50-700',mode:absolute,to:'2016-12-20 13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23.2927</v>
      </c>
      <c r="Z68" s="67">
        <f t="shared" si="22"/>
        <v>1.7999999999999999E-2</v>
      </c>
      <c r="AA68" s="67">
        <f t="shared" si="10"/>
        <v>23.274699999999999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0156-20</v>
      </c>
      <c r="AE68" s="91" t="str">
        <f t="shared" si="12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68" s="88" t="str">
        <f t="shared" si="13"/>
        <v>"C:\Program Files (x86)\AstroGrep\AstroGrep.exe" /spath="%USERPROFILE%\AppData\Local\Temp\OnboardLogs" /stypes="app*4043*20161220*"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156-20 --locoid 4043 --swversion DE.1.0.8.0 --startMP 204:232927 --initTime 2016-12-20T11:08:50 --startdatetime 2016-12-20T11:26:44 --delay 1 --endMP 204:180 --enddatetime 2016-12-20T12:07:53 --enforcementcount 0 &gt;&gt;C:\Users\stu\Documents\GitHub\eaglep3-reporting\EC\2016-12-20-refined-times.txt</v>
      </c>
      <c r="AI68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{"issue":{"subject":"","project_id":79,"tracker_id":40,"status_id":1,"priority_id":2,"assigned_to_id":23,"start_date":"2016-12-20","description":"","custom_fields":[{"id":1,"name":"Subdivision","value":"EC"},{"id":4,"name":"Milepost","value":"0.018"},{"id":17,"name":"Train ID","value":"156-20"},{"id":16,"name":"Locomotive ID","value":"4043"},{"id":130,"name":"Impact","value":""},{"id":150,"name":"Time of Event (Mountain Time)","value":"12:07:53"},{"id":151,"name":"Denver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567</v>
      </c>
      <c r="B69" s="7">
        <v>4018</v>
      </c>
      <c r="C69" s="22" t="s">
        <v>205</v>
      </c>
      <c r="D69" s="22" t="s">
        <v>243</v>
      </c>
      <c r="E69" s="13">
        <v>42724.445405092592</v>
      </c>
      <c r="F69" s="13">
        <v>42724.448275462964</v>
      </c>
      <c r="G69" s="7">
        <v>1</v>
      </c>
      <c r="H69" s="22" t="s">
        <v>426</v>
      </c>
      <c r="I69" s="13">
        <v>42724.474537037036</v>
      </c>
      <c r="J69" s="7">
        <v>0</v>
      </c>
      <c r="K69" s="109" t="str">
        <f t="shared" si="0"/>
        <v>4017/4018</v>
      </c>
      <c r="L69" s="22" t="str">
        <f>VLOOKUP(A69,'Trips&amp;Operators'!$C$1:$G$99999,5,FALSE)</f>
        <v>SIMONEAUX TERA</v>
      </c>
      <c r="M69" s="6">
        <f t="shared" si="1"/>
        <v>2.626157407212304E-2</v>
      </c>
      <c r="N69" s="7">
        <f t="shared" si="19"/>
        <v>37.816666663857177</v>
      </c>
      <c r="O69" s="7"/>
      <c r="P69" s="7"/>
      <c r="Q69" s="23"/>
      <c r="R69" s="23"/>
      <c r="S69" s="35">
        <f t="shared" si="20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09:41:23-700',mode:absolute,to:'2016-12-20 12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4.58E-2</v>
      </c>
      <c r="Z69" s="67">
        <f t="shared" si="22"/>
        <v>23.328700000000001</v>
      </c>
      <c r="AA69" s="67">
        <f t="shared" si="10"/>
        <v>23.282900000000001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0157-20</v>
      </c>
      <c r="AE69" s="91" t="str">
        <f t="shared" si="12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69" s="88" t="str">
        <f t="shared" si="13"/>
        <v>"C:\Program Files (x86)\AstroGrep\AstroGrep.exe" /spath="%USERPROFILE%\AppData\Local\Temp\OnboardLogs" /stypes="app*4018*20161220*"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157-20 --locoid 4018 --swversion DE.1.0.8.0 --startMP 204:458 --initTime 2016-12-20T10:41:23 --startdatetime 2016-12-20T10:45:31 --delay 1 --endMP 204:233287 --enddatetime 2016-12-20T11:23:20 --enforcementcount 0 &gt;&gt;C:\Users\stu\Documents\GitHub\eaglep3-reporting\EC\2016-12-20-refined-times.txt</v>
      </c>
      <c r="AI69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{"issue":{"subject":"","project_id":79,"tracker_id":40,"status_id":1,"priority_id":2,"assigned_to_id":23,"start_date":"2016-12-20","description":"","custom_fields":[{"id":1,"name":"Subdivision","value":"EC"},{"id":4,"name":"Milepost","value":"23.3287"},{"id":17,"name":"Train ID","value":"157-20"},{"id":16,"name":"Locomotive ID","value":"4018"},{"id":130,"name":"Impact","value":""},{"id":150,"name":"Time of Event (Mountain Time)","value":"11:23:20"},{"id":151,"name":"Denver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576</v>
      </c>
      <c r="B70" s="7">
        <v>4017</v>
      </c>
      <c r="C70" s="22" t="s">
        <v>205</v>
      </c>
      <c r="D70" s="22" t="s">
        <v>730</v>
      </c>
      <c r="E70" s="13">
        <v>42724.476597222223</v>
      </c>
      <c r="F70" s="13">
        <v>42724.487025462964</v>
      </c>
      <c r="G70" s="7">
        <v>1</v>
      </c>
      <c r="H70" s="22" t="s">
        <v>407</v>
      </c>
      <c r="I70" s="13">
        <v>42724.517962962964</v>
      </c>
      <c r="J70" s="7">
        <v>0</v>
      </c>
      <c r="K70" s="109" t="str">
        <f t="shared" si="0"/>
        <v>4017/4018</v>
      </c>
      <c r="L70" s="22" t="str">
        <f>VLOOKUP(A70,'Trips&amp;Operators'!$C$1:$G$99999,5,FALSE)</f>
        <v>SIMONEAUX TERA</v>
      </c>
      <c r="M70" s="6">
        <f t="shared" si="1"/>
        <v>3.0937499999708962E-2</v>
      </c>
      <c r="N70" s="7">
        <f t="shared" si="19"/>
        <v>44.549999999580905</v>
      </c>
      <c r="O70" s="7"/>
      <c r="P70" s="7"/>
      <c r="Q70" s="23"/>
      <c r="R70" s="23"/>
      <c r="S70" s="35">
        <f t="shared" si="20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10:26:18-700',mode:absolute,to:'2016-12-20 13:25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0" s="52" t="str">
        <f t="shared" si="6"/>
        <v>N</v>
      </c>
      <c r="X70" s="177">
        <f t="shared" si="21"/>
        <v>1</v>
      </c>
      <c r="Y70" s="67">
        <f t="shared" si="8"/>
        <v>23.296600000000002</v>
      </c>
      <c r="Z70" s="67">
        <f t="shared" si="22"/>
        <v>1.52E-2</v>
      </c>
      <c r="AA70" s="67">
        <f t="shared" si="10"/>
        <v>23.281400000000001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0158-20</v>
      </c>
      <c r="AE70" s="91" t="str">
        <f t="shared" si="12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70" s="88" t="str">
        <f t="shared" si="13"/>
        <v>"C:\Program Files (x86)\AstroGrep\AstroGrep.exe" /spath="%USERPROFILE%\AppData\Local\Temp\OnboardLogs" /stypes="app*4017*20161220*"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158-20 --locoid 4017 --swversion DE.1.0.8.0 --startMP 204:232966 --initTime 2016-12-20T11:26:18 --startdatetime 2016-12-20T11:41:19 --delay 1 --endMP 204:152 --enddatetime 2016-12-20T12:25:52 --enforcementcount 0 &gt;&gt;C:\Users\stu\Documents\GitHub\eaglep3-reporting\EC\2016-12-20-refined-times.txt</v>
      </c>
      <c r="AI70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ID","value":"158-20"},{"id":16,"name":"Locomotive ID","value":"4017"},{"id":130,"name":"Impact","value":""},{"id":150,"name":"Time of Event (Mountain Time)","value":"12:25:52"},{"id":151,"name":"Denver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569</v>
      </c>
      <c r="B71" s="7">
        <v>4046</v>
      </c>
      <c r="C71" s="22" t="s">
        <v>205</v>
      </c>
      <c r="D71" s="22" t="s">
        <v>289</v>
      </c>
      <c r="E71" s="13">
        <v>42724.454502314817</v>
      </c>
      <c r="F71" s="13">
        <v>42724.458854166667</v>
      </c>
      <c r="G71" s="7">
        <v>2</v>
      </c>
      <c r="H71" s="22" t="s">
        <v>731</v>
      </c>
      <c r="I71" s="13">
        <v>42724.485775462963</v>
      </c>
      <c r="J71" s="7">
        <v>0</v>
      </c>
      <c r="K71" s="109" t="str">
        <f t="shared" si="0"/>
        <v>4045/4046</v>
      </c>
      <c r="L71" s="22" t="str">
        <f>VLOOKUP(A71,'Trips&amp;Operators'!$C$1:$G$99999,5,FALSE)</f>
        <v>DAVIS MICHAEL</v>
      </c>
      <c r="M71" s="6">
        <f t="shared" si="1"/>
        <v>2.6921296295768116E-2</v>
      </c>
      <c r="N71" s="7">
        <f t="shared" si="19"/>
        <v>38.766666665906087</v>
      </c>
      <c r="O71" s="7"/>
      <c r="P71" s="7"/>
      <c r="Q71" s="23"/>
      <c r="R71" s="23"/>
      <c r="S71" s="35">
        <f t="shared" si="20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09:54:29-700',mode:absolute,to:'2016-12-20 12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1" s="52" t="str">
        <f t="shared" si="6"/>
        <v>N</v>
      </c>
      <c r="X71" s="177">
        <f t="shared" si="21"/>
        <v>1</v>
      </c>
      <c r="Y71" s="67">
        <f t="shared" si="8"/>
        <v>4.3999999999999997E-2</v>
      </c>
      <c r="Z71" s="67">
        <f t="shared" si="22"/>
        <v>23.326799999999999</v>
      </c>
      <c r="AA71" s="67">
        <f t="shared" si="10"/>
        <v>23.282799999999998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0159-20</v>
      </c>
      <c r="AE71" s="91" t="str">
        <f t="shared" si="12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71" s="88" t="str">
        <f t="shared" si="13"/>
        <v>"C:\Program Files (x86)\AstroGrep\AstroGrep.exe" /spath="%USERPROFILE%\AppData\Local\Temp\OnboardLogs" /stypes="app*4046*20161220*"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159-20 --locoid 4046 --swversion DE.1.0.8.0 --startMP 204:440 --initTime 2016-12-20T10:54:29 --startdatetime 2016-12-20T11:00:45 --delay 2 --endMP 204:233268 --enddatetime 2016-12-20T11:39:31 --enforcementcount 0 &gt;&gt;C:\Users\stu\Documents\GitHub\eaglep3-reporting\EC\2016-12-20-refined-times.txt</v>
      </c>
      <c r="AI71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{"issue":{"subject":"","project_id":79,"tracker_id":40,"status_id":1,"priority_id":2,"assigned_to_id":23,"start_date":"2016-12-20","description":"","custom_fields":[{"id":1,"name":"Subdivision","value":"EC"},{"id":4,"name":"Milepost","value":"23.3268"},{"id":17,"name":"Train ID","value":"159-20"},{"id":16,"name":"Locomotive ID","value":"4046"},{"id":130,"name":"Impact","value":""},{"id":150,"name":"Time of Event (Mountain Time)","value":"11:39:31"},{"id":151,"name":"Denver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579</v>
      </c>
      <c r="B72" s="7">
        <v>4045</v>
      </c>
      <c r="C72" s="22" t="s">
        <v>205</v>
      </c>
      <c r="D72" s="22" t="s">
        <v>411</v>
      </c>
      <c r="E72" s="13">
        <v>42724.494768518518</v>
      </c>
      <c r="F72" s="13">
        <v>42724.497627314813</v>
      </c>
      <c r="G72" s="7">
        <v>2</v>
      </c>
      <c r="H72" s="22" t="s">
        <v>430</v>
      </c>
      <c r="I72" s="13">
        <v>42724.529039351852</v>
      </c>
      <c r="J72" s="7">
        <v>0</v>
      </c>
      <c r="K72" s="109" t="str">
        <f t="shared" si="0"/>
        <v>4045/4046</v>
      </c>
      <c r="L72" s="22" t="str">
        <f>VLOOKUP(A72,'Trips&amp;Operators'!$C$1:$G$99999,5,FALSE)</f>
        <v>DAVIS MICHAEL</v>
      </c>
      <c r="M72" s="6">
        <f t="shared" si="1"/>
        <v>3.1412037038535345E-2</v>
      </c>
      <c r="N72" s="7">
        <f t="shared" si="19"/>
        <v>45.233333335490897</v>
      </c>
      <c r="O72" s="7"/>
      <c r="P72" s="7"/>
      <c r="Q72" s="23"/>
      <c r="R72" s="23"/>
      <c r="S72" s="35">
        <f t="shared" si="20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10:52:28-700',mode:absolute,to:'2016-12-20 13:41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2" s="52" t="str">
        <f t="shared" si="6"/>
        <v>N</v>
      </c>
      <c r="X72" s="177">
        <f t="shared" si="21"/>
        <v>1</v>
      </c>
      <c r="Y72" s="67">
        <f t="shared" si="8"/>
        <v>23.295500000000001</v>
      </c>
      <c r="Z72" s="67">
        <f t="shared" si="22"/>
        <v>1.7399999999999999E-2</v>
      </c>
      <c r="AA72" s="67">
        <f t="shared" si="10"/>
        <v>23.278100000000002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0160-20</v>
      </c>
      <c r="AE72" s="91" t="str">
        <f t="shared" si="12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72" s="88" t="str">
        <f t="shared" si="13"/>
        <v>"C:\Program Files (x86)\AstroGrep\AstroGrep.exe" /spath="%USERPROFILE%\AppData\Local\Temp\OnboardLogs" /stypes="app*4045*20161220*"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160-20 --locoid 4045 --swversion DE.1.0.8.0 --startMP 204:232955 --initTime 2016-12-20T11:52:28 --startdatetime 2016-12-20T11:56:35 --delay 2 --endMP 204:174 --enddatetime 2016-12-20T12:41:49 --enforcementcount 0 &gt;&gt;C:\Users\stu\Documents\GitHub\eaglep3-reporting\EC\2016-12-20-refined-times.txt</v>
      </c>
      <c r="AI72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{"issue":{"subject":"","project_id":79,"tracker_id":40,"status_id":1,"priority_id":2,"assigned_to_id":23,"start_date":"2016-12-20","description":"","custom_fields":[{"id":1,"name":"Subdivision","value":"EC"},{"id":4,"name":"Milepost","value":"0.0174"},{"id":17,"name":"Train ID","value":"160-20"},{"id":16,"name":"Locomotive ID","value":"4045"},{"id":130,"name":"Impact","value":""},{"id":150,"name":"Time of Event (Mountain Time)","value":"12:41:49"},{"id":151,"name":"Denver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572</v>
      </c>
      <c r="B73" s="7">
        <v>4009</v>
      </c>
      <c r="C73" s="22" t="s">
        <v>205</v>
      </c>
      <c r="D73" s="22" t="s">
        <v>286</v>
      </c>
      <c r="E73" s="13">
        <v>42724.467499999999</v>
      </c>
      <c r="F73" s="13">
        <v>42724.469537037039</v>
      </c>
      <c r="G73" s="7">
        <v>2</v>
      </c>
      <c r="H73" s="22" t="s">
        <v>294</v>
      </c>
      <c r="I73" s="13">
        <v>42724.494074074071</v>
      </c>
      <c r="J73" s="7">
        <v>0</v>
      </c>
      <c r="K73" s="109" t="str">
        <f t="shared" si="0"/>
        <v>4009/4010</v>
      </c>
      <c r="L73" s="22" t="str">
        <f>VLOOKUP(A73,'Trips&amp;Operators'!$C$1:$G$99999,5,FALSE)</f>
        <v>STEWART MICHAEL</v>
      </c>
      <c r="M73" s="6">
        <f t="shared" si="1"/>
        <v>2.4537037032132503E-2</v>
      </c>
      <c r="N73" s="7">
        <f t="shared" si="19"/>
        <v>35.333333326270804</v>
      </c>
      <c r="O73" s="7"/>
      <c r="P73" s="7"/>
      <c r="Q73" s="23"/>
      <c r="R73" s="23"/>
      <c r="S73" s="35">
        <f t="shared" si="20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10:13:12-700',mode:absolute,to:'2016-12-20 12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3" s="52" t="str">
        <f t="shared" si="6"/>
        <v>N</v>
      </c>
      <c r="X73" s="177">
        <f t="shared" si="21"/>
        <v>1</v>
      </c>
      <c r="Y73" s="67">
        <f t="shared" si="8"/>
        <v>4.5699999999999998E-2</v>
      </c>
      <c r="Z73" s="67">
        <f t="shared" si="22"/>
        <v>23.329799999999999</v>
      </c>
      <c r="AA73" s="67">
        <f t="shared" si="10"/>
        <v>23.284099999999999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0161-20</v>
      </c>
      <c r="AE73" s="91" t="str">
        <f t="shared" si="12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73" s="88" t="str">
        <f t="shared" si="13"/>
        <v>"C:\Program Files (x86)\AstroGrep\AstroGrep.exe" /spath="%USERPROFILE%\AppData\Local\Temp\OnboardLogs" /stypes="app*4009*20161220*"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161-20 --locoid 4009 --swversion DE.1.0.8.0 --startMP 204:457 --initTime 2016-12-20T11:13:12 --startdatetime 2016-12-20T11:16:08 --delay 2 --endMP 204:233298 --enddatetime 2016-12-20T11:51:28 --enforcementcount 0 &gt;&gt;C:\Users\stu\Documents\GitHub\eaglep3-reporting\EC\2016-12-20-refined-times.txt</v>
      </c>
      <c r="AI73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{"issue":{"subject":"","project_id":79,"tracker_id":40,"status_id":1,"priority_id":2,"assigned_to_id":23,"start_date":"2016-12-20","description":"","custom_fields":[{"id":1,"name":"Subdivision","value":"EC"},{"id":4,"name":"Milepost","value":"23.3298"},{"id":17,"name":"Train ID","value":"161-20"},{"id":16,"name":"Locomotive ID","value":"4009"},{"id":130,"name":"Impact","value":""},{"id":150,"name":"Time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583</v>
      </c>
      <c r="B74" s="7">
        <v>4010</v>
      </c>
      <c r="C74" s="22" t="s">
        <v>205</v>
      </c>
      <c r="D74" s="22" t="s">
        <v>265</v>
      </c>
      <c r="E74" s="13">
        <v>42724.50644675926</v>
      </c>
      <c r="F74" s="13">
        <v>42724.507962962962</v>
      </c>
      <c r="G74" s="7">
        <v>0</v>
      </c>
      <c r="H74" s="22" t="s">
        <v>350</v>
      </c>
      <c r="I74" s="13">
        <v>42724.535405092596</v>
      </c>
      <c r="J74" s="7">
        <v>0</v>
      </c>
      <c r="K74" s="109" t="str">
        <f t="shared" si="0"/>
        <v>4009/4010</v>
      </c>
      <c r="L74" s="22" t="str">
        <f>VLOOKUP(A74,'Trips&amp;Operators'!$C$1:$G$99999,5,FALSE)</f>
        <v>STEWART MICHAEL</v>
      </c>
      <c r="M74" s="6">
        <f t="shared" si="1"/>
        <v>2.7442129634437151E-2</v>
      </c>
      <c r="N74" s="7">
        <f t="shared" si="19"/>
        <v>39.516666673589498</v>
      </c>
      <c r="O74" s="7"/>
      <c r="P74" s="7"/>
      <c r="Q74" s="23"/>
      <c r="R74" s="23"/>
      <c r="S74" s="35">
        <f t="shared" si="20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11:09:17-700',mode:absolute,to:'2016-12-20 13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4" s="52" t="str">
        <f t="shared" si="6"/>
        <v>N</v>
      </c>
      <c r="X74" s="177">
        <f t="shared" si="21"/>
        <v>1</v>
      </c>
      <c r="Y74" s="67">
        <f t="shared" si="8"/>
        <v>23.297699999999999</v>
      </c>
      <c r="Z74" s="67">
        <f t="shared" si="22"/>
        <v>1.5599999999999999E-2</v>
      </c>
      <c r="AA74" s="67">
        <f t="shared" si="10"/>
        <v>23.2821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0162-20</v>
      </c>
      <c r="AE74" s="91" t="str">
        <f t="shared" si="12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74" s="88" t="str">
        <f t="shared" si="13"/>
        <v>"C:\Program Files (x86)\AstroGrep\AstroGrep.exe" /spath="%USERPROFILE%\AppData\Local\Temp\OnboardLogs" /stypes="app*4010*20161220*"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162-20 --locoid 4010 --swversion DE.1.0.8.0 --startMP 204:232977 --initTime 2016-12-20T12:09:17 --startdatetime 2016-12-20T12:11:28 --delay 0 --endMP 204:156 --enddatetime 2016-12-20T12:50:59 --enforcementcount 0 &gt;&gt;C:\Users\stu\Documents\GitHub\eaglep3-reporting\EC\2016-12-20-refined-times.txt</v>
      </c>
      <c r="AI74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ID","value":"162-20"},{"id":16,"name":"Locomotive ID","value":"4010"},{"id":130,"name":"Impact","value":""},{"id":150,"name":"Time of Event (Mountain Time)","value":"12:50:59"},{"id":151,"name":"Denver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574</v>
      </c>
      <c r="B75" s="7">
        <v>4031</v>
      </c>
      <c r="C75" s="22" t="s">
        <v>205</v>
      </c>
      <c r="D75" s="22" t="s">
        <v>228</v>
      </c>
      <c r="E75" s="13">
        <v>42724.477210648147</v>
      </c>
      <c r="F75" s="13">
        <v>42724.479351851849</v>
      </c>
      <c r="G75" s="7">
        <v>1</v>
      </c>
      <c r="H75" s="22" t="s">
        <v>285</v>
      </c>
      <c r="I75" s="13">
        <v>42724.511863425927</v>
      </c>
      <c r="J75" s="7">
        <v>0</v>
      </c>
      <c r="K75" s="109" t="str">
        <f t="shared" si="0"/>
        <v>4031/4032</v>
      </c>
      <c r="L75" s="22" t="str">
        <f>VLOOKUP(A75,'Trips&amp;Operators'!$C$1:$G$99999,5,FALSE)</f>
        <v>COMELLA JUSTIN</v>
      </c>
      <c r="M75" s="6">
        <f t="shared" si="1"/>
        <v>3.2511574077943806E-2</v>
      </c>
      <c r="N75" s="7">
        <f t="shared" si="19"/>
        <v>46.81666667223908</v>
      </c>
      <c r="O75" s="7"/>
      <c r="P75" s="7"/>
      <c r="Q75" s="23"/>
      <c r="R75" s="23"/>
      <c r="S75" s="35">
        <f t="shared" si="20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10:27:11-700',mode:absolute,to:'2016-12-20 13:17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6"/>
        <v>N</v>
      </c>
      <c r="X75" s="177">
        <f t="shared" si="21"/>
        <v>1</v>
      </c>
      <c r="Y75" s="67">
        <f t="shared" si="8"/>
        <v>4.5499999999999999E-2</v>
      </c>
      <c r="Z75" s="67">
        <f t="shared" si="22"/>
        <v>23.328900000000001</v>
      </c>
      <c r="AA75" s="67">
        <f t="shared" si="10"/>
        <v>23.2834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0163-20</v>
      </c>
      <c r="AE75" s="91" t="str">
        <f t="shared" si="12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75" s="88" t="str">
        <f t="shared" si="13"/>
        <v>"C:\Program Files (x86)\AstroGrep\AstroGrep.exe" /spath="%USERPROFILE%\AppData\Local\Temp\OnboardLogs" /stypes="app*4031*20161220*"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163-20 --locoid 4031 --swversion DE.1.0.8.0 --startMP 204:455 --initTime 2016-12-20T11:27:11 --startdatetime 2016-12-20T11:30:16 --delay 1 --endMP 204:233289 --enddatetime 2016-12-20T12:17:05 --enforcementcount 0 &gt;&gt;C:\Users\stu\Documents\GitHub\eaglep3-reporting\EC\2016-12-20-refined-times.txt</v>
      </c>
      <c r="AI75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{"issue":{"subject":"","project_id":79,"tracker_id":40,"status_id":1,"priority_id":2,"assigned_to_id":23,"start_date":"2016-12-20","description":"","custom_fields":[{"id":1,"name":"Subdivision","value":"EC"},{"id":4,"name":"Milepost","value":"23.3289"},{"id":17,"name":"Train ID","value":"163-20"},{"id":16,"name":"Locomotive ID","value":"4031"},{"id":130,"name":"Impact","value":""},{"id":150,"name":"Time of Event (Mountain Time)","value":"12:17:05"},{"id":151,"name":"Denver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588</v>
      </c>
      <c r="B76" s="7">
        <v>4032</v>
      </c>
      <c r="C76" s="22" t="s">
        <v>205</v>
      </c>
      <c r="D76" s="22" t="s">
        <v>408</v>
      </c>
      <c r="E76" s="13">
        <v>42724.515266203707</v>
      </c>
      <c r="F76" s="13">
        <v>42724.518460648149</v>
      </c>
      <c r="G76" s="7">
        <v>1</v>
      </c>
      <c r="H76" s="22" t="s">
        <v>245</v>
      </c>
      <c r="I76" s="13">
        <v>42724.546655092592</v>
      </c>
      <c r="J76" s="7">
        <v>0</v>
      </c>
      <c r="K76" s="109" t="str">
        <f t="shared" si="0"/>
        <v>4031/4032</v>
      </c>
      <c r="L76" s="22" t="str">
        <f>VLOOKUP(A76,'Trips&amp;Operators'!$C$1:$G$99999,5,FALSE)</f>
        <v>COMELLA JUSTIN</v>
      </c>
      <c r="M76" s="6">
        <f t="shared" si="1"/>
        <v>2.8194444443215616E-2</v>
      </c>
      <c r="N76" s="7">
        <f t="shared" si="19"/>
        <v>40.599999998230487</v>
      </c>
      <c r="O76" s="7"/>
      <c r="P76" s="7"/>
      <c r="Q76" s="23"/>
      <c r="R76" s="23"/>
      <c r="S76" s="35">
        <f t="shared" si="20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https://search-rtdc-monitor-bjffxe2xuh6vdkpspy63sjmuny.us-east-1.es.amazonaws.com/_plugin/kibana/#/discover/Steve-Slow-Train-Analysis-(2080s-and-2083s)?_g=(refreshInterval:(display:Off,section:0,value:0),time:(from:'2016-12-20 11:21:59-700',mode:absolute,to:'2016-12-20 14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si="6"/>
        <v>N</v>
      </c>
      <c r="X76" s="177">
        <f t="shared" si="21"/>
        <v>1</v>
      </c>
      <c r="Y76" s="67">
        <f t="shared" si="8"/>
        <v>23.296700000000001</v>
      </c>
      <c r="Z76" s="67">
        <f t="shared" si="22"/>
        <v>1.6299999999999999E-2</v>
      </c>
      <c r="AA76" s="67">
        <f t="shared" si="10"/>
        <v>23.2804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0164-20</v>
      </c>
      <c r="AE76" s="91" t="str">
        <f t="shared" si="12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76" s="88" t="str">
        <f t="shared" si="13"/>
        <v>"C:\Program Files (x86)\AstroGrep\AstroGrep.exe" /spath="%USERPROFILE%\AppData\Local\Temp\OnboardLogs" /stypes="app*4032*20161220*"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164-20 --locoid 4032 --swversion DE.1.0.8.0 --startMP 204:232967 --initTime 2016-12-20T12:21:59 --startdatetime 2016-12-20T12:26:35 --delay 1 --endMP 204:163 --enddatetime 2016-12-20T13:07:11 --enforcementcount 0 &gt;&gt;C:\Users\stu\Documents\GitHub\eaglep3-reporting\EC\2016-12-20-refined-times.txt</v>
      </c>
      <c r="AI76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ID","value":"164-20"},{"id":16,"name":"Locomotive ID","value":"4032"},{"id":130,"name":"Impact","value":""},{"id":150,"name":"Time of Event (Mountain Time)","value":"13:07:11"},{"id":151,"name":"Denver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578</v>
      </c>
      <c r="B77" s="7">
        <v>4042</v>
      </c>
      <c r="C77" s="22" t="s">
        <v>205</v>
      </c>
      <c r="D77" s="22" t="s">
        <v>732</v>
      </c>
      <c r="E77" s="13">
        <v>42724.486956018518</v>
      </c>
      <c r="F77" s="13">
        <v>42724.489768518521</v>
      </c>
      <c r="G77" s="7">
        <v>1</v>
      </c>
      <c r="H77" s="22" t="s">
        <v>406</v>
      </c>
      <c r="I77" s="13">
        <v>42724.52238425926</v>
      </c>
      <c r="J77" s="7">
        <v>0</v>
      </c>
      <c r="K77" s="109" t="str">
        <f t="shared" ref="K77:K140" si="23">IF(ISEVEN(B77),(B77-1)&amp;"/"&amp;B77,B77&amp;"/"&amp;(B77+1))</f>
        <v>4041/4042</v>
      </c>
      <c r="L77" s="22" t="str">
        <f>VLOOKUP(A77,'Trips&amp;Operators'!$C$1:$G$99999,5,FALSE)</f>
        <v>CLARK KATHLEEN</v>
      </c>
      <c r="M77" s="6">
        <f t="shared" ref="M77:M140" si="24">I77-F77</f>
        <v>3.2615740739856847E-2</v>
      </c>
      <c r="N77" s="7">
        <f t="shared" ref="N77:N108" si="25">24*60*SUM($M77:$M77)</f>
        <v>46.966666665393859</v>
      </c>
      <c r="O77" s="7"/>
      <c r="P77" s="7"/>
      <c r="Q77" s="23"/>
      <c r="R77" s="23"/>
      <c r="S77" s="35">
        <f t="shared" ref="S77:S108" si="26">SUM(U77:U77)/IF(AG77="EC",12,1)</f>
        <v>1</v>
      </c>
      <c r="T77" s="50" t="str">
        <f t="shared" ref="T77:T140" si="27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https://search-rtdc-monitor-bjffxe2xuh6vdkpspy63sjmuny.us-east-1.es.amazonaws.com/_plugin/kibana/#/discover/Steve-Slow-Train-Analysis-(2080s-and-2083s)?_g=(refreshInterval:(display:Off,section:0,value:0),time:(from:'2016-12-20 10:41:13-700',mode:absolute,to:'2016-12-20 13:32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2" t="str">
        <f t="shared" ref="W77:W140" si="29">IF(AA77&lt;IF(AG77="EC",23,5.65),"Y","N")</f>
        <v>N</v>
      </c>
      <c r="X77" s="177">
        <f t="shared" ref="X77:X111" si="30">VALUE(LEFT(AD77,4))-VALUE(LEFT(AD76,4))</f>
        <v>1</v>
      </c>
      <c r="Y77" s="67">
        <f t="shared" ref="Y77:Y140" si="31">RIGHT(D77,LEN(D77)-4)/10000</f>
        <v>4.1599999999999998E-2</v>
      </c>
      <c r="Z77" s="67">
        <f t="shared" ref="Z77:Z108" si="32">RIGHT(H77,LEN(H77)-4)/10000</f>
        <v>23.328299999999999</v>
      </c>
      <c r="AA77" s="67">
        <f t="shared" ref="AA77:AA140" si="33">ABS(Z77-Y77)</f>
        <v>23.2867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4">IF(LEN(A77)=6,"0"&amp;A77,A77)</f>
        <v>0165-20</v>
      </c>
      <c r="AE77" s="91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77" s="88" t="str">
        <f t="shared" ref="AF77:AF140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/stypes="app*4042*20161220*" /stext=" 19:.+((SYSTEM_STATE.+slice.+state.+changed )|(ment ac)|(multiple cpu faults)|(system.+state.+changed )|(\[timeout)|(PRM\|1\|D)|(kpr)|(kdp)|(\|lc)|(penalty))"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165-20 --locoid 4042 --swversion DE.1.0.8.0 --startMP 204:416 --initTime 2016-12-20T11:41:13 --startdatetime 2016-12-20T11:45:16 --delay 1 --endMP 204:233283 --enddatetime 2016-12-20T12:32:14 --enforcementcount 0 &gt;&gt;C:\Users\stu\Documents\GitHub\eaglep3-reporting\EC\2016-12-20-refined-times.txt</v>
      </c>
      <c r="AI77" s="119" t="str">
        <f t="shared" si="18"/>
        <v>echo {"issue":{"subject":"","project_id":79,"tracker_id":40,"status_id":1,"priority_id":2,"assigned_to_id":23,"start_date":"2016-12-20","description":"","custom_fields":[{"id":1,"name":"Subdivision","value":"EC"},{"id":4,"name":"Milepost","value":"23.3283"},{"id":17,"name":"Train ID","value":"165-20"},{"id":16,"name":"Locomotive ID","value":"4042"},{"id":130,"name":"Impact","value":""},{"id":150,"name":"Time of Event (Mountain Time)","value":"12:32:14"},{"id":151,"name":"Denver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477</v>
      </c>
      <c r="B78" s="7">
        <v>4041</v>
      </c>
      <c r="C78" s="22" t="s">
        <v>205</v>
      </c>
      <c r="D78" s="22" t="s">
        <v>730</v>
      </c>
      <c r="E78" s="13">
        <v>42724.526041666664</v>
      </c>
      <c r="F78" s="13">
        <v>42724.528634259259</v>
      </c>
      <c r="G78" s="7">
        <v>1</v>
      </c>
      <c r="H78" s="22" t="s">
        <v>733</v>
      </c>
      <c r="I78" s="13">
        <v>42724.558298611111</v>
      </c>
      <c r="J78" s="7">
        <v>0</v>
      </c>
      <c r="K78" s="109" t="str">
        <f t="shared" si="23"/>
        <v>4041/4042</v>
      </c>
      <c r="L78" s="22" t="str">
        <f>VLOOKUP(A78,'Trips&amp;Operators'!$C$1:$G$99999,5,FALSE)</f>
        <v>CLARK KATHLEEN</v>
      </c>
      <c r="M78" s="6">
        <f t="shared" si="24"/>
        <v>2.9664351852261461E-2</v>
      </c>
      <c r="N78" s="7">
        <f t="shared" si="25"/>
        <v>42.716666667256504</v>
      </c>
      <c r="O78" s="7"/>
      <c r="P78" s="7"/>
      <c r="Q78" s="23"/>
      <c r="R78" s="23"/>
      <c r="S78" s="35">
        <f t="shared" si="26"/>
        <v>1</v>
      </c>
      <c r="T78" s="50" t="str">
        <f t="shared" si="27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11:37:30-700',mode:absolute,to:'2016-12-20 14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2" t="str">
        <f t="shared" si="29"/>
        <v>N</v>
      </c>
      <c r="X78" s="177">
        <f t="shared" si="30"/>
        <v>1</v>
      </c>
      <c r="Y78" s="67">
        <f t="shared" si="31"/>
        <v>23.296600000000002</v>
      </c>
      <c r="Z78" s="67">
        <f t="shared" si="32"/>
        <v>2.18E-2</v>
      </c>
      <c r="AA78" s="67">
        <f t="shared" si="33"/>
        <v>23.274800000000003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4"/>
        <v>0166-20</v>
      </c>
      <c r="AE78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78" s="88" t="str">
        <f t="shared" si="36"/>
        <v>"C:\Program Files (x86)\AstroGrep\AstroGrep.exe" /spath="%USERPROFILE%\AppData\Local\Temp\OnboardLogs" /stypes="app*4041*20161220*" /stext=" 20:.+((SYSTEM_STATE.+slice.+state.+changed )|(ment ac)|(multiple cpu faults)|(system.+state.+changed )|(\[timeout)|(PRM\|1\|D)|(kpr)|(kdp)|(\|lc)|(penalty))" /e /r /s</v>
      </c>
      <c r="AG78" s="1" t="str">
        <f t="shared" si="37"/>
        <v>EC</v>
      </c>
      <c r="AH78" s="92" t="str">
        <f t="shared" ref="AH78:AH140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4041 --swversion DE.1.0.8.0 --startMP 204:232966 --initTime 2016-12-20T12:37:30 --startdatetime 2016-12-20T12:41:14 --delay 1 --endMP 204:218 --enddatetime 2016-12-20T13:23:57 --enforcementcount 0 &gt;&gt;C:\Users\stu\Documents\GitHub\eaglep3-reporting\EC\2016-12-20-refined-times.txt</v>
      </c>
      <c r="AI78" s="119" t="str">
        <f t="shared" ref="AI78:AI140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{"issue":{"subject":"","project_id":79,"tracker_id":40,"status_id":1,"priority_id":2,"assigned_to_id":23,"start_date":"2016-12-20","description":"","custom_fields":[{"id":1,"name":"Subdivision","value":"EC"},{"id":4,"name":"Milepost","value":"0.0218"},{"id":17,"name":"Train ID","value":"166-20"},{"id":16,"name":"Locomotive ID","value":"4041"},{"id":130,"name":"Impact","value":""},{"id":150,"name":"Time of Event (Mountain Time)","value":"13:23:57"},{"id":151,"name":"Denver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580</v>
      </c>
      <c r="B79" s="7">
        <v>4020</v>
      </c>
      <c r="C79" s="22" t="s">
        <v>205</v>
      </c>
      <c r="D79" s="22" t="s">
        <v>278</v>
      </c>
      <c r="E79" s="13">
        <v>42724.496493055558</v>
      </c>
      <c r="F79" s="13">
        <v>42724.500381944446</v>
      </c>
      <c r="G79" s="7">
        <v>1</v>
      </c>
      <c r="H79" s="22" t="s">
        <v>359</v>
      </c>
      <c r="I79" s="13">
        <v>42724.525254629632</v>
      </c>
      <c r="J79" s="7">
        <v>0</v>
      </c>
      <c r="K79" s="109" t="str">
        <f t="shared" si="23"/>
        <v>4019/4020</v>
      </c>
      <c r="L79" s="22" t="str">
        <f>VLOOKUP(A79,'Trips&amp;Operators'!$C$1:$G$99999,5,FALSE)</f>
        <v>CRAYTON QUNTRELL</v>
      </c>
      <c r="M79" s="6">
        <f t="shared" si="24"/>
        <v>2.4872685185982846E-2</v>
      </c>
      <c r="N79" s="7">
        <f t="shared" si="25"/>
        <v>35.816666667815298</v>
      </c>
      <c r="O79" s="7"/>
      <c r="P79" s="7"/>
      <c r="Q79" s="23"/>
      <c r="R79" s="23"/>
      <c r="S79" s="35">
        <f t="shared" si="26"/>
        <v>1</v>
      </c>
      <c r="T79" s="50" t="str">
        <f t="shared" si="27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10:54:57-700',mode:absolute,to:'2016-12-20 13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 t="shared" si="29"/>
        <v>N</v>
      </c>
      <c r="X79" s="177">
        <f t="shared" si="30"/>
        <v>1</v>
      </c>
      <c r="Y79" s="67">
        <f t="shared" si="31"/>
        <v>4.4400000000000002E-2</v>
      </c>
      <c r="Z79" s="67">
        <f t="shared" si="32"/>
        <v>23.330100000000002</v>
      </c>
      <c r="AA79" s="67">
        <f t="shared" si="33"/>
        <v>23.285700000000002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4"/>
        <v>0167-20</v>
      </c>
      <c r="AE79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79" s="88" t="str">
        <f t="shared" si="36"/>
        <v>"C:\Program Files (x86)\AstroGrep\AstroGrep.exe" /spath="%USERPROFILE%\AppData\Local\Temp\OnboardLogs" /stypes="app*4020*20161220*" /stext=" 19:.+((SYSTEM_STATE.+slice.+state.+changed )|(ment ac)|(multiple cpu faults)|(system.+state.+changed )|(\[timeout)|(PRM\|1\|D)|(kpr)|(kdp)|(\|lc)|(penalty))" /e /r /s</v>
      </c>
      <c r="AG79" s="1" t="str">
        <f t="shared" si="37"/>
        <v>EC</v>
      </c>
      <c r="AH79" s="92" t="str">
        <f t="shared" si="38"/>
        <v>"%USERPROFILE%\Documents\GitHub\eaglep3\Utilities\RefineRTDCRunTimes.py" --tripid 167-20 --locoid 4020 --swversion DE.1.0.8.0 --startMP 204:444 --initTime 2016-12-20T11:54:57 --startdatetime 2016-12-20T12:00:33 --delay 1 --endMP 204:233301 --enddatetime 2016-12-20T12:36:22 --enforcementcount 0 &gt;&gt;C:\Users\stu\Documents\GitHub\eaglep3-reporting\EC\2016-12-20-refined-times.txt</v>
      </c>
      <c r="AI7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{"issue":{"subject":"","project_id":79,"tracker_id":40,"status_id":1,"priority_id":2,"assigned_to_id":23,"start_date":"2016-12-20","description":"","custom_fields":[{"id":1,"name":"Subdivision","value":"EC"},{"id":4,"name":"Milepost","value":"23.3301"},{"id":17,"name":"Train ID","value":"167-20"},{"id":16,"name":"Locomotive ID","value":"4020"},{"id":130,"name":"Impact","value":""},{"id":150,"name":"Time of Event (Mountain Time)","value":"12:36:22"},{"id":151,"name":"Denver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594</v>
      </c>
      <c r="B80" s="7">
        <v>4019</v>
      </c>
      <c r="C80" s="22" t="s">
        <v>205</v>
      </c>
      <c r="D80" s="22" t="s">
        <v>422</v>
      </c>
      <c r="E80" s="13">
        <v>42724.531828703701</v>
      </c>
      <c r="F80" s="13">
        <v>42724.539074074077</v>
      </c>
      <c r="G80" s="7">
        <v>1</v>
      </c>
      <c r="H80" s="22" t="s">
        <v>356</v>
      </c>
      <c r="I80" s="13">
        <v>42724.567939814813</v>
      </c>
      <c r="J80" s="7">
        <v>0</v>
      </c>
      <c r="K80" s="109" t="str">
        <f t="shared" si="23"/>
        <v>4019/4020</v>
      </c>
      <c r="L80" s="22" t="str">
        <f>VLOOKUP(A80,'Trips&amp;Operators'!$C$1:$G$99999,5,FALSE)</f>
        <v>CRAYTON QUNTRELL</v>
      </c>
      <c r="M80" s="6">
        <f t="shared" si="24"/>
        <v>2.8865740736364387E-2</v>
      </c>
      <c r="N80" s="7">
        <f t="shared" si="25"/>
        <v>41.566666660364717</v>
      </c>
      <c r="O80" s="7"/>
      <c r="P80" s="7"/>
      <c r="Q80" s="23"/>
      <c r="R80" s="23"/>
      <c r="S80" s="35">
        <f t="shared" si="26"/>
        <v>1</v>
      </c>
      <c r="T80" s="50" t="str">
        <f t="shared" si="27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11:45:50-700',mode:absolute,to:'2016-12-20 14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 t="shared" si="29"/>
        <v>N</v>
      </c>
      <c r="X80" s="177">
        <f t="shared" si="30"/>
        <v>1</v>
      </c>
      <c r="Y80" s="67">
        <f t="shared" si="31"/>
        <v>23.297999999999998</v>
      </c>
      <c r="Z80" s="67">
        <f t="shared" si="32"/>
        <v>1.7000000000000001E-2</v>
      </c>
      <c r="AA80" s="67">
        <f t="shared" si="33"/>
        <v>23.280999999999999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4"/>
        <v>0168-20</v>
      </c>
      <c r="AE80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80" s="88" t="str">
        <f t="shared" si="36"/>
        <v>"C:\Program Files (x86)\AstroGrep\AstroGrep.exe" /spath="%USERPROFILE%\AppData\Local\Temp\OnboardLogs" /stypes="app*4019*20161220*" /stext=" 20:.+((SYSTEM_STATE.+slice.+state.+changed )|(ment ac)|(multiple cpu faults)|(system.+state.+changed )|(\[timeout)|(PRM\|1\|D)|(kpr)|(kdp)|(\|lc)|(penalty))" /e /r /s</v>
      </c>
      <c r="AG80" s="1" t="str">
        <f t="shared" si="37"/>
        <v>EC</v>
      </c>
      <c r="AH80" s="92" t="str">
        <f t="shared" si="38"/>
        <v>"%USERPROFILE%\Documents\GitHub\eaglep3\Utilities\RefineRTDCRunTimes.py" --tripid 168-20 --locoid 4019 --swversion DE.1.0.8.0 --startMP 204:232980 --initTime 2016-12-20T12:45:50 --startdatetime 2016-12-20T12:56:16 --delay 1 --endMP 204:170 --enddatetime 2016-12-20T13:37:50 --enforcementcount 0 &gt;&gt;C:\Users\stu\Documents\GitHub\eaglep3-reporting\EC\2016-12-20-refined-times.txt</v>
      </c>
      <c r="AI8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{"issue":{"subject":"","project_id":79,"tracker_id":40,"status_id":1,"priority_id":2,"assigned_to_id":23,"start_date":"2016-12-20","description":"","custom_fields":[{"id":1,"name":"Subdivision","value":"EC"},{"id":4,"name":"Milepost","value":"0.017"},{"id":17,"name":"Train ID","value":"168-20"},{"id":16,"name":"Locomotive ID","value":"4019"},{"id":130,"name":"Impact","value":""},{"id":150,"name":"Time of Event (Mountain Time)","value":"13:37:50"},{"id":151,"name":"Denver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584</v>
      </c>
      <c r="B81" s="7">
        <v>4044</v>
      </c>
      <c r="C81" s="22" t="s">
        <v>205</v>
      </c>
      <c r="D81" s="22" t="s">
        <v>358</v>
      </c>
      <c r="E81" s="13">
        <v>42724.507824074077</v>
      </c>
      <c r="F81" s="13">
        <v>42724.510960648149</v>
      </c>
      <c r="G81" s="7">
        <v>1</v>
      </c>
      <c r="H81" s="22" t="s">
        <v>734</v>
      </c>
      <c r="I81" s="13">
        <v>42724.53701388889</v>
      </c>
      <c r="J81" s="7">
        <v>0</v>
      </c>
      <c r="K81" s="109" t="str">
        <f t="shared" si="23"/>
        <v>4043/4044</v>
      </c>
      <c r="L81" s="22" t="str">
        <f>VLOOKUP(A81,'Trips&amp;Operators'!$C$1:$G$99999,5,FALSE)</f>
        <v>MOSES BRADLEY</v>
      </c>
      <c r="M81" s="6">
        <f t="shared" si="24"/>
        <v>2.6053240741021E-2</v>
      </c>
      <c r="N81" s="7">
        <f t="shared" si="25"/>
        <v>37.51666666707024</v>
      </c>
      <c r="O81" s="7"/>
      <c r="P81" s="7"/>
      <c r="Q81" s="23"/>
      <c r="R81" s="23"/>
      <c r="S81" s="35">
        <f t="shared" si="26"/>
        <v>1</v>
      </c>
      <c r="T81" s="50" t="str">
        <f t="shared" si="27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11:11:16-700',mode:absolute,to:'2016-12-20 13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29"/>
        <v>N</v>
      </c>
      <c r="X81" s="177">
        <f t="shared" si="30"/>
        <v>1</v>
      </c>
      <c r="Y81" s="67">
        <f t="shared" si="31"/>
        <v>4.7300000000000002E-2</v>
      </c>
      <c r="Z81" s="67">
        <f t="shared" si="32"/>
        <v>23.332899999999999</v>
      </c>
      <c r="AA81" s="67">
        <f t="shared" si="33"/>
        <v>23.285599999999999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4"/>
        <v>0169-20</v>
      </c>
      <c r="AE81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81" s="88" t="str">
        <f t="shared" si="36"/>
        <v>"C:\Program Files (x86)\AstroGrep\AstroGrep.exe" /spath="%USERPROFILE%\AppData\Local\Temp\OnboardLogs" /stypes="app*4044*20161220*" /stext=" 19:.+((SYSTEM_STATE.+slice.+state.+changed )|(ment ac)|(multiple cpu faults)|(system.+state.+changed )|(\[timeout)|(PRM\|1\|D)|(kpr)|(kdp)|(\|lc)|(penalty))" /e /r /s</v>
      </c>
      <c r="AG81" s="1" t="str">
        <f t="shared" si="37"/>
        <v>EC</v>
      </c>
      <c r="AH81" s="92" t="str">
        <f t="shared" si="38"/>
        <v>"%USERPROFILE%\Documents\GitHub\eaglep3\Utilities\RefineRTDCRunTimes.py" --tripid 169-20 --locoid 4044 --swversion DE.1.0.8.0 --startMP 204:473 --initTime 2016-12-20T12:11:16 --startdatetime 2016-12-20T12:15:47 --delay 1 --endMP 204:233329 --enddatetime 2016-12-20T12:53:18 --enforcementcount 0 &gt;&gt;C:\Users\stu\Documents\GitHub\eaglep3-reporting\EC\2016-12-20-refined-times.txt</v>
      </c>
      <c r="AI8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{"issue":{"subject":"","project_id":79,"tracker_id":40,"status_id":1,"priority_id":2,"assigned_to_id":23,"start_date":"2016-12-20","description":"","custom_fields":[{"id":1,"name":"Subdivision","value":"EC"},{"id":4,"name":"Milepost","value":"23.3329"},{"id":17,"name":"Train ID","value":"169-20"},{"id":16,"name":"Locomotive ID","value":"4044"},{"id":130,"name":"Impact","value":""},{"id":150,"name":"Time of Event (Mountain Time)","value":"12:53:18"},{"id":151,"name":"Denver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595</v>
      </c>
      <c r="B82" s="7">
        <v>4043</v>
      </c>
      <c r="C82" s="22" t="s">
        <v>205</v>
      </c>
      <c r="D82" s="22" t="s">
        <v>735</v>
      </c>
      <c r="E82" s="13">
        <v>42724.545358796298</v>
      </c>
      <c r="F82" s="13">
        <v>42724.549664351849</v>
      </c>
      <c r="G82" s="7">
        <v>1</v>
      </c>
      <c r="H82" s="22" t="s">
        <v>715</v>
      </c>
      <c r="I82" s="13">
        <v>42724.578217592592</v>
      </c>
      <c r="J82" s="7">
        <v>0</v>
      </c>
      <c r="K82" s="109" t="str">
        <f t="shared" si="23"/>
        <v>4043/4044</v>
      </c>
      <c r="L82" s="22" t="str">
        <f>VLOOKUP(A82,'Trips&amp;Operators'!$C$1:$G$99999,5,FALSE)</f>
        <v>MOSES BRADLEY</v>
      </c>
      <c r="M82" s="6">
        <f t="shared" si="24"/>
        <v>2.8553240743349306E-2</v>
      </c>
      <c r="N82" s="7">
        <f t="shared" si="25"/>
        <v>41.116666670423001</v>
      </c>
      <c r="O82" s="7"/>
      <c r="P82" s="7"/>
      <c r="Q82" s="23"/>
      <c r="R82" s="23"/>
      <c r="S82" s="35">
        <f t="shared" si="26"/>
        <v>1</v>
      </c>
      <c r="T82" s="50" t="str">
        <f t="shared" si="27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12:05:19-700',mode:absolute,to:'2016-12-20 14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29"/>
        <v>N</v>
      </c>
      <c r="X82" s="177">
        <f t="shared" si="30"/>
        <v>1</v>
      </c>
      <c r="Y82" s="67">
        <f t="shared" si="31"/>
        <v>23.299600000000002</v>
      </c>
      <c r="Z82" s="67">
        <f t="shared" si="32"/>
        <v>1.41E-2</v>
      </c>
      <c r="AA82" s="67">
        <f t="shared" si="33"/>
        <v>23.285500000000003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4"/>
        <v>0170-20</v>
      </c>
      <c r="AE82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82" s="88" t="str">
        <f t="shared" si="36"/>
        <v>"C:\Program Files (x86)\AstroGrep\AstroGrep.exe" /spath="%USERPROFILE%\AppData\Local\Temp\OnboardLogs" /stypes="app*4043*20161220*" /stext=" 20:.+((SYSTEM_STATE.+slice.+state.+changed )|(ment ac)|(multiple cpu faults)|(system.+state.+changed )|(\[timeout)|(PRM\|1\|D)|(kpr)|(kdp)|(\|lc)|(penalty))" /e /r /s</v>
      </c>
      <c r="AG82" s="1" t="str">
        <f t="shared" si="37"/>
        <v>EC</v>
      </c>
      <c r="AH82" s="92" t="str">
        <f t="shared" si="38"/>
        <v>"%USERPROFILE%\Documents\GitHub\eaglep3\Utilities\RefineRTDCRunTimes.py" --tripid 170-20 --locoid 4043 --swversion DE.1.0.8.0 --startMP 204:232996 --initTime 2016-12-20T13:05:19 --startdatetime 2016-12-20T13:11:31 --delay 1 --endMP 204:141 --enddatetime 2016-12-20T13:52:38 --enforcementcount 0 &gt;&gt;C:\Users\stu\Documents\GitHub\eaglep3-reporting\EC\2016-12-20-refined-times.txt</v>
      </c>
      <c r="AI8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{"issue":{"subject":"","project_id":79,"tracker_id":40,"status_id":1,"priority_id":2,"assigned_to_id":23,"start_date":"2016-12-20","description":"","custom_fields":[{"id":1,"name":"Subdivision","value":"EC"},{"id":4,"name":"Milepost","value":"0.0141"},{"id":17,"name":"Train ID","value":"170-20"},{"id":16,"name":"Locomotive ID","value":"4043"},{"id":130,"name":"Impact","value":""},{"id":150,"name":"Time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589</v>
      </c>
      <c r="B83" s="7">
        <v>4018</v>
      </c>
      <c r="C83" s="22" t="s">
        <v>205</v>
      </c>
      <c r="D83" s="22" t="s">
        <v>264</v>
      </c>
      <c r="E83" s="13">
        <v>42724.520219907405</v>
      </c>
      <c r="F83" s="13">
        <v>42724.521527777775</v>
      </c>
      <c r="G83" s="7">
        <v>1</v>
      </c>
      <c r="H83" s="22" t="s">
        <v>707</v>
      </c>
      <c r="I83" s="13">
        <v>42724.545983796299</v>
      </c>
      <c r="J83" s="7">
        <v>0</v>
      </c>
      <c r="K83" s="109" t="str">
        <f t="shared" si="23"/>
        <v>4017/4018</v>
      </c>
      <c r="L83" s="22" t="str">
        <f>VLOOKUP(A83,'Trips&amp;Operators'!$C$1:$G$99999,5,FALSE)</f>
        <v>BRANNON JEFFREY</v>
      </c>
      <c r="M83" s="6">
        <f t="shared" si="24"/>
        <v>2.4456018523778766E-2</v>
      </c>
      <c r="N83" s="7">
        <f t="shared" si="25"/>
        <v>35.216666674241424</v>
      </c>
      <c r="O83" s="7"/>
      <c r="P83" s="7"/>
      <c r="Q83" s="23"/>
      <c r="R83" s="23"/>
      <c r="S83" s="35">
        <f t="shared" si="26"/>
        <v>1</v>
      </c>
      <c r="T83" s="50" t="str">
        <f t="shared" si="27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11:29:07-700',mode:absolute,to:'2016-12-20 14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3" s="52" t="str">
        <f t="shared" si="29"/>
        <v>N</v>
      </c>
      <c r="X83" s="177">
        <f t="shared" si="30"/>
        <v>1</v>
      </c>
      <c r="Y83" s="67">
        <f t="shared" si="31"/>
        <v>4.6699999999999998E-2</v>
      </c>
      <c r="Z83" s="67">
        <f t="shared" si="32"/>
        <v>23.330500000000001</v>
      </c>
      <c r="AA83" s="67">
        <f t="shared" si="33"/>
        <v>23.283799999999999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4"/>
        <v>0171-20</v>
      </c>
      <c r="AE83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83" s="88" t="str">
        <f t="shared" si="36"/>
        <v>"C:\Program Files (x86)\AstroGrep\AstroGrep.exe" /spath="%USERPROFILE%\AppData\Local\Temp\OnboardLogs" /stypes="app*4018*20161220*" /stext=" 20:.+((SYSTEM_STATE.+slice.+state.+changed )|(ment ac)|(multiple cpu faults)|(system.+state.+changed )|(\[timeout)|(PRM\|1\|D)|(kpr)|(kdp)|(\|lc)|(penalty))" /e /r /s</v>
      </c>
      <c r="AG83" s="1" t="str">
        <f t="shared" si="37"/>
        <v>EC</v>
      </c>
      <c r="AH83" s="92" t="str">
        <f t="shared" si="38"/>
        <v>"%USERPROFILE%\Documents\GitHub\eaglep3\Utilities\RefineRTDCRunTimes.py" --tripid 171-20 --locoid 4018 --swversion DE.1.0.8.0 --startMP 204:467 --initTime 2016-12-20T12:29:07 --startdatetime 2016-12-20T12:31:00 --delay 1 --endMP 204:233305 --enddatetime 2016-12-20T13:06:13 --enforcementcount 0 &gt;&gt;C:\Users\stu\Documents\GitHub\eaglep3-reporting\EC\2016-12-20-refined-times.txt</v>
      </c>
      <c r="AI8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{"issue":{"subject":"","project_id":79,"tracker_id":40,"status_id":1,"priority_id":2,"assigned_to_id":23,"start_date":"2016-12-20","description":"","custom_fields":[{"id":1,"name":"Subdivision","value":"EC"},{"id":4,"name":"Milepost","value":"23.3305"},{"id":17,"name":"Train ID","value":"171-20"},{"id":16,"name":"Locomotive ID","value":"4018"},{"id":130,"name":"Impact","value":""},{"id":150,"name":"Time of Event (Mountain Time)","value":"13:06:13"},{"id":151,"name":"Denver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597</v>
      </c>
      <c r="B84" s="7">
        <v>4017</v>
      </c>
      <c r="C84" s="22" t="s">
        <v>205</v>
      </c>
      <c r="D84" s="22" t="s">
        <v>309</v>
      </c>
      <c r="E84" s="13">
        <v>42724.556886574072</v>
      </c>
      <c r="F84" s="13">
        <v>42724.559907407405</v>
      </c>
      <c r="G84" s="7">
        <v>1</v>
      </c>
      <c r="H84" s="22" t="s">
        <v>192</v>
      </c>
      <c r="I84" s="13">
        <v>42724.588599537034</v>
      </c>
      <c r="J84" s="7">
        <v>0</v>
      </c>
      <c r="K84" s="109" t="str">
        <f t="shared" si="23"/>
        <v>4017/4018</v>
      </c>
      <c r="L84" s="22" t="str">
        <f>VLOOKUP(A84,'Trips&amp;Operators'!$C$1:$G$99999,5,FALSE)</f>
        <v>BRANNON JEFFREY</v>
      </c>
      <c r="M84" s="6">
        <f t="shared" si="24"/>
        <v>2.8692129628325347E-2</v>
      </c>
      <c r="N84" s="7">
        <f t="shared" si="25"/>
        <v>41.316666664788499</v>
      </c>
      <c r="O84" s="7"/>
      <c r="P84" s="7"/>
      <c r="Q84" s="23"/>
      <c r="R84" s="23"/>
      <c r="S84" s="35">
        <f t="shared" si="26"/>
        <v>1</v>
      </c>
      <c r="T84" s="50" t="str">
        <f t="shared" si="2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12:21:55-700',mode:absolute,to:'2016-12-20 15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4" s="52" t="str">
        <f t="shared" si="29"/>
        <v>N</v>
      </c>
      <c r="X84" s="177">
        <f t="shared" si="30"/>
        <v>1</v>
      </c>
      <c r="Y84" s="67">
        <f t="shared" si="31"/>
        <v>23.2973</v>
      </c>
      <c r="Z84" s="67">
        <f t="shared" si="32"/>
        <v>1.43E-2</v>
      </c>
      <c r="AA84" s="67">
        <f t="shared" si="33"/>
        <v>23.283000000000001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4"/>
        <v>0172-20</v>
      </c>
      <c r="AE84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84" s="88" t="str">
        <f t="shared" si="36"/>
        <v>"C:\Program Files (x86)\AstroGrep\AstroGrep.exe" /spath="%USERPROFILE%\AppData\Local\Temp\OnboardLogs" /stypes="app*4017*20161220*" /stext=" 21:.+((SYSTEM_STATE.+slice.+state.+changed )|(ment ac)|(multiple cpu faults)|(system.+state.+changed )|(\[timeout)|(PRM\|1\|D)|(kpr)|(kdp)|(\|lc)|(penalty))" /e /r /s</v>
      </c>
      <c r="AG84" s="1" t="str">
        <f t="shared" si="37"/>
        <v>EC</v>
      </c>
      <c r="AH84" s="92" t="str">
        <f t="shared" si="38"/>
        <v>"%USERPROFILE%\Documents\GitHub\eaglep3\Utilities\RefineRTDCRunTimes.py" --tripid 172-20 --locoid 4017 --swversion DE.1.0.8.0 --startMP 204:232973 --initTime 2016-12-20T13:21:55 --startdatetime 2016-12-20T13:26:16 --delay 1 --endMP 204:143 --enddatetime 2016-12-20T14:07:35 --enforcementcount 0 &gt;&gt;C:\Users\stu\Documents\GitHub\eaglep3-reporting\EC\2016-12-20-refined-times.txt</v>
      </c>
      <c r="AI8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{"issue":{"subject":"","project_id":79,"tracker_id":40,"status_id":1,"priority_id":2,"assigned_to_id":23,"start_date":"2016-12-20","description":"","custom_fields":[{"id":1,"name":"Subdivision","value":"EC"},{"id":4,"name":"Milepost","value":"0.0143"},{"id":17,"name":"Train ID","value":"172-20"},{"id":16,"name":"Locomotive ID","value":"4017"},{"id":130,"name":"Impact","value":""},{"id":150,"name":"Time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593</v>
      </c>
      <c r="B85" s="7">
        <v>4046</v>
      </c>
      <c r="C85" s="22" t="s">
        <v>205</v>
      </c>
      <c r="D85" s="22" t="s">
        <v>268</v>
      </c>
      <c r="E85" s="13">
        <v>42724.530416666668</v>
      </c>
      <c r="F85" s="13">
        <v>42724.532847222225</v>
      </c>
      <c r="G85" s="7">
        <v>1</v>
      </c>
      <c r="H85" s="22" t="s">
        <v>708</v>
      </c>
      <c r="I85" s="13">
        <v>42724.558530092596</v>
      </c>
      <c r="J85" s="7">
        <v>0</v>
      </c>
      <c r="K85" s="109" t="str">
        <f t="shared" si="23"/>
        <v>4045/4046</v>
      </c>
      <c r="L85" s="22" t="str">
        <f>VLOOKUP(A85,'Trips&amp;Operators'!$C$1:$G$99999,5,FALSE)</f>
        <v>DAVIS MICHAEL</v>
      </c>
      <c r="M85" s="6">
        <f t="shared" si="24"/>
        <v>2.5682870371383615E-2</v>
      </c>
      <c r="N85" s="7">
        <f t="shared" si="25"/>
        <v>36.983333334792405</v>
      </c>
      <c r="O85" s="7"/>
      <c r="P85" s="7"/>
      <c r="Q85" s="23"/>
      <c r="R85" s="23"/>
      <c r="S85" s="35">
        <f t="shared" si="26"/>
        <v>1</v>
      </c>
      <c r="T85" s="50" t="str">
        <f t="shared" si="2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11:43:48-700',mode:absolute,to:'2016-12-20 14:24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2" t="str">
        <f t="shared" si="29"/>
        <v>N</v>
      </c>
      <c r="X85" s="177">
        <f t="shared" si="30"/>
        <v>1</v>
      </c>
      <c r="Y85" s="67">
        <f t="shared" si="31"/>
        <v>4.6199999999999998E-2</v>
      </c>
      <c r="Z85" s="67">
        <f t="shared" si="32"/>
        <v>23.330400000000001</v>
      </c>
      <c r="AA85" s="67">
        <f t="shared" si="33"/>
        <v>23.284200000000002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4"/>
        <v>0173-20</v>
      </c>
      <c r="AE85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85" s="88" t="str">
        <f t="shared" si="36"/>
        <v>"C:\Program Files (x86)\AstroGrep\AstroGrep.exe" /spath="%USERPROFILE%\AppData\Local\Temp\OnboardLogs" /stypes="app*4046*20161220*" /stext=" 20:.+((SYSTEM_STATE.+slice.+state.+changed )|(ment ac)|(multiple cpu faults)|(system.+state.+changed )|(\[timeout)|(PRM\|1\|D)|(kpr)|(kdp)|(\|lc)|(penalty))" /e /r /s</v>
      </c>
      <c r="AG85" s="1" t="str">
        <f t="shared" si="37"/>
        <v>EC</v>
      </c>
      <c r="AH85" s="92" t="str">
        <f t="shared" si="38"/>
        <v>"%USERPROFILE%\Documents\GitHub\eaglep3\Utilities\RefineRTDCRunTimes.py" --tripid 173-20 --locoid 4046 --swversion DE.1.0.8.0 --startMP 204:462 --initTime 2016-12-20T12:43:48 --startdatetime 2016-12-20T12:47:18 --delay 1 --endMP 204:233304 --enddatetime 2016-12-20T13:24:17 --enforcementcount 0 &gt;&gt;C:\Users\stu\Documents\GitHub\eaglep3-reporting\EC\2016-12-20-refined-times.txt</v>
      </c>
      <c r="AI8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{"issue":{"subject":"","project_id":79,"tracker_id":40,"status_id":1,"priority_id":2,"assigned_to_id":23,"start_date":"2016-12-20","description":"","custom_fields":[{"id":1,"name":"Subdivision","value":"EC"},{"id":4,"name":"Milepost","value":"23.3304"},{"id":17,"name":"Train ID","value":"173-20"},{"id":16,"name":"Locomotive ID","value":"4046"},{"id":130,"name":"Impact","value":""},{"id":150,"name":"Time of Event (Mountain Time)","value":"13:24:17"},{"id":151,"name":"Denver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479</v>
      </c>
      <c r="B86" s="7">
        <v>4045</v>
      </c>
      <c r="C86" s="22" t="s">
        <v>205</v>
      </c>
      <c r="D86" s="22" t="s">
        <v>721</v>
      </c>
      <c r="E86" s="13">
        <v>42724.564131944448</v>
      </c>
      <c r="F86" s="13">
        <v>42724.570520833331</v>
      </c>
      <c r="G86" s="7">
        <v>1</v>
      </c>
      <c r="H86" s="22" t="s">
        <v>261</v>
      </c>
      <c r="I86" s="13">
        <v>42724.599178240744</v>
      </c>
      <c r="J86" s="7">
        <v>0</v>
      </c>
      <c r="K86" s="109" t="str">
        <f t="shared" si="23"/>
        <v>4045/4046</v>
      </c>
      <c r="L86" s="22" t="str">
        <f>VLOOKUP(A86,'Trips&amp;Operators'!$C$1:$G$99999,5,FALSE)</f>
        <v>DAVIS MICHAEL</v>
      </c>
      <c r="M86" s="6">
        <f t="shared" si="24"/>
        <v>2.8657407412538305E-2</v>
      </c>
      <c r="N86" s="7">
        <f t="shared" si="25"/>
        <v>41.266666674055159</v>
      </c>
      <c r="O86" s="7"/>
      <c r="P86" s="7"/>
      <c r="Q86" s="23"/>
      <c r="R86" s="23"/>
      <c r="S86" s="35">
        <f t="shared" si="26"/>
        <v>1</v>
      </c>
      <c r="T86" s="50" t="str">
        <f t="shared" si="2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12:32:21-700',mode:absolute,to:'2016-12-20 15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2" t="str">
        <f t="shared" si="29"/>
        <v>N</v>
      </c>
      <c r="X86" s="177">
        <f t="shared" si="30"/>
        <v>1</v>
      </c>
      <c r="Y86" s="67">
        <f t="shared" si="31"/>
        <v>23.2989</v>
      </c>
      <c r="Z86" s="67">
        <f t="shared" si="32"/>
        <v>1.3899999999999999E-2</v>
      </c>
      <c r="AA86" s="67">
        <f t="shared" si="33"/>
        <v>23.285</v>
      </c>
      <c r="AB86" s="64" t="str">
        <f>VLOOKUP(A86,Enforcements!$C$7:$K$19,8,0)</f>
        <v>Bulletin (2)</v>
      </c>
      <c r="AC86" s="60" t="str">
        <f>VLOOKUP(A86,Enforcements!$C$7:$E$19,3,0)</f>
        <v>GRADE CROSSING</v>
      </c>
      <c r="AD86" s="61" t="str">
        <f t="shared" si="34"/>
        <v>0174-20</v>
      </c>
      <c r="AE86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86" s="88" t="str">
        <f t="shared" si="36"/>
        <v>"C:\Program Files (x86)\AstroGrep\AstroGrep.exe" /spath="%USERPROFILE%\AppData\Local\Temp\OnboardLogs" /stypes="app*4045*20161220*" /stext=" 21:.+((SYSTEM_STATE.+slice.+state.+changed )|(ment ac)|(multiple cpu faults)|(system.+state.+changed )|(\[timeout)|(PRM\|1\|D)|(kpr)|(kdp)|(\|lc)|(penalty))" /e /r /s</v>
      </c>
      <c r="AG86" s="1" t="str">
        <f t="shared" si="37"/>
        <v>EC</v>
      </c>
      <c r="AH86" s="92" t="str">
        <f t="shared" si="38"/>
        <v>"%USERPROFILE%\Documents\GitHub\eaglep3\Utilities\RefineRTDCRunTimes.py" --tripid 174-20 --locoid 4045 --swversion DE.1.0.8.0 --startMP 204:232989 --initTime 2016-12-20T13:32:21 --startdatetime 2016-12-20T13:41:33 --delay 1 --endMP 204:139 --enddatetime 2016-12-20T14:22:49 --enforcementcount 0 &gt;&gt;C:\Users\stu\Documents\GitHub\eaglep3-reporting\EC\2016-12-20-refined-times.txt</v>
      </c>
      <c r="AI8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{"issue":{"subject":"","project_id":79,"tracker_id":40,"status_id":1,"priority_id":2,"assigned_to_id":23,"start_date":"2016-12-20","description":"","custom_fields":[{"id":1,"name":"Subdivision","value":"EC"},{"id":4,"name":"Milepost","value":"0.0139"},{"id":17,"name":"Train ID","value":"174-20"},{"id":16,"name":"Locomotive ID","value":"4045"},{"id":130,"name":"Impact","value":""},{"id":150,"name":"Time of Event (Mountain Time)","value":"14:22:49"},{"id":151,"name":"Denver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476</v>
      </c>
      <c r="B87" s="7">
        <v>4009</v>
      </c>
      <c r="C87" s="22" t="s">
        <v>205</v>
      </c>
      <c r="D87" s="22" t="s">
        <v>268</v>
      </c>
      <c r="E87" s="13">
        <v>42724.537951388891</v>
      </c>
      <c r="F87" s="13">
        <v>42724.541944444441</v>
      </c>
      <c r="G87" s="7">
        <v>1</v>
      </c>
      <c r="H87" s="22" t="s">
        <v>398</v>
      </c>
      <c r="I87" s="13">
        <v>42724.567962962959</v>
      </c>
      <c r="J87" s="7">
        <v>0</v>
      </c>
      <c r="K87" s="109" t="str">
        <f t="shared" si="23"/>
        <v>4009/4010</v>
      </c>
      <c r="L87" s="22" t="str">
        <f>VLOOKUP(A87,'Trips&amp;Operators'!$C$1:$G$99999,5,FALSE)</f>
        <v>STEWART MICHAEL</v>
      </c>
      <c r="M87" s="6">
        <f t="shared" si="24"/>
        <v>2.6018518517958E-2</v>
      </c>
      <c r="N87" s="7">
        <f t="shared" si="25"/>
        <v>37.46666666585952</v>
      </c>
      <c r="O87" s="7"/>
      <c r="P87" s="7"/>
      <c r="Q87" s="23"/>
      <c r="R87" s="23"/>
      <c r="S87" s="35">
        <f t="shared" si="26"/>
        <v>1</v>
      </c>
      <c r="T87" s="50" t="str">
        <f t="shared" si="2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11:54:39-700',mode:absolute,to:'2016-12-20 14:37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7" s="52" t="str">
        <f t="shared" si="29"/>
        <v>N</v>
      </c>
      <c r="X87" s="177">
        <f t="shared" si="30"/>
        <v>1</v>
      </c>
      <c r="Y87" s="67">
        <f t="shared" si="31"/>
        <v>4.6199999999999998E-2</v>
      </c>
      <c r="Z87" s="67">
        <f t="shared" si="32"/>
        <v>23.328399999999998</v>
      </c>
      <c r="AA87" s="67">
        <f t="shared" si="33"/>
        <v>23.2822</v>
      </c>
      <c r="AB87" s="64" t="str">
        <f>VLOOKUP(A87,Enforcements!$C$7:$K$19,8,0)</f>
        <v>Bulletin (2)</v>
      </c>
      <c r="AC87" s="60" t="str">
        <f>VLOOKUP(A87,Enforcements!$C$7:$E$19,3,0)</f>
        <v>GRADE CROSSING</v>
      </c>
      <c r="AD87" s="61" t="str">
        <f t="shared" si="34"/>
        <v>0175-20</v>
      </c>
      <c r="AE87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87" s="88" t="str">
        <f t="shared" si="36"/>
        <v>"C:\Program Files (x86)\AstroGrep\AstroGrep.exe" /spath="%USERPROFILE%\AppData\Local\Temp\OnboardLogs" /stypes="app*4009*20161220*" /stext=" 20:.+((SYSTEM_STATE.+slice.+state.+changed )|(ment ac)|(multiple cpu faults)|(system.+state.+changed )|(\[timeout)|(PRM\|1\|D)|(kpr)|(kdp)|(\|lc)|(penalty))" /e /r /s</v>
      </c>
      <c r="AG87" s="1" t="str">
        <f t="shared" si="37"/>
        <v>EC</v>
      </c>
      <c r="AH87" s="92" t="str">
        <f t="shared" si="38"/>
        <v>"%USERPROFILE%\Documents\GitHub\eaglep3\Utilities\RefineRTDCRunTimes.py" --tripid 175-20 --locoid 4009 --swversion DE.1.0.8.0 --startMP 204:462 --initTime 2016-12-20T12:54:39 --startdatetime 2016-12-20T13:00:24 --delay 1 --endMP 204:233284 --enddatetime 2016-12-20T13:37:52 --enforcementcount 0 &gt;&gt;C:\Users\stu\Documents\GitHub\eaglep3-reporting\EC\2016-12-20-refined-times.txt</v>
      </c>
      <c r="AI8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{"issue":{"subject":"","project_id":79,"tracker_id":40,"status_id":1,"priority_id":2,"assigned_to_id":23,"start_date":"2016-12-20","description":"","custom_fields":[{"id":1,"name":"Subdivision","value":"EC"},{"id":4,"name":"Milepost","value":"23.3284"},{"id":17,"name":"Train ID","value":"175-20"},{"id":16,"name":"Locomotive ID","value":"4009"},{"id":130,"name":"Impact","value":""},{"id":150,"name":"Time of Event (Mountain Time)","value":"13:37:52"},{"id":151,"name":"Denver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601</v>
      </c>
      <c r="B88" s="7">
        <v>4010</v>
      </c>
      <c r="C88" s="22" t="s">
        <v>205</v>
      </c>
      <c r="D88" s="22" t="s">
        <v>422</v>
      </c>
      <c r="E88" s="13">
        <v>42724.578263888892</v>
      </c>
      <c r="F88" s="13">
        <v>42724.580810185187</v>
      </c>
      <c r="G88" s="7">
        <v>1</v>
      </c>
      <c r="H88" s="22" t="s">
        <v>429</v>
      </c>
      <c r="I88" s="13">
        <v>42724.608564814815</v>
      </c>
      <c r="J88" s="7">
        <v>0</v>
      </c>
      <c r="K88" s="109" t="str">
        <f t="shared" si="23"/>
        <v>4009/4010</v>
      </c>
      <c r="L88" s="22" t="str">
        <f>VLOOKUP(A88,'Trips&amp;Operators'!$C$1:$G$99999,5,FALSE)</f>
        <v>STEWART MICHAEL</v>
      </c>
      <c r="M88" s="6">
        <f t="shared" si="24"/>
        <v>2.7754629627452232E-2</v>
      </c>
      <c r="N88" s="7">
        <f t="shared" si="25"/>
        <v>39.966666663531214</v>
      </c>
      <c r="O88" s="7"/>
      <c r="P88" s="7"/>
      <c r="Q88" s="23"/>
      <c r="R88" s="23"/>
      <c r="S88" s="35">
        <f t="shared" si="26"/>
        <v>1</v>
      </c>
      <c r="T88" s="50" t="str">
        <f t="shared" si="2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12:52:42-700',mode:absolute,to:'2016-12-20 15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8" s="52" t="str">
        <f t="shared" si="29"/>
        <v>N</v>
      </c>
      <c r="X88" s="177">
        <f t="shared" si="30"/>
        <v>1</v>
      </c>
      <c r="Y88" s="67">
        <f t="shared" si="31"/>
        <v>23.297999999999998</v>
      </c>
      <c r="Z88" s="67">
        <f t="shared" si="32"/>
        <v>1.8100000000000002E-2</v>
      </c>
      <c r="AA88" s="67">
        <f t="shared" si="33"/>
        <v>23.279899999999998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4"/>
        <v>0176-20</v>
      </c>
      <c r="AE88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88" s="88" t="str">
        <f t="shared" si="36"/>
        <v>"C:\Program Files (x86)\AstroGrep\AstroGrep.exe" /spath="%USERPROFILE%\AppData\Local\Temp\OnboardLogs" /stypes="app*4010*20161220*" /stext=" 21:.+((SYSTEM_STATE.+slice.+state.+changed )|(ment ac)|(multiple cpu faults)|(system.+state.+changed )|(\[timeout)|(PRM\|1\|D)|(kpr)|(kdp)|(\|lc)|(penalty))" /e /r /s</v>
      </c>
      <c r="AG88" s="1" t="str">
        <f t="shared" si="37"/>
        <v>EC</v>
      </c>
      <c r="AH88" s="92" t="str">
        <f t="shared" si="38"/>
        <v>"%USERPROFILE%\Documents\GitHub\eaglep3\Utilities\RefineRTDCRunTimes.py" --tripid 176-20 --locoid 4010 --swversion DE.1.0.8.0 --startMP 204:232980 --initTime 2016-12-20T13:52:42 --startdatetime 2016-12-20T13:56:22 --delay 1 --endMP 204:181 --enddatetime 2016-12-20T14:36:20 --enforcementcount 0 &gt;&gt;C:\Users\stu\Documents\GitHub\eaglep3-reporting\EC\2016-12-20-refined-times.txt</v>
      </c>
      <c r="AI8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{"issue":{"subject":"","project_id":79,"tracker_id":40,"status_id":1,"priority_id":2,"assigned_to_id":23,"start_date":"2016-12-20","description":"","custom_fields":[{"id":1,"name":"Subdivision","value":"EC"},{"id":4,"name":"Milepost","value":"0.0181"},{"id":17,"name":"Train ID","value":"176-20"},{"id":16,"name":"Locomotive ID","value":"4010"},{"id":130,"name":"Impact","value":""},{"id":150,"name":"Time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596</v>
      </c>
      <c r="B89" s="7">
        <v>4031</v>
      </c>
      <c r="C89" s="22" t="s">
        <v>205</v>
      </c>
      <c r="D89" s="22" t="s">
        <v>268</v>
      </c>
      <c r="E89" s="13">
        <v>42724.548368055555</v>
      </c>
      <c r="F89" s="13">
        <v>42724.552546296298</v>
      </c>
      <c r="G89" s="7">
        <v>1</v>
      </c>
      <c r="H89" s="22" t="s">
        <v>416</v>
      </c>
      <c r="I89" s="13">
        <v>42724.577627314815</v>
      </c>
      <c r="J89" s="7">
        <v>0</v>
      </c>
      <c r="K89" s="109" t="str">
        <f t="shared" si="23"/>
        <v>4031/4032</v>
      </c>
      <c r="L89" s="22" t="str">
        <f>VLOOKUP(A89,'Trips&amp;Operators'!$C$1:$G$99999,5,FALSE)</f>
        <v>COMELLA JUSTIN</v>
      </c>
      <c r="M89" s="6">
        <f t="shared" si="24"/>
        <v>2.5081018517084885E-2</v>
      </c>
      <c r="N89" s="7">
        <f t="shared" si="25"/>
        <v>36.116666664602235</v>
      </c>
      <c r="O89" s="7"/>
      <c r="P89" s="7"/>
      <c r="Q89" s="23"/>
      <c r="R89" s="23"/>
      <c r="S89" s="35">
        <f t="shared" si="26"/>
        <v>1</v>
      </c>
      <c r="T89" s="50" t="str">
        <f t="shared" si="2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12:09:39-700',mode:absolute,to:'2016-12-20 14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29"/>
        <v>N</v>
      </c>
      <c r="X89" s="177">
        <f t="shared" si="30"/>
        <v>1</v>
      </c>
      <c r="Y89" s="67">
        <f t="shared" si="31"/>
        <v>4.6199999999999998E-2</v>
      </c>
      <c r="Z89" s="67">
        <f t="shared" si="32"/>
        <v>23.330200000000001</v>
      </c>
      <c r="AA89" s="67">
        <f t="shared" si="33"/>
        <v>23.284000000000002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4"/>
        <v>0177-20</v>
      </c>
      <c r="AE89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89" s="88" t="str">
        <f t="shared" si="36"/>
        <v>"C:\Program Files (x86)\AstroGrep\AstroGrep.exe" /spath="%USERPROFILE%\AppData\Local\Temp\OnboardLogs" /stypes="app*4031*20161220*" /stext=" 20:.+((SYSTEM_STATE.+slice.+state.+changed )|(ment ac)|(multiple cpu faults)|(system.+state.+changed )|(\[timeout)|(PRM\|1\|D)|(kpr)|(kdp)|(\|lc)|(penalty))" /e /r /s</v>
      </c>
      <c r="AG89" s="1" t="str">
        <f t="shared" si="37"/>
        <v>EC</v>
      </c>
      <c r="AH89" s="92" t="str">
        <f t="shared" si="38"/>
        <v>"%USERPROFILE%\Documents\GitHub\eaglep3\Utilities\RefineRTDCRunTimes.py" --tripid 177-20 --locoid 4031 --swversion DE.1.0.8.0 --startMP 204:462 --initTime 2016-12-20T13:09:39 --startdatetime 2016-12-20T13:15:40 --delay 1 --endMP 204:233302 --enddatetime 2016-12-20T13:51:47 --enforcementcount 0 &gt;&gt;C:\Users\stu\Documents\GitHub\eaglep3-reporting\EC\2016-12-20-refined-times.txt</v>
      </c>
      <c r="AI8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{"issue":{"subject":"","project_id":79,"tracker_id":40,"status_id":1,"priority_id":2,"assigned_to_id":23,"start_date":"2016-12-20","description":"","custom_fields":[{"id":1,"name":"Subdivision","value":"EC"},{"id":4,"name":"Milepost","value":"23.3302"},{"id":17,"name":"Train ID","value":"177-20"},{"id":16,"name":"Locomotive ID","value":"4031"},{"id":130,"name":"Impact","value":""},{"id":150,"name":"Time of Event (Mountain Time)","value":"13:51:47"},{"id":151,"name":"Denver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603</v>
      </c>
      <c r="B90" s="7">
        <v>4032</v>
      </c>
      <c r="C90" s="22" t="s">
        <v>205</v>
      </c>
      <c r="D90" s="22" t="s">
        <v>269</v>
      </c>
      <c r="E90" s="13">
        <v>42724.583912037036</v>
      </c>
      <c r="F90" s="13">
        <v>42724.591157407405</v>
      </c>
      <c r="G90" s="7">
        <v>1</v>
      </c>
      <c r="H90" s="22" t="s">
        <v>267</v>
      </c>
      <c r="I90" s="13">
        <v>42724.619629629633</v>
      </c>
      <c r="J90" s="7">
        <v>0</v>
      </c>
      <c r="K90" s="109" t="str">
        <f t="shared" si="23"/>
        <v>4031/4032</v>
      </c>
      <c r="L90" s="22" t="str">
        <f>VLOOKUP(A90,'Trips&amp;Operators'!$C$1:$G$99999,5,FALSE)</f>
        <v>COMELLA JUSTIN</v>
      </c>
      <c r="M90" s="6">
        <f t="shared" si="24"/>
        <v>2.8472222227719612E-2</v>
      </c>
      <c r="N90" s="7">
        <f t="shared" si="25"/>
        <v>41.000000007916242</v>
      </c>
      <c r="O90" s="7"/>
      <c r="P90" s="7"/>
      <c r="Q90" s="23"/>
      <c r="R90" s="23"/>
      <c r="S90" s="35">
        <f t="shared" si="26"/>
        <v>1</v>
      </c>
      <c r="T90" s="50" t="str">
        <f t="shared" si="2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13:00:50-700',mode:absolute,to:'2016-12-20 15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29"/>
        <v>N</v>
      </c>
      <c r="X90" s="177">
        <f t="shared" si="30"/>
        <v>1</v>
      </c>
      <c r="Y90" s="67">
        <f t="shared" si="31"/>
        <v>23.299299999999999</v>
      </c>
      <c r="Z90" s="67">
        <f t="shared" si="32"/>
        <v>1.6E-2</v>
      </c>
      <c r="AA90" s="67">
        <f t="shared" si="33"/>
        <v>23.283300000000001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4"/>
        <v>0178-20</v>
      </c>
      <c r="AE90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90" s="88" t="str">
        <f t="shared" si="36"/>
        <v>"C:\Program Files (x86)\AstroGrep\AstroGrep.exe" /spath="%USERPROFILE%\AppData\Local\Temp\OnboardLogs" /stypes="app*4032*20161220*" /stext=" 21:.+((SYSTEM_STATE.+slice.+state.+changed )|(ment ac)|(multiple cpu faults)|(system.+state.+changed )|(\[timeout)|(PRM\|1\|D)|(kpr)|(kdp)|(\|lc)|(penalty))" /e /r /s</v>
      </c>
      <c r="AG90" s="1" t="str">
        <f t="shared" si="37"/>
        <v>EC</v>
      </c>
      <c r="AH90" s="92" t="str">
        <f t="shared" si="38"/>
        <v>"%USERPROFILE%\Documents\GitHub\eaglep3\Utilities\RefineRTDCRunTimes.py" --tripid 178-20 --locoid 4032 --swversion DE.1.0.8.0 --startMP 204:232993 --initTime 2016-12-20T14:00:50 --startdatetime 2016-12-20T14:11:16 --delay 1 --endMP 204:160 --enddatetime 2016-12-20T14:52:16 --enforcementcount 0 &gt;&gt;C:\Users\stu\Documents\GitHub\eaglep3-reporting\EC\2016-12-20-refined-times.txt</v>
      </c>
      <c r="AI9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{"issue":{"subject":"","project_id":79,"tracker_id":40,"status_id":1,"priority_id":2,"assigned_to_id":23,"start_date":"2016-12-20","description":"","custom_fields":[{"id":1,"name":"Subdivision","value":"EC"},{"id":4,"name":"Milepost","value":"0.016"},{"id":17,"name":"Train ID","value":"178-20"},{"id":16,"name":"Locomotive ID","value":"4032"},{"id":130,"name":"Impact","value":""},{"id":150,"name":"Time of Event (Mountain Time)","value":"14:52:16"},{"id":151,"name":"Denver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598</v>
      </c>
      <c r="B91" s="7">
        <v>4042</v>
      </c>
      <c r="C91" s="22" t="s">
        <v>205</v>
      </c>
      <c r="D91" s="22" t="s">
        <v>409</v>
      </c>
      <c r="E91" s="13">
        <v>42724.559965277775</v>
      </c>
      <c r="F91" s="13">
        <v>42724.562696759262</v>
      </c>
      <c r="G91" s="7">
        <v>0</v>
      </c>
      <c r="H91" s="22" t="s">
        <v>736</v>
      </c>
      <c r="I91" s="13">
        <v>42724.58834490741</v>
      </c>
      <c r="J91" s="7">
        <v>0</v>
      </c>
      <c r="K91" s="109" t="str">
        <f t="shared" si="23"/>
        <v>4041/4042</v>
      </c>
      <c r="L91" s="22" t="str">
        <f>VLOOKUP(A91,'Trips&amp;Operators'!$C$1:$G$99999,5,FALSE)</f>
        <v>CLARK KATHLEEN</v>
      </c>
      <c r="M91" s="6">
        <f t="shared" si="24"/>
        <v>2.5648148148320615E-2</v>
      </c>
      <c r="N91" s="7">
        <f t="shared" si="25"/>
        <v>36.933333333581686</v>
      </c>
      <c r="O91" s="7"/>
      <c r="P91" s="7"/>
      <c r="Q91" s="23"/>
      <c r="R91" s="23"/>
      <c r="S91" s="35">
        <f t="shared" si="26"/>
        <v>1</v>
      </c>
      <c r="T91" s="50" t="str">
        <f t="shared" si="2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12:26:21-700',mode:absolute,to:'2016-12-20 15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29"/>
        <v>N</v>
      </c>
      <c r="X91" s="177">
        <f t="shared" si="30"/>
        <v>1</v>
      </c>
      <c r="Y91" s="67">
        <f t="shared" si="31"/>
        <v>5.11E-2</v>
      </c>
      <c r="Z91" s="67">
        <f t="shared" si="32"/>
        <v>23.327200000000001</v>
      </c>
      <c r="AA91" s="67">
        <f t="shared" si="33"/>
        <v>23.2761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4"/>
        <v>0179-20</v>
      </c>
      <c r="AE91" s="91" t="str">
        <f t="shared" si="35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91" s="88" t="str">
        <f t="shared" si="36"/>
        <v>"C:\Program Files (x86)\AstroGrep\AstroGrep.exe" /spath="%USERPROFILE%\AppData\Local\Temp\OnboardLogs" /stypes="app*4042*20161220*" /stext=" 21:.+((SYSTEM_STATE.+slice.+state.+changed )|(ment ac)|(multiple cpu faults)|(system.+state.+changed )|(\[timeout)|(PRM\|1\|D)|(kpr)|(kdp)|(\|lc)|(penalty))" /e /r /s</v>
      </c>
      <c r="AG91" s="1" t="str">
        <f t="shared" si="37"/>
        <v>EC</v>
      </c>
      <c r="AH91" s="92" t="str">
        <f t="shared" si="38"/>
        <v>"%USERPROFILE%\Documents\GitHub\eaglep3\Utilities\RefineRTDCRunTimes.py" --tripid 179-20 --locoid 4042 --swversion DE.1.0.8.0 --startMP 204:511 --initTime 2016-12-20T13:26:21 --startdatetime 2016-12-20T13:30:17 --delay 0 --endMP 204:233272 --enddatetime 2016-12-20T14:07:13 --enforcementcount 0 &gt;&gt;C:\Users\stu\Documents\GitHub\eaglep3-reporting\EC\2016-12-20-refined-times.txt</v>
      </c>
      <c r="AI9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{"issue":{"subject":"","project_id":79,"tracker_id":40,"status_id":1,"priority_id":2,"assigned_to_id":23,"start_date":"2016-12-20","description":"","custom_fields":[{"id":1,"name":"Subdivision","value":"EC"},{"id":4,"name":"Milepost","value":"23.3272"},{"id":17,"name":"Train ID","value":"179-20"},{"id":16,"name":"Locomotive ID","value":"4042"},{"id":130,"name":"Impact","value":""},{"id":150,"name":"Time of Event (Mountain Time)","value":"14:07:13"},{"id":151,"name":"Denver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607</v>
      </c>
      <c r="B92" s="7">
        <v>4041</v>
      </c>
      <c r="C92" s="22" t="s">
        <v>205</v>
      </c>
      <c r="D92" s="22" t="s">
        <v>309</v>
      </c>
      <c r="E92" s="13">
        <v>42724.596400462964</v>
      </c>
      <c r="F92" s="13">
        <v>42724.601597222223</v>
      </c>
      <c r="G92" s="7">
        <v>1</v>
      </c>
      <c r="H92" s="22" t="s">
        <v>415</v>
      </c>
      <c r="I92" s="13">
        <v>42724.631261574075</v>
      </c>
      <c r="J92" s="7">
        <v>0</v>
      </c>
      <c r="K92" s="109" t="str">
        <f t="shared" si="23"/>
        <v>4041/4042</v>
      </c>
      <c r="L92" s="22" t="str">
        <f>VLOOKUP(A92,'Trips&amp;Operators'!$C$1:$G$99999,5,FALSE)</f>
        <v>CLARK KATHLEEN</v>
      </c>
      <c r="M92" s="6">
        <f t="shared" si="24"/>
        <v>2.9664351852261461E-2</v>
      </c>
      <c r="N92" s="7">
        <f t="shared" si="25"/>
        <v>42.716666667256504</v>
      </c>
      <c r="O92" s="7"/>
      <c r="P92" s="7"/>
      <c r="Q92" s="23"/>
      <c r="R92" s="23"/>
      <c r="S92" s="35">
        <f t="shared" si="26"/>
        <v>1</v>
      </c>
      <c r="T92" s="50" t="str">
        <f t="shared" si="2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13:18:49-700',mode:absolute,to:'2016-12-20 16:09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29"/>
        <v>N</v>
      </c>
      <c r="X92" s="177">
        <f t="shared" si="30"/>
        <v>1</v>
      </c>
      <c r="Y92" s="67">
        <f t="shared" si="31"/>
        <v>23.2973</v>
      </c>
      <c r="Z92" s="67">
        <f t="shared" si="32"/>
        <v>1.6899999999999998E-2</v>
      </c>
      <c r="AA92" s="67">
        <f t="shared" si="33"/>
        <v>23.2804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4"/>
        <v>0180-20</v>
      </c>
      <c r="AE92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92" s="88" t="str">
        <f t="shared" si="36"/>
        <v>"C:\Program Files (x86)\AstroGrep\AstroGrep.exe" /spath="%USERPROFILE%\AppData\Local\Temp\OnboardLogs" /stypes="app*4041*20161220*" /stext=" 22:.+((SYSTEM_STATE.+slice.+state.+changed )|(ment ac)|(multiple cpu faults)|(system.+state.+changed )|(\[timeout)|(PRM\|1\|D)|(kpr)|(kdp)|(\|lc)|(penalty))" /e /r /s</v>
      </c>
      <c r="AG92" s="1" t="str">
        <f t="shared" si="37"/>
        <v>EC</v>
      </c>
      <c r="AH92" s="92" t="str">
        <f t="shared" si="38"/>
        <v>"%USERPROFILE%\Documents\GitHub\eaglep3\Utilities\RefineRTDCRunTimes.py" --tripid 180-20 --locoid 4041 --swversion DE.1.0.8.0 --startMP 204:232973 --initTime 2016-12-20T14:18:49 --startdatetime 2016-12-20T14:26:18 --delay 1 --endMP 204:169 --enddatetime 2016-12-20T15:09:01 --enforcementcount 0 &gt;&gt;C:\Users\stu\Documents\GitHub\eaglep3-reporting\EC\2016-12-20-refined-times.txt</v>
      </c>
      <c r="AI9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{"issue":{"subject":"","project_id":79,"tracker_id":40,"status_id":1,"priority_id":2,"assigned_to_id":23,"start_date":"2016-12-20","description":"","custom_fields":[{"id":1,"name":"Subdivision","value":"EC"},{"id":4,"name":"Milepost","value":"0.0169"},{"id":17,"name":"Train ID","value":"180-20"},{"id":16,"name":"Locomotive ID","value":"4041"},{"id":130,"name":"Impact","value":""},{"id":150,"name":"Time of Event (Mountain Time)","value":"15:09:01"},{"id":151,"name":"Denver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600</v>
      </c>
      <c r="B93" s="7">
        <v>4020</v>
      </c>
      <c r="C93" s="22" t="s">
        <v>205</v>
      </c>
      <c r="D93" s="22" t="s">
        <v>305</v>
      </c>
      <c r="E93" s="13">
        <v>42724.569791666669</v>
      </c>
      <c r="F93" s="13">
        <v>42724.573101851849</v>
      </c>
      <c r="G93" s="7">
        <v>1</v>
      </c>
      <c r="H93" s="22" t="s">
        <v>710</v>
      </c>
      <c r="I93" s="13">
        <v>42724.597893518519</v>
      </c>
      <c r="J93" s="7">
        <v>0</v>
      </c>
      <c r="K93" s="109" t="str">
        <f t="shared" si="23"/>
        <v>4019/4020</v>
      </c>
      <c r="L93" s="22" t="str">
        <f>VLOOKUP(A93,'Trips&amp;Operators'!$C$1:$G$99999,5,FALSE)</f>
        <v>CRAYTON QUNTRELL</v>
      </c>
      <c r="M93" s="6">
        <f t="shared" si="24"/>
        <v>2.4791666670353152E-2</v>
      </c>
      <c r="N93" s="7">
        <f t="shared" si="25"/>
        <v>35.700000005308539</v>
      </c>
      <c r="O93" s="7"/>
      <c r="P93" s="7"/>
      <c r="Q93" s="23"/>
      <c r="R93" s="23"/>
      <c r="S93" s="35">
        <f t="shared" si="26"/>
        <v>1</v>
      </c>
      <c r="T93" s="50" t="str">
        <f t="shared" si="2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12:40:30-700',mode:absolute,to:'2016-12-20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29"/>
        <v>N</v>
      </c>
      <c r="X93" s="177">
        <f t="shared" si="30"/>
        <v>1</v>
      </c>
      <c r="Y93" s="67">
        <f t="shared" si="31"/>
        <v>4.6899999999999997E-2</v>
      </c>
      <c r="Z93" s="67">
        <f t="shared" si="32"/>
        <v>23.3306</v>
      </c>
      <c r="AA93" s="67">
        <f t="shared" si="33"/>
        <v>23.2837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4"/>
        <v>0181-20</v>
      </c>
      <c r="AE93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93" s="88" t="str">
        <f t="shared" si="36"/>
        <v>"C:\Program Files (x86)\AstroGrep\AstroGrep.exe" /spath="%USERPROFILE%\AppData\Local\Temp\OnboardLogs" /stypes="app*4020*20161220*" /stext=" 21:.+((SYSTEM_STATE.+slice.+state.+changed )|(ment ac)|(multiple cpu faults)|(system.+state.+changed )|(\[timeout)|(PRM\|1\|D)|(kpr)|(kdp)|(\|lc)|(penalty))" /e /r /s</v>
      </c>
      <c r="AG93" s="1" t="str">
        <f t="shared" si="37"/>
        <v>EC</v>
      </c>
      <c r="AH93" s="92" t="str">
        <f t="shared" si="38"/>
        <v>"%USERPROFILE%\Documents\GitHub\eaglep3\Utilities\RefineRTDCRunTimes.py" --tripid 181-20 --locoid 4020 --swversion DE.1.0.8.0 --startMP 204:469 --initTime 2016-12-20T13:40:30 --startdatetime 2016-12-20T13:45:16 --delay 1 --endMP 204:233306 --enddatetime 2016-12-20T14:20:58 --enforcementcount 0 &gt;&gt;C:\Users\stu\Documents\GitHub\eaglep3-reporting\EC\2016-12-20-refined-times.txt</v>
      </c>
      <c r="AI9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{"issue":{"subject":"","project_id":79,"tracker_id":40,"status_id":1,"priority_id":2,"assigned_to_id":23,"start_date":"2016-12-20","description":"","custom_fields":[{"id":1,"name":"Subdivision","value":"EC"},{"id":4,"name":"Milepost","value":"23.3306"},{"id":17,"name":"Train ID","value":"181-20"},{"id":16,"name":"Locomotive ID","value":"4020"},{"id":130,"name":"Impact","value":""},{"id":150,"name":"Time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481</v>
      </c>
      <c r="B94" s="7">
        <v>4019</v>
      </c>
      <c r="C94" s="22" t="s">
        <v>205</v>
      </c>
      <c r="D94" s="22" t="s">
        <v>721</v>
      </c>
      <c r="E94" s="13">
        <v>42724.605000000003</v>
      </c>
      <c r="F94" s="13">
        <v>42724.611979166664</v>
      </c>
      <c r="G94" s="7">
        <v>1</v>
      </c>
      <c r="H94" s="22" t="s">
        <v>737</v>
      </c>
      <c r="I94" s="13">
        <v>42724.642847222225</v>
      </c>
      <c r="J94" s="7">
        <v>0</v>
      </c>
      <c r="K94" s="109" t="str">
        <f t="shared" si="23"/>
        <v>4019/4020</v>
      </c>
      <c r="L94" s="22" t="str">
        <f>VLOOKUP(A94,'Trips&amp;Operators'!$C$1:$G$99999,5,FALSE)</f>
        <v>CRAYTON QUNTRELL</v>
      </c>
      <c r="M94" s="6">
        <f t="shared" si="24"/>
        <v>3.086805556085892E-2</v>
      </c>
      <c r="N94" s="7">
        <f t="shared" si="25"/>
        <v>44.450000007636845</v>
      </c>
      <c r="O94" s="7"/>
      <c r="P94" s="7"/>
      <c r="Q94" s="23"/>
      <c r="R94" s="23"/>
      <c r="S94" s="35">
        <f t="shared" si="26"/>
        <v>1</v>
      </c>
      <c r="T94" s="50" t="str">
        <f t="shared" si="2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13:31:12-700',mode:absolute,to:'2016-12-20 16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29"/>
        <v>N</v>
      </c>
      <c r="X94" s="177">
        <f t="shared" si="30"/>
        <v>1</v>
      </c>
      <c r="Y94" s="67">
        <f t="shared" si="31"/>
        <v>23.2989</v>
      </c>
      <c r="Z94" s="67">
        <f t="shared" si="32"/>
        <v>1.5800000000000002E-2</v>
      </c>
      <c r="AA94" s="67">
        <f t="shared" si="33"/>
        <v>23.283100000000001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4"/>
        <v>0182-20</v>
      </c>
      <c r="AE94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94" s="88" t="str">
        <f t="shared" si="36"/>
        <v>"C:\Program Files (x86)\AstroGrep\AstroGrep.exe" /spath="%USERPROFILE%\AppData\Local\Temp\OnboardLogs" /stypes="app*4019*20161220*" /stext=" 22:.+((SYSTEM_STATE.+slice.+state.+changed )|(ment ac)|(multiple cpu faults)|(system.+state.+changed )|(\[timeout)|(PRM\|1\|D)|(kpr)|(kdp)|(\|lc)|(penalty))" /e /r /s</v>
      </c>
      <c r="AG94" s="1" t="str">
        <f t="shared" si="37"/>
        <v>EC</v>
      </c>
      <c r="AH94" s="92" t="str">
        <f t="shared" si="38"/>
        <v>"%USERPROFILE%\Documents\GitHub\eaglep3\Utilities\RefineRTDCRunTimes.py" --tripid 182-20 --locoid 4019 --swversion DE.1.0.8.0 --startMP 204:232989 --initTime 2016-12-20T14:31:12 --startdatetime 2016-12-20T14:41:15 --delay 1 --endMP 204:158 --enddatetime 2016-12-20T15:25:42 --enforcementcount 0 &gt;&gt;C:\Users\stu\Documents\GitHub\eaglep3-reporting\EC\2016-12-20-refined-times.txt</v>
      </c>
      <c r="AI9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{"issue":{"subject":"","project_id":79,"tracker_id":40,"status_id":1,"priority_id":2,"assigned_to_id":23,"start_date":"2016-12-20","description":"","custom_fields":[{"id":1,"name":"Subdivision","value":"EC"},{"id":4,"name":"Milepost","value":"0.0158"},{"id":17,"name":"Train ID","value":"182-20"},{"id":16,"name":"Locomotive ID","value":"4019"},{"id":130,"name":"Impact","value":""},{"id":150,"name":"Time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602</v>
      </c>
      <c r="B95" s="7">
        <v>4044</v>
      </c>
      <c r="C95" s="22" t="s">
        <v>205</v>
      </c>
      <c r="D95" s="22" t="s">
        <v>289</v>
      </c>
      <c r="E95" s="13">
        <v>42724.579675925925</v>
      </c>
      <c r="F95" s="13">
        <v>42724.584004629629</v>
      </c>
      <c r="G95" s="7">
        <v>1</v>
      </c>
      <c r="H95" s="22" t="s">
        <v>738</v>
      </c>
      <c r="I95" s="13">
        <v>42724.608981481484</v>
      </c>
      <c r="J95" s="7">
        <v>0</v>
      </c>
      <c r="K95" s="109" t="str">
        <f t="shared" si="23"/>
        <v>4043/4044</v>
      </c>
      <c r="L95" s="22" t="str">
        <f>VLOOKUP(A95,'Trips&amp;Operators'!$C$1:$G$99999,5,FALSE)</f>
        <v>MOSES BRADLEY</v>
      </c>
      <c r="M95" s="6">
        <f t="shared" si="24"/>
        <v>2.4976851855171844E-2</v>
      </c>
      <c r="N95" s="7">
        <f t="shared" si="25"/>
        <v>35.966666671447456</v>
      </c>
      <c r="O95" s="7"/>
      <c r="P95" s="7"/>
      <c r="Q95" s="23"/>
      <c r="R95" s="23"/>
      <c r="S95" s="35">
        <f t="shared" si="26"/>
        <v>1</v>
      </c>
      <c r="T95" s="50" t="str">
        <f t="shared" si="2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12:54:44-700',mode:absolute,to:'2016-12-20 15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29"/>
        <v>N</v>
      </c>
      <c r="X95" s="177">
        <f t="shared" si="30"/>
        <v>1</v>
      </c>
      <c r="Y95" s="67">
        <f t="shared" si="31"/>
        <v>4.3999999999999997E-2</v>
      </c>
      <c r="Z95" s="67">
        <f t="shared" si="32"/>
        <v>23.332799999999999</v>
      </c>
      <c r="AA95" s="67">
        <f t="shared" si="33"/>
        <v>23.288799999999998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4"/>
        <v>0183-20</v>
      </c>
      <c r="AE95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95" s="88" t="str">
        <f t="shared" si="36"/>
        <v>"C:\Program Files (x86)\AstroGrep\AstroGrep.exe" /spath="%USERPROFILE%\AppData\Local\Temp\OnboardLogs" /stypes="app*4044*20161220*" /stext=" 21:.+((SYSTEM_STATE.+slice.+state.+changed )|(ment ac)|(multiple cpu faults)|(system.+state.+changed )|(\[timeout)|(PRM\|1\|D)|(kpr)|(kdp)|(\|lc)|(penalty))" /e /r /s</v>
      </c>
      <c r="AG95" s="1" t="str">
        <f t="shared" si="37"/>
        <v>EC</v>
      </c>
      <c r="AH95" s="92" t="str">
        <f t="shared" si="38"/>
        <v>"%USERPROFILE%\Documents\GitHub\eaglep3\Utilities\RefineRTDCRunTimes.py" --tripid 183-20 --locoid 4044 --swversion DE.1.0.8.0 --startMP 204:440 --initTime 2016-12-20T13:54:44 --startdatetime 2016-12-20T14:00:58 --delay 1 --endMP 204:233328 --enddatetime 2016-12-20T14:36:56 --enforcementcount 0 &gt;&gt;C:\Users\stu\Documents\GitHub\eaglep3-reporting\EC\2016-12-20-refined-times.txt</v>
      </c>
      <c r="AI9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{"issue":{"subject":"","project_id":79,"tracker_id":40,"status_id":1,"priority_id":2,"assigned_to_id":23,"start_date":"2016-12-20","description":"","custom_fields":[{"id":1,"name":"Subdivision","value":"EC"},{"id":4,"name":"Milepost","value":"23.3328"},{"id":17,"name":"Train ID","value":"183-20"},{"id":16,"name":"Locomotive ID","value":"4044"},{"id":130,"name":"Impact","value":""},{"id":150,"name":"Time of Event (Mountain Time)","value":"14:36:56"},{"id":151,"name":"Denver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611</v>
      </c>
      <c r="B96" s="7">
        <v>4043</v>
      </c>
      <c r="C96" s="22" t="s">
        <v>205</v>
      </c>
      <c r="D96" s="22" t="s">
        <v>735</v>
      </c>
      <c r="E96" s="13">
        <v>42724.617881944447</v>
      </c>
      <c r="F96" s="13">
        <v>42724.622499999998</v>
      </c>
      <c r="G96" s="7">
        <v>1</v>
      </c>
      <c r="H96" s="22" t="s">
        <v>715</v>
      </c>
      <c r="I96" s="13">
        <v>42724.652615740742</v>
      </c>
      <c r="J96" s="7">
        <v>0</v>
      </c>
      <c r="K96" s="109" t="str">
        <f t="shared" si="23"/>
        <v>4043/4044</v>
      </c>
      <c r="L96" s="22" t="str">
        <f>VLOOKUP(A96,'Trips&amp;Operators'!$C$1:$G$99999,5,FALSE)</f>
        <v>MOSES BRADLEY</v>
      </c>
      <c r="M96" s="6">
        <f t="shared" si="24"/>
        <v>3.0115740744804498E-2</v>
      </c>
      <c r="N96" s="7">
        <f t="shared" si="25"/>
        <v>43.366666672518477</v>
      </c>
      <c r="O96" s="7"/>
      <c r="P96" s="7"/>
      <c r="Q96" s="23"/>
      <c r="R96" s="23"/>
      <c r="S96" s="35">
        <f t="shared" si="26"/>
        <v>1</v>
      </c>
      <c r="T96" s="50" t="str">
        <f t="shared" si="2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13:49:45-700',mode:absolute,to:'2016-12-20 16:39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29"/>
        <v>N</v>
      </c>
      <c r="X96" s="177">
        <f t="shared" si="30"/>
        <v>1</v>
      </c>
      <c r="Y96" s="67">
        <f t="shared" si="31"/>
        <v>23.299600000000002</v>
      </c>
      <c r="Z96" s="67">
        <f t="shared" si="32"/>
        <v>1.41E-2</v>
      </c>
      <c r="AA96" s="67">
        <f t="shared" si="33"/>
        <v>23.285500000000003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4"/>
        <v>0184-20</v>
      </c>
      <c r="AE96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96" s="88" t="str">
        <f t="shared" si="36"/>
        <v>"C:\Program Files (x86)\AstroGrep\AstroGrep.exe" /spath="%USERPROFILE%\AppData\Local\Temp\OnboardLogs" /stypes="app*4043*20161220*" /stext=" 22:.+((SYSTEM_STATE.+slice.+state.+changed )|(ment ac)|(multiple cpu faults)|(system.+state.+changed )|(\[timeout)|(PRM\|1\|D)|(kpr)|(kdp)|(\|lc)|(penalty))" /e /r /s</v>
      </c>
      <c r="AG96" s="1" t="str">
        <f t="shared" si="37"/>
        <v>EC</v>
      </c>
      <c r="AH96" s="92" t="str">
        <f t="shared" si="38"/>
        <v>"%USERPROFILE%\Documents\GitHub\eaglep3\Utilities\RefineRTDCRunTimes.py" --tripid 184-20 --locoid 4043 --swversion DE.1.0.8.0 --startMP 204:232996 --initTime 2016-12-20T14:49:45 --startdatetime 2016-12-20T14:56:24 --delay 1 --endMP 204:141 --enddatetime 2016-12-20T15:39:46 --enforcementcount 0 &gt;&gt;C:\Users\stu\Documents\GitHub\eaglep3-reporting\EC\2016-12-20-refined-times.txt</v>
      </c>
      <c r="AI9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{"issue":{"subject":"","project_id":79,"tracker_id":40,"status_id":1,"priority_id":2,"assigned_to_id":23,"start_date":"2016-12-20","description":"","custom_fields":[{"id":1,"name":"Subdivision","value":"EC"},{"id":4,"name":"Milepost","value":"0.0141"},{"id":17,"name":"Train ID","value":"184-20"},{"id":16,"name":"Locomotive ID","value":"4043"},{"id":130,"name":"Impact","value":""},{"id":150,"name":"Time of Event (Mountain Time)","value":"15:39:46"},{"id":151,"name":"Denver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480</v>
      </c>
      <c r="B97" s="7">
        <v>4018</v>
      </c>
      <c r="C97" s="22" t="s">
        <v>205</v>
      </c>
      <c r="D97" s="22" t="s">
        <v>193</v>
      </c>
      <c r="E97" s="13">
        <v>42724.590069444443</v>
      </c>
      <c r="F97" s="13">
        <v>42724.5940162037</v>
      </c>
      <c r="G97" s="7">
        <v>2</v>
      </c>
      <c r="H97" s="22" t="s">
        <v>404</v>
      </c>
      <c r="I97" s="13">
        <v>42724.620567129627</v>
      </c>
      <c r="J97" s="7">
        <v>0</v>
      </c>
      <c r="K97" s="109" t="str">
        <f t="shared" si="23"/>
        <v>4017/4018</v>
      </c>
      <c r="L97" s="22" t="str">
        <f>VLOOKUP(A97,'Trips&amp;Operators'!$C$1:$G$99999,5,FALSE)</f>
        <v>BRANNON JEFFREY</v>
      </c>
      <c r="M97" s="6">
        <f t="shared" si="24"/>
        <v>2.6550925926130731E-2</v>
      </c>
      <c r="N97" s="7">
        <f t="shared" si="25"/>
        <v>38.233333333628252</v>
      </c>
      <c r="O97" s="7"/>
      <c r="P97" s="7"/>
      <c r="Q97" s="23"/>
      <c r="R97" s="23"/>
      <c r="S97" s="35">
        <f t="shared" si="26"/>
        <v>1</v>
      </c>
      <c r="T97" s="50" t="str">
        <f t="shared" si="2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13:09:42-700',mode:absolute,to:'2016-12-20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7" s="52" t="str">
        <f t="shared" si="29"/>
        <v>N</v>
      </c>
      <c r="X97" s="177">
        <f t="shared" si="30"/>
        <v>1</v>
      </c>
      <c r="Y97" s="67">
        <f t="shared" si="31"/>
        <v>4.4699999999999997E-2</v>
      </c>
      <c r="Z97" s="67">
        <f t="shared" si="32"/>
        <v>23.33</v>
      </c>
      <c r="AA97" s="67">
        <f t="shared" si="33"/>
        <v>23.285299999999999</v>
      </c>
      <c r="AB97" s="64" t="str">
        <f>VLOOKUP(A97,Enforcements!$C$7:$K$19,8,0)</f>
        <v>Speed (6)</v>
      </c>
      <c r="AC97" s="60" t="str">
        <f>VLOOKUP(A97,Enforcements!$C$7:$E$19,3,0)</f>
        <v>PERMANENT SPEED RESTRICTION</v>
      </c>
      <c r="AD97" s="61" t="str">
        <f t="shared" si="34"/>
        <v>0185-20</v>
      </c>
      <c r="AE97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97" s="88" t="str">
        <f t="shared" si="36"/>
        <v>"C:\Program Files (x86)\AstroGrep\AstroGrep.exe" /spath="%USERPROFILE%\AppData\Local\Temp\OnboardLogs" /stypes="app*4018*20161220*" /stext=" 21:.+((SYSTEM_STATE.+slice.+state.+changed )|(ment ac)|(multiple cpu faults)|(system.+state.+changed )|(\[timeout)|(PRM\|1\|D)|(kpr)|(kdp)|(\|lc)|(penalty))" /e /r /s</v>
      </c>
      <c r="AG97" s="1" t="str">
        <f t="shared" si="37"/>
        <v>EC</v>
      </c>
      <c r="AH97" s="92" t="str">
        <f t="shared" si="38"/>
        <v>"%USERPROFILE%\Documents\GitHub\eaglep3\Utilities\RefineRTDCRunTimes.py" --tripid 185-20 --locoid 4018 --swversion DE.1.0.8.0 --startMP 204:447 --initTime 2016-12-20T14:09:42 --startdatetime 2016-12-20T14:15:23 --delay 2 --endMP 204:233300 --enddatetime 2016-12-20T14:53:37 --enforcementcount 0 &gt;&gt;C:\Users\stu\Documents\GitHub\eaglep3-reporting\EC\2016-12-20-refined-times.txt</v>
      </c>
      <c r="AI9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{"issue":{"subject":"","project_id":79,"tracker_id":40,"status_id":1,"priority_id":2,"assigned_to_id":23,"start_date":"2016-12-20","description":"","custom_fields":[{"id":1,"name":"Subdivision","value":"EC"},{"id":4,"name":"Milepost","value":"23.33"},{"id":17,"name":"Train ID","value":"185-20"},{"id":16,"name":"Locomotive ID","value":"4018"},{"id":130,"name":"Impact","value":""},{"id":150,"name":"Time of Event (Mountain Time)","value":"14:53:37"},{"id":151,"name":"Denver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613</v>
      </c>
      <c r="B98" s="7">
        <v>4017</v>
      </c>
      <c r="C98" s="22" t="s">
        <v>205</v>
      </c>
      <c r="D98" s="22" t="s">
        <v>735</v>
      </c>
      <c r="E98" s="13">
        <v>42724.627696759257</v>
      </c>
      <c r="F98" s="13">
        <v>42724.632824074077</v>
      </c>
      <c r="G98" s="7">
        <v>1</v>
      </c>
      <c r="H98" s="22" t="s">
        <v>261</v>
      </c>
      <c r="I98" s="13">
        <v>42724.662303240744</v>
      </c>
      <c r="J98" s="7">
        <v>0</v>
      </c>
      <c r="K98" s="109" t="str">
        <f t="shared" si="23"/>
        <v>4017/4018</v>
      </c>
      <c r="L98" s="22" t="str">
        <f>VLOOKUP(A98,'Trips&amp;Operators'!$C$1:$G$99999,5,FALSE)</f>
        <v>BRANNON JEFFREY</v>
      </c>
      <c r="M98" s="6">
        <f t="shared" si="24"/>
        <v>2.9479166667442769E-2</v>
      </c>
      <c r="N98" s="7">
        <f t="shared" si="25"/>
        <v>42.450000001117587</v>
      </c>
      <c r="O98" s="7"/>
      <c r="P98" s="7"/>
      <c r="Q98" s="23"/>
      <c r="R98" s="23"/>
      <c r="S98" s="35">
        <f t="shared" si="26"/>
        <v>1</v>
      </c>
      <c r="T98" s="50" t="str">
        <f t="shared" si="2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14:03:53-700',mode:absolute,to:'2016-12-20 16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8" s="52" t="str">
        <f t="shared" si="29"/>
        <v>N</v>
      </c>
      <c r="X98" s="177">
        <f t="shared" si="30"/>
        <v>1</v>
      </c>
      <c r="Y98" s="67">
        <f t="shared" si="31"/>
        <v>23.299600000000002</v>
      </c>
      <c r="Z98" s="67">
        <f t="shared" si="32"/>
        <v>1.3899999999999999E-2</v>
      </c>
      <c r="AA98" s="67">
        <f t="shared" si="33"/>
        <v>23.285700000000002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4"/>
        <v>0186-20</v>
      </c>
      <c r="AE98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98" s="88" t="str">
        <f t="shared" si="36"/>
        <v>"C:\Program Files (x86)\AstroGrep\AstroGrep.exe" /spath="%USERPROFILE%\AppData\Local\Temp\OnboardLogs" /stypes="app*4017*20161220*" /stext=" 22:.+((SYSTEM_STATE.+slice.+state.+changed )|(ment ac)|(multiple cpu faults)|(system.+state.+changed )|(\[timeout)|(PRM\|1\|D)|(kpr)|(kdp)|(\|lc)|(penalty))" /e /r /s</v>
      </c>
      <c r="AG98" s="1" t="str">
        <f t="shared" si="37"/>
        <v>EC</v>
      </c>
      <c r="AH98" s="92" t="str">
        <f t="shared" si="38"/>
        <v>"%USERPROFILE%\Documents\GitHub\eaglep3\Utilities\RefineRTDCRunTimes.py" --tripid 186-20 --locoid 4017 --swversion DE.1.0.8.0 --startMP 204:232996 --initTime 2016-12-20T15:03:53 --startdatetime 2016-12-20T15:11:16 --delay 1 --endMP 204:139 --enddatetime 2016-12-20T15:53:43 --enforcementcount 0 &gt;&gt;C:\Users\stu\Documents\GitHub\eaglep3-reporting\EC\2016-12-20-refined-times.txt</v>
      </c>
      <c r="AI9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{"issue":{"subject":"","project_id":79,"tracker_id":40,"status_id":1,"priority_id":2,"assigned_to_id":23,"start_date":"2016-12-20","description":"","custom_fields":[{"id":1,"name":"Subdivision","value":"EC"},{"id":4,"name":"Milepost","value":"0.0139"},{"id":17,"name":"Train ID","value":"186-20"},{"id":16,"name":"Locomotive ID","value":"4017"},{"id":130,"name":"Impact","value":""},{"id":150,"name":"Time of Event (Mountain Time)","value":"15:53:43"},{"id":151,"name":"Denver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608</v>
      </c>
      <c r="B99" s="7">
        <v>4046</v>
      </c>
      <c r="C99" s="22" t="s">
        <v>205</v>
      </c>
      <c r="D99" s="22" t="s">
        <v>286</v>
      </c>
      <c r="E99" s="13">
        <v>42724.602025462962</v>
      </c>
      <c r="F99" s="13">
        <v>42724.604548611111</v>
      </c>
      <c r="G99" s="7">
        <v>1</v>
      </c>
      <c r="H99" s="22" t="s">
        <v>398</v>
      </c>
      <c r="I99" s="13">
        <v>42724.630370370367</v>
      </c>
      <c r="J99" s="7">
        <v>0</v>
      </c>
      <c r="K99" s="109" t="str">
        <f t="shared" si="23"/>
        <v>4045/4046</v>
      </c>
      <c r="L99" s="22" t="str">
        <f>VLOOKUP(A99,'Trips&amp;Operators'!$C$1:$G$99999,5,FALSE)</f>
        <v>DAVIS MICHAEL</v>
      </c>
      <c r="M99" s="6">
        <f t="shared" si="24"/>
        <v>2.5821759256359655E-2</v>
      </c>
      <c r="N99" s="7">
        <f t="shared" si="25"/>
        <v>37.183333329157904</v>
      </c>
      <c r="O99" s="7"/>
      <c r="P99" s="7"/>
      <c r="Q99" s="23"/>
      <c r="R99" s="23"/>
      <c r="S99" s="35">
        <f t="shared" si="26"/>
        <v>1</v>
      </c>
      <c r="T99" s="50" t="str">
        <f t="shared" si="2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13:26:55-700',mode:absolute,to:'2016-12-20 16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52" t="str">
        <f t="shared" si="29"/>
        <v>N</v>
      </c>
      <c r="X99" s="177">
        <f t="shared" si="30"/>
        <v>1</v>
      </c>
      <c r="Y99" s="67">
        <f t="shared" si="31"/>
        <v>4.5699999999999998E-2</v>
      </c>
      <c r="Z99" s="67">
        <f t="shared" si="32"/>
        <v>23.328399999999998</v>
      </c>
      <c r="AA99" s="67">
        <f t="shared" si="33"/>
        <v>23.282699999999998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4"/>
        <v>0187-20</v>
      </c>
      <c r="AE99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99" s="88" t="str">
        <f t="shared" si="36"/>
        <v>"C:\Program Files (x86)\AstroGrep\AstroGrep.exe" /spath="%USERPROFILE%\AppData\Local\Temp\OnboardLogs" /stypes="app*4046*20161220*" /stext=" 22:.+((SYSTEM_STATE.+slice.+state.+changed )|(ment ac)|(multiple cpu faults)|(system.+state.+changed )|(\[timeout)|(PRM\|1\|D)|(kpr)|(kdp)|(\|lc)|(penalty))" /e /r /s</v>
      </c>
      <c r="AG99" s="1" t="str">
        <f t="shared" si="37"/>
        <v>EC</v>
      </c>
      <c r="AH99" s="92" t="str">
        <f t="shared" si="38"/>
        <v>"%USERPROFILE%\Documents\GitHub\eaglep3\Utilities\RefineRTDCRunTimes.py" --tripid 187-20 --locoid 4046 --swversion DE.1.0.8.0 --startMP 204:457 --initTime 2016-12-20T14:26:55 --startdatetime 2016-12-20T14:30:33 --delay 1 --endMP 204:233284 --enddatetime 2016-12-20T15:07:44 --enforcementcount 0 &gt;&gt;C:\Users\stu\Documents\GitHub\eaglep3-reporting\EC\2016-12-20-refined-times.txt</v>
      </c>
      <c r="AI9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{"issue":{"subject":"","project_id":79,"tracker_id":40,"status_id":1,"priority_id":2,"assigned_to_id":23,"start_date":"2016-12-20","description":"","custom_fields":[{"id":1,"name":"Subdivision","value":"EC"},{"id":4,"name":"Milepost","value":"23.3284"},{"id":17,"name":"Train ID","value":"187-20"},{"id":16,"name":"Locomotive ID","value":"4046"},{"id":130,"name":"Impact","value":""},{"id":150,"name":"Time of Event (Mountain Time)","value":"15:07:44"},{"id":151,"name":"Denver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618</v>
      </c>
      <c r="B100" s="7">
        <v>4045</v>
      </c>
      <c r="C100" s="22" t="s">
        <v>205</v>
      </c>
      <c r="D100" s="22" t="s">
        <v>310</v>
      </c>
      <c r="E100" s="13">
        <v>42724.638715277775</v>
      </c>
      <c r="F100" s="13">
        <v>42724.643842592595</v>
      </c>
      <c r="G100" s="7">
        <v>1</v>
      </c>
      <c r="H100" s="22" t="s">
        <v>410</v>
      </c>
      <c r="I100" s="13">
        <v>42724.675173611111</v>
      </c>
      <c r="J100" s="7">
        <v>0</v>
      </c>
      <c r="K100" s="109" t="str">
        <f t="shared" si="23"/>
        <v>4045/4046</v>
      </c>
      <c r="L100" s="22" t="str">
        <f>VLOOKUP(A100,'Trips&amp;Operators'!$C$1:$G$99999,5,FALSE)</f>
        <v>DAVIS MICHAEL</v>
      </c>
      <c r="M100" s="6">
        <f t="shared" si="24"/>
        <v>3.1331018515629694E-2</v>
      </c>
      <c r="N100" s="7">
        <f t="shared" si="25"/>
        <v>45.116666662506759</v>
      </c>
      <c r="O100" s="7"/>
      <c r="P100" s="7"/>
      <c r="Q100" s="23"/>
      <c r="R100" s="23"/>
      <c r="S100" s="35">
        <f t="shared" si="26"/>
        <v>1</v>
      </c>
      <c r="T100" s="50" t="str">
        <f t="shared" si="2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14:19:45-700',mode:absolute,to:'2016-12-20 17:12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52" t="str">
        <f t="shared" si="29"/>
        <v>N</v>
      </c>
      <c r="X100" s="177">
        <f t="shared" si="30"/>
        <v>1</v>
      </c>
      <c r="Y100" s="67">
        <f t="shared" si="31"/>
        <v>23.297799999999999</v>
      </c>
      <c r="Z100" s="67">
        <f t="shared" si="32"/>
        <v>1.3599999999999999E-2</v>
      </c>
      <c r="AA100" s="67">
        <f t="shared" si="33"/>
        <v>23.284199999999998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4"/>
        <v>0188-20</v>
      </c>
      <c r="AE100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00" s="88" t="str">
        <f t="shared" si="36"/>
        <v>"C:\Program Files (x86)\AstroGrep\AstroGrep.exe" /spath="%USERPROFILE%\AppData\Local\Temp\OnboardLogs" /stypes="app*4045*20161220*" /stext=" 23:.+((SYSTEM_STATE.+slice.+state.+changed )|(ment ac)|(multiple cpu faults)|(system.+state.+changed )|(\[timeout)|(PRM\|1\|D)|(kpr)|(kdp)|(\|lc)|(penalty))" /e /r /s</v>
      </c>
      <c r="AG100" s="1" t="str">
        <f t="shared" si="37"/>
        <v>EC</v>
      </c>
      <c r="AH100" s="92" t="str">
        <f t="shared" si="38"/>
        <v>"%USERPROFILE%\Documents\GitHub\eaglep3\Utilities\RefineRTDCRunTimes.py" --tripid 188-20 --locoid 4045 --swversion DE.1.0.8.0 --startMP 204:232978 --initTime 2016-12-20T15:19:45 --startdatetime 2016-12-20T15:27:08 --delay 1 --endMP 204:136 --enddatetime 2016-12-20T16:12:15 --enforcementcount 0 &gt;&gt;C:\Users\stu\Documents\GitHub\eaglep3-reporting\EC\2016-12-20-refined-times.txt</v>
      </c>
      <c r="AI10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{"issue":{"subject":"","project_id":79,"tracker_id":40,"status_id":1,"priority_id":2,"assigned_to_id":23,"start_date":"2016-12-20","description":"","custom_fields":[{"id":1,"name":"Subdivision","value":"EC"},{"id":4,"name":"Milepost","value":"0.0136"},{"id":17,"name":"Train ID","value":"188-20"},{"id":16,"name":"Locomotive ID","value":"4045"},{"id":130,"name":"Impact","value":""},{"id":150,"name":"Time of Event (Mountain Time)","value":"16:12:15"},{"id":151,"name":"Denver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610</v>
      </c>
      <c r="B101" s="7">
        <v>4009</v>
      </c>
      <c r="C101" s="22" t="s">
        <v>205</v>
      </c>
      <c r="D101" s="22" t="s">
        <v>194</v>
      </c>
      <c r="E101" s="13">
        <v>42724.612280092595</v>
      </c>
      <c r="F101" s="13">
        <v>42724.61513888889</v>
      </c>
      <c r="G101" s="7">
        <v>1</v>
      </c>
      <c r="H101" s="22" t="s">
        <v>307</v>
      </c>
      <c r="I101" s="13">
        <v>42724.640231481484</v>
      </c>
      <c r="J101" s="7">
        <v>0</v>
      </c>
      <c r="K101" s="109" t="str">
        <f t="shared" si="23"/>
        <v>4009/4010</v>
      </c>
      <c r="L101" s="22" t="str">
        <f>VLOOKUP(A101,'Trips&amp;Operators'!$C$1:$G$99999,5,FALSE)</f>
        <v>STEWART MICHAEL</v>
      </c>
      <c r="M101" s="6">
        <f t="shared" si="24"/>
        <v>2.5092592593864538E-2</v>
      </c>
      <c r="N101" s="7">
        <f t="shared" si="25"/>
        <v>36.133333335164934</v>
      </c>
      <c r="O101" s="7"/>
      <c r="P101" s="7"/>
      <c r="Q101" s="23"/>
      <c r="R101" s="23"/>
      <c r="S101" s="35">
        <f t="shared" si="26"/>
        <v>1</v>
      </c>
      <c r="T101" s="50" t="str">
        <f t="shared" si="27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13:41:41-700',mode:absolute,to:'2016-12-20 16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1" s="52" t="str">
        <f t="shared" si="29"/>
        <v>N</v>
      </c>
      <c r="X101" s="177">
        <f t="shared" si="30"/>
        <v>1</v>
      </c>
      <c r="Y101" s="67">
        <f t="shared" si="31"/>
        <v>4.5100000000000001E-2</v>
      </c>
      <c r="Z101" s="67">
        <f t="shared" si="32"/>
        <v>23.329499999999999</v>
      </c>
      <c r="AA101" s="67">
        <f t="shared" si="33"/>
        <v>23.284399999999998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4"/>
        <v>0189-20</v>
      </c>
      <c r="AE101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01" s="88" t="str">
        <f t="shared" si="36"/>
        <v>"C:\Program Files (x86)\AstroGrep\AstroGrep.exe" /spath="%USERPROFILE%\AppData\Local\Temp\OnboardLogs" /stypes="app*4009*20161220*" /stext=" 22:.+((SYSTEM_STATE.+slice.+state.+changed )|(ment ac)|(multiple cpu faults)|(system.+state.+changed )|(\[timeout)|(PRM\|1\|D)|(kpr)|(kdp)|(\|lc)|(penalty))" /e /r /s</v>
      </c>
      <c r="AG101" s="1" t="str">
        <f t="shared" si="37"/>
        <v>EC</v>
      </c>
      <c r="AH101" s="92" t="str">
        <f t="shared" si="38"/>
        <v>"%USERPROFILE%\Documents\GitHub\eaglep3\Utilities\RefineRTDCRunTimes.py" --tripid 189-20 --locoid 4009 --swversion DE.1.0.8.0 --startMP 204:451 --initTime 2016-12-20T14:41:41 --startdatetime 2016-12-20T14:45:48 --delay 1 --endMP 204:233295 --enddatetime 2016-12-20T15:21:56 --enforcementcount 0 &gt;&gt;C:\Users\stu\Documents\GitHub\eaglep3-reporting\EC\2016-12-20-refined-times.txt</v>
      </c>
      <c r="AI10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ID","value":"189-20"},{"id":16,"name":"Locomotive ID","value":"4009"},{"id":130,"name":"Impact","value":""},{"id":150,"name":"Time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620</v>
      </c>
      <c r="B102" s="7">
        <v>4010</v>
      </c>
      <c r="C102" s="22" t="s">
        <v>205</v>
      </c>
      <c r="D102" s="22" t="s">
        <v>349</v>
      </c>
      <c r="E102" s="13">
        <v>42724.649537037039</v>
      </c>
      <c r="F102" s="13">
        <v>42724.654108796298</v>
      </c>
      <c r="G102" s="7">
        <v>2</v>
      </c>
      <c r="H102" s="22" t="s">
        <v>245</v>
      </c>
      <c r="I102" s="13">
        <v>42724.683564814812</v>
      </c>
      <c r="J102" s="7">
        <v>0</v>
      </c>
      <c r="K102" s="109" t="str">
        <f t="shared" si="23"/>
        <v>4009/4010</v>
      </c>
      <c r="L102" s="22" t="str">
        <f>VLOOKUP(A102,'Trips&amp;Operators'!$C$1:$G$99999,5,FALSE)</f>
        <v>STEWART MICHAEL</v>
      </c>
      <c r="M102" s="6">
        <f t="shared" si="24"/>
        <v>2.9456018513883464E-2</v>
      </c>
      <c r="N102" s="7">
        <f t="shared" si="25"/>
        <v>42.416666659992188</v>
      </c>
      <c r="O102" s="7"/>
      <c r="P102" s="7"/>
      <c r="Q102" s="23"/>
      <c r="R102" s="23"/>
      <c r="S102" s="35">
        <f t="shared" si="26"/>
        <v>1</v>
      </c>
      <c r="T102" s="50" t="str">
        <f t="shared" si="27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14:35:20-700',mode:absolute,to:'2016-12-20 17:24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2" s="52" t="str">
        <f t="shared" si="29"/>
        <v>N</v>
      </c>
      <c r="X102" s="177">
        <f t="shared" si="30"/>
        <v>1</v>
      </c>
      <c r="Y102" s="67">
        <f t="shared" si="31"/>
        <v>23.298100000000002</v>
      </c>
      <c r="Z102" s="67">
        <f t="shared" si="32"/>
        <v>1.6299999999999999E-2</v>
      </c>
      <c r="AA102" s="67">
        <f t="shared" si="33"/>
        <v>23.2818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4"/>
        <v>0190-20</v>
      </c>
      <c r="AE102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02" s="88" t="str">
        <f t="shared" si="36"/>
        <v>"C:\Program Files (x86)\AstroGrep\AstroGrep.exe" /spath="%USERPROFILE%\AppData\Local\Temp\OnboardLogs" /stypes="app*4010*20161220*" /stext=" 23:.+((SYSTEM_STATE.+slice.+state.+changed )|(ment ac)|(multiple cpu faults)|(system.+state.+changed )|(\[timeout)|(PRM\|1\|D)|(kpr)|(kdp)|(\|lc)|(penalty))" /e /r /s</v>
      </c>
      <c r="AG102" s="1" t="str">
        <f t="shared" si="37"/>
        <v>EC</v>
      </c>
      <c r="AH102" s="92" t="str">
        <f t="shared" si="38"/>
        <v>"%USERPROFILE%\Documents\GitHub\eaglep3\Utilities\RefineRTDCRunTimes.py" --tripid 190-20 --locoid 4010 --swversion DE.1.0.8.0 --startMP 204:232981 --initTime 2016-12-20T15:35:20 --startdatetime 2016-12-20T15:41:55 --delay 2 --endMP 204:163 --enddatetime 2016-12-20T16:24:20 --enforcementcount 0 &gt;&gt;C:\Users\stu\Documents\GitHub\eaglep3-reporting\EC\2016-12-20-refined-times.txt</v>
      </c>
      <c r="AI10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{"issue":{"subject":"","project_id":79,"tracker_id":40,"status_id":1,"priority_id":2,"assigned_to_id":23,"start_date":"2016-12-20","description":"","custom_fields":[{"id":1,"name":"Subdivision","value":"EC"},{"id":4,"name":"Milepost","value":"0.0163"},{"id":17,"name":"Train ID","value":"190-20"},{"id":16,"name":"Locomotive ID","value":"4010"},{"id":130,"name":"Impact","value":""},{"id":150,"name":"Time of Event (Mountain Time)","value":"16:24:20"},{"id":151,"name":"Denver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612</v>
      </c>
      <c r="B103" s="7">
        <v>4031</v>
      </c>
      <c r="C103" s="22" t="s">
        <v>205</v>
      </c>
      <c r="D103" s="22" t="s">
        <v>228</v>
      </c>
      <c r="E103" s="13">
        <v>42724.62232638889</v>
      </c>
      <c r="F103" s="13">
        <v>42724.625520833331</v>
      </c>
      <c r="G103" s="7">
        <v>1</v>
      </c>
      <c r="H103" s="22" t="s">
        <v>285</v>
      </c>
      <c r="I103" s="13">
        <v>42724.654166666667</v>
      </c>
      <c r="J103" s="7">
        <v>0</v>
      </c>
      <c r="K103" s="109" t="str">
        <f t="shared" si="23"/>
        <v>4031/4032</v>
      </c>
      <c r="L103" s="22" t="str">
        <f>VLOOKUP(A103,'Trips&amp;Operators'!$C$1:$G$99999,5,FALSE)</f>
        <v>COMELLA JUSTIN</v>
      </c>
      <c r="M103" s="6">
        <f t="shared" si="24"/>
        <v>2.8645833335758653E-2</v>
      </c>
      <c r="N103" s="7">
        <f t="shared" si="25"/>
        <v>41.25000000349246</v>
      </c>
      <c r="O103" s="7"/>
      <c r="P103" s="7"/>
      <c r="Q103" s="23"/>
      <c r="R103" s="23"/>
      <c r="S103" s="35">
        <f t="shared" si="26"/>
        <v>1</v>
      </c>
      <c r="T103" s="50" t="str">
        <f t="shared" si="27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13:56:09-700',mode:absolute,to:'2016-12-20 16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29"/>
        <v>N</v>
      </c>
      <c r="X103" s="177">
        <f t="shared" si="30"/>
        <v>1</v>
      </c>
      <c r="Y103" s="67">
        <f t="shared" si="31"/>
        <v>4.5499999999999999E-2</v>
      </c>
      <c r="Z103" s="67">
        <f t="shared" si="32"/>
        <v>23.328900000000001</v>
      </c>
      <c r="AA103" s="67">
        <f t="shared" si="33"/>
        <v>23.2834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4"/>
        <v>0191-20</v>
      </c>
      <c r="AE103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03" s="88" t="str">
        <f t="shared" si="36"/>
        <v>"C:\Program Files (x86)\AstroGrep\AstroGrep.exe" /spath="%USERPROFILE%\AppData\Local\Temp\OnboardLogs" /stypes="app*4031*20161220*" /stext=" 22:.+((SYSTEM_STATE.+slice.+state.+changed )|(ment ac)|(multiple cpu faults)|(system.+state.+changed )|(\[timeout)|(PRM\|1\|D)|(kpr)|(kdp)|(\|lc)|(penalty))" /e /r /s</v>
      </c>
      <c r="AG103" s="1" t="str">
        <f t="shared" si="37"/>
        <v>EC</v>
      </c>
      <c r="AH103" s="92" t="str">
        <f t="shared" si="38"/>
        <v>"%USERPROFILE%\Documents\GitHub\eaglep3\Utilities\RefineRTDCRunTimes.py" --tripid 191-20 --locoid 4031 --swversion DE.1.0.8.0 --startMP 204:455 --initTime 2016-12-20T14:56:09 --startdatetime 2016-12-20T15:00:45 --delay 1 --endMP 204:233289 --enddatetime 2016-12-20T15:42:00 --enforcementcount 0 &gt;&gt;C:\Users\stu\Documents\GitHub\eaglep3-reporting\EC\2016-12-20-refined-times.txt</v>
      </c>
      <c r="AI10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{"issue":{"subject":"","project_id":79,"tracker_id":40,"status_id":1,"priority_id":2,"assigned_to_id":23,"start_date":"2016-12-20","description":"","custom_fields":[{"id":1,"name":"Subdivision","value":"EC"},{"id":4,"name":"Milepost","value":"23.3289"},{"id":17,"name":"Train ID","value":"191-20"},{"id":16,"name":"Locomotive ID","value":"4031"},{"id":130,"name":"Impact","value":""},{"id":150,"name":"Time of Event (Mountain Time)","value":"15:42:00"},{"id":151,"name":"Denver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623</v>
      </c>
      <c r="B104" s="7">
        <v>4032</v>
      </c>
      <c r="C104" s="22" t="s">
        <v>205</v>
      </c>
      <c r="D104" s="22" t="s">
        <v>725</v>
      </c>
      <c r="E104" s="13">
        <v>42724.657951388886</v>
      </c>
      <c r="F104" s="13">
        <v>42724.664155092592</v>
      </c>
      <c r="G104" s="7">
        <v>1</v>
      </c>
      <c r="H104" s="22" t="s">
        <v>739</v>
      </c>
      <c r="I104" s="13">
        <v>42724.693194444444</v>
      </c>
      <c r="J104" s="7">
        <v>0</v>
      </c>
      <c r="K104" s="109" t="str">
        <f t="shared" si="23"/>
        <v>4031/4032</v>
      </c>
      <c r="L104" s="22" t="str">
        <f>VLOOKUP(A104,'Trips&amp;Operators'!$C$1:$G$99999,5,FALSE)</f>
        <v>COMELLA JUSTIN</v>
      </c>
      <c r="M104" s="6">
        <f t="shared" si="24"/>
        <v>2.9039351851679385E-2</v>
      </c>
      <c r="N104" s="7">
        <f t="shared" si="25"/>
        <v>41.816666666418314</v>
      </c>
      <c r="O104" s="7"/>
      <c r="P104" s="7"/>
      <c r="Q104" s="23"/>
      <c r="R104" s="23"/>
      <c r="S104" s="35">
        <f t="shared" si="26"/>
        <v>1</v>
      </c>
      <c r="T104" s="50" t="str">
        <f t="shared" si="27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14:47:27-700',mode:absolute,to:'2016-12-20 17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29"/>
        <v>N</v>
      </c>
      <c r="X104" s="177">
        <f t="shared" si="30"/>
        <v>1</v>
      </c>
      <c r="Y104" s="67">
        <f t="shared" si="31"/>
        <v>23.296500000000002</v>
      </c>
      <c r="Z104" s="67">
        <f t="shared" si="32"/>
        <v>1.32E-2</v>
      </c>
      <c r="AA104" s="67">
        <f t="shared" si="33"/>
        <v>23.283300000000001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4"/>
        <v>0192-20</v>
      </c>
      <c r="AE104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04" s="88" t="str">
        <f t="shared" si="36"/>
        <v>"C:\Program Files (x86)\AstroGrep\AstroGrep.exe" /spath="%USERPROFILE%\AppData\Local\Temp\OnboardLogs" /stypes="app*4032*20161220*" /stext=" 23:.+((SYSTEM_STATE.+slice.+state.+changed )|(ment ac)|(multiple cpu faults)|(system.+state.+changed )|(\[timeout)|(PRM\|1\|D)|(kpr)|(kdp)|(\|lc)|(penalty))" /e /r /s</v>
      </c>
      <c r="AG104" s="1" t="str">
        <f t="shared" si="37"/>
        <v>EC</v>
      </c>
      <c r="AH104" s="92" t="str">
        <f t="shared" si="38"/>
        <v>"%USERPROFILE%\Documents\GitHub\eaglep3\Utilities\RefineRTDCRunTimes.py" --tripid 192-20 --locoid 4032 --swversion DE.1.0.8.0 --startMP 204:232965 --initTime 2016-12-20T15:47:27 --startdatetime 2016-12-20T15:56:23 --delay 1 --endMP 204:132 --enddatetime 2016-12-20T16:38:12 --enforcementcount 0 &gt;&gt;C:\Users\stu\Documents\GitHub\eaglep3-reporting\EC\2016-12-20-refined-times.txt</v>
      </c>
      <c r="AI10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{"issue":{"subject":"","project_id":79,"tracker_id":40,"status_id":1,"priority_id":2,"assigned_to_id":23,"start_date":"2016-12-20","description":"","custom_fields":[{"id":1,"name":"Subdivision","value":"EC"},{"id":4,"name":"Milepost","value":"0.0132"},{"id":17,"name":"Train ID","value":"192-20"},{"id":16,"name":"Locomotive ID","value":"4032"},{"id":130,"name":"Impact","value":""},{"id":150,"name":"Time of Event (Mountain Time)","value":"16:38:12"},{"id":151,"name":"Denver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482</v>
      </c>
      <c r="B105" s="7">
        <v>4042</v>
      </c>
      <c r="C105" s="22" t="s">
        <v>205</v>
      </c>
      <c r="D105" s="22" t="s">
        <v>740</v>
      </c>
      <c r="E105" s="13">
        <v>42724.632476851853</v>
      </c>
      <c r="F105" s="13">
        <v>42724.636261574073</v>
      </c>
      <c r="G105" s="7">
        <v>1</v>
      </c>
      <c r="H105" s="22" t="s">
        <v>741</v>
      </c>
      <c r="I105" s="13">
        <v>42724.663773148146</v>
      </c>
      <c r="J105" s="7">
        <v>0</v>
      </c>
      <c r="K105" s="109" t="str">
        <f t="shared" si="23"/>
        <v>4041/4042</v>
      </c>
      <c r="L105" s="22" t="str">
        <f>VLOOKUP(A105,'Trips&amp;Operators'!$C$1:$G$99999,5,FALSE)</f>
        <v>CLARK KATHLEEN</v>
      </c>
      <c r="M105" s="6">
        <f t="shared" si="24"/>
        <v>2.7511574073287193E-2</v>
      </c>
      <c r="N105" s="7">
        <f t="shared" si="25"/>
        <v>39.616666665533558</v>
      </c>
      <c r="O105" s="7"/>
      <c r="P105" s="7"/>
      <c r="Q105" s="23"/>
      <c r="R105" s="23"/>
      <c r="S105" s="35">
        <f t="shared" si="26"/>
        <v>1</v>
      </c>
      <c r="T105" s="50" t="str">
        <f t="shared" si="27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14:10:46-700',mode:absolute,to:'2016-12-20 16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5" s="52" t="str">
        <f t="shared" si="29"/>
        <v>N</v>
      </c>
      <c r="X105" s="177">
        <f t="shared" si="30"/>
        <v>1</v>
      </c>
      <c r="Y105" s="67">
        <f t="shared" si="31"/>
        <v>4.8399999999999999E-2</v>
      </c>
      <c r="Z105" s="67">
        <f t="shared" si="32"/>
        <v>23.320599999999999</v>
      </c>
      <c r="AA105" s="67">
        <f t="shared" si="33"/>
        <v>23.272199999999998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4"/>
        <v>0193-20</v>
      </c>
      <c r="AE105" s="91" t="str">
        <f t="shared" si="35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105" s="88" t="str">
        <f t="shared" si="36"/>
        <v>"C:\Program Files (x86)\AstroGrep\AstroGrep.exe" /spath="%USERPROFILE%\AppData\Local\Temp\OnboardLogs" /stypes="app*4042*20161220*" /stext=" 22:.+((SYSTEM_STATE.+slice.+state.+changed )|(ment ac)|(multiple cpu faults)|(system.+state.+changed )|(\[timeout)|(PRM\|1\|D)|(kpr)|(kdp)|(\|lc)|(penalty))" /e /r /s</v>
      </c>
      <c r="AG105" s="1" t="str">
        <f t="shared" si="37"/>
        <v>EC</v>
      </c>
      <c r="AH105" s="92" t="str">
        <f t="shared" si="38"/>
        <v>"%USERPROFILE%\Documents\GitHub\eaglep3\Utilities\RefineRTDCRunTimes.py" --tripid 193-20 --locoid 4042 --swversion DE.1.0.8.0 --startMP 204:484 --initTime 2016-12-20T15:10:46 --startdatetime 2016-12-20T15:16:13 --delay 1 --endMP 204:233206 --enddatetime 2016-12-20T15:55:50 --enforcementcount 0 &gt;&gt;C:\Users\stu\Documents\GitHub\eaglep3-reporting\EC\2016-12-20-refined-times.txt</v>
      </c>
      <c r="AI10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{"issue":{"subject":"","project_id":79,"tracker_id":40,"status_id":1,"priority_id":2,"assigned_to_id":23,"start_date":"2016-12-20","description":"","custom_fields":[{"id":1,"name":"Subdivision","value":"EC"},{"id":4,"name":"Milepost","value":"23.3206"},{"id":17,"name":"Train ID","value":"193-20"},{"id":16,"name":"Locomotive ID","value":"4042"},{"id":130,"name":"Impact","value":""},{"id":150,"name":"Time of Event (Mountain Time)","value":"15:55:50"},{"id":151,"name":"Denver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625</v>
      </c>
      <c r="B106" s="7">
        <v>4041</v>
      </c>
      <c r="C106" s="22" t="s">
        <v>205</v>
      </c>
      <c r="D106" s="22" t="s">
        <v>742</v>
      </c>
      <c r="E106" s="13">
        <v>42724.669270833336</v>
      </c>
      <c r="F106" s="13">
        <v>42724.674479166664</v>
      </c>
      <c r="G106" s="7">
        <v>1</v>
      </c>
      <c r="H106" s="22" t="s">
        <v>407</v>
      </c>
      <c r="I106" s="13">
        <v>42724.704861111109</v>
      </c>
      <c r="J106" s="7">
        <v>0</v>
      </c>
      <c r="K106" s="109" t="str">
        <f t="shared" si="23"/>
        <v>4041/4042</v>
      </c>
      <c r="L106" s="22" t="str">
        <f>VLOOKUP(A106,'Trips&amp;Operators'!$C$1:$G$99999,5,FALSE)</f>
        <v>CLARK KATHLEEN</v>
      </c>
      <c r="M106" s="6">
        <f t="shared" si="24"/>
        <v>3.0381944445252884E-2</v>
      </c>
      <c r="N106" s="7">
        <f t="shared" si="25"/>
        <v>43.750000001164153</v>
      </c>
      <c r="O106" s="7"/>
      <c r="P106" s="7"/>
      <c r="Q106" s="23"/>
      <c r="R106" s="23"/>
      <c r="S106" s="35">
        <f t="shared" si="26"/>
        <v>1</v>
      </c>
      <c r="T106" s="50" t="str">
        <f t="shared" si="27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15:03:45-700',mode:absolute,to:'2016-12-20 17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6" s="52" t="str">
        <f t="shared" si="29"/>
        <v>N</v>
      </c>
      <c r="X106" s="177">
        <f t="shared" si="30"/>
        <v>1</v>
      </c>
      <c r="Y106" s="67">
        <f t="shared" si="31"/>
        <v>23.287400000000002</v>
      </c>
      <c r="Z106" s="67">
        <f t="shared" si="32"/>
        <v>1.52E-2</v>
      </c>
      <c r="AA106" s="67">
        <f t="shared" si="33"/>
        <v>23.272200000000002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4"/>
        <v>0194-20</v>
      </c>
      <c r="AE106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106" s="88" t="str">
        <f t="shared" si="36"/>
        <v>"C:\Program Files (x86)\AstroGrep\AstroGrep.exe" /spath="%USERPROFILE%\AppData\Local\Temp\OnboardLogs" /stypes="app*4041*20161220*" /stext=" 23:.+((SYSTEM_STATE.+slice.+state.+changed )|(ment ac)|(multiple cpu faults)|(system.+state.+changed )|(\[timeout)|(PRM\|1\|D)|(kpr)|(kdp)|(\|lc)|(penalty))" /e /r /s</v>
      </c>
      <c r="AG106" s="1" t="str">
        <f t="shared" si="37"/>
        <v>EC</v>
      </c>
      <c r="AH106" s="92" t="str">
        <f t="shared" si="38"/>
        <v>"%USERPROFILE%\Documents\GitHub\eaglep3\Utilities\RefineRTDCRunTimes.py" --tripid 194-20 --locoid 4041 --swversion DE.1.0.8.0 --startMP 204:232874 --initTime 2016-12-20T16:03:45 --startdatetime 2016-12-20T16:11:15 --delay 1 --endMP 204:152 --enddatetime 2016-12-20T16:55:00 --enforcementcount 0 &gt;&gt;C:\Users\stu\Documents\GitHub\eaglep3-reporting\EC\2016-12-20-refined-times.txt</v>
      </c>
      <c r="AI10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ID","value":"194-20"},{"id":16,"name":"Locomotive ID","value":"4041"},{"id":130,"name":"Impact","value":""},{"id":150,"name":"Time of Event (Mountain Time)","value":"16:55:00"},{"id":151,"name":"Denver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619</v>
      </c>
      <c r="B107" s="7">
        <v>4020</v>
      </c>
      <c r="C107" s="22" t="s">
        <v>205</v>
      </c>
      <c r="D107" s="22" t="s">
        <v>427</v>
      </c>
      <c r="E107" s="13">
        <v>42724.644016203703</v>
      </c>
      <c r="F107" s="13">
        <v>42724.646215277775</v>
      </c>
      <c r="G107" s="7">
        <v>1</v>
      </c>
      <c r="H107" s="22" t="s">
        <v>712</v>
      </c>
      <c r="I107" s="13">
        <v>42724.671898148146</v>
      </c>
      <c r="J107" s="7">
        <v>0</v>
      </c>
      <c r="K107" s="109" t="str">
        <f t="shared" si="23"/>
        <v>4019/4020</v>
      </c>
      <c r="L107" s="22" t="str">
        <f>VLOOKUP(A107,'Trips&amp;Operators'!$C$1:$G$99999,5,FALSE)</f>
        <v>CRAYTON QUNTRELL</v>
      </c>
      <c r="M107" s="6">
        <f t="shared" si="24"/>
        <v>2.5682870371383615E-2</v>
      </c>
      <c r="N107" s="7">
        <f t="shared" si="25"/>
        <v>36.983333334792405</v>
      </c>
      <c r="O107" s="7"/>
      <c r="P107" s="7"/>
      <c r="Q107" s="23"/>
      <c r="R107" s="23"/>
      <c r="S107" s="35">
        <f t="shared" si="26"/>
        <v>1</v>
      </c>
      <c r="T107" s="50" t="str">
        <f t="shared" si="27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14:27:23-700',mode:absolute,to:'2016-12-20 17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52" t="str">
        <f t="shared" si="29"/>
        <v>N</v>
      </c>
      <c r="X107" s="177">
        <f t="shared" si="30"/>
        <v>1</v>
      </c>
      <c r="Y107" s="67">
        <f t="shared" si="31"/>
        <v>4.6600000000000003E-2</v>
      </c>
      <c r="Z107" s="67">
        <f t="shared" si="32"/>
        <v>23.331399999999999</v>
      </c>
      <c r="AA107" s="67">
        <f t="shared" si="33"/>
        <v>23.284799999999997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4"/>
        <v>0195-20</v>
      </c>
      <c r="AE107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07" s="88" t="str">
        <f t="shared" si="36"/>
        <v>"C:\Program Files (x86)\AstroGrep\AstroGrep.exe" /spath="%USERPROFILE%\AppData\Local\Temp\OnboardLogs" /stypes="app*4020*20161220*" /stext=" 23:.+((SYSTEM_STATE.+slice.+state.+changed )|(ment ac)|(multiple cpu faults)|(system.+state.+changed )|(\[timeout)|(PRM\|1\|D)|(kpr)|(kdp)|(\|lc)|(penalty))" /e /r /s</v>
      </c>
      <c r="AG107" s="1" t="str">
        <f t="shared" si="37"/>
        <v>EC</v>
      </c>
      <c r="AH107" s="92" t="str">
        <f t="shared" si="38"/>
        <v>"%USERPROFILE%\Documents\GitHub\eaglep3\Utilities\RefineRTDCRunTimes.py" --tripid 195-20 --locoid 4020 --swversion DE.1.0.8.0 --startMP 204:466 --initTime 2016-12-20T15:27:23 --startdatetime 2016-12-20T15:30:33 --delay 1 --endMP 204:233314 --enddatetime 2016-12-20T16:07:32 --enforcementcount 0 &gt;&gt;C:\Users\stu\Documents\GitHub\eaglep3-reporting\EC\2016-12-20-refined-times.txt</v>
      </c>
      <c r="AI10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{"issue":{"subject":"","project_id":79,"tracker_id":40,"status_id":1,"priority_id":2,"assigned_to_id":23,"start_date":"2016-12-20","description":"","custom_fields":[{"id":1,"name":"Subdivision","value":"EC"},{"id":4,"name":"Milepost","value":"23.3314"},{"id":17,"name":"Train ID","value":"195-20"},{"id":16,"name":"Locomotive ID","value":"4020"},{"id":130,"name":"Impact","value":""},{"id":150,"name":"Time of Event (Mountain Time)","value":"16:07:32"},{"id":151,"name":"Denver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626</v>
      </c>
      <c r="B108" s="7">
        <v>4019</v>
      </c>
      <c r="C108" s="22" t="s">
        <v>205</v>
      </c>
      <c r="D108" s="22" t="s">
        <v>310</v>
      </c>
      <c r="E108" s="13">
        <v>42724.676006944443</v>
      </c>
      <c r="F108" s="13">
        <v>42724.68509259259</v>
      </c>
      <c r="G108" s="7">
        <v>1</v>
      </c>
      <c r="H108" s="22" t="s">
        <v>277</v>
      </c>
      <c r="I108" s="13">
        <v>42724.713391203702</v>
      </c>
      <c r="J108" s="7">
        <v>0</v>
      </c>
      <c r="K108" s="109" t="str">
        <f t="shared" si="23"/>
        <v>4019/4020</v>
      </c>
      <c r="L108" s="22" t="str">
        <f>VLOOKUP(A108,'Trips&amp;Operators'!$C$1:$G$99999,5,FALSE)</f>
        <v>CRAYTON QUNTRELL</v>
      </c>
      <c r="M108" s="6">
        <f t="shared" si="24"/>
        <v>2.8298611112404615E-2</v>
      </c>
      <c r="N108" s="7">
        <f t="shared" si="25"/>
        <v>40.750000001862645</v>
      </c>
      <c r="O108" s="7"/>
      <c r="P108" s="7"/>
      <c r="Q108" s="23"/>
      <c r="R108" s="23"/>
      <c r="S108" s="35">
        <f t="shared" si="26"/>
        <v>1</v>
      </c>
      <c r="T108" s="50" t="str">
        <f t="shared" si="27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15:13:27-700',mode:absolute,to:'2016-12-20 18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52" t="str">
        <f t="shared" si="29"/>
        <v>N</v>
      </c>
      <c r="X108" s="177">
        <f t="shared" si="30"/>
        <v>1</v>
      </c>
      <c r="Y108" s="67">
        <f t="shared" si="31"/>
        <v>23.297799999999999</v>
      </c>
      <c r="Z108" s="67">
        <f t="shared" si="32"/>
        <v>1.38E-2</v>
      </c>
      <c r="AA108" s="67">
        <f t="shared" si="33"/>
        <v>23.283999999999999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4"/>
        <v>0196-20</v>
      </c>
      <c r="AE108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08" s="88" t="str">
        <f t="shared" si="36"/>
        <v>"C:\Program Files (x86)\AstroGrep\AstroGrep.exe" /spath="%USERPROFILE%\AppData\Local\Temp\OnboardLogs" /stypes="app*4019*20161221*" /stext=" 00:.+((SYSTEM_STATE.+slice.+state.+changed )|(ment ac)|(multiple cpu faults)|(system.+state.+changed )|(\[timeout)|(PRM\|1\|D)|(kpr)|(kdp)|(\|lc)|(penalty))" /e /r /s</v>
      </c>
      <c r="AG108" s="1" t="str">
        <f t="shared" si="37"/>
        <v>EC</v>
      </c>
      <c r="AH108" s="92" t="str">
        <f t="shared" si="38"/>
        <v>"%USERPROFILE%\Documents\GitHub\eaglep3\Utilities\RefineRTDCRunTimes.py" --tripid 196-20 --locoid 4019 --swversion DE.1.0.8.0 --startMP 204:232978 --initTime 2016-12-20T16:13:27 --startdatetime 2016-12-20T16:26:32 --delay 1 --endMP 204:138 --enddatetime 2016-12-20T17:07:17 --enforcementcount 0 &gt;&gt;C:\Users\stu\Documents\GitHub\eaglep3-reporting\EC\2016-12-20-refined-times.txt</v>
      </c>
      <c r="AI10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{"issue":{"subject":"","project_id":79,"tracker_id":40,"status_id":1,"priority_id":2,"assigned_to_id":23,"start_date":"2016-12-20","description":"","custom_fields":[{"id":1,"name":"Subdivision","value":"EC"},{"id":4,"name":"Milepost","value":"0.0138"},{"id":17,"name":"Train ID","value":"196-20"},{"id":16,"name":"Locomotive ID","value":"4019"},{"id":130,"name":"Impact","value":""},{"id":150,"name":"Time of Event (Mountain Time)","value":"17:07:17"},{"id":151,"name":"Denver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622</v>
      </c>
      <c r="B109" s="7">
        <v>4044</v>
      </c>
      <c r="C109" s="22" t="s">
        <v>205</v>
      </c>
      <c r="D109" s="22" t="s">
        <v>289</v>
      </c>
      <c r="E109" s="13">
        <v>42724.655856481484</v>
      </c>
      <c r="F109" s="13">
        <v>42724.658842592595</v>
      </c>
      <c r="G109" s="7">
        <v>2</v>
      </c>
      <c r="H109" s="22" t="s">
        <v>699</v>
      </c>
      <c r="I109" s="13">
        <v>42724.683125000003</v>
      </c>
      <c r="J109" s="7">
        <v>0</v>
      </c>
      <c r="K109" s="109" t="str">
        <f t="shared" si="23"/>
        <v>4043/4044</v>
      </c>
      <c r="L109" s="22" t="str">
        <f>VLOOKUP(A109,'Trips&amp;Operators'!$C$1:$G$99999,5,FALSE)</f>
        <v>ADANE ELSHADAY</v>
      </c>
      <c r="M109" s="6">
        <f t="shared" si="24"/>
        <v>2.4282407408463769E-2</v>
      </c>
      <c r="N109" s="7">
        <f t="shared" ref="N109:N140" si="40">24*60*SUM($M109:$M109)</f>
        <v>34.966666668187827</v>
      </c>
      <c r="O109" s="7"/>
      <c r="P109" s="7"/>
      <c r="Q109" s="23"/>
      <c r="R109" s="23"/>
      <c r="S109" s="35">
        <f t="shared" ref="S109:S140" si="41">SUM(U109:U109)/IF(AG109="EC",12,1)</f>
        <v>1</v>
      </c>
      <c r="T109" s="50" t="str">
        <f t="shared" si="27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14:44:26-700',mode:absolute,to:'2016-12-20 17:23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29"/>
        <v>N</v>
      </c>
      <c r="X109" s="177">
        <f t="shared" si="30"/>
        <v>1</v>
      </c>
      <c r="Y109" s="67">
        <f t="shared" si="31"/>
        <v>4.3999999999999997E-2</v>
      </c>
      <c r="Z109" s="67">
        <f t="shared" ref="Z109:Z128" si="42">RIGHT(H109,LEN(H109)-4)/10000</f>
        <v>23.332699999999999</v>
      </c>
      <c r="AA109" s="67">
        <f t="shared" si="33"/>
        <v>23.288699999999999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4"/>
        <v>0197-20</v>
      </c>
      <c r="AE109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109" s="88" t="str">
        <f t="shared" si="36"/>
        <v>"C:\Program Files (x86)\AstroGrep\AstroGrep.exe" /spath="%USERPROFILE%\AppData\Local\Temp\OnboardLogs" /stypes="app*4044*20161220*" /stext=" 23:.+((SYSTEM_STATE.+slice.+state.+changed )|(ment ac)|(multiple cpu faults)|(system.+state.+changed )|(\[timeout)|(PRM\|1\|D)|(kpr)|(kdp)|(\|lc)|(penalty))" /e /r /s</v>
      </c>
      <c r="AG109" s="1" t="str">
        <f t="shared" si="37"/>
        <v>EC</v>
      </c>
      <c r="AH109" s="92" t="str">
        <f t="shared" si="38"/>
        <v>"%USERPROFILE%\Documents\GitHub\eaglep3\Utilities\RefineRTDCRunTimes.py" --tripid 197-20 --locoid 4044 --swversion DE.1.0.8.0 --startMP 204:440 --initTime 2016-12-20T15:44:26 --startdatetime 2016-12-20T15:48:44 --delay 2 --endMP 204:233327 --enddatetime 2016-12-20T16:23:42 --enforcementcount 0 &gt;&gt;C:\Users\stu\Documents\GitHub\eaglep3-reporting\EC\2016-12-20-refined-times.txt</v>
      </c>
      <c r="AI10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{"issue":{"subject":"","project_id":79,"tracker_id":40,"status_id":1,"priority_id":2,"assigned_to_id":23,"start_date":"2016-12-20","description":"","custom_fields":[{"id":1,"name":"Subdivision","value":"EC"},{"id":4,"name":"Milepost","value":"23.3327"},{"id":17,"name":"Train ID","value":"197-20"},{"id":16,"name":"Locomotive ID","value":"4044"},{"id":130,"name":"Impact","value":""},{"id":150,"name":"Time of Event (Mountain Time)","value":"16:23:42"},{"id":151,"name":"Denver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629</v>
      </c>
      <c r="B110" s="7">
        <v>4043</v>
      </c>
      <c r="C110" s="22" t="s">
        <v>205</v>
      </c>
      <c r="D110" s="22" t="s">
        <v>743</v>
      </c>
      <c r="E110" s="13">
        <v>42724.684907407405</v>
      </c>
      <c r="F110" s="13">
        <v>42724.695844907408</v>
      </c>
      <c r="G110" s="7">
        <v>1</v>
      </c>
      <c r="H110" s="22" t="s">
        <v>267</v>
      </c>
      <c r="I110" s="13">
        <v>42724.723796296297</v>
      </c>
      <c r="J110" s="7">
        <v>0</v>
      </c>
      <c r="K110" s="109" t="str">
        <f t="shared" si="23"/>
        <v>4043/4044</v>
      </c>
      <c r="L110" s="22" t="str">
        <f>VLOOKUP(A110,'Trips&amp;Operators'!$C$1:$G$99999,5,FALSE)</f>
        <v>ADANE ELSHADAY</v>
      </c>
      <c r="M110" s="6">
        <f t="shared" si="24"/>
        <v>2.7951388889050577E-2</v>
      </c>
      <c r="N110" s="7">
        <f t="shared" si="40"/>
        <v>40.250000000232831</v>
      </c>
      <c r="O110" s="7"/>
      <c r="P110" s="7"/>
      <c r="Q110" s="23"/>
      <c r="R110" s="23"/>
      <c r="S110" s="35">
        <f t="shared" si="41"/>
        <v>1</v>
      </c>
      <c r="T110" s="50" t="str">
        <f t="shared" si="27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15:26:16-700',mode:absolute,to:'2016-12-20 18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29"/>
        <v>N</v>
      </c>
      <c r="X110" s="177">
        <f t="shared" si="30"/>
        <v>1</v>
      </c>
      <c r="Y110" s="67">
        <f t="shared" si="31"/>
        <v>23.3004</v>
      </c>
      <c r="Z110" s="67">
        <f t="shared" si="42"/>
        <v>1.6E-2</v>
      </c>
      <c r="AA110" s="67">
        <f t="shared" si="33"/>
        <v>23.284400000000002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4"/>
        <v>0198-20</v>
      </c>
      <c r="AE110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110" s="88" t="str">
        <f t="shared" si="36"/>
        <v>"C:\Program Files (x86)\AstroGrep\AstroGrep.exe" /spath="%USERPROFILE%\AppData\Local\Temp\OnboardLogs" /stypes="app*4043*20161221*" /stext=" 00:.+((SYSTEM_STATE.+slice.+state.+changed )|(ment ac)|(multiple cpu faults)|(system.+state.+changed )|(\[timeout)|(PRM\|1\|D)|(kpr)|(kdp)|(\|lc)|(penalty))" /e /r /s</v>
      </c>
      <c r="AG110" s="1" t="str">
        <f t="shared" si="37"/>
        <v>EC</v>
      </c>
      <c r="AH110" s="92" t="str">
        <f t="shared" si="38"/>
        <v>"%USERPROFILE%\Documents\GitHub\eaglep3\Utilities\RefineRTDCRunTimes.py" --tripid 198-20 --locoid 4043 --swversion DE.1.0.8.0 --startMP 204:233004 --initTime 2016-12-20T16:26:16 --startdatetime 2016-12-20T16:42:01 --delay 1 --endMP 204:160 --enddatetime 2016-12-20T17:22:16 --enforcementcount 0 &gt;&gt;C:\Users\stu\Documents\GitHub\eaglep3-reporting\EC\2016-12-20-refined-times.txt</v>
      </c>
      <c r="AI11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{"issue":{"subject":"","project_id":79,"tracker_id":40,"status_id":1,"priority_id":2,"assigned_to_id":23,"start_date":"2016-12-20","description":"","custom_fields":[{"id":1,"name":"Subdivision","value":"EC"},{"id":4,"name":"Milepost","value":"0.016"},{"id":17,"name":"Train ID","value":"198-20"},{"id":16,"name":"Locomotive ID","value":"4043"},{"id":130,"name":"Impact","value":""},{"id":150,"name":"Time of Event (Mountain Time)","value":"17:22:16"},{"id":151,"name":"Denver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624</v>
      </c>
      <c r="B111" s="7">
        <v>4018</v>
      </c>
      <c r="C111" s="22" t="s">
        <v>205</v>
      </c>
      <c r="D111" s="22" t="s">
        <v>193</v>
      </c>
      <c r="E111" s="13">
        <v>42724.664178240739</v>
      </c>
      <c r="F111" s="13">
        <v>42724.666817129626</v>
      </c>
      <c r="G111" s="7">
        <v>1</v>
      </c>
      <c r="H111" s="22" t="s">
        <v>291</v>
      </c>
      <c r="I111" s="13">
        <v>42724.691250000003</v>
      </c>
      <c r="J111" s="7">
        <v>0</v>
      </c>
      <c r="K111" s="109" t="str">
        <f t="shared" si="23"/>
        <v>4017/4018</v>
      </c>
      <c r="L111" s="22" t="str">
        <f>VLOOKUP(A111,'Trips&amp;Operators'!$C$1:$G$99999,5,FALSE)</f>
        <v>BRANNON JEFFREY</v>
      </c>
      <c r="M111" s="6">
        <f t="shared" si="24"/>
        <v>2.4432870377495419E-2</v>
      </c>
      <c r="N111" s="7">
        <f t="shared" si="40"/>
        <v>35.183333343593404</v>
      </c>
      <c r="O111" s="7"/>
      <c r="P111" s="7"/>
      <c r="Q111" s="23"/>
      <c r="R111" s="23"/>
      <c r="S111" s="35">
        <f t="shared" si="41"/>
        <v>1</v>
      </c>
      <c r="T111" s="50" t="str">
        <f t="shared" si="27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14:56:25-700',mode:absolute,to:'2016-12-20 17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1" s="52" t="str">
        <f t="shared" si="29"/>
        <v>N</v>
      </c>
      <c r="X111" s="177">
        <f t="shared" si="30"/>
        <v>1</v>
      </c>
      <c r="Y111" s="67">
        <f t="shared" si="31"/>
        <v>4.4699999999999997E-2</v>
      </c>
      <c r="Z111" s="67">
        <f t="shared" si="42"/>
        <v>23.3291</v>
      </c>
      <c r="AA111" s="67">
        <f t="shared" si="33"/>
        <v>23.284400000000002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4"/>
        <v>0199-20</v>
      </c>
      <c r="AE111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11" s="88" t="str">
        <f t="shared" si="36"/>
        <v>"C:\Program Files (x86)\AstroGrep\AstroGrep.exe" /spath="%USERPROFILE%\AppData\Local\Temp\OnboardLogs" /stypes="app*4018*20161220*" /stext=" 23:.+((SYSTEM_STATE.+slice.+state.+changed )|(ment ac)|(multiple cpu faults)|(system.+state.+changed )|(\[timeout)|(PRM\|1\|D)|(kpr)|(kdp)|(\|lc)|(penalty))" /e /r /s</v>
      </c>
      <c r="AG111" s="1" t="str">
        <f t="shared" si="37"/>
        <v>EC</v>
      </c>
      <c r="AH111" s="92" t="str">
        <f t="shared" si="38"/>
        <v>"%USERPROFILE%\Documents\GitHub\eaglep3\Utilities\RefineRTDCRunTimes.py" --tripid 199-20 --locoid 4018 --swversion DE.1.0.8.0 --startMP 204:447 --initTime 2016-12-20T15:56:25 --startdatetime 2016-12-20T16:00:13 --delay 1 --endMP 204:233291 --enddatetime 2016-12-20T16:35:24 --enforcementcount 0 &gt;&gt;C:\Users\stu\Documents\GitHub\eaglep3-reporting\EC\2016-12-20-refined-times.txt</v>
      </c>
      <c r="AI11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ID","value":"199-20"},{"id":16,"name":"Locomotive ID","value":"4018"},{"id":130,"name":"Impact","value":""},{"id":150,"name":"Time of Event (Mountain Time)","value":"16:35:24"},{"id":151,"name":"Denver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633</v>
      </c>
      <c r="B112" s="7">
        <v>4017</v>
      </c>
      <c r="C112" s="22" t="s">
        <v>205</v>
      </c>
      <c r="D112" s="22" t="s">
        <v>309</v>
      </c>
      <c r="E112" s="13">
        <v>42724.695810185185</v>
      </c>
      <c r="F112" s="13">
        <v>42724.697777777779</v>
      </c>
      <c r="G112" s="7">
        <v>1</v>
      </c>
      <c r="H112" s="22" t="s">
        <v>192</v>
      </c>
      <c r="I112" s="13">
        <v>42724.734016203707</v>
      </c>
      <c r="J112" s="7">
        <v>0</v>
      </c>
      <c r="K112" s="109" t="str">
        <f t="shared" si="23"/>
        <v>4017/4018</v>
      </c>
      <c r="L112" s="22" t="str">
        <f>VLOOKUP(A112,'Trips&amp;Operators'!$C$1:$G$99999,5,FALSE)</f>
        <v>BRANNON JEFFREY</v>
      </c>
      <c r="M112" s="6">
        <f t="shared" si="24"/>
        <v>3.623842592787696E-2</v>
      </c>
      <c r="N112" s="7">
        <f t="shared" si="40"/>
        <v>52.183333336142823</v>
      </c>
      <c r="O112" s="7"/>
      <c r="P112" s="7"/>
      <c r="Q112" s="23"/>
      <c r="R112" s="23" t="s">
        <v>858</v>
      </c>
      <c r="S112" s="35">
        <f t="shared" si="41"/>
        <v>1</v>
      </c>
      <c r="T112" s="50" t="str">
        <f t="shared" si="27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15:41:58-700',mode:absolute,to:'2016-12-20 18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2" s="52" t="str">
        <f t="shared" si="29"/>
        <v>N</v>
      </c>
      <c r="X112" s="177">
        <f t="shared" ref="X112:X115" si="43">VALUE(LEFT(AD112,4))-VALUE(LEFT(AD111,4))</f>
        <v>1</v>
      </c>
      <c r="Y112" s="67">
        <f t="shared" si="31"/>
        <v>23.2973</v>
      </c>
      <c r="Z112" s="67">
        <f t="shared" si="42"/>
        <v>1.43E-2</v>
      </c>
      <c r="AA112" s="67">
        <f t="shared" si="33"/>
        <v>23.283000000000001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4"/>
        <v>0200-20</v>
      </c>
      <c r="AE112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12" s="88" t="str">
        <f t="shared" si="36"/>
        <v>"C:\Program Files (x86)\AstroGrep\AstroGrep.exe" /spath="%USERPROFILE%\AppData\Local\Temp\OnboardLogs" /stypes="app*4017*20161221*" /stext=" 00:.+((SYSTEM_STATE.+slice.+state.+changed )|(ment ac)|(multiple cpu faults)|(system.+state.+changed )|(\[timeout)|(PRM\|1\|D)|(kpr)|(kdp)|(\|lc)|(penalty))" /e /r /s</v>
      </c>
      <c r="AG112" s="1" t="str">
        <f t="shared" si="37"/>
        <v>EC</v>
      </c>
      <c r="AH112" s="92" t="str">
        <f t="shared" si="38"/>
        <v>"%USERPROFILE%\Documents\GitHub\eaglep3\Utilities\RefineRTDCRunTimes.py" --tripid 200-20 --locoid 4017 --swversion DE.1.0.8.0 --startMP 204:232973 --initTime 2016-12-20T16:41:58 --startdatetime 2016-12-20T16:44:48 --delay 1 --endMP 204:143 --enddatetime 2016-12-20T17:36:59 --enforcementcount 0 &gt;&gt;C:\Users\stu\Documents\GitHub\eaglep3-reporting\EC\2016-12-20-refined-times.txt</v>
      </c>
      <c r="AI112" s="119" t="str">
        <f t="shared" si="39"/>
        <v>echo {"issue":{"subject":"Delayed by onboard in-route failure","project_id":79,"tracker_id":40,"status_id":1,"priority_id":2,"assigned_to_id":23,"start_date":"2016-12-20","description":"","custom_fields":[{"id":1,"name":"Subdivision","value":"EC"},{"id":4,"name":"Milepost","value":"0.0143"},{"id":17,"name":"Train ID","value":"200-20"},{"id":16,"name":"Locomotive ID","value":"4017"},{"id":130,"name":"Impact","value":""},{"id":150,"name":"Time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627</v>
      </c>
      <c r="B113" s="7">
        <v>4046</v>
      </c>
      <c r="C113" s="22" t="s">
        <v>205</v>
      </c>
      <c r="D113" s="22" t="s">
        <v>304</v>
      </c>
      <c r="E113" s="13">
        <v>42724.676689814813</v>
      </c>
      <c r="F113" s="13">
        <v>42724.678703703707</v>
      </c>
      <c r="G113" s="7">
        <v>1</v>
      </c>
      <c r="H113" s="22" t="s">
        <v>396</v>
      </c>
      <c r="I113" s="13">
        <v>42724.705682870372</v>
      </c>
      <c r="J113" s="7">
        <v>0</v>
      </c>
      <c r="K113" s="109" t="str">
        <f t="shared" si="23"/>
        <v>4045/4046</v>
      </c>
      <c r="L113" s="22" t="str">
        <f>VLOOKUP(A113,'Trips&amp;Operators'!$C$1:$G$99999,5,FALSE)</f>
        <v>DAVIS MICHAEL</v>
      </c>
      <c r="M113" s="6">
        <f t="shared" si="24"/>
        <v>2.6979166665114462E-2</v>
      </c>
      <c r="N113" s="7">
        <f t="shared" si="40"/>
        <v>38.849999997764826</v>
      </c>
      <c r="O113" s="7"/>
      <c r="P113" s="7"/>
      <c r="Q113" s="23"/>
      <c r="R113" s="23"/>
      <c r="S113" s="35">
        <f t="shared" si="41"/>
        <v>1</v>
      </c>
      <c r="T113" s="50" t="str">
        <f t="shared" si="27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15:14:26-700',mode:absolute,to:'2016-12-20 17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3" s="52" t="str">
        <f t="shared" si="29"/>
        <v>N</v>
      </c>
      <c r="X113" s="177">
        <f t="shared" si="43"/>
        <v>1</v>
      </c>
      <c r="Y113" s="67">
        <f t="shared" si="31"/>
        <v>4.4900000000000002E-2</v>
      </c>
      <c r="Z113" s="67">
        <f t="shared" si="42"/>
        <v>23.331700000000001</v>
      </c>
      <c r="AA113" s="67">
        <f t="shared" si="33"/>
        <v>23.286800000000003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4"/>
        <v>0201-20</v>
      </c>
      <c r="AE113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13" s="88" t="str">
        <f t="shared" si="36"/>
        <v>"C:\Program Files (x86)\AstroGrep\AstroGrep.exe" /spath="%USERPROFILE%\AppData\Local\Temp\OnboardLogs" /stypes="app*4046*20161220*" /stext=" 23:.+((SYSTEM_STATE.+slice.+state.+changed )|(ment ac)|(multiple cpu faults)|(system.+state.+changed )|(\[timeout)|(PRM\|1\|D)|(kpr)|(kdp)|(\|lc)|(penalty))" /e /r /s</v>
      </c>
      <c r="AG113" s="1" t="str">
        <f t="shared" si="37"/>
        <v>EC</v>
      </c>
      <c r="AH113" s="92" t="str">
        <f t="shared" si="38"/>
        <v>"%USERPROFILE%\Documents\GitHub\eaglep3\Utilities\RefineRTDCRunTimes.py" --tripid 201-20 --locoid 4046 --swversion DE.1.0.8.0 --startMP 204:449 --initTime 2016-12-20T16:14:26 --startdatetime 2016-12-20T16:17:20 --delay 1 --endMP 204:233317 --enddatetime 2016-12-20T16:56:11 --enforcementcount 0 &gt;&gt;C:\Users\stu\Documents\GitHub\eaglep3-reporting\EC\2016-12-20-refined-times.txt</v>
      </c>
      <c r="AI11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{"issue":{"subject":"","project_id":79,"tracker_id":40,"status_id":1,"priority_id":2,"assigned_to_id":23,"start_date":"2016-12-20","description":"","custom_fields":[{"id":1,"name":"Subdivision","value":"EC"},{"id":4,"name":"Milepost","value":"23.3317"},{"id":17,"name":"Train ID","value":"201-20"},{"id":16,"name":"Locomotive ID","value":"4046"},{"id":130,"name":"Impact","value":""},{"id":150,"name":"Time of Event (Mountain Time)","value":"16:56:11"},{"id":151,"name":"Denver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636</v>
      </c>
      <c r="B114" s="7">
        <v>4045</v>
      </c>
      <c r="C114" s="22" t="s">
        <v>205</v>
      </c>
      <c r="D114" s="22" t="s">
        <v>421</v>
      </c>
      <c r="E114" s="13">
        <v>42724.712013888886</v>
      </c>
      <c r="F114" s="13">
        <v>42724.716631944444</v>
      </c>
      <c r="G114" s="7">
        <v>1</v>
      </c>
      <c r="H114" s="22" t="s">
        <v>737</v>
      </c>
      <c r="I114" s="13">
        <v>42724.745925925927</v>
      </c>
      <c r="J114" s="7">
        <v>0</v>
      </c>
      <c r="K114" s="109" t="str">
        <f t="shared" si="23"/>
        <v>4045/4046</v>
      </c>
      <c r="L114" s="22" t="str">
        <f>VLOOKUP(A114,'Trips&amp;Operators'!$C$1:$G$99999,5,FALSE)</f>
        <v>DAVIS MICHAEL</v>
      </c>
      <c r="M114" s="6">
        <f t="shared" si="24"/>
        <v>2.9293981482624076E-2</v>
      </c>
      <c r="N114" s="7">
        <f t="shared" si="40"/>
        <v>42.18333333497867</v>
      </c>
      <c r="O114" s="7"/>
      <c r="P114" s="7"/>
      <c r="Q114" s="23"/>
      <c r="R114" s="23"/>
      <c r="S114" s="35">
        <f t="shared" si="41"/>
        <v>1</v>
      </c>
      <c r="T114" s="50" t="str">
        <f t="shared" si="27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16:05:18-700',mode:absolute,to:'2016-12-20 18:54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4" s="52" t="str">
        <f t="shared" si="29"/>
        <v>N</v>
      </c>
      <c r="X114" s="177">
        <f t="shared" si="43"/>
        <v>1</v>
      </c>
      <c r="Y114" s="67">
        <f t="shared" si="31"/>
        <v>23.297899999999998</v>
      </c>
      <c r="Z114" s="67">
        <f t="shared" si="42"/>
        <v>1.5800000000000002E-2</v>
      </c>
      <c r="AA114" s="67">
        <f t="shared" si="33"/>
        <v>23.2821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4"/>
        <v>0202-20</v>
      </c>
      <c r="AE114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14" s="88" t="str">
        <f t="shared" si="36"/>
        <v>"C:\Program Files (x86)\AstroGrep\AstroGrep.exe" /spath="%USERPROFILE%\AppData\Local\Temp\OnboardLogs" /stypes="app*4045*20161221*" /stext=" 00:.+((SYSTEM_STATE.+slice.+state.+changed )|(ment ac)|(multiple cpu faults)|(system.+state.+changed )|(\[timeout)|(PRM\|1\|D)|(kpr)|(kdp)|(\|lc)|(penalty))" /e /r /s</v>
      </c>
      <c r="AG114" s="1" t="str">
        <f t="shared" si="37"/>
        <v>EC</v>
      </c>
      <c r="AH114" s="92" t="str">
        <f t="shared" si="38"/>
        <v>"%USERPROFILE%\Documents\GitHub\eaglep3\Utilities\RefineRTDCRunTimes.py" --tripid 202-20 --locoid 4045 --swversion DE.1.0.8.0 --startMP 204:232979 --initTime 2016-12-20T17:05:18 --startdatetime 2016-12-20T17:11:57 --delay 1 --endMP 204:158 --enddatetime 2016-12-20T17:54:08 --enforcementcount 0 &gt;&gt;C:\Users\stu\Documents\GitHub\eaglep3-reporting\EC\2016-12-20-refined-times.txt</v>
      </c>
      <c r="AI11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{"issue":{"subject":"","project_id":79,"tracker_id":40,"status_id":1,"priority_id":2,"assigned_to_id":23,"start_date":"2016-12-20","description":"","custom_fields":[{"id":1,"name":"Subdivision","value":"EC"},{"id":4,"name":"Milepost","value":"0.0158"},{"id":17,"name":"Train ID","value":"202-20"},{"id":16,"name":"Locomotive ID","value":"4045"},{"id":130,"name":"Impact","value":""},{"id":150,"name":"Time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630</v>
      </c>
      <c r="B115" s="7">
        <v>4009</v>
      </c>
      <c r="C115" s="22" t="s">
        <v>205</v>
      </c>
      <c r="D115" s="22" t="s">
        <v>358</v>
      </c>
      <c r="E115" s="13">
        <v>42724.68546296296</v>
      </c>
      <c r="F115" s="13">
        <v>42724.687928240739</v>
      </c>
      <c r="G115" s="7">
        <v>1</v>
      </c>
      <c r="H115" s="22" t="s">
        <v>291</v>
      </c>
      <c r="I115" s="13">
        <v>42724.712719907409</v>
      </c>
      <c r="J115" s="7">
        <v>0</v>
      </c>
      <c r="K115" s="109" t="str">
        <f t="shared" si="23"/>
        <v>4009/4010</v>
      </c>
      <c r="L115" s="22" t="str">
        <f>VLOOKUP(A115,'Trips&amp;Operators'!$C$1:$G$99999,5,FALSE)</f>
        <v>STEWART MICHAEL</v>
      </c>
      <c r="M115" s="6">
        <f t="shared" si="24"/>
        <v>2.4791666670353152E-2</v>
      </c>
      <c r="N115" s="7">
        <f t="shared" si="40"/>
        <v>35.700000005308539</v>
      </c>
      <c r="O115" s="7"/>
      <c r="P115" s="7"/>
      <c r="Q115" s="23"/>
      <c r="R115" s="23"/>
      <c r="S115" s="35">
        <f t="shared" si="41"/>
        <v>1</v>
      </c>
      <c r="T115" s="50" t="str">
        <f t="shared" si="27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15:27:04-700',mode:absolute,to:'2016-12-20 18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5" s="52" t="str">
        <f t="shared" si="29"/>
        <v>N</v>
      </c>
      <c r="X115" s="177">
        <f t="shared" si="43"/>
        <v>1</v>
      </c>
      <c r="Y115" s="67">
        <f t="shared" si="31"/>
        <v>4.7300000000000002E-2</v>
      </c>
      <c r="Z115" s="67">
        <f t="shared" si="42"/>
        <v>23.3291</v>
      </c>
      <c r="AA115" s="67">
        <f t="shared" si="33"/>
        <v>23.2818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4"/>
        <v>0203-20</v>
      </c>
      <c r="AE115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15" s="88" t="str">
        <f t="shared" si="36"/>
        <v>"C:\Program Files (x86)\AstroGrep\AstroGrep.exe" /spath="%USERPROFILE%\AppData\Local\Temp\OnboardLogs" /stypes="app*4009*20161221*" /stext=" 00:.+((SYSTEM_STATE.+slice.+state.+changed )|(ment ac)|(multiple cpu faults)|(system.+state.+changed )|(\[timeout)|(PRM\|1\|D)|(kpr)|(kdp)|(\|lc)|(penalty))" /e /r /s</v>
      </c>
      <c r="AG115" s="1" t="str">
        <f t="shared" si="37"/>
        <v>EC</v>
      </c>
      <c r="AH115" s="92" t="str">
        <f t="shared" si="38"/>
        <v>"%USERPROFILE%\Documents\GitHub\eaglep3\Utilities\RefineRTDCRunTimes.py" --tripid 203-20 --locoid 4009 --swversion DE.1.0.8.0 --startMP 204:473 --initTime 2016-12-20T16:27:04 --startdatetime 2016-12-20T16:30:37 --delay 1 --endMP 204:233291 --enddatetime 2016-12-20T17:06:19 --enforcementcount 0 &gt;&gt;C:\Users\stu\Documents\GitHub\eaglep3-reporting\EC\2016-12-20-refined-times.txt</v>
      </c>
      <c r="AI11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ID","value":"203-20"},{"id":16,"name":"Locomotive ID","value":"4009"},{"id":130,"name":"Impact","value":""},{"id":150,"name":"Time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640</v>
      </c>
      <c r="B116" s="7">
        <v>4010</v>
      </c>
      <c r="C116" s="22" t="s">
        <v>205</v>
      </c>
      <c r="D116" s="22" t="s">
        <v>420</v>
      </c>
      <c r="E116" s="13">
        <v>42724.72314814815</v>
      </c>
      <c r="F116" s="13">
        <v>42724.726643518516</v>
      </c>
      <c r="G116" s="7">
        <v>2</v>
      </c>
      <c r="H116" s="22" t="s">
        <v>414</v>
      </c>
      <c r="I116" s="13">
        <v>42724.755532407406</v>
      </c>
      <c r="J116" s="7">
        <v>0</v>
      </c>
      <c r="K116" s="109" t="str">
        <f t="shared" si="23"/>
        <v>4009/4010</v>
      </c>
      <c r="L116" s="22" t="str">
        <f>VLOOKUP(A116,'Trips&amp;Operators'!$C$1:$G$99999,5,FALSE)</f>
        <v>STEWART MICHAEL</v>
      </c>
      <c r="M116" s="6">
        <f t="shared" si="24"/>
        <v>2.8888888889923692E-2</v>
      </c>
      <c r="N116" s="7">
        <f t="shared" si="40"/>
        <v>41.600000001490116</v>
      </c>
      <c r="O116" s="7"/>
      <c r="P116" s="7"/>
      <c r="Q116" s="23"/>
      <c r="R116" s="23"/>
      <c r="S116" s="35">
        <f t="shared" si="41"/>
        <v>1</v>
      </c>
      <c r="T116" s="50" t="str">
        <f t="shared" si="27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16:21:20-700',mode:absolute,to:'2016-12-20 19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6" s="52" t="str">
        <f t="shared" si="29"/>
        <v>N</v>
      </c>
      <c r="X116" s="177">
        <f t="shared" ref="X116:X147" si="44">VALUE(LEFT(AD116,4))-VALUE(LEFT(AD115,4))</f>
        <v>1</v>
      </c>
      <c r="Y116" s="67">
        <f t="shared" si="31"/>
        <v>23.296900000000001</v>
      </c>
      <c r="Z116" s="67">
        <f t="shared" si="42"/>
        <v>1.67E-2</v>
      </c>
      <c r="AA116" s="67">
        <f t="shared" si="33"/>
        <v>23.280200000000001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4"/>
        <v>0204-20</v>
      </c>
      <c r="AE116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16" s="88" t="str">
        <f t="shared" si="36"/>
        <v>"C:\Program Files (x86)\AstroGrep\AstroGrep.exe" /spath="%USERPROFILE%\AppData\Local\Temp\OnboardLogs" /stypes="app*4010*20161221*" /stext=" 01:.+((SYSTEM_STATE.+slice.+state.+changed )|(ment ac)|(multiple cpu faults)|(system.+state.+changed )|(\[timeout)|(PRM\|1\|D)|(kpr)|(kdp)|(\|lc)|(penalty))" /e /r /s</v>
      </c>
      <c r="AG116" s="1" t="str">
        <f t="shared" si="37"/>
        <v>EC</v>
      </c>
      <c r="AH116" s="92" t="str">
        <f t="shared" si="38"/>
        <v>"%USERPROFILE%\Documents\GitHub\eaglep3\Utilities\RefineRTDCRunTimes.py" --tripid 204-20 --locoid 4010 --swversion DE.1.0.8.0 --startMP 204:232969 --initTime 2016-12-20T17:21:20 --startdatetime 2016-12-20T17:26:22 --delay 2 --endMP 204:167 --enddatetime 2016-12-20T18:07:58 --enforcementcount 0 &gt;&gt;C:\Users\stu\Documents\GitHub\eaglep3-reporting\EC\2016-12-20-refined-times.txt</v>
      </c>
      <c r="AI11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{"issue":{"subject":"","project_id":79,"tracker_id":40,"status_id":1,"priority_id":2,"assigned_to_id":23,"start_date":"2016-12-20","description":"","custom_fields":[{"id":1,"name":"Subdivision","value":"EC"},{"id":4,"name":"Milepost","value":"0.0167"},{"id":17,"name":"Train ID","value":"204-20"},{"id":16,"name":"Locomotive ID","value":"4010"},{"id":130,"name":"Impact","value":""},{"id":150,"name":"Time of Event (Mountain Time)","value":"18:07:58"},{"id":151,"name":"Denver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7" t="s">
        <v>632</v>
      </c>
      <c r="B117" s="7">
        <v>4031</v>
      </c>
      <c r="C117" s="22" t="s">
        <v>205</v>
      </c>
      <c r="D117" s="22" t="s">
        <v>278</v>
      </c>
      <c r="E117" s="13">
        <v>42724.694768518515</v>
      </c>
      <c r="F117" s="13">
        <v>42724.698472222219</v>
      </c>
      <c r="G117" s="7">
        <v>1</v>
      </c>
      <c r="H117" s="22" t="s">
        <v>416</v>
      </c>
      <c r="I117" s="13">
        <v>42724.724120370367</v>
      </c>
      <c r="J117" s="7">
        <v>0</v>
      </c>
      <c r="K117" s="109" t="str">
        <f t="shared" si="23"/>
        <v>4031/4032</v>
      </c>
      <c r="L117" s="22" t="str">
        <f>VLOOKUP(A117,'Trips&amp;Operators'!$C$1:$G$99999,5,FALSE)</f>
        <v>COMELLA JUSTIN</v>
      </c>
      <c r="M117" s="6">
        <f t="shared" si="24"/>
        <v>2.5648148148320615E-2</v>
      </c>
      <c r="N117" s="7">
        <f t="shared" si="40"/>
        <v>36.933333333581686</v>
      </c>
      <c r="O117" s="7"/>
      <c r="P117" s="7"/>
      <c r="Q117" s="23"/>
      <c r="R117" s="23"/>
      <c r="S117" s="35">
        <f t="shared" si="41"/>
        <v>1</v>
      </c>
      <c r="T117" s="50" t="str">
        <f t="shared" si="27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15:40:28-700',mode:absolute,to:'2016-12-20 18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29"/>
        <v>N</v>
      </c>
      <c r="X117" s="177">
        <f t="shared" si="44"/>
        <v>1</v>
      </c>
      <c r="Y117" s="67">
        <f t="shared" si="31"/>
        <v>4.4400000000000002E-2</v>
      </c>
      <c r="Z117" s="67">
        <f t="shared" si="42"/>
        <v>23.330200000000001</v>
      </c>
      <c r="AA117" s="67">
        <f t="shared" si="33"/>
        <v>23.285800000000002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4"/>
        <v>0205-20</v>
      </c>
      <c r="AE117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17" s="88" t="str">
        <f t="shared" si="36"/>
        <v>"C:\Program Files (x86)\AstroGrep\AstroGrep.exe" /spath="%USERPROFILE%\AppData\Local\Temp\OnboardLogs" /stypes="app*4031*20161221*" /stext=" 00:.+((SYSTEM_STATE.+slice.+state.+changed )|(ment ac)|(multiple cpu faults)|(system.+state.+changed )|(\[timeout)|(PRM\|1\|D)|(kpr)|(kdp)|(\|lc)|(penalty))" /e /r /s</v>
      </c>
      <c r="AG117" s="1" t="str">
        <f t="shared" si="37"/>
        <v>EC</v>
      </c>
      <c r="AH117" s="92" t="str">
        <f t="shared" si="38"/>
        <v>"%USERPROFILE%\Documents\GitHub\eaglep3\Utilities\RefineRTDCRunTimes.py" --tripid 205-20 --locoid 4031 --swversion DE.1.0.8.0 --startMP 204:444 --initTime 2016-12-20T16:40:28 --startdatetime 2016-12-20T16:45:48 --delay 1 --endMP 204:233302 --enddatetime 2016-12-20T17:22:44 --enforcementcount 0 &gt;&gt;C:\Users\stu\Documents\GitHub\eaglep3-reporting\EC\2016-12-20-refined-times.txt</v>
      </c>
      <c r="AI11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{"issue":{"subject":"","project_id":79,"tracker_id":40,"status_id":1,"priority_id":2,"assigned_to_id":23,"start_date":"2016-12-20","description":"","custom_fields":[{"id":1,"name":"Subdivision","value":"EC"},{"id":4,"name":"Milepost","value":"23.3302"},{"id":17,"name":"Train ID","value":"205-20"},{"id":16,"name":"Locomotive ID","value":"4031"},{"id":130,"name":"Impact","value":""},{"id":150,"name":"Time of Event (Mountain Time)","value":"17:22:44"},{"id":151,"name":"Denver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</row>
    <row r="118" spans="1:91" s="21" customFormat="1" x14ac:dyDescent="0.25">
      <c r="A118" s="37" t="s">
        <v>642</v>
      </c>
      <c r="B118" s="7">
        <v>4032</v>
      </c>
      <c r="C118" s="22" t="s">
        <v>205</v>
      </c>
      <c r="D118" s="22" t="s">
        <v>256</v>
      </c>
      <c r="E118" s="13">
        <v>42724.728738425925</v>
      </c>
      <c r="F118" s="13">
        <v>42724.737199074072</v>
      </c>
      <c r="G118" s="7">
        <v>1</v>
      </c>
      <c r="H118" s="22" t="s">
        <v>350</v>
      </c>
      <c r="I118" s="13">
        <v>42724.765185185184</v>
      </c>
      <c r="J118" s="7">
        <v>0</v>
      </c>
      <c r="K118" s="109" t="str">
        <f t="shared" si="23"/>
        <v>4031/4032</v>
      </c>
      <c r="L118" s="22" t="str">
        <f>VLOOKUP(A118,'Trips&amp;Operators'!$C$1:$G$99999,5,FALSE)</f>
        <v>COMELLA JUSTIN</v>
      </c>
      <c r="M118" s="6">
        <f t="shared" si="24"/>
        <v>2.7986111112113576E-2</v>
      </c>
      <c r="N118" s="7">
        <f t="shared" si="40"/>
        <v>40.30000000144355</v>
      </c>
      <c r="O118" s="7"/>
      <c r="P118" s="7"/>
      <c r="Q118" s="23"/>
      <c r="R118" s="23"/>
      <c r="S118" s="35">
        <f t="shared" si="41"/>
        <v>1</v>
      </c>
      <c r="T118" s="50" t="str">
        <f t="shared" si="27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16:29:23-700',mode:absolute,to:'2016-12-20 19:21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29"/>
        <v>N</v>
      </c>
      <c r="X118" s="177">
        <f t="shared" si="44"/>
        <v>1</v>
      </c>
      <c r="Y118" s="67">
        <f t="shared" si="31"/>
        <v>23.299399999999999</v>
      </c>
      <c r="Z118" s="67">
        <f t="shared" si="42"/>
        <v>1.5599999999999999E-2</v>
      </c>
      <c r="AA118" s="67">
        <f t="shared" si="33"/>
        <v>23.283799999999999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4"/>
        <v>0206-20</v>
      </c>
      <c r="AE118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18" s="88" t="str">
        <f t="shared" si="36"/>
        <v>"C:\Program Files (x86)\AstroGrep\AstroGrep.exe" /spath="%USERPROFILE%\AppData\Local\Temp\OnboardLogs" /stypes="app*4032*20161221*" /stext=" 01:.+((SYSTEM_STATE.+slice.+state.+changed )|(ment ac)|(multiple cpu faults)|(system.+state.+changed )|(\[timeout)|(PRM\|1\|D)|(kpr)|(kdp)|(\|lc)|(penalty))" /e /r /s</v>
      </c>
      <c r="AG118" s="1" t="str">
        <f t="shared" si="37"/>
        <v>EC</v>
      </c>
      <c r="AH118" s="92" t="str">
        <f t="shared" si="38"/>
        <v>"%USERPROFILE%\Documents\GitHub\eaglep3\Utilities\RefineRTDCRunTimes.py" --tripid 206-20 --locoid 4032 --swversion DE.1.0.8.0 --startMP 204:232994 --initTime 2016-12-20T17:29:23 --startdatetime 2016-12-20T17:41:34 --delay 1 --endMP 204:156 --enddatetime 2016-12-20T18:21:52 --enforcementcount 0 &gt;&gt;C:\Users\stu\Documents\GitHub\eaglep3-reporting\EC\2016-12-20-refined-times.txt</v>
      </c>
      <c r="AI11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{"issue":{"subject":"","project_id":79,"tracker_id":40,"status_id":1,"priority_id":2,"assigned_to_id":23,"start_date":"2016-12-20","description":"","custom_fields":[{"id":1,"name":"Subdivision","value":"EC"},{"id":4,"name":"Milepost","value":"0.0156"},{"id":17,"name":"Train ID","value":"206-20"},{"id":16,"name":"Locomotive ID","value":"4032"},{"id":130,"name":"Impact","value":""},{"id":150,"name":"Time of Event (Mountain Time)","value":"18:21:52"},{"id":151,"name":"Denver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634</v>
      </c>
      <c r="B119" s="7">
        <v>4042</v>
      </c>
      <c r="C119" s="22" t="s">
        <v>205</v>
      </c>
      <c r="D119" s="22" t="s">
        <v>255</v>
      </c>
      <c r="E119" s="13">
        <v>42724.706284722219</v>
      </c>
      <c r="F119" s="13">
        <v>42724.708518518521</v>
      </c>
      <c r="G119" s="7">
        <v>1</v>
      </c>
      <c r="H119" s="22" t="s">
        <v>291</v>
      </c>
      <c r="I119" s="13">
        <v>42724.734675925924</v>
      </c>
      <c r="J119" s="7">
        <v>0</v>
      </c>
      <c r="K119" s="109" t="str">
        <f t="shared" si="23"/>
        <v>4041/4042</v>
      </c>
      <c r="L119" s="22" t="str">
        <f>VLOOKUP(A119,'Trips&amp;Operators'!$C$1:$G$99999,5,FALSE)</f>
        <v>CLARK KATHLEEN</v>
      </c>
      <c r="M119" s="6">
        <f t="shared" si="24"/>
        <v>2.6157407402934041E-2</v>
      </c>
      <c r="N119" s="7">
        <f t="shared" si="40"/>
        <v>37.666666660225019</v>
      </c>
      <c r="O119" s="7"/>
      <c r="P119" s="7"/>
      <c r="Q119" s="23"/>
      <c r="R119" s="23"/>
      <c r="S119" s="35">
        <f t="shared" si="41"/>
        <v>1</v>
      </c>
      <c r="T119" s="50" t="str">
        <f t="shared" si="27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15:57:03-700',mode:absolute,to:'2016-12-20 18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9" s="52" t="str">
        <f t="shared" si="29"/>
        <v>N</v>
      </c>
      <c r="X119" s="177">
        <f t="shared" si="44"/>
        <v>1</v>
      </c>
      <c r="Y119" s="67">
        <f t="shared" si="31"/>
        <v>4.6399999999999997E-2</v>
      </c>
      <c r="Z119" s="67">
        <f t="shared" si="42"/>
        <v>23.3291</v>
      </c>
      <c r="AA119" s="67">
        <f t="shared" si="33"/>
        <v>23.282700000000002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4"/>
        <v>0207-20</v>
      </c>
      <c r="AE119" s="91" t="str">
        <f t="shared" si="35"/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AF119" s="88" t="str">
        <f t="shared" si="36"/>
        <v>"C:\Program Files (x86)\AstroGrep\AstroGrep.exe" /spath="%USERPROFILE%\AppData\Local\Temp\OnboardLogs" /stypes="app*4042*20161221*" /stext=" 00:.+((SYSTEM_STATE.+slice.+state.+changed )|(ment ac)|(multiple cpu faults)|(system.+state.+changed )|(\[timeout)|(PRM\|1\|D)|(kpr)|(kdp)|(\|lc)|(penalty))" /e /r /s</v>
      </c>
      <c r="AG119" s="1" t="str">
        <f t="shared" si="37"/>
        <v>EC</v>
      </c>
      <c r="AH119" s="92" t="str">
        <f t="shared" si="38"/>
        <v>"%USERPROFILE%\Documents\GitHub\eaglep3\Utilities\RefineRTDCRunTimes.py" --tripid 207-20 --locoid 4042 --swversion DE.1.0.8.0 --startMP 204:464 --initTime 2016-12-20T16:57:03 --startdatetime 2016-12-20T17:00:16 --delay 1 --endMP 204:233291 --enddatetime 2016-12-20T17:37:56 --enforcementcount 0 &gt;&gt;C:\Users\stu\Documents\GitHub\eaglep3-reporting\EC\2016-12-20-refined-times.txt</v>
      </c>
      <c r="AI11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ID","value":"207-20"},{"id":16,"name":"Locomotive ID","value":"4042"},{"id":130,"name":"Impact","value":""},{"id":150,"name":"Time of Event (Mountain Time)","value":"17:37:56"},{"id":151,"name":"Denver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645</v>
      </c>
      <c r="B120" s="7">
        <v>4041</v>
      </c>
      <c r="C120" s="22" t="s">
        <v>205</v>
      </c>
      <c r="D120" s="22" t="s">
        <v>309</v>
      </c>
      <c r="E120" s="13">
        <v>42724.74324074074</v>
      </c>
      <c r="F120" s="13">
        <v>42724.747384259259</v>
      </c>
      <c r="G120" s="7">
        <v>1</v>
      </c>
      <c r="H120" s="22" t="s">
        <v>431</v>
      </c>
      <c r="I120" s="13">
        <v>42724.776608796295</v>
      </c>
      <c r="J120" s="7">
        <v>0</v>
      </c>
      <c r="K120" s="109" t="str">
        <f t="shared" si="23"/>
        <v>4041/4042</v>
      </c>
      <c r="L120" s="22" t="str">
        <f>VLOOKUP(A120,'Trips&amp;Operators'!$C$1:$G$99999,5,FALSE)</f>
        <v>CLARK KATHLEEN</v>
      </c>
      <c r="M120" s="6">
        <f t="shared" si="24"/>
        <v>2.9224537036498077E-2</v>
      </c>
      <c r="N120" s="7">
        <f t="shared" si="40"/>
        <v>42.083333332557231</v>
      </c>
      <c r="O120" s="7"/>
      <c r="P120" s="7"/>
      <c r="Q120" s="23"/>
      <c r="R120" s="23"/>
      <c r="S120" s="35">
        <f t="shared" si="41"/>
        <v>1</v>
      </c>
      <c r="T120" s="50" t="str">
        <f t="shared" si="27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16:50:16-700',mode:absolute,to:'2016-12-20 19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0" s="52" t="str">
        <f t="shared" si="29"/>
        <v>N</v>
      </c>
      <c r="X120" s="177">
        <f t="shared" si="44"/>
        <v>1</v>
      </c>
      <c r="Y120" s="67">
        <f t="shared" si="31"/>
        <v>23.2973</v>
      </c>
      <c r="Z120" s="67">
        <f t="shared" si="42"/>
        <v>1.7600000000000001E-2</v>
      </c>
      <c r="AA120" s="67">
        <f t="shared" si="33"/>
        <v>23.279699999999998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4"/>
        <v>0208-20</v>
      </c>
      <c r="AE120" s="91" t="str">
        <f t="shared" si="35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120" s="88" t="str">
        <f t="shared" si="36"/>
        <v>"C:\Program Files (x86)\AstroGrep\AstroGrep.exe" /spath="%USERPROFILE%\AppData\Local\Temp\OnboardLogs" /stypes="app*4041*20161221*" /stext=" 01:.+((SYSTEM_STATE.+slice.+state.+changed )|(ment ac)|(multiple cpu faults)|(system.+state.+changed )|(\[timeout)|(PRM\|1\|D)|(kpr)|(kdp)|(\|lc)|(penalty))" /e /r /s</v>
      </c>
      <c r="AG120" s="1" t="str">
        <f t="shared" si="37"/>
        <v>EC</v>
      </c>
      <c r="AH120" s="92" t="str">
        <f t="shared" si="38"/>
        <v>"%USERPROFILE%\Documents\GitHub\eaglep3\Utilities\RefineRTDCRunTimes.py" --tripid 208-20 --locoid 4041 --swversion DE.1.0.8.0 --startMP 204:232973 --initTime 2016-12-20T17:50:16 --startdatetime 2016-12-20T17:56:14 --delay 1 --endMP 204:176 --enddatetime 2016-12-20T18:38:19 --enforcementcount 0 &gt;&gt;C:\Users\stu\Documents\GitHub\eaglep3-reporting\EC\2016-12-20-refined-times.txt</v>
      </c>
      <c r="AI12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{"issue":{"subject":"","project_id":79,"tracker_id":40,"status_id":1,"priority_id":2,"assigned_to_id":23,"start_date":"2016-12-20","description":"","custom_fields":[{"id":1,"name":"Subdivision","value":"EC"},{"id":4,"name":"Milepost","value":"0.0176"},{"id":17,"name":"Train ID","value":"208-20"},{"id":16,"name":"Locomotive ID","value":"4041"},{"id":130,"name":"Impact","value":""},{"id":150,"name":"Time of Event (Mountain Time)","value":"18:38:19"},{"id":151,"name":"Denver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639</v>
      </c>
      <c r="B121" s="7">
        <v>4020</v>
      </c>
      <c r="C121" s="22" t="s">
        <v>205</v>
      </c>
      <c r="D121" s="22" t="s">
        <v>243</v>
      </c>
      <c r="E121" s="13">
        <v>42724.717129629629</v>
      </c>
      <c r="F121" s="13">
        <v>42724.719236111108</v>
      </c>
      <c r="G121" s="7">
        <v>1</v>
      </c>
      <c r="H121" s="22" t="s">
        <v>307</v>
      </c>
      <c r="I121" s="13">
        <v>42724.744641203702</v>
      </c>
      <c r="J121" s="7">
        <v>0</v>
      </c>
      <c r="K121" s="109" t="str">
        <f t="shared" si="23"/>
        <v>4019/4020</v>
      </c>
      <c r="L121" s="22" t="str">
        <f>VLOOKUP(A121,'Trips&amp;Operators'!$C$1:$G$99999,5,FALSE)</f>
        <v>CHANDLER KELVIN</v>
      </c>
      <c r="M121" s="6">
        <f t="shared" si="24"/>
        <v>2.5405092594155576E-2</v>
      </c>
      <c r="N121" s="7">
        <f t="shared" si="40"/>
        <v>36.58333333558403</v>
      </c>
      <c r="O121" s="7"/>
      <c r="P121" s="7"/>
      <c r="Q121" s="23"/>
      <c r="R121" s="23"/>
      <c r="S121" s="35">
        <f t="shared" si="41"/>
        <v>1</v>
      </c>
      <c r="T121" s="50" t="str">
        <f t="shared" si="27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16:12:40-700',mode:absolute,to:'2016-12-20 18:52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 t="shared" si="29"/>
        <v>N</v>
      </c>
      <c r="X121" s="177">
        <f t="shared" si="44"/>
        <v>1</v>
      </c>
      <c r="Y121" s="67">
        <f t="shared" si="31"/>
        <v>4.58E-2</v>
      </c>
      <c r="Z121" s="67">
        <f t="shared" si="42"/>
        <v>23.329499999999999</v>
      </c>
      <c r="AA121" s="67">
        <f t="shared" si="33"/>
        <v>23.2837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4"/>
        <v>0209-20</v>
      </c>
      <c r="AE121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21" s="88" t="str">
        <f t="shared" si="36"/>
        <v>"C:\Program Files (x86)\AstroGrep\AstroGrep.exe" /spath="%USERPROFILE%\AppData\Local\Temp\OnboardLogs" /stypes="app*4020*20161221*" /stext=" 00:.+((SYSTEM_STATE.+slice.+state.+changed )|(ment ac)|(multiple cpu faults)|(system.+state.+changed )|(\[timeout)|(PRM\|1\|D)|(kpr)|(kdp)|(\|lc)|(penalty))" /e /r /s</v>
      </c>
      <c r="AG121" s="1" t="str">
        <f t="shared" si="37"/>
        <v>EC</v>
      </c>
      <c r="AH121" s="92" t="str">
        <f t="shared" si="38"/>
        <v>"%USERPROFILE%\Documents\GitHub\eaglep3\Utilities\RefineRTDCRunTimes.py" --tripid 209-20 --locoid 4020 --swversion DE.1.0.8.0 --startMP 204:458 --initTime 2016-12-20T17:12:40 --startdatetime 2016-12-20T17:15:42 --delay 1 --endMP 204:233295 --enddatetime 2016-12-20T17:52:17 --enforcementcount 0 &gt;&gt;C:\Users\stu\Documents\GitHub\eaglep3-reporting\EC\2016-12-20-refined-times.txt</v>
      </c>
      <c r="AI12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{"issue":{"subject":"","project_id":79,"tracker_id":40,"status_id":1,"priority_id":2,"assigned_to_id":23,"start_date":"2016-12-20","description":"","custom_fields":[{"id":1,"name":"Subdivision","value":"EC"},{"id":4,"name":"Milepost","value":"23.3295"},{"id":17,"name":"Train ID","value":"209-20"},{"id":16,"name":"Locomotive ID","value":"4020"},{"id":130,"name":"Impact","value":""},{"id":150,"name":"Time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650</v>
      </c>
      <c r="B122" s="7">
        <v>4019</v>
      </c>
      <c r="C122" s="22" t="s">
        <v>205</v>
      </c>
      <c r="D122" s="22" t="s">
        <v>349</v>
      </c>
      <c r="E122" s="13">
        <v>42724.755011574074</v>
      </c>
      <c r="F122" s="13">
        <v>42724.758067129631</v>
      </c>
      <c r="G122" s="7">
        <v>2</v>
      </c>
      <c r="H122" s="22" t="s">
        <v>415</v>
      </c>
      <c r="I122" s="13">
        <v>42724.786203703705</v>
      </c>
      <c r="J122" s="7">
        <v>0</v>
      </c>
      <c r="K122" s="109" t="str">
        <f t="shared" si="23"/>
        <v>4019/4020</v>
      </c>
      <c r="L122" s="22" t="str">
        <f>VLOOKUP(A122,'Trips&amp;Operators'!$C$1:$G$99999,5,FALSE)</f>
        <v>CHANDLER KELVIN</v>
      </c>
      <c r="M122" s="6">
        <f t="shared" si="24"/>
        <v>2.8136574073869269E-2</v>
      </c>
      <c r="N122" s="7">
        <f t="shared" si="40"/>
        <v>40.516666666371748</v>
      </c>
      <c r="O122" s="7"/>
      <c r="P122" s="7"/>
      <c r="Q122" s="23"/>
      <c r="R122" s="23"/>
      <c r="S122" s="35">
        <f t="shared" si="41"/>
        <v>1</v>
      </c>
      <c r="T122" s="50" t="str">
        <f t="shared" si="27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17:07:13-700',mode:absolute,to:'2016-12-20 19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 t="shared" si="29"/>
        <v>N</v>
      </c>
      <c r="X122" s="177">
        <f t="shared" si="44"/>
        <v>1</v>
      </c>
      <c r="Y122" s="67">
        <f t="shared" si="31"/>
        <v>23.298100000000002</v>
      </c>
      <c r="Z122" s="67">
        <f t="shared" si="42"/>
        <v>1.6899999999999998E-2</v>
      </c>
      <c r="AA122" s="67">
        <f t="shared" si="33"/>
        <v>23.281200000000002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4"/>
        <v>0210-20</v>
      </c>
      <c r="AE122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22" s="88" t="str">
        <f t="shared" si="36"/>
        <v>"C:\Program Files (x86)\AstroGrep\AstroGrep.exe" /spath="%USERPROFILE%\AppData\Local\Temp\OnboardLogs" /stypes="app*4019*20161221*" /stext=" 01:.+((SYSTEM_STATE.+slice.+state.+changed )|(ment ac)|(multiple cpu faults)|(system.+state.+changed )|(\[timeout)|(PRM\|1\|D)|(kpr)|(kdp)|(\|lc)|(penalty))" /e /r /s</v>
      </c>
      <c r="AG122" s="1" t="str">
        <f t="shared" si="37"/>
        <v>EC</v>
      </c>
      <c r="AH122" s="92" t="str">
        <f t="shared" si="38"/>
        <v>"%USERPROFILE%\Documents\GitHub\eaglep3\Utilities\RefineRTDCRunTimes.py" --tripid 210-20 --locoid 4019 --swversion DE.1.0.8.0 --startMP 204:232981 --initTime 2016-12-20T18:07:13 --startdatetime 2016-12-20T18:11:37 --delay 2 --endMP 204:169 --enddatetime 2016-12-20T18:52:08 --enforcementcount 0 &gt;&gt;C:\Users\stu\Documents\GitHub\eaglep3-reporting\EC\2016-12-20-refined-times.txt</v>
      </c>
      <c r="AI12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{"issue":{"subject":"","project_id":79,"tracker_id":40,"status_id":1,"priority_id":2,"assigned_to_id":23,"start_date":"2016-12-20","description":"","custom_fields":[{"id":1,"name":"Subdivision","value":"EC"},{"id":4,"name":"Milepost","value":"0.0169"},{"id":17,"name":"Train ID","value":"210-20"},{"id":16,"name":"Locomotive ID","value":"4019"},{"id":130,"name":"Impact","value":""},{"id":150,"name":"Time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641</v>
      </c>
      <c r="B123" s="7">
        <v>4044</v>
      </c>
      <c r="C123" s="22" t="s">
        <v>205</v>
      </c>
      <c r="D123" s="22" t="s">
        <v>255</v>
      </c>
      <c r="E123" s="13">
        <v>42724.725312499999</v>
      </c>
      <c r="F123" s="13">
        <v>42724.729351851849</v>
      </c>
      <c r="G123" s="7">
        <v>1</v>
      </c>
      <c r="H123" s="22" t="s">
        <v>292</v>
      </c>
      <c r="I123" s="13">
        <v>42724.754583333335</v>
      </c>
      <c r="J123" s="7">
        <v>0</v>
      </c>
      <c r="K123" s="109" t="str">
        <f t="shared" si="23"/>
        <v>4043/4044</v>
      </c>
      <c r="L123" s="22" t="str">
        <f>VLOOKUP(A123,'Trips&amp;Operators'!$C$1:$G$99999,5,FALSE)</f>
        <v>CRAYTON QUNTRELL</v>
      </c>
      <c r="M123" s="6">
        <f t="shared" si="24"/>
        <v>2.5231481486116536E-2</v>
      </c>
      <c r="N123" s="7">
        <f t="shared" si="40"/>
        <v>36.333333340007812</v>
      </c>
      <c r="O123" s="7"/>
      <c r="P123" s="7"/>
      <c r="Q123" s="23"/>
      <c r="R123" s="23"/>
      <c r="S123" s="35">
        <f t="shared" si="41"/>
        <v>1</v>
      </c>
      <c r="T123" s="50" t="str">
        <f t="shared" si="27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16:24:27-700',mode:absolute,to:'2016-12-20 19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9"/>
        <v>N</v>
      </c>
      <c r="X123" s="177">
        <f t="shared" si="44"/>
        <v>1</v>
      </c>
      <c r="Y123" s="67">
        <f t="shared" si="31"/>
        <v>4.6399999999999997E-2</v>
      </c>
      <c r="Z123" s="67">
        <f t="shared" si="42"/>
        <v>23.329899999999999</v>
      </c>
      <c r="AA123" s="67">
        <f t="shared" si="33"/>
        <v>23.2835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4"/>
        <v>0211-20</v>
      </c>
      <c r="AE123" s="91" t="str">
        <f t="shared" si="35"/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AF123" s="88" t="str">
        <f t="shared" si="36"/>
        <v>"C:\Program Files (x86)\AstroGrep\AstroGrep.exe" /spath="%USERPROFILE%\AppData\Local\Temp\OnboardLogs" /stypes="app*4044*20161221*" /stext=" 01:.+((SYSTEM_STATE.+slice.+state.+changed )|(ment ac)|(multiple cpu faults)|(system.+state.+changed )|(\[timeout)|(PRM\|1\|D)|(kpr)|(kdp)|(\|lc)|(penalty))" /e /r /s</v>
      </c>
      <c r="AG123" s="1" t="str">
        <f t="shared" si="37"/>
        <v>EC</v>
      </c>
      <c r="AH123" s="92" t="str">
        <f t="shared" si="38"/>
        <v>"%USERPROFILE%\Documents\GitHub\eaglep3\Utilities\RefineRTDCRunTimes.py" --tripid 211-20 --locoid 4044 --swversion DE.1.0.8.0 --startMP 204:464 --initTime 2016-12-20T17:24:27 --startdatetime 2016-12-20T17:30:16 --delay 1 --endMP 204:233299 --enddatetime 2016-12-20T18:06:36 --enforcementcount 0 &gt;&gt;C:\Users\stu\Documents\GitHub\eaglep3-reporting\EC\2016-12-20-refined-times.txt</v>
      </c>
      <c r="AI12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{"issue":{"subject":"","project_id":79,"tracker_id":40,"status_id":1,"priority_id":2,"assigned_to_id":23,"start_date":"2016-12-20","description":"","custom_fields":[{"id":1,"name":"Subdivision","value":"EC"},{"id":4,"name":"Milepost","value":"23.3299"},{"id":17,"name":"Train ID","value":"211-20"},{"id":16,"name":"Locomotive ID","value":"4044"},{"id":130,"name":"Impact","value":""},{"id":150,"name":"Time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655</v>
      </c>
      <c r="B124" s="7">
        <v>4043</v>
      </c>
      <c r="C124" s="22" t="s">
        <v>205</v>
      </c>
      <c r="D124" s="22" t="s">
        <v>408</v>
      </c>
      <c r="E124" s="13">
        <v>42724.763449074075</v>
      </c>
      <c r="F124" s="13">
        <v>42724.768229166664</v>
      </c>
      <c r="G124" s="7">
        <v>1</v>
      </c>
      <c r="H124" s="22" t="s">
        <v>407</v>
      </c>
      <c r="I124" s="13">
        <v>42724.796481481484</v>
      </c>
      <c r="J124" s="7">
        <v>0</v>
      </c>
      <c r="K124" s="109" t="str">
        <f t="shared" si="23"/>
        <v>4043/4044</v>
      </c>
      <c r="L124" s="22" t="str">
        <f>VLOOKUP(A124,'Trips&amp;Operators'!$C$1:$G$99999,5,FALSE)</f>
        <v>CRAYTON QUNTRELL</v>
      </c>
      <c r="M124" s="6">
        <f t="shared" si="24"/>
        <v>2.825231481983792E-2</v>
      </c>
      <c r="N124" s="7">
        <f t="shared" si="40"/>
        <v>40.683333340566605</v>
      </c>
      <c r="O124" s="7"/>
      <c r="P124" s="7"/>
      <c r="Q124" s="23"/>
      <c r="R124" s="23"/>
      <c r="S124" s="35">
        <f t="shared" si="41"/>
        <v>1</v>
      </c>
      <c r="T124" s="50" t="str">
        <f t="shared" si="27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17:19:22-700',mode:absolute,to:'2016-12-20 20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9"/>
        <v>N</v>
      </c>
      <c r="X124" s="177">
        <f t="shared" si="44"/>
        <v>1</v>
      </c>
      <c r="Y124" s="67">
        <f t="shared" si="31"/>
        <v>23.296700000000001</v>
      </c>
      <c r="Z124" s="67">
        <f t="shared" si="42"/>
        <v>1.52E-2</v>
      </c>
      <c r="AA124" s="67">
        <f t="shared" si="33"/>
        <v>23.281500000000001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4"/>
        <v>0212-20</v>
      </c>
      <c r="AE124" s="91" t="str">
        <f t="shared" si="35"/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124" s="88" t="str">
        <f t="shared" si="36"/>
        <v>"C:\Program Files (x86)\AstroGrep\AstroGrep.exe" /spath="%USERPROFILE%\AppData\Local\Temp\OnboardLogs" /stypes="app*4043*20161221*" /stext=" 02:.+((SYSTEM_STATE.+slice.+state.+changed )|(ment ac)|(multiple cpu faults)|(system.+state.+changed )|(\[timeout)|(PRM\|1\|D)|(kpr)|(kdp)|(\|lc)|(penalty))" /e /r /s</v>
      </c>
      <c r="AG124" s="1" t="str">
        <f t="shared" si="37"/>
        <v>EC</v>
      </c>
      <c r="AH124" s="92" t="str">
        <f t="shared" si="38"/>
        <v>"%USERPROFILE%\Documents\GitHub\eaglep3\Utilities\RefineRTDCRunTimes.py" --tripid 212-20 --locoid 4043 --swversion DE.1.0.8.0 --startMP 204:232967 --initTime 2016-12-20T18:19:22 --startdatetime 2016-12-20T18:26:15 --delay 1 --endMP 204:152 --enddatetime 2016-12-20T19:06:56 --enforcementcount 0 &gt;&gt;C:\Users\stu\Documents\GitHub\eaglep3-reporting\EC\2016-12-20-refined-times.txt</v>
      </c>
      <c r="AI12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{"issue":{"subject":"","project_id":79,"tracker_id":40,"status_id":1,"priority_id":2,"assigned_to_id":23,"start_date":"2016-12-20","description":"","custom_fields":[{"id":1,"name":"Subdivision","value":"EC"},{"id":4,"name":"Milepost","value":"0.0152"},{"id":17,"name":"Train ID","value":"212-20"},{"id":16,"name":"Locomotive ID","value":"4043"},{"id":130,"name":"Impact","value":""},{"id":150,"name":"Time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644</v>
      </c>
      <c r="B125" s="7">
        <v>4018</v>
      </c>
      <c r="C125" s="22" t="s">
        <v>205</v>
      </c>
      <c r="D125" s="22" t="s">
        <v>744</v>
      </c>
      <c r="E125" s="13">
        <v>42724.736006944448</v>
      </c>
      <c r="F125" s="13">
        <v>42724.739756944444</v>
      </c>
      <c r="G125" s="7">
        <v>1</v>
      </c>
      <c r="H125" s="22" t="s">
        <v>303</v>
      </c>
      <c r="I125" s="13">
        <v>42724.764108796298</v>
      </c>
      <c r="J125" s="7">
        <v>0</v>
      </c>
      <c r="K125" s="109" t="str">
        <f t="shared" si="23"/>
        <v>4017/4018</v>
      </c>
      <c r="L125" s="22" t="str">
        <f>VLOOKUP(A125,'Trips&amp;Operators'!$C$1:$G$99999,5,FALSE)</f>
        <v>NEWELL JAMES</v>
      </c>
      <c r="M125" s="6">
        <f t="shared" si="24"/>
        <v>2.4351851854589768E-2</v>
      </c>
      <c r="N125" s="7">
        <f t="shared" si="40"/>
        <v>35.066666670609266</v>
      </c>
      <c r="O125" s="7"/>
      <c r="P125" s="7"/>
      <c r="Q125" s="23"/>
      <c r="R125" s="23"/>
      <c r="S125" s="35">
        <f t="shared" si="41"/>
        <v>1</v>
      </c>
      <c r="T125" s="50" t="str">
        <f t="shared" si="27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16:39:51-700',mode:absolute,to:'2016-12-20 19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5" s="52" t="str">
        <f t="shared" si="29"/>
        <v>N</v>
      </c>
      <c r="X125" s="177">
        <f t="shared" si="44"/>
        <v>1</v>
      </c>
      <c r="Y125" s="67">
        <f t="shared" si="31"/>
        <v>4.2599999999999999E-2</v>
      </c>
      <c r="Z125" s="67">
        <f t="shared" si="42"/>
        <v>23.331</v>
      </c>
      <c r="AA125" s="67">
        <f t="shared" si="33"/>
        <v>23.288399999999999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4"/>
        <v>0213-20</v>
      </c>
      <c r="AE125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25" s="88" t="str">
        <f t="shared" si="36"/>
        <v>"C:\Program Files (x86)\AstroGrep\AstroGrep.exe" /spath="%USERPROFILE%\AppData\Local\Temp\OnboardLogs" /stypes="app*4018*20161221*" /stext=" 01:.+((SYSTEM_STATE.+slice.+state.+changed )|(ment ac)|(multiple cpu faults)|(system.+state.+changed )|(\[timeout)|(PRM\|1\|D)|(kpr)|(kdp)|(\|lc)|(penalty))" /e /r /s</v>
      </c>
      <c r="AG125" s="1" t="str">
        <f t="shared" si="37"/>
        <v>EC</v>
      </c>
      <c r="AH125" s="92" t="str">
        <f t="shared" si="38"/>
        <v>"%USERPROFILE%\Documents\GitHub\eaglep3\Utilities\RefineRTDCRunTimes.py" --tripid 213-20 --locoid 4018 --swversion DE.1.0.8.0 --startMP 204:426 --initTime 2016-12-20T17:39:51 --startdatetime 2016-12-20T17:45:15 --delay 1 --endMP 204:233310 --enddatetime 2016-12-20T18:20:19 --enforcementcount 0 &gt;&gt;C:\Users\stu\Documents\GitHub\eaglep3-reporting\EC\2016-12-20-refined-times.txt</v>
      </c>
      <c r="AI12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{"issue":{"subject":"","project_id":79,"tracker_id":40,"status_id":1,"priority_id":2,"assigned_to_id":23,"start_date":"2016-12-20","description":"","custom_fields":[{"id":1,"name":"Subdivision","value":"EC"},{"id":4,"name":"Milepost","value":"23.331"},{"id":17,"name":"Train ID","value":"213-20"},{"id":16,"name":"Locomotive ID","value":"4018"},{"id":130,"name":"Impact","value":""},{"id":150,"name":"Time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657</v>
      </c>
      <c r="B126" s="7">
        <v>4017</v>
      </c>
      <c r="C126" s="22" t="s">
        <v>205</v>
      </c>
      <c r="D126" s="22" t="s">
        <v>269</v>
      </c>
      <c r="E126" s="13">
        <v>42724.768425925926</v>
      </c>
      <c r="F126" s="13">
        <v>42724.778634259259</v>
      </c>
      <c r="G126" s="7">
        <v>1</v>
      </c>
      <c r="H126" s="22" t="s">
        <v>191</v>
      </c>
      <c r="I126" s="13">
        <v>42724.806030092594</v>
      </c>
      <c r="J126" s="7">
        <v>0</v>
      </c>
      <c r="K126" s="109" t="str">
        <f t="shared" si="23"/>
        <v>4017/4018</v>
      </c>
      <c r="L126" s="22" t="str">
        <f>VLOOKUP(A126,'Trips&amp;Operators'!$C$1:$G$99999,5,FALSE)</f>
        <v>NEWELL JAMES</v>
      </c>
      <c r="M126" s="6">
        <f t="shared" si="24"/>
        <v>2.7395833334594499E-2</v>
      </c>
      <c r="N126" s="7">
        <f t="shared" si="40"/>
        <v>39.450000001816079</v>
      </c>
      <c r="O126" s="7"/>
      <c r="P126" s="7"/>
      <c r="Q126" s="23"/>
      <c r="R126" s="23"/>
      <c r="S126" s="35">
        <f t="shared" si="41"/>
        <v>1</v>
      </c>
      <c r="T126" s="50" t="str">
        <f t="shared" si="27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17:26:32-700',mode:absolute,to:'2016-12-20 20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6" s="52" t="str">
        <f t="shared" si="29"/>
        <v>N</v>
      </c>
      <c r="X126" s="177">
        <f t="shared" si="44"/>
        <v>1</v>
      </c>
      <c r="Y126" s="67">
        <f t="shared" si="31"/>
        <v>23.299299999999999</v>
      </c>
      <c r="Z126" s="67">
        <f t="shared" si="42"/>
        <v>1.49E-2</v>
      </c>
      <c r="AA126" s="67">
        <f t="shared" si="33"/>
        <v>23.284399999999998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4"/>
        <v>0214-20</v>
      </c>
      <c r="AE126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26" s="88" t="str">
        <f t="shared" si="36"/>
        <v>"C:\Program Files (x86)\AstroGrep\AstroGrep.exe" /spath="%USERPROFILE%\AppData\Local\Temp\OnboardLogs" /stypes="app*4017*20161221*" /stext=" 02:.+((SYSTEM_STATE.+slice.+state.+changed )|(ment ac)|(multiple cpu faults)|(system.+state.+changed )|(\[timeout)|(PRM\|1\|D)|(kpr)|(kdp)|(\|lc)|(penalty))" /e /r /s</v>
      </c>
      <c r="AG126" s="1" t="str">
        <f t="shared" si="37"/>
        <v>EC</v>
      </c>
      <c r="AH126" s="92" t="str">
        <f t="shared" si="38"/>
        <v>"%USERPROFILE%\Documents\GitHub\eaglep3\Utilities\RefineRTDCRunTimes.py" --tripid 214-20 --locoid 4017 --swversion DE.1.0.8.0 --startMP 204:232993 --initTime 2016-12-20T18:26:32 --startdatetime 2016-12-20T18:41:14 --delay 1 --endMP 204:149 --enddatetime 2016-12-20T19:20:41 --enforcementcount 0 &gt;&gt;C:\Users\stu\Documents\GitHub\eaglep3-reporting\EC\2016-12-20-refined-times.txt</v>
      </c>
      <c r="AI12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{"issue":{"subject":"","project_id":79,"tracker_id":40,"status_id":1,"priority_id":2,"assigned_to_id":23,"start_date":"2016-12-20","description":"","custom_fields":[{"id":1,"name":"Subdivision","value":"EC"},{"id":4,"name":"Milepost","value":"0.0149"},{"id":17,"name":"Train ID","value":"214-20"},{"id":16,"name":"Locomotive ID","value":"4017"},{"id":130,"name":"Impact","value":""},{"id":150,"name":"Time of Event (Mountain Time)","value":"19:20:41"},{"id":151,"name":"Denver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649</v>
      </c>
      <c r="B127" s="7">
        <v>4046</v>
      </c>
      <c r="C127" s="22" t="s">
        <v>205</v>
      </c>
      <c r="D127" s="22" t="s">
        <v>423</v>
      </c>
      <c r="E127" s="13">
        <v>42724.748287037037</v>
      </c>
      <c r="F127" s="13">
        <v>42724.750162037039</v>
      </c>
      <c r="G127" s="7">
        <v>2</v>
      </c>
      <c r="H127" s="22" t="s">
        <v>400</v>
      </c>
      <c r="I127" s="13">
        <v>42724.774340277778</v>
      </c>
      <c r="J127" s="7">
        <v>0</v>
      </c>
      <c r="K127" s="109" t="str">
        <f t="shared" si="23"/>
        <v>4045/4046</v>
      </c>
      <c r="L127" s="22" t="str">
        <f>VLOOKUP(A127,'Trips&amp;Operators'!$C$1:$G$99999,5,FALSE)</f>
        <v>BRANNON JEFFREY</v>
      </c>
      <c r="M127" s="6">
        <f t="shared" si="24"/>
        <v>2.417824073927477E-2</v>
      </c>
      <c r="N127" s="7">
        <f t="shared" si="40"/>
        <v>34.816666664555669</v>
      </c>
      <c r="O127" s="7"/>
      <c r="P127" s="7"/>
      <c r="Q127" s="23"/>
      <c r="R127" s="23"/>
      <c r="S127" s="35">
        <f t="shared" si="41"/>
        <v>1</v>
      </c>
      <c r="T127" s="50" t="str">
        <f t="shared" si="27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16:57:32-700',mode:absolute,to:'2016-12-20 19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7" s="52" t="str">
        <f t="shared" si="29"/>
        <v>N</v>
      </c>
      <c r="X127" s="177">
        <f t="shared" si="44"/>
        <v>1</v>
      </c>
      <c r="Y127" s="67">
        <f t="shared" si="31"/>
        <v>4.3499999999999997E-2</v>
      </c>
      <c r="Z127" s="67">
        <f t="shared" si="42"/>
        <v>23.3293</v>
      </c>
      <c r="AA127" s="67">
        <f t="shared" si="33"/>
        <v>23.285799999999998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4"/>
        <v>0215-20</v>
      </c>
      <c r="AE127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27" s="88" t="str">
        <f t="shared" si="36"/>
        <v>"C:\Program Files (x86)\AstroGrep\AstroGrep.exe" /spath="%USERPROFILE%\AppData\Local\Temp\OnboardLogs" /stypes="app*4046*20161221*" /stext=" 01:.+((SYSTEM_STATE.+slice.+state.+changed )|(ment ac)|(multiple cpu faults)|(system.+state.+changed )|(\[timeout)|(PRM\|1\|D)|(kpr)|(kdp)|(\|lc)|(penalty))" /e /r /s</v>
      </c>
      <c r="AG127" s="1" t="str">
        <f t="shared" si="37"/>
        <v>EC</v>
      </c>
      <c r="AH127" s="92" t="str">
        <f t="shared" si="38"/>
        <v>"%USERPROFILE%\Documents\GitHub\eaglep3\Utilities\RefineRTDCRunTimes.py" --tripid 215-20 --locoid 4046 --swversion DE.1.0.8.0 --startMP 204:435 --initTime 2016-12-20T17:57:32 --startdatetime 2016-12-20T18:00:14 --delay 2 --endMP 204:233293 --enddatetime 2016-12-20T18:35:03 --enforcementcount 0 &gt;&gt;C:\Users\stu\Documents\GitHub\eaglep3-reporting\EC\2016-12-20-refined-times.txt</v>
      </c>
      <c r="AI12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{"issue":{"subject":"","project_id":79,"tracker_id":40,"status_id":1,"priority_id":2,"assigned_to_id":23,"start_date":"2016-12-20","description":"","custom_fields":[{"id":1,"name":"Subdivision","value":"EC"},{"id":4,"name":"Milepost","value":"23.3293"},{"id":17,"name":"Train ID","value":"215-20"},{"id":16,"name":"Locomotive ID","value":"4046"},{"id":130,"name":"Impact","value":""},{"id":150,"name":"Time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661</v>
      </c>
      <c r="B128" s="7">
        <v>4045</v>
      </c>
      <c r="C128" s="22" t="s">
        <v>205</v>
      </c>
      <c r="D128" s="22" t="s">
        <v>288</v>
      </c>
      <c r="E128" s="13">
        <v>42724.779340277775</v>
      </c>
      <c r="F128" s="13">
        <v>42724.789074074077</v>
      </c>
      <c r="G128" s="7">
        <v>3</v>
      </c>
      <c r="H128" s="22" t="s">
        <v>235</v>
      </c>
      <c r="I128" s="13">
        <v>42724.816979166666</v>
      </c>
      <c r="J128" s="7">
        <v>0</v>
      </c>
      <c r="K128" s="109" t="str">
        <f t="shared" si="23"/>
        <v>4045/4046</v>
      </c>
      <c r="L128" s="22" t="str">
        <f>VLOOKUP(A128,'Trips&amp;Operators'!$C$1:$G$99999,5,FALSE)</f>
        <v>BRANNON JEFFREY</v>
      </c>
      <c r="M128" s="6">
        <f t="shared" si="24"/>
        <v>2.7905092589207925E-2</v>
      </c>
      <c r="N128" s="7">
        <f t="shared" si="40"/>
        <v>40.183333328459412</v>
      </c>
      <c r="O128" s="7"/>
      <c r="P128" s="7"/>
      <c r="Q128" s="23"/>
      <c r="R128" s="23"/>
      <c r="S128" s="35">
        <f t="shared" si="41"/>
        <v>1</v>
      </c>
      <c r="T128" s="50" t="str">
        <f t="shared" si="27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17:42:15-700',mode:absolute,to:'2016-12-20 20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8" s="52" t="str">
        <f t="shared" si="29"/>
        <v>N</v>
      </c>
      <c r="X128" s="177">
        <f t="shared" si="44"/>
        <v>1</v>
      </c>
      <c r="Y128" s="67">
        <f t="shared" si="31"/>
        <v>23.2986</v>
      </c>
      <c r="Z128" s="67">
        <f t="shared" si="42"/>
        <v>1.4500000000000001E-2</v>
      </c>
      <c r="AA128" s="67">
        <f t="shared" si="33"/>
        <v>23.284099999999999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4"/>
        <v>0216-20</v>
      </c>
      <c r="AE128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28" s="88" t="str">
        <f t="shared" si="36"/>
        <v>"C:\Program Files (x86)\AstroGrep\AstroGrep.exe" /spath="%USERPROFILE%\AppData\Local\Temp\OnboardLogs" /stypes="app*4045*20161221*" /stext=" 02:.+((SYSTEM_STATE.+slice.+state.+changed )|(ment ac)|(multiple cpu faults)|(system.+state.+changed )|(\[timeout)|(PRM\|1\|D)|(kpr)|(kdp)|(\|lc)|(penalty))" /e /r /s</v>
      </c>
      <c r="AG128" s="1" t="str">
        <f t="shared" si="37"/>
        <v>EC</v>
      </c>
      <c r="AH128" s="92" t="str">
        <f t="shared" si="38"/>
        <v>"%USERPROFILE%\Documents\GitHub\eaglep3\Utilities\RefineRTDCRunTimes.py" --tripid 216-20 --locoid 4045 --swversion DE.1.0.8.0 --startMP 204:232986 --initTime 2016-12-20T18:42:15 --startdatetime 2016-12-20T18:56:16 --delay 3 --endMP 204:145 --enddatetime 2016-12-20T19:36:27 --enforcementcount 0 &gt;&gt;C:\Users\stu\Documents\GitHub\eaglep3-reporting\EC\2016-12-20-refined-times.txt</v>
      </c>
      <c r="AI12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ID","value":"216-20"},{"id":16,"name":"Locomotive ID","value":"4045"},{"id":130,"name":"Impact","value":""},{"id":150,"name":"Time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x14ac:dyDescent="0.25">
      <c r="A129" s="37" t="s">
        <v>653</v>
      </c>
      <c r="B129" s="7">
        <v>4009</v>
      </c>
      <c r="C129" s="22" t="s">
        <v>205</v>
      </c>
      <c r="D129" s="22" t="s">
        <v>427</v>
      </c>
      <c r="E129" s="13">
        <v>42724.759398148148</v>
      </c>
      <c r="F129" s="13">
        <v>42724.762129629627</v>
      </c>
      <c r="G129" s="7">
        <v>2</v>
      </c>
      <c r="H129" s="22" t="s">
        <v>745</v>
      </c>
      <c r="I129" s="13">
        <v>42724.787986111114</v>
      </c>
      <c r="J129" s="7">
        <v>0</v>
      </c>
      <c r="K129" s="109" t="str">
        <f t="shared" si="23"/>
        <v>4009/4010</v>
      </c>
      <c r="L129" s="22" t="str">
        <f>VLOOKUP(A129,'Trips&amp;Operators'!$C$1:$G$99999,5,FALSE)</f>
        <v>YANG JAN</v>
      </c>
      <c r="M129" s="6">
        <f t="shared" si="24"/>
        <v>2.5856481486698613E-2</v>
      </c>
      <c r="N129" s="7">
        <f t="shared" si="40"/>
        <v>37.233333340846002</v>
      </c>
      <c r="O129" s="7"/>
      <c r="P129" s="7"/>
      <c r="Q129" s="23"/>
      <c r="R129" s="23"/>
      <c r="S129" s="35">
        <f t="shared" si="41"/>
        <v>1</v>
      </c>
      <c r="T129" s="50" t="str">
        <f t="shared" si="27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17:13:32-700',mode:absolute,to:'2016-12-20 19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9" s="52" t="str">
        <f t="shared" si="29"/>
        <v>N</v>
      </c>
      <c r="X129" s="177">
        <f t="shared" si="44"/>
        <v>1</v>
      </c>
      <c r="Y129" s="67">
        <f t="shared" si="31"/>
        <v>4.6600000000000003E-2</v>
      </c>
      <c r="Z129" s="67">
        <v>23.33</v>
      </c>
      <c r="AA129" s="67">
        <f t="shared" si="33"/>
        <v>23.283399999999997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4"/>
        <v>0217-20</v>
      </c>
      <c r="AE129" s="91" t="str">
        <f t="shared" si="35"/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AF129" s="88" t="str">
        <f t="shared" si="36"/>
        <v>"C:\Program Files (x86)\AstroGrep\AstroGrep.exe" /spath="%USERPROFILE%\AppData\Local\Temp\OnboardLogs" /stypes="app*4009*20161221*" /stext=" 01:.+((SYSTEM_STATE.+slice.+state.+changed )|(ment ac)|(multiple cpu faults)|(system.+state.+changed )|(\[timeout)|(PRM\|1\|D)|(kpr)|(kdp)|(\|lc)|(penalty))" /e /r /s</v>
      </c>
      <c r="AG129" s="1" t="str">
        <f t="shared" si="37"/>
        <v>EC</v>
      </c>
      <c r="AH129" s="92" t="str">
        <f t="shared" si="38"/>
        <v>"%USERPROFILE%\Documents\GitHub\eaglep3\Utilities\RefineRTDCRunTimes.py" --tripid 217-20 --locoid 4009 --swversion DE.1.0.8.0 --startMP 204:466 --initTime 2016-12-20T18:13:32 --startdatetime 2016-12-20T18:17:28 --delay 2 --endMP 204:126833 --enddatetime 2016-12-20T18:54:42 --enforcementcount 0 &gt;&gt;C:\Users\stu\Documents\GitHub\eaglep3-reporting\EC\2016-12-20-refined-times.txt</v>
      </c>
      <c r="AI12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{"issue":{"subject":"","project_id":79,"tracker_id":40,"status_id":1,"priority_id":2,"assigned_to_id":23,"start_date":"2016-12-20","description":"","custom_fields":[{"id":1,"name":"Subdivision","value":"EC"},{"id":4,"name":"Milepost","value":"23.33"},{"id":17,"name":"Train ID","value":"217-20"},{"id":16,"name":"Locomotive ID","value":"4009"},{"id":130,"name":"Impact","value":""},{"id":150,"name":"Time of Event (Mountain Time)","value":"18:54:42"},{"id":151,"name":"Denver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s="21" customFormat="1" x14ac:dyDescent="0.25">
      <c r="A130" s="37" t="s">
        <v>489</v>
      </c>
      <c r="B130" s="7">
        <v>4010</v>
      </c>
      <c r="C130" s="22" t="s">
        <v>205</v>
      </c>
      <c r="D130" s="22" t="s">
        <v>348</v>
      </c>
      <c r="E130" s="13">
        <v>42724.796168981484</v>
      </c>
      <c r="F130" s="13">
        <v>42724.79959490741</v>
      </c>
      <c r="G130" s="7">
        <v>2</v>
      </c>
      <c r="H130" s="22" t="s">
        <v>746</v>
      </c>
      <c r="I130" s="13">
        <v>42724.827824074076</v>
      </c>
      <c r="J130" s="7">
        <v>0</v>
      </c>
      <c r="K130" s="109" t="str">
        <f t="shared" si="23"/>
        <v>4009/4010</v>
      </c>
      <c r="L130" s="22" t="str">
        <f>VLOOKUP(A130,'Trips&amp;Operators'!$C$1:$G$99999,5,FALSE)</f>
        <v>YANG JAN</v>
      </c>
      <c r="M130" s="6">
        <f t="shared" si="24"/>
        <v>2.8229166666278616E-2</v>
      </c>
      <c r="N130" s="7">
        <f t="shared" si="40"/>
        <v>40.649999999441206</v>
      </c>
      <c r="O130" s="7"/>
      <c r="P130" s="7"/>
      <c r="Q130" s="23"/>
      <c r="R130" s="23"/>
      <c r="S130" s="35">
        <f t="shared" si="41"/>
        <v>1</v>
      </c>
      <c r="T130" s="50" t="str">
        <f t="shared" si="27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18:06:29-700',mode:absolute,to:'2016-12-20 20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0" s="52" t="str">
        <f t="shared" si="29"/>
        <v>N</v>
      </c>
      <c r="X130" s="177">
        <f t="shared" si="44"/>
        <v>1</v>
      </c>
      <c r="Y130" s="67">
        <f t="shared" si="31"/>
        <v>23.297599999999999</v>
      </c>
      <c r="Z130" s="67">
        <f t="shared" ref="Z130:Z161" si="45">RIGHT(H130,LEN(H130)-4)/10000</f>
        <v>8.9599999999999999E-2</v>
      </c>
      <c r="AA130" s="67">
        <f t="shared" si="33"/>
        <v>23.207999999999998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4"/>
        <v>0218-20</v>
      </c>
      <c r="AE130" s="91" t="str">
        <f t="shared" si="35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130" s="88" t="str">
        <f t="shared" si="36"/>
        <v>"C:\Program Files (x86)\AstroGrep\AstroGrep.exe" /spath="%USERPROFILE%\AppData\Local\Temp\OnboardLogs" /stypes="app*4010*20161221*" /stext=" 02:.+((SYSTEM_STATE.+slice.+state.+changed )|(ment ac)|(multiple cpu faults)|(system.+state.+changed )|(\[timeout)|(PRM\|1\|D)|(kpr)|(kdp)|(\|lc)|(penalty))" /e /r /s</v>
      </c>
      <c r="AG130" s="1" t="str">
        <f t="shared" si="37"/>
        <v>EC</v>
      </c>
      <c r="AH130" s="92" t="str">
        <f t="shared" si="38"/>
        <v>"%USERPROFILE%\Documents\GitHub\eaglep3\Utilities\RefineRTDCRunTimes.py" --tripid 218-20 --locoid 4010 --swversion DE.1.0.8.0 --startMP 204:232976 --initTime 2016-12-20T19:06:29 --startdatetime 2016-12-20T19:11:25 --delay 2 --endMP 204:896 --enddatetime 2016-12-20T19:52:04 --enforcementcount 0 &gt;&gt;C:\Users\stu\Documents\GitHub\eaglep3-reporting\EC\2016-12-20-refined-times.txt</v>
      </c>
      <c r="AI13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{"issue":{"subject":"","project_id":79,"tracker_id":40,"status_id":1,"priority_id":2,"assigned_to_id":23,"start_date":"2016-12-20","description":"","custom_fields":[{"id":1,"name":"Subdivision","value":"EC"},{"id":4,"name":"Milepost","value":"0.0896"},{"id":17,"name":"Train ID","value":"218-20"},{"id":16,"name":"Locomotive ID","value":"4010"},{"id":130,"name":"Impact","value":""},{"id":150,"name":"Time of Event (Mountain Time)","value":"19:52:04"},{"id":151,"name":"Denver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658</v>
      </c>
      <c r="B131" s="7">
        <v>4031</v>
      </c>
      <c r="C131" s="22" t="s">
        <v>205</v>
      </c>
      <c r="D131" s="22" t="s">
        <v>231</v>
      </c>
      <c r="E131" s="13">
        <v>42724.768182870372</v>
      </c>
      <c r="F131" s="13">
        <v>42724.77138888889</v>
      </c>
      <c r="G131" s="7">
        <v>2</v>
      </c>
      <c r="H131" s="22" t="s">
        <v>747</v>
      </c>
      <c r="I131" s="13">
        <v>42724.795023148145</v>
      </c>
      <c r="J131" s="7">
        <v>0</v>
      </c>
      <c r="K131" s="109" t="str">
        <f t="shared" si="23"/>
        <v>4031/4032</v>
      </c>
      <c r="L131" s="22" t="str">
        <f>VLOOKUP(A131,'Trips&amp;Operators'!$C$1:$G$99999,5,FALSE)</f>
        <v>STAMBAUGH JAMES</v>
      </c>
      <c r="M131" s="6">
        <f t="shared" si="24"/>
        <v>2.3634259254322387E-2</v>
      </c>
      <c r="N131" s="7">
        <f t="shared" si="40"/>
        <v>34.033333326224238</v>
      </c>
      <c r="O131" s="7"/>
      <c r="P131" s="7"/>
      <c r="Q131" s="23"/>
      <c r="R131" s="23"/>
      <c r="S131" s="35">
        <f t="shared" si="41"/>
        <v>1</v>
      </c>
      <c r="T131" s="50" t="str">
        <f t="shared" si="27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17:26:11-700',mode:absolute,to:'2016-12-20 20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29"/>
        <v>N</v>
      </c>
      <c r="X131" s="177">
        <f t="shared" si="44"/>
        <v>1</v>
      </c>
      <c r="Y131" s="67">
        <f t="shared" si="31"/>
        <v>4.7100000000000003E-2</v>
      </c>
      <c r="Z131" s="67">
        <f t="shared" si="45"/>
        <v>23.331600000000002</v>
      </c>
      <c r="AA131" s="67">
        <f t="shared" si="33"/>
        <v>23.284500000000001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4"/>
        <v>0219-20</v>
      </c>
      <c r="AE131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31" s="88" t="str">
        <f t="shared" si="36"/>
        <v>"C:\Program Files (x86)\AstroGrep\AstroGrep.exe" /spath="%USERPROFILE%\AppData\Local\Temp\OnboardLogs" /stypes="app*4031*20161221*" /stext=" 02:.+((SYSTEM_STATE.+slice.+state.+changed )|(ment ac)|(multiple cpu faults)|(system.+state.+changed )|(\[timeout)|(PRM\|1\|D)|(kpr)|(kdp)|(\|lc)|(penalty))" /e /r /s</v>
      </c>
      <c r="AG131" s="1" t="str">
        <f t="shared" si="37"/>
        <v>EC</v>
      </c>
      <c r="AH131" s="92" t="str">
        <f t="shared" si="38"/>
        <v>"%USERPROFILE%\Documents\GitHub\eaglep3\Utilities\RefineRTDCRunTimes.py" --tripid 219-20 --locoid 4031 --swversion DE.1.0.8.0 --startMP 204:471 --initTime 2016-12-20T18:26:11 --startdatetime 2016-12-20T18:30:48 --delay 2 --endMP 204:233316 --enddatetime 2016-12-20T19:04:50 --enforcementcount 0 &gt;&gt;C:\Users\stu\Documents\GitHub\eaglep3-reporting\EC\2016-12-20-refined-times.txt</v>
      </c>
      <c r="AI131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{"issue":{"subject":"","project_id":79,"tracker_id":40,"status_id":1,"priority_id":2,"assigned_to_id":23,"start_date":"2016-12-20","description":"","custom_fields":[{"id":1,"name":"Subdivision","value":"EC"},{"id":4,"name":"Milepost","value":"23.3316"},{"id":17,"name":"Train ID","value":"219-20"},{"id":16,"name":"Locomotive ID","value":"4031"},{"id":130,"name":"Impact","value":""},{"id":150,"name":"Time of Event (Mountain Time)","value":"19:04:50"},{"id":151,"name":"Denver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666</v>
      </c>
      <c r="B132" s="7">
        <v>4032</v>
      </c>
      <c r="C132" s="22" t="s">
        <v>205</v>
      </c>
      <c r="D132" s="22" t="s">
        <v>310</v>
      </c>
      <c r="E132" s="13">
        <v>42724.806805555556</v>
      </c>
      <c r="F132" s="13">
        <v>42724.81</v>
      </c>
      <c r="G132" s="7">
        <v>1</v>
      </c>
      <c r="H132" s="22" t="s">
        <v>417</v>
      </c>
      <c r="I132" s="13">
        <v>42724.836863425924</v>
      </c>
      <c r="J132" s="7">
        <v>0</v>
      </c>
      <c r="K132" s="109" t="str">
        <f t="shared" si="23"/>
        <v>4031/4032</v>
      </c>
      <c r="L132" s="22" t="str">
        <f>VLOOKUP(A132,'Trips&amp;Operators'!$C$1:$G$99999,5,FALSE)</f>
        <v>STAMBAUGH JAMES</v>
      </c>
      <c r="M132" s="6">
        <f t="shared" si="24"/>
        <v>2.6863425926421769E-2</v>
      </c>
      <c r="N132" s="7">
        <f t="shared" si="40"/>
        <v>38.683333334047347</v>
      </c>
      <c r="O132" s="7"/>
      <c r="P132" s="7"/>
      <c r="Q132" s="23"/>
      <c r="R132" s="23"/>
      <c r="S132" s="35">
        <f t="shared" si="41"/>
        <v>1</v>
      </c>
      <c r="T132" s="50" t="str">
        <f t="shared" si="27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18:21:48-700',mode:absolute,to:'2016-12-20 21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29"/>
        <v>N</v>
      </c>
      <c r="X132" s="177">
        <f t="shared" si="44"/>
        <v>1</v>
      </c>
      <c r="Y132" s="67">
        <f t="shared" si="31"/>
        <v>23.297799999999999</v>
      </c>
      <c r="Z132" s="67">
        <f t="shared" si="45"/>
        <v>1.78E-2</v>
      </c>
      <c r="AA132" s="67">
        <f t="shared" si="33"/>
        <v>23.279999999999998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4"/>
        <v>0220-20</v>
      </c>
      <c r="AE132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32" s="88" t="str">
        <f t="shared" si="36"/>
        <v>"C:\Program Files (x86)\AstroGrep\AstroGrep.exe" /spath="%USERPROFILE%\AppData\Local\Temp\OnboardLogs" /stypes="app*4032*20161221*" /stext=" 03:.+((SYSTEM_STATE.+slice.+state.+changed )|(ment ac)|(multiple cpu faults)|(system.+state.+changed )|(\[timeout)|(PRM\|1\|D)|(kpr)|(kdp)|(\|lc)|(penalty))" /e /r /s</v>
      </c>
      <c r="AG132" s="1" t="str">
        <f t="shared" si="37"/>
        <v>EC</v>
      </c>
      <c r="AH132" s="92" t="str">
        <f t="shared" si="38"/>
        <v>"%USERPROFILE%\Documents\GitHub\eaglep3\Utilities\RefineRTDCRunTimes.py" --tripid 220-20 --locoid 4032 --swversion DE.1.0.8.0 --startMP 204:232978 --initTime 2016-12-20T19:21:48 --startdatetime 2016-12-20T19:26:24 --delay 1 --endMP 204:178 --enddatetime 2016-12-20T20:05:05 --enforcementcount 0 &gt;&gt;C:\Users\stu\Documents\GitHub\eaglep3-reporting\EC\2016-12-20-refined-times.txt</v>
      </c>
      <c r="AI132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{"issue":{"subject":"","project_id":79,"tracker_id":40,"status_id":1,"priority_id":2,"assigned_to_id":23,"start_date":"2016-12-20","description":"","custom_fields":[{"id":1,"name":"Subdivision","value":"EC"},{"id":4,"name":"Milepost","value":"0.0178"},{"id":17,"name":"Train ID","value":"220-20"},{"id":16,"name":"Locomotive ID","value":"4032"},{"id":130,"name":"Impact","value":""},{"id":150,"name":"Time of Event (Mountain Time)","value":"20:05:05"},{"id":151,"name":"Denver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663</v>
      </c>
      <c r="B133" s="7">
        <v>4020</v>
      </c>
      <c r="C133" s="22" t="s">
        <v>205</v>
      </c>
      <c r="D133" s="22" t="s">
        <v>255</v>
      </c>
      <c r="E133" s="13">
        <v>42724.790868055556</v>
      </c>
      <c r="F133" s="13">
        <v>42724.792141203703</v>
      </c>
      <c r="G133" s="7">
        <v>1</v>
      </c>
      <c r="H133" s="22" t="s">
        <v>291</v>
      </c>
      <c r="I133" s="13">
        <v>42724.816921296297</v>
      </c>
      <c r="J133" s="7">
        <v>0</v>
      </c>
      <c r="K133" s="109" t="str">
        <f t="shared" si="23"/>
        <v>4019/4020</v>
      </c>
      <c r="L133" s="22" t="str">
        <f>VLOOKUP(A133,'Trips&amp;Operators'!$C$1:$G$99999,5,FALSE)</f>
        <v>CHANDLER KELVIN</v>
      </c>
      <c r="M133" s="6">
        <f t="shared" si="24"/>
        <v>2.4780092593573499E-2</v>
      </c>
      <c r="N133" s="7">
        <f t="shared" si="40"/>
        <v>35.683333334745839</v>
      </c>
      <c r="O133" s="7"/>
      <c r="P133" s="7"/>
      <c r="Q133" s="23"/>
      <c r="R133" s="23"/>
      <c r="S133" s="35">
        <f t="shared" si="41"/>
        <v>1</v>
      </c>
      <c r="T133" s="50" t="str">
        <f t="shared" si="27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17:58:51-700',mode:absolute,to:'2016-12-20 20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3" s="52" t="str">
        <f t="shared" si="29"/>
        <v>N</v>
      </c>
      <c r="X133" s="177">
        <f t="shared" si="44"/>
        <v>1</v>
      </c>
      <c r="Y133" s="67">
        <f t="shared" si="31"/>
        <v>4.6399999999999997E-2</v>
      </c>
      <c r="Z133" s="67">
        <f t="shared" si="45"/>
        <v>23.3291</v>
      </c>
      <c r="AA133" s="67">
        <f t="shared" si="33"/>
        <v>23.282700000000002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4"/>
        <v>0221-20</v>
      </c>
      <c r="AE133" s="91" t="str">
        <f t="shared" si="35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33" s="88" t="str">
        <f t="shared" si="36"/>
        <v>"C:\Program Files (x86)\AstroGrep\AstroGrep.exe" /spath="%USERPROFILE%\AppData\Local\Temp\OnboardLogs" /stypes="app*4020*20161221*" /stext=" 02:.+((SYSTEM_STATE.+slice.+state.+changed )|(ment ac)|(multiple cpu faults)|(system.+state.+changed )|(\[timeout)|(PRM\|1\|D)|(kpr)|(kdp)|(\|lc)|(penalty))" /e /r /s</v>
      </c>
      <c r="AG133" s="1" t="str">
        <f t="shared" si="37"/>
        <v>EC</v>
      </c>
      <c r="AH133" s="92" t="str">
        <f t="shared" si="38"/>
        <v>"%USERPROFILE%\Documents\GitHub\eaglep3\Utilities\RefineRTDCRunTimes.py" --tripid 221-20 --locoid 4020 --swversion DE.1.0.8.0 --startMP 204:464 --initTime 2016-12-20T18:58:51 --startdatetime 2016-12-20T19:00:41 --delay 1 --endMP 204:233291 --enddatetime 2016-12-20T19:36:22 --enforcementcount 0 &gt;&gt;C:\Users\stu\Documents\GitHub\eaglep3-reporting\EC\2016-12-20-refined-times.txt</v>
      </c>
      <c r="AI133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{"issue":{"subject":"","project_id":79,"tracker_id":40,"status_id":1,"priority_id":2,"assigned_to_id":23,"start_date":"2016-12-20","description":"","custom_fields":[{"id":1,"name":"Subdivision","value":"EC"},{"id":4,"name":"Milepost","value":"23.3291"},{"id":17,"name":"Train ID","value":"221-20"},{"id":16,"name":"Locomotive ID","value":"4020"},{"id":130,"name":"Impact","value":""},{"id":150,"name":"Time of Event (Mountain Time)","value":"19:36:22"},{"id":151,"name":"Denver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670</v>
      </c>
      <c r="B134" s="7">
        <v>4019</v>
      </c>
      <c r="C134" s="22" t="s">
        <v>205</v>
      </c>
      <c r="D134" s="22" t="s">
        <v>348</v>
      </c>
      <c r="E134" s="13">
        <v>42724.827847222223</v>
      </c>
      <c r="F134" s="13">
        <v>42724.831296296295</v>
      </c>
      <c r="G134" s="7">
        <v>1</v>
      </c>
      <c r="H134" s="22" t="s">
        <v>211</v>
      </c>
      <c r="I134" s="13">
        <v>42724.860879629632</v>
      </c>
      <c r="J134" s="7">
        <v>0</v>
      </c>
      <c r="K134" s="109" t="str">
        <f t="shared" si="23"/>
        <v>4019/4020</v>
      </c>
      <c r="L134" s="22" t="str">
        <f>VLOOKUP(A134,'Trips&amp;Operators'!$C$1:$G$99999,5,FALSE)</f>
        <v>CHANDLER KELVIN</v>
      </c>
      <c r="M134" s="6">
        <f t="shared" si="24"/>
        <v>2.9583333336631767E-2</v>
      </c>
      <c r="N134" s="7">
        <f t="shared" si="40"/>
        <v>42.600000004749745</v>
      </c>
      <c r="O134" s="7"/>
      <c r="P134" s="7"/>
      <c r="Q134" s="23"/>
      <c r="R134" s="23"/>
      <c r="S134" s="35">
        <f t="shared" si="41"/>
        <v>1</v>
      </c>
      <c r="T134" s="50" t="str">
        <f t="shared" si="27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18:52:06-700',mode:absolute,to:'2016-12-20 21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4" s="52" t="str">
        <f t="shared" si="29"/>
        <v>N</v>
      </c>
      <c r="X134" s="177">
        <f t="shared" si="44"/>
        <v>1</v>
      </c>
      <c r="Y134" s="67">
        <f t="shared" si="31"/>
        <v>23.297599999999999</v>
      </c>
      <c r="Z134" s="67">
        <f t="shared" si="45"/>
        <v>1.4999999999999999E-2</v>
      </c>
      <c r="AA134" s="67">
        <f t="shared" si="33"/>
        <v>23.282599999999999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4"/>
        <v>0222-20</v>
      </c>
      <c r="AE134" s="91" t="str">
        <f t="shared" si="35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34" s="88" t="str">
        <f t="shared" si="36"/>
        <v>"C:\Program Files (x86)\AstroGrep\AstroGrep.exe" /spath="%USERPROFILE%\AppData\Local\Temp\OnboardLogs" /stypes="app*4019*20161221*" /stext=" 03:.+((SYSTEM_STATE.+slice.+state.+changed )|(ment ac)|(multiple cpu faults)|(system.+state.+changed )|(\[timeout)|(PRM\|1\|D)|(kpr)|(kdp)|(\|lc)|(penalty))" /e /r /s</v>
      </c>
      <c r="AG134" s="1" t="str">
        <f t="shared" si="37"/>
        <v>EC</v>
      </c>
      <c r="AH134" s="92" t="str">
        <f t="shared" si="38"/>
        <v>"%USERPROFILE%\Documents\GitHub\eaglep3\Utilities\RefineRTDCRunTimes.py" --tripid 222-20 --locoid 4019 --swversion DE.1.0.8.0 --startMP 204:232976 --initTime 2016-12-20T19:52:06 --startdatetime 2016-12-20T19:57:04 --delay 1 --endMP 204:150 --enddatetime 2016-12-20T20:39:40 --enforcementcount 0 &gt;&gt;C:\Users\stu\Documents\GitHub\eaglep3-reporting\EC\2016-12-20-refined-times.txt</v>
      </c>
      <c r="AI134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{"issue":{"subject":"","project_id":79,"tracker_id":40,"status_id":1,"priority_id":2,"assigned_to_id":23,"start_date":"2016-12-20","description":"","custom_fields":[{"id":1,"name":"Subdivision","value":"EC"},{"id":4,"name":"Milepost","value":"0.015"},{"id":17,"name":"Train ID","value":"222-20"},{"id":16,"name":"Locomotive ID","value":"4019"},{"id":130,"name":"Impact","value":""},{"id":150,"name":"Time of Event (Mountain Time)","value":"20:39:40"},{"id":151,"name":"Denver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667</v>
      </c>
      <c r="B135" s="7">
        <v>4018</v>
      </c>
      <c r="C135" s="22" t="s">
        <v>205</v>
      </c>
      <c r="D135" s="22" t="s">
        <v>194</v>
      </c>
      <c r="E135" s="13">
        <v>42724.807511574072</v>
      </c>
      <c r="F135" s="13">
        <v>42724.8127662037</v>
      </c>
      <c r="G135" s="7">
        <v>2</v>
      </c>
      <c r="H135" s="22" t="s">
        <v>405</v>
      </c>
      <c r="I135" s="13">
        <v>42724.837222222224</v>
      </c>
      <c r="J135" s="7">
        <v>0</v>
      </c>
      <c r="K135" s="109" t="str">
        <f t="shared" si="23"/>
        <v>4017/4018</v>
      </c>
      <c r="L135" s="22" t="str">
        <f>VLOOKUP(A135,'Trips&amp;Operators'!$C$1:$G$99999,5,FALSE)</f>
        <v>HOLCOMB KAMDEN</v>
      </c>
      <c r="M135" s="6">
        <f t="shared" si="24"/>
        <v>2.4456018523778766E-2</v>
      </c>
      <c r="N135" s="7">
        <f t="shared" si="40"/>
        <v>35.216666674241424</v>
      </c>
      <c r="O135" s="7"/>
      <c r="P135" s="7"/>
      <c r="Q135" s="23"/>
      <c r="R135" s="23"/>
      <c r="S135" s="35">
        <f t="shared" si="41"/>
        <v>1</v>
      </c>
      <c r="T135" s="50" t="str">
        <f t="shared" si="27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18:22:49-700',mode:absolute,to:'2016-12-20 21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5" s="52" t="str">
        <f t="shared" si="29"/>
        <v>N</v>
      </c>
      <c r="X135" s="177">
        <f t="shared" si="44"/>
        <v>1</v>
      </c>
      <c r="Y135" s="67">
        <f t="shared" si="31"/>
        <v>4.5100000000000001E-2</v>
      </c>
      <c r="Z135" s="67">
        <f t="shared" si="45"/>
        <v>23.331800000000001</v>
      </c>
      <c r="AA135" s="67">
        <f t="shared" si="33"/>
        <v>23.2867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4"/>
        <v>0223-20</v>
      </c>
      <c r="AE135" s="91" t="str">
        <f t="shared" si="35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35" s="88" t="str">
        <f t="shared" si="36"/>
        <v>"C:\Program Files (x86)\AstroGrep\AstroGrep.exe" /spath="%USERPROFILE%\AppData\Local\Temp\OnboardLogs" /stypes="app*4018*20161221*" /stext=" 03:.+((SYSTEM_STATE.+slice.+state.+changed )|(ment ac)|(multiple cpu faults)|(system.+state.+changed )|(\[timeout)|(PRM\|1\|D)|(kpr)|(kdp)|(\|lc)|(penalty))" /e /r /s</v>
      </c>
      <c r="AG135" s="1" t="str">
        <f t="shared" si="37"/>
        <v>EC</v>
      </c>
      <c r="AH135" s="92" t="str">
        <f t="shared" si="38"/>
        <v>"%USERPROFILE%\Documents\GitHub\eaglep3\Utilities\RefineRTDCRunTimes.py" --tripid 223-20 --locoid 4018 --swversion DE.1.0.8.0 --startMP 204:451 --initTime 2016-12-20T19:22:49 --startdatetime 2016-12-20T19:30:23 --delay 2 --endMP 204:233318 --enddatetime 2016-12-20T20:05:36 --enforcementcount 0 &gt;&gt;C:\Users\stu\Documents\GitHub\eaglep3-reporting\EC\2016-12-20-refined-times.txt</v>
      </c>
      <c r="AI135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{"issue":{"subject":"","project_id":79,"tracker_id":40,"status_id":1,"priority_id":2,"assigned_to_id":23,"start_date":"2016-12-20","description":"","custom_fields":[{"id":1,"name":"Subdivision","value":"EC"},{"id":4,"name":"Milepost","value":"23.3318"},{"id":17,"name":"Train ID","value":"223-20"},{"id":16,"name":"Locomotive ID","value":"4018"},{"id":130,"name":"Impact","value":""},{"id":150,"name":"Time of Event (Mountain Time)","value":"20:05:36"},{"id":151,"name":"Denver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672</v>
      </c>
      <c r="B136" s="7">
        <v>4017</v>
      </c>
      <c r="C136" s="22" t="s">
        <v>205</v>
      </c>
      <c r="D136" s="22" t="s">
        <v>422</v>
      </c>
      <c r="E136" s="13">
        <v>42724.842372685183</v>
      </c>
      <c r="F136" s="13">
        <v>42724.851736111108</v>
      </c>
      <c r="G136" s="7">
        <v>1</v>
      </c>
      <c r="H136" s="22" t="s">
        <v>293</v>
      </c>
      <c r="I136" s="13">
        <v>42724.881689814814</v>
      </c>
      <c r="J136" s="7">
        <v>0</v>
      </c>
      <c r="K136" s="109" t="str">
        <f t="shared" si="23"/>
        <v>4017/4018</v>
      </c>
      <c r="L136" s="22" t="str">
        <f>VLOOKUP(A136,'Trips&amp;Operators'!$C$1:$G$99999,5,FALSE)</f>
        <v>HOLCOMB KAMDEN</v>
      </c>
      <c r="M136" s="6">
        <f t="shared" si="24"/>
        <v>2.9953703706269152E-2</v>
      </c>
      <c r="N136" s="7">
        <f t="shared" si="40"/>
        <v>43.13333333702758</v>
      </c>
      <c r="O136" s="7"/>
      <c r="P136" s="7"/>
      <c r="Q136" s="23"/>
      <c r="R136" s="23"/>
      <c r="S136" s="35">
        <f t="shared" si="41"/>
        <v>1</v>
      </c>
      <c r="T136" s="50" t="str">
        <f t="shared" si="27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19:13:01-700',mode:absolute,to:'2016-12-20 22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6" s="52" t="str">
        <f t="shared" si="29"/>
        <v>N</v>
      </c>
      <c r="X136" s="177">
        <f t="shared" si="44"/>
        <v>1</v>
      </c>
      <c r="Y136" s="67">
        <f t="shared" si="31"/>
        <v>23.297999999999998</v>
      </c>
      <c r="Z136" s="67">
        <f t="shared" si="45"/>
        <v>1.34E-2</v>
      </c>
      <c r="AA136" s="67">
        <f t="shared" si="33"/>
        <v>23.284599999999998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4"/>
        <v>0224-20</v>
      </c>
      <c r="AE136" s="91" t="str">
        <f t="shared" si="35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36" s="88" t="str">
        <f t="shared" si="36"/>
        <v>"C:\Program Files (x86)\AstroGrep\AstroGrep.exe" /spath="%USERPROFILE%\AppData\Local\Temp\OnboardLogs" /stypes="app*4017*20161221*" /stext=" 04:.+((SYSTEM_STATE.+slice.+state.+changed )|(ment ac)|(multiple cpu faults)|(system.+state.+changed )|(\[timeout)|(PRM\|1\|D)|(kpr)|(kdp)|(\|lc)|(penalty))" /e /r /s</v>
      </c>
      <c r="AG136" s="1" t="str">
        <f t="shared" si="37"/>
        <v>EC</v>
      </c>
      <c r="AH136" s="92" t="str">
        <f t="shared" si="38"/>
        <v>"%USERPROFILE%\Documents\GitHub\eaglep3\Utilities\RefineRTDCRunTimes.py" --tripid 224-20 --locoid 4017 --swversion DE.1.0.8.0 --startMP 204:232980 --initTime 2016-12-20T20:13:01 --startdatetime 2016-12-20T20:26:30 --delay 1 --endMP 204:134 --enddatetime 2016-12-20T21:09:38 --enforcementcount 0 &gt;&gt;C:\Users\stu\Documents\GitHub\eaglep3-reporting\EC\2016-12-20-refined-times.txt</v>
      </c>
      <c r="AI136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{"issue":{"subject":"","project_id":79,"tracker_id":40,"status_id":1,"priority_id":2,"assigned_to_id":23,"start_date":"2016-12-20","description":"","custom_fields":[{"id":1,"name":"Subdivision","value":"EC"},{"id":4,"name":"Milepost","value":"0.0134"},{"id":17,"name":"Train ID","value":"224-20"},{"id":16,"name":"Locomotive ID","value":"4017"},{"id":130,"name":"Impact","value":""},{"id":150,"name":"Time of Event (Mountain Time)","value":"21:09:38"},{"id":151,"name":"Denver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490</v>
      </c>
      <c r="B137" s="7">
        <v>4046</v>
      </c>
      <c r="C137" s="22" t="s">
        <v>205</v>
      </c>
      <c r="D137" s="22" t="s">
        <v>304</v>
      </c>
      <c r="E137" s="13">
        <v>42724.832442129627</v>
      </c>
      <c r="F137" s="13">
        <v>42724.836701388886</v>
      </c>
      <c r="G137" s="7">
        <v>2</v>
      </c>
      <c r="H137" s="22" t="s">
        <v>425</v>
      </c>
      <c r="I137" s="13">
        <v>42724.861990740741</v>
      </c>
      <c r="J137" s="7">
        <v>0</v>
      </c>
      <c r="K137" s="109" t="str">
        <f t="shared" si="23"/>
        <v>4045/4046</v>
      </c>
      <c r="L137" s="22" t="str">
        <f>VLOOKUP(A137,'Trips&amp;Operators'!$C$1:$G$99999,5,FALSE)</f>
        <v>YANG JAN</v>
      </c>
      <c r="M137" s="6">
        <f t="shared" si="24"/>
        <v>2.5289351855462883E-2</v>
      </c>
      <c r="N137" s="7">
        <f t="shared" si="40"/>
        <v>36.416666671866551</v>
      </c>
      <c r="O137" s="7"/>
      <c r="P137" s="7"/>
      <c r="Q137" s="23"/>
      <c r="R137" s="23"/>
      <c r="S137" s="35">
        <f t="shared" si="41"/>
        <v>1</v>
      </c>
      <c r="T137" s="50" t="str">
        <f t="shared" si="27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18:58:43-700',mode:absolute,to:'2016-12-20 21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7" s="52" t="str">
        <f t="shared" si="29"/>
        <v>N</v>
      </c>
      <c r="X137" s="177">
        <f t="shared" si="44"/>
        <v>1</v>
      </c>
      <c r="Y137" s="67">
        <f t="shared" si="31"/>
        <v>4.4900000000000002E-2</v>
      </c>
      <c r="Z137" s="67">
        <f t="shared" si="45"/>
        <v>23.334900000000001</v>
      </c>
      <c r="AA137" s="67">
        <f t="shared" si="33"/>
        <v>23.290000000000003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4"/>
        <v>0225-20</v>
      </c>
      <c r="AE137" s="91" t="str">
        <f t="shared" si="35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37" s="88" t="str">
        <f t="shared" si="36"/>
        <v>"C:\Program Files (x86)\AstroGrep\AstroGrep.exe" /spath="%USERPROFILE%\AppData\Local\Temp\OnboardLogs" /stypes="app*4046*20161221*" /stext=" 03:.+((SYSTEM_STATE.+slice.+state.+changed )|(ment ac)|(multiple cpu faults)|(system.+state.+changed )|(\[timeout)|(PRM\|1\|D)|(kpr)|(kdp)|(\|lc)|(penalty))" /e /r /s</v>
      </c>
      <c r="AG137" s="1" t="str">
        <f t="shared" si="37"/>
        <v>EC</v>
      </c>
      <c r="AH137" s="92" t="str">
        <f t="shared" si="38"/>
        <v>"%USERPROFILE%\Documents\GitHub\eaglep3\Utilities\RefineRTDCRunTimes.py" --tripid 225-20 --locoid 4046 --swversion DE.1.0.8.0 --startMP 204:449 --initTime 2016-12-20T19:58:43 --startdatetime 2016-12-20T20:04:51 --delay 2 --endMP 204:233349 --enddatetime 2016-12-20T20:41:16 --enforcementcount 0 &gt;&gt;C:\Users\stu\Documents\GitHub\eaglep3-reporting\EC\2016-12-20-refined-times.txt</v>
      </c>
      <c r="AI137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{"issue":{"subject":"","project_id":79,"tracker_id":40,"status_id":1,"priority_id":2,"assigned_to_id":23,"start_date":"2016-12-20","description":"","custom_fields":[{"id":1,"name":"Subdivision","value":"EC"},{"id":4,"name":"Milepost","value":"23.3349"},{"id":17,"name":"Train ID","value":"225-20"},{"id":16,"name":"Locomotive ID","value":"4046"},{"id":130,"name":"Impact","value":""},{"id":150,"name":"Time of Event (Mountain Time)","value":"20:41:16"},{"id":151,"name":"Denver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675</v>
      </c>
      <c r="B138" s="7">
        <v>4045</v>
      </c>
      <c r="C138" s="22" t="s">
        <v>205</v>
      </c>
      <c r="D138" s="22" t="s">
        <v>748</v>
      </c>
      <c r="E138" s="13">
        <v>42724.867974537039</v>
      </c>
      <c r="F138" s="13">
        <v>42724.872534722221</v>
      </c>
      <c r="G138" s="7">
        <v>1</v>
      </c>
      <c r="H138" s="22" t="s">
        <v>749</v>
      </c>
      <c r="I138" s="13">
        <v>42724.900127314817</v>
      </c>
      <c r="J138" s="7">
        <v>0</v>
      </c>
      <c r="K138" s="109" t="str">
        <f t="shared" si="23"/>
        <v>4045/4046</v>
      </c>
      <c r="L138" s="22" t="str">
        <f>VLOOKUP(A138,'Trips&amp;Operators'!$C$1:$G$99999,5,FALSE)</f>
        <v>YANG JAN</v>
      </c>
      <c r="M138" s="6">
        <f t="shared" si="24"/>
        <v>2.7592592596192844E-2</v>
      </c>
      <c r="N138" s="7">
        <f t="shared" si="40"/>
        <v>39.733333338517696</v>
      </c>
      <c r="O138" s="7"/>
      <c r="P138" s="7"/>
      <c r="Q138" s="23"/>
      <c r="R138" s="23"/>
      <c r="S138" s="35">
        <f t="shared" si="41"/>
        <v>1</v>
      </c>
      <c r="T138" s="50" t="str">
        <f t="shared" si="27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19:49:53-700',mode:absolute,to:'2016-12-20 22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8" s="52" t="str">
        <f t="shared" si="29"/>
        <v>N</v>
      </c>
      <c r="X138" s="177">
        <f t="shared" si="44"/>
        <v>1</v>
      </c>
      <c r="Y138" s="67">
        <f t="shared" si="31"/>
        <v>23.303599999999999</v>
      </c>
      <c r="Z138" s="67">
        <f t="shared" si="45"/>
        <v>1.18E-2</v>
      </c>
      <c r="AA138" s="67">
        <f t="shared" si="33"/>
        <v>23.291799999999999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4"/>
        <v>0226-20</v>
      </c>
      <c r="AE138" s="91" t="str">
        <f t="shared" si="35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38" s="88" t="str">
        <f t="shared" si="36"/>
        <v>"C:\Program Files (x86)\AstroGrep\AstroGrep.exe" /spath="%USERPROFILE%\AppData\Local\Temp\OnboardLogs" /stypes="app*4045*20161221*" /stext=" 04:.+((SYSTEM_STATE.+slice.+state.+changed )|(ment ac)|(multiple cpu faults)|(system.+state.+changed )|(\[timeout)|(PRM\|1\|D)|(kpr)|(kdp)|(\|lc)|(penalty))" /e /r /s</v>
      </c>
      <c r="AG138" s="1" t="str">
        <f t="shared" si="37"/>
        <v>EC</v>
      </c>
      <c r="AH138" s="92" t="str">
        <f t="shared" si="38"/>
        <v>"%USERPROFILE%\Documents\GitHub\eaglep3\Utilities\RefineRTDCRunTimes.py" --tripid 226-20 --locoid 4045 --swversion DE.1.0.8.0 --startMP 204:233036 --initTime 2016-12-20T20:49:53 --startdatetime 2016-12-20T20:56:27 --delay 1 --endMP 204:118 --enddatetime 2016-12-20T21:36:11 --enforcementcount 0 &gt;&gt;C:\Users\stu\Documents\GitHub\eaglep3-reporting\EC\2016-12-20-refined-times.txt</v>
      </c>
      <c r="AI138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{"issue":{"subject":"","project_id":79,"tracker_id":40,"status_id":1,"priority_id":2,"assigned_to_id":23,"start_date":"2016-12-20","description":"","custom_fields":[{"id":1,"name":"Subdivision","value":"EC"},{"id":4,"name":"Milepost","value":"0.0118"},{"id":17,"name":"Train ID","value":"226-20"},{"id":16,"name":"Locomotive ID","value":"4045"},{"id":130,"name":"Impact","value":""},{"id":150,"name":"Time of Event (Mountain Time)","value":"21:36:11"},{"id":151,"name":"Denver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671</v>
      </c>
      <c r="B139" s="7">
        <v>4031</v>
      </c>
      <c r="C139" s="22" t="s">
        <v>205</v>
      </c>
      <c r="D139" s="22" t="s">
        <v>750</v>
      </c>
      <c r="E139" s="13">
        <v>42724.840115740742</v>
      </c>
      <c r="F139" s="13">
        <v>42724.854398148149</v>
      </c>
      <c r="G139" s="7">
        <v>1</v>
      </c>
      <c r="H139" s="22" t="s">
        <v>751</v>
      </c>
      <c r="I139" s="13">
        <v>42724.878599537034</v>
      </c>
      <c r="J139" s="7">
        <v>0</v>
      </c>
      <c r="K139" s="109" t="str">
        <f t="shared" si="23"/>
        <v>4031/4032</v>
      </c>
      <c r="L139" s="22" t="str">
        <f>VLOOKUP(A139,'Trips&amp;Operators'!$C$1:$G$99999,5,FALSE)</f>
        <v>STAMBAUGH JAMES</v>
      </c>
      <c r="M139" s="6">
        <f t="shared" si="24"/>
        <v>2.4201388885558117E-2</v>
      </c>
      <c r="N139" s="7">
        <f t="shared" si="40"/>
        <v>34.849999995203689</v>
      </c>
      <c r="O139" s="7"/>
      <c r="P139" s="7"/>
      <c r="Q139" s="23"/>
      <c r="R139" s="23"/>
      <c r="S139" s="35">
        <f t="shared" si="41"/>
        <v>1</v>
      </c>
      <c r="T139" s="50" t="str">
        <f t="shared" si="27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19:09:46-700',mode:absolute,to:'2016-12-20 22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29"/>
        <v>N</v>
      </c>
      <c r="X139" s="177">
        <f t="shared" si="44"/>
        <v>1</v>
      </c>
      <c r="Y139" s="67">
        <f t="shared" si="31"/>
        <v>4.1799999999999997E-2</v>
      </c>
      <c r="Z139" s="67">
        <f t="shared" si="45"/>
        <v>23.3324</v>
      </c>
      <c r="AA139" s="67">
        <f t="shared" si="33"/>
        <v>23.290600000000001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4"/>
        <v>0227-20</v>
      </c>
      <c r="AE139" s="91" t="str">
        <f t="shared" si="35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39" s="88" t="str">
        <f t="shared" si="36"/>
        <v>"C:\Program Files (x86)\AstroGrep\AstroGrep.exe" /spath="%USERPROFILE%\AppData\Local\Temp\OnboardLogs" /stypes="app*4031*20161221*" /stext=" 04:.+((SYSTEM_STATE.+slice.+state.+changed )|(ment ac)|(multiple cpu faults)|(system.+state.+changed )|(\[timeout)|(PRM\|1\|D)|(kpr)|(kdp)|(\|lc)|(penalty))" /e /r /s</v>
      </c>
      <c r="AG139" s="1" t="str">
        <f t="shared" si="37"/>
        <v>EC</v>
      </c>
      <c r="AH139" s="92" t="str">
        <f t="shared" si="38"/>
        <v>"%USERPROFILE%\Documents\GitHub\eaglep3\Utilities\RefineRTDCRunTimes.py" --tripid 227-20 --locoid 4031 --swversion DE.1.0.8.0 --startMP 204:418 --initTime 2016-12-20T20:09:46 --startdatetime 2016-12-20T20:30:20 --delay 1 --endMP 204:233324 --enddatetime 2016-12-20T21:05:11 --enforcementcount 0 &gt;&gt;C:\Users\stu\Documents\GitHub\eaglep3-reporting\EC\2016-12-20-refined-times.txt</v>
      </c>
      <c r="AI139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{"issue":{"subject":"","project_id":79,"tracker_id":40,"status_id":1,"priority_id":2,"assigned_to_id":23,"start_date":"2016-12-20","description":"","custom_fields":[{"id":1,"name":"Subdivision","value":"EC"},{"id":4,"name":"Milepost","value":"23.3324"},{"id":17,"name":"Train ID","value":"227-20"},{"id":16,"name":"Locomotive ID","value":"4031"},{"id":130,"name":"Impact","value":""},{"id":150,"name":"Time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678</v>
      </c>
      <c r="B140" s="7">
        <v>4032</v>
      </c>
      <c r="C140" s="22" t="s">
        <v>205</v>
      </c>
      <c r="D140" s="22" t="s">
        <v>428</v>
      </c>
      <c r="E140" s="13">
        <v>42724.88962962963</v>
      </c>
      <c r="F140" s="13">
        <v>42724.893425925926</v>
      </c>
      <c r="G140" s="7">
        <v>1</v>
      </c>
      <c r="H140" s="22" t="s">
        <v>235</v>
      </c>
      <c r="I140" s="13">
        <v>42724.920208333337</v>
      </c>
      <c r="J140" s="7">
        <v>0</v>
      </c>
      <c r="K140" s="109" t="str">
        <f t="shared" si="23"/>
        <v>4031/4032</v>
      </c>
      <c r="L140" s="22" t="str">
        <f>VLOOKUP(A140,'Trips&amp;Operators'!$C$1:$G$99999,5,FALSE)</f>
        <v>STAMBAUGH JAMES</v>
      </c>
      <c r="M140" s="6">
        <f t="shared" si="24"/>
        <v>2.6782407410792075E-2</v>
      </c>
      <c r="N140" s="7">
        <f t="shared" si="40"/>
        <v>38.566666671540588</v>
      </c>
      <c r="O140" s="7"/>
      <c r="P140" s="7"/>
      <c r="Q140" s="23"/>
      <c r="R140" s="23"/>
      <c r="S140" s="35">
        <f t="shared" si="41"/>
        <v>1</v>
      </c>
      <c r="T140" s="50" t="str">
        <f t="shared" si="2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https://search-rtdc-monitor-bjffxe2xuh6vdkpspy63sjmuny.us-east-1.es.amazonaws.com/_plugin/kibana/#/discover/Steve-Slow-Train-Analysis-(2080s-and-2083s)?_g=(refreshInterval:(display:Off,section:0,value:0),time:(from:'2016-12-20 20:21:04-700',mode:absolute,to:'2016-12-20 23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29"/>
        <v>N</v>
      </c>
      <c r="X140" s="177">
        <f t="shared" si="44"/>
        <v>1</v>
      </c>
      <c r="Y140" s="67">
        <f t="shared" si="31"/>
        <v>23.3003</v>
      </c>
      <c r="Z140" s="67">
        <f t="shared" si="45"/>
        <v>1.4500000000000001E-2</v>
      </c>
      <c r="AA140" s="67">
        <f t="shared" si="33"/>
        <v>23.285799999999998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4"/>
        <v>0228-20</v>
      </c>
      <c r="AE140" s="91" t="str">
        <f t="shared" si="35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40" s="88" t="str">
        <f t="shared" si="36"/>
        <v>"C:\Program Files (x86)\AstroGrep\AstroGrep.exe" /spath="%USERPROFILE%\AppData\Local\Temp\OnboardLogs" /stypes="app*4032*20161221*" /stext=" 05:.+((SYSTEM_STATE.+slice.+state.+changed )|(ment ac)|(multiple cpu faults)|(system.+state.+changed )|(\[timeout)|(PRM\|1\|D)|(kpr)|(kdp)|(\|lc)|(penalty))" /e /r /s</v>
      </c>
      <c r="AG140" s="1" t="str">
        <f t="shared" si="37"/>
        <v>EC</v>
      </c>
      <c r="AH140" s="92" t="str">
        <f t="shared" si="38"/>
        <v>"%USERPROFILE%\Documents\GitHub\eaglep3\Utilities\RefineRTDCRunTimes.py" --tripid 228-20 --locoid 4032 --swversion DE.1.0.8.0 --startMP 204:233003 --initTime 2016-12-20T21:21:04 --startdatetime 2016-12-20T21:26:32 --delay 1 --endMP 204:145 --enddatetime 2016-12-20T22:05:06 --enforcementcount 0 &gt;&gt;C:\Users\stu\Documents\GitHub\eaglep3-reporting\EC\2016-12-20-refined-times.txt</v>
      </c>
      <c r="AI140" s="119" t="str">
        <f t="shared" si="39"/>
        <v>echo {"issue":{"subject":"","project_id":79,"tracker_id":40,"status_id":1,"priority_id":2,"assigned_to_id":23,"start_date":"2016-12-20","description":"","custom_fields":[{"id":1,"name":"Subdivision","value":"EC"},{"id":4,"name":"Milepost","value":"0.0145"},{"id":17,"name":"Train ID","value":"228-20"},{"id":16,"name":"Locomotive ID","value":"4032"},{"id":130,"name":"Impact","value":""},{"id":150,"name":"Time of Event (Mountain Time)","value":"22:05:06"},{"id":151,"name":"Denver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676</v>
      </c>
      <c r="B141" s="7">
        <v>4020</v>
      </c>
      <c r="C141" s="22" t="s">
        <v>205</v>
      </c>
      <c r="D141" s="22" t="s">
        <v>230</v>
      </c>
      <c r="E141" s="13">
        <v>42724.873912037037</v>
      </c>
      <c r="F141" s="13">
        <v>42724.875439814816</v>
      </c>
      <c r="G141" s="7">
        <v>1</v>
      </c>
      <c r="H141" s="22" t="s">
        <v>404</v>
      </c>
      <c r="I141" s="13">
        <v>42724.900231481479</v>
      </c>
      <c r="J141" s="7">
        <v>0</v>
      </c>
      <c r="K141" s="109" t="str">
        <f t="shared" ref="K141:K204" si="46">IF(ISEVEN(B141),(B141-1)&amp;"/"&amp;B141,B141&amp;"/"&amp;(B141+1))</f>
        <v>4019/4020</v>
      </c>
      <c r="L141" s="22" t="str">
        <f>VLOOKUP(A141,'Trips&amp;Operators'!$C$1:$G$99999,5,FALSE)</f>
        <v>CHANDLER KELVIN</v>
      </c>
      <c r="M141" s="6">
        <f t="shared" ref="M141:M204" si="47">I141-F141</f>
        <v>2.4791666663077194E-2</v>
      </c>
      <c r="N141" s="7">
        <f t="shared" ref="N141:N172" si="48">24*60*SUM($M141:$M141)</f>
        <v>35.69999999483116</v>
      </c>
      <c r="O141" s="7"/>
      <c r="P141" s="7"/>
      <c r="Q141" s="23"/>
      <c r="R141" s="23"/>
      <c r="S141" s="35">
        <f t="shared" ref="S141:S172" si="49">SUM(U141:U141)/IF(AG141="EC",12,1)</f>
        <v>1</v>
      </c>
      <c r="T141" s="50" t="str">
        <f t="shared" ref="T141:T204" si="5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https://search-rtdc-monitor-bjffxe2xuh6vdkpspy63sjmuny.us-east-1.es.amazonaws.com/_plugin/kibana/#/discover/Steve-Slow-Train-Analysis-(2080s-and-2083s)?_g=(refreshInterval:(display:Off,section:0,value:0),time:(from:'2016-12-20 19:58:26-700',mode:absolute,to:'2016-12-20 22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1" s="52" t="str">
        <f t="shared" ref="W141:W204" si="52">IF(AA141&lt;IF(AG141="EC",23,5.65),"Y","N")</f>
        <v>N</v>
      </c>
      <c r="X141" s="177">
        <f t="shared" si="44"/>
        <v>1</v>
      </c>
      <c r="Y141" s="67">
        <f t="shared" ref="Y141:Y204" si="53">RIGHT(D141,LEN(D141)-4)/10000</f>
        <v>4.5999999999999999E-2</v>
      </c>
      <c r="Z141" s="67">
        <f t="shared" si="45"/>
        <v>23.33</v>
      </c>
      <c r="AA141" s="67">
        <f t="shared" ref="AA141:AA204" si="54">ABS(Z141-Y141)</f>
        <v>23.283999999999999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55">IF(LEN(A141)=6,"0"&amp;A141,A141)</f>
        <v>0229-20</v>
      </c>
      <c r="AE141" s="91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41" s="88" t="str">
        <f t="shared" ref="AF141:AF204" si="5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/stypes="app*4020*20161221*" /stext=" 04:.+((SYSTEM_STATE.+slice.+state.+changed )|(ment ac)|(multiple cpu faults)|(system.+state.+changed )|(\[timeout)|(PRM\|1\|D)|(kpr)|(kdp)|(\|lc)|(penalty))" /e /r /s</v>
      </c>
      <c r="AG141" s="1" t="str">
        <f t="shared" ref="AG141:AG204" si="58">IFERROR(IF(VALUE(LEFT(AD141,2))&lt;=2,"EC",IF(OR(VALUE(LEFT(AD141,2))=8,VALUE(LEFT(AD141,2))=18),"NW","Other")),"Other")</f>
        <v>EC</v>
      </c>
      <c r="AH141" s="92" t="str">
        <f t="shared" ref="AH141:AH205" si="5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229-20 --locoid 4020 --swversion DE.1.0.8.0 --startMP 204:460 --initTime 2016-12-20T20:58:26 --startdatetime 2016-12-20T21:00:38 --delay 1 --endMP 204:233300 --enddatetime 2016-12-20T21:36:20 --enforcementcount 0 &gt;&gt;C:\Users\stu\Documents\GitHub\eaglep3-reporting\EC\2016-12-20-refined-times.txt</v>
      </c>
      <c r="AI141" s="119" t="str">
        <f t="shared" ref="AI141:AI205" si="6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{"issue":{"subject":"","project_id":79,"tracker_id":40,"status_id":1,"priority_id":2,"assigned_to_id":23,"start_date":"2016-12-20","description":"","custom_fields":[{"id":1,"name":"Subdivision","value":"EC"},{"id":4,"name":"Milepost","value":"23.33"},{"id":17,"name":"Train ID","value":"229-20"},{"id":16,"name":"Locomotive ID","value":"4020"},{"id":130,"name":"Impact","value":""},{"id":150,"name":"Time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681</v>
      </c>
      <c r="B142" s="7">
        <v>4019</v>
      </c>
      <c r="C142" s="22" t="s">
        <v>205</v>
      </c>
      <c r="D142" s="22" t="s">
        <v>424</v>
      </c>
      <c r="E142" s="13">
        <v>42724.912789351853</v>
      </c>
      <c r="F142" s="13">
        <v>42724.914629629631</v>
      </c>
      <c r="G142" s="7">
        <v>1</v>
      </c>
      <c r="H142" s="22" t="s">
        <v>267</v>
      </c>
      <c r="I142" s="13">
        <v>42724.943599537037</v>
      </c>
      <c r="J142" s="7">
        <v>0</v>
      </c>
      <c r="K142" s="109" t="str">
        <f t="shared" si="46"/>
        <v>4019/4020</v>
      </c>
      <c r="L142" s="22" t="str">
        <f>VLOOKUP(A142,'Trips&amp;Operators'!$C$1:$G$99999,5,FALSE)</f>
        <v>CHANDLER KELVIN</v>
      </c>
      <c r="M142" s="6">
        <f t="shared" si="47"/>
        <v>2.8969907405553386E-2</v>
      </c>
      <c r="N142" s="7">
        <f t="shared" si="48"/>
        <v>41.716666663996875</v>
      </c>
      <c r="O142" s="7"/>
      <c r="P142" s="7"/>
      <c r="Q142" s="23"/>
      <c r="R142" s="23"/>
      <c r="S142" s="35">
        <f t="shared" si="49"/>
        <v>1</v>
      </c>
      <c r="T142" s="50" t="str">
        <f t="shared" si="5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20:54:25-700',mode:absolute,to:'2016-12-20 23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2" s="52" t="str">
        <f t="shared" si="52"/>
        <v>N</v>
      </c>
      <c r="X142" s="177">
        <f t="shared" si="44"/>
        <v>1</v>
      </c>
      <c r="Y142" s="67">
        <f t="shared" si="53"/>
        <v>23.298300000000001</v>
      </c>
      <c r="Z142" s="67">
        <f t="shared" si="45"/>
        <v>1.6E-2</v>
      </c>
      <c r="AA142" s="67">
        <f t="shared" si="54"/>
        <v>23.282300000000003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5"/>
        <v>0230-20</v>
      </c>
      <c r="AE142" s="91" t="str">
        <f t="shared" si="56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42" s="88" t="str">
        <f t="shared" si="57"/>
        <v>"C:\Program Files (x86)\AstroGrep\AstroGrep.exe" /spath="%USERPROFILE%\AppData\Local\Temp\OnboardLogs" /stypes="app*4019*20161221*" /stext=" 05:.+((SYSTEM_STATE.+slice.+state.+changed )|(ment ac)|(multiple cpu faults)|(system.+state.+changed )|(\[timeout)|(PRM\|1\|D)|(kpr)|(kdp)|(\|lc)|(penalty))" /e /r /s</v>
      </c>
      <c r="AG142" s="1" t="str">
        <f t="shared" si="58"/>
        <v>EC</v>
      </c>
      <c r="AH142" s="92" t="str">
        <f t="shared" si="59"/>
        <v>"%USERPROFILE%\Documents\GitHub\eaglep3\Utilities\RefineRTDCRunTimes.py" --tripid 230-20 --locoid 4019 --swversion DE.1.0.8.0 --startMP 204:232983 --initTime 2016-12-20T21:54:25 --startdatetime 2016-12-20T21:57:04 --delay 1 --endMP 204:160 --enddatetime 2016-12-20T22:38:47 --enforcementcount 0 &gt;&gt;C:\Users\stu\Documents\GitHub\eaglep3-reporting\EC\2016-12-20-refined-times.txt</v>
      </c>
      <c r="AI142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{"issue":{"subject":"","project_id":79,"tracker_id":40,"status_id":1,"priority_id":2,"assigned_to_id":23,"start_date":"2016-12-20","description":"","custom_fields":[{"id":1,"name":"Subdivision","value":"EC"},{"id":4,"name":"Milepost","value":"0.016"},{"id":17,"name":"Train ID","value":"230-20"},{"id":16,"name":"Locomotive ID","value":"4019"},{"id":130,"name":"Impact","value":""},{"id":150,"name":"Time of Event (Mountain Time)","value":"22:38:47"},{"id":151,"name":"Denver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677</v>
      </c>
      <c r="B143" s="7">
        <v>4018</v>
      </c>
      <c r="C143" s="22" t="s">
        <v>205</v>
      </c>
      <c r="D143" s="22" t="s">
        <v>279</v>
      </c>
      <c r="E143" s="13">
        <v>42724.887916666667</v>
      </c>
      <c r="F143" s="13">
        <v>42724.896018518521</v>
      </c>
      <c r="G143" s="7">
        <v>1</v>
      </c>
      <c r="H143" s="22" t="s">
        <v>747</v>
      </c>
      <c r="I143" s="13">
        <v>42724.920069444444</v>
      </c>
      <c r="J143" s="7">
        <v>0</v>
      </c>
      <c r="K143" s="109" t="str">
        <f t="shared" si="46"/>
        <v>4017/4018</v>
      </c>
      <c r="L143" s="22" t="str">
        <f>VLOOKUP(A143,'Trips&amp;Operators'!$C$1:$G$99999,5,FALSE)</f>
        <v>NEWELL JAMES</v>
      </c>
      <c r="M143" s="6">
        <f t="shared" si="47"/>
        <v>2.4050925923802424E-2</v>
      </c>
      <c r="N143" s="7">
        <f t="shared" si="48"/>
        <v>34.633333330275491</v>
      </c>
      <c r="O143" s="7"/>
      <c r="P143" s="7"/>
      <c r="Q143" s="23"/>
      <c r="R143" s="23"/>
      <c r="S143" s="35">
        <f t="shared" si="49"/>
        <v>1</v>
      </c>
      <c r="T143" s="50" t="str">
        <f t="shared" si="5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20:18:36-700',mode:absolute,to:'2016-12-20 23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3" s="52" t="str">
        <f t="shared" si="52"/>
        <v>N</v>
      </c>
      <c r="X143" s="177">
        <f t="shared" si="44"/>
        <v>1</v>
      </c>
      <c r="Y143" s="67">
        <f t="shared" si="53"/>
        <v>4.7699999999999999E-2</v>
      </c>
      <c r="Z143" s="67">
        <f t="shared" si="45"/>
        <v>23.331600000000002</v>
      </c>
      <c r="AA143" s="67">
        <f t="shared" si="54"/>
        <v>23.283900000000003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5"/>
        <v>0231-20</v>
      </c>
      <c r="AE143" s="91" t="str">
        <f t="shared" si="56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43" s="88" t="str">
        <f t="shared" si="57"/>
        <v>"C:\Program Files (x86)\AstroGrep\AstroGrep.exe" /spath="%USERPROFILE%\AppData\Local\Temp\OnboardLogs" /stypes="app*4018*20161221*" /stext=" 05:.+((SYSTEM_STATE.+slice.+state.+changed )|(ment ac)|(multiple cpu faults)|(system.+state.+changed )|(\[timeout)|(PRM\|1\|D)|(kpr)|(kdp)|(\|lc)|(penalty))" /e /r /s</v>
      </c>
      <c r="AG143" s="1" t="str">
        <f t="shared" si="58"/>
        <v>EC</v>
      </c>
      <c r="AH143" s="92" t="str">
        <f t="shared" si="59"/>
        <v>"%USERPROFILE%\Documents\GitHub\eaglep3\Utilities\RefineRTDCRunTimes.py" --tripid 231-20 --locoid 4018 --swversion DE.1.0.8.0 --startMP 204:477 --initTime 2016-12-20T21:18:36 --startdatetime 2016-12-20T21:30:16 --delay 1 --endMP 204:233316 --enddatetime 2016-12-20T22:04:54 --enforcementcount 0 &gt;&gt;C:\Users\stu\Documents\GitHub\eaglep3-reporting\EC\2016-12-20-refined-times.txt</v>
      </c>
      <c r="AI143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{"issue":{"subject":"","project_id":79,"tracker_id":40,"status_id":1,"priority_id":2,"assigned_to_id":23,"start_date":"2016-12-20","description":"","custom_fields":[{"id":1,"name":"Subdivision","value":"EC"},{"id":4,"name":"Milepost","value":"23.3316"},{"id":17,"name":"Train ID","value":"231-20"},{"id":16,"name":"Locomotive ID","value":"4018"},{"id":130,"name":"Impact","value":""},{"id":150,"name":"Time of Event (Mountain Time)","value":"22:04:54"},{"id":151,"name":"Denver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684</v>
      </c>
      <c r="B144" s="7">
        <v>4017</v>
      </c>
      <c r="C144" s="22" t="s">
        <v>205</v>
      </c>
      <c r="D144" s="22" t="s">
        <v>714</v>
      </c>
      <c r="E144" s="13">
        <v>42724.930092592593</v>
      </c>
      <c r="F144" s="13">
        <v>42724.934872685182</v>
      </c>
      <c r="G144" s="7">
        <v>1</v>
      </c>
      <c r="H144" s="22" t="s">
        <v>260</v>
      </c>
      <c r="I144" s="13">
        <v>42724.963703703703</v>
      </c>
      <c r="J144" s="7">
        <v>0</v>
      </c>
      <c r="K144" s="109" t="str">
        <f t="shared" si="46"/>
        <v>4017/4018</v>
      </c>
      <c r="L144" s="22" t="str">
        <f>VLOOKUP(A144,'Trips&amp;Operators'!$C$1:$G$99999,5,FALSE)</f>
        <v>NEWELL JAMES</v>
      </c>
      <c r="M144" s="6">
        <f t="shared" si="47"/>
        <v>2.8831018520577345E-2</v>
      </c>
      <c r="N144" s="7">
        <f t="shared" si="48"/>
        <v>41.516666669631377</v>
      </c>
      <c r="O144" s="7"/>
      <c r="P144" s="7"/>
      <c r="Q144" s="23"/>
      <c r="R144" s="23"/>
      <c r="S144" s="35">
        <f t="shared" si="49"/>
        <v>1</v>
      </c>
      <c r="T144" s="50" t="str">
        <f t="shared" si="5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21:19:20-700',mode:absolute,to:'2016-12-21 00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4" s="52" t="str">
        <f t="shared" si="52"/>
        <v>N</v>
      </c>
      <c r="X144" s="177">
        <f t="shared" si="44"/>
        <v>1</v>
      </c>
      <c r="Y144" s="67">
        <f t="shared" si="53"/>
        <v>23.2988</v>
      </c>
      <c r="Z144" s="67">
        <f t="shared" si="45"/>
        <v>1.47E-2</v>
      </c>
      <c r="AA144" s="67">
        <f t="shared" si="54"/>
        <v>23.284099999999999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5"/>
        <v>0232-20</v>
      </c>
      <c r="AE144" s="91" t="str">
        <f t="shared" si="56"/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AF144" s="88" t="str">
        <f t="shared" si="57"/>
        <v>"C:\Program Files (x86)\AstroGrep\AstroGrep.exe" /spath="%USERPROFILE%\AppData\Local\Temp\OnboardLogs" /stypes="app*4017*20161221*" /stext=" 06:.+((SYSTEM_STATE.+slice.+state.+changed )|(ment ac)|(multiple cpu faults)|(system.+state.+changed )|(\[timeout)|(PRM\|1\|D)|(kpr)|(kdp)|(\|lc)|(penalty))" /e /r /s</v>
      </c>
      <c r="AG144" s="1" t="str">
        <f t="shared" si="58"/>
        <v>EC</v>
      </c>
      <c r="AH144" s="92" t="str">
        <f t="shared" si="59"/>
        <v>"%USERPROFILE%\Documents\GitHub\eaglep3\Utilities\RefineRTDCRunTimes.py" --tripid 232-20 --locoid 4017 --swversion DE.1.0.8.0 --startMP 204:232988 --initTime 2016-12-20T22:19:20 --startdatetime 2016-12-20T22:26:13 --delay 1 --endMP 204:147 --enddatetime 2016-12-20T23:07:44 --enforcementcount 0 &gt;&gt;C:\Users\stu\Documents\GitHub\eaglep3-reporting\EC\2016-12-20-refined-times.txt</v>
      </c>
      <c r="AI144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{"issue":{"subject":"","project_id":79,"tracker_id":40,"status_id":1,"priority_id":2,"assigned_to_id":23,"start_date":"2016-12-20","description":"","custom_fields":[{"id":1,"name":"Subdivision","value":"EC"},{"id":4,"name":"Milepost","value":"0.0147"},{"id":17,"name":"Train ID","value":"232-20"},{"id":16,"name":"Locomotive ID","value":"4017"},{"id":130,"name":"Impact","value":""},{"id":150,"name":"Time of Event (Mountain Time)","value":"23:07:44"},{"id":151,"name":"Denver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680</v>
      </c>
      <c r="B145" s="7">
        <v>4046</v>
      </c>
      <c r="C145" s="22" t="s">
        <v>205</v>
      </c>
      <c r="D145" s="22" t="s">
        <v>744</v>
      </c>
      <c r="E145" s="13">
        <v>42724.905694444446</v>
      </c>
      <c r="F145" s="13">
        <v>42724.918009259258</v>
      </c>
      <c r="G145" s="7">
        <v>2</v>
      </c>
      <c r="H145" s="22" t="s">
        <v>303</v>
      </c>
      <c r="I145" s="13">
        <v>42724.944918981484</v>
      </c>
      <c r="J145" s="7">
        <v>0</v>
      </c>
      <c r="K145" s="109" t="str">
        <f t="shared" si="46"/>
        <v>4045/4046</v>
      </c>
      <c r="L145" s="22" t="str">
        <f>VLOOKUP(A145,'Trips&amp;Operators'!$C$1:$G$99999,5,FALSE)</f>
        <v>YANG JAN</v>
      </c>
      <c r="M145" s="6">
        <f t="shared" si="47"/>
        <v>2.6909722226264421E-2</v>
      </c>
      <c r="N145" s="7">
        <f t="shared" si="48"/>
        <v>38.750000005820766</v>
      </c>
      <c r="O145" s="7"/>
      <c r="P145" s="7"/>
      <c r="Q145" s="23"/>
      <c r="R145" s="23"/>
      <c r="S145" s="35">
        <f t="shared" si="49"/>
        <v>1</v>
      </c>
      <c r="T145" s="50" t="str">
        <f t="shared" si="5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20:44:12-700',mode:absolute,to:'2016-12-20 23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5" s="52" t="str">
        <f t="shared" si="52"/>
        <v>N</v>
      </c>
      <c r="X145" s="177">
        <f t="shared" si="44"/>
        <v>1</v>
      </c>
      <c r="Y145" s="67">
        <f t="shared" si="53"/>
        <v>4.2599999999999999E-2</v>
      </c>
      <c r="Z145" s="67">
        <f t="shared" si="45"/>
        <v>23.331</v>
      </c>
      <c r="AA145" s="67">
        <f t="shared" si="54"/>
        <v>23.288399999999999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55"/>
        <v>0233-20</v>
      </c>
      <c r="AE145" s="91" t="str">
        <f t="shared" si="56"/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AF145" s="88" t="str">
        <f t="shared" si="57"/>
        <v>"C:\Program Files (x86)\AstroGrep\AstroGrep.exe" /spath="%USERPROFILE%\AppData\Local\Temp\OnboardLogs" /stypes="app*4046*20161221*" /stext=" 05:.+((SYSTEM_STATE.+slice.+state.+changed )|(ment ac)|(multiple cpu faults)|(system.+state.+changed )|(\[timeout)|(PRM\|1\|D)|(kpr)|(kdp)|(\|lc)|(penalty))" /e /r /s</v>
      </c>
      <c r="AG145" s="1" t="str">
        <f t="shared" si="58"/>
        <v>EC</v>
      </c>
      <c r="AH145" s="92" t="str">
        <f t="shared" si="59"/>
        <v>"%USERPROFILE%\Documents\GitHub\eaglep3\Utilities\RefineRTDCRunTimes.py" --tripid 233-20 --locoid 4046 --swversion DE.1.0.8.0 --startMP 204:426 --initTime 2016-12-20T21:44:12 --startdatetime 2016-12-20T22:01:56 --delay 2 --endMP 204:233310 --enddatetime 2016-12-20T22:40:41 --enforcementcount 0 &gt;&gt;C:\Users\stu\Documents\GitHub\eaglep3-reporting\EC\2016-12-20-refined-times.txt</v>
      </c>
      <c r="AI145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{"issue":{"subject":"","project_id":79,"tracker_id":40,"status_id":1,"priority_id":2,"assigned_to_id":23,"start_date":"2016-12-20","description":"","custom_fields":[{"id":1,"name":"Subdivision","value":"EC"},{"id":4,"name":"Milepost","value":"23.331"},{"id":17,"name":"Train ID","value":"233-20"},{"id":16,"name":"Locomotive ID","value":"4046"},{"id":130,"name":"Impact","value":""},{"id":150,"name":"Time of Event (Mountain Time)","value":"22:40:41"},{"id":151,"name":"Denver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685</v>
      </c>
      <c r="B146" s="7">
        <v>4045</v>
      </c>
      <c r="C146" s="22" t="s">
        <v>205</v>
      </c>
      <c r="D146" s="22" t="s">
        <v>424</v>
      </c>
      <c r="E146" s="13">
        <v>42724.95</v>
      </c>
      <c r="F146" s="13">
        <v>42724.955787037034</v>
      </c>
      <c r="G146" s="7">
        <v>1</v>
      </c>
      <c r="H146" s="22" t="s">
        <v>362</v>
      </c>
      <c r="I146" s="13">
        <v>42724.98605324074</v>
      </c>
      <c r="J146" s="7">
        <v>0</v>
      </c>
      <c r="K146" s="109" t="str">
        <f t="shared" si="46"/>
        <v>4045/4046</v>
      </c>
      <c r="L146" s="22" t="str">
        <f>VLOOKUP(A146,'Trips&amp;Operators'!$C$1:$G$99999,5,FALSE)</f>
        <v>YANG JAN</v>
      </c>
      <c r="M146" s="6">
        <f t="shared" si="47"/>
        <v>3.0266203706560191E-2</v>
      </c>
      <c r="N146" s="7">
        <f t="shared" si="48"/>
        <v>43.583333337446675</v>
      </c>
      <c r="O146" s="7"/>
      <c r="P146" s="7"/>
      <c r="Q146" s="23"/>
      <c r="R146" s="23"/>
      <c r="S146" s="35">
        <f t="shared" si="49"/>
        <v>1</v>
      </c>
      <c r="T146" s="50" t="str">
        <f t="shared" si="5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21:48:00-700',mode:absolute,to:'2016-12-21 00:39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6" s="52" t="str">
        <f t="shared" si="52"/>
        <v>N</v>
      </c>
      <c r="X146" s="177">
        <f t="shared" si="44"/>
        <v>1</v>
      </c>
      <c r="Y146" s="67">
        <f t="shared" si="53"/>
        <v>23.298300000000001</v>
      </c>
      <c r="Z146" s="67">
        <f t="shared" si="45"/>
        <v>1.2999999999999999E-2</v>
      </c>
      <c r="AA146" s="67">
        <f t="shared" si="54"/>
        <v>23.285299999999999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55"/>
        <v>0234-20</v>
      </c>
      <c r="AE146" s="91" t="str">
        <f t="shared" si="56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146" s="88" t="str">
        <f t="shared" si="57"/>
        <v>"C:\Program Files (x86)\AstroGrep\AstroGrep.exe" /spath="%USERPROFILE%\AppData\Local\Temp\OnboardLogs" /stypes="app*4045*20161221*" /stext=" 06:.+((SYSTEM_STATE.+slice.+state.+changed )|(ment ac)|(multiple cpu faults)|(system.+state.+changed )|(\[timeout)|(PRM\|1\|D)|(kpr)|(kdp)|(\|lc)|(penalty))" /e /r /s</v>
      </c>
      <c r="AG146" s="1" t="str">
        <f t="shared" si="58"/>
        <v>EC</v>
      </c>
      <c r="AH146" s="92" t="str">
        <f t="shared" si="59"/>
        <v>"%USERPROFILE%\Documents\GitHub\eaglep3\Utilities\RefineRTDCRunTimes.py" --tripid 234-20 --locoid 4045 --swversion DE.1.0.8.0 --startMP 204:232983 --initTime 2016-12-20T22:48:00 --startdatetime 2016-12-20T22:56:20 --delay 1 --endMP 204:130 --enddatetime 2016-12-20T23:39:55 --enforcementcount 0 &gt;&gt;C:\Users\stu\Documents\GitHub\eaglep3-reporting\EC\2016-12-20-refined-times.txt</v>
      </c>
      <c r="AI146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{"issue":{"subject":"","project_id":79,"tracker_id":40,"status_id":1,"priority_id":2,"assigned_to_id":23,"start_date":"2016-12-20","description":"","custom_fields":[{"id":1,"name":"Subdivision","value":"EC"},{"id":4,"name":"Milepost","value":"0.013"},{"id":17,"name":"Train ID","value":"234-20"},{"id":16,"name":"Locomotive ID","value":"4045"},{"id":130,"name":"Impact","value":""},{"id":150,"name":"Time of Event (Mountain Time)","value":"23:39:55"},{"id":151,"name":"Denver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683</v>
      </c>
      <c r="B147" s="7">
        <v>4031</v>
      </c>
      <c r="C147" s="22" t="s">
        <v>205</v>
      </c>
      <c r="D147" s="22" t="s">
        <v>255</v>
      </c>
      <c r="E147" s="13">
        <v>42724.922581018516</v>
      </c>
      <c r="F147" s="13">
        <v>42724.938472222224</v>
      </c>
      <c r="G147" s="7">
        <v>1</v>
      </c>
      <c r="H147" s="22" t="s">
        <v>752</v>
      </c>
      <c r="I147" s="13">
        <v>42724.961967592593</v>
      </c>
      <c r="J147" s="7">
        <v>0</v>
      </c>
      <c r="K147" s="109" t="str">
        <f t="shared" si="46"/>
        <v>4031/4032</v>
      </c>
      <c r="L147" s="22" t="str">
        <f>VLOOKUP(A147,'Trips&amp;Operators'!$C$1:$G$99999,5,FALSE)</f>
        <v>STAMBAUGH JAMES</v>
      </c>
      <c r="M147" s="6">
        <f t="shared" si="47"/>
        <v>2.3495370369346347E-2</v>
      </c>
      <c r="N147" s="7">
        <f t="shared" si="48"/>
        <v>33.833333331858739</v>
      </c>
      <c r="O147" s="7"/>
      <c r="P147" s="7"/>
      <c r="Q147" s="23"/>
      <c r="R147" s="23"/>
      <c r="S147" s="35">
        <f t="shared" si="49"/>
        <v>1</v>
      </c>
      <c r="T147" s="50" t="str">
        <f t="shared" si="5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21:08:31-700',mode:absolute,to:'2016-12-21 00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52"/>
        <v>N</v>
      </c>
      <c r="X147" s="177">
        <f t="shared" si="44"/>
        <v>1</v>
      </c>
      <c r="Y147" s="67">
        <f t="shared" si="53"/>
        <v>4.6399999999999997E-2</v>
      </c>
      <c r="Z147" s="67">
        <f t="shared" si="45"/>
        <v>23.331900000000001</v>
      </c>
      <c r="AA147" s="67">
        <f t="shared" si="54"/>
        <v>23.285500000000003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5"/>
        <v>0235-20</v>
      </c>
      <c r="AE147" s="91" t="str">
        <f t="shared" si="56"/>
        <v>aws s3 cp s3://rtdc.mdm.uploadarchive.raw/RTDC4031/ "%USERPROFILE%\AppData\Local\Temp\OnboardLogs"\RTDC4031\2016-12-20 --exclude "*" --recursive --include "*20161220*" &amp; "%USERPROFILE%\Documents\GitHub\mrs-test-scripts\Headless Mode &amp; Sideloading\WalkAndUnGZ.bat" "%USERPROFILE%\AppData\Local\Temp\OnboardLogs"\RTDC4031\2016-12-20 &amp; 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</v>
      </c>
      <c r="AF147" s="88" t="str">
        <f t="shared" si="57"/>
        <v>"C:\Program Files (x86)\AstroGrep\AstroGrep.exe" /spath="%USERPROFILE%\AppData\Local\Temp\OnboardLogs" /stypes="app*4031*20161221*" /stext=" 06:.+((SYSTEM_STATE.+slice.+state.+changed )|(ment ac)|(multiple cpu faults)|(system.+state.+changed )|(\[timeout)|(PRM\|1\|D)|(kpr)|(kdp)|(\|lc)|(penalty))" /e /r /s</v>
      </c>
      <c r="AG147" s="1" t="str">
        <f t="shared" si="58"/>
        <v>EC</v>
      </c>
      <c r="AH147" s="92" t="str">
        <f t="shared" si="59"/>
        <v>"%USERPROFILE%\Documents\GitHub\eaglep3\Utilities\RefineRTDCRunTimes.py" --tripid 235-20 --locoid 4031 --swversion DE.1.0.8.0 --startMP 204:464 --initTime 2016-12-20T22:08:31 --startdatetime 2016-12-20T22:31:24 --delay 1 --endMP 204:233319 --enddatetime 2016-12-20T23:05:14 --enforcementcount 0 &gt;&gt;C:\Users\stu\Documents\GitHub\eaglep3-reporting\EC\2016-12-20-refined-times.txt</v>
      </c>
      <c r="AI147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{"issue":{"subject":"","project_id":79,"tracker_id":40,"status_id":1,"priority_id":2,"assigned_to_id":23,"start_date":"2016-12-20","description":"","custom_fields":[{"id":1,"name":"Subdivision","value":"EC"},{"id":4,"name":"Milepost","value":"23.3319"},{"id":17,"name":"Train ID","value":"235-20"},{"id":16,"name":"Locomotive ID","value":"4031"},{"id":130,"name":"Impact","value":""},{"id":150,"name":"Time of Event (Mountain Time)","value":"23:05:14"},{"id":151,"name":"Denver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688</v>
      </c>
      <c r="B148" s="7">
        <v>4032</v>
      </c>
      <c r="C148" s="22" t="s">
        <v>205</v>
      </c>
      <c r="D148" s="22" t="s">
        <v>721</v>
      </c>
      <c r="E148" s="13">
        <v>42724.97351851852</v>
      </c>
      <c r="F148" s="13">
        <v>42724.977534722224</v>
      </c>
      <c r="G148" s="7">
        <v>1</v>
      </c>
      <c r="H148" s="22" t="s">
        <v>260</v>
      </c>
      <c r="I148" s="13">
        <v>42725.003958333335</v>
      </c>
      <c r="J148" s="7">
        <v>0</v>
      </c>
      <c r="K148" s="109" t="str">
        <f t="shared" si="46"/>
        <v>4031/4032</v>
      </c>
      <c r="L148" s="22" t="str">
        <f>VLOOKUP(A148,'Trips&amp;Operators'!$C$1:$G$99999,5,FALSE)</f>
        <v>STAMBAUGH JAMES</v>
      </c>
      <c r="M148" s="6">
        <f t="shared" si="47"/>
        <v>2.6423611110658385E-2</v>
      </c>
      <c r="N148" s="7">
        <f t="shared" si="48"/>
        <v>38.049999999348074</v>
      </c>
      <c r="O148" s="7"/>
      <c r="P148" s="7"/>
      <c r="Q148" s="23"/>
      <c r="R148" s="23"/>
      <c r="S148" s="35">
        <f t="shared" si="49"/>
        <v>1</v>
      </c>
      <c r="T148" s="50" t="str">
        <f t="shared" si="5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22:21:52-700',mode:absolute,to:'2016-12-21 01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52"/>
        <v>N</v>
      </c>
      <c r="X148" s="177">
        <f t="shared" ref="X148:X179" si="61">VALUE(LEFT(AD148,4))-VALUE(LEFT(AD147,4))</f>
        <v>1</v>
      </c>
      <c r="Y148" s="67">
        <f t="shared" si="53"/>
        <v>23.2989</v>
      </c>
      <c r="Z148" s="67">
        <f t="shared" si="45"/>
        <v>1.47E-2</v>
      </c>
      <c r="AA148" s="67">
        <f t="shared" si="54"/>
        <v>23.284199999999998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55"/>
        <v>0236-20</v>
      </c>
      <c r="AE148" s="91" t="str">
        <f t="shared" si="56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148" s="88" t="str">
        <f t="shared" si="57"/>
        <v>"C:\Program Files (x86)\AstroGrep\AstroGrep.exe" /spath="%USERPROFILE%\AppData\Local\Temp\OnboardLogs" /stypes="app*4032*20161221*" /stext=" 07:.+((SYSTEM_STATE.+slice.+state.+changed )|(ment ac)|(multiple cpu faults)|(system.+state.+changed )|(\[timeout)|(PRM\|1\|D)|(kpr)|(kdp)|(\|lc)|(penalty))" /e /r /s</v>
      </c>
      <c r="AG148" s="1" t="str">
        <f t="shared" si="58"/>
        <v>EC</v>
      </c>
      <c r="AH148" s="92" t="str">
        <f t="shared" si="59"/>
        <v>"%USERPROFILE%\Documents\GitHub\eaglep3\Utilities\RefineRTDCRunTimes.py" --tripid 236-20 --locoid 4032 --swversion DE.1.0.8.0 --startMP 204:232989 --initTime 2016-12-20T23:21:52 --startdatetime 2016-12-20T23:27:39 --delay 1 --endMP 204:147 --enddatetime 2016-12-21T00:05:42 --enforcementcount 0 &gt;&gt;C:\Users\stu\Documents\GitHub\eaglep3-reporting\EC\2016-12-20-refined-times.txt</v>
      </c>
      <c r="AI148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{"issue":{"subject":"","project_id":79,"tracker_id":40,"status_id":1,"priority_id":2,"assigned_to_id":23,"start_date":"2016-12-21","description":"","custom_fields":[{"id":1,"name":"Subdivision","value":"EC"},{"id":4,"name":"Milepost","value":"0.0147"},{"id":17,"name":"Train ID","value":"236-20"},{"id":16,"name":"Locomotive ID","value":"4032"},{"id":130,"name":"Impact","value":""},{"id":150,"name":"Time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686</v>
      </c>
      <c r="B149" s="7">
        <v>4020</v>
      </c>
      <c r="C149" s="22" t="s">
        <v>205</v>
      </c>
      <c r="D149" s="22" t="s">
        <v>306</v>
      </c>
      <c r="E149" s="13">
        <v>42724.957800925928</v>
      </c>
      <c r="F149" s="13">
        <v>42724.95884259259</v>
      </c>
      <c r="G149" s="7">
        <v>1</v>
      </c>
      <c r="H149" s="22" t="s">
        <v>708</v>
      </c>
      <c r="I149" s="13">
        <v>42724.985034722224</v>
      </c>
      <c r="J149" s="7">
        <v>0</v>
      </c>
      <c r="K149" s="109" t="str">
        <f t="shared" si="46"/>
        <v>4019/4020</v>
      </c>
      <c r="L149" s="22" t="str">
        <f>VLOOKUP(A149,'Trips&amp;Operators'!$C$1:$G$99999,5,FALSE)</f>
        <v>CHANDLER KELVIN</v>
      </c>
      <c r="M149" s="6">
        <f t="shared" si="47"/>
        <v>2.6192129633272998E-2</v>
      </c>
      <c r="N149" s="7">
        <f t="shared" si="48"/>
        <v>37.716666671913117</v>
      </c>
      <c r="O149" s="7"/>
      <c r="P149" s="7"/>
      <c r="Q149" s="23"/>
      <c r="R149" s="23"/>
      <c r="S149" s="35">
        <f t="shared" si="49"/>
        <v>1</v>
      </c>
      <c r="T149" s="50" t="str">
        <f t="shared" si="5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21:59:14-700',mode:absolute,to:'2016-12-21 00:38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9" s="52" t="str">
        <f t="shared" si="52"/>
        <v>N</v>
      </c>
      <c r="X149" s="177">
        <f t="shared" si="61"/>
        <v>1</v>
      </c>
      <c r="Y149" s="67">
        <f t="shared" si="53"/>
        <v>4.4200000000000003E-2</v>
      </c>
      <c r="Z149" s="67">
        <f t="shared" si="45"/>
        <v>23.330400000000001</v>
      </c>
      <c r="AA149" s="67">
        <f t="shared" si="54"/>
        <v>23.286200000000001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5"/>
        <v>0237-20</v>
      </c>
      <c r="AE149" s="91" t="str">
        <f t="shared" si="56"/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AF149" s="88" t="str">
        <f t="shared" si="57"/>
        <v>"C:\Program Files (x86)\AstroGrep\AstroGrep.exe" /spath="%USERPROFILE%\AppData\Local\Temp\OnboardLogs" /stypes="app*4020*20161221*" /stext=" 06:.+((SYSTEM_STATE.+slice.+state.+changed )|(ment ac)|(multiple cpu faults)|(system.+state.+changed )|(\[timeout)|(PRM\|1\|D)|(kpr)|(kdp)|(\|lc)|(penalty))" /e /r /s</v>
      </c>
      <c r="AG149" s="1" t="str">
        <f t="shared" si="58"/>
        <v>EC</v>
      </c>
      <c r="AH149" s="92" t="str">
        <f t="shared" si="59"/>
        <v>"%USERPROFILE%\Documents\GitHub\eaglep3\Utilities\RefineRTDCRunTimes.py" --tripid 237-20 --locoid 4020 --swversion DE.1.0.8.0 --startMP 204:442 --initTime 2016-12-20T22:59:14 --startdatetime 2016-12-20T23:00:44 --delay 1 --endMP 204:233304 --enddatetime 2016-12-20T23:38:27 --enforcementcount 0 &gt;&gt;C:\Users\stu\Documents\GitHub\eaglep3-reporting\EC\2016-12-20-refined-times.txt</v>
      </c>
      <c r="AI149" s="119" t="str">
        <f t="shared" si="60"/>
        <v>echo {"issue":{"subject":"","project_id":79,"tracker_id":40,"status_id":1,"priority_id":2,"assigned_to_id":23,"start_date":"2016-12-20","description":"","custom_fields":[{"id":1,"name":"Subdivision","value":"EC"},{"id":4,"name":"Milepost","value":"23.3304"},{"id":17,"name":"Train ID","value":"237-20"},{"id":16,"name":"Locomotive ID","value":"4020"},{"id":130,"name":"Impact","value":""},{"id":150,"name":"Time of Event (Mountain Time)","value":"23:38:27"},{"id":151,"name":"Denver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689</v>
      </c>
      <c r="B150" s="7">
        <v>4019</v>
      </c>
      <c r="C150" s="22" t="s">
        <v>205</v>
      </c>
      <c r="D150" s="22" t="s">
        <v>421</v>
      </c>
      <c r="E150" s="13">
        <v>42724.995127314818</v>
      </c>
      <c r="F150" s="13">
        <v>42724.997731481482</v>
      </c>
      <c r="G150" s="7">
        <v>1</v>
      </c>
      <c r="H150" s="22" t="s">
        <v>245</v>
      </c>
      <c r="I150" s="13">
        <v>42725.027037037034</v>
      </c>
      <c r="J150" s="7">
        <v>0</v>
      </c>
      <c r="K150" s="109" t="str">
        <f t="shared" si="46"/>
        <v>4019/4020</v>
      </c>
      <c r="L150" s="22" t="str">
        <f>VLOOKUP(A150,'Trips&amp;Operators'!$C$1:$G$99999,5,FALSE)</f>
        <v>CHANDLER KELVIN</v>
      </c>
      <c r="M150" s="6">
        <f t="shared" si="47"/>
        <v>2.9305555552127771E-2</v>
      </c>
      <c r="N150" s="7">
        <f t="shared" si="48"/>
        <v>42.19999999506399</v>
      </c>
      <c r="O150" s="7"/>
      <c r="P150" s="7"/>
      <c r="Q150" s="23"/>
      <c r="R150" s="23"/>
      <c r="S150" s="35">
        <f t="shared" si="49"/>
        <v>1</v>
      </c>
      <c r="T150" s="50" t="str">
        <f t="shared" si="5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22:52:59-700',mode:absolute,to:'2016-12-21 01:38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0" s="52" t="str">
        <f t="shared" si="52"/>
        <v>N</v>
      </c>
      <c r="X150" s="177">
        <f t="shared" si="61"/>
        <v>1</v>
      </c>
      <c r="Y150" s="67">
        <f t="shared" si="53"/>
        <v>23.297899999999998</v>
      </c>
      <c r="Z150" s="67">
        <f t="shared" si="45"/>
        <v>1.6299999999999999E-2</v>
      </c>
      <c r="AA150" s="67">
        <f t="shared" si="54"/>
        <v>23.281599999999997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5"/>
        <v>0238-20</v>
      </c>
      <c r="AE150" s="91" t="str">
        <f t="shared" si="56"/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AF150" s="88" t="str">
        <f t="shared" si="57"/>
        <v>"C:\Program Files (x86)\AstroGrep\AstroGrep.exe" /spath="%USERPROFILE%\AppData\Local\Temp\OnboardLogs" /stypes="app*4019*20161221*" /stext=" 07:.+((SYSTEM_STATE.+slice.+state.+changed )|(ment ac)|(multiple cpu faults)|(system.+state.+changed )|(\[timeout)|(PRM\|1\|D)|(kpr)|(kdp)|(\|lc)|(penalty))" /e /r /s</v>
      </c>
      <c r="AG150" s="1" t="str">
        <f t="shared" si="58"/>
        <v>EC</v>
      </c>
      <c r="AH150" s="92" t="str">
        <f t="shared" si="59"/>
        <v>"%USERPROFILE%\Documents\GitHub\eaglep3\Utilities\RefineRTDCRunTimes.py" --tripid 238-20 --locoid 4019 --swversion DE.1.0.8.0 --startMP 204:232979 --initTime 2016-12-20T23:52:59 --startdatetime 2016-12-20T23:56:44 --delay 1 --endMP 204:163 --enddatetime 2016-12-21T00:38:56 --enforcementcount 0 &gt;&gt;C:\Users\stu\Documents\GitHub\eaglep3-reporting\EC\2016-12-20-refined-times.txt</v>
      </c>
      <c r="AI150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ID","value":"238-20"},{"id":16,"name":"Locomotive ID","value":"4019"},{"id":130,"name":"Impact","value":""},{"id":150,"name":"Time of Event (Mountain Time)","value":"00:38:56"},{"id":151,"name":"Denver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687</v>
      </c>
      <c r="B151" s="7">
        <v>4018</v>
      </c>
      <c r="C151" s="22" t="s">
        <v>205</v>
      </c>
      <c r="D151" s="22" t="s">
        <v>427</v>
      </c>
      <c r="E151" s="13">
        <v>42724.966793981483</v>
      </c>
      <c r="F151" s="13">
        <v>42724.979317129626</v>
      </c>
      <c r="G151" s="7">
        <v>1</v>
      </c>
      <c r="H151" s="22" t="s">
        <v>712</v>
      </c>
      <c r="I151" s="13">
        <v>42725.003449074073</v>
      </c>
      <c r="J151" s="7">
        <v>0</v>
      </c>
      <c r="K151" s="109" t="str">
        <f t="shared" si="46"/>
        <v>4017/4018</v>
      </c>
      <c r="L151" s="22" t="str">
        <f>VLOOKUP(A151,'Trips&amp;Operators'!$C$1:$G$99999,5,FALSE)</f>
        <v>NEWELL JAMES</v>
      </c>
      <c r="M151" s="6">
        <f t="shared" si="47"/>
        <v>2.4131944446708076E-2</v>
      </c>
      <c r="N151" s="7">
        <f t="shared" si="48"/>
        <v>34.750000003259629</v>
      </c>
      <c r="O151" s="7"/>
      <c r="P151" s="7"/>
      <c r="Q151" s="23"/>
      <c r="R151" s="23"/>
      <c r="S151" s="35">
        <f t="shared" si="49"/>
        <v>1</v>
      </c>
      <c r="T151" s="50" t="str">
        <f t="shared" si="5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22:12:11-700',mode:absolute,to:'2016-12-21 01:04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1" s="52" t="str">
        <f t="shared" si="52"/>
        <v>N</v>
      </c>
      <c r="X151" s="177">
        <f t="shared" si="61"/>
        <v>1</v>
      </c>
      <c r="Y151" s="67">
        <f t="shared" si="53"/>
        <v>4.6600000000000003E-2</v>
      </c>
      <c r="Z151" s="67">
        <f t="shared" si="45"/>
        <v>23.331399999999999</v>
      </c>
      <c r="AA151" s="67">
        <f t="shared" si="54"/>
        <v>23.284799999999997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55"/>
        <v>0239-20</v>
      </c>
      <c r="AE151" s="91" t="str">
        <f t="shared" si="56"/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AF151" s="88" t="str">
        <f t="shared" si="57"/>
        <v>"C:\Program Files (x86)\AstroGrep\AstroGrep.exe" /spath="%USERPROFILE%\AppData\Local\Temp\OnboardLogs" /stypes="app*4018*20161221*" /stext=" 07:.+((SYSTEM_STATE.+slice.+state.+changed )|(ment ac)|(multiple cpu faults)|(system.+state.+changed )|(\[timeout)|(PRM\|1\|D)|(kpr)|(kdp)|(\|lc)|(penalty))" /e /r /s</v>
      </c>
      <c r="AG151" s="1" t="str">
        <f t="shared" si="58"/>
        <v>EC</v>
      </c>
      <c r="AH151" s="92" t="str">
        <f t="shared" si="59"/>
        <v>"%USERPROFILE%\Documents\GitHub\eaglep3\Utilities\RefineRTDCRunTimes.py" --tripid 239-20 --locoid 4018 --swversion DE.1.0.8.0 --startMP 204:466 --initTime 2016-12-20T23:12:11 --startdatetime 2016-12-20T23:30:13 --delay 1 --endMP 204:233314 --enddatetime 2016-12-21T00:04:58 --enforcementcount 0 &gt;&gt;C:\Users\stu\Documents\GitHub\eaglep3-reporting\EC\2016-12-20-refined-times.txt</v>
      </c>
      <c r="AI151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{"issue":{"subject":"","project_id":79,"tracker_id":40,"status_id":1,"priority_id":2,"assigned_to_id":23,"start_date":"2016-12-21","description":"","custom_fields":[{"id":1,"name":"Subdivision","value":"EC"},{"id":4,"name":"Milepost","value":"23.3314"},{"id":17,"name":"Train ID","value":"239-20"},{"id":16,"name":"Locomotive ID","value":"4018"},{"id":130,"name":"Impact","value":""},{"id":150,"name":"Time of Event (Mountain Time)","value":"00:04:58"},{"id":151,"name":"Denver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494</v>
      </c>
      <c r="B152" s="7">
        <v>4017</v>
      </c>
      <c r="C152" s="22" t="s">
        <v>205</v>
      </c>
      <c r="D152" s="22" t="s">
        <v>256</v>
      </c>
      <c r="E152" s="13">
        <v>42725.013333333336</v>
      </c>
      <c r="F152" s="13">
        <v>42725.018206018518</v>
      </c>
      <c r="G152" s="7">
        <v>1</v>
      </c>
      <c r="H152" s="22" t="s">
        <v>191</v>
      </c>
      <c r="I152" s="13">
        <v>42725.04478009259</v>
      </c>
      <c r="J152" s="7">
        <v>0</v>
      </c>
      <c r="K152" s="109" t="str">
        <f t="shared" si="46"/>
        <v>4017/4018</v>
      </c>
      <c r="L152" s="22" t="str">
        <f>VLOOKUP(A152,'Trips&amp;Operators'!$C$1:$G$99999,5,FALSE)</f>
        <v>NEWELL JAMES</v>
      </c>
      <c r="M152" s="6">
        <f t="shared" si="47"/>
        <v>2.6574074072414078E-2</v>
      </c>
      <c r="N152" s="7">
        <f t="shared" si="48"/>
        <v>38.266666664276272</v>
      </c>
      <c r="O152" s="7"/>
      <c r="P152" s="7"/>
      <c r="Q152" s="23"/>
      <c r="R152" s="23"/>
      <c r="S152" s="35">
        <f t="shared" si="49"/>
        <v>1</v>
      </c>
      <c r="T152" s="50" t="str">
        <f t="shared" si="5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23:19:12-700',mode:absolute,to:'2016-12-21 02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2" s="52" t="str">
        <f t="shared" si="52"/>
        <v>N</v>
      </c>
      <c r="X152" s="177">
        <f t="shared" si="61"/>
        <v>1</v>
      </c>
      <c r="Y152" s="67">
        <f t="shared" si="53"/>
        <v>23.299399999999999</v>
      </c>
      <c r="Z152" s="67">
        <f t="shared" si="45"/>
        <v>1.49E-2</v>
      </c>
      <c r="AA152" s="67">
        <f t="shared" si="54"/>
        <v>23.284499999999998</v>
      </c>
      <c r="AB152" s="64" t="str">
        <f>VLOOKUP(A152,Enforcements!$C$7:$K$19,8,0)</f>
        <v>Bulletin (2)</v>
      </c>
      <c r="AC152" s="60" t="str">
        <f>VLOOKUP(A152,Enforcements!$C$7:$E$19,3,0)</f>
        <v>TEMPORARY SPEED RESTRICTION</v>
      </c>
      <c r="AD152" s="61" t="str">
        <f t="shared" si="55"/>
        <v>0240-20</v>
      </c>
      <c r="AE152" s="91" t="str">
        <f t="shared" si="56"/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AF152" s="88" t="str">
        <f t="shared" si="57"/>
        <v>"C:\Program Files (x86)\AstroGrep\AstroGrep.exe" /spath="%USERPROFILE%\AppData\Local\Temp\OnboardLogs" /stypes="app*4017*20161221*" /stext=" 08:.+((SYSTEM_STATE.+slice.+state.+changed )|(ment ac)|(multiple cpu faults)|(system.+state.+changed )|(\[timeout)|(PRM\|1\|D)|(kpr)|(kdp)|(\|lc)|(penalty))" /e /r /s</v>
      </c>
      <c r="AG152" s="1" t="str">
        <f t="shared" si="58"/>
        <v>EC</v>
      </c>
      <c r="AH152" s="92" t="str">
        <f t="shared" si="59"/>
        <v>"%USERPROFILE%\Documents\GitHub\eaglep3\Utilities\RefineRTDCRunTimes.py" --tripid 240-20 --locoid 4017 --swversion DE.1.0.8.0 --startMP 204:232994 --initTime 2016-12-21T00:19:12 --startdatetime 2016-12-21T00:26:13 --delay 1 --endMP 204:149 --enddatetime 2016-12-21T01:04:29 --enforcementcount 0 &gt;&gt;C:\Users\stu\Documents\GitHub\eaglep3-reporting\EC\2016-12-20-refined-times.txt</v>
      </c>
      <c r="AI152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{"issue":{"subject":"","project_id":79,"tracker_id":40,"status_id":1,"priority_id":2,"assigned_to_id":23,"start_date":"2016-12-21","description":"","custom_fields":[{"id":1,"name":"Subdivision","value":"EC"},{"id":4,"name":"Milepost","value":"0.0149"},{"id":17,"name":"Train ID","value":"240-20"},{"id":16,"name":"Locomotive ID","value":"4017"},{"id":130,"name":"Impact","value":""},{"id":150,"name":"Time of Event (Mountain Time)","value":"01:04:29"},{"id":151,"name":"Denver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492</v>
      </c>
      <c r="B153" s="7">
        <v>4009</v>
      </c>
      <c r="C153" s="22" t="s">
        <v>205</v>
      </c>
      <c r="D153" s="22" t="s">
        <v>753</v>
      </c>
      <c r="E153" s="13">
        <v>42724.99796296296</v>
      </c>
      <c r="F153" s="13">
        <v>42725.000335648147</v>
      </c>
      <c r="G153" s="7">
        <v>1</v>
      </c>
      <c r="H153" s="22" t="s">
        <v>754</v>
      </c>
      <c r="I153" s="13">
        <v>42725.02648148148</v>
      </c>
      <c r="J153" s="7">
        <v>0</v>
      </c>
      <c r="K153" s="109" t="str">
        <f t="shared" si="46"/>
        <v>4009/4010</v>
      </c>
      <c r="L153" s="22" t="str">
        <f>VLOOKUP(A153,'Trips&amp;Operators'!$C$1:$G$99999,5,FALSE)</f>
        <v>YANG JAN</v>
      </c>
      <c r="M153" s="6">
        <f t="shared" si="47"/>
        <v>2.6145833333430346E-2</v>
      </c>
      <c r="N153" s="7">
        <f t="shared" si="48"/>
        <v>37.650000000139698</v>
      </c>
      <c r="O153" s="7"/>
      <c r="P153" s="7"/>
      <c r="Q153" s="23"/>
      <c r="R153" s="23"/>
      <c r="S153" s="35">
        <f t="shared" si="49"/>
        <v>1</v>
      </c>
      <c r="T153" s="50" t="str">
        <f t="shared" si="5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22:57:04-700',mode:absolute,to:'2016-12-21 01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3" s="52" t="str">
        <f t="shared" si="52"/>
        <v>N</v>
      </c>
      <c r="X153" s="177">
        <f t="shared" si="61"/>
        <v>1</v>
      </c>
      <c r="Y153" s="67">
        <f t="shared" si="53"/>
        <v>0.1216</v>
      </c>
      <c r="Z153" s="67">
        <f t="shared" si="45"/>
        <v>23.336099999999998</v>
      </c>
      <c r="AA153" s="67">
        <f t="shared" si="54"/>
        <v>23.214499999999997</v>
      </c>
      <c r="AB153" s="64" t="str">
        <f>VLOOKUP(A153,Enforcements!$C$7:$K$19,8,0)</f>
        <v>Signal based authority (5)</v>
      </c>
      <c r="AC153" s="60" t="str">
        <f>VLOOKUP(A153,Enforcements!$C$7:$E$19,3,0)</f>
        <v>SIGNAL</v>
      </c>
      <c r="AD153" s="61" t="str">
        <f t="shared" si="55"/>
        <v>0241-20</v>
      </c>
      <c r="AE153" s="91" t="str">
        <f t="shared" si="56"/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AF153" s="88" t="str">
        <f t="shared" si="57"/>
        <v>"C:\Program Files (x86)\AstroGrep\AstroGrep.exe" /spath="%USERPROFILE%\AppData\Local\Temp\OnboardLogs" /stypes="app*4009*20161221*" /stext=" 07:.+((SYSTEM_STATE.+slice.+state.+changed )|(ment ac)|(multiple cpu faults)|(system.+state.+changed )|(\[timeout)|(PRM\|1\|D)|(kpr)|(kdp)|(\|lc)|(penalty))" /e /r /s</v>
      </c>
      <c r="AG153" s="1" t="str">
        <f t="shared" si="58"/>
        <v>EC</v>
      </c>
      <c r="AH153" s="92" t="str">
        <f t="shared" si="59"/>
        <v>"%USERPROFILE%\Documents\GitHub\eaglep3\Utilities\RefineRTDCRunTimes.py" --tripid 241-20 --locoid 4009 --swversion DE.1.0.8.0 --startMP 204:1216 --initTime 2016-12-20T23:57:04 --startdatetime 2016-12-21T00:00:29 --delay 1 --endMP 204:233361 --enddatetime 2016-12-21T00:38:08 --enforcementcount 0 &gt;&gt;C:\Users\stu\Documents\GitHub\eaglep3-reporting\EC\2016-12-20-refined-times.txt</v>
      </c>
      <c r="AI153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{"issue":{"subject":"","project_id":79,"tracker_id":40,"status_id":1,"priority_id":2,"assigned_to_id":23,"start_date":"2016-12-21","description":"","custom_fields":[{"id":1,"name":"Subdivision","value":"EC"},{"id":4,"name":"Milepost","value":"23.3361"},{"id":17,"name":"Train ID","value":"241-20"},{"id":16,"name":"Locomotive ID","value":"4009"},{"id":130,"name":"Impact","value":""},{"id":150,"name":"Time of Event (Mountain Time)","value":"00:38:08"},{"id":151,"name":"Denver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495</v>
      </c>
      <c r="B154" s="7">
        <v>4010</v>
      </c>
      <c r="C154" s="22" t="s">
        <v>205</v>
      </c>
      <c r="D154" s="22" t="s">
        <v>755</v>
      </c>
      <c r="E154" s="13">
        <v>42725.031631944446</v>
      </c>
      <c r="F154" s="13">
        <v>42725.039282407408</v>
      </c>
      <c r="G154" s="7">
        <v>1</v>
      </c>
      <c r="H154" s="22" t="s">
        <v>756</v>
      </c>
      <c r="I154" s="13">
        <v>42725.067291666666</v>
      </c>
      <c r="J154" s="7">
        <v>0</v>
      </c>
      <c r="K154" s="109" t="str">
        <f t="shared" si="46"/>
        <v>4009/4010</v>
      </c>
      <c r="L154" s="22" t="str">
        <f>VLOOKUP(A154,'Trips&amp;Operators'!$C$1:$G$99999,5,FALSE)</f>
        <v>YANG JAN</v>
      </c>
      <c r="M154" s="6">
        <f t="shared" si="47"/>
        <v>2.8009259258396924E-2</v>
      </c>
      <c r="N154" s="7">
        <f t="shared" si="48"/>
        <v>40.33333333209157</v>
      </c>
      <c r="O154" s="7"/>
      <c r="P154" s="7"/>
      <c r="Q154" s="23"/>
      <c r="R154" s="23"/>
      <c r="S154" s="35">
        <f t="shared" si="49"/>
        <v>1</v>
      </c>
      <c r="T154" s="50" t="str">
        <f t="shared" si="5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23:45:33-700',mode:absolute,to:'2016-12-21 02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4" s="52" t="str">
        <f t="shared" si="52"/>
        <v>N</v>
      </c>
      <c r="X154" s="177">
        <f t="shared" si="61"/>
        <v>1</v>
      </c>
      <c r="Y154" s="67">
        <f t="shared" si="53"/>
        <v>23.304200000000002</v>
      </c>
      <c r="Z154" s="67">
        <f t="shared" si="45"/>
        <v>8.8599999999999998E-2</v>
      </c>
      <c r="AA154" s="67">
        <f t="shared" si="54"/>
        <v>23.215600000000002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5"/>
        <v>0242-20</v>
      </c>
      <c r="AE154" s="91" t="str">
        <f t="shared" si="56"/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AF154" s="88" t="str">
        <f t="shared" si="57"/>
        <v>"C:\Program Files (x86)\AstroGrep\AstroGrep.exe" /spath="%USERPROFILE%\AppData\Local\Temp\OnboardLogs" /stypes="app*4010*20161221*" /stext=" 08:.+((SYSTEM_STATE.+slice.+state.+changed )|(ment ac)|(multiple cpu faults)|(system.+state.+changed )|(\[timeout)|(PRM\|1\|D)|(kpr)|(kdp)|(\|lc)|(penalty))" /e /r /s</v>
      </c>
      <c r="AG154" s="1" t="str">
        <f t="shared" si="58"/>
        <v>EC</v>
      </c>
      <c r="AH154" s="92" t="str">
        <f t="shared" si="59"/>
        <v>"%USERPROFILE%\Documents\GitHub\eaglep3\Utilities\RefineRTDCRunTimes.py" --tripid 242-20 --locoid 4010 --swversion DE.1.0.8.0 --startMP 204:233042 --initTime 2016-12-21T00:45:33 --startdatetime 2016-12-21T00:56:34 --delay 1 --endMP 204:886 --enddatetime 2016-12-21T01:36:54 --enforcementcount 0 &gt;&gt;C:\Users\stu\Documents\GitHub\eaglep3-reporting\EC\2016-12-20-refined-times.txt</v>
      </c>
      <c r="AI154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{"issue":{"subject":"","project_id":79,"tracker_id":40,"status_id":1,"priority_id":2,"assigned_to_id":23,"start_date":"2016-12-21","description":"","custom_fields":[{"id":1,"name":"Subdivision","value":"EC"},{"id":4,"name":"Milepost","value":"0.0886"},{"id":17,"name":"Train ID","value":"242-20"},{"id":16,"name":"Locomotive ID","value":"4010"},{"id":130,"name":"Impact","value":""},{"id":150,"name":"Time of Event (Mountain Time)","value":"01:36:54"},{"id":151,"name":"Denver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493</v>
      </c>
      <c r="B155" s="7">
        <v>4031</v>
      </c>
      <c r="C155" s="22" t="s">
        <v>205</v>
      </c>
      <c r="D155" s="22" t="s">
        <v>268</v>
      </c>
      <c r="E155" s="13">
        <v>42725.006053240744</v>
      </c>
      <c r="F155" s="13">
        <v>42725.021481481483</v>
      </c>
      <c r="G155" s="7">
        <v>1</v>
      </c>
      <c r="H155" s="22" t="s">
        <v>757</v>
      </c>
      <c r="I155" s="13">
        <v>42725.045868055553</v>
      </c>
      <c r="J155" s="7">
        <v>0</v>
      </c>
      <c r="K155" s="109" t="str">
        <f t="shared" si="46"/>
        <v>4031/4032</v>
      </c>
      <c r="L155" s="22" t="str">
        <f>VLOOKUP(A155,'Trips&amp;Operators'!$C$1:$G$99999,5,FALSE)</f>
        <v>STAMBAUGH JAMES</v>
      </c>
      <c r="M155" s="6">
        <f t="shared" si="47"/>
        <v>2.438657407037681E-2</v>
      </c>
      <c r="N155" s="7">
        <f t="shared" si="48"/>
        <v>35.116666661342606</v>
      </c>
      <c r="O155" s="7"/>
      <c r="P155" s="7"/>
      <c r="Q155" s="23"/>
      <c r="R155" s="23"/>
      <c r="S155" s="35">
        <f t="shared" si="49"/>
        <v>1</v>
      </c>
      <c r="T155" s="50" t="str">
        <f t="shared" si="5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23:08:43-700',mode:absolute,to:'2016-12-21 02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52"/>
        <v>N</v>
      </c>
      <c r="X155" s="177">
        <f t="shared" si="61"/>
        <v>1</v>
      </c>
      <c r="Y155" s="67">
        <f t="shared" si="53"/>
        <v>4.6199999999999998E-2</v>
      </c>
      <c r="Z155" s="67">
        <f t="shared" si="45"/>
        <v>23.323599999999999</v>
      </c>
      <c r="AA155" s="67">
        <f t="shared" si="54"/>
        <v>23.2774</v>
      </c>
      <c r="AB155" s="64" t="str">
        <f>VLOOKUP(A155,Enforcements!$C$7:$K$19,8,0)</f>
        <v>Bulletin (2)</v>
      </c>
      <c r="AC155" s="60" t="str">
        <f>VLOOKUP(A155,Enforcements!$C$7:$E$19,3,0)</f>
        <v>GRADE CROSSING</v>
      </c>
      <c r="AD155" s="61" t="str">
        <f t="shared" si="55"/>
        <v>0243-20</v>
      </c>
      <c r="AE155" s="91" t="str">
        <f t="shared" si="56"/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AF155" s="88" t="str">
        <f t="shared" si="57"/>
        <v>"C:\Program Files (x86)\AstroGrep\AstroGrep.exe" /spath="%USERPROFILE%\AppData\Local\Temp\OnboardLogs" /stypes="app*4031*20161221*" /stext=" 08:.+((SYSTEM_STATE.+slice.+state.+changed )|(ment ac)|(multiple cpu faults)|(system.+state.+changed )|(\[timeout)|(PRM\|1\|D)|(kpr)|(kdp)|(\|lc)|(penalty))" /e /r /s</v>
      </c>
      <c r="AG155" s="1" t="str">
        <f t="shared" si="58"/>
        <v>EC</v>
      </c>
      <c r="AH155" s="92" t="str">
        <f t="shared" si="59"/>
        <v>"%USERPROFILE%\Documents\GitHub\eaglep3\Utilities\RefineRTDCRunTimes.py" --tripid 243-20 --locoid 4031 --swversion DE.1.0.8.0 --startMP 204:462 --initTime 2016-12-21T00:08:43 --startdatetime 2016-12-21T00:30:56 --delay 1 --endMP 204:233236 --enddatetime 2016-12-21T01:06:03 --enforcementcount 0 &gt;&gt;C:\Users\stu\Documents\GitHub\eaglep3-reporting\EC\2016-12-20-refined-times.txt</v>
      </c>
      <c r="AI155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{"issue":{"subject":"","project_id":79,"tracker_id":40,"status_id":1,"priority_id":2,"assigned_to_id":23,"start_date":"2016-12-21","description":"","custom_fields":[{"id":1,"name":"Subdivision","value":"EC"},{"id":4,"name":"Milepost","value":"23.3236"},{"id":17,"name":"Train ID","value":"243-20"},{"id":16,"name":"Locomotive ID","value":"4031"},{"id":130,"name":"Impact","value":""},{"id":150,"name":"Time of Event (Mountain Time)","value":"01:06:03"},{"id":151,"name":"Denver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692</v>
      </c>
      <c r="B156" s="7">
        <v>4032</v>
      </c>
      <c r="C156" s="22" t="s">
        <v>205</v>
      </c>
      <c r="D156" s="22" t="s">
        <v>287</v>
      </c>
      <c r="E156" s="13">
        <v>42725.057789351849</v>
      </c>
      <c r="F156" s="13">
        <v>42725.060069444444</v>
      </c>
      <c r="G156" s="7">
        <v>1</v>
      </c>
      <c r="H156" s="22" t="s">
        <v>245</v>
      </c>
      <c r="I156" s="13">
        <v>42725.085740740738</v>
      </c>
      <c r="J156" s="7">
        <v>0</v>
      </c>
      <c r="K156" s="109" t="str">
        <f t="shared" si="46"/>
        <v>4031/4032</v>
      </c>
      <c r="L156" s="22" t="str">
        <f>VLOOKUP(A156,'Trips&amp;Operators'!$C$1:$G$99999,5,FALSE)</f>
        <v>STAMBAUGH JAMES</v>
      </c>
      <c r="M156" s="6">
        <f t="shared" si="47"/>
        <v>2.5671296294603962E-2</v>
      </c>
      <c r="N156" s="7">
        <f t="shared" si="48"/>
        <v>36.966666664229706</v>
      </c>
      <c r="O156" s="7"/>
      <c r="P156" s="7"/>
      <c r="Q156" s="23"/>
      <c r="R156" s="23"/>
      <c r="S156" s="35">
        <f t="shared" si="49"/>
        <v>1</v>
      </c>
      <c r="T156" s="50" t="str">
        <f t="shared" si="5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https://search-rtdc-monitor-bjffxe2xuh6vdkpspy63sjmuny.us-east-1.es.amazonaws.com/_plugin/kibana/#/discover/Steve-Slow-Train-Analysis-(2080s-and-2083s)?_g=(refreshInterval:(display:Off,section:0,value:0),time:(from:'2016-12-21 00:23:13-700',mode:absolute,to:'2016-12-21 03:03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52"/>
        <v>N</v>
      </c>
      <c r="X156" s="177">
        <f t="shared" si="61"/>
        <v>1</v>
      </c>
      <c r="Y156" s="67">
        <f t="shared" si="53"/>
        <v>23.3</v>
      </c>
      <c r="Z156" s="67">
        <f t="shared" si="45"/>
        <v>1.6299999999999999E-2</v>
      </c>
      <c r="AA156" s="67">
        <f t="shared" si="54"/>
        <v>23.2837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5"/>
        <v>0244-20</v>
      </c>
      <c r="AE156" s="91" t="str">
        <f t="shared" si="56"/>
        <v>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 &amp; 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</v>
      </c>
      <c r="AF156" s="88" t="str">
        <f t="shared" si="57"/>
        <v>"C:\Program Files (x86)\AstroGrep\AstroGrep.exe" /spath="%USERPROFILE%\AppData\Local\Temp\OnboardLogs" /stypes="app*4032*20161221*" /stext=" 09:.+((SYSTEM_STATE.+slice.+state.+changed )|(ment ac)|(multiple cpu faults)|(system.+state.+changed )|(\[timeout)|(PRM\|1\|D)|(kpr)|(kdp)|(\|lc)|(penalty))" /e /r /s</v>
      </c>
      <c r="AG156" s="1" t="str">
        <f t="shared" si="58"/>
        <v>EC</v>
      </c>
      <c r="AH156" s="92" t="str">
        <f t="shared" si="59"/>
        <v>"%USERPROFILE%\Documents\GitHub\eaglep3\Utilities\RefineRTDCRunTimes.py" --tripid 244-20 --locoid 4032 --swversion DE.1.0.8.0 --startMP 204:233000 --initTime 2016-12-21T01:23:13 --startdatetime 2016-12-21T01:26:30 --delay 1 --endMP 204:163 --enddatetime 2016-12-21T02:03:28 --enforcementcount 0 &gt;&gt;C:\Users\stu\Documents\GitHub\eaglep3-reporting\EC\2016-12-20-refined-times.txt</v>
      </c>
      <c r="AI156" s="119" t="str">
        <f t="shared" si="60"/>
        <v>echo {"issue":{"subject":"","project_id":79,"tracker_id":40,"status_id":1,"priority_id":2,"assigned_to_id":23,"start_date":"2016-12-21","description":"","custom_fields":[{"id":1,"name":"Subdivision","value":"EC"},{"id":4,"name":"Milepost","value":"0.0163"},{"id":17,"name":"Train ID","value":"244-20"},{"id":16,"name":"Locomotive ID","value":"4032"},{"id":130,"name":"Impact","value":""},{"id":150,"name":"Time of Event (Mountain Time)","value":"02:03:28"},{"id":151,"name":"Denver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508</v>
      </c>
      <c r="B157" s="7">
        <v>4015</v>
      </c>
      <c r="C157" s="22" t="s">
        <v>205</v>
      </c>
      <c r="D157" s="22" t="s">
        <v>783</v>
      </c>
      <c r="E157" s="13">
        <v>42724.210682870369</v>
      </c>
      <c r="F157" s="13">
        <v>42724.212627314817</v>
      </c>
      <c r="G157" s="7">
        <v>1</v>
      </c>
      <c r="H157" s="22" t="s">
        <v>352</v>
      </c>
      <c r="I157" s="13">
        <v>42724.225775462961</v>
      </c>
      <c r="J157" s="7">
        <v>0</v>
      </c>
      <c r="K157" s="109" t="str">
        <f t="shared" si="46"/>
        <v>4015/4016</v>
      </c>
      <c r="L157" s="22" t="str">
        <f>VLOOKUP(A157,'Trips&amp;Operators'!$C$1:$G$99999,5,FALSE)</f>
        <v>SIMMONS SHYHESHA</v>
      </c>
      <c r="M157" s="6">
        <f t="shared" si="47"/>
        <v>1.3148148143955041E-2</v>
      </c>
      <c r="N157" s="7">
        <f t="shared" si="48"/>
        <v>18.933333327295259</v>
      </c>
      <c r="O157" s="7"/>
      <c r="P157" s="7"/>
      <c r="Q157" s="23"/>
      <c r="R157" s="23"/>
      <c r="S157" s="35">
        <f t="shared" si="49"/>
        <v>1</v>
      </c>
      <c r="T157" s="50" t="str">
        <f t="shared" si="5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04:03:23-700',mode:absolute,to:'2016-12-20 06:25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7" s="52" t="str">
        <f t="shared" si="52"/>
        <v>N</v>
      </c>
      <c r="X157" s="177">
        <f t="shared" si="61"/>
        <v>556</v>
      </c>
      <c r="Y157" s="67">
        <f t="shared" si="53"/>
        <v>5.8601999999999999</v>
      </c>
      <c r="Z157" s="67">
        <f t="shared" si="45"/>
        <v>7.4499999999999997E-2</v>
      </c>
      <c r="AA157" s="67">
        <f t="shared" si="54"/>
        <v>5.7857000000000003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5"/>
        <v>0800-20</v>
      </c>
      <c r="AE157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57" s="88" t="str">
        <f t="shared" si="57"/>
        <v>"C:\Program Files (x86)\AstroGrep\AstroGrep.exe" /spath="%USERPROFILE%\AppData\Local\Temp\OnboardLogs" /stypes="app*4015*20161220*" /stext=" 12:.+((SYSTEM_STATE.+slice.+state.+changed )|(ment ac)|(multiple cpu faults)|(system.+state.+changed )|(\[timeout)|(PRM\|1\|D)|(kpr)|(kdp)|(\|lc)|(penalty))" /e /r /s</v>
      </c>
      <c r="AG157" s="1" t="str">
        <f t="shared" si="58"/>
        <v>NW</v>
      </c>
      <c r="AH157" s="92" t="str">
        <f t="shared" si="59"/>
        <v>"%USERPROFILE%\Documents\GitHub\eaglep3\Utilities\RefineRTDCRunTimes.py" --tripid 800-20 --locoid 4015 --swversion DE.1.0.8.0 --startMP 300:58602 --initTime 2016-12-20T05:03:23 --startdatetime 2016-12-20T05:06:11 --delay 1 --endMP 204:745 --enddatetime 2016-12-20T05:25:07 --enforcementcount 0 &gt;&gt;C:\Users\stu\Documents\GitHub\eaglep3-reporting\EC\2016-12-20-refined-times.txt</v>
      </c>
      <c r="AI15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{"issue":{"subject":"","project_id":79,"tracker_id":40,"status_id":1,"priority_id":2,"assigned_to_id":23,"start_date":"2016-12-20","description":"","custom_fields":[{"id":1,"name":"Subdivision","value":"NW"},{"id":4,"name":"Milepost","value":"0.0745"},{"id":17,"name":"Train ID","value":"800-20"},{"id":16,"name":"Locomotive ID","value":"4015"},{"id":130,"name":"Impact","value":""},{"id":150,"name":"Time of Event (Mountain Time)","value":"05:25:07"},{"id":151,"name":"Denver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513</v>
      </c>
      <c r="B158" s="7">
        <v>4016</v>
      </c>
      <c r="C158" s="22" t="s">
        <v>205</v>
      </c>
      <c r="D158" s="22" t="s">
        <v>784</v>
      </c>
      <c r="E158" s="13">
        <v>42724.22824074074</v>
      </c>
      <c r="F158" s="13">
        <v>42724.244120370371</v>
      </c>
      <c r="G158" s="7">
        <v>1</v>
      </c>
      <c r="H158" s="22" t="s">
        <v>272</v>
      </c>
      <c r="I158" s="13">
        <v>42724.253506944442</v>
      </c>
      <c r="J158" s="7">
        <v>0</v>
      </c>
      <c r="K158" s="109" t="str">
        <f t="shared" si="46"/>
        <v>4015/4016</v>
      </c>
      <c r="L158" s="22" t="str">
        <f>VLOOKUP(A158,'Trips&amp;Operators'!$C$1:$G$99999,5,FALSE)</f>
        <v>SIMMONS SHYHESHA</v>
      </c>
      <c r="M158" s="6">
        <f t="shared" si="47"/>
        <v>9.3865740709588863E-3</v>
      </c>
      <c r="N158" s="7">
        <f t="shared" si="48"/>
        <v>13.516666662180796</v>
      </c>
      <c r="O158" s="7"/>
      <c r="P158" s="7"/>
      <c r="Q158" s="23"/>
      <c r="R158" s="23"/>
      <c r="S158" s="35">
        <f t="shared" si="49"/>
        <v>1</v>
      </c>
      <c r="T158" s="50" t="str">
        <f t="shared" si="5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04:28:40-700',mode:absolute,to:'2016-12-20 07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8" s="52" t="str">
        <f t="shared" si="52"/>
        <v>N</v>
      </c>
      <c r="X158" s="177">
        <f t="shared" si="61"/>
        <v>1</v>
      </c>
      <c r="Y158" s="67">
        <f t="shared" si="53"/>
        <v>0.10349999999999999</v>
      </c>
      <c r="Z158" s="67">
        <f t="shared" si="45"/>
        <v>5.8930999999999996</v>
      </c>
      <c r="AA158" s="67">
        <f t="shared" si="54"/>
        <v>5.7895999999999992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5"/>
        <v>0801-20</v>
      </c>
      <c r="AE158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58" s="88" t="str">
        <f t="shared" si="57"/>
        <v>"C:\Program Files (x86)\AstroGrep\AstroGrep.exe" /spath="%USERPROFILE%\AppData\Local\Temp\OnboardLogs" /stypes="app*4016*20161220*" /stext=" 13:.+((SYSTEM_STATE.+slice.+state.+changed )|(ment ac)|(multiple cpu faults)|(system.+state.+changed )|(\[timeout)|(PRM\|1\|D)|(kpr)|(kdp)|(\|lc)|(penalty))" /e /r /s</v>
      </c>
      <c r="AG158" s="1" t="str">
        <f t="shared" si="58"/>
        <v>NW</v>
      </c>
      <c r="AH158" s="92" t="str">
        <f t="shared" si="59"/>
        <v>"%USERPROFILE%\Documents\GitHub\eaglep3\Utilities\RefineRTDCRunTimes.py" --tripid 801-20 --locoid 4016 --swversion DE.1.0.8.0 --startMP 204:1035 --initTime 2016-12-20T05:28:40 --startdatetime 2016-12-20T05:51:32 --delay 1 --endMP 300:58931 --enddatetime 2016-12-20T06:05:03 --enforcementcount 0 &gt;&gt;C:\Users\stu\Documents\GitHub\eaglep3-reporting\EC\2016-12-20-refined-times.txt</v>
      </c>
      <c r="AI15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{"issue":{"subject":"","project_id":79,"tracker_id":40,"status_id":1,"priority_id":2,"assigned_to_id":23,"start_date":"2016-12-20","description":"","custom_fields":[{"id":1,"name":"Subdivision","value":"NW"},{"id":4,"name":"Milepost","value":"5.8931"},{"id":17,"name":"Train ID","value":"801-20"},{"id":16,"name":"Locomotive ID","value":"4016"},{"id":130,"name":"Impact","value":""},{"id":150,"name":"Time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461</v>
      </c>
      <c r="B159" s="7">
        <v>4015</v>
      </c>
      <c r="C159" s="22" t="s">
        <v>205</v>
      </c>
      <c r="D159" s="22" t="s">
        <v>785</v>
      </c>
      <c r="E159" s="13">
        <v>42724.254756944443</v>
      </c>
      <c r="F159" s="13">
        <v>42724.257650462961</v>
      </c>
      <c r="G159" s="7">
        <v>0</v>
      </c>
      <c r="H159" s="22" t="s">
        <v>786</v>
      </c>
      <c r="I159" s="13">
        <v>42724.268391203703</v>
      </c>
      <c r="J159" s="7">
        <v>0</v>
      </c>
      <c r="K159" s="109" t="str">
        <f t="shared" si="46"/>
        <v>4015/4016</v>
      </c>
      <c r="L159" s="22" t="str">
        <f>VLOOKUP(A159,'Trips&amp;Operators'!$C$1:$G$99999,5,FALSE)</f>
        <v>SIMMONS SHYHESHA</v>
      </c>
      <c r="M159" s="6">
        <f t="shared" si="47"/>
        <v>1.0740740741312038E-2</v>
      </c>
      <c r="N159" s="7">
        <f t="shared" si="48"/>
        <v>15.466666667489335</v>
      </c>
      <c r="O159" s="7"/>
      <c r="P159" s="7"/>
      <c r="Q159" s="23"/>
      <c r="R159" s="23"/>
      <c r="S159" s="35">
        <f t="shared" si="49"/>
        <v>1</v>
      </c>
      <c r="T159" s="50" t="str">
        <f t="shared" si="5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05:06:51-700',mode:absolute,to:'2016-12-20 07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52"/>
        <v>N</v>
      </c>
      <c r="X159" s="177">
        <f t="shared" si="61"/>
        <v>1</v>
      </c>
      <c r="Y159" s="67">
        <f t="shared" si="53"/>
        <v>5.8624000000000001</v>
      </c>
      <c r="Z159" s="67">
        <f t="shared" si="45"/>
        <v>7.85E-2</v>
      </c>
      <c r="AA159" s="67">
        <f t="shared" si="54"/>
        <v>5.7839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5"/>
        <v>0802-20</v>
      </c>
      <c r="AE159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59" s="88" t="str">
        <f t="shared" si="57"/>
        <v>"C:\Program Files (x86)\AstroGrep\AstroGrep.exe" /spath="%USERPROFILE%\AppData\Local\Temp\OnboardLogs" /stypes="app*4015*20161220*" /stext=" 13:.+((SYSTEM_STATE.+slice.+state.+changed )|(ment ac)|(multiple cpu faults)|(system.+state.+changed )|(\[timeout)|(PRM\|1\|D)|(kpr)|(kdp)|(\|lc)|(penalty))" /e /r /s</v>
      </c>
      <c r="AG159" s="1" t="str">
        <f t="shared" si="58"/>
        <v>NW</v>
      </c>
      <c r="AH159" s="92" t="str">
        <f t="shared" si="59"/>
        <v>"%USERPROFILE%\Documents\GitHub\eaglep3\Utilities\RefineRTDCRunTimes.py" --tripid 802-20 --locoid 4015 --swversion DE.1.0.8.0 --startMP 300:58624 --initTime 2016-12-20T06:06:51 --startdatetime 2016-12-20T06:11:01 --delay 0 --endMP 204:785 --enddatetime 2016-12-20T06:26:29 --enforcementcount 0 &gt;&gt;C:\Users\stu\Documents\GitHub\eaglep3-reporting\EC\2016-12-20-refined-times.txt</v>
      </c>
      <c r="AI15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{"issue":{"subject":"","project_id":79,"tracker_id":40,"status_id":1,"priority_id":2,"assigned_to_id":23,"start_date":"2016-12-20","description":"","custom_fields":[{"id":1,"name":"Subdivision","value":"NW"},{"id":4,"name":"Milepost","value":"0.0785"},{"id":17,"name":"Train ID","value":"802-20"},{"id":16,"name":"Locomotive ID","value":"4015"},{"id":130,"name":"Impact","value":""},{"id":150,"name":"Time of Event (Mountain Time)","value":"06:26:29"},{"id":151,"name":"Denver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523</v>
      </c>
      <c r="B160" s="7">
        <v>4003</v>
      </c>
      <c r="C160" s="22" t="s">
        <v>205</v>
      </c>
      <c r="D160" s="22" t="s">
        <v>787</v>
      </c>
      <c r="E160" s="13">
        <v>42724.262303240743</v>
      </c>
      <c r="F160" s="13">
        <v>42724.264791666668</v>
      </c>
      <c r="G160" s="7">
        <v>1</v>
      </c>
      <c r="H160" s="22" t="s">
        <v>788</v>
      </c>
      <c r="I160" s="13">
        <v>42724.27480324074</v>
      </c>
      <c r="J160" s="7">
        <v>0</v>
      </c>
      <c r="K160" s="109" t="str">
        <f t="shared" si="46"/>
        <v>4003/4004</v>
      </c>
      <c r="L160" s="22" t="str">
        <f>VLOOKUP(A160,'Trips&amp;Operators'!$C$1:$G$99999,5,FALSE)</f>
        <v>BROWN JACOB</v>
      </c>
      <c r="M160" s="6">
        <f t="shared" si="47"/>
        <v>1.0011574071540963E-2</v>
      </c>
      <c r="N160" s="7">
        <f t="shared" si="48"/>
        <v>14.416666663018987</v>
      </c>
      <c r="O160" s="7"/>
      <c r="P160" s="7"/>
      <c r="Q160" s="23"/>
      <c r="R160" s="23"/>
      <c r="S160" s="35">
        <f t="shared" si="49"/>
        <v>1</v>
      </c>
      <c r="T160" s="50" t="str">
        <f t="shared" si="5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05:17:43-700',mode:absolute,to:'2016-12-20 07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52"/>
        <v>N</v>
      </c>
      <c r="X160" s="177">
        <f t="shared" si="61"/>
        <v>1</v>
      </c>
      <c r="Y160" s="67">
        <f t="shared" si="53"/>
        <v>0.1007</v>
      </c>
      <c r="Z160" s="67">
        <f t="shared" si="45"/>
        <v>5.8949999999999996</v>
      </c>
      <c r="AA160" s="67">
        <f t="shared" si="54"/>
        <v>5.7942999999999998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5"/>
        <v>0803-20</v>
      </c>
      <c r="AE16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60" s="88" t="str">
        <f t="shared" si="57"/>
        <v>"C:\Program Files (x86)\AstroGrep\AstroGrep.exe" /spath="%USERPROFILE%\AppData\Local\Temp\OnboardLogs" /stypes="app*4003*20161220*" /stext=" 13:.+((SYSTEM_STATE.+slice.+state.+changed )|(ment ac)|(multiple cpu faults)|(system.+state.+changed )|(\[timeout)|(PRM\|1\|D)|(kpr)|(kdp)|(\|lc)|(penalty))" /e /r /s</v>
      </c>
      <c r="AG160" s="1" t="str">
        <f t="shared" si="58"/>
        <v>NW</v>
      </c>
      <c r="AH160" s="92" t="str">
        <f t="shared" si="59"/>
        <v>"%USERPROFILE%\Documents\GitHub\eaglep3\Utilities\RefineRTDCRunTimes.py" --tripid 803-20 --locoid 4003 --swversion DE.1.0.8.0 --startMP 204:1007 --initTime 2016-12-20T06:17:43 --startdatetime 2016-12-20T06:21:18 --delay 1 --endMP 300:58950 --enddatetime 2016-12-20T06:35:43 --enforcementcount 0 &gt;&gt;C:\Users\stu\Documents\GitHub\eaglep3-reporting\EC\2016-12-20-refined-times.txt</v>
      </c>
      <c r="AI16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{"issue":{"subject":"","project_id":79,"tracker_id":40,"status_id":1,"priority_id":2,"assigned_to_id":23,"start_date":"2016-12-20","description":"","custom_fields":[{"id":1,"name":"Subdivision","value":"NW"},{"id":4,"name":"Milepost","value":"5.895"},{"id":17,"name":"Train ID","value":"803-20"},{"id":16,"name":"Locomotive ID","value":"4003"},{"id":130,"name":"Impact","value":""},{"id":150,"name":"Time of Event (Mountain Time)","value":"06:35:43"},{"id":151,"name":"Denver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525</v>
      </c>
      <c r="B161" s="7">
        <v>4004</v>
      </c>
      <c r="C161" s="22" t="s">
        <v>205</v>
      </c>
      <c r="D161" s="22" t="s">
        <v>789</v>
      </c>
      <c r="E161" s="13">
        <v>42724.276342592595</v>
      </c>
      <c r="F161" s="13">
        <v>42724.278414351851</v>
      </c>
      <c r="G161" s="7">
        <v>1</v>
      </c>
      <c r="H161" s="22" t="s">
        <v>449</v>
      </c>
      <c r="I161" s="13">
        <v>42724.289039351854</v>
      </c>
      <c r="J161" s="7">
        <v>0</v>
      </c>
      <c r="K161" s="109" t="str">
        <f t="shared" si="46"/>
        <v>4003/4004</v>
      </c>
      <c r="L161" s="22" t="str">
        <f>VLOOKUP(A161,'Trips&amp;Operators'!$C$1:$G$99999,5,FALSE)</f>
        <v>BROWN JACOB</v>
      </c>
      <c r="M161" s="6">
        <f t="shared" si="47"/>
        <v>1.0625000002619345E-2</v>
      </c>
      <c r="N161" s="7">
        <f t="shared" si="48"/>
        <v>15.300000003771856</v>
      </c>
      <c r="O161" s="7"/>
      <c r="P161" s="7"/>
      <c r="Q161" s="23"/>
      <c r="R161" s="23"/>
      <c r="S161" s="35">
        <f t="shared" si="49"/>
        <v>1</v>
      </c>
      <c r="T161" s="50" t="str">
        <f t="shared" si="5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05:37:56-700',mode:absolute,to:'2016-12-20 07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52"/>
        <v>N</v>
      </c>
      <c r="X161" s="177">
        <f t="shared" si="61"/>
        <v>1</v>
      </c>
      <c r="Y161" s="67">
        <f t="shared" si="53"/>
        <v>5.8625999999999996</v>
      </c>
      <c r="Z161" s="67">
        <f t="shared" si="45"/>
        <v>7.0599999999999996E-2</v>
      </c>
      <c r="AA161" s="67">
        <f t="shared" si="54"/>
        <v>5.7919999999999998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5"/>
        <v>0804-20</v>
      </c>
      <c r="AE16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61" s="88" t="str">
        <f t="shared" si="57"/>
        <v>"C:\Program Files (x86)\AstroGrep\AstroGrep.exe" /spath="%USERPROFILE%\AppData\Local\Temp\OnboardLogs" /stypes="app*4004*20161220*" /stext=" 13:.+((SYSTEM_STATE.+slice.+state.+changed )|(ment ac)|(multiple cpu faults)|(system.+state.+changed )|(\[timeout)|(PRM\|1\|D)|(kpr)|(kdp)|(\|lc)|(penalty))" /e /r /s</v>
      </c>
      <c r="AG161" s="1" t="str">
        <f t="shared" si="58"/>
        <v>NW</v>
      </c>
      <c r="AH161" s="92" t="str">
        <f t="shared" si="59"/>
        <v>"%USERPROFILE%\Documents\GitHub\eaglep3\Utilities\RefineRTDCRunTimes.py" --tripid 804-20 --locoid 4004 --swversion DE.1.0.8.0 --startMP 300:58626 --initTime 2016-12-20T06:37:56 --startdatetime 2016-12-20T06:40:55 --delay 1 --endMP 204:706 --enddatetime 2016-12-20T06:56:13 --enforcementcount 0 &gt;&gt;C:\Users\stu\Documents\GitHub\eaglep3-reporting\EC\2016-12-20-refined-times.txt</v>
      </c>
      <c r="AI16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{"issue":{"subject":"","project_id":79,"tracker_id":40,"status_id":1,"priority_id":2,"assigned_to_id":23,"start_date":"2016-12-20","description":"","custom_fields":[{"id":1,"name":"Subdivision","value":"NW"},{"id":4,"name":"Milepost","value":"0.0706"},{"id":17,"name":"Train ID","value":"804-20"},{"id":16,"name":"Locomotive ID","value":"4004"},{"id":130,"name":"Impact","value":""},{"id":150,"name":"Time of Event (Mountain Time)","value":"06:56:13"},{"id":151,"name":"Denver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527</v>
      </c>
      <c r="B162" s="7">
        <v>4016</v>
      </c>
      <c r="C162" s="22" t="s">
        <v>205</v>
      </c>
      <c r="D162" s="22" t="s">
        <v>790</v>
      </c>
      <c r="E162" s="13">
        <v>42724.279444444444</v>
      </c>
      <c r="F162" s="13">
        <v>42724.285671296297</v>
      </c>
      <c r="G162" s="7">
        <v>1</v>
      </c>
      <c r="H162" s="22" t="s">
        <v>312</v>
      </c>
      <c r="I162" s="13">
        <v>42724.295011574075</v>
      </c>
      <c r="J162" s="7">
        <v>0</v>
      </c>
      <c r="K162" s="109" t="str">
        <f t="shared" si="46"/>
        <v>4015/4016</v>
      </c>
      <c r="L162" s="22" t="str">
        <f>VLOOKUP(A162,'Trips&amp;Operators'!$C$1:$G$99999,5,FALSE)</f>
        <v>SIMMONS SHYHESHA</v>
      </c>
      <c r="M162" s="6">
        <f t="shared" si="47"/>
        <v>9.340277778392192E-3</v>
      </c>
      <c r="N162" s="7">
        <f t="shared" si="48"/>
        <v>13.450000000884756</v>
      </c>
      <c r="O162" s="7"/>
      <c r="P162" s="7"/>
      <c r="Q162" s="23"/>
      <c r="R162" s="23"/>
      <c r="S162" s="35">
        <f t="shared" si="49"/>
        <v>1</v>
      </c>
      <c r="T162" s="50" t="str">
        <f t="shared" si="5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05:42:24-700',mode:absolute,to:'2016-12-20 08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2" s="52" t="str">
        <f t="shared" si="52"/>
        <v>N</v>
      </c>
      <c r="X162" s="177">
        <f t="shared" si="61"/>
        <v>1</v>
      </c>
      <c r="Y162" s="67">
        <f t="shared" si="53"/>
        <v>0.1069</v>
      </c>
      <c r="Z162" s="67">
        <f t="shared" ref="Z162:Z193" si="62">RIGHT(H162,LEN(H162)-4)/10000</f>
        <v>5.8924000000000003</v>
      </c>
      <c r="AA162" s="67">
        <f t="shared" si="54"/>
        <v>5.7855000000000008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5"/>
        <v>0805-20</v>
      </c>
      <c r="AE162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62" s="88" t="str">
        <f t="shared" si="57"/>
        <v>"C:\Program Files (x86)\AstroGrep\AstroGrep.exe" /spath="%USERPROFILE%\AppData\Local\Temp\OnboardLogs" /stypes="app*4016*20161220*" /stext=" 14:.+((SYSTEM_STATE.+slice.+state.+changed )|(ment ac)|(multiple cpu faults)|(system.+state.+changed )|(\[timeout)|(PRM\|1\|D)|(kpr)|(kdp)|(\|lc)|(penalty))" /e /r /s</v>
      </c>
      <c r="AG162" s="1" t="str">
        <f t="shared" si="58"/>
        <v>NW</v>
      </c>
      <c r="AH162" s="92" t="str">
        <f t="shared" si="59"/>
        <v>"%USERPROFILE%\Documents\GitHub\eaglep3\Utilities\RefineRTDCRunTimes.py" --tripid 805-20 --locoid 4016 --swversion DE.1.0.8.0 --startMP 204:1069 --initTime 2016-12-20T06:42:24 --startdatetime 2016-12-20T06:51:22 --delay 1 --endMP 300:58924 --enddatetime 2016-12-20T07:04:49 --enforcementcount 0 &gt;&gt;C:\Users\stu\Documents\GitHub\eaglep3-reporting\EC\2016-12-20-refined-times.txt</v>
      </c>
      <c r="AI16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{"issue":{"subject":"","project_id":79,"tracker_id":40,"status_id":1,"priority_id":2,"assigned_to_id":23,"start_date":"2016-12-20","description":"","custom_fields":[{"id":1,"name":"Subdivision","value":"NW"},{"id":4,"name":"Milepost","value":"5.8924"},{"id":17,"name":"Train ID","value":"805-20"},{"id":16,"name":"Locomotive ID","value":"4016"},{"id":130,"name":"Impact","value":""},{"id":150,"name":"Time of Event (Mountain Time)","value":"07:04:49"},{"id":151,"name":"Denver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530</v>
      </c>
      <c r="B163" s="7">
        <v>4015</v>
      </c>
      <c r="C163" s="22" t="s">
        <v>205</v>
      </c>
      <c r="D163" s="22" t="s">
        <v>444</v>
      </c>
      <c r="E163" s="13">
        <v>42724.296412037038</v>
      </c>
      <c r="F163" s="13">
        <v>42724.298495370371</v>
      </c>
      <c r="G163" s="7">
        <v>1</v>
      </c>
      <c r="H163" s="22" t="s">
        <v>791</v>
      </c>
      <c r="I163" s="13">
        <v>42724.309351851851</v>
      </c>
      <c r="J163" s="7">
        <v>0</v>
      </c>
      <c r="K163" s="109" t="str">
        <f t="shared" si="46"/>
        <v>4015/4016</v>
      </c>
      <c r="L163" s="22" t="str">
        <f>VLOOKUP(A163,'Trips&amp;Operators'!$C$1:$G$99999,5,FALSE)</f>
        <v>SIMMONS SHYHESHA</v>
      </c>
      <c r="M163" s="6">
        <f t="shared" si="47"/>
        <v>1.0856481480004732E-2</v>
      </c>
      <c r="N163" s="7">
        <f t="shared" si="48"/>
        <v>15.633333331206813</v>
      </c>
      <c r="O163" s="7"/>
      <c r="P163" s="7"/>
      <c r="Q163" s="23"/>
      <c r="R163" s="23"/>
      <c r="S163" s="35">
        <f t="shared" si="49"/>
        <v>1</v>
      </c>
      <c r="T163" s="50" t="str">
        <f t="shared" si="5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06:06:50-700',mode:absolute,to:'2016-12-20 08:25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3" s="52" t="str">
        <f t="shared" si="52"/>
        <v>N</v>
      </c>
      <c r="X163" s="177">
        <f t="shared" si="61"/>
        <v>1</v>
      </c>
      <c r="Y163" s="67">
        <f t="shared" si="53"/>
        <v>5.8609</v>
      </c>
      <c r="Z163" s="67">
        <f t="shared" si="62"/>
        <v>7.17E-2</v>
      </c>
      <c r="AA163" s="67">
        <f t="shared" si="54"/>
        <v>5.7892000000000001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5"/>
        <v>0806-20</v>
      </c>
      <c r="AE163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63" s="88" t="str">
        <f t="shared" si="57"/>
        <v>"C:\Program Files (x86)\AstroGrep\AstroGrep.exe" /spath="%USERPROFILE%\AppData\Local\Temp\OnboardLogs" /stypes="app*4015*20161220*" /stext=" 14:.+((SYSTEM_STATE.+slice.+state.+changed )|(ment ac)|(multiple cpu faults)|(system.+state.+changed )|(\[timeout)|(PRM\|1\|D)|(kpr)|(kdp)|(\|lc)|(penalty))" /e /r /s</v>
      </c>
      <c r="AG163" s="1" t="str">
        <f t="shared" si="58"/>
        <v>NW</v>
      </c>
      <c r="AH163" s="92" t="str">
        <f t="shared" si="59"/>
        <v>"%USERPROFILE%\Documents\GitHub\eaglep3\Utilities\RefineRTDCRunTimes.py" --tripid 806-20 --locoid 4015 --swversion DE.1.0.8.0 --startMP 300:58609 --initTime 2016-12-20T07:06:50 --startdatetime 2016-12-20T07:09:50 --delay 1 --endMP 204:717 --enddatetime 2016-12-20T07:25:28 --enforcementcount 0 &gt;&gt;C:\Users\stu\Documents\GitHub\eaglep3-reporting\EC\2016-12-20-refined-times.txt</v>
      </c>
      <c r="AI16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{"issue":{"subject":"","project_id":79,"tracker_id":40,"status_id":1,"priority_id":2,"assigned_to_id":23,"start_date":"2016-12-20","description":"","custom_fields":[{"id":1,"name":"Subdivision","value":"NW"},{"id":4,"name":"Milepost","value":"0.0717"},{"id":17,"name":"Train ID","value":"806-20"},{"id":16,"name":"Locomotive ID","value":"4015"},{"id":130,"name":"Impact","value":""},{"id":150,"name":"Time of Event (Mountain Time)","value":"07:25:28"},{"id":151,"name":"Denver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532</v>
      </c>
      <c r="B164" s="7">
        <v>4003</v>
      </c>
      <c r="C164" s="22" t="s">
        <v>205</v>
      </c>
      <c r="D164" s="22" t="s">
        <v>454</v>
      </c>
      <c r="E164" s="13">
        <v>42724.304918981485</v>
      </c>
      <c r="F164" s="13">
        <v>42724.30641203704</v>
      </c>
      <c r="G164" s="7">
        <v>0</v>
      </c>
      <c r="H164" s="22" t="s">
        <v>788</v>
      </c>
      <c r="I164" s="13">
        <v>42724.315717592595</v>
      </c>
      <c r="J164" s="7">
        <v>0</v>
      </c>
      <c r="K164" s="109" t="str">
        <f t="shared" si="46"/>
        <v>4003/4004</v>
      </c>
      <c r="L164" s="22" t="str">
        <f>VLOOKUP(A164,'Trips&amp;Operators'!$C$1:$G$99999,5,FALSE)</f>
        <v>BROWN JACOB</v>
      </c>
      <c r="M164" s="6">
        <f t="shared" si="47"/>
        <v>9.3055555553291924E-3</v>
      </c>
      <c r="N164" s="7">
        <f t="shared" si="48"/>
        <v>13.399999999674037</v>
      </c>
      <c r="O164" s="7"/>
      <c r="P164" s="7"/>
      <c r="Q164" s="23"/>
      <c r="R164" s="23"/>
      <c r="S164" s="35">
        <f t="shared" si="49"/>
        <v>1</v>
      </c>
      <c r="T164" s="50" t="str">
        <f t="shared" si="5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06:19:05-700',mode:absolute,to:'2016-12-20 08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52"/>
        <v>N</v>
      </c>
      <c r="X164" s="177">
        <f t="shared" si="61"/>
        <v>1</v>
      </c>
      <c r="Y164" s="67">
        <f t="shared" si="53"/>
        <v>0.1009</v>
      </c>
      <c r="Z164" s="67">
        <f t="shared" si="62"/>
        <v>5.8949999999999996</v>
      </c>
      <c r="AA164" s="67">
        <f t="shared" si="54"/>
        <v>5.7940999999999994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5"/>
        <v>0807-20</v>
      </c>
      <c r="AE164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64" s="88" t="str">
        <f t="shared" si="57"/>
        <v>"C:\Program Files (x86)\AstroGrep\AstroGrep.exe" /spath="%USERPROFILE%\AppData\Local\Temp\OnboardLogs" /stypes="app*4003*20161220*" /stext=" 14:.+((SYSTEM_STATE.+slice.+state.+changed )|(ment ac)|(multiple cpu faults)|(system.+state.+changed )|(\[timeout)|(PRM\|1\|D)|(kpr)|(kdp)|(\|lc)|(penalty))" /e /r /s</v>
      </c>
      <c r="AG164" s="1" t="str">
        <f t="shared" si="58"/>
        <v>NW</v>
      </c>
      <c r="AH164" s="92" t="str">
        <f t="shared" si="59"/>
        <v>"%USERPROFILE%\Documents\GitHub\eaglep3\Utilities\RefineRTDCRunTimes.py" --tripid 807-20 --locoid 4003 --swversion DE.1.0.8.0 --startMP 204:1009 --initTime 2016-12-20T07:19:05 --startdatetime 2016-12-20T07:21:14 --delay 0 --endMP 300:58950 --enddatetime 2016-12-20T07:34:38 --enforcementcount 0 &gt;&gt;C:\Users\stu\Documents\GitHub\eaglep3-reporting\EC\2016-12-20-refined-times.txt</v>
      </c>
      <c r="AI16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{"issue":{"subject":"","project_id":79,"tracker_id":40,"status_id":1,"priority_id":2,"assigned_to_id":23,"start_date":"2016-12-20","description":"","custom_fields":[{"id":1,"name":"Subdivision","value":"NW"},{"id":4,"name":"Milepost","value":"5.895"},{"id":17,"name":"Train ID","value":"807-20"},{"id":16,"name":"Locomotive ID","value":"4003"},{"id":130,"name":"Impact","value":""},{"id":150,"name":"Time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536</v>
      </c>
      <c r="B165" s="7">
        <v>4004</v>
      </c>
      <c r="C165" s="22" t="s">
        <v>205</v>
      </c>
      <c r="D165" s="22" t="s">
        <v>792</v>
      </c>
      <c r="E165" s="13">
        <v>42724.316574074073</v>
      </c>
      <c r="F165" s="13">
        <v>42724.318043981482</v>
      </c>
      <c r="G165" s="7">
        <v>1</v>
      </c>
      <c r="H165" s="22" t="s">
        <v>439</v>
      </c>
      <c r="I165" s="13">
        <v>42724.330787037034</v>
      </c>
      <c r="J165" s="7">
        <v>0</v>
      </c>
      <c r="K165" s="109" t="str">
        <f t="shared" si="46"/>
        <v>4003/4004</v>
      </c>
      <c r="L165" s="22" t="str">
        <f>VLOOKUP(A165,'Trips&amp;Operators'!$C$1:$G$99999,5,FALSE)</f>
        <v>BROWN JACOB</v>
      </c>
      <c r="M165" s="6">
        <f t="shared" si="47"/>
        <v>1.2743055551254656E-2</v>
      </c>
      <c r="N165" s="7">
        <f t="shared" si="48"/>
        <v>18.349999993806705</v>
      </c>
      <c r="O165" s="7"/>
      <c r="P165" s="7"/>
      <c r="Q165" s="23"/>
      <c r="R165" s="23"/>
      <c r="S165" s="35">
        <f t="shared" si="49"/>
        <v>1</v>
      </c>
      <c r="T165" s="50" t="str">
        <f t="shared" si="5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06:35:52-700',mode:absolute,to:'2016-12-20 08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52"/>
        <v>N</v>
      </c>
      <c r="X165" s="177">
        <f t="shared" si="61"/>
        <v>1</v>
      </c>
      <c r="Y165" s="67">
        <f t="shared" si="53"/>
        <v>5.8638000000000003</v>
      </c>
      <c r="Z165" s="67">
        <f t="shared" si="62"/>
        <v>7.4700000000000003E-2</v>
      </c>
      <c r="AA165" s="67">
        <f t="shared" si="54"/>
        <v>5.7891000000000004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5"/>
        <v>0808-20</v>
      </c>
      <c r="AE165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65" s="88" t="str">
        <f t="shared" si="57"/>
        <v>"C:\Program Files (x86)\AstroGrep\AstroGrep.exe" /spath="%USERPROFILE%\AppData\Local\Temp\OnboardLogs" /stypes="app*4004*20161220*" /stext=" 14:.+((SYSTEM_STATE.+slice.+state.+changed )|(ment ac)|(multiple cpu faults)|(system.+state.+changed )|(\[timeout)|(PRM\|1\|D)|(kpr)|(kdp)|(\|lc)|(penalty))" /e /r /s</v>
      </c>
      <c r="AG165" s="1" t="str">
        <f t="shared" si="58"/>
        <v>NW</v>
      </c>
      <c r="AH165" s="92" t="str">
        <f t="shared" si="59"/>
        <v>"%USERPROFILE%\Documents\GitHub\eaglep3\Utilities\RefineRTDCRunTimes.py" --tripid 808-20 --locoid 4004 --swversion DE.1.0.8.0 --startMP 300:58638 --initTime 2016-12-20T07:35:52 --startdatetime 2016-12-20T07:37:59 --delay 1 --endMP 204:747 --enddatetime 2016-12-20T07:56:20 --enforcementcount 0 &gt;&gt;C:\Users\stu\Documents\GitHub\eaglep3-reporting\EC\2016-12-20-refined-times.txt</v>
      </c>
      <c r="AI16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{"issue":{"subject":"","project_id":79,"tracker_id":40,"status_id":1,"priority_id":2,"assigned_to_id":23,"start_date":"2016-12-20","description":"","custom_fields":[{"id":1,"name":"Subdivision","value":"NW"},{"id":4,"name":"Milepost","value":"0.0747"},{"id":17,"name":"Train ID","value":"808-20"},{"id":16,"name":"Locomotive ID","value":"4004"},{"id":130,"name":"Impact","value":""},{"id":150,"name":"Time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538</v>
      </c>
      <c r="B166" s="7">
        <v>4016</v>
      </c>
      <c r="C166" s="22" t="s">
        <v>205</v>
      </c>
      <c r="D166" s="22" t="s">
        <v>793</v>
      </c>
      <c r="E166" s="13">
        <v>42724.325729166667</v>
      </c>
      <c r="F166" s="13">
        <v>42724.327638888892</v>
      </c>
      <c r="G166" s="7">
        <v>1</v>
      </c>
      <c r="H166" s="22" t="s">
        <v>442</v>
      </c>
      <c r="I166" s="13">
        <v>42724.336886574078</v>
      </c>
      <c r="J166" s="7">
        <v>0</v>
      </c>
      <c r="K166" s="109" t="str">
        <f t="shared" si="46"/>
        <v>4015/4016</v>
      </c>
      <c r="L166" s="22" t="str">
        <f>VLOOKUP(A166,'Trips&amp;Operators'!$C$1:$G$99999,5,FALSE)</f>
        <v>SIMMONS SHYHESHA</v>
      </c>
      <c r="M166" s="6">
        <f t="shared" si="47"/>
        <v>9.2476851859828457E-3</v>
      </c>
      <c r="N166" s="7">
        <f t="shared" si="48"/>
        <v>13.316666667815298</v>
      </c>
      <c r="O166" s="7"/>
      <c r="P166" s="7"/>
      <c r="Q166" s="23"/>
      <c r="R166" s="23"/>
      <c r="S166" s="35">
        <f t="shared" si="49"/>
        <v>1</v>
      </c>
      <c r="T166" s="50" t="str">
        <f t="shared" si="5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06:49:03-700',mode:absolute,to:'2016-12-20 09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6" s="52" t="str">
        <f t="shared" si="52"/>
        <v>N</v>
      </c>
      <c r="X166" s="177">
        <f t="shared" si="61"/>
        <v>1</v>
      </c>
      <c r="Y166" s="67">
        <f t="shared" si="53"/>
        <v>0.1002</v>
      </c>
      <c r="Z166" s="67">
        <f t="shared" si="62"/>
        <v>5.8948</v>
      </c>
      <c r="AA166" s="67">
        <f t="shared" si="54"/>
        <v>5.7946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5"/>
        <v>0809-20</v>
      </c>
      <c r="AE166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66" s="88" t="str">
        <f t="shared" si="57"/>
        <v>"C:\Program Files (x86)\AstroGrep\AstroGrep.exe" /spath="%USERPROFILE%\AppData\Local\Temp\OnboardLogs" /stypes="app*4016*20161220*" /stext=" 15:.+((SYSTEM_STATE.+slice.+state.+changed )|(ment ac)|(multiple cpu faults)|(system.+state.+changed )|(\[timeout)|(PRM\|1\|D)|(kpr)|(kdp)|(\|lc)|(penalty))" /e /r /s</v>
      </c>
      <c r="AG166" s="1" t="str">
        <f t="shared" si="58"/>
        <v>NW</v>
      </c>
      <c r="AH166" s="92" t="str">
        <f t="shared" si="59"/>
        <v>"%USERPROFILE%\Documents\GitHub\eaglep3\Utilities\RefineRTDCRunTimes.py" --tripid 809-20 --locoid 4016 --swversion DE.1.0.8.0 --startMP 204:1002 --initTime 2016-12-20T07:49:03 --startdatetime 2016-12-20T07:51:48 --delay 1 --endMP 300:58948 --enddatetime 2016-12-20T08:05:07 --enforcementcount 0 &gt;&gt;C:\Users\stu\Documents\GitHub\eaglep3-reporting\EC\2016-12-20-refined-times.txt</v>
      </c>
      <c r="AI16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{"issue":{"subject":"","project_id":79,"tracker_id":40,"status_id":1,"priority_id":2,"assigned_to_id":23,"start_date":"2016-12-20","description":"","custom_fields":[{"id":1,"name":"Subdivision","value":"NW"},{"id":4,"name":"Milepost","value":"5.8948"},{"id":17,"name":"Train ID","value":"809-20"},{"id":16,"name":"Locomotive ID","value":"4016"},{"id":130,"name":"Impact","value":""},{"id":150,"name":"Time of Event (Mountain Time)","value":"08:05:07"},{"id":151,"name":"Denver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465</v>
      </c>
      <c r="B167" s="7">
        <v>4015</v>
      </c>
      <c r="C167" s="22" t="s">
        <v>205</v>
      </c>
      <c r="D167" s="22" t="s">
        <v>440</v>
      </c>
      <c r="E167" s="13">
        <v>42724.339965277781</v>
      </c>
      <c r="F167" s="13">
        <v>42724.341192129628</v>
      </c>
      <c r="G167" s="7">
        <v>0</v>
      </c>
      <c r="H167" s="22" t="s">
        <v>450</v>
      </c>
      <c r="I167" s="13">
        <v>42724.35359953704</v>
      </c>
      <c r="J167" s="7">
        <v>0</v>
      </c>
      <c r="K167" s="109" t="str">
        <f t="shared" si="46"/>
        <v>4015/4016</v>
      </c>
      <c r="L167" s="22" t="str">
        <f>VLOOKUP(A167,'Trips&amp;Operators'!$C$1:$G$99999,5,FALSE)</f>
        <v>SIMMONS SHYHESHA</v>
      </c>
      <c r="M167" s="6">
        <f t="shared" si="47"/>
        <v>1.2407407411956228E-2</v>
      </c>
      <c r="N167" s="7">
        <f t="shared" si="48"/>
        <v>17.866666673216969</v>
      </c>
      <c r="O167" s="7"/>
      <c r="P167" s="7"/>
      <c r="Q167" s="23"/>
      <c r="R167" s="23"/>
      <c r="S167" s="35">
        <f t="shared" si="49"/>
        <v>1</v>
      </c>
      <c r="T167" s="50" t="str">
        <f t="shared" si="5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07:09:33-700',mode:absolute,to:'2016-12-20 09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7" s="52" t="str">
        <f t="shared" si="52"/>
        <v>N</v>
      </c>
      <c r="X167" s="177">
        <f t="shared" si="61"/>
        <v>1</v>
      </c>
      <c r="Y167" s="67">
        <f t="shared" si="53"/>
        <v>5.8630000000000004</v>
      </c>
      <c r="Z167" s="67">
        <f t="shared" si="62"/>
        <v>9.8799999999999999E-2</v>
      </c>
      <c r="AA167" s="67">
        <f t="shared" si="54"/>
        <v>5.7642000000000007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5"/>
        <v>0810-20</v>
      </c>
      <c r="AE167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67" s="88" t="str">
        <f t="shared" si="57"/>
        <v>"C:\Program Files (x86)\AstroGrep\AstroGrep.exe" /spath="%USERPROFILE%\AppData\Local\Temp\OnboardLogs" /stypes="app*4015*20161220*" /stext=" 15:.+((SYSTEM_STATE.+slice.+state.+changed )|(ment ac)|(multiple cpu faults)|(system.+state.+changed )|(\[timeout)|(PRM\|1\|D)|(kpr)|(kdp)|(\|lc)|(penalty))" /e /r /s</v>
      </c>
      <c r="AG167" s="1" t="str">
        <f t="shared" si="58"/>
        <v>NW</v>
      </c>
      <c r="AH167" s="92" t="str">
        <f t="shared" si="59"/>
        <v>"%USERPROFILE%\Documents\GitHub\eaglep3\Utilities\RefineRTDCRunTimes.py" --tripid 810-20 --locoid 4015 --swversion DE.1.0.8.0 --startMP 300:58630 --initTime 2016-12-20T08:09:33 --startdatetime 2016-12-20T08:11:19 --delay 0 --endMP 204:988 --enddatetime 2016-12-20T08:29:11 --enforcementcount 0 &gt;&gt;C:\Users\stu\Documents\GitHub\eaglep3-reporting\EC\2016-12-20-refined-times.txt</v>
      </c>
      <c r="AI16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{"issue":{"subject":"","project_id":79,"tracker_id":40,"status_id":1,"priority_id":2,"assigned_to_id":23,"start_date":"2016-12-20","description":"","custom_fields":[{"id":1,"name":"Subdivision","value":"NW"},{"id":4,"name":"Milepost","value":"0.0988"},{"id":17,"name":"Train ID","value":"810-20"},{"id":16,"name":"Locomotive ID","value":"4015"},{"id":130,"name":"Impact","value":""},{"id":150,"name":"Time of Event (Mountain Time)","value":"08:29:11"},{"id":151,"name":"Denver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541</v>
      </c>
      <c r="B168" s="7">
        <v>4003</v>
      </c>
      <c r="C168" s="22" t="s">
        <v>205</v>
      </c>
      <c r="D168" s="22" t="s">
        <v>353</v>
      </c>
      <c r="E168" s="13">
        <v>42724.349618055552</v>
      </c>
      <c r="F168" s="13">
        <v>42724.351099537038</v>
      </c>
      <c r="G168" s="7">
        <v>1</v>
      </c>
      <c r="H168" s="22" t="s">
        <v>442</v>
      </c>
      <c r="I168" s="13">
        <v>42724.360601851855</v>
      </c>
      <c r="J168" s="7">
        <v>0</v>
      </c>
      <c r="K168" s="109" t="str">
        <f t="shared" si="46"/>
        <v>4003/4004</v>
      </c>
      <c r="L168" s="22" t="str">
        <f>VLOOKUP(A168,'Trips&amp;Operators'!$C$1:$G$99999,5,FALSE)</f>
        <v>BROWN JACOB</v>
      </c>
      <c r="M168" s="6">
        <f t="shared" si="47"/>
        <v>9.5023148169275373E-3</v>
      </c>
      <c r="N168" s="7">
        <f t="shared" si="48"/>
        <v>13.683333336375654</v>
      </c>
      <c r="O168" s="7"/>
      <c r="P168" s="7"/>
      <c r="Q168" s="23"/>
      <c r="R168" s="23"/>
      <c r="S168" s="35">
        <f t="shared" si="49"/>
        <v>1</v>
      </c>
      <c r="T168" s="50" t="str">
        <f t="shared" si="5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07:23:27-700',mode:absolute,to:'2016-12-20 09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52"/>
        <v>N</v>
      </c>
      <c r="X168" s="177">
        <f t="shared" si="61"/>
        <v>1</v>
      </c>
      <c r="Y168" s="67">
        <f t="shared" si="53"/>
        <v>0.1018</v>
      </c>
      <c r="Z168" s="67">
        <f t="shared" si="62"/>
        <v>5.8948</v>
      </c>
      <c r="AA168" s="67">
        <f t="shared" si="54"/>
        <v>5.7930000000000001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5"/>
        <v>0811-20</v>
      </c>
      <c r="AE168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68" s="88" t="str">
        <f t="shared" si="57"/>
        <v>"C:\Program Files (x86)\AstroGrep\AstroGrep.exe" /spath="%USERPROFILE%\AppData\Local\Temp\OnboardLogs" /stypes="app*4003*20161220*" /stext=" 15:.+((SYSTEM_STATE.+slice.+state.+changed )|(ment ac)|(multiple cpu faults)|(system.+state.+changed )|(\[timeout)|(PRM\|1\|D)|(kpr)|(kdp)|(\|lc)|(penalty))" /e /r /s</v>
      </c>
      <c r="AG168" s="1" t="str">
        <f t="shared" si="58"/>
        <v>NW</v>
      </c>
      <c r="AH168" s="92" t="str">
        <f t="shared" si="59"/>
        <v>"%USERPROFILE%\Documents\GitHub\eaglep3\Utilities\RefineRTDCRunTimes.py" --tripid 811-20 --locoid 4003 --swversion DE.1.0.8.0 --startMP 204:1018 --initTime 2016-12-20T08:23:27 --startdatetime 2016-12-20T08:25:35 --delay 1 --endMP 300:58948 --enddatetime 2016-12-20T08:39:16 --enforcementcount 0 &gt;&gt;C:\Users\stu\Documents\GitHub\eaglep3-reporting\EC\2016-12-20-refined-times.txt</v>
      </c>
      <c r="AI16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{"issue":{"subject":"","project_id":79,"tracker_id":40,"status_id":1,"priority_id":2,"assigned_to_id":23,"start_date":"2016-12-20","description":"","custom_fields":[{"id":1,"name":"Subdivision","value":"NW"},{"id":4,"name":"Milepost","value":"5.8948"},{"id":17,"name":"Train ID","value":"811-20"},{"id":16,"name":"Locomotive ID","value":"4003"},{"id":130,"name":"Impact","value":""},{"id":150,"name":"Time of Event (Mountain Time)","value":"08:39:16"},{"id":151,"name":"Denver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549</v>
      </c>
      <c r="B169" s="7">
        <v>4004</v>
      </c>
      <c r="C169" s="22" t="s">
        <v>205</v>
      </c>
      <c r="D169" s="22" t="s">
        <v>789</v>
      </c>
      <c r="E169" s="13">
        <v>42724.361643518518</v>
      </c>
      <c r="F169" s="13">
        <v>42724.363344907404</v>
      </c>
      <c r="G169" s="7">
        <v>2</v>
      </c>
      <c r="H169" s="22" t="s">
        <v>437</v>
      </c>
      <c r="I169" s="13">
        <v>42724.372129629628</v>
      </c>
      <c r="J169" s="7">
        <v>0</v>
      </c>
      <c r="K169" s="109" t="str">
        <f t="shared" si="46"/>
        <v>4003/4004</v>
      </c>
      <c r="L169" s="22" t="str">
        <f>VLOOKUP(A169,'Trips&amp;Operators'!$C$1:$G$99999,5,FALSE)</f>
        <v>BROWN JACOB</v>
      </c>
      <c r="M169" s="6">
        <f t="shared" si="47"/>
        <v>8.7847222239361145E-3</v>
      </c>
      <c r="N169" s="7">
        <f t="shared" si="48"/>
        <v>12.650000002468005</v>
      </c>
      <c r="O169" s="7"/>
      <c r="P169" s="7"/>
      <c r="Q169" s="23"/>
      <c r="R169" s="23"/>
      <c r="S169" s="35">
        <f t="shared" si="49"/>
        <v>1</v>
      </c>
      <c r="T169" s="50" t="str">
        <f t="shared" si="5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07:40:46-700',mode:absolute,to:'2016-12-20 09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52"/>
        <v>N</v>
      </c>
      <c r="X169" s="177">
        <f t="shared" si="61"/>
        <v>1</v>
      </c>
      <c r="Y169" s="67">
        <f t="shared" si="53"/>
        <v>5.8625999999999996</v>
      </c>
      <c r="Z169" s="67">
        <f t="shared" si="62"/>
        <v>7.3999999999999996E-2</v>
      </c>
      <c r="AA169" s="67">
        <f t="shared" si="54"/>
        <v>5.7885999999999997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5"/>
        <v>0812-20</v>
      </c>
      <c r="AE169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69" s="88" t="str">
        <f t="shared" si="57"/>
        <v>"C:\Program Files (x86)\AstroGrep\AstroGrep.exe" /spath="%USERPROFILE%\AppData\Local\Temp\OnboardLogs" /stypes="app*4004*20161220*" /stext=" 15:.+((SYSTEM_STATE.+slice.+state.+changed )|(ment ac)|(multiple cpu faults)|(system.+state.+changed )|(\[timeout)|(PRM\|1\|D)|(kpr)|(kdp)|(\|lc)|(penalty))" /e /r /s</v>
      </c>
      <c r="AG169" s="1" t="str">
        <f t="shared" si="58"/>
        <v>NW</v>
      </c>
      <c r="AH169" s="92" t="str">
        <f t="shared" si="59"/>
        <v>"%USERPROFILE%\Documents\GitHub\eaglep3\Utilities\RefineRTDCRunTimes.py" --tripid 812-20 --locoid 4004 --swversion DE.1.0.8.0 --startMP 300:58626 --initTime 2016-12-20T08:40:46 --startdatetime 2016-12-20T08:43:13 --delay 2 --endMP 204:740 --enddatetime 2016-12-20T08:55:52 --enforcementcount 0 &gt;&gt;C:\Users\stu\Documents\GitHub\eaglep3-reporting\EC\2016-12-20-refined-times.txt</v>
      </c>
      <c r="AI16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{"issue":{"subject":"","project_id":79,"tracker_id":40,"status_id":1,"priority_id":2,"assigned_to_id":23,"start_date":"2016-12-20","description":"","custom_fields":[{"id":1,"name":"Subdivision","value":"NW"},{"id":4,"name":"Milepost","value":"0.074"},{"id":17,"name":"Train ID","value":"812-20"},{"id":16,"name":"Locomotive ID","value":"4004"},{"id":130,"name":"Impact","value":""},{"id":150,"name":"Time of Event (Mountain Time)","value":"08:55:52"},{"id":151,"name":"Denver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552</v>
      </c>
      <c r="B170" s="7">
        <v>4003</v>
      </c>
      <c r="C170" s="22" t="s">
        <v>205</v>
      </c>
      <c r="D170" s="22" t="s">
        <v>454</v>
      </c>
      <c r="E170" s="13">
        <v>42724.384675925925</v>
      </c>
      <c r="F170" s="13">
        <v>42724.390150462961</v>
      </c>
      <c r="G170" s="7">
        <v>1</v>
      </c>
      <c r="H170" s="22" t="s">
        <v>311</v>
      </c>
      <c r="I170" s="13">
        <v>42724.39949074074</v>
      </c>
      <c r="J170" s="7">
        <v>0</v>
      </c>
      <c r="K170" s="109" t="str">
        <f t="shared" si="46"/>
        <v>4003/4004</v>
      </c>
      <c r="L170" s="22" t="str">
        <f>VLOOKUP(A170,'Trips&amp;Operators'!$C$1:$G$99999,5,FALSE)</f>
        <v>BROWN JACOB</v>
      </c>
      <c r="M170" s="6">
        <f t="shared" si="47"/>
        <v>9.340277778392192E-3</v>
      </c>
      <c r="N170" s="7">
        <f t="shared" si="48"/>
        <v>13.450000000884756</v>
      </c>
      <c r="O170" s="7"/>
      <c r="P170" s="7"/>
      <c r="Q170" s="23"/>
      <c r="R170" s="23"/>
      <c r="S170" s="35">
        <f t="shared" si="49"/>
        <v>1</v>
      </c>
      <c r="T170" s="50" t="str">
        <f t="shared" si="5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08:13:56-700',mode:absolute,to:'2016-12-20 10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 t="shared" si="52"/>
        <v>N</v>
      </c>
      <c r="X170" s="177">
        <f t="shared" si="61"/>
        <v>1</v>
      </c>
      <c r="Y170" s="67">
        <f t="shared" si="53"/>
        <v>0.1009</v>
      </c>
      <c r="Z170" s="67">
        <f t="shared" si="62"/>
        <v>5.8929</v>
      </c>
      <c r="AA170" s="67">
        <f t="shared" si="54"/>
        <v>5.7919999999999998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5"/>
        <v>0813-20</v>
      </c>
      <c r="AE17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0" s="88" t="str">
        <f t="shared" si="57"/>
        <v>"C:\Program Files (x86)\AstroGrep\AstroGrep.exe" /spath="%USERPROFILE%\AppData\Local\Temp\OnboardLogs" /stypes="app*4003*20161220*" /stext=" 16:.+((SYSTEM_STATE.+slice.+state.+changed )|(ment ac)|(multiple cpu faults)|(system.+state.+changed )|(\[timeout)|(PRM\|1\|D)|(kpr)|(kdp)|(\|lc)|(penalty))" /e /r /s</v>
      </c>
      <c r="AG170" s="1" t="str">
        <f t="shared" si="58"/>
        <v>NW</v>
      </c>
      <c r="AH170" s="92" t="str">
        <f t="shared" si="59"/>
        <v>"%USERPROFILE%\Documents\GitHub\eaglep3\Utilities\RefineRTDCRunTimes.py" --tripid 813-20 --locoid 4003 --swversion DE.1.0.8.0 --startMP 204:1009 --initTime 2016-12-20T09:13:56 --startdatetime 2016-12-20T09:21:49 --delay 1 --endMP 300:58929 --enddatetime 2016-12-20T09:35:16 --enforcementcount 0 &gt;&gt;C:\Users\stu\Documents\GitHub\eaglep3-reporting\EC\2016-12-20-refined-times.txt</v>
      </c>
      <c r="AI17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{"issue":{"subject":"","project_id":79,"tracker_id":40,"status_id":1,"priority_id":2,"assigned_to_id":23,"start_date":"2016-12-20","description":"","custom_fields":[{"id":1,"name":"Subdivision","value":"NW"},{"id":4,"name":"Milepost","value":"5.8929"},{"id":17,"name":"Train ID","value":"813-20"},{"id":16,"name":"Locomotive ID","value":"4003"},{"id":130,"name":"Impact","value":""},{"id":150,"name":"Time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555</v>
      </c>
      <c r="B171" s="7">
        <v>4004</v>
      </c>
      <c r="C171" s="22" t="s">
        <v>205</v>
      </c>
      <c r="D171" s="22" t="s">
        <v>794</v>
      </c>
      <c r="E171" s="13">
        <v>42724.400370370371</v>
      </c>
      <c r="F171" s="13">
        <v>42724.40152777778</v>
      </c>
      <c r="G171" s="7">
        <v>1</v>
      </c>
      <c r="H171" s="22" t="s">
        <v>795</v>
      </c>
      <c r="I171" s="13">
        <v>42724.413831018515</v>
      </c>
      <c r="J171" s="7">
        <v>0</v>
      </c>
      <c r="K171" s="109" t="str">
        <f t="shared" si="46"/>
        <v>4003/4004</v>
      </c>
      <c r="L171" s="22" t="str">
        <f>VLOOKUP(A171,'Trips&amp;Operators'!$C$1:$G$99999,5,FALSE)</f>
        <v>BROWN JACOB</v>
      </c>
      <c r="M171" s="6">
        <f t="shared" si="47"/>
        <v>1.2303240735491272E-2</v>
      </c>
      <c r="N171" s="7">
        <f t="shared" si="48"/>
        <v>17.716666659107432</v>
      </c>
      <c r="O171" s="7"/>
      <c r="P171" s="7"/>
      <c r="Q171" s="23"/>
      <c r="R171" s="23"/>
      <c r="S171" s="35">
        <f t="shared" si="49"/>
        <v>1</v>
      </c>
      <c r="T171" s="50" t="str">
        <f t="shared" si="5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08:36:32-700',mode:absolute,to:'2016-12-20 10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 t="shared" si="52"/>
        <v>N</v>
      </c>
      <c r="X171" s="177">
        <f t="shared" si="61"/>
        <v>1</v>
      </c>
      <c r="Y171" s="67">
        <f t="shared" si="53"/>
        <v>5.8623000000000003</v>
      </c>
      <c r="Z171" s="67">
        <f t="shared" si="62"/>
        <v>7.1199999999999999E-2</v>
      </c>
      <c r="AA171" s="67">
        <f t="shared" si="54"/>
        <v>5.7911000000000001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5"/>
        <v>0814-20</v>
      </c>
      <c r="AE17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1" s="88" t="str">
        <f t="shared" si="57"/>
        <v>"C:\Program Files (x86)\AstroGrep\AstroGrep.exe" /spath="%USERPROFILE%\AppData\Local\Temp\OnboardLogs" /stypes="app*4004*20161220*" /stext=" 16:.+((SYSTEM_STATE.+slice.+state.+changed )|(ment ac)|(multiple cpu faults)|(system.+state.+changed )|(\[timeout)|(PRM\|1\|D)|(kpr)|(kdp)|(\|lc)|(penalty))" /e /r /s</v>
      </c>
      <c r="AG171" s="1" t="str">
        <f t="shared" si="58"/>
        <v>NW</v>
      </c>
      <c r="AH171" s="92" t="str">
        <f t="shared" si="59"/>
        <v>"%USERPROFILE%\Documents\GitHub\eaglep3\Utilities\RefineRTDCRunTimes.py" --tripid 814-20 --locoid 4004 --swversion DE.1.0.8.0 --startMP 300:58623 --initTime 2016-12-20T09:36:32 --startdatetime 2016-12-20T09:38:12 --delay 1 --endMP 204:712 --enddatetime 2016-12-20T09:55:55 --enforcementcount 0 &gt;&gt;C:\Users\stu\Documents\GitHub\eaglep3-reporting\EC\2016-12-20-refined-times.txt</v>
      </c>
      <c r="AI17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{"issue":{"subject":"","project_id":79,"tracker_id":40,"status_id":1,"priority_id":2,"assigned_to_id":23,"start_date":"2016-12-20","description":"","custom_fields":[{"id":1,"name":"Subdivision","value":"NW"},{"id":4,"name":"Milepost","value":"0.0712"},{"id":17,"name":"Train ID","value":"814-20"},{"id":16,"name":"Locomotive ID","value":"4004"},{"id":130,"name":"Impact","value":""},{"id":150,"name":"Time of Event (Mountain Time)","value":"09:55:55"},{"id":151,"name":"Denver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561</v>
      </c>
      <c r="B172" s="7">
        <v>4003</v>
      </c>
      <c r="C172" s="22" t="s">
        <v>205</v>
      </c>
      <c r="D172" s="22" t="s">
        <v>793</v>
      </c>
      <c r="E172" s="13">
        <v>42724.422118055554</v>
      </c>
      <c r="F172" s="13">
        <v>42724.431423611109</v>
      </c>
      <c r="G172" s="7">
        <v>1</v>
      </c>
      <c r="H172" s="22" t="s">
        <v>796</v>
      </c>
      <c r="I172" s="13">
        <v>42724.440659722219</v>
      </c>
      <c r="J172" s="7">
        <v>0</v>
      </c>
      <c r="K172" s="109" t="str">
        <f t="shared" si="46"/>
        <v>4003/4004</v>
      </c>
      <c r="L172" s="22" t="str">
        <f>VLOOKUP(A172,'Trips&amp;Operators'!$C$1:$G$99999,5,FALSE)</f>
        <v>BROWN JACOB</v>
      </c>
      <c r="M172" s="6">
        <f t="shared" si="47"/>
        <v>9.2361111092031933E-3</v>
      </c>
      <c r="N172" s="7">
        <f t="shared" si="48"/>
        <v>13.299999997252598</v>
      </c>
      <c r="O172" s="7"/>
      <c r="P172" s="7"/>
      <c r="Q172" s="23"/>
      <c r="R172" s="23"/>
      <c r="S172" s="35">
        <f t="shared" si="49"/>
        <v>1</v>
      </c>
      <c r="T172" s="50" t="str">
        <f t="shared" si="5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09:07:51-700',mode:absolute,to:'2016-12-20 11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52"/>
        <v>N</v>
      </c>
      <c r="X172" s="177">
        <f t="shared" si="61"/>
        <v>1</v>
      </c>
      <c r="Y172" s="67">
        <f t="shared" si="53"/>
        <v>0.1002</v>
      </c>
      <c r="Z172" s="67">
        <f t="shared" si="62"/>
        <v>5.8954000000000004</v>
      </c>
      <c r="AA172" s="67">
        <f t="shared" si="54"/>
        <v>5.7952000000000004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5"/>
        <v>0815-20</v>
      </c>
      <c r="AE172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2" s="88" t="str">
        <f t="shared" si="57"/>
        <v>"C:\Program Files (x86)\AstroGrep\AstroGrep.exe" /spath="%USERPROFILE%\AppData\Local\Temp\OnboardLogs" /stypes="app*4003*20161220*" /stext=" 17:.+((SYSTEM_STATE.+slice.+state.+changed )|(ment ac)|(multiple cpu faults)|(system.+state.+changed )|(\[timeout)|(PRM\|1\|D)|(kpr)|(kdp)|(\|lc)|(penalty))" /e /r /s</v>
      </c>
      <c r="AG172" s="1" t="str">
        <f t="shared" si="58"/>
        <v>NW</v>
      </c>
      <c r="AH172" s="92" t="str">
        <f t="shared" si="59"/>
        <v>"%USERPROFILE%\Documents\GitHub\eaglep3\Utilities\RefineRTDCRunTimes.py" --tripid 815-20 --locoid 4003 --swversion DE.1.0.8.0 --startMP 204:1002 --initTime 2016-12-20T10:07:51 --startdatetime 2016-12-20T10:21:15 --delay 1 --endMP 300:58954 --enddatetime 2016-12-20T10:34:33 --enforcementcount 0 &gt;&gt;C:\Users\stu\Documents\GitHub\eaglep3-reporting\EC\2016-12-20-refined-times.txt</v>
      </c>
      <c r="AI17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{"issue":{"subject":"","project_id":79,"tracker_id":40,"status_id":1,"priority_id":2,"assigned_to_id":23,"start_date":"2016-12-20","description":"","custom_fields":[{"id":1,"name":"Subdivision","value":"NW"},{"id":4,"name":"Milepost","value":"5.8954"},{"id":17,"name":"Train ID","value":"815-20"},{"id":16,"name":"Locomotive ID","value":"4003"},{"id":130,"name":"Impact","value":""},{"id":150,"name":"Time of Event (Mountain Time)","value":"10:34:33"},{"id":151,"name":"Denver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566</v>
      </c>
      <c r="B173" s="7">
        <v>4004</v>
      </c>
      <c r="C173" s="22" t="s">
        <v>205</v>
      </c>
      <c r="D173" s="22" t="s">
        <v>792</v>
      </c>
      <c r="E173" s="13">
        <v>42724.441435185188</v>
      </c>
      <c r="F173" s="13">
        <v>42724.442766203705</v>
      </c>
      <c r="G173" s="7">
        <v>1</v>
      </c>
      <c r="H173" s="22" t="s">
        <v>797</v>
      </c>
      <c r="I173" s="13">
        <v>42724.455763888887</v>
      </c>
      <c r="J173" s="7">
        <v>0</v>
      </c>
      <c r="K173" s="109" t="str">
        <f t="shared" si="46"/>
        <v>4003/4004</v>
      </c>
      <c r="L173" s="22" t="str">
        <f>VLOOKUP(A173,'Trips&amp;Operators'!$C$1:$G$99999,5,FALSE)</f>
        <v>BROWN JACOB</v>
      </c>
      <c r="M173" s="6">
        <f t="shared" si="47"/>
        <v>1.2997685182199348E-2</v>
      </c>
      <c r="N173" s="7">
        <f t="shared" ref="N173:N192" si="63">24*60*SUM($M173:$M173)</f>
        <v>18.716666662367061</v>
      </c>
      <c r="O173" s="7"/>
      <c r="P173" s="7"/>
      <c r="Q173" s="23"/>
      <c r="R173" s="23"/>
      <c r="S173" s="35">
        <f t="shared" ref="S173:S192" si="64">SUM(U173:U173)/IF(AG173="EC",12,1)</f>
        <v>1</v>
      </c>
      <c r="T173" s="50" t="str">
        <f t="shared" si="5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09:35:40-700',mode:absolute,to:'2016-12-20 11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52"/>
        <v>N</v>
      </c>
      <c r="X173" s="177">
        <f t="shared" si="61"/>
        <v>1</v>
      </c>
      <c r="Y173" s="67">
        <f t="shared" si="53"/>
        <v>5.8638000000000003</v>
      </c>
      <c r="Z173" s="67">
        <f t="shared" si="62"/>
        <v>7.3400000000000007E-2</v>
      </c>
      <c r="AA173" s="67">
        <f t="shared" si="54"/>
        <v>5.7904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5"/>
        <v>0816-20</v>
      </c>
      <c r="AE173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3" s="88" t="str">
        <f t="shared" si="57"/>
        <v>"C:\Program Files (x86)\AstroGrep\AstroGrep.exe" /spath="%USERPROFILE%\AppData\Local\Temp\OnboardLogs" /stypes="app*4004*20161220*" /stext=" 17:.+((SYSTEM_STATE.+slice.+state.+changed )|(ment ac)|(multiple cpu faults)|(system.+state.+changed )|(\[timeout)|(PRM\|1\|D)|(kpr)|(kdp)|(\|lc)|(penalty))" /e /r /s</v>
      </c>
      <c r="AG173" s="1" t="str">
        <f t="shared" si="58"/>
        <v>NW</v>
      </c>
      <c r="AH173" s="92" t="str">
        <f t="shared" si="59"/>
        <v>"%USERPROFILE%\Documents\GitHub\eaglep3\Utilities\RefineRTDCRunTimes.py" --tripid 816-20 --locoid 4004 --swversion DE.1.0.8.0 --startMP 300:58638 --initTime 2016-12-20T10:35:40 --startdatetime 2016-12-20T10:37:35 --delay 1 --endMP 204:734 --enddatetime 2016-12-20T10:56:18 --enforcementcount 0 &gt;&gt;C:\Users\stu\Documents\GitHub\eaglep3-reporting\EC\2016-12-20-refined-times.txt</v>
      </c>
      <c r="AI17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{"issue":{"subject":"","project_id":79,"tracker_id":40,"status_id":1,"priority_id":2,"assigned_to_id":23,"start_date":"2016-12-20","description":"","custom_fields":[{"id":1,"name":"Subdivision","value":"NW"},{"id":4,"name":"Milepost","value":"0.0734"},{"id":17,"name":"Train ID","value":"816-20"},{"id":16,"name":"Locomotive ID","value":"4004"},{"id":130,"name":"Impact","value":""},{"id":150,"name":"Time of Event (Mountain Time)","value":"10:56:18"},{"id":151,"name":"Denver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573</v>
      </c>
      <c r="B174" s="7">
        <v>4003</v>
      </c>
      <c r="C174" s="22" t="s">
        <v>205</v>
      </c>
      <c r="D174" s="22" t="s">
        <v>798</v>
      </c>
      <c r="E174" s="13">
        <v>42724.470983796295</v>
      </c>
      <c r="F174" s="13">
        <v>42724.473414351851</v>
      </c>
      <c r="G174" s="7">
        <v>1</v>
      </c>
      <c r="H174" s="22" t="s">
        <v>799</v>
      </c>
      <c r="I174" s="13">
        <v>42724.483043981483</v>
      </c>
      <c r="J174" s="7">
        <v>0</v>
      </c>
      <c r="K174" s="109" t="str">
        <f t="shared" si="46"/>
        <v>4003/4004</v>
      </c>
      <c r="L174" s="22" t="str">
        <f>VLOOKUP(A174,'Trips&amp;Operators'!$C$1:$G$99999,5,FALSE)</f>
        <v>BROWN JACOB</v>
      </c>
      <c r="M174" s="6">
        <f t="shared" si="47"/>
        <v>9.6296296323998831E-3</v>
      </c>
      <c r="N174" s="7">
        <f t="shared" si="63"/>
        <v>13.866666670655832</v>
      </c>
      <c r="O174" s="7"/>
      <c r="P174" s="7"/>
      <c r="Q174" s="23"/>
      <c r="R174" s="23"/>
      <c r="S174" s="35">
        <f t="shared" si="64"/>
        <v>1</v>
      </c>
      <c r="T174" s="50" t="str">
        <f t="shared" si="5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10:18:13-700',mode:absolute,to:'2016-12-20 12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4" s="52" t="str">
        <f t="shared" si="52"/>
        <v>N</v>
      </c>
      <c r="X174" s="177">
        <f t="shared" si="61"/>
        <v>1</v>
      </c>
      <c r="Y174" s="67">
        <f t="shared" si="53"/>
        <v>0.1011</v>
      </c>
      <c r="Z174" s="67">
        <f t="shared" si="62"/>
        <v>5.8944000000000001</v>
      </c>
      <c r="AA174" s="67">
        <f t="shared" si="54"/>
        <v>5.7933000000000003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5"/>
        <v>0817-20</v>
      </c>
      <c r="AE174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4" s="88" t="str">
        <f t="shared" si="57"/>
        <v>"C:\Program Files (x86)\AstroGrep\AstroGrep.exe" /spath="%USERPROFILE%\AppData\Local\Temp\OnboardLogs" /stypes="app*4003*20161220*" /stext=" 18:.+((SYSTEM_STATE.+slice.+state.+changed )|(ment ac)|(multiple cpu faults)|(system.+state.+changed )|(\[timeout)|(PRM\|1\|D)|(kpr)|(kdp)|(\|lc)|(penalty))" /e /r /s</v>
      </c>
      <c r="AG174" s="1" t="str">
        <f t="shared" si="58"/>
        <v>NW</v>
      </c>
      <c r="AH174" s="92" t="str">
        <f t="shared" si="59"/>
        <v>"%USERPROFILE%\Documents\GitHub\eaglep3\Utilities\RefineRTDCRunTimes.py" --tripid 817-20 --locoid 4003 --swversion DE.1.0.8.0 --startMP 204:1011 --initTime 2016-12-20T11:18:13 --startdatetime 2016-12-20T11:21:43 --delay 1 --endMP 300:58944 --enddatetime 2016-12-20T11:35:35 --enforcementcount 0 &gt;&gt;C:\Users\stu\Documents\GitHub\eaglep3-reporting\EC\2016-12-20-refined-times.txt</v>
      </c>
      <c r="AI17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{"issue":{"subject":"","project_id":79,"tracker_id":40,"status_id":1,"priority_id":2,"assigned_to_id":23,"start_date":"2016-12-20","description":"","custom_fields":[{"id":1,"name":"Subdivision","value":"NW"},{"id":4,"name":"Milepost","value":"5.8944"},{"id":17,"name":"Train ID","value":"817-20"},{"id":16,"name":"Locomotive ID","value":"4003"},{"id":130,"name":"Impact","value":""},{"id":150,"name":"Time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577</v>
      </c>
      <c r="B175" s="7">
        <v>4004</v>
      </c>
      <c r="C175" s="22" t="s">
        <v>205</v>
      </c>
      <c r="D175" s="22" t="s">
        <v>800</v>
      </c>
      <c r="E175" s="13">
        <v>42724.48400462963</v>
      </c>
      <c r="F175" s="13">
        <v>42724.485358796293</v>
      </c>
      <c r="G175" s="7">
        <v>1</v>
      </c>
      <c r="H175" s="22" t="s">
        <v>801</v>
      </c>
      <c r="I175" s="13">
        <v>42724.496458333335</v>
      </c>
      <c r="J175" s="7">
        <v>0</v>
      </c>
      <c r="K175" s="109" t="str">
        <f t="shared" si="46"/>
        <v>4003/4004</v>
      </c>
      <c r="L175" s="22" t="str">
        <f>VLOOKUP(A175,'Trips&amp;Operators'!$C$1:$G$99999,5,FALSE)</f>
        <v>BROWN JACOB</v>
      </c>
      <c r="M175" s="6">
        <f t="shared" si="47"/>
        <v>1.1099537041445728E-2</v>
      </c>
      <c r="N175" s="7">
        <f t="shared" si="63"/>
        <v>15.983333339681849</v>
      </c>
      <c r="O175" s="7"/>
      <c r="P175" s="7"/>
      <c r="Q175" s="23"/>
      <c r="R175" s="23"/>
      <c r="S175" s="35">
        <f t="shared" si="64"/>
        <v>1</v>
      </c>
      <c r="T175" s="50" t="str">
        <f t="shared" si="5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10:36:58-700',mode:absolute,to:'2016-12-20 12:54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52"/>
        <v>N</v>
      </c>
      <c r="X175" s="177">
        <f t="shared" si="61"/>
        <v>1</v>
      </c>
      <c r="Y175" s="67">
        <f t="shared" si="53"/>
        <v>5.8635999999999999</v>
      </c>
      <c r="Z175" s="67">
        <f t="shared" si="62"/>
        <v>7.22E-2</v>
      </c>
      <c r="AA175" s="67">
        <f t="shared" si="54"/>
        <v>5.7914000000000003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5"/>
        <v>0818-20</v>
      </c>
      <c r="AE175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5" s="88" t="str">
        <f t="shared" si="57"/>
        <v>"C:\Program Files (x86)\AstroGrep\AstroGrep.exe" /spath="%USERPROFILE%\AppData\Local\Temp\OnboardLogs" /stypes="app*4004*20161220*" /stext=" 18:.+((SYSTEM_STATE.+slice.+state.+changed )|(ment ac)|(multiple cpu faults)|(system.+state.+changed )|(\[timeout)|(PRM\|1\|D)|(kpr)|(kdp)|(\|lc)|(penalty))" /e /r /s</v>
      </c>
      <c r="AG175" s="1" t="str">
        <f t="shared" si="58"/>
        <v>NW</v>
      </c>
      <c r="AH175" s="92" t="str">
        <f t="shared" si="59"/>
        <v>"%USERPROFILE%\Documents\GitHub\eaglep3\Utilities\RefineRTDCRunTimes.py" --tripid 818-20 --locoid 4004 --swversion DE.1.0.8.0 --startMP 300:58636 --initTime 2016-12-20T11:36:58 --startdatetime 2016-12-20T11:38:55 --delay 1 --endMP 204:722 --enddatetime 2016-12-20T11:54:54 --enforcementcount 0 &gt;&gt;C:\Users\stu\Documents\GitHub\eaglep3-reporting\EC\2016-12-20-refined-times.txt</v>
      </c>
      <c r="AI17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{"issue":{"subject":"","project_id":79,"tracker_id":40,"status_id":1,"priority_id":2,"assigned_to_id":23,"start_date":"2016-12-20","description":"","custom_fields":[{"id":1,"name":"Subdivision","value":"NW"},{"id":4,"name":"Milepost","value":"0.0722"},{"id":17,"name":"Train ID","value":"818-20"},{"id":16,"name":"Locomotive ID","value":"4004"},{"id":130,"name":"Impact","value":""},{"id":150,"name":"Time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475</v>
      </c>
      <c r="B176" s="7">
        <v>4003</v>
      </c>
      <c r="C176" s="22" t="s">
        <v>205</v>
      </c>
      <c r="D176" s="22" t="s">
        <v>802</v>
      </c>
      <c r="E176" s="13">
        <v>42724.511145833334</v>
      </c>
      <c r="F176" s="13">
        <v>42724.514814814815</v>
      </c>
      <c r="G176" s="7">
        <v>1</v>
      </c>
      <c r="H176" s="22" t="s">
        <v>441</v>
      </c>
      <c r="I176" s="13">
        <v>42724.524618055555</v>
      </c>
      <c r="J176" s="7">
        <v>0</v>
      </c>
      <c r="K176" s="109" t="str">
        <f t="shared" si="46"/>
        <v>4003/4004</v>
      </c>
      <c r="L176" s="22" t="str">
        <f>VLOOKUP(A176,'Trips&amp;Operators'!$C$1:$G$99999,5,FALSE)</f>
        <v>BROWN JACOB</v>
      </c>
      <c r="M176" s="6">
        <f t="shared" si="47"/>
        <v>9.8032407404389232E-3</v>
      </c>
      <c r="N176" s="7">
        <f t="shared" si="63"/>
        <v>14.116666666232049</v>
      </c>
      <c r="O176" s="7"/>
      <c r="P176" s="7"/>
      <c r="Q176" s="23"/>
      <c r="R176" s="23"/>
      <c r="S176" s="35">
        <f t="shared" si="64"/>
        <v>1</v>
      </c>
      <c r="T176" s="50" t="str">
        <f t="shared" si="5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11:16:03-700',mode:absolute,to:'2016-12-20 13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52"/>
        <v>N</v>
      </c>
      <c r="X176" s="177">
        <f t="shared" si="61"/>
        <v>1</v>
      </c>
      <c r="Y176" s="67">
        <f t="shared" si="53"/>
        <v>0.1013</v>
      </c>
      <c r="Z176" s="67">
        <f t="shared" si="62"/>
        <v>5.8952</v>
      </c>
      <c r="AA176" s="67">
        <f t="shared" si="54"/>
        <v>5.7938999999999998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5"/>
        <v>0819-20</v>
      </c>
      <c r="AE176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6" s="88" t="str">
        <f t="shared" si="57"/>
        <v>"C:\Program Files (x86)\AstroGrep\AstroGrep.exe" /spath="%USERPROFILE%\AppData\Local\Temp\OnboardLogs" /stypes="app*4003*20161220*" /stext=" 19:.+((SYSTEM_STATE.+slice.+state.+changed )|(ment ac)|(multiple cpu faults)|(system.+state.+changed )|(\[timeout)|(PRM\|1\|D)|(kpr)|(kdp)|(\|lc)|(penalty))" /e /r /s</v>
      </c>
      <c r="AG176" s="1" t="str">
        <f t="shared" si="58"/>
        <v>NW</v>
      </c>
      <c r="AH176" s="92" t="str">
        <f t="shared" si="59"/>
        <v>"%USERPROFILE%\Documents\GitHub\eaglep3\Utilities\RefineRTDCRunTimes.py" --tripid 819-20 --locoid 4003 --swversion DE.1.0.8.0 --startMP 204:1013 --initTime 2016-12-20T12:16:03 --startdatetime 2016-12-20T12:21:20 --delay 1 --endMP 300:58952 --enddatetime 2016-12-20T12:35:27 --enforcementcount 0 &gt;&gt;C:\Users\stu\Documents\GitHub\eaglep3-reporting\EC\2016-12-20-refined-times.txt</v>
      </c>
      <c r="AI17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{"issue":{"subject":"","project_id":79,"tracker_id":40,"status_id":1,"priority_id":2,"assigned_to_id":23,"start_date":"2016-12-20","description":"","custom_fields":[{"id":1,"name":"Subdivision","value":"NW"},{"id":4,"name":"Milepost","value":"5.8952"},{"id":17,"name":"Train ID","value":"819-20"},{"id":16,"name":"Locomotive ID","value":"4003"},{"id":130,"name":"Impact","value":""},{"id":150,"name":"Time of Event (Mountain Time)","value":"12:35:27"},{"id":151,"name":"Denver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592</v>
      </c>
      <c r="B177" s="7">
        <v>4004</v>
      </c>
      <c r="C177" s="22" t="s">
        <v>205</v>
      </c>
      <c r="D177" s="22" t="s">
        <v>443</v>
      </c>
      <c r="E177" s="13">
        <v>42724.525405092594</v>
      </c>
      <c r="F177" s="13">
        <v>42724.526620370372</v>
      </c>
      <c r="G177" s="7">
        <v>1</v>
      </c>
      <c r="H177" s="22" t="s">
        <v>803</v>
      </c>
      <c r="I177" s="13">
        <v>42724.538090277776</v>
      </c>
      <c r="J177" s="7">
        <v>0</v>
      </c>
      <c r="K177" s="109" t="str">
        <f t="shared" si="46"/>
        <v>4003/4004</v>
      </c>
      <c r="L177" s="22" t="str">
        <f>VLOOKUP(A177,'Trips&amp;Operators'!$C$1:$G$99999,5,FALSE)</f>
        <v>BROWN JACOB</v>
      </c>
      <c r="M177" s="6">
        <f t="shared" si="47"/>
        <v>1.1469907403807156E-2</v>
      </c>
      <c r="N177" s="7">
        <f t="shared" si="63"/>
        <v>16.516666661482304</v>
      </c>
      <c r="O177" s="7"/>
      <c r="P177" s="7"/>
      <c r="Q177" s="23"/>
      <c r="R177" s="23"/>
      <c r="S177" s="35">
        <f t="shared" si="64"/>
        <v>1</v>
      </c>
      <c r="T177" s="50" t="str">
        <f t="shared" si="5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11:36:35-700',mode:absolute,to:'2016-12-20 13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52"/>
        <v>N</v>
      </c>
      <c r="X177" s="177">
        <f t="shared" si="61"/>
        <v>1</v>
      </c>
      <c r="Y177" s="67">
        <f t="shared" si="53"/>
        <v>5.8639999999999999</v>
      </c>
      <c r="Z177" s="67">
        <f t="shared" si="62"/>
        <v>7.3300000000000004E-2</v>
      </c>
      <c r="AA177" s="67">
        <f t="shared" si="54"/>
        <v>5.7907000000000002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5"/>
        <v>0820-20</v>
      </c>
      <c r="AE177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7" s="88" t="str">
        <f t="shared" si="57"/>
        <v>"C:\Program Files (x86)\AstroGrep\AstroGrep.exe" /spath="%USERPROFILE%\AppData\Local\Temp\OnboardLogs" /stypes="app*4004*20161220*" /stext=" 19:.+((SYSTEM_STATE.+slice.+state.+changed )|(ment ac)|(multiple cpu faults)|(system.+state.+changed )|(\[timeout)|(PRM\|1\|D)|(kpr)|(kdp)|(\|lc)|(penalty))" /e /r /s</v>
      </c>
      <c r="AG177" s="1" t="str">
        <f t="shared" si="58"/>
        <v>NW</v>
      </c>
      <c r="AH177" s="92" t="str">
        <f t="shared" si="59"/>
        <v>"%USERPROFILE%\Documents\GitHub\eaglep3\Utilities\RefineRTDCRunTimes.py" --tripid 820-20 --locoid 4004 --swversion DE.1.0.8.0 --startMP 300:58640 --initTime 2016-12-20T12:36:35 --startdatetime 2016-12-20T12:38:20 --delay 1 --endMP 204:733 --enddatetime 2016-12-20T12:54:51 --enforcementcount 0 &gt;&gt;C:\Users\stu\Documents\GitHub\eaglep3-reporting\EC\2016-12-20-refined-times.txt</v>
      </c>
      <c r="AI17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{"issue":{"subject":"","project_id":79,"tracker_id":40,"status_id":1,"priority_id":2,"assigned_to_id":23,"start_date":"2016-12-20","description":"","custom_fields":[{"id":1,"name":"Subdivision","value":"NW"},{"id":4,"name":"Milepost","value":"0.0733"},{"id":17,"name":"Train ID","value":"820-20"},{"id":16,"name":"Locomotive ID","value":"4004"},{"id":130,"name":"Impact","value":""},{"id":150,"name":"Time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478</v>
      </c>
      <c r="B178" s="7">
        <v>4003</v>
      </c>
      <c r="C178" s="22" t="s">
        <v>205</v>
      </c>
      <c r="D178" s="22" t="s">
        <v>436</v>
      </c>
      <c r="E178" s="13">
        <v>42724.548217592594</v>
      </c>
      <c r="F178" s="13">
        <v>42724.556435185186</v>
      </c>
      <c r="G178" s="7">
        <v>1</v>
      </c>
      <c r="H178" s="22" t="s">
        <v>447</v>
      </c>
      <c r="I178" s="13">
        <v>42724.565983796296</v>
      </c>
      <c r="J178" s="7">
        <v>0</v>
      </c>
      <c r="K178" s="109" t="str">
        <f t="shared" si="46"/>
        <v>4003/4004</v>
      </c>
      <c r="L178" s="22" t="str">
        <f>VLOOKUP(A178,'Trips&amp;Operators'!$C$1:$G$99999,5,FALSE)</f>
        <v>LEVIN SCOTT</v>
      </c>
      <c r="M178" s="6">
        <f t="shared" si="47"/>
        <v>9.5486111094942316E-3</v>
      </c>
      <c r="N178" s="7">
        <f t="shared" si="63"/>
        <v>13.749999997671694</v>
      </c>
      <c r="O178" s="7"/>
      <c r="P178" s="7"/>
      <c r="Q178" s="23"/>
      <c r="R178" s="23"/>
      <c r="S178" s="35">
        <f t="shared" si="64"/>
        <v>1</v>
      </c>
      <c r="T178" s="50" t="str">
        <f t="shared" si="5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12:09:26-700',mode:absolute,to:'2016-12-20 14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52"/>
        <v>N</v>
      </c>
      <c r="X178" s="177">
        <f t="shared" si="61"/>
        <v>1</v>
      </c>
      <c r="Y178" s="67">
        <f t="shared" si="53"/>
        <v>0.10059999999999999</v>
      </c>
      <c r="Z178" s="67">
        <f t="shared" si="62"/>
        <v>5.8928000000000003</v>
      </c>
      <c r="AA178" s="67">
        <f t="shared" si="54"/>
        <v>5.7922000000000002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5"/>
        <v>0821-20</v>
      </c>
      <c r="AE178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78" s="88" t="str">
        <f t="shared" si="57"/>
        <v>"C:\Program Files (x86)\AstroGrep\AstroGrep.exe" /spath="%USERPROFILE%\AppData\Local\Temp\OnboardLogs" /stypes="app*4003*20161220*" /stext=" 20:.+((SYSTEM_STATE.+slice.+state.+changed )|(ment ac)|(multiple cpu faults)|(system.+state.+changed )|(\[timeout)|(PRM\|1\|D)|(kpr)|(kdp)|(\|lc)|(penalty))" /e /r /s</v>
      </c>
      <c r="AG178" s="1" t="str">
        <f t="shared" si="58"/>
        <v>NW</v>
      </c>
      <c r="AH178" s="92" t="str">
        <f t="shared" si="59"/>
        <v>"%USERPROFILE%\Documents\GitHub\eaglep3\Utilities\RefineRTDCRunTimes.py" --tripid 821-20 --locoid 4003 --swversion DE.1.0.8.0 --startMP 204:1006 --initTime 2016-12-20T13:09:26 --startdatetime 2016-12-20T13:21:16 --delay 1 --endMP 300:58928 --enddatetime 2016-12-20T13:35:01 --enforcementcount 0 &gt;&gt;C:\Users\stu\Documents\GitHub\eaglep3-reporting\EC\2016-12-20-refined-times.txt</v>
      </c>
      <c r="AI17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{"issue":{"subject":"","project_id":79,"tracker_id":40,"status_id":1,"priority_id":2,"assigned_to_id":23,"start_date":"2016-12-20","description":"","custom_fields":[{"id":1,"name":"Subdivision","value":"NW"},{"id":4,"name":"Milepost","value":"5.8928"},{"id":17,"name":"Train ID","value":"821-20"},{"id":16,"name":"Locomotive ID","value":"4003"},{"id":130,"name":"Impact","value":""},{"id":150,"name":"Time of Event (Mountain Time)","value":"13:35:01"},{"id":151,"name":"Denver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599</v>
      </c>
      <c r="B179" s="7">
        <v>4004</v>
      </c>
      <c r="C179" s="22" t="s">
        <v>205</v>
      </c>
      <c r="D179" s="22" t="s">
        <v>354</v>
      </c>
      <c r="E179" s="13">
        <v>42724.566990740743</v>
      </c>
      <c r="F179" s="13">
        <v>42724.568564814814</v>
      </c>
      <c r="G179" s="7">
        <v>1</v>
      </c>
      <c r="H179" s="22" t="s">
        <v>804</v>
      </c>
      <c r="I179" s="13">
        <v>42724.579895833333</v>
      </c>
      <c r="J179" s="7">
        <v>0</v>
      </c>
      <c r="K179" s="109" t="str">
        <f t="shared" si="46"/>
        <v>4003/4004</v>
      </c>
      <c r="L179" s="22" t="str">
        <f>VLOOKUP(A179,'Trips&amp;Operators'!$C$1:$G$99999,5,FALSE)</f>
        <v>LEVIN SCOTT</v>
      </c>
      <c r="M179" s="6">
        <f t="shared" si="47"/>
        <v>1.1331018518831115E-2</v>
      </c>
      <c r="N179" s="7">
        <f t="shared" si="63"/>
        <v>16.316666667116806</v>
      </c>
      <c r="O179" s="7"/>
      <c r="P179" s="7"/>
      <c r="Q179" s="23"/>
      <c r="R179" s="23"/>
      <c r="S179" s="35">
        <f t="shared" si="64"/>
        <v>1</v>
      </c>
      <c r="T179" s="50" t="str">
        <f t="shared" si="5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12:36:28-700',mode:absolute,to:'2016-12-20 14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52"/>
        <v>N</v>
      </c>
      <c r="X179" s="177">
        <f t="shared" si="61"/>
        <v>1</v>
      </c>
      <c r="Y179" s="67">
        <f t="shared" si="53"/>
        <v>5.8611000000000004</v>
      </c>
      <c r="Z179" s="67">
        <f t="shared" si="62"/>
        <v>7.0800000000000002E-2</v>
      </c>
      <c r="AA179" s="67">
        <f t="shared" si="54"/>
        <v>5.7903000000000002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5"/>
        <v>0822-20</v>
      </c>
      <c r="AE179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79" s="88" t="str">
        <f t="shared" si="57"/>
        <v>"C:\Program Files (x86)\AstroGrep\AstroGrep.exe" /spath="%USERPROFILE%\AppData\Local\Temp\OnboardLogs" /stypes="app*4004*20161220*" /stext=" 20:.+((SYSTEM_STATE.+slice.+state.+changed )|(ment ac)|(multiple cpu faults)|(system.+state.+changed )|(\[timeout)|(PRM\|1\|D)|(kpr)|(kdp)|(\|lc)|(penalty))" /e /r /s</v>
      </c>
      <c r="AG179" s="1" t="str">
        <f t="shared" si="58"/>
        <v>NW</v>
      </c>
      <c r="AH179" s="92" t="str">
        <f t="shared" si="59"/>
        <v>"%USERPROFILE%\Documents\GitHub\eaglep3\Utilities\RefineRTDCRunTimes.py" --tripid 822-20 --locoid 4004 --swversion DE.1.0.8.0 --startMP 300:58611 --initTime 2016-12-20T13:36:28 --startdatetime 2016-12-20T13:38:44 --delay 1 --endMP 204:708 --enddatetime 2016-12-20T13:55:03 --enforcementcount 0 &gt;&gt;C:\Users\stu\Documents\GitHub\eaglep3-reporting\EC\2016-12-20-refined-times.txt</v>
      </c>
      <c r="AI17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{"issue":{"subject":"","project_id":79,"tracker_id":40,"status_id":1,"priority_id":2,"assigned_to_id":23,"start_date":"2016-12-20","description":"","custom_fields":[{"id":1,"name":"Subdivision","value":"NW"},{"id":4,"name":"Milepost","value":"0.0708"},{"id":17,"name":"Train ID","value":"822-20"},{"id":16,"name":"Locomotive ID","value":"4004"},{"id":130,"name":"Impact","value":""},{"id":150,"name":"Time of Event (Mountain Time)","value":"13:55:03"},{"id":151,"name":"Denver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604</v>
      </c>
      <c r="B180" s="7">
        <v>4003</v>
      </c>
      <c r="C180" s="22" t="s">
        <v>205</v>
      </c>
      <c r="D180" s="22" t="s">
        <v>805</v>
      </c>
      <c r="E180" s="13">
        <v>42724.592268518521</v>
      </c>
      <c r="F180" s="13">
        <v>42724.598217592589</v>
      </c>
      <c r="G180" s="7">
        <v>1</v>
      </c>
      <c r="H180" s="22" t="s">
        <v>806</v>
      </c>
      <c r="I180" s="13">
        <v>42724.608483796299</v>
      </c>
      <c r="J180" s="7">
        <v>0</v>
      </c>
      <c r="K180" s="109" t="str">
        <f t="shared" si="46"/>
        <v>4003/4004</v>
      </c>
      <c r="L180" s="22" t="str">
        <f>VLOOKUP(A180,'Trips&amp;Operators'!$C$1:$G$99999,5,FALSE)</f>
        <v>PERKINS DARREN</v>
      </c>
      <c r="M180" s="6">
        <f t="shared" si="47"/>
        <v>1.0266203709761612E-2</v>
      </c>
      <c r="N180" s="7">
        <f t="shared" si="63"/>
        <v>14.783333342056721</v>
      </c>
      <c r="O180" s="7"/>
      <c r="P180" s="7"/>
      <c r="Q180" s="23"/>
      <c r="R180" s="23"/>
      <c r="S180" s="35">
        <f t="shared" si="64"/>
        <v>1</v>
      </c>
      <c r="T180" s="50" t="str">
        <f t="shared" si="5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13:12:52-700',mode:absolute,to:'2016-12-20 15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52"/>
        <v>N</v>
      </c>
      <c r="X180" s="177">
        <f t="shared" ref="X180:X197" si="65">VALUE(LEFT(AD180,4))-VALUE(LEFT(AD179,4))</f>
        <v>1</v>
      </c>
      <c r="Y180" s="67">
        <f t="shared" si="53"/>
        <v>9.6199999999999994E-2</v>
      </c>
      <c r="Z180" s="67">
        <f t="shared" si="62"/>
        <v>5.8940999999999999</v>
      </c>
      <c r="AA180" s="67">
        <f t="shared" si="54"/>
        <v>5.7979000000000003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5"/>
        <v>0823-20</v>
      </c>
      <c r="AE18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80" s="88" t="str">
        <f t="shared" si="57"/>
        <v>"C:\Program Files (x86)\AstroGrep\AstroGrep.exe" /spath="%USERPROFILE%\AppData\Local\Temp\OnboardLogs" /stypes="app*4003*20161220*" /stext=" 21:.+((SYSTEM_STATE.+slice.+state.+changed )|(ment ac)|(multiple cpu faults)|(system.+state.+changed )|(\[timeout)|(PRM\|1\|D)|(kpr)|(kdp)|(\|lc)|(penalty))" /e /r /s</v>
      </c>
      <c r="AG180" s="1" t="str">
        <f t="shared" si="58"/>
        <v>NW</v>
      </c>
      <c r="AH180" s="92" t="str">
        <f t="shared" si="59"/>
        <v>"%USERPROFILE%\Documents\GitHub\eaglep3\Utilities\RefineRTDCRunTimes.py" --tripid 823-20 --locoid 4003 --swversion DE.1.0.8.0 --startMP 204:962 --initTime 2016-12-20T14:12:52 --startdatetime 2016-12-20T14:21:26 --delay 1 --endMP 300:58941 --enddatetime 2016-12-20T14:36:13 --enforcementcount 0 &gt;&gt;C:\Users\stu\Documents\GitHub\eaglep3-reporting\EC\2016-12-20-refined-times.txt</v>
      </c>
      <c r="AI18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{"issue":{"subject":"","project_id":79,"tracker_id":40,"status_id":1,"priority_id":2,"assigned_to_id":23,"start_date":"2016-12-20","description":"","custom_fields":[{"id":1,"name":"Subdivision","value":"NW"},{"id":4,"name":"Milepost","value":"5.8941"},{"id":17,"name":"Train ID","value":"823-20"},{"id":16,"name":"Locomotive ID","value":"4003"},{"id":130,"name":"Impact","value":""},{"id":150,"name":"Time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609</v>
      </c>
      <c r="B181" s="7">
        <v>4004</v>
      </c>
      <c r="C181" s="22" t="s">
        <v>205</v>
      </c>
      <c r="D181" s="22" t="s">
        <v>313</v>
      </c>
      <c r="E181" s="13">
        <v>42724.609537037039</v>
      </c>
      <c r="F181" s="13">
        <v>42724.611041666663</v>
      </c>
      <c r="G181" s="7">
        <v>1</v>
      </c>
      <c r="H181" s="22" t="s">
        <v>445</v>
      </c>
      <c r="I181" s="13">
        <v>42724.622199074074</v>
      </c>
      <c r="J181" s="7">
        <v>0</v>
      </c>
      <c r="K181" s="109" t="str">
        <f t="shared" si="46"/>
        <v>4003/4004</v>
      </c>
      <c r="L181" s="22" t="str">
        <f>VLOOKUP(A181,'Trips&amp;Operators'!$C$1:$G$99999,5,FALSE)</f>
        <v>PERKINS DARREN</v>
      </c>
      <c r="M181" s="6">
        <f t="shared" si="47"/>
        <v>1.1157407410792075E-2</v>
      </c>
      <c r="N181" s="7">
        <f t="shared" si="63"/>
        <v>16.066666671540588</v>
      </c>
      <c r="O181" s="7"/>
      <c r="P181" s="7"/>
      <c r="Q181" s="23"/>
      <c r="R181" s="23"/>
      <c r="S181" s="35">
        <f t="shared" si="64"/>
        <v>1</v>
      </c>
      <c r="T181" s="50" t="str">
        <f t="shared" si="5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13:37:44-700',mode:absolute,to:'2016-12-20 15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2" t="str">
        <f t="shared" si="52"/>
        <v>N</v>
      </c>
      <c r="X181" s="177">
        <f t="shared" si="65"/>
        <v>1</v>
      </c>
      <c r="Y181" s="67">
        <f t="shared" si="53"/>
        <v>5.8619000000000003</v>
      </c>
      <c r="Z181" s="67">
        <f t="shared" si="62"/>
        <v>6.9800000000000001E-2</v>
      </c>
      <c r="AA181" s="67">
        <f t="shared" si="54"/>
        <v>5.7921000000000005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5"/>
        <v>0824-20</v>
      </c>
      <c r="AE18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81" s="88" t="str">
        <f t="shared" si="57"/>
        <v>"C:\Program Files (x86)\AstroGrep\AstroGrep.exe" /spath="%USERPROFILE%\AppData\Local\Temp\OnboardLogs" /stypes="app*4004*20161220*" /stext=" 21:.+((SYSTEM_STATE.+slice.+state.+changed )|(ment ac)|(multiple cpu faults)|(system.+state.+changed )|(\[timeout)|(PRM\|1\|D)|(kpr)|(kdp)|(\|lc)|(penalty))" /e /r /s</v>
      </c>
      <c r="AG181" s="1" t="str">
        <f t="shared" si="58"/>
        <v>NW</v>
      </c>
      <c r="AH181" s="92" t="str">
        <f t="shared" si="59"/>
        <v>"%USERPROFILE%\Documents\GitHub\eaglep3\Utilities\RefineRTDCRunTimes.py" --tripid 824-20 --locoid 4004 --swversion DE.1.0.8.0 --startMP 300:58619 --initTime 2016-12-20T14:37:44 --startdatetime 2016-12-20T14:39:54 --delay 1 --endMP 204:698 --enddatetime 2016-12-20T14:55:58 --enforcementcount 0 &gt;&gt;C:\Users\stu\Documents\GitHub\eaglep3-reporting\EC\2016-12-20-refined-times.txt</v>
      </c>
      <c r="AI18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{"issue":{"subject":"","project_id":79,"tracker_id":40,"status_id":1,"priority_id":2,"assigned_to_id":23,"start_date":"2016-12-20","description":"","custom_fields":[{"id":1,"name":"Subdivision","value":"NW"},{"id":4,"name":"Milepost","value":"0.0698"},{"id":17,"name":"Train ID","value":"824-20"},{"id":16,"name":"Locomotive ID","value":"4004"},{"id":130,"name":"Impact","value":""},{"id":150,"name":"Time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617</v>
      </c>
      <c r="B182" s="7">
        <v>4003</v>
      </c>
      <c r="C182" s="22" t="s">
        <v>205</v>
      </c>
      <c r="D182" s="22" t="s">
        <v>446</v>
      </c>
      <c r="E182" s="13">
        <v>42724.635949074072</v>
      </c>
      <c r="F182" s="13">
        <v>42724.639826388891</v>
      </c>
      <c r="G182" s="7">
        <v>1</v>
      </c>
      <c r="H182" s="22" t="s">
        <v>272</v>
      </c>
      <c r="I182" s="13">
        <v>42724.648946759262</v>
      </c>
      <c r="J182" s="7">
        <v>0</v>
      </c>
      <c r="K182" s="109" t="str">
        <f t="shared" si="46"/>
        <v>4003/4004</v>
      </c>
      <c r="L182" s="22" t="str">
        <f>VLOOKUP(A182,'Trips&amp;Operators'!$C$1:$G$99999,5,FALSE)</f>
        <v>LEVIN SCOTT</v>
      </c>
      <c r="M182" s="6">
        <f t="shared" si="47"/>
        <v>9.1203703705104999E-3</v>
      </c>
      <c r="N182" s="7">
        <f t="shared" si="63"/>
        <v>13.13333333353512</v>
      </c>
      <c r="O182" s="7"/>
      <c r="P182" s="7"/>
      <c r="Q182" s="23"/>
      <c r="R182" s="23"/>
      <c r="S182" s="35">
        <f t="shared" si="64"/>
        <v>1</v>
      </c>
      <c r="T182" s="50" t="str">
        <f t="shared" si="5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14:15:46-700',mode:absolute,to:'2016-12-20 16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2" t="str">
        <f t="shared" si="52"/>
        <v>N</v>
      </c>
      <c r="X182" s="177">
        <f t="shared" si="65"/>
        <v>1</v>
      </c>
      <c r="Y182" s="67">
        <f t="shared" si="53"/>
        <v>9.8299999999999998E-2</v>
      </c>
      <c r="Z182" s="67">
        <f t="shared" si="62"/>
        <v>5.8930999999999996</v>
      </c>
      <c r="AA182" s="67">
        <f t="shared" si="54"/>
        <v>5.7947999999999995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5"/>
        <v>0825-20</v>
      </c>
      <c r="AE182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82" s="88" t="str">
        <f t="shared" si="57"/>
        <v>"C:\Program Files (x86)\AstroGrep\AstroGrep.exe" /spath="%USERPROFILE%\AppData\Local\Temp\OnboardLogs" /stypes="app*4003*20161220*" /stext=" 22:.+((SYSTEM_STATE.+slice.+state.+changed )|(ment ac)|(multiple cpu faults)|(system.+state.+changed )|(\[timeout)|(PRM\|1\|D)|(kpr)|(kdp)|(\|lc)|(penalty))" /e /r /s</v>
      </c>
      <c r="AG182" s="1" t="str">
        <f t="shared" si="58"/>
        <v>NW</v>
      </c>
      <c r="AH182" s="92" t="str">
        <f t="shared" si="59"/>
        <v>"%USERPROFILE%\Documents\GitHub\eaglep3\Utilities\RefineRTDCRunTimes.py" --tripid 825-20 --locoid 4003 --swversion DE.1.0.8.0 --startMP 204:983 --initTime 2016-12-20T15:15:46 --startdatetime 2016-12-20T15:21:21 --delay 1 --endMP 300:58931 --enddatetime 2016-12-20T15:34:29 --enforcementcount 0 &gt;&gt;C:\Users\stu\Documents\GitHub\eaglep3-reporting\EC\2016-12-20-refined-times.txt</v>
      </c>
      <c r="AI18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{"issue":{"subject":"","project_id":79,"tracker_id":40,"status_id":1,"priority_id":2,"assigned_to_id":23,"start_date":"2016-12-20","description":"","custom_fields":[{"id":1,"name":"Subdivision","value":"NW"},{"id":4,"name":"Milepost","value":"5.8931"},{"id":17,"name":"Train ID","value":"825-20"},{"id":16,"name":"Locomotive ID","value":"4003"},{"id":130,"name":"Impact","value":""},{"id":150,"name":"Time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621</v>
      </c>
      <c r="B183" s="7">
        <v>4004</v>
      </c>
      <c r="C183" s="22" t="s">
        <v>205</v>
      </c>
      <c r="D183" s="22" t="s">
        <v>448</v>
      </c>
      <c r="E183" s="13">
        <v>42724.649953703702</v>
      </c>
      <c r="F183" s="13">
        <v>42724.651574074072</v>
      </c>
      <c r="G183" s="7">
        <v>1</v>
      </c>
      <c r="H183" s="22" t="s">
        <v>314</v>
      </c>
      <c r="I183" s="13">
        <v>42724.663344907407</v>
      </c>
      <c r="J183" s="7">
        <v>0</v>
      </c>
      <c r="K183" s="109" t="str">
        <f t="shared" si="46"/>
        <v>4003/4004</v>
      </c>
      <c r="L183" s="22" t="str">
        <f>VLOOKUP(A183,'Trips&amp;Operators'!$C$1:$G$99999,5,FALSE)</f>
        <v>LEVIN SCOTT</v>
      </c>
      <c r="M183" s="6">
        <f t="shared" si="47"/>
        <v>1.1770833334594499E-2</v>
      </c>
      <c r="N183" s="7">
        <f t="shared" si="63"/>
        <v>16.950000001816079</v>
      </c>
      <c r="O183" s="7"/>
      <c r="P183" s="7"/>
      <c r="Q183" s="23"/>
      <c r="R183" s="23"/>
      <c r="S183" s="35">
        <f t="shared" si="64"/>
        <v>1</v>
      </c>
      <c r="T183" s="50" t="str">
        <f t="shared" si="5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14:35:56-700',mode:absolute,to:'2016-12-20 16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 t="shared" si="52"/>
        <v>N</v>
      </c>
      <c r="X183" s="177">
        <f t="shared" si="65"/>
        <v>1</v>
      </c>
      <c r="Y183" s="67">
        <f t="shared" si="53"/>
        <v>5.8608000000000002</v>
      </c>
      <c r="Z183" s="67">
        <f t="shared" si="62"/>
        <v>6.7799999999999999E-2</v>
      </c>
      <c r="AA183" s="67">
        <f t="shared" si="54"/>
        <v>5.7930000000000001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5"/>
        <v>0826-20</v>
      </c>
      <c r="AE183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83" s="88" t="str">
        <f t="shared" si="57"/>
        <v>"C:\Program Files (x86)\AstroGrep\AstroGrep.exe" /spath="%USERPROFILE%\AppData\Local\Temp\OnboardLogs" /stypes="app*4004*20161220*" /stext=" 22:.+((SYSTEM_STATE.+slice.+state.+changed )|(ment ac)|(multiple cpu faults)|(system.+state.+changed )|(\[timeout)|(PRM\|1\|D)|(kpr)|(kdp)|(\|lc)|(penalty))" /e /r /s</v>
      </c>
      <c r="AG183" s="1" t="str">
        <f t="shared" si="58"/>
        <v>NW</v>
      </c>
      <c r="AH183" s="92" t="str">
        <f t="shared" si="59"/>
        <v>"%USERPROFILE%\Documents\GitHub\eaglep3\Utilities\RefineRTDCRunTimes.py" --tripid 826-20 --locoid 4004 --swversion DE.1.0.8.0 --startMP 300:58608 --initTime 2016-12-20T15:35:56 --startdatetime 2016-12-20T15:38:16 --delay 1 --endMP 204:678 --enddatetime 2016-12-20T15:55:13 --enforcementcount 0 &gt;&gt;C:\Users\stu\Documents\GitHub\eaglep3-reporting\EC\2016-12-20-refined-times.txt</v>
      </c>
      <c r="AI18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{"issue":{"subject":"","project_id":79,"tracker_id":40,"status_id":1,"priority_id":2,"assigned_to_id":23,"start_date":"2016-12-20","description":"","custom_fields":[{"id":1,"name":"Subdivision","value":"NW"},{"id":4,"name":"Milepost","value":"0.0678"},{"id":17,"name":"Train ID","value":"826-20"},{"id":16,"name":"Locomotive ID","value":"4004"},{"id":130,"name":"Impact","value":""},{"id":150,"name":"Time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483</v>
      </c>
      <c r="B184" s="7">
        <v>4016</v>
      </c>
      <c r="C184" s="22" t="s">
        <v>205</v>
      </c>
      <c r="D184" s="22" t="s">
        <v>807</v>
      </c>
      <c r="E184" s="13">
        <v>42724.644837962966</v>
      </c>
      <c r="F184" s="13">
        <v>42724.660601851851</v>
      </c>
      <c r="G184" s="7">
        <v>1</v>
      </c>
      <c r="H184" s="22" t="s">
        <v>808</v>
      </c>
      <c r="I184" s="13">
        <v>42724.670891203707</v>
      </c>
      <c r="J184" s="7">
        <v>0</v>
      </c>
      <c r="K184" s="109" t="str">
        <f t="shared" si="46"/>
        <v>4015/4016</v>
      </c>
      <c r="L184" s="22" t="str">
        <f>VLOOKUP(A184,'Trips&amp;Operators'!$C$1:$G$99999,5,FALSE)</f>
        <v>HILLS DUSTIN</v>
      </c>
      <c r="M184" s="6">
        <f t="shared" si="47"/>
        <v>1.0289351856044959E-2</v>
      </c>
      <c r="N184" s="7">
        <f t="shared" si="63"/>
        <v>14.816666672704741</v>
      </c>
      <c r="O184" s="7"/>
      <c r="P184" s="7"/>
      <c r="Q184" s="23"/>
      <c r="R184" s="23"/>
      <c r="S184" s="35">
        <f t="shared" si="64"/>
        <v>1</v>
      </c>
      <c r="T184" s="50" t="str">
        <f t="shared" si="5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14:28:34-700',mode:absolute,to:'2016-12-20 17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4" s="52" t="str">
        <f t="shared" si="52"/>
        <v>N</v>
      </c>
      <c r="X184" s="177">
        <f t="shared" si="65"/>
        <v>1</v>
      </c>
      <c r="Y184" s="67">
        <f t="shared" si="53"/>
        <v>9.5500000000000002E-2</v>
      </c>
      <c r="Z184" s="67">
        <f t="shared" si="62"/>
        <v>5.8986000000000001</v>
      </c>
      <c r="AA184" s="67">
        <f t="shared" si="54"/>
        <v>5.8030999999999997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5"/>
        <v>0827-20</v>
      </c>
      <c r="AE184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84" s="88" t="str">
        <f t="shared" si="57"/>
        <v>"C:\Program Files (x86)\AstroGrep\AstroGrep.exe" /spath="%USERPROFILE%\AppData\Local\Temp\OnboardLogs" /stypes="app*4016*20161220*" /stext=" 23:.+((SYSTEM_STATE.+slice.+state.+changed )|(ment ac)|(multiple cpu faults)|(system.+state.+changed )|(\[timeout)|(PRM\|1\|D)|(kpr)|(kdp)|(\|lc)|(penalty))" /e /r /s</v>
      </c>
      <c r="AG184" s="1" t="str">
        <f t="shared" si="58"/>
        <v>NW</v>
      </c>
      <c r="AH184" s="92" t="str">
        <f t="shared" si="59"/>
        <v>"%USERPROFILE%\Documents\GitHub\eaglep3\Utilities\RefineRTDCRunTimes.py" --tripid 827-20 --locoid 4016 --swversion DE.1.0.8.0 --startMP 204:955 --initTime 2016-12-20T15:28:34 --startdatetime 2016-12-20T15:51:16 --delay 1 --endMP 300:58986 --enddatetime 2016-12-20T16:06:05 --enforcementcount 0 &gt;&gt;C:\Users\stu\Documents\GitHub\eaglep3-reporting\EC\2016-12-20-refined-times.txt</v>
      </c>
      <c r="AI18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{"issue":{"subject":"","project_id":79,"tracker_id":40,"status_id":1,"priority_id":2,"assigned_to_id":23,"start_date":"2016-12-20","description":"","custom_fields":[{"id":1,"name":"Subdivision","value":"NW"},{"id":4,"name":"Milepost","value":"5.8986"},{"id":17,"name":"Train ID","value":"827-20"},{"id":16,"name":"Locomotive ID","value":"4016"},{"id":130,"name":"Impact","value":""},{"id":150,"name":"Time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484</v>
      </c>
      <c r="B185" s="7">
        <v>4015</v>
      </c>
      <c r="C185" s="22" t="s">
        <v>205</v>
      </c>
      <c r="D185" s="22" t="s">
        <v>809</v>
      </c>
      <c r="E185" s="13">
        <v>42724.672002314815</v>
      </c>
      <c r="F185" s="13">
        <v>42724.673425925925</v>
      </c>
      <c r="G185" s="7">
        <v>1</v>
      </c>
      <c r="H185" s="22" t="s">
        <v>810</v>
      </c>
      <c r="I185" s="13">
        <v>42724.684328703705</v>
      </c>
      <c r="J185" s="7">
        <v>0</v>
      </c>
      <c r="K185" s="109" t="str">
        <f t="shared" si="46"/>
        <v>4015/4016</v>
      </c>
      <c r="L185" s="22" t="str">
        <f>VLOOKUP(A185,'Trips&amp;Operators'!$C$1:$G$99999,5,FALSE)</f>
        <v>HILLS DUSTIN</v>
      </c>
      <c r="M185" s="6">
        <f t="shared" si="47"/>
        <v>1.0902777779847383E-2</v>
      </c>
      <c r="N185" s="7">
        <f t="shared" si="63"/>
        <v>15.700000002980232</v>
      </c>
      <c r="O185" s="7"/>
      <c r="P185" s="7"/>
      <c r="Q185" s="23"/>
      <c r="R185" s="23"/>
      <c r="S185" s="35">
        <f t="shared" si="64"/>
        <v>1</v>
      </c>
      <c r="T185" s="50" t="str">
        <f t="shared" si="5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15:07:41-700',mode:absolute,to:'2016-12-20 17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5" s="52" t="str">
        <f t="shared" si="52"/>
        <v>N</v>
      </c>
      <c r="X185" s="177">
        <f t="shared" si="65"/>
        <v>1</v>
      </c>
      <c r="Y185" s="67">
        <f t="shared" si="53"/>
        <v>5.867</v>
      </c>
      <c r="Z185" s="67">
        <f t="shared" si="62"/>
        <v>6.8900000000000003E-2</v>
      </c>
      <c r="AA185" s="67">
        <f t="shared" si="54"/>
        <v>5.7980999999999998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5"/>
        <v>0828-20</v>
      </c>
      <c r="AE185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85" s="88" t="str">
        <f t="shared" si="57"/>
        <v>"C:\Program Files (x86)\AstroGrep\AstroGrep.exe" /spath="%USERPROFILE%\AppData\Local\Temp\OnboardLogs" /stypes="app*4015*20161220*" /stext=" 23:.+((SYSTEM_STATE.+slice.+state.+changed )|(ment ac)|(multiple cpu faults)|(system.+state.+changed )|(\[timeout)|(PRM\|1\|D)|(kpr)|(kdp)|(\|lc)|(penalty))" /e /r /s</v>
      </c>
      <c r="AG185" s="1" t="str">
        <f t="shared" si="58"/>
        <v>NW</v>
      </c>
      <c r="AH185" s="92" t="str">
        <f t="shared" si="59"/>
        <v>"%USERPROFILE%\Documents\GitHub\eaglep3\Utilities\RefineRTDCRunTimes.py" --tripid 828-20 --locoid 4015 --swversion DE.1.0.8.0 --startMP 300:58670 --initTime 2016-12-20T16:07:41 --startdatetime 2016-12-20T16:09:44 --delay 1 --endMP 204:689 --enddatetime 2016-12-20T16:25:26 --enforcementcount 0 &gt;&gt;C:\Users\stu\Documents\GitHub\eaglep3-reporting\EC\2016-12-20-refined-times.txt</v>
      </c>
      <c r="AI18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{"issue":{"subject":"","project_id":79,"tracker_id":40,"status_id":1,"priority_id":2,"assigned_to_id":23,"start_date":"2016-12-20","description":"","custom_fields":[{"id":1,"name":"Subdivision","value":"NW"},{"id":4,"name":"Milepost","value":"0.0689"},{"id":17,"name":"Train ID","value":"828-20"},{"id":16,"name":"Locomotive ID","value":"4015"},{"id":130,"name":"Impact","value":""},{"id":150,"name":"Time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628</v>
      </c>
      <c r="B186" s="7">
        <v>4003</v>
      </c>
      <c r="C186" s="22" t="s">
        <v>205</v>
      </c>
      <c r="D186" s="22" t="s">
        <v>811</v>
      </c>
      <c r="E186" s="13">
        <v>42724.677893518521</v>
      </c>
      <c r="F186" s="13">
        <v>42724.681620370371</v>
      </c>
      <c r="G186" s="7">
        <v>1</v>
      </c>
      <c r="H186" s="22" t="s">
        <v>812</v>
      </c>
      <c r="I186" s="13">
        <v>42724.690613425926</v>
      </c>
      <c r="J186" s="7">
        <v>0</v>
      </c>
      <c r="K186" s="109" t="str">
        <f t="shared" si="46"/>
        <v>4003/4004</v>
      </c>
      <c r="L186" s="22" t="str">
        <f>VLOOKUP(A186,'Trips&amp;Operators'!$C$1:$G$99999,5,FALSE)</f>
        <v>LEVIN SCOTT</v>
      </c>
      <c r="M186" s="6">
        <f t="shared" si="47"/>
        <v>8.9930555550381541E-3</v>
      </c>
      <c r="N186" s="7">
        <f t="shared" si="63"/>
        <v>12.949999999254942</v>
      </c>
      <c r="O186" s="7"/>
      <c r="P186" s="7"/>
      <c r="Q186" s="23"/>
      <c r="R186" s="23"/>
      <c r="S186" s="35">
        <f t="shared" si="64"/>
        <v>1</v>
      </c>
      <c r="T186" s="50" t="str">
        <f t="shared" si="5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15:16:10-700',mode:absolute,to:'2016-12-20 17:34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2" t="str">
        <f t="shared" si="52"/>
        <v>N</v>
      </c>
      <c r="X186" s="177">
        <f t="shared" si="65"/>
        <v>1</v>
      </c>
      <c r="Y186" s="67">
        <f t="shared" si="53"/>
        <v>9.74E-2</v>
      </c>
      <c r="Z186" s="67">
        <f t="shared" si="62"/>
        <v>5.8935000000000004</v>
      </c>
      <c r="AA186" s="67">
        <f t="shared" si="54"/>
        <v>5.7961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5"/>
        <v>0829-20</v>
      </c>
      <c r="AE186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86" s="88" t="str">
        <f t="shared" si="57"/>
        <v>"C:\Program Files (x86)\AstroGrep\AstroGrep.exe" /spath="%USERPROFILE%\AppData\Local\Temp\OnboardLogs" /stypes="app*4003*20161220*" /stext=" 23:.+((SYSTEM_STATE.+slice.+state.+changed )|(ment ac)|(multiple cpu faults)|(system.+state.+changed )|(\[timeout)|(PRM\|1\|D)|(kpr)|(kdp)|(\|lc)|(penalty))" /e /r /s</v>
      </c>
      <c r="AG186" s="1" t="str">
        <f t="shared" si="58"/>
        <v>NW</v>
      </c>
      <c r="AH186" s="92" t="str">
        <f t="shared" si="59"/>
        <v>"%USERPROFILE%\Documents\GitHub\eaglep3\Utilities\RefineRTDCRunTimes.py" --tripid 829-20 --locoid 4003 --swversion DE.1.0.8.0 --startMP 204:974 --initTime 2016-12-20T16:16:10 --startdatetime 2016-12-20T16:21:32 --delay 1 --endMP 300:58935 --enddatetime 2016-12-20T16:34:29 --enforcementcount 0 &gt;&gt;C:\Users\stu\Documents\GitHub\eaglep3-reporting\EC\2016-12-20-refined-times.txt</v>
      </c>
      <c r="AI18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{"issue":{"subject":"","project_id":79,"tracker_id":40,"status_id":1,"priority_id":2,"assigned_to_id":23,"start_date":"2016-12-20","description":"","custom_fields":[{"id":1,"name":"Subdivision","value":"NW"},{"id":4,"name":"Milepost","value":"5.8935"},{"id":17,"name":"Train ID","value":"829-20"},{"id":16,"name":"Locomotive ID","value":"4003"},{"id":130,"name":"Impact","value":""},{"id":150,"name":"Time of Event (Mountain Time)","value":"16:34:29"},{"id":151,"name":"Denver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631</v>
      </c>
      <c r="B187" s="7">
        <v>4004</v>
      </c>
      <c r="C187" s="22" t="s">
        <v>205</v>
      </c>
      <c r="D187" s="22" t="s">
        <v>813</v>
      </c>
      <c r="E187" s="13">
        <v>42724.691805555558</v>
      </c>
      <c r="F187" s="13">
        <v>42724.693298611113</v>
      </c>
      <c r="G187" s="7">
        <v>1</v>
      </c>
      <c r="H187" s="22" t="s">
        <v>814</v>
      </c>
      <c r="I187" s="13">
        <v>42724.705127314817</v>
      </c>
      <c r="J187" s="7">
        <v>0</v>
      </c>
      <c r="K187" s="109" t="str">
        <f t="shared" si="46"/>
        <v>4003/4004</v>
      </c>
      <c r="L187" s="22" t="str">
        <f>VLOOKUP(A187,'Trips&amp;Operators'!$C$1:$G$99999,5,FALSE)</f>
        <v>LEVIN SCOTT</v>
      </c>
      <c r="M187" s="6">
        <f t="shared" si="47"/>
        <v>1.1828703703940846E-2</v>
      </c>
      <c r="N187" s="7">
        <f t="shared" si="63"/>
        <v>17.033333333674818</v>
      </c>
      <c r="O187" s="7"/>
      <c r="P187" s="7"/>
      <c r="Q187" s="23"/>
      <c r="R187" s="23"/>
      <c r="S187" s="35">
        <f t="shared" si="64"/>
        <v>1</v>
      </c>
      <c r="T187" s="50" t="str">
        <f t="shared" si="5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15:36:12-700',mode:absolute,to:'2016-12-20 17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2" t="str">
        <f t="shared" si="52"/>
        <v>N</v>
      </c>
      <c r="X187" s="177">
        <f t="shared" si="65"/>
        <v>1</v>
      </c>
      <c r="Y187" s="67">
        <f t="shared" si="53"/>
        <v>5.8616999999999999</v>
      </c>
      <c r="Z187" s="67">
        <f t="shared" si="62"/>
        <v>6.8400000000000002E-2</v>
      </c>
      <c r="AA187" s="67">
        <f t="shared" si="54"/>
        <v>5.7933000000000003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5"/>
        <v>0830-20</v>
      </c>
      <c r="AE187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87" s="88" t="str">
        <f t="shared" si="57"/>
        <v>"C:\Program Files (x86)\AstroGrep\AstroGrep.exe" /spath="%USERPROFILE%\AppData\Local\Temp\OnboardLogs" /stypes="app*4004*20161220*" /stext=" 23:.+((SYSTEM_STATE.+slice.+state.+changed )|(ment ac)|(multiple cpu faults)|(system.+state.+changed )|(\[timeout)|(PRM\|1\|D)|(kpr)|(kdp)|(\|lc)|(penalty))" /e /r /s</v>
      </c>
      <c r="AG187" s="1" t="str">
        <f t="shared" si="58"/>
        <v>NW</v>
      </c>
      <c r="AH187" s="92" t="str">
        <f t="shared" si="59"/>
        <v>"%USERPROFILE%\Documents\GitHub\eaglep3\Utilities\RefineRTDCRunTimes.py" --tripid 830-20 --locoid 4004 --swversion DE.1.0.8.0 --startMP 300:58617 --initTime 2016-12-20T16:36:12 --startdatetime 2016-12-20T16:38:21 --delay 1 --endMP 204:684 --enddatetime 2016-12-20T16:55:23 --enforcementcount 0 &gt;&gt;C:\Users\stu\Documents\GitHub\eaglep3-reporting\EC\2016-12-20-refined-times.txt</v>
      </c>
      <c r="AI187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{"issue":{"subject":"","project_id":79,"tracker_id":40,"status_id":1,"priority_id":2,"assigned_to_id":23,"start_date":"2016-12-20","description":"","custom_fields":[{"id":1,"name":"Subdivision","value":"NW"},{"id":4,"name":"Milepost","value":"0.0684"},{"id":17,"name":"Train ID","value":"830-20"},{"id":16,"name":"Locomotive ID","value":"4004"},{"id":130,"name":"Impact","value":""},{"id":150,"name":"Time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485</v>
      </c>
      <c r="B188" s="7">
        <v>4016</v>
      </c>
      <c r="C188" s="22" t="s">
        <v>205</v>
      </c>
      <c r="D188" s="22" t="s">
        <v>815</v>
      </c>
      <c r="E188" s="13">
        <v>42724.685763888891</v>
      </c>
      <c r="F188" s="13">
        <v>42724.702268518522</v>
      </c>
      <c r="G188" s="7">
        <v>1</v>
      </c>
      <c r="H188" s="22" t="s">
        <v>816</v>
      </c>
      <c r="I188" s="13">
        <v>42724.712210648147</v>
      </c>
      <c r="J188" s="7">
        <v>0</v>
      </c>
      <c r="K188" s="109" t="str">
        <f t="shared" si="46"/>
        <v>4015/4016</v>
      </c>
      <c r="L188" s="22" t="str">
        <f>VLOOKUP(A188,'Trips&amp;Operators'!$C$1:$G$99999,5,FALSE)</f>
        <v>HILLS DUSTIN</v>
      </c>
      <c r="M188" s="6">
        <f t="shared" si="47"/>
        <v>9.9421296254149638E-3</v>
      </c>
      <c r="N188" s="7">
        <f t="shared" si="63"/>
        <v>14.316666660597548</v>
      </c>
      <c r="O188" s="7"/>
      <c r="P188" s="7"/>
      <c r="Q188" s="23"/>
      <c r="R188" s="23"/>
      <c r="S188" s="35">
        <f t="shared" si="64"/>
        <v>1</v>
      </c>
      <c r="T188" s="50" t="str">
        <f t="shared" si="5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15:27:30-700',mode:absolute,to:'2016-12-20 18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8" s="52" t="str">
        <f t="shared" si="52"/>
        <v>N</v>
      </c>
      <c r="X188" s="177">
        <f t="shared" si="65"/>
        <v>1</v>
      </c>
      <c r="Y188" s="67">
        <f t="shared" si="53"/>
        <v>9.64E-2</v>
      </c>
      <c r="Z188" s="67">
        <f t="shared" si="62"/>
        <v>5.8983999999999996</v>
      </c>
      <c r="AA188" s="67">
        <f t="shared" si="54"/>
        <v>5.8019999999999996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5"/>
        <v>0831-20</v>
      </c>
      <c r="AE188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88" s="88" t="str">
        <f t="shared" si="57"/>
        <v>"C:\Program Files (x86)\AstroGrep\AstroGrep.exe" /spath="%USERPROFILE%\AppData\Local\Temp\OnboardLogs" /stypes="app*4016*20161221*" /stext=" 00:.+((SYSTEM_STATE.+slice.+state.+changed )|(ment ac)|(multiple cpu faults)|(system.+state.+changed )|(\[timeout)|(PRM\|1\|D)|(kpr)|(kdp)|(\|lc)|(penalty))" /e /r /s</v>
      </c>
      <c r="AG188" s="1" t="str">
        <f t="shared" si="58"/>
        <v>NW</v>
      </c>
      <c r="AH188" s="92" t="str">
        <f t="shared" si="59"/>
        <v>"%USERPROFILE%\Documents\GitHub\eaglep3\Utilities\RefineRTDCRunTimes.py" --tripid 831-20 --locoid 4016 --swversion DE.1.0.8.0 --startMP 204:964 --initTime 2016-12-20T16:27:30 --startdatetime 2016-12-20T16:51:16 --delay 1 --endMP 300:58984 --enddatetime 2016-12-20T17:05:35 --enforcementcount 0 &gt;&gt;C:\Users\stu\Documents\GitHub\eaglep3-reporting\EC\2016-12-20-refined-times.txt</v>
      </c>
      <c r="AI18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{"issue":{"subject":"","project_id":79,"tracker_id":40,"status_id":1,"priority_id":2,"assigned_to_id":23,"start_date":"2016-12-20","description":"","custom_fields":[{"id":1,"name":"Subdivision","value":"NW"},{"id":4,"name":"Milepost","value":"5.8984"},{"id":17,"name":"Train ID","value":"831-20"},{"id":16,"name":"Locomotive ID","value":"4016"},{"id":130,"name":"Impact","value":""},{"id":150,"name":"Time of Event (Mountain Time)","value":"17:05:35"},{"id":151,"name":"Denver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637</v>
      </c>
      <c r="B189" s="7">
        <v>4015</v>
      </c>
      <c r="C189" s="22" t="s">
        <v>205</v>
      </c>
      <c r="D189" s="22" t="s">
        <v>817</v>
      </c>
      <c r="E189" s="13">
        <v>42724.713402777779</v>
      </c>
      <c r="F189" s="13">
        <v>42724.715127314812</v>
      </c>
      <c r="G189" s="7">
        <v>1</v>
      </c>
      <c r="H189" s="22" t="s">
        <v>818</v>
      </c>
      <c r="I189" s="13">
        <v>42724.726087962961</v>
      </c>
      <c r="J189" s="7">
        <v>0</v>
      </c>
      <c r="K189" s="109" t="str">
        <f t="shared" si="46"/>
        <v>4015/4016</v>
      </c>
      <c r="L189" s="22" t="str">
        <f>VLOOKUP(A189,'Trips&amp;Operators'!$C$1:$G$99999,5,FALSE)</f>
        <v>HILLS DUSTIN</v>
      </c>
      <c r="M189" s="6">
        <f t="shared" si="47"/>
        <v>1.096064814919373E-2</v>
      </c>
      <c r="N189" s="7">
        <f t="shared" si="63"/>
        <v>15.783333334838971</v>
      </c>
      <c r="O189" s="7"/>
      <c r="P189" s="7"/>
      <c r="Q189" s="23"/>
      <c r="R189" s="23"/>
      <c r="S189" s="35">
        <f t="shared" si="64"/>
        <v>1</v>
      </c>
      <c r="T189" s="50" t="str">
        <f t="shared" si="5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16:07:18-700',mode:absolute,to:'2016-12-20 18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9" s="52" t="str">
        <f t="shared" si="52"/>
        <v>N</v>
      </c>
      <c r="X189" s="177">
        <f t="shared" si="65"/>
        <v>1</v>
      </c>
      <c r="Y189" s="67">
        <f t="shared" si="53"/>
        <v>5.8676000000000004</v>
      </c>
      <c r="Z189" s="67">
        <f t="shared" si="62"/>
        <v>6.4699999999999994E-2</v>
      </c>
      <c r="AA189" s="67">
        <f t="shared" si="54"/>
        <v>5.8029000000000002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5"/>
        <v>0832-20</v>
      </c>
      <c r="AE189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89" s="88" t="str">
        <f t="shared" si="57"/>
        <v>"C:\Program Files (x86)\AstroGrep\AstroGrep.exe" /spath="%USERPROFILE%\AppData\Local\Temp\OnboardLogs" /stypes="app*4015*20161221*" /stext=" 00:.+((SYSTEM_STATE.+slice.+state.+changed )|(ment ac)|(multiple cpu faults)|(system.+state.+changed )|(\[timeout)|(PRM\|1\|D)|(kpr)|(kdp)|(\|lc)|(penalty))" /e /r /s</v>
      </c>
      <c r="AG189" s="1" t="str">
        <f t="shared" si="58"/>
        <v>NW</v>
      </c>
      <c r="AH189" s="92" t="str">
        <f t="shared" si="59"/>
        <v>"%USERPROFILE%\Documents\GitHub\eaglep3\Utilities\RefineRTDCRunTimes.py" --tripid 832-20 --locoid 4015 --swversion DE.1.0.8.0 --startMP 300:58676 --initTime 2016-12-20T17:07:18 --startdatetime 2016-12-20T17:09:47 --delay 1 --endMP 204:647 --enddatetime 2016-12-20T17:25:34 --enforcementcount 0 &gt;&gt;C:\Users\stu\Documents\GitHub\eaglep3-reporting\EC\2016-12-20-refined-times.txt</v>
      </c>
      <c r="AI18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{"issue":{"subject":"","project_id":79,"tracker_id":40,"status_id":1,"priority_id":2,"assigned_to_id":23,"start_date":"2016-12-20","description":"","custom_fields":[{"id":1,"name":"Subdivision","value":"NW"},{"id":4,"name":"Milepost","value":"0.0647"},{"id":17,"name":"Train ID","value":"832-20"},{"id":16,"name":"Locomotive ID","value":"4015"},{"id":130,"name":"Impact","value":""},{"id":150,"name":"Time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486</v>
      </c>
      <c r="B190" s="7">
        <v>4003</v>
      </c>
      <c r="C190" s="22" t="s">
        <v>205</v>
      </c>
      <c r="D190" s="22" t="s">
        <v>811</v>
      </c>
      <c r="E190" s="13">
        <v>42724.718738425923</v>
      </c>
      <c r="F190" s="13">
        <v>42724.723402777781</v>
      </c>
      <c r="G190" s="7">
        <v>1</v>
      </c>
      <c r="H190" s="22" t="s">
        <v>312</v>
      </c>
      <c r="I190" s="13">
        <v>42724.733182870368</v>
      </c>
      <c r="J190" s="7">
        <v>0</v>
      </c>
      <c r="K190" s="109" t="str">
        <f t="shared" si="46"/>
        <v>4003/4004</v>
      </c>
      <c r="L190" s="22" t="str">
        <f>VLOOKUP(A190,'Trips&amp;Operators'!$C$1:$G$99999,5,FALSE)</f>
        <v>LEVIN SCOTT</v>
      </c>
      <c r="M190" s="6">
        <f t="shared" si="47"/>
        <v>9.7800925868796185E-3</v>
      </c>
      <c r="N190" s="7">
        <f t="shared" si="63"/>
        <v>14.083333325106651</v>
      </c>
      <c r="O190" s="7"/>
      <c r="P190" s="7"/>
      <c r="Q190" s="23"/>
      <c r="R190" s="23"/>
      <c r="S190" s="35">
        <f t="shared" si="64"/>
        <v>1</v>
      </c>
      <c r="T190" s="50" t="str">
        <f t="shared" si="5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16:14:59-700',mode:absolute,to:'2016-12-20 18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0" s="52" t="str">
        <f t="shared" si="52"/>
        <v>N</v>
      </c>
      <c r="X190" s="177">
        <f t="shared" si="65"/>
        <v>1</v>
      </c>
      <c r="Y190" s="67">
        <f t="shared" si="53"/>
        <v>9.74E-2</v>
      </c>
      <c r="Z190" s="67">
        <f t="shared" si="62"/>
        <v>5.8924000000000003</v>
      </c>
      <c r="AA190" s="67">
        <f t="shared" si="54"/>
        <v>5.7949999999999999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5"/>
        <v>0833-20</v>
      </c>
      <c r="AE190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90" s="88" t="str">
        <f t="shared" si="57"/>
        <v>"C:\Program Files (x86)\AstroGrep\AstroGrep.exe" /spath="%USERPROFILE%\AppData\Local\Temp\OnboardLogs" /stypes="app*4003*20161221*" /stext=" 00:.+((SYSTEM_STATE.+slice.+state.+changed )|(ment ac)|(multiple cpu faults)|(system.+state.+changed )|(\[timeout)|(PRM\|1\|D)|(kpr)|(kdp)|(\|lc)|(penalty))" /e /r /s</v>
      </c>
      <c r="AG190" s="1" t="str">
        <f t="shared" si="58"/>
        <v>NW</v>
      </c>
      <c r="AH190" s="92" t="str">
        <f t="shared" si="59"/>
        <v>"%USERPROFILE%\Documents\GitHub\eaglep3\Utilities\RefineRTDCRunTimes.py" --tripid 833-20 --locoid 4003 --swversion DE.1.0.8.0 --startMP 204:974 --initTime 2016-12-20T17:14:59 --startdatetime 2016-12-20T17:21:42 --delay 1 --endMP 300:58924 --enddatetime 2016-12-20T17:35:47 --enforcementcount 0 &gt;&gt;C:\Users\stu\Documents\GitHub\eaglep3-reporting\EC\2016-12-20-refined-times.txt</v>
      </c>
      <c r="AI19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{"issue":{"subject":"","project_id":79,"tracker_id":40,"status_id":1,"priority_id":2,"assigned_to_id":23,"start_date":"2016-12-20","description":"","custom_fields":[{"id":1,"name":"Subdivision","value":"NW"},{"id":4,"name":"Milepost","value":"5.8924"},{"id":17,"name":"Train ID","value":"833-20"},{"id":16,"name":"Locomotive ID","value":"4003"},{"id":130,"name":"Impact","value":""},{"id":150,"name":"Time of Event (Mountain Time)","value":"17:35:47"},{"id":151,"name":"Denver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643</v>
      </c>
      <c r="B191" s="7">
        <v>4004</v>
      </c>
      <c r="C191" s="22" t="s">
        <v>205</v>
      </c>
      <c r="D191" s="22" t="s">
        <v>354</v>
      </c>
      <c r="E191" s="13">
        <v>42724.734386574077</v>
      </c>
      <c r="F191" s="13">
        <v>42724.735752314817</v>
      </c>
      <c r="G191" s="7">
        <v>1</v>
      </c>
      <c r="H191" s="22" t="s">
        <v>314</v>
      </c>
      <c r="I191" s="13">
        <v>42724.746805555558</v>
      </c>
      <c r="J191" s="7">
        <v>0</v>
      </c>
      <c r="K191" s="109" t="str">
        <f t="shared" si="46"/>
        <v>4003/4004</v>
      </c>
      <c r="L191" s="22" t="str">
        <f>VLOOKUP(A191,'Trips&amp;Operators'!$C$1:$G$99999,5,FALSE)</f>
        <v>LEVIN SCOTT</v>
      </c>
      <c r="M191" s="6">
        <f t="shared" si="47"/>
        <v>1.1053240741603076E-2</v>
      </c>
      <c r="N191" s="7">
        <f t="shared" si="63"/>
        <v>15.91666666790843</v>
      </c>
      <c r="O191" s="7"/>
      <c r="P191" s="7"/>
      <c r="Q191" s="23"/>
      <c r="R191" s="23"/>
      <c r="S191" s="35">
        <f t="shared" si="64"/>
        <v>1</v>
      </c>
      <c r="T191" s="50" t="str">
        <f t="shared" si="5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16:37:31-700',mode:absolute,to:'2016-12-20 18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1" s="52" t="str">
        <f t="shared" si="52"/>
        <v>N</v>
      </c>
      <c r="X191" s="177">
        <f t="shared" si="65"/>
        <v>1</v>
      </c>
      <c r="Y191" s="67">
        <f t="shared" si="53"/>
        <v>5.8611000000000004</v>
      </c>
      <c r="Z191" s="67">
        <f t="shared" si="62"/>
        <v>6.7799999999999999E-2</v>
      </c>
      <c r="AA191" s="67">
        <f t="shared" si="54"/>
        <v>5.7933000000000003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5"/>
        <v>0834-20</v>
      </c>
      <c r="AE191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91" s="88" t="str">
        <f t="shared" si="57"/>
        <v>"C:\Program Files (x86)\AstroGrep\AstroGrep.exe" /spath="%USERPROFILE%\AppData\Local\Temp\OnboardLogs" /stypes="app*4004*20161221*" /stext=" 00:.+((SYSTEM_STATE.+slice.+state.+changed )|(ment ac)|(multiple cpu faults)|(system.+state.+changed )|(\[timeout)|(PRM\|1\|D)|(kpr)|(kdp)|(\|lc)|(penalty))" /e /r /s</v>
      </c>
      <c r="AG191" s="1" t="str">
        <f t="shared" si="58"/>
        <v>NW</v>
      </c>
      <c r="AH191" s="92" t="str">
        <f t="shared" si="59"/>
        <v>"%USERPROFILE%\Documents\GitHub\eaglep3\Utilities\RefineRTDCRunTimes.py" --tripid 834-20 --locoid 4004 --swversion DE.1.0.8.0 --startMP 300:58611 --initTime 2016-12-20T17:37:31 --startdatetime 2016-12-20T17:39:29 --delay 1 --endMP 204:678 --enddatetime 2016-12-20T17:55:24 --enforcementcount 0 &gt;&gt;C:\Users\stu\Documents\GitHub\eaglep3-reporting\EC\2016-12-20-refined-times.txt</v>
      </c>
      <c r="AI19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{"issue":{"subject":"","project_id":79,"tracker_id":40,"status_id":1,"priority_id":2,"assigned_to_id":23,"start_date":"2016-12-20","description":"","custom_fields":[{"id":1,"name":"Subdivision","value":"NW"},{"id":4,"name":"Milepost","value":"0.0678"},{"id":17,"name":"Train ID","value":"834-20"},{"id":16,"name":"Locomotive ID","value":"4004"},{"id":130,"name":"Impact","value":""},{"id":150,"name":"Time of Event (Mountain Time)","value":"17:55:24"},{"id":151,"name":"Denver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487</v>
      </c>
      <c r="B192" s="7">
        <v>4016</v>
      </c>
      <c r="C192" s="22" t="s">
        <v>205</v>
      </c>
      <c r="D192" s="22" t="s">
        <v>819</v>
      </c>
      <c r="E192" s="13">
        <v>42724.728009259263</v>
      </c>
      <c r="F192" s="13">
        <v>42724.744108796294</v>
      </c>
      <c r="G192" s="7">
        <v>1</v>
      </c>
      <c r="H192" s="22" t="s">
        <v>820</v>
      </c>
      <c r="I192" s="13">
        <v>42724.753888888888</v>
      </c>
      <c r="J192" s="7">
        <v>0</v>
      </c>
      <c r="K192" s="109" t="str">
        <f t="shared" si="46"/>
        <v>4015/4016</v>
      </c>
      <c r="L192" s="22" t="str">
        <f>VLOOKUP(A192,'Trips&amp;Operators'!$C$1:$G$99999,5,FALSE)</f>
        <v>HILLS DUSTIN</v>
      </c>
      <c r="M192" s="6">
        <f t="shared" si="47"/>
        <v>9.7800925941555761E-3</v>
      </c>
      <c r="N192" s="7">
        <f t="shared" si="63"/>
        <v>14.08333333558403</v>
      </c>
      <c r="O192" s="7"/>
      <c r="P192" s="7"/>
      <c r="Q192" s="23"/>
      <c r="R192" s="23"/>
      <c r="S192" s="35">
        <f t="shared" si="64"/>
        <v>1</v>
      </c>
      <c r="T192" s="50" t="str">
        <f t="shared" si="5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2" s="52" t="str">
        <f t="shared" si="52"/>
        <v>N</v>
      </c>
      <c r="X192" s="177">
        <f t="shared" si="65"/>
        <v>1</v>
      </c>
      <c r="Y192" s="67">
        <f t="shared" si="53"/>
        <v>9.2999999999999999E-2</v>
      </c>
      <c r="Z192" s="67">
        <f t="shared" si="62"/>
        <v>5.8834999999999997</v>
      </c>
      <c r="AA192" s="67">
        <f t="shared" si="54"/>
        <v>5.7904999999999998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5"/>
        <v>0835-20</v>
      </c>
      <c r="AE192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92" s="88" t="str">
        <f t="shared" si="57"/>
        <v>"C:\Program Files (x86)\AstroGrep\AstroGrep.exe" /spath="%USERPROFILE%\AppData\Local\Temp\OnboardLogs" /stypes="app*4016*20161221*" /stext=" 01:.+((SYSTEM_STATE.+slice.+state.+changed )|(ment ac)|(multiple cpu faults)|(system.+state.+changed )|(\[timeout)|(PRM\|1\|D)|(kpr)|(kdp)|(\|lc)|(penalty))" /e /r /s</v>
      </c>
      <c r="AG192" s="1" t="str">
        <f t="shared" si="58"/>
        <v>NW</v>
      </c>
      <c r="AH192" s="92" t="str">
        <f t="shared" si="59"/>
        <v>"%USERPROFILE%\Documents\GitHub\eaglep3\Utilities\RefineRTDCRunTimes.py" --tripid 835-20 --locoid 4016 --swversion DE.1.0.8.0 --startMP 204:930 --initTime 2016-12-20T17:28:20 --startdatetime 2016-12-20T17:51:31 --delay 1 --endMP 300:58835 --enddatetime 2016-12-20T18:05:36 --enforcementcount 0 &gt;&gt;C:\Users\stu\Documents\GitHub\eaglep3-reporting\EC\2016-12-20-refined-times.txt</v>
      </c>
      <c r="AI19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{"issue":{"subject":"","project_id":79,"tracker_id":40,"status_id":1,"priority_id":2,"assigned_to_id":23,"start_date":"2016-12-20","description":"","custom_fields":[{"id":1,"name":"Subdivision","value":"NW"},{"id":4,"name":"Milepost","value":"5.8835"},{"id":17,"name":"Train ID","value":"835-20"},{"id":16,"name":"Locomotive ID","value":"4016"},{"id":130,"name":"Impact","value":""},{"id":150,"name":"Time of Event (Mountain Time)","value":"18:05:36"},{"id":151,"name":"Denver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651</v>
      </c>
      <c r="B193" s="7">
        <v>4015</v>
      </c>
      <c r="C193" s="22" t="s">
        <v>205</v>
      </c>
      <c r="D193" s="22" t="s">
        <v>821</v>
      </c>
      <c r="E193" s="13">
        <v>42724.755613425928</v>
      </c>
      <c r="F193" s="13">
        <v>42724.758449074077</v>
      </c>
      <c r="G193" s="7">
        <v>4</v>
      </c>
      <c r="H193" s="22" t="s">
        <v>822</v>
      </c>
      <c r="I193" s="13">
        <v>42724.758483796293</v>
      </c>
      <c r="J193" s="7">
        <v>0</v>
      </c>
      <c r="K193" s="109" t="str">
        <f t="shared" si="46"/>
        <v>4015/4016</v>
      </c>
      <c r="L193" s="22" t="str">
        <f>VLOOKUP(A193,'Trips&amp;Operators'!$C$1:$G$99999,5,FALSE)</f>
        <v>HILLS DUSTIN</v>
      </c>
      <c r="M193" s="6">
        <f t="shared" si="47"/>
        <v>3.4722215787041932E-5</v>
      </c>
      <c r="N193" s="7"/>
      <c r="O193" s="7"/>
      <c r="P193" s="7">
        <f>24*60*SUM($M193:$M194)</f>
        <v>1.2333333177957684</v>
      </c>
      <c r="Q193" s="23"/>
      <c r="R193" s="23" t="s">
        <v>456</v>
      </c>
      <c r="S193" s="35">
        <f>SUM(U193:U194)/IF(AG193="EC",12,1)</f>
        <v>0</v>
      </c>
      <c r="T193" s="50" t="str">
        <f t="shared" si="5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17:08:05-700',mode:absolute,to:'2016-12-20 19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3" s="52" t="str">
        <f t="shared" si="52"/>
        <v>Y</v>
      </c>
      <c r="X193" s="177">
        <f t="shared" si="65"/>
        <v>1</v>
      </c>
      <c r="Y193" s="67">
        <f t="shared" si="53"/>
        <v>5.7339000000000002</v>
      </c>
      <c r="Z193" s="67">
        <f t="shared" si="62"/>
        <v>5.7336999999999998</v>
      </c>
      <c r="AA193" s="67">
        <f t="shared" si="54"/>
        <v>2.0000000000042206E-4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5"/>
        <v>0836-20</v>
      </c>
      <c r="AE193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93" s="88" t="str">
        <f t="shared" si="57"/>
        <v>"C:\Program Files (x86)\AstroGrep\AstroGrep.exe" /spath="%USERPROFILE%\AppData\Local\Temp\OnboardLogs" /stypes="app*4015*20161221*" /stext=" 01:.+((SYSTEM_STATE.+slice.+state.+changed )|(ment ac)|(multiple cpu faults)|(system.+state.+changed )|(\[timeout)|(PRM\|1\|D)|(kpr)|(kdp)|(\|lc)|(penalty))" /e /r /s</v>
      </c>
      <c r="AG193" s="1" t="str">
        <f t="shared" si="58"/>
        <v>NW</v>
      </c>
      <c r="AH193" s="92" t="str">
        <f t="shared" si="59"/>
        <v>"%USERPROFILE%\Documents\GitHub\eaglep3\Utilities\RefineRTDCRunTimes.py" --tripid 836-20 --locoid 4015 --swversion DE.1.0.8.0 --startMP 300:57339 --initTime 2016-12-20T18:08:05 --startdatetime 2016-12-20T18:12:10 --delay 4 --endMP 300:57337 --enddatetime 2016-12-20T18:12:13 --enforcementcount 0 &gt;&gt;C:\Users\stu\Documents\GitHub\eaglep3-reporting\EC\2016-12-20-refined-times.txt</v>
      </c>
      <c r="AI193" s="119" t="str">
        <f t="shared" si="60"/>
        <v>echo {"issue":{"subject":"Onboard in-route failure","project_id":79,"tracker_id":40,"status_id":1,"priority_id":2,"assigned_to_id":23,"start_date":"2016-12-20","description":"","custom_fields":[{"id":1,"name":"Subdivision","value":"NW"},{"id":4,"name":"Milepost","value":"5.7337"},{"id":17,"name":"Train ID","value":"836-20"},{"id":16,"name":"Locomotive ID","value":"4015"},{"id":130,"name":"Impact","value":""},{"id":150,"name":"Time of Event (Mountain Time)","value":"18:12:13"},{"id":151,"name":"Denver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651</v>
      </c>
      <c r="B194" s="7">
        <v>4015</v>
      </c>
      <c r="C194" s="22" t="s">
        <v>205</v>
      </c>
      <c r="D194" s="22" t="s">
        <v>823</v>
      </c>
      <c r="E194" s="13">
        <v>42724.755613425928</v>
      </c>
      <c r="F194" s="13">
        <v>42724.757662037038</v>
      </c>
      <c r="G194" s="7">
        <v>2</v>
      </c>
      <c r="H194" s="22" t="s">
        <v>822</v>
      </c>
      <c r="I194" s="13">
        <v>42724.758483796293</v>
      </c>
      <c r="J194" s="7">
        <v>0</v>
      </c>
      <c r="K194" s="109" t="str">
        <f t="shared" si="46"/>
        <v>4015/4016</v>
      </c>
      <c r="L194" s="22" t="str">
        <f>VLOOKUP(A194,'Trips&amp;Operators'!$C$1:$G$99999,5,FALSE)</f>
        <v>HILLS DUSTIN</v>
      </c>
      <c r="M194" s="6">
        <f t="shared" si="47"/>
        <v>8.2175925490446389E-4</v>
      </c>
      <c r="N194" s="7"/>
      <c r="O194" s="7"/>
      <c r="P194" s="7"/>
      <c r="Q194" s="23"/>
      <c r="R194" s="23"/>
      <c r="S194" s="35"/>
      <c r="T194" s="50" t="str">
        <f t="shared" si="5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17:08:05-700',mode:absolute,to:'2016-12-20 19:12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4" s="52" t="str">
        <f t="shared" si="52"/>
        <v>Y</v>
      </c>
      <c r="X194" s="177">
        <f t="shared" si="65"/>
        <v>0</v>
      </c>
      <c r="Y194" s="67">
        <f t="shared" si="53"/>
        <v>5.8529999999999998</v>
      </c>
      <c r="Z194" s="67">
        <f t="shared" ref="Z194:Z225" si="66">RIGHT(H194,LEN(H194)-4)/10000</f>
        <v>5.7336999999999998</v>
      </c>
      <c r="AA194" s="67">
        <f t="shared" si="54"/>
        <v>0.11929999999999996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5"/>
        <v>0836-20</v>
      </c>
      <c r="AE194" s="91" t="str">
        <f t="shared" si="56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194" s="88" t="str">
        <f t="shared" si="57"/>
        <v>"C:\Program Files (x86)\AstroGrep\AstroGrep.exe" /spath="%USERPROFILE%\AppData\Local\Temp\OnboardLogs" /stypes="app*4015*20161221*" /stext=" 01:.+((SYSTEM_STATE.+slice.+state.+changed )|(ment ac)|(multiple cpu faults)|(system.+state.+changed )|(\[timeout)|(PRM\|1\|D)|(kpr)|(kdp)|(\|lc)|(penalty))" /e /r /s</v>
      </c>
      <c r="AG194" s="1" t="str">
        <f t="shared" si="58"/>
        <v>NW</v>
      </c>
      <c r="AH194" s="92" t="str">
        <f t="shared" si="59"/>
        <v>"%USERPROFILE%\Documents\GitHub\eaglep3\Utilities\RefineRTDCRunTimes.py" --tripid 836-20 --locoid 4015 --swversion DE.1.0.8.0 --startMP 300:58530 --initTime 2016-12-20T18:08:05 --startdatetime 2016-12-20T18:11:02 --delay 2 --endMP 300:57337 --enddatetime 2016-12-20T18:12:13 --enforcementcount 0 &gt;&gt;C:\Users\stu\Documents\GitHub\eaglep3-reporting\EC\2016-12-20-refined-times.txt</v>
      </c>
      <c r="AI19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{"issue":{"subject":"","project_id":79,"tracker_id":40,"status_id":1,"priority_id":2,"assigned_to_id":23,"start_date":"2016-12-20","description":"","custom_fields":[{"id":1,"name":"Subdivision","value":"NW"},{"id":4,"name":"Milepost","value":"5.7337"},{"id":17,"name":"Train ID","value":"836-20"},{"id":16,"name":"Locomotive ID","value":"4015"},{"id":130,"name":"Impact","value":""},{"id":150,"name":"Time of Event (Mountain Time)","value":"18:12:13"},{"id":151,"name":"Denver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654</v>
      </c>
      <c r="B195" s="7">
        <v>4003</v>
      </c>
      <c r="C195" s="22" t="s">
        <v>205</v>
      </c>
      <c r="D195" s="22" t="s">
        <v>824</v>
      </c>
      <c r="E195" s="13">
        <v>42724.76190972222</v>
      </c>
      <c r="F195" s="13">
        <v>42724.764768518522</v>
      </c>
      <c r="G195" s="7">
        <v>1</v>
      </c>
      <c r="H195" s="22" t="s">
        <v>447</v>
      </c>
      <c r="I195" s="13">
        <v>42724.774016203701</v>
      </c>
      <c r="J195" s="7">
        <v>0</v>
      </c>
      <c r="K195" s="109" t="str">
        <f t="shared" si="46"/>
        <v>4003/4004</v>
      </c>
      <c r="L195" s="22" t="str">
        <f>VLOOKUP(A195,'Trips&amp;Operators'!$C$1:$G$99999,5,FALSE)</f>
        <v>LEVIN SCOTT</v>
      </c>
      <c r="M195" s="6">
        <f t="shared" si="47"/>
        <v>9.2476851787068881E-3</v>
      </c>
      <c r="N195" s="7">
        <f>24*60*SUM($M195:$M195)</f>
        <v>13.316666657337919</v>
      </c>
      <c r="O195" s="7"/>
      <c r="P195" s="7"/>
      <c r="Q195" s="23"/>
      <c r="R195" s="23"/>
      <c r="S195" s="35">
        <f t="shared" ref="S195:S235" si="67">SUM(U195:U195)/IF(AG195="EC",12,1)</f>
        <v>1</v>
      </c>
      <c r="T195" s="50" t="str">
        <f t="shared" si="5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17:17:09-700',mode:absolute,to:'2016-12-20 19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5" s="52" t="str">
        <f t="shared" si="52"/>
        <v>N</v>
      </c>
      <c r="X195" s="177">
        <f t="shared" si="65"/>
        <v>1</v>
      </c>
      <c r="Y195" s="67">
        <f t="shared" si="53"/>
        <v>9.6699999999999994E-2</v>
      </c>
      <c r="Z195" s="67">
        <f t="shared" si="66"/>
        <v>5.8928000000000003</v>
      </c>
      <c r="AA195" s="67">
        <f t="shared" si="54"/>
        <v>5.7961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5"/>
        <v>0837-20</v>
      </c>
      <c r="AE195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95" s="88" t="str">
        <f t="shared" si="57"/>
        <v>"C:\Program Files (x86)\AstroGrep\AstroGrep.exe" /spath="%USERPROFILE%\AppData\Local\Temp\OnboardLogs" /stypes="app*4003*20161221*" /stext=" 01:.+((SYSTEM_STATE.+slice.+state.+changed )|(ment ac)|(multiple cpu faults)|(system.+state.+changed )|(\[timeout)|(PRM\|1\|D)|(kpr)|(kdp)|(\|lc)|(penalty))" /e /r /s</v>
      </c>
      <c r="AG195" s="1" t="str">
        <f t="shared" si="58"/>
        <v>NW</v>
      </c>
      <c r="AH195" s="92" t="str">
        <f t="shared" si="59"/>
        <v>"%USERPROFILE%\Documents\GitHub\eaglep3\Utilities\RefineRTDCRunTimes.py" --tripid 837-20 --locoid 4003 --swversion DE.1.0.8.0 --startMP 204:967 --initTime 2016-12-20T18:17:09 --startdatetime 2016-12-20T18:21:16 --delay 1 --endMP 300:58928 --enddatetime 2016-12-20T18:34:35 --enforcementcount 0 &gt;&gt;C:\Users\stu\Documents\GitHub\eaglep3-reporting\EC\2016-12-20-refined-times.txt</v>
      </c>
      <c r="AI195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{"issue":{"subject":"","project_id":79,"tracker_id":40,"status_id":1,"priority_id":2,"assigned_to_id":23,"start_date":"2016-12-20","description":"","custom_fields":[{"id":1,"name":"Subdivision","value":"NW"},{"id":4,"name":"Milepost","value":"5.8928"},{"id":17,"name":"Train ID","value":"837-20"},{"id":16,"name":"Locomotive ID","value":"4003"},{"id":130,"name":"Impact","value":""},{"id":150,"name":"Time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659</v>
      </c>
      <c r="B196" s="7">
        <v>4004</v>
      </c>
      <c r="C196" s="22" t="s">
        <v>205</v>
      </c>
      <c r="D196" s="22" t="s">
        <v>295</v>
      </c>
      <c r="E196" s="13">
        <v>42724.775208333333</v>
      </c>
      <c r="F196" s="13">
        <v>42724.776944444442</v>
      </c>
      <c r="G196" s="7">
        <v>1</v>
      </c>
      <c r="H196" s="22" t="s">
        <v>453</v>
      </c>
      <c r="I196" s="13">
        <v>42724.789722222224</v>
      </c>
      <c r="J196" s="7">
        <v>0</v>
      </c>
      <c r="K196" s="109" t="str">
        <f t="shared" si="46"/>
        <v>4003/4004</v>
      </c>
      <c r="L196" s="22" t="str">
        <f>VLOOKUP(A196,'Trips&amp;Operators'!$C$1:$G$99999,5,FALSE)</f>
        <v>LEVIN SCOTT</v>
      </c>
      <c r="M196" s="6">
        <f t="shared" si="47"/>
        <v>1.2777777781593613E-2</v>
      </c>
      <c r="N196" s="7">
        <f>24*60*SUM($M196:$M196)</f>
        <v>18.400000005494803</v>
      </c>
      <c r="O196" s="7"/>
      <c r="P196" s="7"/>
      <c r="Q196" s="23"/>
      <c r="R196" s="23"/>
      <c r="S196" s="35">
        <f t="shared" si="67"/>
        <v>1</v>
      </c>
      <c r="T196" s="50" t="str">
        <f t="shared" si="5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17:36:18-700',mode:absolute,to:'2016-12-20 19:57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52" t="str">
        <f t="shared" si="52"/>
        <v>N</v>
      </c>
      <c r="X196" s="177">
        <f t="shared" si="65"/>
        <v>1</v>
      </c>
      <c r="Y196" s="67">
        <f t="shared" si="53"/>
        <v>5.8615000000000004</v>
      </c>
      <c r="Z196" s="67">
        <f t="shared" si="66"/>
        <v>6.9099999999999995E-2</v>
      </c>
      <c r="AA196" s="67">
        <f t="shared" si="54"/>
        <v>5.7924000000000007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5"/>
        <v>0838-20</v>
      </c>
      <c r="AE196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96" s="88" t="str">
        <f t="shared" si="57"/>
        <v>"C:\Program Files (x86)\AstroGrep\AstroGrep.exe" /spath="%USERPROFILE%\AppData\Local\Temp\OnboardLogs" /stypes="app*4004*20161221*" /stext=" 01:.+((SYSTEM_STATE.+slice.+state.+changed )|(ment ac)|(multiple cpu faults)|(system.+state.+changed )|(\[timeout)|(PRM\|1\|D)|(kpr)|(kdp)|(\|lc)|(penalty))" /e /r /s</v>
      </c>
      <c r="AG196" s="1" t="str">
        <f t="shared" si="58"/>
        <v>NW</v>
      </c>
      <c r="AH196" s="92" t="str">
        <f t="shared" si="59"/>
        <v>"%USERPROFILE%\Documents\GitHub\eaglep3\Utilities\RefineRTDCRunTimes.py" --tripid 838-20 --locoid 4004 --swversion DE.1.0.8.0 --startMP 300:58615 --initTime 2016-12-20T18:36:18 --startdatetime 2016-12-20T18:38:48 --delay 1 --endMP 204:691 --enddatetime 2016-12-20T18:57:12 --enforcementcount 0 &gt;&gt;C:\Users\stu\Documents\GitHub\eaglep3-reporting\EC\2016-12-20-refined-times.txt</v>
      </c>
      <c r="AI196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{"issue":{"subject":"","project_id":79,"tracker_id":40,"status_id":1,"priority_id":2,"assigned_to_id":23,"start_date":"2016-12-20","description":"","custom_fields":[{"id":1,"name":"Subdivision","value":"NW"},{"id":4,"name":"Milepost","value":"0.0691"},{"id":17,"name":"Train ID","value":"838-20"},{"id":16,"name":"Locomotive ID","value":"4004"},{"id":130,"name":"Impact","value":""},{"id":150,"name":"Time of Event (Mountain Time)","value":"18:57:12"},{"id":151,"name":"Denver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662</v>
      </c>
      <c r="B197" s="7">
        <v>4016</v>
      </c>
      <c r="C197" s="22" t="s">
        <v>205</v>
      </c>
      <c r="D197" s="22" t="s">
        <v>295</v>
      </c>
      <c r="E197" s="13">
        <v>42724.775208333333</v>
      </c>
      <c r="F197" s="13">
        <v>42724.783043981479</v>
      </c>
      <c r="G197" s="7">
        <v>1</v>
      </c>
      <c r="H197" s="22" t="s">
        <v>453</v>
      </c>
      <c r="I197" s="13">
        <v>42724.785266203704</v>
      </c>
      <c r="J197" s="7">
        <v>0</v>
      </c>
      <c r="K197" s="109" t="str">
        <f t="shared" si="46"/>
        <v>4015/4016</v>
      </c>
      <c r="L197" s="22" t="str">
        <f>VLOOKUP(A197,'Trips&amp;Operators'!$C$1:$G$99999,5,FALSE)</f>
        <v>HILLS DUSTIN</v>
      </c>
      <c r="M197" s="6">
        <f t="shared" si="47"/>
        <v>2.2222222251002677E-3</v>
      </c>
      <c r="N197" s="7"/>
      <c r="O197" s="7"/>
      <c r="P197" s="7">
        <f>24*60*SUM($M197:$M197)</f>
        <v>3.2000000041443855</v>
      </c>
      <c r="Q197" s="23"/>
      <c r="R197" s="23" t="s">
        <v>859</v>
      </c>
      <c r="S197" s="35">
        <f t="shared" si="67"/>
        <v>0</v>
      </c>
      <c r="T197" s="50" t="str">
        <f t="shared" si="50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17:36:18-700',mode:absolute,to:'2016-12-20 19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7" s="52" t="str">
        <f t="shared" si="52"/>
        <v>N</v>
      </c>
      <c r="X197" s="177">
        <f t="shared" si="65"/>
        <v>1</v>
      </c>
      <c r="Y197" s="67">
        <f t="shared" si="53"/>
        <v>5.8615000000000004</v>
      </c>
      <c r="Z197" s="67">
        <f t="shared" si="66"/>
        <v>6.9099999999999995E-2</v>
      </c>
      <c r="AA197" s="67">
        <f t="shared" si="54"/>
        <v>5.7924000000000007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5"/>
        <v>0839-20</v>
      </c>
      <c r="AE197" s="91" t="str">
        <f t="shared" si="56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197" s="88" t="str">
        <f t="shared" si="57"/>
        <v>"C:\Program Files (x86)\AstroGrep\AstroGrep.exe" /spath="%USERPROFILE%\AppData\Local\Temp\OnboardLogs" /stypes="app*4016*20161221*" /stext=" 01:.+((SYSTEM_STATE.+slice.+state.+changed )|(ment ac)|(multiple cpu faults)|(system.+state.+changed )|(\[timeout)|(PRM\|1\|D)|(kpr)|(kdp)|(\|lc)|(penalty))" /e /r /s</v>
      </c>
      <c r="AG197" s="1" t="str">
        <f t="shared" si="58"/>
        <v>NW</v>
      </c>
      <c r="AH197" s="92" t="str">
        <f t="shared" ref="AH197" si="68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839-20 --locoid 4016 --swversion DE.1.0.8.0 --startMP 300:58615 --initTime 2016-12-20T18:36:18 --startdatetime 2016-12-20T18:47:35 --delay 1 --endMP 204:691 --enddatetime 2016-12-20T18:50:47 --enforcementcount 0 &gt;&gt;C:\Users\stu\Documents\GitHub\eaglep3-reporting\EC\2016-12-20-refined-times.txt</v>
      </c>
      <c r="AI197" s="119" t="str">
        <f t="shared" ref="AI197" si="69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{"issue":{"subject":"Could not init due to BPP never going above 83","project_id":79,"tracker_id":40,"status_id":1,"priority_id":2,"assigned_to_id":23,"start_date":"2016-12-20","description":"","custom_fields":[{"id":1,"name":"Subdivision","value":"NW"},{"id":4,"name":"Milepost","value":"0.0691"},{"id":17,"name":"Train ID","value":"839-20"},{"id":16,"name":"Locomotive ID","value":"4016"},{"id":130,"name":"Impact","value":""},{"id":150,"name":"Time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669</v>
      </c>
      <c r="B198" s="7">
        <v>4004</v>
      </c>
      <c r="C198" s="22" t="s">
        <v>205</v>
      </c>
      <c r="D198" s="22" t="s">
        <v>451</v>
      </c>
      <c r="E198" s="13">
        <v>42724.817615740743</v>
      </c>
      <c r="F198" s="13">
        <v>42724.819016203706</v>
      </c>
      <c r="G198" s="7">
        <v>1</v>
      </c>
      <c r="H198" s="22" t="s">
        <v>452</v>
      </c>
      <c r="I198" s="13">
        <v>42724.829895833333</v>
      </c>
      <c r="J198" s="7">
        <v>0</v>
      </c>
      <c r="K198" s="109" t="str">
        <f t="shared" si="46"/>
        <v>4003/4004</v>
      </c>
      <c r="L198" s="22" t="str">
        <f>VLOOKUP(A198,'Trips&amp;Operators'!$C$1:$G$99999,5,FALSE)</f>
        <v>LEVIN SCOTT</v>
      </c>
      <c r="M198" s="6">
        <f t="shared" si="47"/>
        <v>1.0879629626288079E-2</v>
      </c>
      <c r="N198" s="7">
        <f t="shared" ref="N198:N235" si="70">24*60*SUM($M198:$M198)</f>
        <v>15.666666661854833</v>
      </c>
      <c r="O198" s="7"/>
      <c r="P198" s="7"/>
      <c r="Q198" s="23"/>
      <c r="R198" s="23"/>
      <c r="S198" s="35">
        <f t="shared" si="67"/>
        <v>1</v>
      </c>
      <c r="T198" s="50" t="str">
        <f t="shared" si="5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18:37:22-700',mode:absolute,to:'2016-12-20 20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8" s="52" t="str">
        <f t="shared" si="52"/>
        <v>N</v>
      </c>
      <c r="X198" s="177">
        <f t="shared" ref="X198:X200" si="71">VALUE(LEFT(AD198,4))-VALUE(LEFT(AD197,4))</f>
        <v>1</v>
      </c>
      <c r="Y198" s="67">
        <f t="shared" si="53"/>
        <v>5.8604000000000003</v>
      </c>
      <c r="Z198" s="67">
        <f t="shared" si="66"/>
        <v>6.9199999999999998E-2</v>
      </c>
      <c r="AA198" s="67">
        <f t="shared" si="54"/>
        <v>5.7911999999999999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5"/>
        <v>0840-20</v>
      </c>
      <c r="AE198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198" s="88" t="str">
        <f t="shared" si="57"/>
        <v>"C:\Program Files (x86)\AstroGrep\AstroGrep.exe" /spath="%USERPROFILE%\AppData\Local\Temp\OnboardLogs" /stypes="app*4004*20161221*" /stext=" 02:.+((SYSTEM_STATE.+slice.+state.+changed )|(ment ac)|(multiple cpu faults)|(system.+state.+changed )|(\[timeout)|(PRM\|1\|D)|(kpr)|(kdp)|(\|lc)|(penalty))" /e /r /s</v>
      </c>
      <c r="AG198" s="1" t="str">
        <f t="shared" si="58"/>
        <v>NW</v>
      </c>
      <c r="AH198" s="92" t="str">
        <f t="shared" si="59"/>
        <v>"%USERPROFILE%\Documents\GitHub\eaglep3\Utilities\RefineRTDCRunTimes.py" --tripid 840-20 --locoid 4004 --swversion DE.1.0.8.0 --startMP 300:58604 --initTime 2016-12-20T19:37:22 --startdatetime 2016-12-20T19:39:23 --delay 1 --endMP 204:692 --enddatetime 2016-12-20T19:55:03 --enforcementcount 0 &gt;&gt;C:\Users\stu\Documents\GitHub\eaglep3-reporting\EC\2016-12-20-refined-times.txt</v>
      </c>
      <c r="AI198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{"issue":{"subject":"","project_id":79,"tracker_id":40,"status_id":1,"priority_id":2,"assigned_to_id":23,"start_date":"2016-12-20","description":"","custom_fields":[{"id":1,"name":"Subdivision","value":"NW"},{"id":4,"name":"Milepost","value":"0.0692"},{"id":17,"name":"Train ID","value":"840-20"},{"id":16,"name":"Locomotive ID","value":"4004"},{"id":130,"name":"Impact","value":""},{"id":150,"name":"Time of Event (Mountain Time)","value":"19:55:03"},{"id":151,"name":"Denver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488</v>
      </c>
      <c r="B199" s="7">
        <v>4003</v>
      </c>
      <c r="C199" s="22" t="s">
        <v>205</v>
      </c>
      <c r="D199" s="22" t="s">
        <v>805</v>
      </c>
      <c r="E199" s="13">
        <v>42724.801388888889</v>
      </c>
      <c r="F199" s="13">
        <v>42724.806539351855</v>
      </c>
      <c r="G199" s="7">
        <v>1</v>
      </c>
      <c r="H199" s="22" t="s">
        <v>812</v>
      </c>
      <c r="I199" s="13">
        <v>42724.815601851849</v>
      </c>
      <c r="J199" s="7">
        <v>0</v>
      </c>
      <c r="K199" s="109" t="str">
        <f t="shared" si="46"/>
        <v>4003/4004</v>
      </c>
      <c r="L199" s="22" t="str">
        <f>VLOOKUP(A199,'Trips&amp;Operators'!$C$1:$G$99999,5,FALSE)</f>
        <v>LEVIN SCOTT</v>
      </c>
      <c r="M199" s="6">
        <f t="shared" si="47"/>
        <v>9.0624999938881956E-3</v>
      </c>
      <c r="N199" s="7">
        <f t="shared" si="70"/>
        <v>13.049999991199002</v>
      </c>
      <c r="O199" s="7"/>
      <c r="P199" s="7"/>
      <c r="Q199" s="23"/>
      <c r="R199" s="23"/>
      <c r="S199" s="35">
        <f t="shared" si="67"/>
        <v>1</v>
      </c>
      <c r="T199" s="50" t="str">
        <f t="shared" si="5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18:14:00-700',mode:absolute,to:'2016-12-20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9" s="52" t="str">
        <f t="shared" si="52"/>
        <v>N</v>
      </c>
      <c r="X199" s="177">
        <f t="shared" si="71"/>
        <v>1</v>
      </c>
      <c r="Y199" s="67">
        <f t="shared" si="53"/>
        <v>9.6199999999999994E-2</v>
      </c>
      <c r="Z199" s="67">
        <f t="shared" si="66"/>
        <v>5.8935000000000004</v>
      </c>
      <c r="AA199" s="67">
        <f t="shared" si="54"/>
        <v>5.7973000000000008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5"/>
        <v>0841-20</v>
      </c>
      <c r="AE199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199" s="88" t="str">
        <f t="shared" si="57"/>
        <v>"C:\Program Files (x86)\AstroGrep\AstroGrep.exe" /spath="%USERPROFILE%\AppData\Local\Temp\OnboardLogs" /stypes="app*4003*20161221*" /stext=" 02:.+((SYSTEM_STATE.+slice.+state.+changed )|(ment ac)|(multiple cpu faults)|(system.+state.+changed )|(\[timeout)|(PRM\|1\|D)|(kpr)|(kdp)|(\|lc)|(penalty))" /e /r /s</v>
      </c>
      <c r="AG199" s="1" t="str">
        <f t="shared" si="58"/>
        <v>NW</v>
      </c>
      <c r="AH199" s="92" t="str">
        <f t="shared" si="59"/>
        <v>"%USERPROFILE%\Documents\GitHub\eaglep3\Utilities\RefineRTDCRunTimes.py" --tripid 841-20 --locoid 4003 --swversion DE.1.0.8.0 --startMP 204:962 --initTime 2016-12-20T19:14:00 --startdatetime 2016-12-20T19:21:25 --delay 1 --endMP 300:58935 --enddatetime 2016-12-20T19:34:28 --enforcementcount 0 &gt;&gt;C:\Users\stu\Documents\GitHub\eaglep3-reporting\EC\2016-12-20-refined-times.txt</v>
      </c>
      <c r="AI199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{"issue":{"subject":"","project_id":79,"tracker_id":40,"status_id":1,"priority_id":2,"assigned_to_id":23,"start_date":"2016-12-20","description":"","custom_fields":[{"id":1,"name":"Subdivision","value":"NW"},{"id":4,"name":"Milepost","value":"5.8935"},{"id":17,"name":"Train ID","value":"841-20"},{"id":16,"name":"Locomotive ID","value":"4003"},{"id":130,"name":"Impact","value":""},{"id":150,"name":"Time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674</v>
      </c>
      <c r="B200" s="7">
        <v>4004</v>
      </c>
      <c r="C200" s="22" t="s">
        <v>205</v>
      </c>
      <c r="D200" s="22" t="s">
        <v>794</v>
      </c>
      <c r="E200" s="13">
        <v>42724.8593287037</v>
      </c>
      <c r="F200" s="13">
        <v>42724.860844907409</v>
      </c>
      <c r="G200" s="7">
        <v>1</v>
      </c>
      <c r="H200" s="22" t="s">
        <v>825</v>
      </c>
      <c r="I200" s="13">
        <v>42724.871203703704</v>
      </c>
      <c r="J200" s="7">
        <v>0</v>
      </c>
      <c r="K200" s="109" t="str">
        <f t="shared" si="46"/>
        <v>4003/4004</v>
      </c>
      <c r="L200" s="22" t="str">
        <f>VLOOKUP(A200,'Trips&amp;Operators'!$C$1:$G$99999,5,FALSE)</f>
        <v>LEVIN SCOTT</v>
      </c>
      <c r="M200" s="6">
        <f t="shared" si="47"/>
        <v>1.0358796294895001E-2</v>
      </c>
      <c r="N200" s="7">
        <f t="shared" si="70"/>
        <v>14.916666664648801</v>
      </c>
      <c r="O200" s="7"/>
      <c r="P200" s="7"/>
      <c r="Q200" s="23"/>
      <c r="R200" s="23"/>
      <c r="S200" s="35">
        <f t="shared" si="67"/>
        <v>1</v>
      </c>
      <c r="T200" s="50" t="str">
        <f t="shared" si="5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19:37:26-700',mode:absolute,to:'2016-12-20 21:54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0" s="52" t="str">
        <f t="shared" si="52"/>
        <v>N</v>
      </c>
      <c r="X200" s="177">
        <f t="shared" si="71"/>
        <v>1</v>
      </c>
      <c r="Y200" s="67">
        <f t="shared" si="53"/>
        <v>5.8623000000000003</v>
      </c>
      <c r="Z200" s="67">
        <f t="shared" si="66"/>
        <v>6.8699999999999997E-2</v>
      </c>
      <c r="AA200" s="67">
        <f t="shared" si="54"/>
        <v>5.7936000000000005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5"/>
        <v>0842-20</v>
      </c>
      <c r="AE200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200" s="88" t="str">
        <f t="shared" si="57"/>
        <v>"C:\Program Files (x86)\AstroGrep\AstroGrep.exe" /spath="%USERPROFILE%\AppData\Local\Temp\OnboardLogs" /stypes="app*4004*20161221*" /stext=" 03:.+((SYSTEM_STATE.+slice.+state.+changed )|(ment ac)|(multiple cpu faults)|(system.+state.+changed )|(\[timeout)|(PRM\|1\|D)|(kpr)|(kdp)|(\|lc)|(penalty))" /e /r /s</v>
      </c>
      <c r="AG200" s="1" t="str">
        <f t="shared" si="58"/>
        <v>NW</v>
      </c>
      <c r="AH200" s="92" t="str">
        <f t="shared" si="59"/>
        <v>"%USERPROFILE%\Documents\GitHub\eaglep3\Utilities\RefineRTDCRunTimes.py" --tripid 842-20 --locoid 4004 --swversion DE.1.0.8.0 --startMP 300:58623 --initTime 2016-12-20T20:37:26 --startdatetime 2016-12-20T20:39:37 --delay 1 --endMP 204:687 --enddatetime 2016-12-20T20:54:32 --enforcementcount 0 &gt;&gt;C:\Users\stu\Documents\GitHub\eaglep3-reporting\EC\2016-12-20-refined-times.txt</v>
      </c>
      <c r="AI200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{"issue":{"subject":"","project_id":79,"tracker_id":40,"status_id":1,"priority_id":2,"assigned_to_id":23,"start_date":"2016-12-20","description":"","custom_fields":[{"id":1,"name":"Subdivision","value":"NW"},{"id":4,"name":"Milepost","value":"0.0687"},{"id":17,"name":"Train ID","value":"842-20"},{"id":16,"name":"Locomotive ID","value":"4004"},{"id":130,"name":"Impact","value":""},{"id":150,"name":"Time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673</v>
      </c>
      <c r="B201" s="7">
        <v>4003</v>
      </c>
      <c r="C201" s="22" t="s">
        <v>205</v>
      </c>
      <c r="D201" s="22" t="s">
        <v>805</v>
      </c>
      <c r="E201" s="13">
        <v>42724.845532407409</v>
      </c>
      <c r="F201" s="13">
        <v>42724.848090277781</v>
      </c>
      <c r="G201" s="7">
        <v>1</v>
      </c>
      <c r="H201" s="22" t="s">
        <v>312</v>
      </c>
      <c r="I201" s="13">
        <v>42724.85796296296</v>
      </c>
      <c r="J201" s="7">
        <v>0</v>
      </c>
      <c r="K201" s="109" t="str">
        <f t="shared" si="46"/>
        <v>4003/4004</v>
      </c>
      <c r="L201" s="22" t="str">
        <f>VLOOKUP(A201,'Trips&amp;Operators'!$C$1:$G$99999,5,FALSE)</f>
        <v>LEVIN SCOTT</v>
      </c>
      <c r="M201" s="6">
        <f t="shared" si="47"/>
        <v>9.8726851792889647E-3</v>
      </c>
      <c r="N201" s="7">
        <f t="shared" si="70"/>
        <v>14.216666658176109</v>
      </c>
      <c r="O201" s="7"/>
      <c r="P201" s="7"/>
      <c r="Q201" s="23"/>
      <c r="R201" s="23"/>
      <c r="S201" s="35">
        <f t="shared" si="67"/>
        <v>1</v>
      </c>
      <c r="T201" s="50" t="str">
        <f t="shared" si="50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19:17:34-700',mode:absolute,to:'2016-12-20 21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1" s="52" t="str">
        <f t="shared" si="52"/>
        <v>N</v>
      </c>
      <c r="X201" s="177">
        <f t="shared" ref="X201:X235" si="72">VALUE(LEFT(AD201,4))-VALUE(LEFT(AD200,4))</f>
        <v>1</v>
      </c>
      <c r="Y201" s="67">
        <f t="shared" si="53"/>
        <v>9.6199999999999994E-2</v>
      </c>
      <c r="Z201" s="67">
        <f t="shared" si="66"/>
        <v>5.8924000000000003</v>
      </c>
      <c r="AA201" s="67">
        <f t="shared" si="54"/>
        <v>5.7962000000000007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5"/>
        <v>0843-20</v>
      </c>
      <c r="AE201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201" s="88" t="str">
        <f t="shared" si="57"/>
        <v>"C:\Program Files (x86)\AstroGrep\AstroGrep.exe" /spath="%USERPROFILE%\AppData\Local\Temp\OnboardLogs" /stypes="app*4003*20161221*" /stext=" 03:.+((SYSTEM_STATE.+slice.+state.+changed )|(ment ac)|(multiple cpu faults)|(system.+state.+changed )|(\[timeout)|(PRM\|1\|D)|(kpr)|(kdp)|(\|lc)|(penalty))" /e /r /s</v>
      </c>
      <c r="AG201" s="1" t="str">
        <f t="shared" si="58"/>
        <v>NW</v>
      </c>
      <c r="AH201" s="92" t="str">
        <f t="shared" si="59"/>
        <v>"%USERPROFILE%\Documents\GitHub\eaglep3\Utilities\RefineRTDCRunTimes.py" --tripid 843-20 --locoid 4003 --swversion DE.1.0.8.0 --startMP 204:962 --initTime 2016-12-20T20:17:34 --startdatetime 2016-12-20T20:21:15 --delay 1 --endMP 300:58924 --enddatetime 2016-12-20T20:35:28 --enforcementcount 0 &gt;&gt;C:\Users\stu\Documents\GitHub\eaglep3-reporting\EC\2016-12-20-refined-times.txt</v>
      </c>
      <c r="AI201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{"issue":{"subject":"","project_id":79,"tracker_id":40,"status_id":1,"priority_id":2,"assigned_to_id":23,"start_date":"2016-12-20","description":"","custom_fields":[{"id":1,"name":"Subdivision","value":"NW"},{"id":4,"name":"Milepost","value":"5.8924"},{"id":17,"name":"Train ID","value":"843-20"},{"id":16,"name":"Locomotive ID","value":"4003"},{"id":130,"name":"Impact","value":""},{"id":150,"name":"Time of Event (Mountain Time)","value":"20:35:28"},{"id":151,"name":"Denver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679</v>
      </c>
      <c r="B202" s="7">
        <v>4004</v>
      </c>
      <c r="C202" s="22" t="s">
        <v>205</v>
      </c>
      <c r="D202" s="22" t="s">
        <v>435</v>
      </c>
      <c r="E202" s="13">
        <v>42724.901666666665</v>
      </c>
      <c r="F202" s="13">
        <v>42724.903240740743</v>
      </c>
      <c r="G202" s="7">
        <v>1</v>
      </c>
      <c r="H202" s="22" t="s">
        <v>826</v>
      </c>
      <c r="I202" s="13">
        <v>42724.912893518522</v>
      </c>
      <c r="J202" s="7">
        <v>0</v>
      </c>
      <c r="K202" s="109" t="str">
        <f t="shared" si="46"/>
        <v>4003/4004</v>
      </c>
      <c r="L202" s="22" t="str">
        <f>VLOOKUP(A202,'Trips&amp;Operators'!$C$1:$G$99999,5,FALSE)</f>
        <v>HILLS DUSTIN</v>
      </c>
      <c r="M202" s="6">
        <f t="shared" si="47"/>
        <v>9.6527777786832303E-3</v>
      </c>
      <c r="N202" s="7">
        <f t="shared" si="70"/>
        <v>13.900000001303852</v>
      </c>
      <c r="O202" s="7"/>
      <c r="P202" s="7"/>
      <c r="Q202" s="23"/>
      <c r="R202" s="23"/>
      <c r="S202" s="35">
        <f t="shared" si="67"/>
        <v>1</v>
      </c>
      <c r="T202" s="50" t="str">
        <f t="shared" si="50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20:38:24-700',mode:absolute,to:'2016-12-20 22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2" s="52" t="str">
        <f t="shared" si="52"/>
        <v>N</v>
      </c>
      <c r="X202" s="177">
        <f t="shared" si="72"/>
        <v>1</v>
      </c>
      <c r="Y202" s="67">
        <f t="shared" si="53"/>
        <v>5.8696000000000002</v>
      </c>
      <c r="Z202" s="67">
        <f t="shared" si="66"/>
        <v>6.5000000000000002E-2</v>
      </c>
      <c r="AA202" s="67">
        <f t="shared" si="54"/>
        <v>5.8045999999999998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5"/>
        <v>0844-20</v>
      </c>
      <c r="AE202" s="91" t="str">
        <f t="shared" si="56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202" s="88" t="str">
        <f t="shared" si="57"/>
        <v>"C:\Program Files (x86)\AstroGrep\AstroGrep.exe" /spath="%USERPROFILE%\AppData\Local\Temp\OnboardLogs" /stypes="app*4004*20161221*" /stext=" 04:.+((SYSTEM_STATE.+slice.+state.+changed )|(ment ac)|(multiple cpu faults)|(system.+state.+changed )|(\[timeout)|(PRM\|1\|D)|(kpr)|(kdp)|(\|lc)|(penalty))" /e /r /s</v>
      </c>
      <c r="AG202" s="1" t="str">
        <f t="shared" si="58"/>
        <v>NW</v>
      </c>
      <c r="AH202" s="92" t="str">
        <f t="shared" si="59"/>
        <v>"%USERPROFILE%\Documents\GitHub\eaglep3\Utilities\RefineRTDCRunTimes.py" --tripid 844-20 --locoid 4004 --swversion DE.1.0.8.0 --startMP 300:58696 --initTime 2016-12-20T21:38:24 --startdatetime 2016-12-20T21:40:40 --delay 1 --endMP 204:650 --enddatetime 2016-12-20T21:54:34 --enforcementcount 0 &gt;&gt;C:\Users\stu\Documents\GitHub\eaglep3-reporting\EC\2016-12-20-refined-times.txt</v>
      </c>
      <c r="AI202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{"issue":{"subject":"","project_id":79,"tracker_id":40,"status_id":1,"priority_id":2,"assigned_to_id":23,"start_date":"2016-12-20","description":"","custom_fields":[{"id":1,"name":"Subdivision","value":"NW"},{"id":4,"name":"Milepost","value":"0.065"},{"id":17,"name":"Train ID","value":"844-20"},{"id":16,"name":"Locomotive ID","value":"4004"},{"id":130,"name":"Impact","value":""},{"id":150,"name":"Time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491</v>
      </c>
      <c r="B203" s="7">
        <v>4003</v>
      </c>
      <c r="C203" s="22" t="s">
        <v>205</v>
      </c>
      <c r="D203" s="22" t="s">
        <v>827</v>
      </c>
      <c r="E203" s="13">
        <v>42724.874652777777</v>
      </c>
      <c r="F203" s="13">
        <v>42724.889907407407</v>
      </c>
      <c r="G203" s="7">
        <v>1</v>
      </c>
      <c r="H203" s="22" t="s">
        <v>828</v>
      </c>
      <c r="I203" s="13">
        <v>42724.900057870371</v>
      </c>
      <c r="J203" s="7">
        <v>0</v>
      </c>
      <c r="K203" s="109" t="str">
        <f t="shared" si="46"/>
        <v>4003/4004</v>
      </c>
      <c r="L203" s="22" t="str">
        <f>VLOOKUP(A203,'Trips&amp;Operators'!$C$1:$G$99999,5,FALSE)</f>
        <v>HILLS DUSTIN</v>
      </c>
      <c r="M203" s="6">
        <f t="shared" si="47"/>
        <v>1.0150462963792961E-2</v>
      </c>
      <c r="N203" s="7">
        <f t="shared" si="70"/>
        <v>14.616666667861864</v>
      </c>
      <c r="O203" s="7"/>
      <c r="P203" s="7"/>
      <c r="Q203" s="23"/>
      <c r="R203" s="23"/>
      <c r="S203" s="35">
        <f t="shared" si="67"/>
        <v>1</v>
      </c>
      <c r="T203" s="50" t="str">
        <f t="shared" si="5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19:59:30-700',mode:absolute,to:'2016-12-20 22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52" t="str">
        <f t="shared" si="52"/>
        <v>N</v>
      </c>
      <c r="X203" s="177">
        <f t="shared" si="72"/>
        <v>1</v>
      </c>
      <c r="Y203" s="67">
        <f t="shared" si="53"/>
        <v>9.7900000000000001E-2</v>
      </c>
      <c r="Z203" s="67">
        <f t="shared" si="66"/>
        <v>5.9010999999999996</v>
      </c>
      <c r="AA203" s="67">
        <f t="shared" si="54"/>
        <v>5.8031999999999995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5"/>
        <v>0845-20</v>
      </c>
      <c r="AE203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203" s="88" t="str">
        <f t="shared" si="57"/>
        <v>"C:\Program Files (x86)\AstroGrep\AstroGrep.exe" /spath="%USERPROFILE%\AppData\Local\Temp\OnboardLogs" /stypes="app*4003*20161221*" /stext=" 04:.+((SYSTEM_STATE.+slice.+state.+changed )|(ment ac)|(multiple cpu faults)|(system.+state.+changed )|(\[timeout)|(PRM\|1\|D)|(kpr)|(kdp)|(\|lc)|(penalty))" /e /r /s</v>
      </c>
      <c r="AG203" s="1" t="str">
        <f t="shared" si="58"/>
        <v>NW</v>
      </c>
      <c r="AH203" s="92" t="str">
        <f t="shared" si="59"/>
        <v>"%USERPROFILE%\Documents\GitHub\eaglep3\Utilities\RefineRTDCRunTimes.py" --tripid 845-20 --locoid 4003 --swversion DE.1.0.8.0 --startMP 204:979 --initTime 2016-12-20T20:59:30 --startdatetime 2016-12-20T21:21:28 --delay 1 --endMP 300:59011 --enddatetime 2016-12-20T21:36:05 --enforcementcount 0 &gt;&gt;C:\Users\stu\Documents\GitHub\eaglep3-reporting\EC\2016-12-20-refined-times.txt</v>
      </c>
      <c r="AI203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{"issue":{"subject":"","project_id":79,"tracker_id":40,"status_id":1,"priority_id":2,"assigned_to_id":23,"start_date":"2016-12-20","description":"","custom_fields":[{"id":1,"name":"Subdivision","value":"NW"},{"id":4,"name":"Milepost","value":"5.9011"},{"id":17,"name":"Train ID","value":"845-20"},{"id":16,"name":"Locomotive ID","value":"4003"},{"id":130,"name":"Impact","value":""},{"id":150,"name":"Time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682</v>
      </c>
      <c r="B204" s="7">
        <v>4003</v>
      </c>
      <c r="C204" s="22" t="s">
        <v>205</v>
      </c>
      <c r="D204" s="22" t="s">
        <v>829</v>
      </c>
      <c r="E204" s="13">
        <v>42724.914178240739</v>
      </c>
      <c r="F204" s="13">
        <v>42724.931527777779</v>
      </c>
      <c r="G204" s="7">
        <v>1</v>
      </c>
      <c r="H204" s="22" t="s">
        <v>830</v>
      </c>
      <c r="I204" s="13">
        <v>42724.94122685185</v>
      </c>
      <c r="J204" s="7">
        <v>0</v>
      </c>
      <c r="K204" s="109" t="str">
        <f t="shared" si="46"/>
        <v>4003/4004</v>
      </c>
      <c r="L204" s="22" t="str">
        <f>VLOOKUP(A204,'Trips&amp;Operators'!$C$1:$G$99999,5,FALSE)</f>
        <v>HILLS DUSTIN</v>
      </c>
      <c r="M204" s="6">
        <f t="shared" si="47"/>
        <v>9.6990740712499246E-3</v>
      </c>
      <c r="N204" s="7">
        <f t="shared" si="70"/>
        <v>13.966666662599891</v>
      </c>
      <c r="O204" s="7"/>
      <c r="P204" s="7"/>
      <c r="Q204" s="23"/>
      <c r="R204" s="23"/>
      <c r="S204" s="35">
        <f t="shared" si="67"/>
        <v>1</v>
      </c>
      <c r="T204" s="50" t="str">
        <f t="shared" si="5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https://search-rtdc-monitor-bjffxe2xuh6vdkpspy63sjmuny.us-east-1.es.amazonaws.com/_plugin/kibana/#/discover/Steve-Slow-Train-Analysis-(2080s-and-2083s)?_g=(refreshInterval:(display:Off,section:0,value:0),time:(from:'2016-12-20 20:56:25-700',mode:absolute,to:'2016-12-20 23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 t="shared" si="52"/>
        <v>N</v>
      </c>
      <c r="X204" s="177">
        <f t="shared" si="72"/>
        <v>2</v>
      </c>
      <c r="Y204" s="67">
        <f t="shared" si="53"/>
        <v>9.4600000000000004E-2</v>
      </c>
      <c r="Z204" s="67">
        <f t="shared" si="66"/>
        <v>5.9001000000000001</v>
      </c>
      <c r="AA204" s="67">
        <f t="shared" si="54"/>
        <v>5.8055000000000003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5"/>
        <v>0847-20</v>
      </c>
      <c r="AE204" s="91" t="str">
        <f t="shared" si="56"/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AF204" s="88" t="str">
        <f t="shared" si="57"/>
        <v>"C:\Program Files (x86)\AstroGrep\AstroGrep.exe" /spath="%USERPROFILE%\AppData\Local\Temp\OnboardLogs" /stypes="app*4003*20161221*" /stext=" 05:.+((SYSTEM_STATE.+slice.+state.+changed )|(ment ac)|(multiple cpu faults)|(system.+state.+changed )|(\[timeout)|(PRM\|1\|D)|(kpr)|(kdp)|(\|lc)|(penalty))" /e /r /s</v>
      </c>
      <c r="AG204" s="1" t="str">
        <f t="shared" si="58"/>
        <v>NW</v>
      </c>
      <c r="AH204" s="92" t="str">
        <f t="shared" si="59"/>
        <v>"%USERPROFILE%\Documents\GitHub\eaglep3\Utilities\RefineRTDCRunTimes.py" --tripid 847-20 --locoid 4003 --swversion DE.1.0.8.0 --startMP 204:946 --initTime 2016-12-20T21:56:25 --startdatetime 2016-12-20T22:21:24 --delay 1 --endMP 300:59001 --enddatetime 2016-12-20T22:35:22 --enforcementcount 0 &gt;&gt;C:\Users\stu\Documents\GitHub\eaglep3-reporting\EC\2016-12-20-refined-times.txt</v>
      </c>
      <c r="AI204" s="119" t="str">
        <f t="shared" si="60"/>
        <v>echo {"issue":{"subject":"","project_id":79,"tracker_id":40,"status_id":1,"priority_id":2,"assigned_to_id":23,"start_date":"2016-12-20","description":"","custom_fields":[{"id":1,"name":"Subdivision","value":"NW"},{"id":4,"name":"Milepost","value":"5.9001"},{"id":17,"name":"Train ID","value":"847-20"},{"id":16,"name":"Locomotive ID","value":"4003"},{"id":130,"name":"Impact","value":""},{"id":150,"name":"Time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392</v>
      </c>
      <c r="B205" s="7">
        <v>4043</v>
      </c>
      <c r="C205" s="22" t="s">
        <v>205</v>
      </c>
      <c r="D205" s="22" t="s">
        <v>432</v>
      </c>
      <c r="E205" s="13">
        <v>42724.112615740742</v>
      </c>
      <c r="F205" s="13">
        <v>42724.115763888891</v>
      </c>
      <c r="G205" s="7">
        <v>3</v>
      </c>
      <c r="H205" s="22" t="s">
        <v>277</v>
      </c>
      <c r="I205" s="13">
        <v>42724.123240740744</v>
      </c>
      <c r="J205" s="7">
        <v>0</v>
      </c>
      <c r="K205" s="109" t="str">
        <f t="shared" ref="K205:K235" si="73">IF(ISEVEN(B205),(B205-1)&amp;"/"&amp;B205,B205&amp;"/"&amp;(B205+1))</f>
        <v>4043/4044</v>
      </c>
      <c r="L205" s="22" t="str">
        <f>VLOOKUP(A205,'Trips&amp;Operators'!$C$1:$G$99999,5,FALSE)</f>
        <v>OUN ZACK</v>
      </c>
      <c r="M205" s="6">
        <f t="shared" ref="M205:M235" si="74">I205-F205</f>
        <v>7.4768518534256145E-3</v>
      </c>
      <c r="N205" s="7">
        <f t="shared" si="70"/>
        <v>10.766666668932885</v>
      </c>
      <c r="O205" s="7"/>
      <c r="P205" s="7"/>
      <c r="Q205" s="23"/>
      <c r="R205" s="23"/>
      <c r="S205" s="35">
        <f t="shared" si="67"/>
        <v>1</v>
      </c>
      <c r="T205" s="50" t="str">
        <f t="shared" ref="T205:T235" si="75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5" si="76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https://search-rtdc-monitor-bjffxe2xuh6vdkpspy63sjmuny.us-east-1.es.amazonaws.com/_plugin/kibana/#/discover/Steve-Slow-Train-Analysis-(2080s-and-2083s)?_g=(refreshInterval:(display:Off,section:0,value:0),time:(from:'2016-12-20 01:42:10-700',mode:absolute,to:'2016-12-20 03:57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5" s="52" t="str">
        <f t="shared" ref="W205:W235" si="77">IF(AA205&lt;IF(AG205="EC",23,5.65),"Y","N")</f>
        <v>Y</v>
      </c>
      <c r="X205" s="177">
        <f t="shared" si="72"/>
        <v>-545</v>
      </c>
      <c r="Y205" s="67">
        <f t="shared" ref="Y205:Y235" si="78">RIGHT(D205,LEN(D205)-4)/10000</f>
        <v>2.3127</v>
      </c>
      <c r="Z205" s="67">
        <f t="shared" si="66"/>
        <v>1.38E-2</v>
      </c>
      <c r="AA205" s="67">
        <f t="shared" ref="AA205:AA235" si="79">ABS(Z205-Y205)</f>
        <v>2.2989000000000002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35" si="80">IF(LEN(A205)=6,"0"&amp;A205,A205)</f>
        <v>0302-20</v>
      </c>
      <c r="AE205" s="91" t="str">
        <f t="shared" ref="AE205:AE235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AF205" s="88" t="str">
        <f t="shared" ref="AF205:AF235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/stypes="app*4043*20161220*" /stext=" 09:.+((SYSTEM_STATE.+slice.+state.+changed )|(ment ac)|(multiple cpu faults)|(system.+state.+changed )|(\[timeout)|(PRM\|1\|D)|(kpr)|(kdp)|(\|lc)|(penalty))" /e /r /s</v>
      </c>
      <c r="AG205" s="1" t="str">
        <f t="shared" ref="AG205:AG235" si="83">IFERROR(IF(VALUE(LEFT(AD205,2))&lt;=2,"EC",IF(OR(VALUE(LEFT(AD205,2))=8,VALUE(LEFT(AD205,2))=18),"NW","Other")),"Other")</f>
        <v>Other</v>
      </c>
      <c r="AH205" s="92" t="str">
        <f t="shared" si="59"/>
        <v>"%USERPROFILE%\Documents\GitHub\eaglep3\Utilities\RefineRTDCRunTimes.py" --tripid 302-20 --locoid 4043 --swversion DE.1.0.8.0 --startMP 300:23127 --initTime 2016-12-20T02:42:10 --startdatetime 2016-12-20T02:46:42 --delay 3 --endMP 204:138 --enddatetime 2016-12-20T02:57:28 --enforcementcount 0 &gt;&gt;C:\Users\stu\Documents\GitHub\eaglep3-reporting\EC\2016-12-20-refined-times.txt</v>
      </c>
      <c r="AI205" s="119" t="str">
        <f t="shared" si="60"/>
        <v>echo {"issue":{"subject":"","project_id":79,"tracker_id":40,"status_id":1,"priority_id":2,"assigned_to_id":23,"start_date":"2016-12-20","description":"","custom_fields":[{"id":1,"name":"Subdivision","value":"Other"},{"id":4,"name":"Milepost","value":"0.0138"},{"id":17,"name":"Train ID","value":"302-20"},{"id":16,"name":"Locomotive ID","value":"4043"},{"id":130,"name":"Impact","value":""},{"id":150,"name":"Time of Event (Mountain Time)","value":"02:57:28"},{"id":151,"name":"Denver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695</v>
      </c>
      <c r="B206" s="7">
        <v>4039</v>
      </c>
      <c r="C206" s="22" t="s">
        <v>205</v>
      </c>
      <c r="D206" s="22" t="s">
        <v>758</v>
      </c>
      <c r="E206" s="13">
        <v>42725.111678240741</v>
      </c>
      <c r="F206" s="13">
        <v>42725.112719907411</v>
      </c>
      <c r="G206" s="7">
        <v>1</v>
      </c>
      <c r="H206" s="22" t="s">
        <v>715</v>
      </c>
      <c r="I206" s="13">
        <v>42725.119722222225</v>
      </c>
      <c r="J206" s="7">
        <v>0</v>
      </c>
      <c r="K206" s="109" t="str">
        <f t="shared" si="73"/>
        <v>4039/4040</v>
      </c>
      <c r="L206" s="22" t="str">
        <f>VLOOKUP(A206,'Trips&amp;Operators'!$C$1:$G$99999,5,FALSE)</f>
        <v>ISHMAEL JOSEPH</v>
      </c>
      <c r="M206" s="6">
        <f t="shared" si="74"/>
        <v>7.0023148145992309E-3</v>
      </c>
      <c r="N206" s="7">
        <f t="shared" si="70"/>
        <v>10.083333333022892</v>
      </c>
      <c r="O206" s="7"/>
      <c r="P206" s="7"/>
      <c r="Q206" s="23"/>
      <c r="R206" s="23"/>
      <c r="S206" s="35">
        <f t="shared" si="67"/>
        <v>1</v>
      </c>
      <c r="T206" s="50" t="str">
        <f t="shared" si="75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01:40:49-700',mode:absolute,to:'2016-12-21 03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6" s="52" t="str">
        <f t="shared" si="77"/>
        <v>Y</v>
      </c>
      <c r="X206" s="177">
        <f t="shared" si="72"/>
        <v>0</v>
      </c>
      <c r="Y206" s="67">
        <f t="shared" si="78"/>
        <v>2.2585999999999999</v>
      </c>
      <c r="Z206" s="67">
        <f t="shared" si="66"/>
        <v>1.41E-2</v>
      </c>
      <c r="AA206" s="67">
        <f t="shared" si="79"/>
        <v>2.2444999999999999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80"/>
        <v>0302-21</v>
      </c>
      <c r="AE206" s="91" t="str">
        <f t="shared" si="81"/>
        <v>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 &amp; 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</v>
      </c>
      <c r="AF206" s="88" t="str">
        <f t="shared" si="82"/>
        <v>"C:\Program Files (x86)\AstroGrep\AstroGrep.exe" /spath="%USERPROFILE%\AppData\Local\Temp\OnboardLogs" /stypes="app*4039*20161221*" /stext=" 09:.+((SYSTEM_STATE.+slice.+state.+changed )|(ment ac)|(multiple cpu faults)|(system.+state.+changed )|(\[timeout)|(PRM\|1\|D)|(kpr)|(kdp)|(\|lc)|(penalty))" /e /r /s</v>
      </c>
      <c r="AG206" s="1" t="str">
        <f t="shared" si="83"/>
        <v>Other</v>
      </c>
      <c r="AH206" s="92" t="str">
        <f t="shared" ref="AH206:AH235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302-21 --locoid 4039 --swversion DE.1.0.8.0 --startMP 300:22586 --initTime 2016-12-21T02:40:49 --startdatetime 2016-12-21T02:42:19 --delay 1 --endMP 204:141 --enddatetime 2016-12-21T02:52:24 --enforcementcount 0 &gt;&gt;C:\Users\stu\Documents\GitHub\eaglep3-reporting\EC\2016-12-20-refined-times.txt</v>
      </c>
      <c r="AI206" s="119" t="str">
        <f t="shared" ref="AI206:AI235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{"issue":{"subject":"","project_id":79,"tracker_id":40,"status_id":1,"priority_id":2,"assigned_to_id":23,"start_date":"2016-12-21","description":"","custom_fields":[{"id":1,"name":"Subdivision","value":"Other"},{"id":4,"name":"Milepost","value":"0.0141"},{"id":17,"name":"Train ID","value":"302-21"},{"id":16,"name":"Locomotive ID","value":"4039"},{"id":130,"name":"Impact","value":""},{"id":150,"name":"Time of Event (Mountain Time)","value":"02:52:24"},{"id":151,"name":"Denver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660</v>
      </c>
      <c r="B207" s="7">
        <v>4042</v>
      </c>
      <c r="C207" s="22" t="s">
        <v>205</v>
      </c>
      <c r="D207" s="22" t="s">
        <v>231</v>
      </c>
      <c r="E207" s="13">
        <v>42724.778587962966</v>
      </c>
      <c r="F207" s="13">
        <v>25568.708333333332</v>
      </c>
      <c r="G207" s="7">
        <v>1</v>
      </c>
      <c r="H207" s="22" t="s">
        <v>363</v>
      </c>
      <c r="I207" s="13">
        <v>25568.708333333332</v>
      </c>
      <c r="J207" s="7">
        <v>0</v>
      </c>
      <c r="K207" s="109" t="str">
        <f t="shared" si="73"/>
        <v>4041/4042</v>
      </c>
      <c r="L207" s="22" t="str">
        <f>VLOOKUP(A207,'Trips&amp;Operators'!$C$1:$G$99999,5,FALSE)</f>
        <v>CLARK KATHLEEN</v>
      </c>
      <c r="M207" s="6">
        <f t="shared" si="74"/>
        <v>0</v>
      </c>
      <c r="N207" s="7">
        <f t="shared" si="70"/>
        <v>0</v>
      </c>
      <c r="O207" s="7"/>
      <c r="P207" s="7"/>
      <c r="Q207" s="23"/>
      <c r="R207" s="23"/>
      <c r="S207" s="35">
        <f t="shared" si="67"/>
        <v>1</v>
      </c>
      <c r="T207" s="50" t="str">
        <f t="shared" si="75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17:41:10-700',mode:absolute,to:'1969-12-31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 t="shared" si="77"/>
        <v>Y</v>
      </c>
      <c r="X207" s="177">
        <f t="shared" si="72"/>
        <v>1</v>
      </c>
      <c r="Y207" s="67">
        <f t="shared" si="78"/>
        <v>4.7100000000000003E-2</v>
      </c>
      <c r="Z207" s="67">
        <f t="shared" si="66"/>
        <v>2.3302</v>
      </c>
      <c r="AA207" s="67">
        <f t="shared" si="79"/>
        <v>2.2831000000000001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0"/>
        <v>0303-20</v>
      </c>
      <c r="AE207" s="91" t="str">
        <f t="shared" si="8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7" s="88" t="str">
        <f t="shared" si="82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7" s="1" t="str">
        <f t="shared" si="83"/>
        <v>Other</v>
      </c>
      <c r="AH207" s="92" t="str">
        <f t="shared" si="84"/>
        <v>"%USERPROFILE%\Documents\GitHub\eaglep3\Utilities\RefineRTDCRunTimes.py" --tripid 303-20 --locoid 4042 --swversion DE.1.0.8.0 --startMP 204:471 --initTime 2016-12-20T18:41:10 --startdatetime 1969-12-31T17:00:00 --delay 1 --endMP 300:23302 --enddatetime 1969-12-31T17:00:00 --enforcementcount 0 &gt;&gt;C:\Users\stu\Documents\GitHub\eaglep3-reporting\EC\2016-12-20-refined-times.txt</v>
      </c>
      <c r="AI207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497</v>
      </c>
      <c r="B208" s="7">
        <v>4045</v>
      </c>
      <c r="C208" s="22" t="s">
        <v>205</v>
      </c>
      <c r="D208" s="22" t="s">
        <v>759</v>
      </c>
      <c r="E208" s="13">
        <v>42724.13521990741</v>
      </c>
      <c r="F208" s="13">
        <v>42724.137337962966</v>
      </c>
      <c r="G208" s="7">
        <v>2</v>
      </c>
      <c r="H208" s="22" t="s">
        <v>267</v>
      </c>
      <c r="I208" s="13">
        <v>42724.143009259256</v>
      </c>
      <c r="J208" s="7">
        <v>0</v>
      </c>
      <c r="K208" s="109" t="str">
        <f t="shared" si="73"/>
        <v>4045/4046</v>
      </c>
      <c r="L208" s="22" t="str">
        <f>VLOOKUP(A208,'Trips&amp;Operators'!$C$1:$G$99999,5,FALSE)</f>
        <v>MAGEE KENYA</v>
      </c>
      <c r="M208" s="6">
        <f t="shared" si="74"/>
        <v>5.6712962905294262E-3</v>
      </c>
      <c r="N208" s="7">
        <f t="shared" si="70"/>
        <v>8.1666666583623737</v>
      </c>
      <c r="O208" s="7"/>
      <c r="P208" s="7"/>
      <c r="Q208" s="23"/>
      <c r="R208" s="23"/>
      <c r="S208" s="35">
        <f t="shared" si="67"/>
        <v>1</v>
      </c>
      <c r="T208" s="50" t="str">
        <f t="shared" si="75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02:14:43-700',mode:absolute,to:'2016-12-20 04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8" s="52" t="str">
        <f t="shared" si="77"/>
        <v>Y</v>
      </c>
      <c r="X208" s="177">
        <f t="shared" si="72"/>
        <v>1</v>
      </c>
      <c r="Y208" s="67">
        <f t="shared" si="78"/>
        <v>2.3167</v>
      </c>
      <c r="Z208" s="67">
        <f t="shared" si="66"/>
        <v>1.6E-2</v>
      </c>
      <c r="AA208" s="67">
        <f t="shared" si="79"/>
        <v>2.3007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0"/>
        <v>0304-20</v>
      </c>
      <c r="AE208" s="91" t="str">
        <f t="shared" si="81"/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AF208" s="88" t="str">
        <f t="shared" si="82"/>
        <v>"C:\Program Files (x86)\AstroGrep\AstroGrep.exe" /spath="%USERPROFILE%\AppData\Local\Temp\OnboardLogs" /stypes="app*4045*20161220*" /stext=" 10:.+((SYSTEM_STATE.+slice.+state.+changed )|(ment ac)|(multiple cpu faults)|(system.+state.+changed )|(\[timeout)|(PRM\|1\|D)|(kpr)|(kdp)|(\|lc)|(penalty))" /e /r /s</v>
      </c>
      <c r="AG208" s="1" t="str">
        <f t="shared" si="83"/>
        <v>Other</v>
      </c>
      <c r="AH208" s="92" t="str">
        <f t="shared" si="84"/>
        <v>"%USERPROFILE%\Documents\GitHub\eaglep3\Utilities\RefineRTDCRunTimes.py" --tripid 304-20 --locoid 4045 --swversion DE.1.0.8.0 --startMP 300:23167 --initTime 2016-12-20T03:14:43 --startdatetime 2016-12-20T03:17:46 --delay 2 --endMP 204:160 --enddatetime 2016-12-20T03:25:56 --enforcementcount 0 &gt;&gt;C:\Users\stu\Documents\GitHub\eaglep3-reporting\EC\2016-12-20-refined-times.txt</v>
      </c>
      <c r="AI208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{"issue":{"subject":"","project_id":79,"tracker_id":40,"status_id":1,"priority_id":2,"assigned_to_id":23,"start_date":"2016-12-20","description":"","custom_fields":[{"id":1,"name":"Subdivision","value":"Other"},{"id":4,"name":"Milepost","value":"0.016"},{"id":17,"name":"Train ID","value":"304-20"},{"id":16,"name":"Locomotive ID","value":"4045"},{"id":130,"name":"Impact","value":""},{"id":150,"name":"Time of Event (Mountain Time)","value":"03:25:56"},{"id":151,"name":"Denver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664</v>
      </c>
      <c r="B209" s="7">
        <v>4044</v>
      </c>
      <c r="C209" s="22" t="s">
        <v>205</v>
      </c>
      <c r="D209" s="22" t="s">
        <v>264</v>
      </c>
      <c r="E209" s="13">
        <v>42724.79891203704</v>
      </c>
      <c r="F209" s="13">
        <v>25568.708333333332</v>
      </c>
      <c r="G209" s="7">
        <v>1</v>
      </c>
      <c r="H209" s="22" t="s">
        <v>363</v>
      </c>
      <c r="I209" s="13">
        <v>25568.708333333332</v>
      </c>
      <c r="J209" s="7">
        <v>0</v>
      </c>
      <c r="K209" s="109" t="str">
        <f t="shared" si="73"/>
        <v>4043/4044</v>
      </c>
      <c r="L209" s="22" t="str">
        <f>VLOOKUP(A209,'Trips&amp;Operators'!$C$1:$G$99999,5,FALSE)</f>
        <v>CRAYTON QUNTRELL</v>
      </c>
      <c r="M209" s="6">
        <f t="shared" si="74"/>
        <v>0</v>
      </c>
      <c r="N209" s="7">
        <f t="shared" si="70"/>
        <v>0</v>
      </c>
      <c r="O209" s="7"/>
      <c r="P209" s="7"/>
      <c r="Q209" s="23"/>
      <c r="R209" s="23"/>
      <c r="S209" s="35">
        <f t="shared" si="67"/>
        <v>1</v>
      </c>
      <c r="T209" s="50" t="str">
        <f t="shared" si="75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18:10:26-700',mode:absolute,to:'1969-12-31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2" t="str">
        <f t="shared" si="77"/>
        <v>Y</v>
      </c>
      <c r="X209" s="177">
        <f t="shared" si="72"/>
        <v>1</v>
      </c>
      <c r="Y209" s="67">
        <f t="shared" si="78"/>
        <v>4.6699999999999998E-2</v>
      </c>
      <c r="Z209" s="67">
        <f t="shared" si="66"/>
        <v>2.3302</v>
      </c>
      <c r="AA209" s="67">
        <f t="shared" si="79"/>
        <v>2.2835000000000001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0"/>
        <v>0305-20</v>
      </c>
      <c r="AE209" s="91" t="str">
        <f t="shared" si="8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9" s="88" t="str">
        <f t="shared" si="8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9" s="1" t="str">
        <f t="shared" si="83"/>
        <v>Other</v>
      </c>
      <c r="AH209" s="92" t="str">
        <f t="shared" si="84"/>
        <v>"%USERPROFILE%\Documents\GitHub\eaglep3\Utilities\RefineRTDCRunTimes.py" --tripid 305-20 --locoid 4044 --swversion DE.1.0.8.0 --startMP 204:467 --initTime 2016-12-20T19:10:26 --startdatetime 1969-12-31T17:00:00 --delay 1 --endMP 300:23302 --enddatetime 1969-12-31T17:00:00 --enforcementcount 0 &gt;&gt;C:\Users\stu\Documents\GitHub\eaglep3-reporting\EC\2016-12-20-refined-times.txt</v>
      </c>
      <c r="AI209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499</v>
      </c>
      <c r="B210" s="7">
        <v>4032</v>
      </c>
      <c r="C210" s="22" t="s">
        <v>205</v>
      </c>
      <c r="D210" s="22" t="s">
        <v>760</v>
      </c>
      <c r="E210" s="13">
        <v>42724.162106481483</v>
      </c>
      <c r="F210" s="13">
        <v>42724.165659722225</v>
      </c>
      <c r="G210" s="7">
        <v>4</v>
      </c>
      <c r="H210" s="22" t="s">
        <v>235</v>
      </c>
      <c r="I210" s="13">
        <v>42724.172395833331</v>
      </c>
      <c r="J210" s="7">
        <v>0</v>
      </c>
      <c r="K210" s="109" t="str">
        <f t="shared" si="73"/>
        <v>4031/4032</v>
      </c>
      <c r="L210" s="22" t="str">
        <f>VLOOKUP(A210,'Trips&amp;Operators'!$C$1:$G$99999,5,FALSE)</f>
        <v>STARKS ANGELINA</v>
      </c>
      <c r="M210" s="6">
        <f t="shared" si="74"/>
        <v>6.7361111068748869E-3</v>
      </c>
      <c r="N210" s="7">
        <f t="shared" si="70"/>
        <v>9.6999999938998371</v>
      </c>
      <c r="O210" s="7"/>
      <c r="P210" s="7"/>
      <c r="Q210" s="23"/>
      <c r="R210" s="23"/>
      <c r="S210" s="35">
        <f t="shared" si="67"/>
        <v>1</v>
      </c>
      <c r="T210" s="50" t="str">
        <f t="shared" si="75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02:53:26-700',mode:absolute,to:'2016-12-20 05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0" s="52" t="str">
        <f t="shared" si="77"/>
        <v>Y</v>
      </c>
      <c r="X210" s="177">
        <f t="shared" si="72"/>
        <v>1</v>
      </c>
      <c r="Y210" s="67">
        <f t="shared" si="78"/>
        <v>2.3008000000000002</v>
      </c>
      <c r="Z210" s="67">
        <f t="shared" si="66"/>
        <v>1.4500000000000001E-2</v>
      </c>
      <c r="AA210" s="67">
        <f t="shared" si="79"/>
        <v>2.2863000000000002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0"/>
        <v>0306-20</v>
      </c>
      <c r="AE210" s="91" t="str">
        <f t="shared" si="81"/>
        <v>aws s3 cp s3://rtdc.mdm.uploadarchive.raw/RTDC4032/ "%USERPROFILE%\AppData\Local\Temp\OnboardLogs"\RTDC4032\2016-12-20 --exclude "*" --recursive --include "*20161220*" &amp; "%USERPROFILE%\Documents\GitHub\mrs-test-scripts\Headless Mode &amp; Sideloading\WalkAndUnGZ.bat" "%USERPROFILE%\AppData\Local\Temp\OnboardLogs"\RTDC4032\2016-12-20 &amp; aws s3 cp s3://rtdc.mdm.uploadarchive.raw/RTDC4032/ "%USERPROFILE%\AppData\Local\Temp\OnboardLogs"\RTDC4032\2016-12-21 --exclude "*" --recursive --include "*20161221*" &amp; "%USERPROFILE%\Documents\GitHub\mrs-test-scripts\Headless Mode &amp; Sideloading\WalkAndUnGZ.bat" "%USERPROFILE%\AppData\Local\Temp\OnboardLogs"\RTDC4032\2016-12-21</v>
      </c>
      <c r="AF210" s="88" t="str">
        <f t="shared" si="82"/>
        <v>"C:\Program Files (x86)\AstroGrep\AstroGrep.exe" /spath="%USERPROFILE%\AppData\Local\Temp\OnboardLogs" /stypes="app*4032*20161220*" /stext=" 11:.+((SYSTEM_STATE.+slice.+state.+changed )|(ment ac)|(multiple cpu faults)|(system.+state.+changed )|(\[timeout)|(PRM\|1\|D)|(kpr)|(kdp)|(\|lc)|(penalty))" /e /r /s</v>
      </c>
      <c r="AG210" s="1" t="str">
        <f t="shared" si="83"/>
        <v>Other</v>
      </c>
      <c r="AH210" s="92" t="str">
        <f t="shared" si="84"/>
        <v>"%USERPROFILE%\Documents\GitHub\eaglep3\Utilities\RefineRTDCRunTimes.py" --tripid 306-20 --locoid 4032 --swversion DE.1.0.8.0 --startMP 300:23008 --initTime 2016-12-20T03:53:26 --startdatetime 2016-12-20T03:58:33 --delay 4 --endMP 204:145 --enddatetime 2016-12-20T04:08:15 --enforcementcount 0 &gt;&gt;C:\Users\stu\Documents\GitHub\eaglep3-reporting\EC\2016-12-20-refined-times.txt</v>
      </c>
      <c r="AI210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{"issue":{"subject":"","project_id":79,"tracker_id":40,"status_id":1,"priority_id":2,"assigned_to_id":23,"start_date":"2016-12-20","description":"","custom_fields":[{"id":1,"name":"Subdivision","value":"Other"},{"id":4,"name":"Milepost","value":"0.0145"},{"id":17,"name":"Train ID","value":"306-20"},{"id":16,"name":"Locomotive ID","value":"4032"},{"id":130,"name":"Impact","value":""},{"id":150,"name":"Time of Event (Mountain Time)","value":"04:08:15"},{"id":151,"name":"Denver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500</v>
      </c>
      <c r="B211" s="7">
        <v>4039</v>
      </c>
      <c r="C211" s="22" t="s">
        <v>205</v>
      </c>
      <c r="D211" s="22" t="s">
        <v>761</v>
      </c>
      <c r="E211" s="13">
        <v>42724.16815972222</v>
      </c>
      <c r="F211" s="13">
        <v>42724.169814814813</v>
      </c>
      <c r="G211" s="7">
        <v>1</v>
      </c>
      <c r="H211" s="22" t="s">
        <v>415</v>
      </c>
      <c r="I211" s="13">
        <v>42724.182164351849</v>
      </c>
      <c r="J211" s="7">
        <v>0</v>
      </c>
      <c r="K211" s="109" t="str">
        <f t="shared" si="73"/>
        <v>4039/4040</v>
      </c>
      <c r="L211" s="22" t="str">
        <f>VLOOKUP(A211,'Trips&amp;Operators'!$C$1:$G$99999,5,FALSE)</f>
        <v>DAVIDSON DAVID</v>
      </c>
      <c r="M211" s="6">
        <f t="shared" si="74"/>
        <v>1.2349537035333924E-2</v>
      </c>
      <c r="N211" s="7">
        <f t="shared" si="70"/>
        <v>17.783333330880851</v>
      </c>
      <c r="O211" s="7"/>
      <c r="P211" s="7"/>
      <c r="Q211" s="23"/>
      <c r="R211" s="23"/>
      <c r="S211" s="35">
        <f t="shared" si="67"/>
        <v>1</v>
      </c>
      <c r="T211" s="50" t="str">
        <f t="shared" si="75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03:02:09-700',mode:absolute,to:'2016-12-20 05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1" s="52" t="str">
        <f t="shared" si="77"/>
        <v>Y</v>
      </c>
      <c r="X211" s="177">
        <f t="shared" si="72"/>
        <v>2</v>
      </c>
      <c r="Y211" s="67">
        <f t="shared" si="78"/>
        <v>2.2198000000000002</v>
      </c>
      <c r="Z211" s="67">
        <f t="shared" si="66"/>
        <v>1.6899999999999998E-2</v>
      </c>
      <c r="AA211" s="67">
        <f t="shared" si="79"/>
        <v>2.2029000000000001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0"/>
        <v>0308-20</v>
      </c>
      <c r="AE211" s="91" t="str">
        <f t="shared" si="81"/>
        <v>aws s3 cp s3://rtdc.mdm.uploadarchive.raw/RTDC4039/ "%USERPROFILE%\AppData\Local\Temp\OnboardLogs"\RTDC4039\2016-12-20 --exclude "*" --recursive --include "*20161220*" &amp; "%USERPROFILE%\Documents\GitHub\mrs-test-scripts\Headless Mode &amp; Sideloading\WalkAndUnGZ.bat" "%USERPROFILE%\AppData\Local\Temp\OnboardLogs"\RTDC4039\2016-12-20 &amp; aws s3 cp s3://rtdc.mdm.uploadarchive.raw/RTDC4039/ "%USERPROFILE%\AppData\Local\Temp\OnboardLogs"\RTDC4039\2016-12-21 --exclude "*" --recursive --include "*20161221*" &amp; "%USERPROFILE%\Documents\GitHub\mrs-test-scripts\Headless Mode &amp; Sideloading\WalkAndUnGZ.bat" "%USERPROFILE%\AppData\Local\Temp\OnboardLogs"\RTDC4039\2016-12-21</v>
      </c>
      <c r="AF211" s="88" t="str">
        <f t="shared" si="82"/>
        <v>"C:\Program Files (x86)\AstroGrep\AstroGrep.exe" /spath="%USERPROFILE%\AppData\Local\Temp\OnboardLogs" /stypes="app*4039*20161220*" /stext=" 11:.+((SYSTEM_STATE.+slice.+state.+changed )|(ment ac)|(multiple cpu faults)|(system.+state.+changed )|(\[timeout)|(PRM\|1\|D)|(kpr)|(kdp)|(\|lc)|(penalty))" /e /r /s</v>
      </c>
      <c r="AG211" s="1" t="str">
        <f t="shared" si="83"/>
        <v>Other</v>
      </c>
      <c r="AH211" s="92" t="str">
        <f t="shared" si="84"/>
        <v>"%USERPROFILE%\Documents\GitHub\eaglep3\Utilities\RefineRTDCRunTimes.py" --tripid 308-20 --locoid 4039 --swversion DE.1.0.8.0 --startMP 300:22198 --initTime 2016-12-20T04:02:09 --startdatetime 2016-12-20T04:04:32 --delay 1 --endMP 204:169 --enddatetime 2016-12-20T04:22:19 --enforcementcount 0 &gt;&gt;C:\Users\stu\Documents\GitHub\eaglep3-reporting\EC\2016-12-20-refined-times.txt</v>
      </c>
      <c r="AI211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{"issue":{"subject":"","project_id":79,"tracker_id":40,"status_id":1,"priority_id":2,"assigned_to_id":23,"start_date":"2016-12-20","description":"","custom_fields":[{"id":1,"name":"Subdivision","value":"Other"},{"id":4,"name":"Milepost","value":"0.0169"},{"id":17,"name":"Train ID","value":"308-20"},{"id":16,"name":"Locomotive ID","value":"4039"},{"id":130,"name":"Impact","value":""},{"id":150,"name":"Time of Event (Mountain Time)","value":"04:22:19"},{"id":151,"name":"Denver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690</v>
      </c>
      <c r="B212" s="7">
        <v>4020</v>
      </c>
      <c r="C212" s="22" t="s">
        <v>205</v>
      </c>
      <c r="D212" s="22" t="s">
        <v>231</v>
      </c>
      <c r="E212" s="13">
        <v>42725.03</v>
      </c>
      <c r="F212" s="13">
        <v>42725.032962962963</v>
      </c>
      <c r="G212" s="7">
        <v>1</v>
      </c>
      <c r="H212" s="22" t="s">
        <v>762</v>
      </c>
      <c r="I212" s="13">
        <v>42725.039224537039</v>
      </c>
      <c r="J212" s="7">
        <v>0</v>
      </c>
      <c r="K212" s="109" t="str">
        <f t="shared" si="73"/>
        <v>4019/4020</v>
      </c>
      <c r="L212" s="22" t="str">
        <f>VLOOKUP(A212,'Trips&amp;Operators'!$C$1:$G$99999,5,FALSE)</f>
        <v>CHANDLER KELVIN</v>
      </c>
      <c r="M212" s="6">
        <f t="shared" si="74"/>
        <v>6.2615740753244609E-3</v>
      </c>
      <c r="N212" s="7">
        <f t="shared" si="70"/>
        <v>9.0166666684672236</v>
      </c>
      <c r="O212" s="7"/>
      <c r="P212" s="7"/>
      <c r="Q212" s="23"/>
      <c r="R212" s="23"/>
      <c r="S212" s="35">
        <f t="shared" si="67"/>
        <v>1</v>
      </c>
      <c r="T212" s="50" t="str">
        <f t="shared" si="75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23:43:12-700',mode:absolute,to:'2016-12-21 01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2" s="52" t="str">
        <f t="shared" si="77"/>
        <v>Y</v>
      </c>
      <c r="X212" s="177">
        <f t="shared" si="72"/>
        <v>1</v>
      </c>
      <c r="Y212" s="67">
        <f t="shared" si="78"/>
        <v>4.7100000000000003E-2</v>
      </c>
      <c r="Z212" s="67">
        <f t="shared" si="66"/>
        <v>2.2843</v>
      </c>
      <c r="AA212" s="67">
        <f t="shared" si="79"/>
        <v>2.2372000000000001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0"/>
        <v>0309-20</v>
      </c>
      <c r="AE212" s="91" t="str">
        <f t="shared" si="81"/>
        <v>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 &amp; 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</v>
      </c>
      <c r="AF212" s="88" t="str">
        <f t="shared" si="82"/>
        <v>"C:\Program Files (x86)\AstroGrep\AstroGrep.exe" /spath="%USERPROFILE%\AppData\Local\Temp\OnboardLogs" /stypes="app*4020*20161221*" /stext=" 07:.+((SYSTEM_STATE.+slice.+state.+changed )|(ment ac)|(multiple cpu faults)|(system.+state.+changed )|(\[timeout)|(PRM\|1\|D)|(kpr)|(kdp)|(\|lc)|(penalty))" /e /r /s</v>
      </c>
      <c r="AG212" s="1" t="str">
        <f t="shared" si="83"/>
        <v>Other</v>
      </c>
      <c r="AH212" s="92" t="str">
        <f t="shared" si="84"/>
        <v>"%USERPROFILE%\Documents\GitHub\eaglep3\Utilities\RefineRTDCRunTimes.py" --tripid 309-20 --locoid 4020 --swversion DE.1.0.8.0 --startMP 204:471 --initTime 2016-12-21T00:43:12 --startdatetime 2016-12-21T00:47:28 --delay 1 --endMP 300:22843 --enddatetime 2016-12-21T00:56:29 --enforcementcount 0 &gt;&gt;C:\Users\stu\Documents\GitHub\eaglep3-reporting\EC\2016-12-20-refined-times.txt</v>
      </c>
      <c r="AI212" s="119" t="str">
        <f t="shared" si="85"/>
        <v>echo {"issue":{"subject":"","project_id":79,"tracker_id":40,"status_id":1,"priority_id":2,"assigned_to_id":23,"start_date":"2016-12-21","description":"","custom_fields":[{"id":1,"name":"Subdivision","value":"Other"},{"id":4,"name":"Milepost","value":"2.2843"},{"id":17,"name":"Train ID","value":"309-20"},{"id":16,"name":"Locomotive ID","value":"4020"},{"id":130,"name":"Impact","value":""},{"id":150,"name":"Time of Event (Mountain Time)","value":"00:56:29"},{"id":151,"name":"Denver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503</v>
      </c>
      <c r="B213" s="7">
        <v>4041</v>
      </c>
      <c r="C213" s="22" t="s">
        <v>205</v>
      </c>
      <c r="D213" s="22" t="s">
        <v>763</v>
      </c>
      <c r="E213" s="13">
        <v>42724.185081018521</v>
      </c>
      <c r="F213" s="13">
        <v>42724.186249999999</v>
      </c>
      <c r="G213" s="7">
        <v>1</v>
      </c>
      <c r="H213" s="22" t="s">
        <v>224</v>
      </c>
      <c r="I213" s="13">
        <v>42724.192141203705</v>
      </c>
      <c r="J213" s="7">
        <v>0</v>
      </c>
      <c r="K213" s="109" t="str">
        <f t="shared" si="73"/>
        <v>4041/4042</v>
      </c>
      <c r="L213" s="22" t="str">
        <f>VLOOKUP(A213,'Trips&amp;Operators'!$C$1:$G$99999,5,FALSE)</f>
        <v>DAVIS WENDY</v>
      </c>
      <c r="M213" s="6">
        <f t="shared" si="74"/>
        <v>5.8912037056870759E-3</v>
      </c>
      <c r="N213" s="7">
        <f t="shared" si="70"/>
        <v>8.4833333361893892</v>
      </c>
      <c r="O213" s="7"/>
      <c r="P213" s="7"/>
      <c r="Q213" s="23"/>
      <c r="R213" s="23"/>
      <c r="S213" s="35">
        <f t="shared" si="67"/>
        <v>1</v>
      </c>
      <c r="T213" s="50" t="str">
        <f t="shared" si="75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03:26:31-700',mode:absolute,to:'2016-12-20 05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3" s="52" t="str">
        <f t="shared" si="77"/>
        <v>Y</v>
      </c>
      <c r="X213" s="177">
        <f t="shared" si="72"/>
        <v>1</v>
      </c>
      <c r="Y213" s="67">
        <f t="shared" si="78"/>
        <v>2.2084999999999999</v>
      </c>
      <c r="Z213" s="67">
        <f t="shared" si="66"/>
        <v>1.54E-2</v>
      </c>
      <c r="AA213" s="67">
        <f t="shared" si="79"/>
        <v>2.1930999999999998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0"/>
        <v>0310-20</v>
      </c>
      <c r="AE213" s="91" t="str">
        <f t="shared" si="81"/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AF213" s="88" t="str">
        <f t="shared" si="82"/>
        <v>"C:\Program Files (x86)\AstroGrep\AstroGrep.exe" /spath="%USERPROFILE%\AppData\Local\Temp\OnboardLogs" /stypes="app*4041*20161220*" /stext=" 11:.+((SYSTEM_STATE.+slice.+state.+changed )|(ment ac)|(multiple cpu faults)|(system.+state.+changed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310-20 --locoid 4041 --swversion DE.1.0.8.0 --startMP 300:22085 --initTime 2016-12-20T04:26:31 --startdatetime 2016-12-20T04:28:12 --delay 1 --endMP 204:154 --enddatetime 2016-12-20T04:36:41 --enforcementcount 0 &gt;&gt;C:\Users\stu\Documents\GitHub\eaglep3-reporting\EC\2016-12-20-refined-times.txt</v>
      </c>
      <c r="AI213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{"issue":{"subject":"","project_id":79,"tracker_id":40,"status_id":1,"priority_id":2,"assigned_to_id":23,"start_date":"2016-12-20","description":"","custom_fields":[{"id":1,"name":"Subdivision","value":"Other"},{"id":4,"name":"Milepost","value":"0.0154"},{"id":17,"name":"Train ID","value":"310-20"},{"id":16,"name":"Locomotive ID","value":"4041"},{"id":130,"name":"Impact","value":""},{"id":150,"name":"Time of Event (Mountain Time)","value":"04:36:41"},{"id":151,"name":"Denver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691</v>
      </c>
      <c r="B214" s="7">
        <v>4018</v>
      </c>
      <c r="C214" s="22" t="s">
        <v>205</v>
      </c>
      <c r="D214" s="22" t="s">
        <v>351</v>
      </c>
      <c r="E214" s="13">
        <v>42725.046712962961</v>
      </c>
      <c r="F214" s="13">
        <v>25568.708333333332</v>
      </c>
      <c r="G214" s="7">
        <v>1</v>
      </c>
      <c r="H214" s="22" t="s">
        <v>764</v>
      </c>
      <c r="I214" s="13">
        <v>25568.708333333332</v>
      </c>
      <c r="J214" s="7">
        <v>0</v>
      </c>
      <c r="K214" s="109" t="str">
        <f t="shared" si="73"/>
        <v>4017/4018</v>
      </c>
      <c r="L214" s="22" t="str">
        <f>VLOOKUP(A214,'Trips&amp;Operators'!$C$1:$G$99999,5,FALSE)</f>
        <v>NEWELL JAMES</v>
      </c>
      <c r="M214" s="6">
        <f t="shared" si="74"/>
        <v>0</v>
      </c>
      <c r="N214" s="7">
        <f t="shared" si="70"/>
        <v>0</v>
      </c>
      <c r="O214" s="7"/>
      <c r="P214" s="7"/>
      <c r="Q214" s="23"/>
      <c r="R214" s="23"/>
      <c r="S214" s="35">
        <f t="shared" si="67"/>
        <v>1</v>
      </c>
      <c r="T214" s="50" t="str">
        <f t="shared" si="75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00:07:16-700',mode:absolute,to:'1969-12-31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2" t="str">
        <f t="shared" si="77"/>
        <v>Y</v>
      </c>
      <c r="X214" s="177">
        <f t="shared" si="72"/>
        <v>1</v>
      </c>
      <c r="Y214" s="67">
        <f t="shared" si="78"/>
        <v>4.3299999999999998E-2</v>
      </c>
      <c r="Z214" s="67">
        <f t="shared" si="66"/>
        <v>2.3306</v>
      </c>
      <c r="AA214" s="67">
        <f t="shared" si="79"/>
        <v>2.2873000000000001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0"/>
        <v>0311-20</v>
      </c>
      <c r="AE214" s="91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4" s="88" t="str">
        <f t="shared" si="8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311-20 --locoid 4018 --swversion DE.1.0.8.0 --startMP 204:433 --initTime 2016-12-21T01:07:16 --startdatetime 1969-12-31T17:00:00 --delay 1 --endMP 300:23306 --enddatetime 1969-12-31T17:00:00 --enforcementcount 0 &gt;&gt;C:\Users\stu\Documents\GitHub\eaglep3-reporting\EC\2016-12-20-refined-times.txt</v>
      </c>
      <c r="AI21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390</v>
      </c>
      <c r="B215" s="7">
        <v>4027</v>
      </c>
      <c r="C215" s="22" t="s">
        <v>205</v>
      </c>
      <c r="D215" s="22" t="s">
        <v>264</v>
      </c>
      <c r="E215" s="13">
        <v>42724.073287037034</v>
      </c>
      <c r="F215" s="13">
        <v>42724.074537037035</v>
      </c>
      <c r="G215" s="7">
        <v>1</v>
      </c>
      <c r="H215" s="22" t="s">
        <v>433</v>
      </c>
      <c r="I215" s="13">
        <v>42724.082303240742</v>
      </c>
      <c r="J215" s="7">
        <v>0</v>
      </c>
      <c r="K215" s="109" t="str">
        <f t="shared" si="73"/>
        <v>4027/4028</v>
      </c>
      <c r="L215" s="22" t="str">
        <f>VLOOKUP(A215,'Trips&amp;Operators'!$C$1:$G$99999,5,FALSE)</f>
        <v>CHANDLER KELVIN</v>
      </c>
      <c r="M215" s="6">
        <f t="shared" si="74"/>
        <v>7.7662037074333057E-3</v>
      </c>
      <c r="N215" s="7">
        <f t="shared" si="70"/>
        <v>11.18333333870396</v>
      </c>
      <c r="O215" s="7"/>
      <c r="P215" s="7"/>
      <c r="Q215" s="23"/>
      <c r="R215" s="23"/>
      <c r="S215" s="35">
        <f t="shared" si="67"/>
        <v>1</v>
      </c>
      <c r="T215" s="50" t="str">
        <f t="shared" si="75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00:45:32-700',mode:absolute,to:'2016-12-20 02:58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5" s="52" t="str">
        <f t="shared" si="77"/>
        <v>Y</v>
      </c>
      <c r="X215" s="177">
        <f t="shared" si="72"/>
        <v>2</v>
      </c>
      <c r="Y215" s="67">
        <f t="shared" si="78"/>
        <v>4.6699999999999998E-2</v>
      </c>
      <c r="Z215" s="67">
        <f t="shared" si="66"/>
        <v>2.2827999999999999</v>
      </c>
      <c r="AA215" s="67">
        <f t="shared" si="79"/>
        <v>2.2361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0"/>
        <v>0313-19</v>
      </c>
      <c r="AE215" s="91" t="str">
        <f t="shared" si="81"/>
        <v>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 &amp; 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</v>
      </c>
      <c r="AF215" s="88" t="str">
        <f t="shared" si="82"/>
        <v>"C:\Program Files (x86)\AstroGrep\AstroGrep.exe" /spath="%USERPROFILE%\AppData\Local\Temp\OnboardLogs" /stypes="app*4027*20161220*" /stext=" 08:.+((SYSTEM_STATE.+slice.+state.+changed )|(ment ac)|(multiple cpu faults)|(system.+state.+changed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313-19 --locoid 4027 --swversion DE.1.0.8.0 --startMP 204:467 --initTime 2016-12-20T01:45:32 --startdatetime 2016-12-20T01:47:20 --delay 1 --endMP 300:22828 --enddatetime 2016-12-20T01:58:31 --enforcementcount 0 &gt;&gt;C:\Users\stu\Documents\GitHub\eaglep3-reporting\EC\2016-12-20-refined-times.txt</v>
      </c>
      <c r="AI215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{"issue":{"subject":"","project_id":79,"tracker_id":40,"status_id":1,"priority_id":2,"assigned_to_id":23,"start_date":"2016-12-20","description":"","custom_fields":[{"id":1,"name":"Subdivision","value":"Other"},{"id":4,"name":"Milepost","value":"2.2828"},{"id":17,"name":"Train ID","value":"313-19"},{"id":16,"name":"Locomotive ID","value":"4027"},{"id":130,"name":"Impact","value":""},{"id":150,"name":"Time of Event (Mountain Time)","value":"01:58:31"},{"id":151,"name":"Denver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693</v>
      </c>
      <c r="B216" s="7">
        <v>4046</v>
      </c>
      <c r="C216" s="22" t="s">
        <v>205</v>
      </c>
      <c r="D216" s="22" t="s">
        <v>268</v>
      </c>
      <c r="E216" s="13">
        <v>42725.073078703703</v>
      </c>
      <c r="F216" s="13">
        <v>25568.708333333332</v>
      </c>
      <c r="G216" s="7">
        <v>1</v>
      </c>
      <c r="H216" s="22" t="s">
        <v>765</v>
      </c>
      <c r="I216" s="13">
        <v>25568.708333333332</v>
      </c>
      <c r="J216" s="7">
        <v>0</v>
      </c>
      <c r="K216" s="109" t="str">
        <f t="shared" si="73"/>
        <v>4045/4046</v>
      </c>
      <c r="L216" s="22" t="str">
        <f>VLOOKUP(A216,'Trips&amp;Operators'!$C$1:$G$99999,5,FALSE)</f>
        <v>YANG JAN</v>
      </c>
      <c r="M216" s="6">
        <f t="shared" si="74"/>
        <v>0</v>
      </c>
      <c r="N216" s="7">
        <f t="shared" si="70"/>
        <v>0</v>
      </c>
      <c r="O216" s="7"/>
      <c r="P216" s="7"/>
      <c r="Q216" s="23"/>
      <c r="R216" s="23"/>
      <c r="S216" s="35">
        <f t="shared" si="67"/>
        <v>1</v>
      </c>
      <c r="T216" s="50" t="str">
        <f t="shared" si="75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00:45:14-700',mode:absolute,to:'1969-12-31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6" s="52" t="str">
        <f t="shared" si="77"/>
        <v>Y</v>
      </c>
      <c r="X216" s="177">
        <f t="shared" si="72"/>
        <v>0</v>
      </c>
      <c r="Y216" s="67">
        <f t="shared" si="78"/>
        <v>4.6199999999999998E-2</v>
      </c>
      <c r="Z216" s="67">
        <f t="shared" si="66"/>
        <v>2.331</v>
      </c>
      <c r="AA216" s="67">
        <f t="shared" si="79"/>
        <v>2.2848000000000002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0"/>
        <v>0313-20</v>
      </c>
      <c r="AE216" s="91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6" s="88" t="str">
        <f t="shared" si="8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313-20 --locoid 4046 --swversion DE.1.0.8.0 --startMP 204:462 --initTime 2016-12-21T01:45:14 --startdatetime 1969-12-31T17:00:00 --delay 1 --endMP 300:23310 --enddatetime 1969-12-31T17:00:00 --enforcementcount 0 &gt;&gt;C:\Users\stu\Documents\GitHub\eaglep3-reporting\EC\2016-12-20-refined-times.txt</v>
      </c>
      <c r="AI21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ID","value":"313-20"},{"id":16,"name":"Locomotive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391</v>
      </c>
      <c r="B217" s="7">
        <v>4009</v>
      </c>
      <c r="C217" s="22" t="s">
        <v>205</v>
      </c>
      <c r="D217" s="22" t="s">
        <v>427</v>
      </c>
      <c r="E217" s="13">
        <v>42724.093356481484</v>
      </c>
      <c r="F217" s="13">
        <v>25568.708333333332</v>
      </c>
      <c r="G217" s="7">
        <v>1</v>
      </c>
      <c r="H217" s="22" t="s">
        <v>280</v>
      </c>
      <c r="I217" s="13">
        <v>25568.708333333332</v>
      </c>
      <c r="J217" s="7">
        <v>0</v>
      </c>
      <c r="K217" s="109" t="str">
        <f t="shared" si="73"/>
        <v>4009/4010</v>
      </c>
      <c r="L217" s="22" t="str">
        <f>VLOOKUP(A217,'Trips&amp;Operators'!$C$1:$G$99999,5,FALSE)</f>
        <v>SMITH MICHAEL</v>
      </c>
      <c r="M217" s="6">
        <f t="shared" si="74"/>
        <v>0</v>
      </c>
      <c r="N217" s="7">
        <f t="shared" si="70"/>
        <v>0</v>
      </c>
      <c r="O217" s="7"/>
      <c r="P217" s="7"/>
      <c r="Q217" s="23"/>
      <c r="R217" s="23"/>
      <c r="S217" s="35">
        <f t="shared" si="67"/>
        <v>1</v>
      </c>
      <c r="T217" s="50" t="str">
        <f t="shared" si="75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01:14:26-700',mode:absolute,to:'1969-12-31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2" t="str">
        <f t="shared" si="77"/>
        <v>Y</v>
      </c>
      <c r="X217" s="177">
        <f t="shared" si="72"/>
        <v>2</v>
      </c>
      <c r="Y217" s="67">
        <f t="shared" si="78"/>
        <v>4.6600000000000003E-2</v>
      </c>
      <c r="Z217" s="67">
        <f t="shared" si="66"/>
        <v>2.3304</v>
      </c>
      <c r="AA217" s="67">
        <f t="shared" si="79"/>
        <v>2.2837999999999998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0"/>
        <v>0315-19</v>
      </c>
      <c r="AE217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7" s="88" t="str">
        <f t="shared" si="8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315-19 --locoid 4009 --swversion DE.1.0.8.0 --startMP 204:466 --initTime 2016-12-20T02:14:26 --startdatetime 1969-12-31T17:00:00 --delay 1 --endMP 300:23304 --enddatetime 1969-12-31T17:00:00 --enforcementcount 0 &gt;&gt;C:\Users\stu\Documents\GitHub\eaglep3-reporting\EC\2016-12-20-refined-times.txt</v>
      </c>
      <c r="AI217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ID","value":"315-19"},{"id":16,"name":"Locomotive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694</v>
      </c>
      <c r="B218" s="7">
        <v>4031</v>
      </c>
      <c r="C218" s="22" t="s">
        <v>205</v>
      </c>
      <c r="D218" s="22" t="s">
        <v>427</v>
      </c>
      <c r="E218" s="13">
        <v>42725.087361111109</v>
      </c>
      <c r="F218" s="13">
        <v>42725.089016203703</v>
      </c>
      <c r="G218" s="7">
        <v>1</v>
      </c>
      <c r="H218" s="22" t="s">
        <v>766</v>
      </c>
      <c r="I218" s="13">
        <v>42725.089282407411</v>
      </c>
      <c r="J218" s="7">
        <v>0</v>
      </c>
      <c r="K218" s="109" t="str">
        <f t="shared" si="73"/>
        <v>4031/4032</v>
      </c>
      <c r="L218" s="22" t="str">
        <f>VLOOKUP(A218,'Trips&amp;Operators'!$C$1:$G$99999,5,FALSE)</f>
        <v>STAMBAUGH JAMES</v>
      </c>
      <c r="M218" s="6">
        <f t="shared" si="74"/>
        <v>2.6620370772434399E-4</v>
      </c>
      <c r="N218" s="7">
        <f t="shared" si="70"/>
        <v>0.38333333912305534</v>
      </c>
      <c r="O218" s="7"/>
      <c r="P218" s="7"/>
      <c r="Q218" s="23"/>
      <c r="R218" s="23"/>
      <c r="S218" s="35">
        <f t="shared" si="67"/>
        <v>0</v>
      </c>
      <c r="T218" s="50" t="str">
        <f t="shared" si="75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https://search-rtdc-monitor-bjffxe2xuh6vdkpspy63sjmuny.us-east-1.es.amazonaws.com/_plugin/kibana/#/discover/Steve-Slow-Train-Analysis-(2080s-and-2083s)?_g=(refreshInterval:(display:Off,section:0,value:0),time:(from:'2016-12-21 01:05:48-700',mode:absolute,to:'2016-12-21 03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8" s="52" t="str">
        <f t="shared" si="77"/>
        <v>Y</v>
      </c>
      <c r="X218" s="177">
        <f t="shared" si="72"/>
        <v>0</v>
      </c>
      <c r="Y218" s="67">
        <f t="shared" si="78"/>
        <v>4.6600000000000003E-2</v>
      </c>
      <c r="Z218" s="67">
        <f t="shared" si="66"/>
        <v>0.10829999999999999</v>
      </c>
      <c r="AA218" s="67">
        <f t="shared" si="79"/>
        <v>6.1699999999999991E-2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0"/>
        <v>0315-20</v>
      </c>
      <c r="AE218" s="91" t="str">
        <f t="shared" si="81"/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AF218" s="88" t="str">
        <f t="shared" si="82"/>
        <v>"C:\Program Files (x86)\AstroGrep\AstroGrep.exe" /spath="%USERPROFILE%\AppData\Local\Temp\OnboardLogs" /stypes="app*4031*20161221*" /stext=" 09:.+((SYSTEM_STATE.+slice.+state.+changed )|(ment ac)|(multiple cpu faults)|(system.+state.+changed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315-20 --locoid 4031 --swversion DE.1.0.8.0 --startMP 204:466 --initTime 2016-12-21T02:05:48 --startdatetime 2016-12-21T02:08:11 --delay 1 --endMP 204:1083 --enddatetime 2016-12-21T02:08:34 --enforcementcount 0 &gt;&gt;C:\Users\stu\Documents\GitHub\eaglep3-reporting\EC\2016-12-20-refined-times.txt</v>
      </c>
      <c r="AI218" s="119" t="str">
        <f t="shared" si="85"/>
        <v>echo {"issue":{"subject":"","project_id":79,"tracker_id":40,"status_id":1,"priority_id":2,"assigned_to_id":23,"start_date":"2016-12-21","description":"","custom_fields":[{"id":1,"name":"Subdivision","value":"Other"},{"id":4,"name":"Milepost","value":"0.1083"},{"id":17,"name":"Train ID","value":"315-20"},{"id":16,"name":"Locomotive ID","value":"4031"},{"id":130,"name":"Impact","value":""},{"id":150,"name":"Time of Event (Mountain Time)","value":"02:08:34"},{"id":151,"name":"Denver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506</v>
      </c>
      <c r="B219" s="7">
        <v>4016</v>
      </c>
      <c r="C219" s="22" t="s">
        <v>205</v>
      </c>
      <c r="D219" s="22" t="s">
        <v>831</v>
      </c>
      <c r="E219" s="13">
        <v>42724.202604166669</v>
      </c>
      <c r="F219" s="13">
        <v>42724.204074074078</v>
      </c>
      <c r="G219" s="7">
        <v>1</v>
      </c>
      <c r="H219" s="22" t="s">
        <v>438</v>
      </c>
      <c r="I219" s="13">
        <v>42724.209178240744</v>
      </c>
      <c r="J219" s="7">
        <v>0</v>
      </c>
      <c r="K219" s="109" t="str">
        <f t="shared" si="73"/>
        <v>4015/4016</v>
      </c>
      <c r="L219" s="22" t="str">
        <f>VLOOKUP(A219,'Trips&amp;Operators'!$C$1:$G$99999,5,FALSE)</f>
        <v>SIMMONS SHYHESHA</v>
      </c>
      <c r="M219" s="6">
        <f t="shared" si="74"/>
        <v>5.1041666665696539E-3</v>
      </c>
      <c r="N219" s="7">
        <f t="shared" si="70"/>
        <v>7.3499999998603016</v>
      </c>
      <c r="O219" s="7"/>
      <c r="P219" s="7"/>
      <c r="Q219" s="23"/>
      <c r="R219" s="23"/>
      <c r="S219" s="35">
        <f t="shared" si="67"/>
        <v>0</v>
      </c>
      <c r="T219" s="50" t="str">
        <f t="shared" si="75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03:51:45-700',mode:absolute,to:'2016-12-20 06:01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9" s="52" t="str">
        <f t="shared" si="77"/>
        <v>Y</v>
      </c>
      <c r="X219" s="177">
        <f t="shared" si="72"/>
        <v>586</v>
      </c>
      <c r="Y219" s="67">
        <f t="shared" si="78"/>
        <v>2.9996999999999998</v>
      </c>
      <c r="Z219" s="67">
        <f t="shared" si="66"/>
        <v>5.8917999999999999</v>
      </c>
      <c r="AA219" s="67">
        <f t="shared" si="79"/>
        <v>2.8921000000000001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0"/>
        <v>0901-20</v>
      </c>
      <c r="AE219" s="91" t="str">
        <f t="shared" si="81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219" s="88" t="str">
        <f t="shared" si="82"/>
        <v>"C:\Program Files (x86)\AstroGrep\AstroGrep.exe" /spath="%USERPROFILE%\AppData\Local\Temp\OnboardLogs" /stypes="app*4016*20161220*" /stext=" 12:.+((SYSTEM_STATE.+slice.+state.+changed )|(ment ac)|(multiple cpu faults)|(system.+state.+changed )|(\[timeout)|(PRM\|1\|D)|(kpr)|(kdp)|(\|lc)|(penalty))" /e /r /s</v>
      </c>
      <c r="AG219" s="1" t="str">
        <f t="shared" si="83"/>
        <v>Other</v>
      </c>
      <c r="AH219" s="92" t="str">
        <f t="shared" si="84"/>
        <v>"%USERPROFILE%\Documents\GitHub\eaglep3\Utilities\RefineRTDCRunTimes.py" --tripid 901-20 --locoid 4016 --swversion DE.1.0.8.0 --startMP 300:29997 --initTime 2016-12-20T04:51:45 --startdatetime 2016-12-20T04:53:52 --delay 1 --endMP 300:58918 --enddatetime 2016-12-20T05:01:13 --enforcementcount 0 &gt;&gt;C:\Users\stu\Documents\GitHub\eaglep3-reporting\EC\2016-12-20-refined-times.txt</v>
      </c>
      <c r="AI219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{"issue":{"subject":"","project_id":79,"tracker_id":40,"status_id":1,"priority_id":2,"assigned_to_id":23,"start_date":"2016-12-20","description":"","custom_fields":[{"id":1,"name":"Subdivision","value":"Other"},{"id":4,"name":"Milepost","value":"5.8918"},{"id":17,"name":"Train ID","value":"901-20"},{"id":16,"name":"Locomotive ID","value":"4016"},{"id":130,"name":"Impact","value":""},{"id":150,"name":"Time of Event (Mountain Time)","value":"05:01:13"},{"id":151,"name":"Denver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517</v>
      </c>
      <c r="B220" s="7">
        <v>4004</v>
      </c>
      <c r="C220" s="22" t="s">
        <v>205</v>
      </c>
      <c r="D220" s="22" t="s">
        <v>832</v>
      </c>
      <c r="E220" s="13">
        <v>42724.250219907408</v>
      </c>
      <c r="F220" s="13">
        <v>42724.252071759256</v>
      </c>
      <c r="G220" s="7">
        <v>2</v>
      </c>
      <c r="H220" s="22" t="s">
        <v>833</v>
      </c>
      <c r="I220" s="13">
        <v>42724.258009259262</v>
      </c>
      <c r="J220" s="7">
        <v>0</v>
      </c>
      <c r="K220" s="109" t="str">
        <f t="shared" si="73"/>
        <v>4003/4004</v>
      </c>
      <c r="L220" s="22" t="str">
        <f>VLOOKUP(A220,'Trips&amp;Operators'!$C$1:$G$99999,5,FALSE)</f>
        <v>BROWN JACOB</v>
      </c>
      <c r="M220" s="6">
        <f t="shared" si="74"/>
        <v>5.9375000055297278E-3</v>
      </c>
      <c r="N220" s="7">
        <f t="shared" si="70"/>
        <v>8.550000007962808</v>
      </c>
      <c r="O220" s="7"/>
      <c r="P220" s="7"/>
      <c r="Q220" s="23"/>
      <c r="R220" s="23"/>
      <c r="S220" s="35">
        <f t="shared" si="67"/>
        <v>1</v>
      </c>
      <c r="T220" s="50" t="str">
        <f t="shared" si="75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05:00:19-700',mode:absolute,to:'2016-12-20 07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0" s="52" t="str">
        <f t="shared" si="77"/>
        <v>Y</v>
      </c>
      <c r="X220" s="177">
        <f t="shared" si="72"/>
        <v>1</v>
      </c>
      <c r="Y220" s="67">
        <f t="shared" si="78"/>
        <v>2.3203</v>
      </c>
      <c r="Z220" s="67">
        <f t="shared" si="66"/>
        <v>7.3599999999999999E-2</v>
      </c>
      <c r="AA220" s="67">
        <f t="shared" si="79"/>
        <v>2.2467000000000001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0"/>
        <v>0902-20</v>
      </c>
      <c r="AE220" s="91" t="str">
        <f t="shared" si="81"/>
        <v>aws s3 cp s3://rtdc.mdm.uploadarchive.raw/RTDC4004/ "%USERPROFILE%\AppData\Local\Temp\OnboardLogs"\RTDC4004\2016-12-20 --exclude "*" --recursive --include "*20161220*" &amp; "%USERPROFILE%\Documents\GitHub\mrs-test-scripts\Headless Mode &amp; Sideloading\WalkAndUnGZ.bat" "%USERPROFILE%\AppData\Local\Temp\OnboardLogs"\RTDC4004\2016-12-20 &amp; aws s3 cp s3://rtdc.mdm.uploadarchive.raw/RTDC4004/ "%USERPROFILE%\AppData\Local\Temp\OnboardLogs"\RTDC4004\2016-12-21 --exclude "*" --recursive --include "*20161221*" &amp; "%USERPROFILE%\Documents\GitHub\mrs-test-scripts\Headless Mode &amp; Sideloading\WalkAndUnGZ.bat" "%USERPROFILE%\AppData\Local\Temp\OnboardLogs"\RTDC4004\2016-12-21</v>
      </c>
      <c r="AF220" s="88" t="str">
        <f t="shared" si="82"/>
        <v>"C:\Program Files (x86)\AstroGrep\AstroGrep.exe" /spath="%USERPROFILE%\AppData\Local\Temp\OnboardLogs" /stypes="app*4004*20161220*" /stext=" 13:.+((SYSTEM_STATE.+slice.+state.+changed )|(ment ac)|(multiple cpu faults)|(system.+state.+changed )|(\[timeout)|(PRM\|1\|D)|(kpr)|(kdp)|(\|lc)|(penalty))" /e /r /s</v>
      </c>
      <c r="AG220" s="1" t="str">
        <f t="shared" si="83"/>
        <v>Other</v>
      </c>
      <c r="AH220" s="92" t="str">
        <f t="shared" si="84"/>
        <v>"%USERPROFILE%\Documents\GitHub\eaglep3\Utilities\RefineRTDCRunTimes.py" --tripid 902-20 --locoid 4004 --swversion DE.1.0.8.0 --startMP 300:23203 --initTime 2016-12-20T06:00:19 --startdatetime 2016-12-20T06:02:59 --delay 2 --endMP 204:736 --enddatetime 2016-12-20T06:11:32 --enforcementcount 0 &gt;&gt;C:\Users\stu\Documents\GitHub\eaglep3-reporting\EC\2016-12-20-refined-times.txt</v>
      </c>
      <c r="AI220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{"issue":{"subject":"","project_id":79,"tracker_id":40,"status_id":1,"priority_id":2,"assigned_to_id":23,"start_date":"2016-12-20","description":"","custom_fields":[{"id":1,"name":"Subdivision","value":"Other"},{"id":4,"name":"Milepost","value":"0.0736"},{"id":17,"name":"Train ID","value":"902-20"},{"id":16,"name":"Locomotive ID","value":"4004"},{"id":130,"name":"Impact","value":""},{"id":150,"name":"Time of Event (Mountain Time)","value":"06:11:32"},{"id":151,"name":"Denver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544</v>
      </c>
      <c r="B221" s="7">
        <v>4016</v>
      </c>
      <c r="C221" s="22" t="s">
        <v>205</v>
      </c>
      <c r="D221" s="22" t="s">
        <v>834</v>
      </c>
      <c r="E221" s="13">
        <v>42724.355694444443</v>
      </c>
      <c r="F221" s="13">
        <v>42724.357754629629</v>
      </c>
      <c r="G221" s="7">
        <v>1</v>
      </c>
      <c r="H221" s="22" t="s">
        <v>835</v>
      </c>
      <c r="I221" s="13">
        <v>42724.363020833334</v>
      </c>
      <c r="J221" s="7">
        <v>0</v>
      </c>
      <c r="K221" s="109" t="str">
        <f t="shared" si="73"/>
        <v>4015/4016</v>
      </c>
      <c r="L221" s="22" t="str">
        <f>VLOOKUP(A221,'Trips&amp;Operators'!$C$1:$G$99999,5,FALSE)</f>
        <v>SIMMONS SHYHESHA</v>
      </c>
      <c r="M221" s="6">
        <f t="shared" si="74"/>
        <v>5.2662037051049992E-3</v>
      </c>
      <c r="N221" s="7">
        <f t="shared" si="70"/>
        <v>7.5833333353511989</v>
      </c>
      <c r="O221" s="7"/>
      <c r="P221" s="7"/>
      <c r="Q221" s="23"/>
      <c r="R221" s="23"/>
      <c r="S221" s="35">
        <f t="shared" si="67"/>
        <v>1</v>
      </c>
      <c r="T221" s="50" t="str">
        <f t="shared" si="75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07:32:12-700',mode:absolute,to:'2016-12-20 09:42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1" s="52" t="str">
        <f t="shared" si="77"/>
        <v>Y</v>
      </c>
      <c r="X221" s="177">
        <f t="shared" si="72"/>
        <v>1</v>
      </c>
      <c r="Y221" s="67">
        <f t="shared" si="78"/>
        <v>0.12859999999999999</v>
      </c>
      <c r="Z221" s="67">
        <f t="shared" si="66"/>
        <v>3.1278000000000001</v>
      </c>
      <c r="AA221" s="67">
        <f t="shared" si="79"/>
        <v>2.9992000000000001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80"/>
        <v>0903-20</v>
      </c>
      <c r="AE221" s="91" t="str">
        <f t="shared" si="81"/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AF221" s="88" t="str">
        <f t="shared" si="82"/>
        <v>"C:\Program Files (x86)\AstroGrep\AstroGrep.exe" /spath="%USERPROFILE%\AppData\Local\Temp\OnboardLogs" /stypes="app*4016*20161220*" /stext=" 15:.+((SYSTEM_STATE.+slice.+state.+changed )|(ment ac)|(multiple cpu faults)|(system.+state.+changed )|(\[timeout)|(PRM\|1\|D)|(kpr)|(kdp)|(\|lc)|(penalty))" /e /r /s</v>
      </c>
      <c r="AG221" s="1" t="str">
        <f t="shared" si="83"/>
        <v>Other</v>
      </c>
      <c r="AH221" s="92" t="str">
        <f t="shared" si="84"/>
        <v>"%USERPROFILE%\Documents\GitHub\eaglep3\Utilities\RefineRTDCRunTimes.py" --tripid 903-20 --locoid 4016 --swversion DE.1.0.8.0 --startMP 204:1286 --initTime 2016-12-20T08:32:12 --startdatetime 2016-12-20T08:35:10 --delay 1 --endMP 300:31278 --enddatetime 2016-12-20T08:42:45 --enforcementcount 0 &gt;&gt;C:\Users\stu\Documents\GitHub\eaglep3-reporting\EC\2016-12-20-refined-times.txt</v>
      </c>
      <c r="AI221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{"issue":{"subject":"","project_id":79,"tracker_id":40,"status_id":1,"priority_id":2,"assigned_to_id":23,"start_date":"2016-12-20","description":"","custom_fields":[{"id":1,"name":"Subdivision","value":"Other"},{"id":4,"name":"Milepost","value":"3.1278"},{"id":17,"name":"Train ID","value":"903-20"},{"id":16,"name":"Locomotive ID","value":"4016"},{"id":130,"name":"Impact","value":""},{"id":150,"name":"Time of Event (Mountain Time)","value":"08:42:45"},{"id":151,"name":"Denver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614</v>
      </c>
      <c r="B222" s="7">
        <v>4015</v>
      </c>
      <c r="C222" s="22" t="s">
        <v>205</v>
      </c>
      <c r="D222" s="22" t="s">
        <v>836</v>
      </c>
      <c r="E222" s="13">
        <v>42724.634050925924</v>
      </c>
      <c r="F222" s="13">
        <v>42724.637071759258</v>
      </c>
      <c r="G222" s="7">
        <v>1</v>
      </c>
      <c r="H222" s="22" t="s">
        <v>837</v>
      </c>
      <c r="I222" s="13">
        <v>42724.642824074072</v>
      </c>
      <c r="J222" s="7">
        <v>0</v>
      </c>
      <c r="K222" s="109" t="str">
        <f t="shared" si="73"/>
        <v>4015/4016</v>
      </c>
      <c r="L222" s="22" t="str">
        <f>VLOOKUP(A222,'Trips&amp;Operators'!$C$1:$G$99999,5,FALSE)</f>
        <v>HILLS DUSTIN</v>
      </c>
      <c r="M222" s="6">
        <f t="shared" si="74"/>
        <v>5.7523148134350777E-3</v>
      </c>
      <c r="N222" s="7">
        <f t="shared" si="70"/>
        <v>8.2833333313465118</v>
      </c>
      <c r="O222" s="7"/>
      <c r="P222" s="7"/>
      <c r="Q222" s="23"/>
      <c r="R222" s="23"/>
      <c r="S222" s="35">
        <f t="shared" si="67"/>
        <v>1</v>
      </c>
      <c r="T222" s="50" t="str">
        <f t="shared" si="75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14:13:02-700',mode:absolute,to:'2016-12-20 16:25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2" s="52" t="str">
        <f t="shared" si="77"/>
        <v>Y</v>
      </c>
      <c r="X222" s="177">
        <f t="shared" si="72"/>
        <v>1</v>
      </c>
      <c r="Y222" s="67">
        <f t="shared" si="78"/>
        <v>2.3142999999999998</v>
      </c>
      <c r="Z222" s="67">
        <f t="shared" si="66"/>
        <v>6.7500000000000004E-2</v>
      </c>
      <c r="AA222" s="67">
        <f t="shared" si="79"/>
        <v>2.2467999999999999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80"/>
        <v>0904-20</v>
      </c>
      <c r="AE222" s="91" t="str">
        <f t="shared" si="81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222" s="88" t="str">
        <f t="shared" si="82"/>
        <v>"C:\Program Files (x86)\AstroGrep\AstroGrep.exe" /spath="%USERPROFILE%\AppData\Local\Temp\OnboardLogs" /stypes="app*4015*20161220*" /stext=" 22:.+((SYSTEM_STATE.+slice.+state.+changed )|(ment ac)|(multiple cpu faults)|(system.+state.+changed )|(\[timeout)|(PRM\|1\|D)|(kpr)|(kdp)|(\|lc)|(penalty))" /e /r /s</v>
      </c>
      <c r="AG222" s="1" t="str">
        <f t="shared" si="83"/>
        <v>Other</v>
      </c>
      <c r="AH222" s="92" t="str">
        <f t="shared" si="84"/>
        <v>"%USERPROFILE%\Documents\GitHub\eaglep3\Utilities\RefineRTDCRunTimes.py" --tripid 904-20 --locoid 4015 --swversion DE.1.0.8.0 --startMP 300:23143 --initTime 2016-12-20T15:13:02 --startdatetime 2016-12-20T15:17:23 --delay 1 --endMP 204:675 --enddatetime 2016-12-20T15:25:40 --enforcementcount 0 &gt;&gt;C:\Users\stu\Documents\GitHub\eaglep3-reporting\EC\2016-12-20-refined-times.txt</v>
      </c>
      <c r="AI222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{"issue":{"subject":"","project_id":79,"tracker_id":40,"status_id":1,"priority_id":2,"assigned_to_id":23,"start_date":"2016-12-20","description":"","custom_fields":[{"id":1,"name":"Subdivision","value":"Other"},{"id":4,"name":"Milepost","value":"0.0675"},{"id":17,"name":"Train ID","value":"904-20"},{"id":16,"name":"Locomotive ID","value":"4015"},{"id":130,"name":"Impact","value":""},{"id":150,"name":"Time of Event (Mountain Time)","value":"15:25:40"},{"id":151,"name":"Denver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614</v>
      </c>
      <c r="B223" s="7">
        <v>4015</v>
      </c>
      <c r="C223" s="22" t="s">
        <v>205</v>
      </c>
      <c r="D223" s="22" t="s">
        <v>776</v>
      </c>
      <c r="E223" s="13">
        <v>42724.635312500002</v>
      </c>
      <c r="F223" s="13">
        <v>42724.637071759258</v>
      </c>
      <c r="G223" s="7">
        <v>1</v>
      </c>
      <c r="H223" s="22" t="s">
        <v>837</v>
      </c>
      <c r="I223" s="13">
        <v>42724.642824074072</v>
      </c>
      <c r="J223" s="7">
        <v>0</v>
      </c>
      <c r="K223" s="109" t="str">
        <f t="shared" si="73"/>
        <v>4015/4016</v>
      </c>
      <c r="L223" s="22" t="str">
        <f>VLOOKUP(A223,'Trips&amp;Operators'!$C$1:$G$99999,5,FALSE)</f>
        <v>HILLS DUSTIN</v>
      </c>
      <c r="M223" s="6">
        <f t="shared" si="74"/>
        <v>5.7523148134350777E-3</v>
      </c>
      <c r="N223" s="7">
        <f t="shared" si="70"/>
        <v>8.2833333313465118</v>
      </c>
      <c r="O223" s="7"/>
      <c r="P223" s="7"/>
      <c r="Q223" s="23"/>
      <c r="R223" s="23"/>
      <c r="S223" s="35">
        <f t="shared" si="67"/>
        <v>1</v>
      </c>
      <c r="T223" s="50" t="str">
        <f t="shared" si="75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14:14:51-700',mode:absolute,to:'2016-12-20 16:25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3" s="52" t="str">
        <f t="shared" si="77"/>
        <v>Y</v>
      </c>
      <c r="X223" s="177">
        <f t="shared" si="72"/>
        <v>0</v>
      </c>
      <c r="Y223" s="67">
        <f t="shared" si="78"/>
        <v>2.3146</v>
      </c>
      <c r="Z223" s="67">
        <f t="shared" si="66"/>
        <v>6.7500000000000004E-2</v>
      </c>
      <c r="AA223" s="67">
        <f t="shared" si="79"/>
        <v>2.2471000000000001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80"/>
        <v>0904-20</v>
      </c>
      <c r="AE223" s="91" t="str">
        <f t="shared" si="81"/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AF223" s="88" t="str">
        <f t="shared" si="82"/>
        <v>"C:\Program Files (x86)\AstroGrep\AstroGrep.exe" /spath="%USERPROFILE%\AppData\Local\Temp\OnboardLogs" /stypes="app*4015*20161220*" /stext=" 22:.+((SYSTEM_STATE.+slice.+state.+changed )|(ment ac)|(multiple cpu faults)|(system.+state.+changed )|(\[timeout)|(PRM\|1\|D)|(kpr)|(kdp)|(\|lc)|(penalty))" /e /r /s</v>
      </c>
      <c r="AG223" s="1" t="str">
        <f t="shared" si="83"/>
        <v>Other</v>
      </c>
      <c r="AH223" s="92" t="str">
        <f t="shared" si="84"/>
        <v>"%USERPROFILE%\Documents\GitHub\eaglep3\Utilities\RefineRTDCRunTimes.py" --tripid 904-20 --locoid 4015 --swversion DE.1.0.8.0 --startMP 300:23146 --initTime 2016-12-20T15:14:51 --startdatetime 2016-12-20T15:17:23 --delay 1 --endMP 204:675 --enddatetime 2016-12-20T15:25:40 --enforcementcount 0 &gt;&gt;C:\Users\stu\Documents\GitHub\eaglep3-reporting\EC\2016-12-20-refined-times.txt</v>
      </c>
      <c r="AI223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{"issue":{"subject":"","project_id":79,"tracker_id":40,"status_id":1,"priority_id":2,"assigned_to_id":23,"start_date":"2016-12-20","description":"","custom_fields":[{"id":1,"name":"Subdivision","value":"Other"},{"id":4,"name":"Milepost","value":"0.0675"},{"id":17,"name":"Train ID","value":"904-20"},{"id":16,"name":"Locomotive ID","value":"4015"},{"id":130,"name":"Impact","value":""},{"id":150,"name":"Time of Event (Mountain Time)","value":"15:25:40"},{"id":151,"name":"Denver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545</v>
      </c>
      <c r="B224" s="7">
        <v>4051</v>
      </c>
      <c r="C224" s="22" t="s">
        <v>205</v>
      </c>
      <c r="D224" s="22" t="s">
        <v>767</v>
      </c>
      <c r="E224" s="13">
        <v>42724.360763888886</v>
      </c>
      <c r="F224" s="13">
        <v>25568.708333333332</v>
      </c>
      <c r="G224" s="7">
        <v>2</v>
      </c>
      <c r="H224" s="22" t="s">
        <v>280</v>
      </c>
      <c r="I224" s="13">
        <v>25568.708333333332</v>
      </c>
      <c r="J224" s="7">
        <v>0</v>
      </c>
      <c r="K224" s="109" t="str">
        <f t="shared" si="73"/>
        <v>4051/4052</v>
      </c>
      <c r="L224" s="22" t="str">
        <f>VLOOKUP(A224,'Trips&amp;Operators'!$C$1:$G$99999,5,FALSE)</f>
        <v>ACKERMAN JARED</v>
      </c>
      <c r="M224" s="6">
        <f t="shared" si="74"/>
        <v>0</v>
      </c>
      <c r="N224" s="7">
        <f t="shared" si="70"/>
        <v>0</v>
      </c>
      <c r="O224" s="7"/>
      <c r="P224" s="7"/>
      <c r="Q224" s="23"/>
      <c r="R224" s="23"/>
      <c r="S224" s="35">
        <f t="shared" si="67"/>
        <v>0</v>
      </c>
      <c r="T224" s="50" t="e">
        <f t="shared" si="75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07:39:30-700',mode:absolute,to:'1969-12-31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4" s="52" t="str">
        <f t="shared" si="77"/>
        <v>Y</v>
      </c>
      <c r="X224" s="177" t="e">
        <f t="shared" si="72"/>
        <v>#VALUE!</v>
      </c>
      <c r="Y224" s="67">
        <f t="shared" si="78"/>
        <v>0.121</v>
      </c>
      <c r="Z224" s="67">
        <f t="shared" si="66"/>
        <v>2.3304</v>
      </c>
      <c r="AA224" s="67">
        <f t="shared" si="79"/>
        <v>2.2094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80"/>
        <v>51-20</v>
      </c>
      <c r="AE224" s="91" t="str">
        <f t="shared" si="8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24" s="88" t="str">
        <f t="shared" si="8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24" s="1" t="str">
        <f t="shared" si="83"/>
        <v>Other</v>
      </c>
      <c r="AH224" s="92" t="str">
        <f t="shared" si="84"/>
        <v>"%USERPROFILE%\Documents\GitHub\eaglep3\Utilities\RefineRTDCRunTimes.py" --tripid 51-20 --locoid 4051 --swversion DE.1.0.8.0 --startMP 204:1210 --initTime 2016-12-20T08:39:30 --startdatetime 1969-12-31T17:00:00 --delay 2 --endMP 300:23304 --enddatetime 1969-12-31T17:00:00 --enforcementcount 0 &gt;&gt;C:\Users\stu\Documents\GitHub\eaglep3-reporting\EC\2016-12-20-refined-times.txt</v>
      </c>
      <c r="AI22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ID","value":"51-20"},{"id":16,"name":"Locomotive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472</v>
      </c>
      <c r="B225" s="7">
        <v>4012</v>
      </c>
      <c r="C225" s="22" t="s">
        <v>205</v>
      </c>
      <c r="D225" s="22" t="s">
        <v>768</v>
      </c>
      <c r="E225" s="13">
        <v>42724.438055555554</v>
      </c>
      <c r="F225" s="13">
        <v>42724.439502314817</v>
      </c>
      <c r="G225" s="7">
        <v>1</v>
      </c>
      <c r="H225" s="22" t="s">
        <v>769</v>
      </c>
      <c r="I225" s="13">
        <v>42724.445393518516</v>
      </c>
      <c r="J225" s="7">
        <v>0</v>
      </c>
      <c r="K225" s="109" t="str">
        <f t="shared" si="73"/>
        <v>4011/4012</v>
      </c>
      <c r="L225" s="22" t="str">
        <f>VLOOKUP(A225,'Trips&amp;Operators'!$C$1:$G$99999,5,FALSE)</f>
        <v>MOSES BRADLEY</v>
      </c>
      <c r="M225" s="6">
        <f t="shared" si="74"/>
        <v>5.8912036984111182E-3</v>
      </c>
      <c r="N225" s="7">
        <f t="shared" si="70"/>
        <v>8.4833333257120103</v>
      </c>
      <c r="O225" s="7"/>
      <c r="P225" s="7"/>
      <c r="Q225" s="23"/>
      <c r="R225" s="23"/>
      <c r="S225" s="35">
        <f t="shared" si="67"/>
        <v>0</v>
      </c>
      <c r="T225" s="50" t="e">
        <f t="shared" si="75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09:30:48-700',mode:absolute,to:'2016-12-20 11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5" s="52" t="str">
        <f t="shared" si="77"/>
        <v>Y</v>
      </c>
      <c r="X225" s="177" t="e">
        <f t="shared" si="72"/>
        <v>#VALUE!</v>
      </c>
      <c r="Y225" s="67">
        <f t="shared" si="78"/>
        <v>2.2046999999999999</v>
      </c>
      <c r="Z225" s="67">
        <f t="shared" si="66"/>
        <v>9.2999999999999992E-3</v>
      </c>
      <c r="AA225" s="67">
        <f t="shared" si="79"/>
        <v>2.1953999999999998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80"/>
        <v>52-20</v>
      </c>
      <c r="AE225" s="91" t="str">
        <f t="shared" si="81"/>
        <v>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 &amp; 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</v>
      </c>
      <c r="AF225" s="88" t="str">
        <f t="shared" si="82"/>
        <v>"C:\Program Files (x86)\AstroGrep\AstroGrep.exe" /spath="%USERPROFILE%\AppData\Local\Temp\OnboardLogs" /stypes="app*4012*20161220*" /stext=" 17:.+((SYSTEM_STATE.+slice.+state.+changed )|(ment ac)|(multiple cpu faults)|(system.+state.+changed )|(\[timeout)|(PRM\|1\|D)|(kpr)|(kdp)|(\|lc)|(penalty))" /e /r /s</v>
      </c>
      <c r="AG225" s="1" t="str">
        <f t="shared" si="83"/>
        <v>Other</v>
      </c>
      <c r="AH225" s="92" t="str">
        <f t="shared" si="84"/>
        <v>"%USERPROFILE%\Documents\GitHub\eaglep3\Utilities\RefineRTDCRunTimes.py" --tripid 52-20 --locoid 4012 --swversion DE.1.0.8.0 --startMP 300:22047 --initTime 2016-12-20T10:30:48 --startdatetime 2016-12-20T10:32:53 --delay 1 --endMP 204:93 --enddatetime 2016-12-20T10:41:22 --enforcementcount 0 &gt;&gt;C:\Users\stu\Documents\GitHub\eaglep3-reporting\EC\2016-12-20-refined-times.txt</v>
      </c>
      <c r="AI225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{"issue":{"subject":"","project_id":79,"tracker_id":40,"status_id":1,"priority_id":2,"assigned_to_id":23,"start_date":"2016-12-20","description":"","custom_fields":[{"id":1,"name":"Subdivision","value":"Other"},{"id":4,"name":"Milepost","value":"0.0093"},{"id":17,"name":"Train ID","value":"52-20"},{"id":16,"name":"Locomotive ID","value":"4012"},{"id":130,"name":"Impact","value":""},{"id":150,"name":"Time of Event (Mountain Time)","value":"10:41:22"},{"id":151,"name":"Denver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575</v>
      </c>
      <c r="B226" s="7">
        <v>4011</v>
      </c>
      <c r="C226" s="22" t="s">
        <v>205</v>
      </c>
      <c r="D226" s="22" t="s">
        <v>770</v>
      </c>
      <c r="E226" s="13">
        <v>42724.475601851853</v>
      </c>
      <c r="F226" s="13">
        <v>25568.708333333332</v>
      </c>
      <c r="G226" s="7">
        <v>1</v>
      </c>
      <c r="H226" s="22" t="s">
        <v>771</v>
      </c>
      <c r="I226" s="13">
        <v>25568.708333333332</v>
      </c>
      <c r="J226" s="7">
        <v>0</v>
      </c>
      <c r="K226" s="109" t="str">
        <f t="shared" si="73"/>
        <v>4011/4012</v>
      </c>
      <c r="L226" s="22" t="str">
        <f>VLOOKUP(A226,'Trips&amp;Operators'!$C$1:$G$99999,5,FALSE)</f>
        <v>YANAI IAN</v>
      </c>
      <c r="M226" s="6">
        <f t="shared" si="74"/>
        <v>0</v>
      </c>
      <c r="N226" s="7">
        <f t="shared" si="70"/>
        <v>0</v>
      </c>
      <c r="O226" s="7"/>
      <c r="P226" s="7"/>
      <c r="Q226" s="23"/>
      <c r="R226" s="23"/>
      <c r="S226" s="35">
        <f t="shared" si="67"/>
        <v>0</v>
      </c>
      <c r="T226" s="50" t="e">
        <f t="shared" si="75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10:24:52-700',mode:absolute,to:'1969-12-31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6" s="52" t="str">
        <f t="shared" si="77"/>
        <v>Y</v>
      </c>
      <c r="X226" s="177" t="e">
        <f t="shared" si="72"/>
        <v>#VALUE!</v>
      </c>
      <c r="Y226" s="67">
        <f t="shared" si="78"/>
        <v>3.95E-2</v>
      </c>
      <c r="Z226" s="67">
        <f t="shared" ref="Z226:Z235" si="86">RIGHT(H226,LEN(H226)-4)/10000</f>
        <v>2.4251999999999998</v>
      </c>
      <c r="AA226" s="67">
        <f t="shared" si="79"/>
        <v>2.3856999999999999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80"/>
        <v>53-20</v>
      </c>
      <c r="AE226" s="91" t="str">
        <f t="shared" si="8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26" s="88" t="str">
        <f t="shared" si="8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26" s="1" t="str">
        <f t="shared" si="83"/>
        <v>Other</v>
      </c>
      <c r="AH226" s="92" t="str">
        <f t="shared" si="84"/>
        <v>"%USERPROFILE%\Documents\GitHub\eaglep3\Utilities\RefineRTDCRunTimes.py" --tripid 53-20 --locoid 4011 --swversion DE.1.0.8.0 --startMP 204:395 --initTime 2016-12-20T11:24:52 --startdatetime 1969-12-31T17:00:00 --delay 1 --endMP 300:24252 --enddatetime 1969-12-31T17:00:00 --enforcementcount 0 &gt;&gt;C:\Users\stu\Documents\GitHub\eaglep3-reporting\EC\2016-12-20-refined-times.txt</v>
      </c>
      <c r="AI22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ID","value":"53-20"},{"id":16,"name":"Locomotive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557</v>
      </c>
      <c r="B227" s="7">
        <v>4010</v>
      </c>
      <c r="C227" s="22" t="s">
        <v>205</v>
      </c>
      <c r="D227" s="22" t="s">
        <v>772</v>
      </c>
      <c r="E227" s="13">
        <v>42724.401805555557</v>
      </c>
      <c r="F227" s="13">
        <v>42724.403055555558</v>
      </c>
      <c r="G227" s="7">
        <v>1</v>
      </c>
      <c r="H227" s="22" t="s">
        <v>419</v>
      </c>
      <c r="I227" s="13">
        <v>42724.412280092591</v>
      </c>
      <c r="J227" s="7">
        <v>0</v>
      </c>
      <c r="K227" s="109" t="str">
        <f t="shared" si="73"/>
        <v>4009/4010</v>
      </c>
      <c r="L227" s="22" t="str">
        <f>VLOOKUP(A227,'Trips&amp;Operators'!$C$1:$G$99999,5,FALSE)</f>
        <v>ACKERMAN JARED</v>
      </c>
      <c r="M227" s="6">
        <f t="shared" si="74"/>
        <v>9.2245370324235409E-3</v>
      </c>
      <c r="N227" s="7">
        <f t="shared" si="70"/>
        <v>13.283333326689899</v>
      </c>
      <c r="O227" s="7"/>
      <c r="P227" s="7"/>
      <c r="Q227" s="23"/>
      <c r="R227" s="23"/>
      <c r="S227" s="35">
        <f t="shared" si="67"/>
        <v>0</v>
      </c>
      <c r="T227" s="50" t="e">
        <f t="shared" si="75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08:38:36-700',mode:absolute,to:'2016-12-20 10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7" s="52" t="str">
        <f t="shared" si="77"/>
        <v>Y</v>
      </c>
      <c r="X227" s="177" t="e">
        <f t="shared" si="72"/>
        <v>#VALUE!</v>
      </c>
      <c r="Y227" s="67">
        <f t="shared" si="78"/>
        <v>2.2012999999999998</v>
      </c>
      <c r="Z227" s="67">
        <f t="shared" si="86"/>
        <v>0.1179</v>
      </c>
      <c r="AA227" s="67">
        <f t="shared" si="79"/>
        <v>2.0833999999999997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80"/>
        <v>54-20</v>
      </c>
      <c r="AE227" s="91" t="str">
        <f t="shared" si="81"/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AF227" s="88" t="str">
        <f t="shared" si="82"/>
        <v>"C:\Program Files (x86)\AstroGrep\AstroGrep.exe" /spath="%USERPROFILE%\AppData\Local\Temp\OnboardLogs" /stypes="app*4010*20161220*" /stext=" 16:.+((SYSTEM_STATE.+slice.+state.+changed )|(ment ac)|(multiple cpu faults)|(system.+state.+changed )|(\[timeout)|(PRM\|1\|D)|(kpr)|(kdp)|(\|lc)|(penalty))" /e /r /s</v>
      </c>
      <c r="AG227" s="1" t="str">
        <f t="shared" si="83"/>
        <v>Other</v>
      </c>
      <c r="AH227" s="92" t="str">
        <f t="shared" si="84"/>
        <v>"%USERPROFILE%\Documents\GitHub\eaglep3\Utilities\RefineRTDCRunTimes.py" --tripid 54-20 --locoid 4010 --swversion DE.1.0.8.0 --startMP 300:22013 --initTime 2016-12-20T09:38:36 --startdatetime 2016-12-20T09:40:24 --delay 1 --endMP 204:1179 --enddatetime 2016-12-20T09:53:41 --enforcementcount 0 &gt;&gt;C:\Users\stu\Documents\GitHub\eaglep3-reporting\EC\2016-12-20-refined-times.txt</v>
      </c>
      <c r="AI227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{"issue":{"subject":"","project_id":79,"tracker_id":40,"status_id":1,"priority_id":2,"assigned_to_id":23,"start_date":"2016-12-20","description":"","custom_fields":[{"id":1,"name":"Subdivision","value":"Other"},{"id":4,"name":"Milepost","value":"0.1179"},{"id":17,"name":"Train ID","value":"54-20"},{"id":16,"name":"Locomotive ID","value":"4010"},{"id":130,"name":"Impact","value":""},{"id":150,"name":"Time of Event (Mountain Time)","value":"09:53:41"},{"id":151,"name":"Denver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474</v>
      </c>
      <c r="B228" s="7">
        <v>4028</v>
      </c>
      <c r="C228" s="22" t="s">
        <v>205</v>
      </c>
      <c r="D228" s="22" t="s">
        <v>773</v>
      </c>
      <c r="E228" s="13">
        <v>42724.483622685184</v>
      </c>
      <c r="F228" s="13">
        <v>42724.484826388885</v>
      </c>
      <c r="G228" s="7">
        <v>1</v>
      </c>
      <c r="H228" s="22">
        <v>8.5256944444444454</v>
      </c>
      <c r="I228" s="13">
        <v>42724.49009259259</v>
      </c>
      <c r="J228" s="7">
        <v>0</v>
      </c>
      <c r="K228" s="109" t="str">
        <f t="shared" si="73"/>
        <v>4027/4028</v>
      </c>
      <c r="L228" s="22" t="str">
        <f>VLOOKUP(A228,'Trips&amp;Operators'!$C$1:$G$99999,5,FALSE)</f>
        <v>HAITHCOX MICHAEL</v>
      </c>
      <c r="M228" s="6">
        <f t="shared" si="74"/>
        <v>5.2662037051049992E-3</v>
      </c>
      <c r="N228" s="7">
        <f t="shared" si="70"/>
        <v>7.5833333353511989</v>
      </c>
      <c r="O228" s="7"/>
      <c r="P228" s="7"/>
      <c r="Q228" s="23"/>
      <c r="R228" s="23"/>
      <c r="S228" s="35">
        <f t="shared" si="67"/>
        <v>0</v>
      </c>
      <c r="T228" s="50" t="e">
        <f t="shared" si="75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10:36:25-700',mode:absolute,to:'2016-12-20 12:45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8" s="52" t="str">
        <f t="shared" si="77"/>
        <v>N</v>
      </c>
      <c r="X228" s="177" t="e">
        <f t="shared" si="72"/>
        <v>#VALUE!</v>
      </c>
      <c r="Y228" s="67">
        <f t="shared" si="78"/>
        <v>2.2130000000000001</v>
      </c>
      <c r="Z228" s="67">
        <f t="shared" si="86"/>
        <v>56944444.444499999</v>
      </c>
      <c r="AA228" s="67">
        <f t="shared" si="79"/>
        <v>56944442.2315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80"/>
        <v>58-20</v>
      </c>
      <c r="AE228" s="91" t="str">
        <f t="shared" si="81"/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AF228" s="88" t="str">
        <f t="shared" si="82"/>
        <v>"C:\Program Files (x86)\AstroGrep\AstroGrep.exe" /spath="%USERPROFILE%\AppData\Local\Temp\OnboardLogs" /stypes="app*4028*20161220*" /stext=" 18:.+((SYSTEM_STATE.+slice.+state.+changed )|(ment ac)|(multiple cpu faults)|(system.+state.+changed )|(\[timeout)|(PRM\|1\|D)|(kpr)|(kdp)|(\|lc)|(penalty))" /e /r /s</v>
      </c>
      <c r="AG228" s="1" t="str">
        <f t="shared" si="83"/>
        <v>Other</v>
      </c>
      <c r="AH228" s="92" t="str">
        <f t="shared" si="84"/>
        <v>"%USERPROFILE%\Documents\GitHub\eaglep3\Utilities\RefineRTDCRunTimes.py" --tripid 58-20 --locoid 4028 --swversion DE.1.0.8.0 --startMP 300:22130 --initTime 2016-12-20T11:36:25 --startdatetime 2016-12-20T11:38:09 --delay 1 --endMP 8.52569444444445 --enddatetime 2016-12-20T11:45:44 --enforcementcount 0 &gt;&gt;C:\Users\stu\Documents\GitHub\eaglep3-reporting\EC\2016-12-20-refined-times.txt</v>
      </c>
      <c r="AI228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56944444.4445"},{"id":17,"name":"Train ID","value":"58-20"},{"id":16,"name":"Locomotive ID","value":"4028"},{"id":130,"name":"Impact","value":""},{"id":150,"name":"Time of Event (Mountain Time)","value":"11:45:44"},{"id":151,"name":"Denver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585</v>
      </c>
      <c r="B229" s="7">
        <v>4027</v>
      </c>
      <c r="C229" s="22" t="s">
        <v>205</v>
      </c>
      <c r="D229" s="22" t="s">
        <v>774</v>
      </c>
      <c r="E229" s="13">
        <v>42724.51021990741</v>
      </c>
      <c r="F229" s="13">
        <v>25568.708333333332</v>
      </c>
      <c r="G229" s="7">
        <v>2</v>
      </c>
      <c r="H229" s="22" t="s">
        <v>775</v>
      </c>
      <c r="I229" s="13">
        <v>25568.708333333332</v>
      </c>
      <c r="J229" s="7">
        <v>0</v>
      </c>
      <c r="K229" s="109" t="str">
        <f t="shared" si="73"/>
        <v>4027/4028</v>
      </c>
      <c r="L229" s="22" t="str">
        <f>VLOOKUP(A229,'Trips&amp;Operators'!$C$1:$G$99999,5,FALSE)</f>
        <v>LOZA FIDEL</v>
      </c>
      <c r="M229" s="6">
        <f t="shared" si="74"/>
        <v>0</v>
      </c>
      <c r="N229" s="7">
        <f t="shared" si="70"/>
        <v>0</v>
      </c>
      <c r="O229" s="7"/>
      <c r="P229" s="7"/>
      <c r="Q229" s="23"/>
      <c r="R229" s="23"/>
      <c r="S229" s="35">
        <f t="shared" si="67"/>
        <v>0</v>
      </c>
      <c r="T229" s="50" t="e">
        <f t="shared" si="75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11:14:43-700',mode:absolute,to:'1969-12-31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9" s="52" t="str">
        <f t="shared" si="77"/>
        <v>Y</v>
      </c>
      <c r="X229" s="177" t="e">
        <f t="shared" si="72"/>
        <v>#VALUE!</v>
      </c>
      <c r="Y229" s="67">
        <f t="shared" si="78"/>
        <v>3.4799999999999998E-2</v>
      </c>
      <c r="Z229" s="67">
        <f t="shared" si="86"/>
        <v>2.4241000000000001</v>
      </c>
      <c r="AA229" s="67">
        <f t="shared" si="79"/>
        <v>2.3893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80"/>
        <v>59-20</v>
      </c>
      <c r="AE229" s="91" t="str">
        <f t="shared" si="8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9" s="88" t="str">
        <f t="shared" si="8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9" s="1" t="str">
        <f t="shared" si="83"/>
        <v>Other</v>
      </c>
      <c r="AH229" s="92" t="str">
        <f t="shared" si="84"/>
        <v>"%USERPROFILE%\Documents\GitHub\eaglep3\Utilities\RefineRTDCRunTimes.py" --tripid 59-20 --locoid 4027 --swversion DE.1.0.8.0 --startMP 204:348 --initTime 2016-12-20T12:14:43 --startdatetime 1969-12-31T17:00:00 --delay 2 --endMP 300:24241 --enddatetime 1969-12-31T17:00:00 --enforcementcount 0 &gt;&gt;C:\Users\stu\Documents\GitHub\eaglep3-reporting\EC\2016-12-20-refined-times.txt</v>
      </c>
      <c r="AI229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{"issue":{"subject":"","project_id":79,"tracker_id":40,"status_id":1,"priority_id":2,"assigned_to_id":23,"start_date":"1969-12-31","description":"","custom_fields":[{"id":1,"name":"Subdivision","value":"Other"},{"id":4,"name":"Milepost","value":"2.4241"},{"id":17,"name":"Train ID","value":"59-20"},{"id":16,"name":"Locomotive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638</v>
      </c>
      <c r="B230" s="7">
        <v>4028</v>
      </c>
      <c r="C230" s="22" t="s">
        <v>205</v>
      </c>
      <c r="D230" s="22" t="s">
        <v>776</v>
      </c>
      <c r="E230" s="13">
        <v>42724.714039351849</v>
      </c>
      <c r="F230" s="13">
        <v>42724.715937499997</v>
      </c>
      <c r="G230" s="7">
        <v>2</v>
      </c>
      <c r="H230" s="22" t="s">
        <v>777</v>
      </c>
      <c r="I230" s="13">
        <v>42724.721076388887</v>
      </c>
      <c r="J230" s="7">
        <v>0</v>
      </c>
      <c r="K230" s="109" t="str">
        <f t="shared" si="73"/>
        <v>4027/4028</v>
      </c>
      <c r="L230" s="22" t="str">
        <f>VLOOKUP(A230,'Trips&amp;Operators'!$C$1:$G$99999,5,FALSE)</f>
        <v>NEWELL JAMES</v>
      </c>
      <c r="M230" s="6">
        <f t="shared" si="74"/>
        <v>5.1388888896326534E-3</v>
      </c>
      <c r="N230" s="7">
        <f t="shared" si="70"/>
        <v>7.400000001071021</v>
      </c>
      <c r="O230" s="7"/>
      <c r="P230" s="7"/>
      <c r="Q230" s="23"/>
      <c r="R230" s="23"/>
      <c r="S230" s="35">
        <f t="shared" si="67"/>
        <v>0</v>
      </c>
      <c r="T230" s="50" t="e">
        <f t="shared" si="75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16:08:13-700',mode:absolute,to:'2016-12-20 18:18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0" s="52" t="str">
        <f t="shared" si="77"/>
        <v>Y</v>
      </c>
      <c r="X230" s="177" t="e">
        <f t="shared" si="72"/>
        <v>#VALUE!</v>
      </c>
      <c r="Y230" s="67">
        <f t="shared" si="78"/>
        <v>2.3146</v>
      </c>
      <c r="Z230" s="67">
        <f t="shared" si="86"/>
        <v>1.4200000000000001E-2</v>
      </c>
      <c r="AA230" s="67">
        <f t="shared" si="79"/>
        <v>2.3003999999999998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80"/>
        <v>70-20</v>
      </c>
      <c r="AE230" s="91" t="str">
        <f t="shared" si="81"/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AF230" s="88" t="str">
        <f t="shared" si="82"/>
        <v>"C:\Program Files (x86)\AstroGrep\AstroGrep.exe" /spath="%USERPROFILE%\AppData\Local\Temp\OnboardLogs" /stypes="app*4028*20161221*" /stext=" 00:.+((SYSTEM_STATE.+slice.+state.+changed )|(ment ac)|(multiple cpu faults)|(system.+state.+changed )|(\[timeout)|(PRM\|1\|D)|(kpr)|(kdp)|(\|lc)|(penalty))" /e /r /s</v>
      </c>
      <c r="AG230" s="1" t="str">
        <f t="shared" si="83"/>
        <v>Other</v>
      </c>
      <c r="AH230" s="92" t="str">
        <f t="shared" si="84"/>
        <v>"%USERPROFILE%\Documents\GitHub\eaglep3\Utilities\RefineRTDCRunTimes.py" --tripid 70-20 --locoid 4028 --swversion DE.1.0.8.0 --startMP 300:23146 --initTime 2016-12-20T17:08:13 --startdatetime 2016-12-20T17:10:57 --delay 2 --endMP 204:142 --enddatetime 2016-12-20T17:18:21 --enforcementcount 0 &gt;&gt;C:\Users\stu\Documents\GitHub\eaglep3-reporting\EC\2016-12-20-refined-times.txt</v>
      </c>
      <c r="AI230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{"issue":{"subject":"","project_id":79,"tracker_id":40,"status_id":1,"priority_id":2,"assigned_to_id":23,"start_date":"2016-12-20","description":"","custom_fields":[{"id":1,"name":"Subdivision","value":"Other"},{"id":4,"name":"Milepost","value":"0.0142"},{"id":17,"name":"Train ID","value":"70-20"},{"id":16,"name":"Locomotive ID","value":"4028"},{"id":130,"name":"Impact","value":""},{"id":150,"name":"Time of Event (Mountain Time)","value":"17:18:21"},{"id":151,"name":"Denver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635</v>
      </c>
      <c r="B231" s="7">
        <v>4040</v>
      </c>
      <c r="C231" s="22" t="s">
        <v>205</v>
      </c>
      <c r="D231" s="22" t="s">
        <v>778</v>
      </c>
      <c r="E231" s="13">
        <v>42724.712488425925</v>
      </c>
      <c r="F231" s="13">
        <v>25568.708333333332</v>
      </c>
      <c r="G231" s="7">
        <v>1</v>
      </c>
      <c r="H231" s="22" t="s">
        <v>779</v>
      </c>
      <c r="I231" s="13">
        <v>25568.708333333332</v>
      </c>
      <c r="J231" s="7">
        <v>0</v>
      </c>
      <c r="K231" s="109" t="str">
        <f t="shared" si="73"/>
        <v>4039/4040</v>
      </c>
      <c r="L231" s="22" t="str">
        <f>VLOOKUP(A231,'Trips&amp;Operators'!$C$1:$G$99999,5,FALSE)</f>
        <v>SWANSON BRYCE</v>
      </c>
      <c r="M231" s="6">
        <f t="shared" si="74"/>
        <v>0</v>
      </c>
      <c r="N231" s="7">
        <f t="shared" si="70"/>
        <v>0</v>
      </c>
      <c r="O231" s="7"/>
      <c r="P231" s="7"/>
      <c r="Q231" s="23"/>
      <c r="R231" s="23"/>
      <c r="S231" s="35">
        <f t="shared" si="67"/>
        <v>0</v>
      </c>
      <c r="T231" s="50" t="e">
        <f t="shared" si="75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16:05:59-700',mode:absolute,to:'1969-12-31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1" s="52" t="str">
        <f t="shared" si="77"/>
        <v>Y</v>
      </c>
      <c r="X231" s="177" t="e">
        <f t="shared" si="72"/>
        <v>#VALUE!</v>
      </c>
      <c r="Y231" s="67">
        <f t="shared" si="78"/>
        <v>0.14960000000000001</v>
      </c>
      <c r="Z231" s="67">
        <f t="shared" si="86"/>
        <v>2.3346</v>
      </c>
      <c r="AA231" s="67">
        <f t="shared" si="79"/>
        <v>2.1850000000000001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80"/>
        <v>71-20</v>
      </c>
      <c r="AE231" s="91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31" s="88" t="str">
        <f t="shared" si="82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31" s="1" t="str">
        <f t="shared" si="83"/>
        <v>Other</v>
      </c>
      <c r="AH231" s="92" t="str">
        <f t="shared" si="84"/>
        <v>"%USERPROFILE%\Documents\GitHub\eaglep3\Utilities\RefineRTDCRunTimes.py" --tripid 71-20 --locoid 4040 --swversion DE.1.0.8.0 --startMP 204:1496 --initTime 2016-12-20T17:05:59 --startdatetime 1969-12-31T17:00:00 --delay 1 --endMP 300:23346 --enddatetime 1969-12-31T17:00:00 --enforcementcount 0 &gt;&gt;C:\Users\stu\Documents\GitHub\eaglep3-reporting\EC\2016-12-20-refined-times.txt</v>
      </c>
      <c r="AI231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ID","value":"71-20"},{"id":16,"name":"Locomotive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635</v>
      </c>
      <c r="B232" s="7">
        <v>4040</v>
      </c>
      <c r="C232" s="22" t="s">
        <v>205</v>
      </c>
      <c r="D232" s="22" t="s">
        <v>779</v>
      </c>
      <c r="E232" s="13">
        <v>42724.712488425925</v>
      </c>
      <c r="F232" s="13">
        <v>25568.708333333332</v>
      </c>
      <c r="G232" s="7">
        <v>30</v>
      </c>
      <c r="H232" s="22" t="s">
        <v>779</v>
      </c>
      <c r="I232" s="13">
        <v>25568.708333333332</v>
      </c>
      <c r="J232" s="7">
        <v>0</v>
      </c>
      <c r="K232" s="109" t="str">
        <f t="shared" si="73"/>
        <v>4039/4040</v>
      </c>
      <c r="L232" s="22" t="str">
        <f>VLOOKUP(A232,'Trips&amp;Operators'!$C$1:$G$99999,5,FALSE)</f>
        <v>SWANSON BRYCE</v>
      </c>
      <c r="M232" s="6">
        <f t="shared" si="74"/>
        <v>0</v>
      </c>
      <c r="N232" s="7">
        <f t="shared" si="70"/>
        <v>0</v>
      </c>
      <c r="O232" s="7"/>
      <c r="P232" s="7"/>
      <c r="Q232" s="23"/>
      <c r="R232" s="23"/>
      <c r="S232" s="35">
        <f t="shared" si="67"/>
        <v>0</v>
      </c>
      <c r="T232" s="50" t="e">
        <f t="shared" si="75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16:05:59-700',mode:absolute,to:'1969-12-31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2" s="52" t="str">
        <f t="shared" si="77"/>
        <v>Y</v>
      </c>
      <c r="X232" s="177" t="e">
        <f t="shared" si="72"/>
        <v>#VALUE!</v>
      </c>
      <c r="Y232" s="67">
        <f t="shared" si="78"/>
        <v>2.3346</v>
      </c>
      <c r="Z232" s="67">
        <f t="shared" si="86"/>
        <v>2.3346</v>
      </c>
      <c r="AA232" s="67">
        <f t="shared" si="79"/>
        <v>0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80"/>
        <v>71-20</v>
      </c>
      <c r="AE232" s="91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32" s="88" t="str">
        <f t="shared" si="82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32" s="1" t="str">
        <f t="shared" si="83"/>
        <v>Other</v>
      </c>
      <c r="AH232" s="92" t="str">
        <f t="shared" si="84"/>
        <v>"%USERPROFILE%\Documents\GitHub\eaglep3\Utilities\RefineRTDCRunTimes.py" --tripid 71-20 --locoid 4040 --swversion DE.1.0.8.0 --startMP 300:23346 --initTime 2016-12-20T17:05:59 --startdatetime 1969-12-31T17:00:00 --delay 30 --endMP 300:23346 --enddatetime 1969-12-31T17:00:00 --enforcementcount 0 &gt;&gt;C:\Users\stu\Documents\GitHub\eaglep3-reporting\EC\2016-12-20-refined-times.txt</v>
      </c>
      <c r="AI232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ID","value":"71-20"},{"id":16,"name":"Locomotive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652</v>
      </c>
      <c r="B233" s="7">
        <v>4011</v>
      </c>
      <c r="C233" s="22" t="s">
        <v>205</v>
      </c>
      <c r="D233" s="22" t="s">
        <v>780</v>
      </c>
      <c r="E233" s="13">
        <v>42724.755289351851</v>
      </c>
      <c r="F233" s="13">
        <v>25568.708333333332</v>
      </c>
      <c r="G233" s="7">
        <v>2</v>
      </c>
      <c r="H233" s="22" t="s">
        <v>781</v>
      </c>
      <c r="I233" s="13">
        <v>25568.708333333332</v>
      </c>
      <c r="J233" s="7">
        <v>0</v>
      </c>
      <c r="K233" s="109" t="str">
        <f t="shared" si="73"/>
        <v>4011/4012</v>
      </c>
      <c r="L233" s="22" t="str">
        <f>VLOOKUP(A233,'Trips&amp;Operators'!$C$1:$G$99999,5,FALSE)</f>
        <v>DAVIS MICHAEL</v>
      </c>
      <c r="M233" s="6">
        <f t="shared" si="74"/>
        <v>0</v>
      </c>
      <c r="N233" s="7">
        <f t="shared" si="70"/>
        <v>0</v>
      </c>
      <c r="O233" s="7"/>
      <c r="P233" s="7"/>
      <c r="Q233" s="23"/>
      <c r="R233" s="23"/>
      <c r="S233" s="35">
        <f t="shared" si="67"/>
        <v>0</v>
      </c>
      <c r="T233" s="50" t="e">
        <f t="shared" si="75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17:07:37-700',mode:absolute,to:'1969-12-31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3" s="52" t="str">
        <f t="shared" si="77"/>
        <v>Y</v>
      </c>
      <c r="X233" s="177" t="e">
        <f t="shared" si="72"/>
        <v>#VALUE!</v>
      </c>
      <c r="Y233" s="67">
        <f t="shared" si="78"/>
        <v>7.1599999999999997E-2</v>
      </c>
      <c r="Z233" s="67">
        <f t="shared" si="86"/>
        <v>2.3296999999999999</v>
      </c>
      <c r="AA233" s="67">
        <f t="shared" si="79"/>
        <v>2.2580999999999998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80"/>
        <v>73-20</v>
      </c>
      <c r="AE233" s="91" t="str">
        <f t="shared" si="8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33" s="88" t="str">
        <f t="shared" si="8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33" s="1" t="str">
        <f t="shared" si="83"/>
        <v>Other</v>
      </c>
      <c r="AH233" s="92" t="str">
        <f t="shared" si="84"/>
        <v>"%USERPROFILE%\Documents\GitHub\eaglep3\Utilities\RefineRTDCRunTimes.py" --tripid 73-20 --locoid 4011 --swversion DE.1.0.8.0 --startMP 204:716 --initTime 2016-12-20T18:07:37 --startdatetime 1969-12-31T17:00:00 --delay 2 --endMP 300:23297 --enddatetime 1969-12-31T17:00:00 --enforcementcount 0 &gt;&gt;C:\Users\stu\Documents\GitHub\eaglep3-reporting\EC\2016-12-20-refined-times.txt</v>
      </c>
      <c r="AI233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ID","value":"73-20"},{"id":16,"name":"Locomotive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646</v>
      </c>
      <c r="B234" s="7">
        <v>4012</v>
      </c>
      <c r="C234" s="22" t="s">
        <v>205</v>
      </c>
      <c r="D234" s="22" t="s">
        <v>782</v>
      </c>
      <c r="E234" s="13">
        <v>42724.744768518518</v>
      </c>
      <c r="F234" s="13">
        <v>42724.74628472222</v>
      </c>
      <c r="G234" s="7">
        <v>1</v>
      </c>
      <c r="H234" s="22" t="s">
        <v>230</v>
      </c>
      <c r="I234" s="13">
        <v>42724.752696759257</v>
      </c>
      <c r="J234" s="7">
        <v>0</v>
      </c>
      <c r="K234" s="109" t="str">
        <f t="shared" si="73"/>
        <v>4011/4012</v>
      </c>
      <c r="L234" s="22" t="str">
        <f>VLOOKUP(A234,'Trips&amp;Operators'!$C$1:$G$99999,5,FALSE)</f>
        <v>STORY SAMANTHA</v>
      </c>
      <c r="M234" s="6">
        <f t="shared" si="74"/>
        <v>6.4120370370801538E-3</v>
      </c>
      <c r="N234" s="7">
        <f t="shared" si="70"/>
        <v>9.2333333333954215</v>
      </c>
      <c r="O234" s="7"/>
      <c r="P234" s="7"/>
      <c r="Q234" s="23"/>
      <c r="R234" s="23"/>
      <c r="S234" s="35">
        <f t="shared" si="67"/>
        <v>0</v>
      </c>
      <c r="T234" s="50" t="e">
        <f t="shared" si="75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16:52:28-700',mode:absolute,to:'2016-12-20 19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34" s="52" t="str">
        <f t="shared" si="77"/>
        <v>Y</v>
      </c>
      <c r="X234" s="177" t="e">
        <f t="shared" si="72"/>
        <v>#VALUE!</v>
      </c>
      <c r="Y234" s="67">
        <f t="shared" si="78"/>
        <v>2.3159999999999998</v>
      </c>
      <c r="Z234" s="67">
        <f t="shared" si="86"/>
        <v>4.5999999999999999E-2</v>
      </c>
      <c r="AA234" s="67">
        <f t="shared" si="79"/>
        <v>2.27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80"/>
        <v>74-20</v>
      </c>
      <c r="AE234" s="91" t="str">
        <f t="shared" si="81"/>
        <v>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 &amp; 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</v>
      </c>
      <c r="AF234" s="88" t="str">
        <f t="shared" si="82"/>
        <v>"C:\Program Files (x86)\AstroGrep\AstroGrep.exe" /spath="%USERPROFILE%\AppData\Local\Temp\OnboardLogs" /stypes="app*4012*20161221*" /stext=" 01:.+((SYSTEM_STATE.+slice.+state.+changed )|(ment ac)|(multiple cpu faults)|(system.+state.+changed )|(\[timeout)|(PRM\|1\|D)|(kpr)|(kdp)|(\|lc)|(penalty))" /e /r /s</v>
      </c>
      <c r="AG234" s="1" t="str">
        <f t="shared" si="83"/>
        <v>Other</v>
      </c>
      <c r="AH234" s="92" t="str">
        <f t="shared" si="84"/>
        <v>"%USERPROFILE%\Documents\GitHub\eaglep3\Utilities\RefineRTDCRunTimes.py" --tripid 74-20 --locoid 4012 --swversion DE.1.0.8.0 --startMP 300:23160 --initTime 2016-12-20T17:52:28 --startdatetime 2016-12-20T17:54:39 --delay 1 --endMP 204:460 --enddatetime 2016-12-20T18:03:53 --enforcementcount 0 &gt;&gt;C:\Users\stu\Documents\GitHub\eaglep3-reporting\EC\2016-12-20-refined-times.txt</v>
      </c>
      <c r="AI234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{"issue":{"subject":"","project_id":79,"tracker_id":40,"status_id":1,"priority_id":2,"assigned_to_id":23,"start_date":"2016-12-20","description":"","custom_fields":[{"id":1,"name":"Subdivision","value":"Other"},{"id":4,"name":"Milepost","value":"0.046"},{"id":17,"name":"Train ID","value":"74-20"},{"id":16,"name":"Locomotive ID","value":"4012"},{"id":130,"name":"Impact","value":""},{"id":150,"name":"Time of Event (Mountain Time)","value":"18:03:53"},{"id":151,"name":"Denver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656</v>
      </c>
      <c r="B235" s="7">
        <v>4027</v>
      </c>
      <c r="C235" s="22" t="s">
        <v>205</v>
      </c>
      <c r="D235" s="22" t="s">
        <v>255</v>
      </c>
      <c r="E235" s="13">
        <v>42724.764710648145</v>
      </c>
      <c r="F235" s="13">
        <v>42724.775868055556</v>
      </c>
      <c r="G235" s="7">
        <v>1</v>
      </c>
      <c r="H235" s="22" t="s">
        <v>363</v>
      </c>
      <c r="I235" s="13">
        <v>42724.781898148147</v>
      </c>
      <c r="J235" s="7">
        <v>0</v>
      </c>
      <c r="K235" s="109" t="str">
        <f t="shared" si="73"/>
        <v>4027/4028</v>
      </c>
      <c r="L235" s="22" t="str">
        <f>VLOOKUP(A235,'Trips&amp;Operators'!$C$1:$G$99999,5,FALSE)</f>
        <v>STEWART MICHAEL</v>
      </c>
      <c r="M235" s="6">
        <f t="shared" si="74"/>
        <v>6.0300925906631164E-3</v>
      </c>
      <c r="N235" s="7">
        <f t="shared" si="70"/>
        <v>8.6833333305548877</v>
      </c>
      <c r="O235" s="7"/>
      <c r="P235" s="7"/>
      <c r="Q235" s="23"/>
      <c r="R235" s="23"/>
      <c r="S235" s="35">
        <f t="shared" si="67"/>
        <v>0</v>
      </c>
      <c r="T235" s="50" t="e">
        <f t="shared" si="75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https://search-rtdc-monitor-bjffxe2xuh6vdkpspy63sjmuny.us-east-1.es.amazonaws.com/_plugin/kibana/#/discover/Steve-Slow-Train-Analysis-(2080s-and-2083s)?_g=(refreshInterval:(display:Off,section:0,value:0),time:(from:'2016-12-20 17:21:11-700',mode:absolute,to:'2016-12-20 19:45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35" s="52" t="str">
        <f t="shared" si="77"/>
        <v>Y</v>
      </c>
      <c r="X235" s="177" t="e">
        <f t="shared" si="72"/>
        <v>#VALUE!</v>
      </c>
      <c r="Y235" s="67">
        <f t="shared" si="78"/>
        <v>4.6399999999999997E-2</v>
      </c>
      <c r="Z235" s="67">
        <f t="shared" si="86"/>
        <v>2.3302</v>
      </c>
      <c r="AA235" s="67">
        <f t="shared" si="79"/>
        <v>2.2838000000000003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80"/>
        <v>77-20</v>
      </c>
      <c r="AE235" s="91" t="str">
        <f t="shared" si="81"/>
        <v>aws s3 cp s3://rtdc.mdm.uploadarchive.raw/RTDC4027/ "%USERPROFILE%\AppData\Local\Temp\OnboardLogs"\RTDC4027\2016-12-20 --exclude "*" --recursive --include "*20161220*" &amp; "%USERPROFILE%\Documents\GitHub\mrs-test-scripts\Headless Mode &amp; Sideloading\WalkAndUnGZ.bat" "%USERPROFILE%\AppData\Local\Temp\OnboardLogs"\RTDC4027\2016-12-20 &amp; aws s3 cp s3://rtdc.mdm.uploadarchive.raw/RTDC4027/ "%USERPROFILE%\AppData\Local\Temp\OnboardLogs"\RTDC4027\2016-12-21 --exclude "*" --recursive --include "*20161221*" &amp; "%USERPROFILE%\Documents\GitHub\mrs-test-scripts\Headless Mode &amp; Sideloading\WalkAndUnGZ.bat" "%USERPROFILE%\AppData\Local\Temp\OnboardLogs"\RTDC4027\2016-12-21</v>
      </c>
      <c r="AF235" s="88" t="str">
        <f t="shared" si="82"/>
        <v>"C:\Program Files (x86)\AstroGrep\AstroGrep.exe" /spath="%USERPROFILE%\AppData\Local\Temp\OnboardLogs" /stypes="app*4027*20161221*" /stext=" 01:.+((SYSTEM_STATE.+slice.+state.+changed )|(ment ac)|(multiple cpu faults)|(system.+state.+changed )|(\[timeout)|(PRM\|1\|D)|(kpr)|(kdp)|(\|lc)|(penalty))" /e /r /s</v>
      </c>
      <c r="AG235" s="1" t="str">
        <f t="shared" si="83"/>
        <v>Other</v>
      </c>
      <c r="AH235" s="92" t="str">
        <f t="shared" si="84"/>
        <v>"%USERPROFILE%\Documents\GitHub\eaglep3\Utilities\RefineRTDCRunTimes.py" --tripid 77-20 --locoid 4027 --swversion DE.1.0.8.0 --startMP 204:464 --initTime 2016-12-20T18:21:11 --startdatetime 2016-12-20T18:37:15 --delay 1 --endMP 300:23302 --enddatetime 2016-12-20T18:45:56 --enforcementcount 0 &gt;&gt;C:\Users\stu\Documents\GitHub\eaglep3-reporting\EC\2016-12-20-refined-times.txt</v>
      </c>
      <c r="AI235" s="119" t="str">
        <f t="shared" si="85"/>
        <v>echo {"issue":{"subject":"","project_id":79,"tracker_id":40,"status_id":1,"priority_id":2,"assigned_to_id":23,"start_date":"2016-12-20","description":"","custom_fields":[{"id":1,"name":"Subdivision","value":"Other"},{"id":4,"name":"Milepost","value":"2.3302"},{"id":17,"name":"Train ID","value":"77-20"},{"id":16,"name":"Locomotive ID","value":"4027"},{"id":130,"name":"Impact","value":""},{"id":150,"name":"Time of Event (Mountain Time)","value":"18:45:56"},{"id":151,"name":"Denver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</sheetData>
  <autoFilter ref="A12:AG235"/>
  <sortState ref="A13:AH200">
    <sortCondition ref="AG13:AG200"/>
    <sortCondition ref="AD13:AD200"/>
  </sortState>
  <mergeCells count="1">
    <mergeCell ref="A11:P11"/>
  </mergeCells>
  <conditionalFormatting sqref="W11:W12 W241:X1048576 W13:X235">
    <cfRule type="cellIs" dxfId="10" priority="344" operator="equal">
      <formula>"Y"</formula>
    </cfRule>
  </conditionalFormatting>
  <conditionalFormatting sqref="X241:X1048576 X13:X235">
    <cfRule type="cellIs" dxfId="9" priority="327" operator="greaterThan">
      <formula>1</formula>
    </cfRule>
  </conditionalFormatting>
  <conditionalFormatting sqref="X241:X1048576 X12:X235">
    <cfRule type="cellIs" dxfId="8" priority="324" operator="equal">
      <formula>0</formula>
    </cfRule>
  </conditionalFormatting>
  <conditionalFormatting sqref="A13:S23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14" zoomScaleNormal="100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1">
        <f>COUNTIF($O$7:$O$332,"=Y")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2">
        <f>COUNTA($O$7:$O$332)-O2</f>
        <v>36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3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42725.025729166664</v>
      </c>
      <c r="B7" s="31" t="s">
        <v>318</v>
      </c>
      <c r="C7" s="31" t="s">
        <v>493</v>
      </c>
      <c r="D7" s="31" t="s">
        <v>49</v>
      </c>
      <c r="E7" s="31" t="s">
        <v>248</v>
      </c>
      <c r="F7" s="47">
        <v>130</v>
      </c>
      <c r="G7" s="47">
        <v>319</v>
      </c>
      <c r="H7" s="47">
        <v>26299</v>
      </c>
      <c r="I7" s="47">
        <v>26886</v>
      </c>
      <c r="J7" s="31" t="s">
        <v>249</v>
      </c>
      <c r="K7" s="47">
        <v>27053</v>
      </c>
      <c r="L7" s="154" t="s">
        <v>50</v>
      </c>
      <c r="M7" s="155">
        <f t="shared" ref="M7:M49" si="0">CONVERT((I7-K7)/10000,"mi","ft")*IF(L7="Increasing Mileposts (1)",-1,1)</f>
        <v>88.176000000000002</v>
      </c>
      <c r="N7" s="156" t="str">
        <f>VLOOKUP(C7,'Trips&amp;Operators'!$C$1:$G$99999,5,FALSE)</f>
        <v>STAMBAUGH JAMES</v>
      </c>
      <c r="O7" s="184" t="s">
        <v>195</v>
      </c>
      <c r="P7" s="157" t="s">
        <v>458</v>
      </c>
      <c r="Q7" s="31"/>
      <c r="R7" s="100" t="str">
        <f>VLOOKUP(C7,'Train Runs'!$A$13:$AE$9971,31,0)</f>
        <v>aws s3 cp s3://rtdc.mdm.uploadarchive.raw/RTDC4031/ "%USERPROFILE%\AppData\Local\Temp\OnboardLogs"\RTDC4031\2016-12-21 --exclude "*" --recursive --include "*20161221*" &amp; "%USERPROFILE%\Documents\GitHub\mrs-test-scripts\Headless Mode &amp; Sideloading\WalkAndUnGZ.bat" "%USERPROFILE%\AppData\Local\Temp\OnboardLogs"\RTDC4031\2016-12-21 &amp; aws s3 cp s3://rtdc.mdm.uploadarchive.raw/RTDC4031/ "%USERPROFILE%\AppData\Local\Temp\OnboardLogs"\RTDC4031\2016-12-22 --exclude "*" --recursive --include "*20161222*" &amp; "%USERPROFILE%\Documents\GitHub\mrs-test-scripts\Headless Mode &amp; Sideloading\WalkAndUnGZ.bat" "%USERPROFILE%\AppData\Local\Temp\OnboardLogs"\RTDC4031\2016-12-22</v>
      </c>
      <c r="S7" s="103" t="str">
        <f>VLOOKUP(C7,'Train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23:08:43-700',mode:absolute,to:'2016-12-21 02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7" s="105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/stypes="*4031*201612210*" /stext=" 07:.+((SYSTEM_STATE.+slice.+state.+changed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4031</v>
      </c>
      <c r="V7" s="36">
        <f t="shared" ref="V7:V49" si="3">A7-utc_offset/24</f>
        <v>42725.317395833328</v>
      </c>
      <c r="W7" s="50" t="str">
        <f t="shared" ref="W7:W49" si="4">IF(VALUE(LEFT(IF(LEN(C7)=6,"0"&amp;C7,C7),2))&lt;=2,"EC",IF(OR(VALUE(LEFT(IF(LEN(C7)=6,"0"&amp;C7,C7),2))=8,VALUE(LEFT(IF(LEN(C7)=6,"0"&amp;C7,C7),2))=18),"NW","Other"))</f>
        <v>EC</v>
      </c>
      <c r="X7" s="50" t="str">
        <f t="shared" ref="X7:X49" si="5">IF(AND(E7="TRACK WARRANT AUTHORITY",G7&lt;10),"OMIT","KEEP")</f>
        <v>KEEP</v>
      </c>
      <c r="Y7" s="11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arrival","project_id":79,"tracker_id":40,"status_id":1,"priority_id":2,"assigned_to_id":23,"start_date":"2016-12-21","description":"","custom_fields":[{"id":1,"name":"Subdivision","value":"EC"},{"id":4,"name":"Milepost","value":"2.7053"},{"id":17,"name":"Train ID","value":"243-20"},{"id":16,"name":"Locomotive ID","value":"4031"},{"id":130,"name":"Impact","value":""},{"id":150,"name":"Time of Event (Mountain Time)","value":"00:37:03"},{"id":151,"name":"Denver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"%USERPROFILE%\AppData\Local\Temp\OnboardLogs"\RTDC4031\*4031*201612210*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"%USERPROFILE%\AppData\Local\Temp\OnboardLogs"\RTDC4031\*4031*201612210* &gt;&gt; 42724-slicedisagreementcheck.txt</v>
      </c>
    </row>
    <row r="8" spans="1:30" s="1" customFormat="1" x14ac:dyDescent="0.25">
      <c r="A8" s="36">
        <v>42724.54891203704</v>
      </c>
      <c r="B8" s="31" t="s">
        <v>183</v>
      </c>
      <c r="C8" s="31" t="s">
        <v>476</v>
      </c>
      <c r="D8" s="31" t="s">
        <v>49</v>
      </c>
      <c r="E8" s="31" t="s">
        <v>248</v>
      </c>
      <c r="F8" s="47">
        <v>300</v>
      </c>
      <c r="G8" s="47">
        <v>351</v>
      </c>
      <c r="H8" s="47">
        <v>32616</v>
      </c>
      <c r="I8" s="47">
        <v>33240</v>
      </c>
      <c r="J8" s="31" t="s">
        <v>249</v>
      </c>
      <c r="K8" s="47">
        <v>33137</v>
      </c>
      <c r="L8" s="154" t="s">
        <v>50</v>
      </c>
      <c r="M8" s="155">
        <f t="shared" si="0"/>
        <v>-54.384</v>
      </c>
      <c r="N8" s="156" t="str">
        <f>VLOOKUP(C8,'Trips&amp;Operators'!$C$1:$G$99999,5,FALSE)</f>
        <v>STEWART MICHAEL</v>
      </c>
      <c r="O8" s="184" t="s">
        <v>195</v>
      </c>
      <c r="P8" s="157" t="s">
        <v>458</v>
      </c>
      <c r="Q8" s="31"/>
      <c r="R8" s="100" t="str">
        <f>VLOOKUP(C8,'Train Runs'!$A$13:$AE$9971,31,0)</f>
        <v>aws s3 cp s3://rtdc.mdm.uploadarchive.raw/RTDC4009/ "%USERPROFILE%\AppData\Local\Temp\OnboardLogs"\RTDC4009\2016-12-20 --exclude "*" --recursive --include "*20161220*" &amp; "%USERPROFILE%\Documents\GitHub\mrs-test-scripts\Headless Mode &amp; Sideloading\WalkAndUnGZ.bat" "%USERPROFILE%\AppData\Local\Temp\OnboardLogs"\RTDC4009\2016-12-20 &amp; 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</v>
      </c>
      <c r="S8" s="103" t="str">
        <f>VLOOKUP(C8,'Train Runs'!$A$13:$AE$9971,22,0)</f>
        <v>https://search-rtdc-monitor-bjffxe2xuh6vdkpspy63sjmuny.us-east-1.es.amazonaws.com/_plugin/kibana/#/discover/Steve-Slow-Train-Analysis-(2080s-and-2083s)?_g=(refreshInterval:(display:Off,section:0,value:0),time:(from:'2016-12-20 11:54:39-700',mode:absolute,to:'2016-12-20 14:37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8" s="105" t="str">
        <f t="shared" si="1"/>
        <v>"C:\Program Files (x86)\AstroGrep\AstroGrep.exe" /spath="%USERPROFILE%\AppData\Local\Temp\OnboardLogs" /stypes="*4009*201612202*" /stext=" 20:.+((SYSTEM_STATE.+slice.+state.+changed )|(ment ac)|(multiple cpu faults)|(system.+state.+changed )|(\[timeout)|(PRM\|1\|D)|(kpr)|(kdp)|(\|lc)|(penalty))" /e /r /s</v>
      </c>
      <c r="U8" s="9" t="str">
        <f t="shared" si="2"/>
        <v>4009</v>
      </c>
      <c r="V8" s="36">
        <f t="shared" si="3"/>
        <v>42724.840578703705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arrival","project_id":79,"tracker_id":40,"status_id":1,"priority_id":2,"assigned_to_id":23,"start_date":"2016-12-20","description":"","custom_fields":[{"id":1,"name":"Subdivision","value":"EC"},{"id":4,"name":"Milepost","value":"3.3137"},{"id":17,"name":"Train ID","value":"175-20"},{"id":16,"name":"Locomotive ID","value":"4009"},{"id":130,"name":"Impact","value":""},{"id":150,"name":"Time of Event (Mountain Time)","value":"13:10:26"},{"id":151,"name":"Denver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"%USERPROFILE%\AppData\Local\Temp\OnboardLogs"\RTDC4009\*4009*201612202*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"%USERPROFILE%\AppData\Local\Temp\OnboardLogs"\RTDC4009\*4009*201612202* &gt;&gt; 42724-slicedisagreementcheck.txt</v>
      </c>
    </row>
    <row r="9" spans="1:30" s="1" customFormat="1" x14ac:dyDescent="0.25">
      <c r="A9" s="36">
        <v>42724.434837962966</v>
      </c>
      <c r="B9" s="31" t="s">
        <v>373</v>
      </c>
      <c r="C9" s="31" t="s">
        <v>471</v>
      </c>
      <c r="D9" s="31" t="s">
        <v>49</v>
      </c>
      <c r="E9" s="31" t="s">
        <v>248</v>
      </c>
      <c r="F9" s="47">
        <v>480</v>
      </c>
      <c r="G9" s="47">
        <v>536</v>
      </c>
      <c r="H9" s="47">
        <v>41568</v>
      </c>
      <c r="I9" s="47">
        <v>43278</v>
      </c>
      <c r="J9" s="31" t="s">
        <v>249</v>
      </c>
      <c r="K9" s="47">
        <v>42779</v>
      </c>
      <c r="L9" s="154" t="s">
        <v>50</v>
      </c>
      <c r="M9" s="155">
        <f t="shared" si="0"/>
        <v>-263.47199999999998</v>
      </c>
      <c r="N9" s="156" t="str">
        <f>VLOOKUP(C9,'Trips&amp;Operators'!$C$1:$G$99999,5,FALSE)</f>
        <v>DUNCAN SHEILA</v>
      </c>
      <c r="O9" s="184" t="s">
        <v>195</v>
      </c>
      <c r="P9" s="157" t="s">
        <v>458</v>
      </c>
      <c r="Q9" s="31"/>
      <c r="R9" s="100" t="str">
        <f>VLOOKUP(C9,'Train Runs'!$A$13:$AE$9971,31,0)</f>
        <v>aws s3 cp s3://rtdc.mdm.uploadarchive.raw/RTDC4020/ "%USERPROFILE%\AppData\Local\Temp\OnboardLogs"\RTDC4020\2016-12-20 --exclude "*" --recursive --include "*20161220*" &amp; "%USERPROFILE%\Documents\GitHub\mrs-test-scripts\Headless Mode &amp; Sideloading\WalkAndUnGZ.bat" "%USERPROFILE%\AppData\Local\Temp\OnboardLogs"\RTDC4020\2016-12-20 &amp; aws s3 cp s3://rtdc.mdm.uploadarchive.raw/RTDC4020/ "%USERPROFILE%\AppData\Local\Temp\OnboardLogs"\RTDC4020\2016-12-21 --exclude "*" --recursive --include "*20161221*" &amp; "%USERPROFILE%\Documents\GitHub\mrs-test-scripts\Headless Mode &amp; Sideloading\WalkAndUnGZ.bat" "%USERPROFILE%\AppData\Local\Temp\OnboardLogs"\RTDC4020\2016-12-21</v>
      </c>
      <c r="S9" s="103" t="str">
        <f>VLOOKUP(C9,'Train Runs'!$A$13:$AE$9971,22,0)</f>
        <v>https://search-rtdc-monitor-bjffxe2xuh6vdkpspy63sjmuny.us-east-1.es.amazonaws.com/_plugin/kibana/#/discover/Steve-Slow-Train-Analysis-(2080s-and-2083s)?_g=(refreshInterval:(display:Off,section:0,value:0),time:(from:'2016-12-20 09:11:14-700',mode:absolute,to:'2016-12-20 11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9" s="105" t="str">
        <f t="shared" si="1"/>
        <v>"C:\Program Files (x86)\AstroGrep\AstroGrep.exe" /spath="%USERPROFILE%\AppData\Local\Temp\OnboardLogs" /stypes="*4020*201612201*" /stext=" 17:.+((SYSTEM_STATE.+slice.+state.+changed )|(ment ac)|(multiple cpu faults)|(system.+state.+changed )|(\[timeout)|(PRM\|1\|D)|(kpr)|(kdp)|(\|lc)|(penalty))" /e /r /s</v>
      </c>
      <c r="U9" s="9" t="str">
        <f t="shared" si="2"/>
        <v>4020</v>
      </c>
      <c r="V9" s="36">
        <f t="shared" si="3"/>
        <v>42724.726504629631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arrival","project_id":79,"tracker_id":40,"status_id":1,"priority_id":2,"assigned_to_id":23,"start_date":"2016-12-20","description":"","custom_fields":[{"id":1,"name":"Subdivision","value":"EC"},{"id":4,"name":"Milepost","value":"4.2779"},{"id":17,"name":"Train ID","value":"153-20"},{"id":16,"name":"Locomotive ID","value":"4020"},{"id":130,"name":"Impact","value":""},{"id":150,"name":"Time of Event (Mountain Time)","value":"10:26:10"},{"id":151,"name":"Denver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"%USERPROFILE%\AppData\Local\Temp\OnboardLogs"\RTDC4020\*4020*201612201*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"%USERPROFILE%\AppData\Local\Temp\OnboardLogs"\RTDC4020\*4020*201612201* &gt;&gt; 42724-slicedisagreementcheck.txt</v>
      </c>
    </row>
    <row r="10" spans="1:30" s="1" customFormat="1" x14ac:dyDescent="0.25">
      <c r="A10" s="36">
        <v>42724.412418981483</v>
      </c>
      <c r="B10" s="31" t="s">
        <v>364</v>
      </c>
      <c r="C10" s="31" t="s">
        <v>470</v>
      </c>
      <c r="D10" s="31" t="s">
        <v>49</v>
      </c>
      <c r="E10" s="31" t="s">
        <v>248</v>
      </c>
      <c r="F10" s="47">
        <v>310</v>
      </c>
      <c r="G10" s="47">
        <v>477</v>
      </c>
      <c r="H10" s="47">
        <v>54083</v>
      </c>
      <c r="I10" s="47">
        <v>52419</v>
      </c>
      <c r="J10" s="31" t="s">
        <v>249</v>
      </c>
      <c r="K10" s="47">
        <v>53277</v>
      </c>
      <c r="L10" s="154" t="s">
        <v>51</v>
      </c>
      <c r="M10" s="155">
        <f t="shared" si="0"/>
        <v>-453.024</v>
      </c>
      <c r="N10" s="156" t="str">
        <f>VLOOKUP(C10,'Trips&amp;Operators'!$C$1:$G$99999,5,FALSE)</f>
        <v>DUNCAN SHEILA</v>
      </c>
      <c r="O10" s="184" t="s">
        <v>195</v>
      </c>
      <c r="P10" s="157" t="s">
        <v>458</v>
      </c>
      <c r="Q10" s="31"/>
      <c r="R10" s="100" t="str">
        <f>VLOOKUP(C10,'Train Runs'!$A$13:$AE$9971,31,0)</f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S10" s="103" t="str">
        <f>VLOOKUP(C10,'Train Runs'!$A$13:$AE$9971,22,0)</f>
        <v>https://search-rtdc-monitor-bjffxe2xuh6vdkpspy63sjmuny.us-east-1.es.amazonaws.com/_plugin/kibana/#/discover/Steve-Slow-Train-Analysis-(2080s-and-2083s)?_g=(refreshInterval:(display:Off,section:0,value:0),time:(from:'2016-12-20 08:20:55-700',mode:absolute,to:'2016-12-20 11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0" s="105" t="str">
        <f t="shared" si="1"/>
        <v>"C:\Program Files (x86)\AstroGrep\AstroGrep.exe" /spath="%USERPROFILE%\AppData\Local\Temp\OnboardLogs" /stypes="*4019*201612201*" /stext=" 16:.+((SYSTEM_STATE.+slice.+state.+changed )|(ment ac)|(multiple cpu faults)|(system.+state.+changed )|(\[timeout)|(PRM\|1\|D)|(kpr)|(kdp)|(\|lc)|(penalty))" /e /r /s</v>
      </c>
      <c r="U10" s="9" t="str">
        <f t="shared" si="2"/>
        <v>4019</v>
      </c>
      <c r="V10" s="36">
        <f t="shared" si="3"/>
        <v>42724.704085648147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arrival","project_id":79,"tracker_id":40,"status_id":1,"priority_id":2,"assigned_to_id":23,"start_date":"2016-12-20","description":"","custom_fields":[{"id":1,"name":"Subdivision","value":"EC"},{"id":4,"name":"Milepost","value":"5.3277"},{"id":17,"name":"Train ID","value":"140-20"},{"id":16,"name":"Locomotive ID","value":"4019"},{"id":130,"name":"Impact","value":""},{"id":150,"name":"Time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"%USERPROFILE%\AppData\Local\Temp\OnboardLogs"\RTDC4019\*4019*201612201*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"%USERPROFILE%\AppData\Local\Temp\OnboardLogs"\RTDC4019\*4019*201612201* &gt;&gt; 42724-slicedisagreementcheck.txt</v>
      </c>
    </row>
    <row r="11" spans="1:30" s="1" customFormat="1" x14ac:dyDescent="0.25">
      <c r="A11" s="36">
        <v>42724.58898148148</v>
      </c>
      <c r="B11" s="31" t="s">
        <v>259</v>
      </c>
      <c r="C11" s="31" t="s">
        <v>479</v>
      </c>
      <c r="D11" s="31" t="s">
        <v>49</v>
      </c>
      <c r="E11" s="31" t="s">
        <v>248</v>
      </c>
      <c r="F11" s="47">
        <v>230</v>
      </c>
      <c r="G11" s="47">
        <v>446</v>
      </c>
      <c r="H11" s="47">
        <v>54753</v>
      </c>
      <c r="I11" s="47">
        <v>53559</v>
      </c>
      <c r="J11" s="31" t="s">
        <v>249</v>
      </c>
      <c r="K11" s="47">
        <v>53277</v>
      </c>
      <c r="L11" s="154" t="s">
        <v>51</v>
      </c>
      <c r="M11" s="155">
        <f t="shared" si="0"/>
        <v>148.89599999999999</v>
      </c>
      <c r="N11" s="156" t="str">
        <f>VLOOKUP(C11,'Trips&amp;Operators'!$C$1:$G$99999,5,FALSE)</f>
        <v>DAVIS MICHAEL</v>
      </c>
      <c r="O11" s="184" t="s">
        <v>195</v>
      </c>
      <c r="P11" s="157" t="s">
        <v>458</v>
      </c>
      <c r="Q11" s="31"/>
      <c r="R11" s="100" t="str">
        <f>VLOOKUP(C11,'Train Runs'!$A$13:$AE$9971,31,0)</f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S11" s="103" t="str">
        <f>VLOOKUP(C11,'Train Runs'!$A$13:$AE$9971,22,0)</f>
        <v>https://search-rtdc-monitor-bjffxe2xuh6vdkpspy63sjmuny.us-east-1.es.amazonaws.com/_plugin/kibana/#/discover/Steve-Slow-Train-Analysis-(2080s-and-2083s)?_g=(refreshInterval:(display:Off,section:0,value:0),time:(from:'2016-12-20 12:32:21-700',mode:absolute,to:'2016-12-20 15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5" t="str">
        <f t="shared" si="1"/>
        <v>"C:\Program Files (x86)\AstroGrep\AstroGrep.exe" /spath="%USERPROFILE%\AppData\Local\Temp\OnboardLogs" /stypes="*4045*201612202*" /stext=" 21:.+((SYSTEM_STATE.+slice.+state.+changed )|(ment ac)|(multiple cpu faults)|(system.+state.+changed )|(\[timeout)|(PRM\|1\|D)|(kpr)|(kdp)|(\|lc)|(penalty))" /e /r /s</v>
      </c>
      <c r="U11" s="9" t="str">
        <f t="shared" si="2"/>
        <v>4045</v>
      </c>
      <c r="V11" s="36">
        <f t="shared" si="3"/>
        <v>42724.880648148144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arrival","project_id":79,"tracker_id":40,"status_id":1,"priority_id":2,"assigned_to_id":23,"start_date":"2016-12-20","description":"","custom_fields":[{"id":1,"name":"Subdivision","value":"EC"},{"id":4,"name":"Milepost","value":"5.3277"},{"id":17,"name":"Train ID","value":"174-20"},{"id":16,"name":"Locomotive ID","value":"4045"},{"id":130,"name":"Impact","value":""},{"id":150,"name":"Time of Event (Mountain Time)","value":"14:08:08"},{"id":151,"name":"Denver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"%USERPROFILE%\AppData\Local\Temp\OnboardLogs"\RTDC4045\*4045*201612202*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"%USERPROFILE%\AppData\Local\Temp\OnboardLogs"\RTDC4045\*4045*201612202* &gt;&gt; 42724-slicedisagreementcheck.txt</v>
      </c>
    </row>
    <row r="12" spans="1:30" s="1" customFormat="1" x14ac:dyDescent="0.25">
      <c r="A12" s="36">
        <v>42724.377870370372</v>
      </c>
      <c r="B12" s="31" t="s">
        <v>281</v>
      </c>
      <c r="C12" s="31" t="s">
        <v>467</v>
      </c>
      <c r="D12" s="31" t="s">
        <v>49</v>
      </c>
      <c r="E12" s="31" t="s">
        <v>196</v>
      </c>
      <c r="F12" s="47">
        <v>400</v>
      </c>
      <c r="G12" s="47">
        <v>469</v>
      </c>
      <c r="H12" s="47">
        <v>17298</v>
      </c>
      <c r="I12" s="47">
        <v>17977</v>
      </c>
      <c r="J12" s="31" t="s">
        <v>197</v>
      </c>
      <c r="K12" s="47">
        <v>17867</v>
      </c>
      <c r="L12" s="154" t="s">
        <v>50</v>
      </c>
      <c r="M12" s="155">
        <f t="shared" si="0"/>
        <v>-58.08</v>
      </c>
      <c r="N12" s="156" t="str">
        <f>VLOOKUP(C12,'Trips&amp;Operators'!$C$1:$G$99999,5,FALSE)</f>
        <v>SIMONEAUX TERA</v>
      </c>
      <c r="O12" s="184" t="s">
        <v>195</v>
      </c>
      <c r="P12" s="157"/>
      <c r="Q12" s="31"/>
      <c r="R12" s="100" t="str">
        <f>VLOOKUP(C12,'Train Runs'!$A$13:$AE$9971,31,0)</f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S12" s="103" t="str">
        <f>VLOOKUP(C12,'Train Runs'!$A$13:$AE$9971,22,0)</f>
        <v>https://search-rtdc-monitor-bjffxe2xuh6vdkpspy63sjmuny.us-east-1.es.amazonaws.com/_plugin/kibana/#/discover/Steve-Slow-Train-Analysis-(2080s-and-2083s)?_g=(refreshInterval:(display:Off,section:0,value:0),time:(from:'2016-12-20 07:55:04-700',mode:absolute,to:'2016-12-20 10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2" s="105" t="str">
        <f t="shared" si="1"/>
        <v>"C:\Program Files (x86)\AstroGrep\AstroGrep.exe" /spath="%USERPROFILE%\AppData\Local\Temp\OnboardLogs" /stypes="*4018*201612201*" /stext=" 16:.+((SYSTEM_STATE.+slice.+state.+changed )|(ment ac)|(multiple cpu faults)|(system.+state.+changed )|(\[timeout)|(PRM\|1\|D)|(kpr)|(kdp)|(\|lc)|(penalty))" /e /r /s</v>
      </c>
      <c r="U12" s="9" t="str">
        <f t="shared" si="2"/>
        <v>4018</v>
      </c>
      <c r="V12" s="36">
        <f t="shared" si="3"/>
        <v>42724.669537037036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{"issue":{"subject":"","project_id":79,"tracker_id":40,"status_id":1,"priority_id":2,"assigned_to_id":23,"start_date":"2016-12-20","description":"","custom_fields":[{"id":1,"name":"Subdivision","value":"EC"},{"id":4,"name":"Milepost","value":"1.7867"},{"id":17,"name":"Train ID","value":"143-20"},{"id":16,"name":"Locomotive ID","value":"4018"},{"id":130,"name":"Impact","value":""},{"id":150,"name":"Time of Event (Mountain Time)","value":"09:04:08"},{"id":151,"name":"Denver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"%USERPROFILE%\AppData\Local\Temp\OnboardLogs"\RTDC4018\*4018*201612201*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"%USERPROFILE%\AppData\Local\Temp\OnboardLogs"\RTDC4018\*4018*201612201* &gt;&gt; 42724-slicedisagreementcheck.txt</v>
      </c>
    </row>
    <row r="13" spans="1:30" s="1" customFormat="1" x14ac:dyDescent="0.25">
      <c r="A13" s="36">
        <v>42724.29415509259</v>
      </c>
      <c r="B13" s="31" t="s">
        <v>232</v>
      </c>
      <c r="C13" s="31" t="s">
        <v>462</v>
      </c>
      <c r="D13" s="31" t="s">
        <v>98</v>
      </c>
      <c r="E13" s="31" t="s">
        <v>196</v>
      </c>
      <c r="F13" s="47">
        <v>700</v>
      </c>
      <c r="G13" s="47">
        <v>755</v>
      </c>
      <c r="H13" s="47">
        <v>174884</v>
      </c>
      <c r="I13" s="47">
        <v>177827</v>
      </c>
      <c r="J13" s="31" t="s">
        <v>197</v>
      </c>
      <c r="K13" s="47">
        <v>161962</v>
      </c>
      <c r="L13" s="154" t="s">
        <v>50</v>
      </c>
      <c r="M13" s="155">
        <f t="shared" si="0"/>
        <v>-8376.7199999999993</v>
      </c>
      <c r="N13" s="156" t="str">
        <f>VLOOKUP(C13,'Trips&amp;Operators'!$C$1:$G$99999,5,FALSE)</f>
        <v>DAVIS WENDY</v>
      </c>
      <c r="O13" s="184" t="s">
        <v>195</v>
      </c>
      <c r="P13" s="157"/>
      <c r="Q13" s="31"/>
      <c r="R13" s="100" t="str">
        <f>VLOOKUP(C13,'Train Runs'!$A$13:$AE$9971,31,0)</f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S13" s="103" t="str">
        <f>VLOOKUP(C13,'Train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05:26:08-700',mode:absolute,to:'2016-12-20 08:11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/stypes="*4042*201612201*" /stext=" 14:.+((SYSTEM_STATE.+slice.+state.+changed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6">
        <f t="shared" si="3"/>
        <v>42724.585821759254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{"issue":{"subject":"","project_id":79,"tracker_id":40,"status_id":1,"priority_id":2,"assigned_to_id":23,"start_date":"2016-12-20","description":"","custom_fields":[{"id":1,"name":"Subdivision","value":"EC"},{"id":4,"name":"Milepost","value":"16.1962"},{"id":17,"name":"Train ID","value":"123-20"},{"id":16,"name":"Locomotive ID","value":"4042"},{"id":130,"name":"Impact","value":""},{"id":150,"name":"Time of Event (Mountain Time)","value":"07:03:35"},{"id":151,"name":"Denver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"%USERPROFILE%\AppData\Local\Temp\OnboardLogs"\RTDC4042\*4042*201612201*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"%USERPROFILE%\AppData\Local\Temp\OnboardLogs"\RTDC4042\*4042*201612201* &gt;&gt; 42724-slicedisagreementcheck.txt</v>
      </c>
    </row>
    <row r="14" spans="1:30" s="1" customFormat="1" x14ac:dyDescent="0.25">
      <c r="A14" s="36">
        <v>42724.614976851852</v>
      </c>
      <c r="B14" s="31" t="s">
        <v>281</v>
      </c>
      <c r="C14" s="31" t="s">
        <v>480</v>
      </c>
      <c r="D14" s="31" t="s">
        <v>98</v>
      </c>
      <c r="E14" s="31" t="s">
        <v>196</v>
      </c>
      <c r="F14" s="47">
        <v>700</v>
      </c>
      <c r="G14" s="47">
        <v>751</v>
      </c>
      <c r="H14" s="47">
        <v>170115</v>
      </c>
      <c r="I14" s="47">
        <v>173540</v>
      </c>
      <c r="J14" s="31" t="s">
        <v>197</v>
      </c>
      <c r="K14" s="47">
        <v>161962</v>
      </c>
      <c r="L14" s="154" t="s">
        <v>50</v>
      </c>
      <c r="M14" s="155">
        <f t="shared" si="0"/>
        <v>-6113.1840000000002</v>
      </c>
      <c r="N14" s="156" t="str">
        <f>VLOOKUP(C14,'Trips&amp;Operators'!$C$1:$G$99999,5,FALSE)</f>
        <v>BRANNON JEFFREY</v>
      </c>
      <c r="O14" s="184" t="s">
        <v>195</v>
      </c>
      <c r="P14" s="157"/>
      <c r="Q14" s="31"/>
      <c r="R14" s="100" t="str">
        <f>VLOOKUP(C14,'Train Runs'!$A$13:$AE$9971,31,0)</f>
        <v>aws s3 cp s3://rtdc.mdm.uploadarchive.raw/RTDC4018/ "%USERPROFILE%\AppData\Local\Temp\OnboardLogs"\RTDC4018\2016-12-20 --exclude "*" --recursive --include "*20161220*" &amp; "%USERPROFILE%\Documents\GitHub\mrs-test-scripts\Headless Mode &amp; Sideloading\WalkAndUnGZ.bat" "%USERPROFILE%\AppData\Local\Temp\OnboardLogs"\RTDC4018\2016-12-20 &amp; aws s3 cp s3://rtdc.mdm.uploadarchive.raw/RTDC4018/ "%USERPROFILE%\AppData\Local\Temp\OnboardLogs"\RTDC4018\2016-12-21 --exclude "*" --recursive --include "*20161221*" &amp; "%USERPROFILE%\Documents\GitHub\mrs-test-scripts\Headless Mode &amp; Sideloading\WalkAndUnGZ.bat" "%USERPROFILE%\AppData\Local\Temp\OnboardLogs"\RTDC4018\2016-12-21</v>
      </c>
      <c r="S14" s="103" t="str">
        <f>VLOOKUP(C14,'Train Runs'!$A$13:$AE$9971,22,0)</f>
        <v>https://search-rtdc-monitor-bjffxe2xuh6vdkpspy63sjmuny.us-east-1.es.amazonaws.com/_plugin/kibana/#/discover/Steve-Slow-Train-Analysis-(2080s-and-2083s)?_g=(refreshInterval:(display:Off,section:0,value:0),time:(from:'2016-12-20 13:09:42-700',mode:absolute,to:'2016-12-20 15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4" s="105" t="str">
        <f t="shared" si="1"/>
        <v>"C:\Program Files (x86)\AstroGrep\AstroGrep.exe" /spath="%USERPROFILE%\AppData\Local\Temp\OnboardLogs" /stypes="*4018*201612202*" /stext=" 21:.+((SYSTEM_STATE.+slice.+state.+changed )|(ment ac)|(multiple cpu faults)|(system.+state.+changed )|(\[timeout)|(PRM\|1\|D)|(kpr)|(kdp)|(\|lc)|(penalty))" /e /r /s</v>
      </c>
      <c r="U14" s="9" t="str">
        <f t="shared" si="2"/>
        <v>4018</v>
      </c>
      <c r="V14" s="36">
        <f t="shared" si="3"/>
        <v>42724.906643518516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{"issue":{"subject":"","project_id":79,"tracker_id":40,"status_id":1,"priority_id":2,"assigned_to_id":23,"start_date":"2016-12-20","description":"","custom_fields":[{"id":1,"name":"Subdivision","value":"EC"},{"id":4,"name":"Milepost","value":"16.1962"},{"id":17,"name":"Train ID","value":"185-20"},{"id":16,"name":"Locomotive ID","value":"4018"},{"id":130,"name":"Impact","value":""},{"id":150,"name":"Time of Event (Mountain Time)","value":"14:45:34"},{"id":151,"name":"Denver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"%USERPROFILE%\AppData\Local\Temp\OnboardLogs"\RTDC4018\*4018*201612202*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"%USERPROFILE%\AppData\Local\Temp\OnboardLogs"\RTDC4018\*4018*201612202* &gt;&gt; 42724-slicedisagreementcheck.txt</v>
      </c>
    </row>
    <row r="15" spans="1:30" s="1" customFormat="1" x14ac:dyDescent="0.25">
      <c r="A15" s="36">
        <v>42724.336099537039</v>
      </c>
      <c r="B15" s="31" t="s">
        <v>319</v>
      </c>
      <c r="C15" s="31" t="s">
        <v>464</v>
      </c>
      <c r="D15" s="31" t="s">
        <v>98</v>
      </c>
      <c r="E15" s="31" t="s">
        <v>196</v>
      </c>
      <c r="F15" s="47">
        <v>700</v>
      </c>
      <c r="G15" s="47">
        <v>750</v>
      </c>
      <c r="H15" s="47">
        <v>179971</v>
      </c>
      <c r="I15" s="47">
        <v>176497</v>
      </c>
      <c r="J15" s="31" t="s">
        <v>197</v>
      </c>
      <c r="K15" s="47">
        <v>183829</v>
      </c>
      <c r="L15" s="154" t="s">
        <v>51</v>
      </c>
      <c r="M15" s="155">
        <f t="shared" si="0"/>
        <v>-3871.2959999999998</v>
      </c>
      <c r="N15" s="156" t="str">
        <f>VLOOKUP(C15,'Trips&amp;Operators'!$C$1:$G$99999,5,FALSE)</f>
        <v>OUN ZACK</v>
      </c>
      <c r="O15" s="184" t="s">
        <v>195</v>
      </c>
      <c r="P15" s="157"/>
      <c r="Q15" s="31"/>
      <c r="R15" s="100" t="str">
        <f>VLOOKUP(C15,'Train Runs'!$A$13:$AE$9971,31,0)</f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S15" s="103" t="str">
        <f>VLOOKUP(C15,'Train Runs'!$A$13:$AE$9971,22,0)</f>
        <v>https://search-rtdc-monitor-bjffxe2xuh6vdkpspy63sjmuny.us-east-1.es.amazonaws.com/_plugin/kibana/#/discover/Steve-Slow-Train-Analysis-(2080s-and-2083s)?_g=(refreshInterval:(display:Off,section:0,value:0),time:(from:'2016-12-20 06:47:16-700',mode:absolute,to:'2016-12-20 09:37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5" s="105" t="str">
        <f t="shared" si="1"/>
        <v>"C:\Program Files (x86)\AstroGrep\AstroGrep.exe" /spath="%USERPROFILE%\AppData\Local\Temp\OnboardLogs" /stypes="*4043*201612201*" /stext=" 15:.+((SYSTEM_STATE.+slice.+state.+changed )|(ment ac)|(multiple cpu faults)|(system.+state.+changed )|(\[timeout)|(PRM\|1\|D)|(kpr)|(kdp)|(\|lc)|(penalty))" /e /r /s</v>
      </c>
      <c r="U15" s="9" t="str">
        <f t="shared" si="2"/>
        <v>4043</v>
      </c>
      <c r="V15" s="36">
        <f t="shared" si="3"/>
        <v>42724.627766203703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{"issue":{"subject":"","project_id":79,"tracker_id":40,"status_id":1,"priority_id":2,"assigned_to_id":23,"start_date":"2016-12-20","description":"","custom_fields":[{"id":1,"name":"Subdivision","value":"EC"},{"id":4,"name":"Milepost","value":"18.3829"},{"id":17,"name":"Train ID","value":"128-20"},{"id":16,"name":"Locomotive ID","value":"4043"},{"id":130,"name":"Impact","value":""},{"id":150,"name":"Time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"%USERPROFILE%\AppData\Local\Temp\OnboardLogs"\RTDC4043\*4043*201612201*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"%USERPROFILE%\AppData\Local\Temp\OnboardLogs"\RTDC4043\*4043*201612201* &gt;&gt; 42724-slicedisagreementcheck.txt</v>
      </c>
    </row>
    <row r="16" spans="1:30" s="1" customFormat="1" x14ac:dyDescent="0.25">
      <c r="A16" s="36">
        <v>42725.021990740737</v>
      </c>
      <c r="B16" s="31" t="s">
        <v>183</v>
      </c>
      <c r="C16" s="31" t="s">
        <v>492</v>
      </c>
      <c r="D16" s="31" t="s">
        <v>49</v>
      </c>
      <c r="E16" s="31" t="s">
        <v>198</v>
      </c>
      <c r="F16" s="47">
        <v>0</v>
      </c>
      <c r="G16" s="47">
        <v>534</v>
      </c>
      <c r="H16" s="47">
        <v>193729</v>
      </c>
      <c r="I16" s="47">
        <v>195833</v>
      </c>
      <c r="J16" s="31" t="s">
        <v>199</v>
      </c>
      <c r="K16" s="47">
        <v>198242</v>
      </c>
      <c r="L16" s="154" t="s">
        <v>50</v>
      </c>
      <c r="M16" s="155">
        <f t="shared" si="0"/>
        <v>1271.952</v>
      </c>
      <c r="N16" s="156" t="str">
        <f>VLOOKUP(C16,'Trips&amp;Operators'!$C$1:$G$99999,5,FALSE)</f>
        <v>YANG JAN</v>
      </c>
      <c r="O16" s="184" t="s">
        <v>227</v>
      </c>
      <c r="P16" s="157" t="s">
        <v>860</v>
      </c>
      <c r="Q16" s="31"/>
      <c r="R16" s="100" t="str">
        <f>VLOOKUP(C16,'Train Runs'!$A$13:$AE$9971,31,0)</f>
        <v>aws s3 cp s3://rtdc.mdm.uploadarchive.raw/RTDC4009/ "%USERPROFILE%\AppData\Local\Temp\OnboardLogs"\RTDC4009\2016-12-21 --exclude "*" --recursive --include "*20161221*" &amp; "%USERPROFILE%\Documents\GitHub\mrs-test-scripts\Headless Mode &amp; Sideloading\WalkAndUnGZ.bat" "%USERPROFILE%\AppData\Local\Temp\OnboardLogs"\RTDC4009\2016-12-21 &amp; 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</v>
      </c>
      <c r="S16" s="103" t="str">
        <f>VLOOKUP(C16,'Train Runs'!$A$13:$AE$9971,22,0)</f>
        <v>https://search-rtdc-monitor-bjffxe2xuh6vdkpspy63sjmuny.us-east-1.es.amazonaws.com/_plugin/kibana/#/discover/Steve-Slow-Train-Analysis-(2080s-and-2083s)?_g=(refreshInterval:(display:Off,section:0,value:0),time:(from:'2016-12-20 22:57:04-700',mode:absolute,to:'2016-12-21 01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6" s="105" t="str">
        <f t="shared" si="1"/>
        <v>"C:\Program Files (x86)\AstroGrep\AstroGrep.exe" /spath="%USERPROFILE%\AppData\Local\Temp\OnboardLogs" /stypes="*4009*201612210*" /stext=" 07:.+((SYSTEM_STATE.+slice.+state.+changed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6">
        <f t="shared" si="3"/>
        <v>42725.313657407401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{"issue":{"subject":"Windows update process momentarily froze messaging virtual machines","project_id":79,"tracker_id":40,"status_id":1,"priority_id":2,"assigned_to_id":23,"start_date":"2016-12-21","description":"See title","custom_fields":[{"id":1,"name":"Subdivision","value":"EC"},{"id":4,"name":"Milepost","value":"19.8242"},{"id":17,"name":"Train ID","value":"241-20"},{"id":16,"name":"Locomotive ID","value":"4009"},{"id":130,"name":"Impact","value":"Enforcement"},{"id":150,"name":"Time of Event (Mountain Time)","value":"00:31:40"},{"id":151,"name":"Denver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16" s="53" t="s">
        <v>862</v>
      </c>
      <c r="AA16" s="53" t="s">
        <v>125</v>
      </c>
      <c r="AB16" s="53" t="s">
        <v>134</v>
      </c>
      <c r="AC16" s="138" t="str">
        <f t="shared" si="7"/>
        <v>grep -hSE -A100 "Enforcement Action" "%USERPROFILE%\AppData\Local\Temp\OnboardLogs"\RTDC4009\*4009*201612210*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"%USERPROFILE%\AppData\Local\Temp\OnboardLogs"\RTDC4009\*4009*201612210* &gt;&gt; 42724-slicedisagreementcheck.txt</v>
      </c>
    </row>
    <row r="17" spans="1:30" s="1" customFormat="1" x14ac:dyDescent="0.25">
      <c r="A17" s="36">
        <v>42724.244710648149</v>
      </c>
      <c r="B17" s="31" t="s">
        <v>317</v>
      </c>
      <c r="C17" s="31" t="s">
        <v>460</v>
      </c>
      <c r="D17" s="31" t="s">
        <v>98</v>
      </c>
      <c r="E17" s="31" t="s">
        <v>365</v>
      </c>
      <c r="F17" s="47">
        <v>0</v>
      </c>
      <c r="G17" s="47">
        <v>133</v>
      </c>
      <c r="H17" s="47">
        <v>231017</v>
      </c>
      <c r="I17" s="47">
        <v>231278</v>
      </c>
      <c r="J17" s="31" t="s">
        <v>366</v>
      </c>
      <c r="K17" s="47">
        <v>228572</v>
      </c>
      <c r="L17" s="154" t="s">
        <v>50</v>
      </c>
      <c r="M17" s="155">
        <f t="shared" si="0"/>
        <v>-1428.768</v>
      </c>
      <c r="N17" s="156" t="str">
        <f>VLOOKUP(C17,'Trips&amp;Operators'!$C$1:$G$99999,5,FALSE)</f>
        <v>OUN ZACK</v>
      </c>
      <c r="O17" s="184" t="s">
        <v>227</v>
      </c>
      <c r="P17" s="157" t="s">
        <v>457</v>
      </c>
      <c r="Q17" s="31"/>
      <c r="R17" s="100" t="str">
        <f>VLOOKUP(C17,'Train Runs'!$A$13:$AE$9971,31,0)</f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S17" s="103" t="str">
        <f>VLOOKUP(C17,'Train Runs'!$A$13:$AE$9971,22,0)</f>
        <v>https://search-rtdc-monitor-bjffxe2xuh6vdkpspy63sjmuny.us-east-1.es.amazonaws.com/_plugin/kibana/#/discover/Steve-Slow-Train-Analysis-(2080s-and-2083s)?_g=(refreshInterval:(display:Off,section:0,value:0),time:(from:'2016-12-20 04:04:11-700',mode:absolute,to:'2016-12-20 06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7" s="105" t="str">
        <f t="shared" si="1"/>
        <v>"C:\Program Files (x86)\AstroGrep\AstroGrep.exe" /spath="%USERPROFILE%\AppData\Local\Temp\OnboardLogs" /stypes="*4044*201612201*" /stext=" 12:.+((SYSTEM_STATE.+slice.+state.+changed )|(ment ac)|(multiple cpu faults)|(system.+state.+changed )|(\[timeout)|(PRM\|1\|D)|(kpr)|(kdp)|(\|lc)|(penalty))" /e /r /s</v>
      </c>
      <c r="U17" s="9" t="str">
        <f t="shared" si="2"/>
        <v>4044</v>
      </c>
      <c r="V17" s="36">
        <f t="shared" si="3"/>
        <v>42724.536377314813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-20","description":"http://stevetu21.github.io/eaglep3/load_kml.html?kml=http://rtdc.gmaps-snips.s3.amazonaws.com/f8dc8ce2-20cb-4d66-9885-3dc22e6e668d.kml","custom_fields":[{"id":1,"name":"Subdivision","value":"EC"},{"id":4,"name":"Milepost","value":"22.8572"},{"id":17,"name":"Train ID","value":"113-20"},{"id":16,"name":"Locomotive ID","value":"4044"},{"id":130,"name":"Impact","value":"Enforcement"},{"id":150,"name":"Time of Event (Mountain Time)","value":"05:52:23"},{"id":151,"name":"Denver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178" t="s">
        <v>861</v>
      </c>
      <c r="AA17" s="53" t="s">
        <v>125</v>
      </c>
      <c r="AB17" s="53" t="s">
        <v>138</v>
      </c>
      <c r="AC17" s="138" t="str">
        <f t="shared" si="7"/>
        <v>grep -hSE -A100 "Enforcement Action" "%USERPROFILE%\AppData\Local\Temp\OnboardLogs"\RTDC4044\*4044*201612201*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"%USERPROFILE%\AppData\Local\Temp\OnboardLogs"\RTDC4044\*4044*201612201* &gt;&gt; 42724-slicedisagreementcheck.txt</v>
      </c>
    </row>
    <row r="18" spans="1:30" s="1" customFormat="1" x14ac:dyDescent="0.25">
      <c r="A18" s="36">
        <v>42724.190451388888</v>
      </c>
      <c r="B18" s="31" t="s">
        <v>319</v>
      </c>
      <c r="C18" s="31" t="s">
        <v>459</v>
      </c>
      <c r="D18" s="31" t="s">
        <v>49</v>
      </c>
      <c r="E18" s="31" t="s">
        <v>258</v>
      </c>
      <c r="F18" s="47">
        <v>100</v>
      </c>
      <c r="G18" s="47">
        <v>217</v>
      </c>
      <c r="H18" s="47">
        <v>67024</v>
      </c>
      <c r="I18" s="47">
        <v>66657</v>
      </c>
      <c r="J18" s="31" t="s">
        <v>249</v>
      </c>
      <c r="K18" s="47">
        <v>66500</v>
      </c>
      <c r="L18" s="154" t="s">
        <v>51</v>
      </c>
      <c r="M18" s="155">
        <f t="shared" si="0"/>
        <v>82.895999999999987</v>
      </c>
      <c r="N18" s="156" t="str">
        <f>VLOOKUP(C18,'Trips&amp;Operators'!$C$1:$G$99999,5,FALSE)</f>
        <v>OUN ZACK</v>
      </c>
      <c r="O18" s="184" t="s">
        <v>195</v>
      </c>
      <c r="P18" s="157"/>
      <c r="Q18" s="31"/>
      <c r="R18" s="100" t="str">
        <f>VLOOKUP(C18,'Train Runs'!$A$13:$AE$9971,31,0)</f>
        <v>aws s3 cp s3://rtdc.mdm.uploadarchive.raw/RTDC4043/ "%USERPROFILE%\AppData\Local\Temp\OnboardLogs"\RTDC4043\2016-12-20 --exclude "*" --recursive --include "*20161220*" &amp; "%USERPROFILE%\Documents\GitHub\mrs-test-scripts\Headless Mode &amp; Sideloading\WalkAndUnGZ.bat" "%USERPROFILE%\AppData\Local\Temp\OnboardLogs"\RTDC4043\2016-12-20 &amp; aws s3 cp s3://rtdc.mdm.uploadarchive.raw/RTDC4043/ "%USERPROFILE%\AppData\Local\Temp\OnboardLogs"\RTDC4043\2016-12-21 --exclude "*" --recursive --include "*20161221*" &amp; "%USERPROFILE%\Documents\GitHub\mrs-test-scripts\Headless Mode &amp; Sideloading\WalkAndUnGZ.bat" "%USERPROFILE%\AppData\Local\Temp\OnboardLogs"\RTDC4043\2016-12-21</v>
      </c>
      <c r="S18" s="103" t="str">
        <f>VLOOKUP(C18,'Train Runs'!$A$13:$AE$9971,22,0)</f>
        <v>https://search-rtdc-monitor-bjffxe2xuh6vdkpspy63sjmuny.us-east-1.es.amazonaws.com/_plugin/kibana/#/discover/Steve-Slow-Train-Analysis-(2080s-and-2083s)?_g=(refreshInterval:(display:Off,section:0,value:0),time:(from:'2016-12-20 03:03:10-700',mode:absolute,to:'2016-12-20 05:52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8" s="105" t="str">
        <f t="shared" si="1"/>
        <v>"C:\Program Files (x86)\AstroGrep\AstroGrep.exe" /spath="%USERPROFILE%\AppData\Local\Temp\OnboardLogs" /stypes="*4043*201612201*" /stext=" 11:.+((SYSTEM_STATE.+slice.+state.+changed )|(ment ac)|(multiple cpu faults)|(system.+state.+changed )|(\[timeout)|(PRM\|1\|D)|(kpr)|(kdp)|(\|lc)|(penalty))" /e /r /s</v>
      </c>
      <c r="U18" s="9" t="str">
        <f t="shared" si="2"/>
        <v>4043</v>
      </c>
      <c r="V18" s="36">
        <f t="shared" si="3"/>
        <v>42724.482118055552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{"issue":{"subject":"","project_id":79,"tracker_id":40,"status_id":1,"priority_id":2,"assigned_to_id":23,"start_date":"2016-12-20","description":"","custom_fields":[{"id":1,"name":"Subdivision","value":"EC"},{"id":4,"name":"Milepost","value":"6.65"},{"id":17,"name":"Train ID","value":"102-20"},{"id":16,"name":"Locomotive ID","value":"4043"},{"id":130,"name":"Impact","value":""},{"id":150,"name":"Time of Event (Mountain Time)","value":"04:34:15"},{"id":151,"name":"Denver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"%USERPROFILE%\AppData\Local\Temp\OnboardLogs"\RTDC4043\*4043*201612201*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"%USERPROFILE%\AppData\Local\Temp\OnboardLogs"\RTDC4043\*4043*201612201* &gt;&gt; 42724-slicedisagreementcheck.txt</v>
      </c>
    </row>
    <row r="19" spans="1:30" s="1" customFormat="1" x14ac:dyDescent="0.25">
      <c r="A19" s="36">
        <v>42725.03361111111</v>
      </c>
      <c r="B19" s="31" t="s">
        <v>282</v>
      </c>
      <c r="C19" s="31" t="s">
        <v>494</v>
      </c>
      <c r="D19" s="31" t="s">
        <v>49</v>
      </c>
      <c r="E19" s="31" t="s">
        <v>258</v>
      </c>
      <c r="F19" s="47">
        <v>100</v>
      </c>
      <c r="G19" s="47">
        <v>259</v>
      </c>
      <c r="H19" s="47">
        <v>67077</v>
      </c>
      <c r="I19" s="47">
        <v>66659</v>
      </c>
      <c r="J19" s="31" t="s">
        <v>249</v>
      </c>
      <c r="K19" s="47">
        <v>66500</v>
      </c>
      <c r="L19" s="154" t="s">
        <v>51</v>
      </c>
      <c r="M19" s="155">
        <f t="shared" si="0"/>
        <v>83.951999999999998</v>
      </c>
      <c r="N19" s="156" t="str">
        <f>VLOOKUP(C19,'Trips&amp;Operators'!$C$1:$G$99999,5,FALSE)</f>
        <v>NEWELL JAMES</v>
      </c>
      <c r="O19" s="184" t="s">
        <v>195</v>
      </c>
      <c r="P19" s="157"/>
      <c r="Q19" s="31"/>
      <c r="R19" s="100" t="str">
        <f>VLOOKUP(C19,'Train Runs'!$A$13:$AE$9971,31,0)</f>
        <v>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 &amp; 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</v>
      </c>
      <c r="S19" s="103" t="str">
        <f>VLOOKUP(C19,'Train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23:19:12-700',mode:absolute,to:'2016-12-21 02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/stypes="*4017*201612210*" /stext=" 07:.+((SYSTEM_STATE.+slice.+state.+changed )|(ment ac)|(multiple cpu faults)|(system.+state.+changed )|(\[timeout)|(PRM\|1\|D)|(kpr)|(kdp)|(\|lc)|(penalty))" /e /r /s</v>
      </c>
      <c r="U19" s="9" t="str">
        <f t="shared" si="2"/>
        <v>4017</v>
      </c>
      <c r="V19" s="36">
        <f t="shared" si="3"/>
        <v>42725.325277777774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{"issue":{"subject":"","project_id":79,"tracker_id":40,"status_id":1,"priority_id":2,"assigned_to_id":23,"start_date":"2016-12-21","description":"","custom_fields":[{"id":1,"name":"Subdivision","value":"EC"},{"id":4,"name":"Milepost","value":"6.65"},{"id":17,"name":"Train ID","value":"240-20"},{"id":16,"name":"Locomotive ID","value":"4017"},{"id":130,"name":"Impact","value":""},{"id":150,"name":"Time of Event (Mountain Time)","value":"00:48:24"},{"id":151,"name":"Denver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"%USERPROFILE%\AppData\Local\Temp\OnboardLogs"\RTDC4017\*4017*201612210*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"%USERPROFILE%\AppData\Local\Temp\OnboardLogs"\RTDC4017\*4017*201612210* &gt;&gt; 42724-slicedisagreementcheck.txt</v>
      </c>
    </row>
    <row r="20" spans="1:30" x14ac:dyDescent="0.25">
      <c r="A20" s="36">
        <v>42724.369699074072</v>
      </c>
      <c r="B20" s="31" t="s">
        <v>282</v>
      </c>
      <c r="C20" s="31" t="s">
        <v>466</v>
      </c>
      <c r="D20" s="31" t="s">
        <v>49</v>
      </c>
      <c r="E20" s="31" t="s">
        <v>200</v>
      </c>
      <c r="F20" s="47">
        <v>0</v>
      </c>
      <c r="G20" s="47">
        <v>71</v>
      </c>
      <c r="H20" s="47">
        <v>245</v>
      </c>
      <c r="I20" s="47">
        <v>187</v>
      </c>
      <c r="J20" s="31" t="s">
        <v>201</v>
      </c>
      <c r="K20" s="47">
        <v>1</v>
      </c>
      <c r="L20" s="154" t="s">
        <v>51</v>
      </c>
      <c r="M20" s="155">
        <f t="shared" si="0"/>
        <v>98.207999999999998</v>
      </c>
      <c r="N20" s="156" t="str">
        <f>VLOOKUP(C20,'Trips&amp;Operators'!$C$1:$G$99999,5,FALSE)</f>
        <v>SIMONEAUX TERA</v>
      </c>
      <c r="O20" s="184" t="s">
        <v>195</v>
      </c>
      <c r="P20" s="157"/>
      <c r="Q20" s="31"/>
      <c r="R20" s="100" t="str">
        <f>VLOOKUP(C20,'Train Runs'!$A$13:$AE$9971,31,0)</f>
        <v>aws s3 cp s3://rtdc.mdm.uploadarchive.raw/RTDC4017/ "%USERPROFILE%\AppData\Local\Temp\OnboardLogs"\RTDC4017\2016-12-20 --exclude "*" --recursive --include "*20161220*" &amp; "%USERPROFILE%\Documents\GitHub\mrs-test-scripts\Headless Mode &amp; Sideloading\WalkAndUnGZ.bat" "%USERPROFILE%\AppData\Local\Temp\OnboardLogs"\RTDC4017\2016-12-20 &amp; aws s3 cp s3://rtdc.mdm.uploadarchive.raw/RTDC4017/ "%USERPROFILE%\AppData\Local\Temp\OnboardLogs"\RTDC4017\2016-12-21 --exclude "*" --recursive --include "*20161221*" &amp; "%USERPROFILE%\Documents\GitHub\mrs-test-scripts\Headless Mode &amp; Sideloading\WalkAndUnGZ.bat" "%USERPROFILE%\AppData\Local\Temp\OnboardLogs"\RTDC4017\2016-12-21</v>
      </c>
      <c r="S20" s="103" t="str">
        <f>VLOOKUP(C20,'Train Runs'!$A$13:$AE$9971,22,0)</f>
        <v>https://search-rtdc-monitor-bjffxe2xuh6vdkpspy63sjmuny.us-east-1.es.amazonaws.com/_plugin/kibana/#/discover/Steve-Slow-Train-Analysis-(2080s-and-2083s)?_g=(refreshInterval:(display:Off,section:0,value:0),time:(from:'2016-12-20 06:56:01-700',mode:absolute,to:'2016-12-20 09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0" s="105" t="str">
        <f t="shared" si="1"/>
        <v>"C:\Program Files (x86)\AstroGrep\AstroGrep.exe" /spath="%USERPROFILE%\AppData\Local\Temp\OnboardLogs" /stypes="*4017*201612201*" /stext=" 15:.+((SYSTEM_STATE.+slice.+state.+changed )|(ment ac)|(multiple cpu faults)|(system.+state.+changed )|(\[timeout)|(PRM\|1\|D)|(kpr)|(kdp)|(\|lc)|(penalty))" /e /r /s</v>
      </c>
      <c r="U20" s="9" t="str">
        <f t="shared" si="2"/>
        <v>4017</v>
      </c>
      <c r="V20" s="36">
        <f t="shared" si="3"/>
        <v>42724.661365740736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{"issue":{"subject":"","project_id":79,"tracker_id":40,"status_id":1,"priority_id":2,"assigned_to_id":23,"start_date":"2016-12-20","description":"","custom_fields":[{"id":1,"name":"Subdivision","value":"EC"},{"id":4,"name":"Milepost","value":"0.0001"},{"id":17,"name":"Train ID","value":"130-20"},{"id":16,"name":"Locomotive ID","value":"4017"},{"id":130,"name":"Impact","value":""},{"id":150,"name":"Time of Event (Mountain Time)","value":"08:52:22"},{"id":151,"name":"Denver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"%USERPROFILE%\AppData\Local\Temp\OnboardLogs"\RTDC4017\*4017*201612201*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"%USERPROFILE%\AppData\Local\Temp\OnboardLogs"\RTDC4017\*4017*201612201* &gt;&gt; 42724-slicedisagreementcheck.txt</v>
      </c>
    </row>
    <row r="21" spans="1:30" x14ac:dyDescent="0.25">
      <c r="A21" s="36">
        <v>42724.379861111112</v>
      </c>
      <c r="B21" s="31" t="s">
        <v>259</v>
      </c>
      <c r="C21" s="31" t="s">
        <v>468</v>
      </c>
      <c r="D21" s="31" t="s">
        <v>49</v>
      </c>
      <c r="E21" s="31" t="s">
        <v>200</v>
      </c>
      <c r="F21" s="47">
        <v>0</v>
      </c>
      <c r="G21" s="47">
        <v>65</v>
      </c>
      <c r="H21" s="47">
        <v>191</v>
      </c>
      <c r="I21" s="47">
        <v>123</v>
      </c>
      <c r="J21" s="31" t="s">
        <v>201</v>
      </c>
      <c r="K21" s="47">
        <v>1</v>
      </c>
      <c r="L21" s="154" t="s">
        <v>51</v>
      </c>
      <c r="M21" s="155">
        <f t="shared" si="0"/>
        <v>64.415999999999997</v>
      </c>
      <c r="N21" s="156" t="str">
        <f>VLOOKUP(C21,'Trips&amp;Operators'!$C$1:$G$99999,5,FALSE)</f>
        <v>MAGEE KENYA</v>
      </c>
      <c r="O21" s="184" t="s">
        <v>195</v>
      </c>
      <c r="P21" s="157"/>
      <c r="Q21" s="31"/>
      <c r="R21" s="100" t="str">
        <f>VLOOKUP(C21,'Train Runs'!$A$13:$AE$9971,31,0)</f>
        <v>aws s3 cp s3://rtdc.mdm.uploadarchive.raw/RTDC4045/ "%USERPROFILE%\AppData\Local\Temp\OnboardLogs"\RTDC4045\2016-12-20 --exclude "*" --recursive --include "*20161220*" &amp; "%USERPROFILE%\Documents\GitHub\mrs-test-scripts\Headless Mode &amp; Sideloading\WalkAndUnGZ.bat" "%USERPROFILE%\AppData\Local\Temp\OnboardLogs"\RTDC4045\2016-12-20 &amp; aws s3 cp s3://rtdc.mdm.uploadarchive.raw/RTDC4045/ "%USERPROFILE%\AppData\Local\Temp\OnboardLogs"\RTDC4045\2016-12-21 --exclude "*" --recursive --include "*20161221*" &amp; "%USERPROFILE%\Documents\GitHub\mrs-test-scripts\Headless Mode &amp; Sideloading\WalkAndUnGZ.bat" "%USERPROFILE%\AppData\Local\Temp\OnboardLogs"\RTDC4045\2016-12-21</v>
      </c>
      <c r="S21" s="103" t="str">
        <f>VLOOKUP(C21,'Train Runs'!$A$13:$AE$9971,22,0)</f>
        <v>https://search-rtdc-monitor-bjffxe2xuh6vdkpspy63sjmuny.us-east-1.es.amazonaws.com/_plugin/kibana/#/discover/Steve-Slow-Train-Analysis-(2080s-and-2083s)?_g=(refreshInterval:(display:Off,section:0,value:0),time:(from:'2016-12-20 07:09:17-700',mode:absolute,to:'2016-12-20 10:07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/stypes="*4045*201612201*" /stext=" 16:.+((SYSTEM_STATE.+slice.+state.+changed )|(ment ac)|(multiple cpu faults)|(system.+state.+changed )|(\[timeout)|(PRM\|1\|D)|(kpr)|(kdp)|(\|lc)|(penalty))" /e /r /s</v>
      </c>
      <c r="U21" s="9" t="str">
        <f t="shared" si="2"/>
        <v>4045</v>
      </c>
      <c r="V21" s="36">
        <f t="shared" si="3"/>
        <v>42724.671527777777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{"issue":{"subject":"","project_id":79,"tracker_id":40,"status_id":1,"priority_id":2,"assigned_to_id":23,"start_date":"2016-12-20","description":"","custom_fields":[{"id":1,"name":"Subdivision","value":"EC"},{"id":4,"name":"Milepost","value":"0.0001"},{"id":17,"name":"Train ID","value":"132-20"},{"id":16,"name":"Locomotive ID","value":"4045"},{"id":130,"name":"Impact","value":""},{"id":150,"name":"Time of Event (Mountain Time)","value":"09:07:00"},{"id":151,"name":"Denver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"%USERPROFILE%\AppData\Local\Temp\OnboardLogs"\RTDC4045\*4045*201612201*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"%USERPROFILE%\AppData\Local\Temp\OnboardLogs"\RTDC4045\*4045*201612201* &gt;&gt; 42724-slicedisagreementcheck.txt</v>
      </c>
    </row>
    <row r="22" spans="1:30" ht="15" customHeight="1" x14ac:dyDescent="0.25">
      <c r="A22" s="36">
        <v>42724.41028935185</v>
      </c>
      <c r="B22" s="31" t="s">
        <v>233</v>
      </c>
      <c r="C22" s="31" t="s">
        <v>469</v>
      </c>
      <c r="D22" s="31" t="s">
        <v>49</v>
      </c>
      <c r="E22" s="31" t="s">
        <v>200</v>
      </c>
      <c r="F22" s="47">
        <v>0</v>
      </c>
      <c r="G22" s="47">
        <v>89</v>
      </c>
      <c r="H22" s="47">
        <v>362</v>
      </c>
      <c r="I22" s="47">
        <v>125</v>
      </c>
      <c r="J22" s="31" t="s">
        <v>201</v>
      </c>
      <c r="K22" s="47">
        <v>1</v>
      </c>
      <c r="L22" s="154" t="s">
        <v>51</v>
      </c>
      <c r="M22" s="155">
        <f t="shared" si="0"/>
        <v>65.471999999999994</v>
      </c>
      <c r="N22" s="156" t="str">
        <f>VLOOKUP(C22,'Trips&amp;Operators'!$C$1:$G$99999,5,FALSE)</f>
        <v>DAVIS WENDY</v>
      </c>
      <c r="O22" s="184" t="s">
        <v>227</v>
      </c>
      <c r="P22" s="157" t="s">
        <v>971</v>
      </c>
      <c r="Q22" s="31"/>
      <c r="R22" s="100" t="str">
        <f>VLOOKUP(C22,'Train Runs'!$A$13:$AE$9971,31,0)</f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S22" s="103" t="str">
        <f>VLOOKUP(C22,'Train Runs'!$A$13:$AE$9971,22,0)</f>
        <v>https://search-rtdc-monitor-bjffxe2xuh6vdkpspy63sjmuny.us-east-1.es.amazonaws.com/_plugin/kibana/#/discover/Steve-Slow-Train-Analysis-(2080s-and-2083s)?_g=(refreshInterval:(display:Off,section:0,value:0),time:(from:'2016-12-20 08:04:33-700',mode:absolute,to:'2016-12-20 10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/stypes="*4041*201612201*" /stext=" 16:.+((SYSTEM_STATE.+slice.+state.+changed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6">
        <f t="shared" si="3"/>
        <v>42724.701956018514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braking","project_id":79,"tracker_id":40,"status_id":1,"priority_id":2,"assigned_to_id":23,"start_date":"2016-12-20","description":"","custom_fields":[{"id":1,"name":"Subdivision","value":"EC"},{"id":4,"name":"Milepost","value":"0.0001"},{"id":17,"name":"Train ID","value":"138-20"},{"id":16,"name":"Locomotive ID","value":"4041"},{"id":130,"name":"Impact","value":""},{"id":150,"name":"Time of Event (Mountain Time)","value":"09:50:49"},{"id":151,"name":"Denver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"%USERPROFILE%\AppData\Local\Temp\OnboardLogs"\RTDC4041\*4041*201612201*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"%USERPROFILE%\AppData\Local\Temp\OnboardLogs"\RTDC4041\*4041*201612201* &gt;&gt; 42724-slicedisagreementcheck.txt</v>
      </c>
    </row>
    <row r="23" spans="1:30" x14ac:dyDescent="0.25">
      <c r="A23" s="36">
        <v>42724.558298611111</v>
      </c>
      <c r="B23" s="31" t="s">
        <v>233</v>
      </c>
      <c r="C23" s="31" t="s">
        <v>477</v>
      </c>
      <c r="D23" s="31" t="s">
        <v>49</v>
      </c>
      <c r="E23" s="31" t="s">
        <v>200</v>
      </c>
      <c r="F23" s="47">
        <v>0</v>
      </c>
      <c r="G23" s="47">
        <v>79</v>
      </c>
      <c r="H23" s="47">
        <v>282</v>
      </c>
      <c r="I23" s="47">
        <v>198</v>
      </c>
      <c r="J23" s="31" t="s">
        <v>201</v>
      </c>
      <c r="K23" s="47">
        <v>1</v>
      </c>
      <c r="L23" s="154" t="s">
        <v>51</v>
      </c>
      <c r="M23" s="155">
        <f t="shared" si="0"/>
        <v>104.01600000000001</v>
      </c>
      <c r="N23" s="156" t="str">
        <f>VLOOKUP(C23,'Trips&amp;Operators'!$C$1:$G$99999,5,FALSE)</f>
        <v>CLARK KATHLEEN</v>
      </c>
      <c r="O23" s="184" t="s">
        <v>227</v>
      </c>
      <c r="P23" s="157" t="s">
        <v>971</v>
      </c>
      <c r="Q23" s="31"/>
      <c r="R23" s="100" t="str">
        <f>VLOOKUP(C23,'Train Runs'!$A$13:$AE$9971,31,0)</f>
        <v>aws s3 cp s3://rtdc.mdm.uploadarchive.raw/RTDC4041/ "%USERPROFILE%\AppData\Local\Temp\OnboardLogs"\RTDC4041\2016-12-20 --exclude "*" --recursive --include "*20161220*" &amp; "%USERPROFILE%\Documents\GitHub\mrs-test-scripts\Headless Mode &amp; Sideloading\WalkAndUnGZ.bat" "%USERPROFILE%\AppData\Local\Temp\OnboardLogs"\RTDC4041\2016-12-20 &amp; aws s3 cp s3://rtdc.mdm.uploadarchive.raw/RTDC4041/ "%USERPROFILE%\AppData\Local\Temp\OnboardLogs"\RTDC4041\2016-12-21 --exclude "*" --recursive --include "*20161221*" &amp; "%USERPROFILE%\Documents\GitHub\mrs-test-scripts\Headless Mode &amp; Sideloading\WalkAndUnGZ.bat" "%USERPROFILE%\AppData\Local\Temp\OnboardLogs"\RTDC4041\2016-12-21</v>
      </c>
      <c r="S23" s="103" t="str">
        <f>VLOOKUP(C23,'Train Runs'!$A$13:$AE$9971,22,0)</f>
        <v>https://search-rtdc-monitor-bjffxe2xuh6vdkpspy63sjmuny.us-east-1.es.amazonaws.com/_plugin/kibana/#/discover/Steve-Slow-Train-Analysis-(2080s-and-2083s)?_g=(refreshInterval:(display:Off,section:0,value:0),time:(from:'2016-12-20 11:37:30-700',mode:absolute,to:'2016-12-20 14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/stypes="*4041*201612202*" /stext=" 20:.+((SYSTEM_STATE.+slice.+state.+changed )|(ment ac)|(multiple cpu faults)|(system.+state.+changed )|(\[timeout)|(PRM\|1\|D)|(kpr)|(kdp)|(\|lc)|(penalty))" /e /r /s</v>
      </c>
      <c r="U23" s="9" t="str">
        <f t="shared" si="2"/>
        <v>4041</v>
      </c>
      <c r="V23" s="36">
        <f t="shared" si="3"/>
        <v>42724.849965277775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braking","project_id":79,"tracker_id":40,"status_id":1,"priority_id":2,"assigned_to_id":23,"start_date":"2016-12-20","description":"","custom_fields":[{"id":1,"name":"Subdivision","value":"EC"},{"id":4,"name":"Milepost","value":"0.0001"},{"id":17,"name":"Train ID","value":"166-20"},{"id":16,"name":"Locomotive ID","value":"4041"},{"id":130,"name":"Impact","value":""},{"id":150,"name":"Time of Event (Mountain Time)","value":"13:23:57"},{"id":151,"name":"Denver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"%USERPROFILE%\AppData\Local\Temp\OnboardLogs"\RTDC4041\*4041*201612202*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"%USERPROFILE%\AppData\Local\Temp\OnboardLogs"\RTDC4041\*4041*201612202* &gt;&gt; 42724-slicedisagreementcheck.txt</v>
      </c>
    </row>
    <row r="24" spans="1:30" x14ac:dyDescent="0.25">
      <c r="A24" s="36">
        <v>42724.642847222225</v>
      </c>
      <c r="B24" s="31" t="s">
        <v>364</v>
      </c>
      <c r="C24" s="31" t="s">
        <v>481</v>
      </c>
      <c r="D24" s="31" t="s">
        <v>49</v>
      </c>
      <c r="E24" s="31" t="s">
        <v>200</v>
      </c>
      <c r="F24" s="47">
        <v>0</v>
      </c>
      <c r="G24" s="47">
        <v>46</v>
      </c>
      <c r="H24" s="47">
        <v>160</v>
      </c>
      <c r="I24" s="47">
        <v>127</v>
      </c>
      <c r="J24" s="31" t="s">
        <v>201</v>
      </c>
      <c r="K24" s="47">
        <v>1</v>
      </c>
      <c r="L24" s="154" t="s">
        <v>51</v>
      </c>
      <c r="M24" s="155">
        <f t="shared" si="0"/>
        <v>66.528000000000006</v>
      </c>
      <c r="N24" s="156" t="str">
        <f>VLOOKUP(C24,'Trips&amp;Operators'!$C$1:$G$99999,5,FALSE)</f>
        <v>CRAYTON QUNTRELL</v>
      </c>
      <c r="O24" s="184" t="s">
        <v>195</v>
      </c>
      <c r="P24" s="157"/>
      <c r="Q24" s="31"/>
      <c r="R24" s="100" t="str">
        <f>VLOOKUP(C24,'Train Runs'!$A$13:$AE$9971,31,0)</f>
        <v>aws s3 cp s3://rtdc.mdm.uploadarchive.raw/RTDC4019/ "%USERPROFILE%\AppData\Local\Temp\OnboardLogs"\RTDC4019\2016-12-20 --exclude "*" --recursive --include "*20161220*" &amp; "%USERPROFILE%\Documents\GitHub\mrs-test-scripts\Headless Mode &amp; Sideloading\WalkAndUnGZ.bat" "%USERPROFILE%\AppData\Local\Temp\OnboardLogs"\RTDC4019\2016-12-20 &amp; aws s3 cp s3://rtdc.mdm.uploadarchive.raw/RTDC4019/ "%USERPROFILE%\AppData\Local\Temp\OnboardLogs"\RTDC4019\2016-12-21 --exclude "*" --recursive --include "*20161221*" &amp; "%USERPROFILE%\Documents\GitHub\mrs-test-scripts\Headless Mode &amp; Sideloading\WalkAndUnGZ.bat" "%USERPROFILE%\AppData\Local\Temp\OnboardLogs"\RTDC4019\2016-12-21</v>
      </c>
      <c r="S24" s="103" t="str">
        <f>VLOOKUP(C24,'Train Runs'!$A$13:$AE$9971,22,0)</f>
        <v>https://search-rtdc-monitor-bjffxe2xuh6vdkpspy63sjmuny.us-east-1.es.amazonaws.com/_plugin/kibana/#/discover/Steve-Slow-Train-Analysis-(2080s-and-2083s)?_g=(refreshInterval:(display:Off,section:0,value:0),time:(from:'2016-12-20 13:31:12-700',mode:absolute,to:'2016-12-20 16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4" s="105" t="str">
        <f t="shared" si="1"/>
        <v>"C:\Program Files (x86)\AstroGrep\AstroGrep.exe" /spath="%USERPROFILE%\AppData\Local\Temp\OnboardLogs" /stypes="*4019*201612202*" /stext=" 22:.+((SYSTEM_STATE.+slice.+state.+changed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6">
        <f t="shared" si="3"/>
        <v>42724.934513888889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{"issue":{"subject":"","project_id":79,"tracker_id":40,"status_id":1,"priority_id":2,"assigned_to_id":23,"start_date":"2016-12-20","description":"","custom_fields":[{"id":1,"name":"Subdivision","value":"EC"},{"id":4,"name":"Milepost","value":"0.0001"},{"id":17,"name":"Train ID","value":"182-20"},{"id":16,"name":"Locomotive ID","value":"4019"},{"id":130,"name":"Impact","value":""},{"id":150,"name":"Time of Event (Mountain Time)","value":"15:25:42"},{"id":151,"name":"Denver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"%USERPROFILE%\AppData\Local\Temp\OnboardLogs"\RTDC4019\*4019*201612202*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"%USERPROFILE%\AppData\Local\Temp\OnboardLogs"\RTDC4019\*4019*201612202* &gt;&gt; 42724-slicedisagreementcheck.txt</v>
      </c>
    </row>
    <row r="25" spans="1:30" x14ac:dyDescent="0.25">
      <c r="A25" s="36">
        <v>42724.320983796293</v>
      </c>
      <c r="B25" s="31" t="s">
        <v>155</v>
      </c>
      <c r="C25" s="31" t="s">
        <v>463</v>
      </c>
      <c r="D25" s="31" t="s">
        <v>49</v>
      </c>
      <c r="E25" s="31" t="s">
        <v>200</v>
      </c>
      <c r="F25" s="47">
        <v>0</v>
      </c>
      <c r="G25" s="47">
        <v>34</v>
      </c>
      <c r="H25" s="47">
        <v>943</v>
      </c>
      <c r="I25" s="47">
        <v>900</v>
      </c>
      <c r="J25" s="31" t="s">
        <v>201</v>
      </c>
      <c r="K25" s="47">
        <v>826</v>
      </c>
      <c r="L25" s="154" t="s">
        <v>51</v>
      </c>
      <c r="M25" s="155">
        <f t="shared" si="0"/>
        <v>39.072000000000003</v>
      </c>
      <c r="N25" s="156" t="str">
        <f>VLOOKUP(C25,'Trips&amp;Operators'!$C$1:$G$99999,5,FALSE)</f>
        <v>STARKS ANGELINA</v>
      </c>
      <c r="O25" s="184" t="s">
        <v>195</v>
      </c>
      <c r="P25" s="157"/>
      <c r="Q25" s="31"/>
      <c r="R25" s="100" t="str">
        <f>VLOOKUP(C25,'Train Runs'!$A$13:$AE$9971,31,0)</f>
        <v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v>
      </c>
      <c r="S25" s="103" t="str">
        <f>VLOOKUP(C25,'Train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05:53:25-700',mode:absolute,to:'2016-12-20 08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5" s="105" t="str">
        <f t="shared" si="1"/>
        <v>"C:\Program Files (x86)\AstroGrep\AstroGrep.exe" /spath="%USERPROFILE%\AppData\Local\Temp\OnboardLogs" /stypes="*4052*201612201*" /stext=" 14:.+((SYSTEM_STATE.+slice.+state.+changed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6">
        <f t="shared" si="3"/>
        <v>42724.612650462957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{"issue":{"subject":"","project_id":79,"tracker_id":40,"status_id":1,"priority_id":2,"assigned_to_id":23,"start_date":"2016-12-20","description":"","custom_fields":[{"id":1,"name":"Subdivision","value":"EC"},{"id":4,"name":"Milepost","value":"0.0826"},{"id":17,"name":"Train ID","value":"120-20"},{"id":16,"name":"Locomotive ID","value":"4052"},{"id":130,"name":"Impact","value":""},{"id":150,"name":"Time of Event (Mountain Time)","value":"07:42:13"},{"id":151,"name":"Denver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"%USERPROFILE%\AppData\Local\Temp\OnboardLogs"\RTDC4052\*4052*201612201*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"%USERPROFILE%\AppData\Local\Temp\OnboardLogs"\RTDC4052\*4052*201612201* &gt;&gt; 42724-slicedisagreementcheck.txt</v>
      </c>
    </row>
    <row r="26" spans="1:30" x14ac:dyDescent="0.25">
      <c r="A26" s="36">
        <v>42724.321446759262</v>
      </c>
      <c r="B26" s="31" t="s">
        <v>155</v>
      </c>
      <c r="C26" s="31" t="s">
        <v>463</v>
      </c>
      <c r="D26" s="31" t="s">
        <v>49</v>
      </c>
      <c r="E26" s="31" t="s">
        <v>200</v>
      </c>
      <c r="F26" s="47">
        <v>0</v>
      </c>
      <c r="G26" s="47">
        <v>16</v>
      </c>
      <c r="H26" s="47">
        <v>874</v>
      </c>
      <c r="I26" s="47">
        <v>863</v>
      </c>
      <c r="J26" s="31" t="s">
        <v>201</v>
      </c>
      <c r="K26" s="47">
        <v>826</v>
      </c>
      <c r="L26" s="154" t="s">
        <v>51</v>
      </c>
      <c r="M26" s="155">
        <f t="shared" si="0"/>
        <v>19.536000000000001</v>
      </c>
      <c r="N26" s="156" t="str">
        <f>VLOOKUP(C26,'Trips&amp;Operators'!$C$1:$G$99999,5,FALSE)</f>
        <v>STARKS ANGELINA</v>
      </c>
      <c r="O26" s="184" t="s">
        <v>195</v>
      </c>
      <c r="P26" s="157"/>
      <c r="Q26" s="31"/>
      <c r="R26" s="100" t="str">
        <f>VLOOKUP(C26,'Train Runs'!$A$13:$AE$9971,31,0)</f>
        <v>aws s3 cp s3://rtdc.mdm.uploadarchive.raw/RTDC4052/ "%USERPROFILE%\AppData\Local\Temp\OnboardLogs"\RTDC4052\2016-12-20 --exclude "*" --recursive --include "*20161220*" &amp; "%USERPROFILE%\Documents\GitHub\mrs-test-scripts\Headless Mode &amp; Sideloading\WalkAndUnGZ.bat" "%USERPROFILE%\AppData\Local\Temp\OnboardLogs"\RTDC4052\2016-12-20 &amp; aws s3 cp s3://rtdc.mdm.uploadarchive.raw/RTDC4052/ "%USERPROFILE%\AppData\Local\Temp\OnboardLogs"\RTDC4052\2016-12-21 --exclude "*" --recursive --include "*20161221*" &amp; "%USERPROFILE%\Documents\GitHub\mrs-test-scripts\Headless Mode &amp; Sideloading\WalkAndUnGZ.bat" "%USERPROFILE%\AppData\Local\Temp\OnboardLogs"\RTDC4052\2016-12-21</v>
      </c>
      <c r="S26" s="103" t="str">
        <f>VLOOKUP(C26,'Train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05:53:25-700',mode:absolute,to:'2016-12-20 08:42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6" s="105" t="str">
        <f t="shared" si="1"/>
        <v>"C:\Program Files (x86)\AstroGrep\AstroGrep.exe" /spath="%USERPROFILE%\AppData\Local\Temp\OnboardLogs" /stypes="*4052*201612201*" /stext=" 14:.+((SYSTEM_STATE.+slice.+state.+changed )|(ment ac)|(multiple cpu faults)|(system.+state.+changed )|(\[timeout)|(PRM\|1\|D)|(kpr)|(kdp)|(\|lc)|(penalty))" /e /r /s</v>
      </c>
      <c r="U26" s="9" t="str">
        <f t="shared" si="2"/>
        <v>4052</v>
      </c>
      <c r="V26" s="36">
        <f t="shared" si="3"/>
        <v>42724.613113425927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{"issue":{"subject":"","project_id":79,"tracker_id":40,"status_id":1,"priority_id":2,"assigned_to_id":23,"start_date":"2016-12-20","description":"","custom_fields":[{"id":1,"name":"Subdivision","value":"EC"},{"id":4,"name":"Milepost","value":"0.0826"},{"id":17,"name":"Train ID","value":"120-20"},{"id":16,"name":"Locomotive ID","value":"4052"},{"id":130,"name":"Impact","value":""},{"id":150,"name":"Time of Event (Mountain Time)","value":"07:42:53"},{"id":151,"name":"Denver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"%USERPROFILE%\AppData\Local\Temp\OnboardLogs"\RTDC4052\*4052*201612201*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"%USERPROFILE%\AppData\Local\Temp\OnboardLogs"\RTDC4052\*4052*201612201* &gt;&gt; 42724-slicedisagreementcheck.txt</v>
      </c>
    </row>
    <row r="27" spans="1:30" x14ac:dyDescent="0.25">
      <c r="A27" s="36">
        <v>42724.827824074076</v>
      </c>
      <c r="B27" s="31" t="s">
        <v>296</v>
      </c>
      <c r="C27" s="31" t="s">
        <v>489</v>
      </c>
      <c r="D27" s="31" t="s">
        <v>49</v>
      </c>
      <c r="E27" s="31" t="s">
        <v>200</v>
      </c>
      <c r="F27" s="47">
        <v>0</v>
      </c>
      <c r="G27" s="47">
        <v>35</v>
      </c>
      <c r="H27" s="47">
        <v>937</v>
      </c>
      <c r="I27" s="47">
        <v>907</v>
      </c>
      <c r="J27" s="31" t="s">
        <v>201</v>
      </c>
      <c r="K27" s="47">
        <v>839</v>
      </c>
      <c r="L27" s="154" t="s">
        <v>51</v>
      </c>
      <c r="M27" s="155">
        <f t="shared" si="0"/>
        <v>35.904000000000003</v>
      </c>
      <c r="N27" s="156" t="str">
        <f>VLOOKUP(C27,'Trips&amp;Operators'!$C$1:$G$99999,5,FALSE)</f>
        <v>YANG JAN</v>
      </c>
      <c r="O27" s="184" t="s">
        <v>227</v>
      </c>
      <c r="P27" s="157" t="s">
        <v>971</v>
      </c>
      <c r="Q27" s="31"/>
      <c r="R27" s="100" t="str">
        <f>VLOOKUP(C27,'Train Runs'!$A$13:$AE$9971,31,0)</f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S27" s="103" t="str">
        <f>VLOOKUP(C27,'Train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18:06:29-700',mode:absolute,to:'2016-12-20 20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7" s="105" t="str">
        <f t="shared" si="1"/>
        <v>"C:\Program Files (x86)\AstroGrep\AstroGrep.exe" /spath="%USERPROFILE%\AppData\Local\Temp\OnboardLogs" /stypes="*4010*201612210*" /stext=" 02:.+((SYSTEM_STATE.+slice.+state.+changed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6">
        <f t="shared" si="3"/>
        <v>42725.119490740741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braking","project_id":79,"tracker_id":40,"status_id":1,"priority_id":2,"assigned_to_id":23,"start_date":"2016-12-20","description":"","custom_fields":[{"id":1,"name":"Subdivision","value":"EC"},{"id":4,"name":"Milepost","value":"0.0839"},{"id":17,"name":"Train ID","value":"218-20"},{"id":16,"name":"Locomotive ID","value":"4010"},{"id":130,"name":"Impact","value":""},{"id":150,"name":"Time of Event (Mountain Time)","value":"19:52:04"},{"id":151,"name":"Denver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"%USERPROFILE%\AppData\Local\Temp\OnboardLogs"\RTDC4010\*4010*201612210*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28" spans="1:30" ht="15" customHeight="1" x14ac:dyDescent="0.25">
      <c r="A28" s="36">
        <v>42724.828043981484</v>
      </c>
      <c r="B28" s="31" t="s">
        <v>296</v>
      </c>
      <c r="C28" s="31" t="s">
        <v>489</v>
      </c>
      <c r="D28" s="31" t="s">
        <v>49</v>
      </c>
      <c r="E28" s="31" t="s">
        <v>200</v>
      </c>
      <c r="F28" s="47">
        <v>0</v>
      </c>
      <c r="G28" s="47">
        <v>14</v>
      </c>
      <c r="H28" s="47">
        <v>881</v>
      </c>
      <c r="I28" s="47">
        <v>864</v>
      </c>
      <c r="J28" s="31" t="s">
        <v>201</v>
      </c>
      <c r="K28" s="47">
        <v>839</v>
      </c>
      <c r="L28" s="154" t="s">
        <v>51</v>
      </c>
      <c r="M28" s="155">
        <f t="shared" si="0"/>
        <v>13.2</v>
      </c>
      <c r="N28" s="156" t="str">
        <f>VLOOKUP(C28,'Trips&amp;Operators'!$C$1:$G$99999,5,FALSE)</f>
        <v>YANG JAN</v>
      </c>
      <c r="O28" s="184" t="s">
        <v>227</v>
      </c>
      <c r="P28" s="157" t="s">
        <v>971</v>
      </c>
      <c r="Q28" s="31"/>
      <c r="R28" s="100" t="str">
        <f>VLOOKUP(C28,'Train Runs'!$A$13:$AE$9971,31,0)</f>
        <v>aws s3 cp s3://rtdc.mdm.uploadarchive.raw/RTDC4010/ "%USERPROFILE%\AppData\Local\Temp\OnboardLogs"\RTDC4010\2016-12-20 --exclude "*" --recursive --include "*20161220*" &amp; "%USERPROFILE%\Documents\GitHub\mrs-test-scripts\Headless Mode &amp; Sideloading\WalkAndUnGZ.bat" "%USERPROFILE%\AppData\Local\Temp\OnboardLogs"\RTDC4010\2016-12-20 &amp; 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</v>
      </c>
      <c r="S28" s="103" t="str">
        <f>VLOOKUP(C28,'Train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18:06:29-700',mode:absolute,to:'2016-12-20 20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/stypes="*4010*201612210*" /stext=" 02:.+((SYSTEM_STATE.+slice.+state.+changed )|(ment ac)|(multiple cpu faults)|(system.+state.+changed )|(\[timeout)|(PRM\|1\|D)|(kpr)|(kdp)|(\|lc)|(penalty))" /e /r /s</v>
      </c>
      <c r="U28" s="9" t="str">
        <f t="shared" si="2"/>
        <v>4010</v>
      </c>
      <c r="V28" s="36">
        <f t="shared" si="3"/>
        <v>42725.119710648149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braking","project_id":79,"tracker_id":40,"status_id":1,"priority_id":2,"assigned_to_id":23,"start_date":"2016-12-20","description":"","custom_fields":[{"id":1,"name":"Subdivision","value":"EC"},{"id":4,"name":"Milepost","value":"0.0839"},{"id":17,"name":"Train ID","value":"218-20"},{"id":16,"name":"Locomotive ID","value":"4010"},{"id":130,"name":"Impact","value":""},{"id":150,"name":"Time of Event (Mountain Time)","value":"19:52:23"},{"id":151,"name":"Denver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"%USERPROFILE%\AppData\Local\Temp\OnboardLogs"\RTDC4010\*4010*201612210*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29" spans="1:30" ht="15" customHeight="1" x14ac:dyDescent="0.25">
      <c r="A29" s="36">
        <v>42725.067291666666</v>
      </c>
      <c r="B29" s="31" t="s">
        <v>296</v>
      </c>
      <c r="C29" s="31" t="s">
        <v>495</v>
      </c>
      <c r="D29" s="31" t="s">
        <v>49</v>
      </c>
      <c r="E29" s="31" t="s">
        <v>200</v>
      </c>
      <c r="F29" s="47">
        <v>0</v>
      </c>
      <c r="G29" s="47">
        <v>111</v>
      </c>
      <c r="H29" s="47">
        <v>1501</v>
      </c>
      <c r="I29" s="47">
        <v>1367</v>
      </c>
      <c r="J29" s="31" t="s">
        <v>201</v>
      </c>
      <c r="K29" s="47">
        <v>839</v>
      </c>
      <c r="L29" s="154" t="s">
        <v>51</v>
      </c>
      <c r="M29" s="155">
        <f t="shared" si="0"/>
        <v>278.78399999999999</v>
      </c>
      <c r="N29" s="156" t="str">
        <f>VLOOKUP(C29,'Trips&amp;Operators'!$C$1:$G$99999,5,FALSE)</f>
        <v>YANG JAN</v>
      </c>
      <c r="O29" s="184" t="s">
        <v>195</v>
      </c>
      <c r="P29" s="157"/>
      <c r="Q29" s="31"/>
      <c r="R29" s="100" t="str">
        <f>VLOOKUP(C29,'Train Runs'!$A$13:$AE$9971,31,0)</f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S29" s="103" t="str">
        <f>VLOOKUP(C29,'Train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23:45:33-700',mode:absolute,to:'2016-12-21 02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 t="shared" si="1"/>
        <v>"C:\Program Files (x86)\AstroGrep\AstroGrep.exe" /spath="%USERPROFILE%\AppData\Local\Temp\OnboardLogs" /stypes="*4010*201612210*" /stext=" 08:.+((SYSTEM_STATE.+slice.+state.+changed )|(ment ac)|(multiple cpu faults)|(system.+state.+changed )|(\[timeout)|(PRM\|1\|D)|(kpr)|(kdp)|(\|lc)|(penalty))" /e /r /s</v>
      </c>
      <c r="U29" s="9" t="str">
        <f t="shared" si="2"/>
        <v>4010</v>
      </c>
      <c r="V29" s="36">
        <f t="shared" si="3"/>
        <v>42725.358958333331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{"issue":{"subject":"","project_id":79,"tracker_id":40,"status_id":1,"priority_id":2,"assigned_to_id":23,"start_date":"2016-12-21","description":"","custom_fields":[{"id":1,"name":"Subdivision","value":"EC"},{"id":4,"name":"Milepost","value":"0.0839"},{"id":17,"name":"Train ID","value":"242-20"},{"id":16,"name":"Locomotive ID","value":"4010"},{"id":130,"name":"Impact","value":""},{"id":150,"name":"Time of Event (Mountain Time)","value":"01:36:54"},{"id":151,"name":"Denver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"%USERPROFILE%\AppData\Local\Temp\OnboardLogs"\RTDC4010\*4010*201612210*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30" spans="1:30" x14ac:dyDescent="0.25">
      <c r="A30" s="36">
        <v>42725.068136574075</v>
      </c>
      <c r="B30" s="31" t="s">
        <v>296</v>
      </c>
      <c r="C30" s="31" t="s">
        <v>495</v>
      </c>
      <c r="D30" s="31" t="s">
        <v>49</v>
      </c>
      <c r="E30" s="31" t="s">
        <v>200</v>
      </c>
      <c r="F30" s="47">
        <v>0</v>
      </c>
      <c r="G30" s="47">
        <v>21</v>
      </c>
      <c r="H30" s="47">
        <v>875</v>
      </c>
      <c r="I30" s="47">
        <v>858</v>
      </c>
      <c r="J30" s="31" t="s">
        <v>201</v>
      </c>
      <c r="K30" s="47">
        <v>839</v>
      </c>
      <c r="L30" s="154" t="s">
        <v>51</v>
      </c>
      <c r="M30" s="155">
        <f t="shared" si="0"/>
        <v>10.032</v>
      </c>
      <c r="N30" s="156" t="str">
        <f>VLOOKUP(C30,'Trips&amp;Operators'!$C$1:$G$99999,5,FALSE)</f>
        <v>YANG JAN</v>
      </c>
      <c r="O30" s="184" t="s">
        <v>195</v>
      </c>
      <c r="P30" s="157"/>
      <c r="Q30" s="31"/>
      <c r="R30" s="100" t="str">
        <f>VLOOKUP(C30,'Train Runs'!$A$13:$AE$9971,31,0)</f>
        <v>aws s3 cp s3://rtdc.mdm.uploadarchive.raw/RTDC4010/ "%USERPROFILE%\AppData\Local\Temp\OnboardLogs"\RTDC4010\2016-12-21 --exclude "*" --recursive --include "*20161221*" &amp; "%USERPROFILE%\Documents\GitHub\mrs-test-scripts\Headless Mode &amp; Sideloading\WalkAndUnGZ.bat" "%USERPROFILE%\AppData\Local\Temp\OnboardLogs"\RTDC4010\2016-12-21 &amp; 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</v>
      </c>
      <c r="S30" s="103" t="str">
        <f>VLOOKUP(C30,'Train Runs'!$A$13:$AE$9971,22,0)</f>
        <v>https://search-rtdc-monitor-bjffxe2xuh6vdkpspy63sjmuny.us-east-1.es.amazonaws.com/_plugin/kibana/#/discover/Steve-Slow-Train-Analysis-(2080s-and-2083s)?_g=(refreshInterval:(display:Off,section:0,value:0),time:(from:'2016-12-20 23:45:33-700',mode:absolute,to:'2016-12-21 02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0" s="105" t="str">
        <f t="shared" si="1"/>
        <v>"C:\Program Files (x86)\AstroGrep\AstroGrep.exe" /spath="%USERPROFILE%\AppData\Local\Temp\OnboardLogs" /stypes="*4010*201612210*" /stext=" 08:.+((SYSTEM_STATE.+slice.+state.+changed )|(ment ac)|(multiple cpu faults)|(system.+state.+changed )|(\[timeout)|(PRM\|1\|D)|(kpr)|(kdp)|(\|lc)|(penalty))" /e /r /s</v>
      </c>
      <c r="U30" s="9" t="str">
        <f t="shared" si="2"/>
        <v>4010</v>
      </c>
      <c r="V30" s="36">
        <f t="shared" si="3"/>
        <v>42725.359803240739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{"issue":{"subject":"","project_id":79,"tracker_id":40,"status_id":1,"priority_id":2,"assigned_to_id":23,"start_date":"2016-12-21","description":"","custom_fields":[{"id":1,"name":"Subdivision","value":"EC"},{"id":4,"name":"Milepost","value":"0.0839"},{"id":17,"name":"Train ID","value":"242-20"},{"id":16,"name":"Locomotive ID","value":"4010"},{"id":130,"name":"Impact","value":""},{"id":150,"name":"Time of Event (Mountain Time)","value":"01:38:07"},{"id":151,"name":"Denver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"%USERPROFILE%\AppData\Local\Temp\OnboardLogs"\RTDC4010\*4010*201612210*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"%USERPROFILE%\AppData\Local\Temp\OnboardLogs"\RTDC4010\*4010*201612210* &gt;&gt; 42724-slicedisagreementcheck.txt</v>
      </c>
    </row>
    <row r="31" spans="1:30" x14ac:dyDescent="0.25">
      <c r="A31" s="36">
        <v>42724.462326388886</v>
      </c>
      <c r="B31" s="31" t="s">
        <v>317</v>
      </c>
      <c r="C31" s="31" t="s">
        <v>473</v>
      </c>
      <c r="D31" s="31" t="s">
        <v>49</v>
      </c>
      <c r="E31" s="31" t="s">
        <v>200</v>
      </c>
      <c r="F31" s="47">
        <v>0</v>
      </c>
      <c r="G31" s="47">
        <v>71</v>
      </c>
      <c r="H31" s="47">
        <v>233220</v>
      </c>
      <c r="I31" s="47">
        <v>233286</v>
      </c>
      <c r="J31" s="31" t="s">
        <v>201</v>
      </c>
      <c r="K31" s="47">
        <v>233491</v>
      </c>
      <c r="L31" s="154" t="s">
        <v>50</v>
      </c>
      <c r="M31" s="155">
        <f t="shared" si="0"/>
        <v>108.24</v>
      </c>
      <c r="N31" s="156" t="str">
        <f>VLOOKUP(C31,'Trips&amp;Operators'!$C$1:$G$99999,5,FALSE)</f>
        <v>SIMMONS SHYHESHA</v>
      </c>
      <c r="O31" s="184" t="s">
        <v>227</v>
      </c>
      <c r="P31" s="157" t="s">
        <v>971</v>
      </c>
      <c r="Q31" s="31"/>
      <c r="R31" s="100" t="str">
        <f>VLOOKUP(C31,'Train Runs'!$A$13:$AE$9971,31,0)</f>
        <v>aws s3 cp s3://rtdc.mdm.uploadarchive.raw/RTDC4044/ "%USERPROFILE%\AppData\Local\Temp\OnboardLogs"\RTDC4044\2016-12-20 --exclude "*" --recursive --include "*20161220*" &amp; "%USERPROFILE%\Documents\GitHub\mrs-test-scripts\Headless Mode &amp; Sideloading\WalkAndUnGZ.bat" "%USERPROFILE%\AppData\Local\Temp\OnboardLogs"\RTDC4044\2016-12-20 &amp; aws s3 cp s3://rtdc.mdm.uploadarchive.raw/RTDC4044/ "%USERPROFILE%\AppData\Local\Temp\OnboardLogs"\RTDC4044\2016-12-21 --exclude "*" --recursive --include "*20161221*" &amp; "%USERPROFILE%\Documents\GitHub\mrs-test-scripts\Headless Mode &amp; Sideloading\WalkAndUnGZ.bat" "%USERPROFILE%\AppData\Local\Temp\OnboardLogs"\RTDC4044\2016-12-21</v>
      </c>
      <c r="S31" s="103" t="str">
        <f>VLOOKUP(C31,'Train Runs'!$A$13:$AE$9971,22,0)</f>
        <v>https://search-rtdc-monitor-bjffxe2xuh6vdkpspy63sjmuny.us-east-1.es.amazonaws.com/_plugin/kibana/#/discover/Steve-Slow-Train-Analysis-(2080s-and-2083s)?_g=(refreshInterval:(display:Off,section:0,value:0),time:(from:'2016-12-20 09:24:41-700',mode:absolute,to:'2016-12-20 12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5" t="str">
        <f t="shared" si="1"/>
        <v>"C:\Program Files (x86)\AstroGrep\AstroGrep.exe" /spath="%USERPROFILE%\AppData\Local\Temp\OnboardLogs" /stypes="*4044*201612201*" /stext=" 18:.+((SYSTEM_STATE.+slice.+state.+changed )|(ment ac)|(multiple cpu faults)|(system.+state.+changed )|(\[timeout)|(PRM\|1\|D)|(kpr)|(kdp)|(\|lc)|(penalty))" /e /r /s</v>
      </c>
      <c r="U31" s="9" t="str">
        <f t="shared" si="2"/>
        <v>4044</v>
      </c>
      <c r="V31" s="36">
        <f t="shared" si="3"/>
        <v>42724.75399305555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{"issue":{"subject":"Banner without braking","project_id":79,"tracker_id":40,"status_id":1,"priority_id":2,"assigned_to_id":23,"start_date":"2016-12-20","description":"","custom_fields":[{"id":1,"name":"Subdivision","value":"EC"},{"id":4,"name":"Milepost","value":"23.3491"},{"id":17,"name":"Train ID","value":"155-20"},{"id":16,"name":"Locomotive ID","value":"4044"},{"id":130,"name":"Impact","value":""},{"id":150,"name":"Time of Event (Mountain Time)","value":"11:05:45"},{"id":151,"name":"Denver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"%USERPROFILE%\AppData\Local\Temp\OnboardLogs"\RTDC4044\*4044*201612201*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"%USERPROFILE%\AppData\Local\Temp\OnboardLogs"\RTDC4044\*4044*201612201* &gt;&gt; 42724-slicedisagreementcheck.txt</v>
      </c>
    </row>
    <row r="32" spans="1:30" x14ac:dyDescent="0.25">
      <c r="A32" s="36">
        <v>42724.663784722223</v>
      </c>
      <c r="B32" s="31" t="s">
        <v>232</v>
      </c>
      <c r="C32" s="31" t="s">
        <v>482</v>
      </c>
      <c r="D32" s="31" t="s">
        <v>49</v>
      </c>
      <c r="E32" s="31" t="s">
        <v>200</v>
      </c>
      <c r="F32" s="47">
        <v>0</v>
      </c>
      <c r="G32" s="47">
        <v>64</v>
      </c>
      <c r="H32" s="47">
        <v>233145</v>
      </c>
      <c r="I32" s="47">
        <v>233230</v>
      </c>
      <c r="J32" s="31" t="s">
        <v>201</v>
      </c>
      <c r="K32" s="47">
        <v>233491</v>
      </c>
      <c r="L32" s="154" t="s">
        <v>50</v>
      </c>
      <c r="M32" s="155">
        <f t="shared" si="0"/>
        <v>137.80799999999999</v>
      </c>
      <c r="N32" s="156" t="str">
        <f>VLOOKUP(C32,'Trips&amp;Operators'!$C$1:$G$99999,5,FALSE)</f>
        <v>CLARK KATHLEEN</v>
      </c>
      <c r="O32" s="184" t="s">
        <v>195</v>
      </c>
      <c r="P32" s="157"/>
      <c r="Q32" s="31"/>
      <c r="R32" s="100" t="str">
        <f>VLOOKUP(C32,'Train Runs'!$A$13:$AE$9971,31,0)</f>
        <v>aws s3 cp s3://rtdc.mdm.uploadarchive.raw/RTDC4042/ "%USERPROFILE%\AppData\Local\Temp\OnboardLogs"\RTDC4042\2016-12-20 --exclude "*" --recursive --include "*20161220*" &amp; "%USERPROFILE%\Documents\GitHub\mrs-test-scripts\Headless Mode &amp; Sideloading\WalkAndUnGZ.bat" "%USERPROFILE%\AppData\Local\Temp\OnboardLogs"\RTDC4042\2016-12-20 &amp; aws s3 cp s3://rtdc.mdm.uploadarchive.raw/RTDC4042/ "%USERPROFILE%\AppData\Local\Temp\OnboardLogs"\RTDC4042\2016-12-21 --exclude "*" --recursive --include "*20161221*" &amp; "%USERPROFILE%\Documents\GitHub\mrs-test-scripts\Headless Mode &amp; Sideloading\WalkAndUnGZ.bat" "%USERPROFILE%\AppData\Local\Temp\OnboardLogs"\RTDC4042\2016-12-21</v>
      </c>
      <c r="S32" s="103" t="str">
        <f>VLOOKUP(C32,'Train Runs'!$A$13:$AE$9971,22,0)</f>
        <v>https://search-rtdc-monitor-bjffxe2xuh6vdkpspy63sjmuny.us-east-1.es.amazonaws.com/_plugin/kibana/#/discover/Steve-Slow-Train-Analysis-(2080s-and-2083s)?_g=(refreshInterval:(display:Off,section:0,value:0),time:(from:'2016-12-20 14:10:46-700',mode:absolute,to:'2016-12-20 16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2" s="105" t="str">
        <f t="shared" si="1"/>
        <v>"C:\Program Files (x86)\AstroGrep\AstroGrep.exe" /spath="%USERPROFILE%\AppData\Local\Temp\OnboardLogs" /stypes="*4042*201612202*" /stext=" 22:.+((SYSTEM_STATE.+slice.+state.+changed )|(ment ac)|(multiple cpu faults)|(system.+state.+changed )|(\[timeout)|(PRM\|1\|D)|(kpr)|(kdp)|(\|lc)|(penalty))" /e /r /s</v>
      </c>
      <c r="U32" s="9" t="str">
        <f t="shared" si="2"/>
        <v>4042</v>
      </c>
      <c r="V32" s="36">
        <f t="shared" si="3"/>
        <v>42724.955451388887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{"issue":{"subject":"","project_id":79,"tracker_id":40,"status_id":1,"priority_id":2,"assigned_to_id":23,"start_date":"2016-12-20","description":"","custom_fields":[{"id":1,"name":"Subdivision","value":"EC"},{"id":4,"name":"Milepost","value":"23.3491"},{"id":17,"name":"Train ID","value":"193-20"},{"id":16,"name":"Locomotive ID","value":"4042"},{"id":130,"name":"Impact","value":""},{"id":150,"name":"Time of Event (Mountain Time)","value":"15:55:51"},{"id":151,"name":"Denver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"%USERPROFILE%\AppData\Local\Temp\OnboardLogs"\RTDC4042\*4042*201612202*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"%USERPROFILE%\AppData\Local\Temp\OnboardLogs"\RTDC4042\*4042*201612202* &gt;&gt; 42724-slicedisagreementcheck.txt</v>
      </c>
    </row>
    <row r="33" spans="1:30" x14ac:dyDescent="0.25">
      <c r="A33" s="36">
        <v>42724.861990740741</v>
      </c>
      <c r="B33" s="31" t="s">
        <v>229</v>
      </c>
      <c r="C33" s="31" t="s">
        <v>490</v>
      </c>
      <c r="D33" s="31" t="s">
        <v>49</v>
      </c>
      <c r="E33" s="31" t="s">
        <v>200</v>
      </c>
      <c r="F33" s="47">
        <v>0</v>
      </c>
      <c r="G33" s="47">
        <v>43</v>
      </c>
      <c r="H33" s="47">
        <v>233342</v>
      </c>
      <c r="I33" s="47">
        <v>233380</v>
      </c>
      <c r="J33" s="31" t="s">
        <v>201</v>
      </c>
      <c r="K33" s="47">
        <v>233491</v>
      </c>
      <c r="L33" s="154" t="s">
        <v>50</v>
      </c>
      <c r="M33" s="155">
        <f t="shared" si="0"/>
        <v>58.607999999999997</v>
      </c>
      <c r="N33" s="156" t="str">
        <f>VLOOKUP(C33,'Trips&amp;Operators'!$C$1:$G$99999,5,FALSE)</f>
        <v>YANG JAN</v>
      </c>
      <c r="O33" s="184" t="s">
        <v>195</v>
      </c>
      <c r="P33" s="157"/>
      <c r="Q33" s="31"/>
      <c r="R33" s="100" t="str">
        <f>VLOOKUP(C33,'Train Runs'!$A$13:$AE$9971,31,0)</f>
        <v>aws s3 cp s3://rtdc.mdm.uploadarchive.raw/RTDC4046/ "%USERPROFILE%\AppData\Local\Temp\OnboardLogs"\RTDC4046\2016-12-20 --exclude "*" --recursive --include "*20161220*" &amp; "%USERPROFILE%\Documents\GitHub\mrs-test-scripts\Headless Mode &amp; Sideloading\WalkAndUnGZ.bat" "%USERPROFILE%\AppData\Local\Temp\OnboardLogs"\RTDC4046\2016-12-20 &amp; aws s3 cp s3://rtdc.mdm.uploadarchive.raw/RTDC4046/ "%USERPROFILE%\AppData\Local\Temp\OnboardLogs"\RTDC4046\2016-12-21 --exclude "*" --recursive --include "*20161221*" &amp; "%USERPROFILE%\Documents\GitHub\mrs-test-scripts\Headless Mode &amp; Sideloading\WalkAndUnGZ.bat" "%USERPROFILE%\AppData\Local\Temp\OnboardLogs"\RTDC4046\2016-12-21</v>
      </c>
      <c r="S33" s="103" t="str">
        <f>VLOOKUP(C33,'Train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18:58:43-700',mode:absolute,to:'2016-12-20 21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/stypes="*4046*201612210*" /stext=" 03:.+((SYSTEM_STATE.+slice.+state.+changed )|(ment ac)|(multiple cpu faults)|(system.+state.+changed )|(\[timeout)|(PRM\|1\|D)|(kpr)|(kdp)|(\|lc)|(penalty))" /e /r /s</v>
      </c>
      <c r="U33" s="9" t="str">
        <f t="shared" si="2"/>
        <v>4046</v>
      </c>
      <c r="V33" s="36">
        <f t="shared" si="3"/>
        <v>42725.153657407405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{"issue":{"subject":"","project_id":79,"tracker_id":40,"status_id":1,"priority_id":2,"assigned_to_id":23,"start_date":"2016-12-20","description":"","custom_fields":[{"id":1,"name":"Subdivision","value":"EC"},{"id":4,"name":"Milepost","value":"23.3491"},{"id":17,"name":"Train ID","value":"225-20"},{"id":16,"name":"Locomotive ID","value":"4046"},{"id":130,"name":"Impact","value":""},{"id":150,"name":"Time of Event (Mountain Time)","value":"20:41:16"},{"id":151,"name":"Denver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"%USERPROFILE%\AppData\Local\Temp\OnboardLogs"\RTDC4046\*4046*201612210*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"%USERPROFILE%\AppData\Local\Temp\OnboardLogs"\RTDC4046\*4046*201612210* &gt;&gt; 42724-slicedisagreementcheck.txt</v>
      </c>
    </row>
    <row r="34" spans="1:30" x14ac:dyDescent="0.25">
      <c r="A34" s="36">
        <v>42724.725590277776</v>
      </c>
      <c r="B34" s="31" t="s">
        <v>276</v>
      </c>
      <c r="C34" s="31" t="s">
        <v>486</v>
      </c>
      <c r="D34" s="31" t="s">
        <v>49</v>
      </c>
      <c r="E34" s="31" t="s">
        <v>248</v>
      </c>
      <c r="F34" s="47">
        <v>90</v>
      </c>
      <c r="G34" s="47">
        <v>151</v>
      </c>
      <c r="H34" s="47">
        <v>10167</v>
      </c>
      <c r="I34" s="47">
        <v>10415</v>
      </c>
      <c r="J34" s="31" t="s">
        <v>249</v>
      </c>
      <c r="K34" s="47">
        <v>10716</v>
      </c>
      <c r="L34" s="154" t="s">
        <v>50</v>
      </c>
      <c r="M34" s="155">
        <f t="shared" si="0"/>
        <v>158.928</v>
      </c>
      <c r="N34" s="156" t="str">
        <f>VLOOKUP(C34,'Trips&amp;Operators'!$C$1:$G$99999,5,FALSE)</f>
        <v>LEVIN SCOTT</v>
      </c>
      <c r="O34" s="184" t="s">
        <v>195</v>
      </c>
      <c r="P34" s="157" t="s">
        <v>458</v>
      </c>
      <c r="Q34" s="31"/>
      <c r="R34" s="100" t="str">
        <f>VLOOKUP(C34,'Train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34" s="103" t="str">
        <f>VLOOKUP(C34,'Train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16:14:59-700',mode:absolute,to:'2016-12-20 18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4" s="105" t="str">
        <f t="shared" si="1"/>
        <v>"C:\Program Files (x86)\AstroGrep\AstroGrep.exe" /spath="%USERPROFILE%\AppData\Local\Temp\OnboardLogs" /stypes="*4003*201612210*" /stext=" 00:.+((SYSTEM_STATE.+slice.+state.+changed )|(ment ac)|(multiple cpu faults)|(system.+state.+changed )|(\[timeout)|(PRM\|1\|D)|(kpr)|(kdp)|(\|lc)|(penalty))" /e /r /s</v>
      </c>
      <c r="U34" s="9" t="str">
        <f t="shared" si="2"/>
        <v>4003</v>
      </c>
      <c r="V34" s="36">
        <f t="shared" si="3"/>
        <v>42725.01725694444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{"issue":{"subject":"Early arrival","project_id":79,"tracker_id":40,"status_id":1,"priority_id":2,"assigned_to_id":23,"start_date":"2016-12-20","description":"","custom_fields":[{"id":1,"name":"Subdivision","value":"NW"},{"id":4,"name":"Milepost","value":"1.0716"},{"id":17,"name":"Train ID","value":"833-20"},{"id":16,"name":"Locomotive ID","value":"4003"},{"id":130,"name":"Impact","value":""},{"id":150,"name":"Time of Event (Mountain Time)","value":"17:24:51"},{"id":151,"name":"Denver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"%USERPROFILE%\AppData\Local\Temp\OnboardLogs"\RTDC4003\*4003*201612210*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35" spans="1:30" x14ac:dyDescent="0.25">
      <c r="A35" s="36">
        <v>42724.519074074073</v>
      </c>
      <c r="B35" s="31" t="s">
        <v>276</v>
      </c>
      <c r="C35" s="31" t="s">
        <v>475</v>
      </c>
      <c r="D35" s="31" t="s">
        <v>98</v>
      </c>
      <c r="E35" s="31" t="s">
        <v>196</v>
      </c>
      <c r="F35" s="47">
        <v>300</v>
      </c>
      <c r="G35" s="47">
        <v>357</v>
      </c>
      <c r="H35" s="47">
        <v>23833</v>
      </c>
      <c r="I35" s="47">
        <v>24932</v>
      </c>
      <c r="J35" s="31" t="s">
        <v>197</v>
      </c>
      <c r="K35" s="47">
        <v>21299</v>
      </c>
      <c r="L35" s="154" t="s">
        <v>50</v>
      </c>
      <c r="M35" s="155">
        <f t="shared" si="0"/>
        <v>-1918.2239999999999</v>
      </c>
      <c r="N35" s="156" t="str">
        <f>VLOOKUP(C35,'Trips&amp;Operators'!$C$1:$G$99999,5,FALSE)</f>
        <v>BROWN JACOB</v>
      </c>
      <c r="O35" s="184" t="s">
        <v>195</v>
      </c>
      <c r="P35" s="157"/>
      <c r="Q35" s="31"/>
      <c r="R35" s="100" t="str">
        <f>VLOOKUP(C35,'Train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35" s="103" t="str">
        <f>VLOOKUP(C35,'Train Runs'!$A$13:$AE$9971,22,0)</f>
        <v>https://search-rtdc-monitor-bjffxe2xuh6vdkpspy63sjmuny.us-east-1.es.amazonaws.com/_plugin/kibana/#/discover/Steve-Slow-Train-Analysis-(2080s-and-2083s)?_g=(refreshInterval:(display:Off,section:0,value:0),time:(from:'2016-12-20 11:16:03-700',mode:absolute,to:'2016-12-20 13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5" s="105" t="str">
        <f t="shared" si="1"/>
        <v>"C:\Program Files (x86)\AstroGrep\AstroGrep.exe" /spath="%USERPROFILE%\AppData\Local\Temp\OnboardLogs" /stypes="*4003*201612201*" /stext=" 19:.+((SYSTEM_STATE.+slice.+state.+changed )|(ment ac)|(multiple cpu faults)|(system.+state.+changed )|(\[timeout)|(PRM\|1\|D)|(kpr)|(kdp)|(\|lc)|(penalty))" /e /r /s</v>
      </c>
      <c r="U35" s="9" t="str">
        <f t="shared" si="2"/>
        <v>4003</v>
      </c>
      <c r="V35" s="36">
        <f t="shared" si="3"/>
        <v>42724.810740740737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{"issue":{"subject":"","project_id":79,"tracker_id":40,"status_id":1,"priority_id":2,"assigned_to_id":23,"start_date":"2016-12-20","description":"","custom_fields":[{"id":1,"name":"Subdivision","value":"NW"},{"id":4,"name":"Milepost","value":"2.1299"},{"id":17,"name":"Train ID","value":"819-20"},{"id":16,"name":"Locomotive ID","value":"4003"},{"id":130,"name":"Impact","value":""},{"id":150,"name":"Time of Event (Mountain Time)","value":"12:27:28"},{"id":151,"name":"Denver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"%USERPROFILE%\AppData\Local\Temp\OnboardLogs"\RTDC4003\*4003*201612201*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"%USERPROFILE%\AppData\Local\Temp\OnboardLogs"\RTDC4003\*4003*201612201* &gt;&gt; 42724-slicedisagreementcheck.txt</v>
      </c>
    </row>
    <row r="36" spans="1:30" x14ac:dyDescent="0.25">
      <c r="A36" s="36">
        <v>42724.560081018521</v>
      </c>
      <c r="B36" s="31" t="s">
        <v>276</v>
      </c>
      <c r="C36" s="31" t="s">
        <v>478</v>
      </c>
      <c r="D36" s="31" t="s">
        <v>49</v>
      </c>
      <c r="E36" s="31" t="s">
        <v>196</v>
      </c>
      <c r="F36" s="47">
        <v>300</v>
      </c>
      <c r="G36" s="47">
        <v>492</v>
      </c>
      <c r="H36" s="47">
        <v>18450</v>
      </c>
      <c r="I36" s="47">
        <v>19951</v>
      </c>
      <c r="J36" s="31" t="s">
        <v>197</v>
      </c>
      <c r="K36" s="47">
        <v>21299</v>
      </c>
      <c r="L36" s="154" t="s">
        <v>50</v>
      </c>
      <c r="M36" s="155">
        <f t="shared" si="0"/>
        <v>711.74400000000003</v>
      </c>
      <c r="N36" s="156" t="str">
        <f>VLOOKUP(C36,'Trips&amp;Operators'!$C$1:$G$99999,5,FALSE)</f>
        <v>LEVIN SCOTT</v>
      </c>
      <c r="O36" s="184" t="s">
        <v>195</v>
      </c>
      <c r="P36" s="157"/>
      <c r="Q36" s="31"/>
      <c r="R36" s="100" t="str">
        <f>VLOOKUP(C36,'Train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36" s="103" t="str">
        <f>VLOOKUP(C36,'Train Runs'!$A$13:$AE$9971,22,0)</f>
        <v>https://search-rtdc-monitor-bjffxe2xuh6vdkpspy63sjmuny.us-east-1.es.amazonaws.com/_plugin/kibana/#/discover/Steve-Slow-Train-Analysis-(2080s-and-2083s)?_g=(refreshInterval:(display:Off,section:0,value:0),time:(from:'2016-12-20 12:09:26-700',mode:absolute,to:'2016-12-20 14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6" s="105" t="str">
        <f t="shared" si="1"/>
        <v>"C:\Program Files (x86)\AstroGrep\AstroGrep.exe" /spath="%USERPROFILE%\AppData\Local\Temp\OnboardLogs" /stypes="*4003*201612202*" /stext=" 20:.+((SYSTEM_STATE.+slice.+state.+changed )|(ment ac)|(multiple cpu faults)|(system.+state.+changed )|(\[timeout)|(PRM\|1\|D)|(kpr)|(kdp)|(\|lc)|(penalty))" /e /r /s</v>
      </c>
      <c r="U36" s="9" t="str">
        <f t="shared" si="2"/>
        <v>4003</v>
      </c>
      <c r="V36" s="36">
        <f t="shared" si="3"/>
        <v>42724.851747685185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{"issue":{"subject":"","project_id":79,"tracker_id":40,"status_id":1,"priority_id":2,"assigned_to_id":23,"start_date":"2016-12-20","description":"","custom_fields":[{"id":1,"name":"Subdivision","value":"NW"},{"id":4,"name":"Milepost","value":"2.1299"},{"id":17,"name":"Train ID","value":"821-20"},{"id":16,"name":"Locomotive ID","value":"4003"},{"id":130,"name":"Impact","value":""},{"id":150,"name":"Time of Event (Mountain Time)","value":"13:26:31"},{"id":151,"name":"Denver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"%USERPROFILE%\AppData\Local\Temp\OnboardLogs"\RTDC4003\*4003*201612202*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"%USERPROFILE%\AppData\Local\Temp\OnboardLogs"\RTDC4003\*4003*201612202* &gt;&gt; 42724-slicedisagreementcheck.txt</v>
      </c>
    </row>
    <row r="37" spans="1:30" x14ac:dyDescent="0.25">
      <c r="A37" s="36">
        <v>42724.665127314816</v>
      </c>
      <c r="B37" s="31" t="s">
        <v>244</v>
      </c>
      <c r="C37" s="31" t="s">
        <v>483</v>
      </c>
      <c r="D37" s="31" t="s">
        <v>98</v>
      </c>
      <c r="E37" s="31" t="s">
        <v>196</v>
      </c>
      <c r="F37" s="47">
        <v>300</v>
      </c>
      <c r="G37" s="47">
        <v>353</v>
      </c>
      <c r="H37" s="47">
        <v>23833</v>
      </c>
      <c r="I37" s="47">
        <v>24969</v>
      </c>
      <c r="J37" s="31" t="s">
        <v>197</v>
      </c>
      <c r="K37" s="47">
        <v>21299</v>
      </c>
      <c r="L37" s="154" t="s">
        <v>50</v>
      </c>
      <c r="M37" s="155">
        <f t="shared" si="0"/>
        <v>-1937.76</v>
      </c>
      <c r="N37" s="156" t="str">
        <f>VLOOKUP(C37,'Trips&amp;Operators'!$C$1:$G$99999,5,FALSE)</f>
        <v>HILLS DUSTIN</v>
      </c>
      <c r="O37" s="184" t="s">
        <v>195</v>
      </c>
      <c r="P37" s="157"/>
      <c r="Q37" s="31"/>
      <c r="R37" s="100" t="str">
        <f>VLOOKUP(C37,'Train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37" s="103" t="str">
        <f>VLOOKUP(C37,'Train Runs'!$A$13:$AE$9971,22,0)</f>
        <v>https://search-rtdc-monitor-bjffxe2xuh6vdkpspy63sjmuny.us-east-1.es.amazonaws.com/_plugin/kibana/#/discover/Steve-Slow-Train-Analysis-(2080s-and-2083s)?_g=(refreshInterval:(display:Off,section:0,value:0),time:(from:'2016-12-20 14:28:34-700',mode:absolute,to:'2016-12-20 17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7" s="105" t="str">
        <f t="shared" si="1"/>
        <v>"C:\Program Files (x86)\AstroGrep\AstroGrep.exe" /spath="%USERPROFILE%\AppData\Local\Temp\OnboardLogs" /stypes="*4016*201612202*" /stext=" 22:.+((SYSTEM_STATE.+slice.+state.+changed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6">
        <f t="shared" si="3"/>
        <v>42724.956793981481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{"issue":{"subject":"","project_id":79,"tracker_id":40,"status_id":1,"priority_id":2,"assigned_to_id":23,"start_date":"2016-12-20","description":"","custom_fields":[{"id":1,"name":"Subdivision","value":"NW"},{"id":4,"name":"Milepost","value":"2.1299"},{"id":17,"name":"Train ID","value":"827-20"},{"id":16,"name":"Locomotive ID","value":"4016"},{"id":130,"name":"Impact","value":""},{"id":150,"name":"Time of Event (Mountain Time)","value":"15:57:47"},{"id":151,"name":"Denver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"%USERPROFILE%\AppData\Local\Temp\OnboardLogs"\RTDC4016\*4016*201612202*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"%USERPROFILE%\AppData\Local\Temp\OnboardLogs"\RTDC4016\*4016*201612202* &gt;&gt; 42724-slicedisagreementcheck.txt</v>
      </c>
    </row>
    <row r="38" spans="1:30" x14ac:dyDescent="0.25">
      <c r="A38" s="36">
        <v>42724.709930555553</v>
      </c>
      <c r="B38" s="31" t="s">
        <v>244</v>
      </c>
      <c r="C38" s="31" t="s">
        <v>485</v>
      </c>
      <c r="D38" s="31" t="s">
        <v>49</v>
      </c>
      <c r="E38" s="31" t="s">
        <v>196</v>
      </c>
      <c r="F38" s="47">
        <v>150</v>
      </c>
      <c r="G38" s="47">
        <v>272</v>
      </c>
      <c r="H38" s="47">
        <v>56572</v>
      </c>
      <c r="I38" s="47">
        <v>56993</v>
      </c>
      <c r="J38" s="31" t="s">
        <v>197</v>
      </c>
      <c r="K38" s="47">
        <v>57008</v>
      </c>
      <c r="L38" s="154" t="s">
        <v>50</v>
      </c>
      <c r="M38" s="155">
        <f t="shared" si="0"/>
        <v>7.92</v>
      </c>
      <c r="N38" s="156" t="str">
        <f>VLOOKUP(C38,'Trips&amp;Operators'!$C$1:$G$99999,5,FALSE)</f>
        <v>HILLS DUSTIN</v>
      </c>
      <c r="O38" s="184" t="s">
        <v>195</v>
      </c>
      <c r="P38" s="157"/>
      <c r="Q38" s="31"/>
      <c r="R38" s="100" t="str">
        <f>VLOOKUP(C38,'Train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38" s="103" t="str">
        <f>VLOOKUP(C38,'Train Runs'!$A$13:$AE$9971,22,0)</f>
        <v>https://search-rtdc-monitor-bjffxe2xuh6vdkpspy63sjmuny.us-east-1.es.amazonaws.com/_plugin/kibana/#/discover/Steve-Slow-Train-Analysis-(2080s-and-2083s)?_g=(refreshInterval:(display:Off,section:0,value:0),time:(from:'2016-12-20 15:27:30-700',mode:absolute,to:'2016-12-20 18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/stypes="*4016*201612210*" /stext=" 00:.+((SYSTEM_STATE.+slice.+state.+changed )|(ment ac)|(multiple cpu faults)|(system.+state.+changed )|(\[timeout)|(PRM\|1\|D)|(kpr)|(kdp)|(\|lc)|(penalty))" /e /r /s</v>
      </c>
      <c r="U38" s="9" t="str">
        <f t="shared" si="2"/>
        <v>4016</v>
      </c>
      <c r="V38" s="36">
        <f t="shared" si="3"/>
        <v>42725.001597222217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{"issue":{"subject":"","project_id":79,"tracker_id":40,"status_id":1,"priority_id":2,"assigned_to_id":23,"start_date":"2016-12-20","description":"","custom_fields":[{"id":1,"name":"Subdivision","value":"NW"},{"id":4,"name":"Milepost","value":"5.7008"},{"id":17,"name":"Train ID","value":"831-20"},{"id":16,"name":"Locomotive ID","value":"4016"},{"id":130,"name":"Impact","value":""},{"id":150,"name":"Time of Event (Mountain Time)","value":"17:02:18"},{"id":151,"name":"Denver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"%USERPROFILE%\AppData\Local\Temp\OnboardLogs"\RTDC4016\*4016*201612210*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39" spans="1:30" x14ac:dyDescent="0.25">
      <c r="A39" s="36">
        <v>42724.751863425925</v>
      </c>
      <c r="B39" s="31" t="s">
        <v>244</v>
      </c>
      <c r="C39" s="31" t="s">
        <v>487</v>
      </c>
      <c r="D39" s="31" t="s">
        <v>49</v>
      </c>
      <c r="E39" s="31" t="s">
        <v>196</v>
      </c>
      <c r="F39" s="47">
        <v>150</v>
      </c>
      <c r="G39" s="47">
        <v>436</v>
      </c>
      <c r="H39" s="47">
        <v>55397</v>
      </c>
      <c r="I39" s="47">
        <v>56414</v>
      </c>
      <c r="J39" s="31" t="s">
        <v>197</v>
      </c>
      <c r="K39" s="47">
        <v>57008</v>
      </c>
      <c r="L39" s="154" t="s">
        <v>50</v>
      </c>
      <c r="M39" s="155">
        <f t="shared" si="0"/>
        <v>313.63200000000001</v>
      </c>
      <c r="N39" s="156" t="str">
        <f>VLOOKUP(C39,'Trips&amp;Operators'!$C$1:$G$99999,5,FALSE)</f>
        <v>HILLS DUSTIN</v>
      </c>
      <c r="O39" s="184" t="s">
        <v>195</v>
      </c>
      <c r="P39" s="157"/>
      <c r="Q39" s="31"/>
      <c r="R39" s="100" t="str">
        <f>VLOOKUP(C39,'Train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39" s="103" t="str">
        <f>VLOOKUP(C39,'Train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si="1"/>
        <v>"C:\Program Files (x86)\AstroGrep\AstroGrep.exe" /spath="%USERPROFILE%\AppData\Local\Temp\OnboardLogs" /stypes="*4016*201612210*" /stext=" 01:.+((SYSTEM_STATE.+slice.+state.+changed )|(ment ac)|(multiple cpu faults)|(system.+state.+changed )|(\[timeout)|(PRM\|1\|D)|(kpr)|(kdp)|(\|lc)|(penalty))" /e /r /s</v>
      </c>
      <c r="U39" s="9" t="str">
        <f t="shared" si="2"/>
        <v>4016</v>
      </c>
      <c r="V39" s="36">
        <f t="shared" si="3"/>
        <v>42725.043530092589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{"issue":{"subject":"","project_id":79,"tracker_id":40,"status_id":1,"priority_id":2,"assigned_to_id":23,"start_date":"2016-12-20","description":"","custom_fields":[{"id":1,"name":"Subdivision","value":"NW"},{"id":4,"name":"Milepost","value":"5.7008"},{"id":17,"name":"Train ID","value":"835-20"},{"id":16,"name":"Locomotive ID","value":"4016"},{"id":130,"name":"Impact","value":""},{"id":150,"name":"Time of Event (Mountain Time)","value":"18:02:41"},{"id":151,"name":"Denver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"%USERPROFILE%\AppData\Local\Temp\OnboardLogs"\RTDC4016\*4016*201612210*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40" spans="1:30" x14ac:dyDescent="0.25">
      <c r="A40" s="36">
        <v>42724.349699074075</v>
      </c>
      <c r="B40" s="31" t="s">
        <v>257</v>
      </c>
      <c r="C40" s="31" t="s">
        <v>465</v>
      </c>
      <c r="D40" s="31" t="s">
        <v>49</v>
      </c>
      <c r="E40" s="31" t="s">
        <v>198</v>
      </c>
      <c r="F40" s="47">
        <v>0</v>
      </c>
      <c r="G40" s="47">
        <v>147</v>
      </c>
      <c r="H40" s="47">
        <v>5555</v>
      </c>
      <c r="I40" s="47">
        <v>5249</v>
      </c>
      <c r="J40" s="31" t="s">
        <v>199</v>
      </c>
      <c r="K40" s="47">
        <v>4790</v>
      </c>
      <c r="L40" s="154" t="s">
        <v>51</v>
      </c>
      <c r="M40" s="155">
        <f t="shared" si="0"/>
        <v>242.352</v>
      </c>
      <c r="N40" s="156" t="str">
        <f>VLOOKUP(C40,'Trips&amp;Operators'!$C$1:$G$99999,5,FALSE)</f>
        <v>SIMMONS SHYHESHA</v>
      </c>
      <c r="O40" s="184" t="s">
        <v>195</v>
      </c>
      <c r="P40" s="157" t="s">
        <v>864</v>
      </c>
      <c r="Q40" s="31"/>
      <c r="R40" s="100" t="str">
        <f>VLOOKUP(C40,'Train Runs'!$A$13:$AE$9971,31,0)</f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S40" s="103" t="str">
        <f>VLOOKUP(C40,'Train Runs'!$A$13:$AE$9971,22,0)</f>
        <v>https://search-rtdc-monitor-bjffxe2xuh6vdkpspy63sjmuny.us-east-1.es.amazonaws.com/_plugin/kibana/#/discover/Steve-Slow-Train-Analysis-(2080s-and-2083s)?_g=(refreshInterval:(display:Off,section:0,value:0),time:(from:'2016-12-20 07:09:33-700',mode:absolute,to:'2016-12-20 09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0" s="105" t="str">
        <f t="shared" si="1"/>
        <v>"C:\Program Files (x86)\AstroGrep\AstroGrep.exe" /spath="%USERPROFILE%\AppData\Local\Temp\OnboardLogs" /stypes="*4015*201612201*" /stext=" 15:.+((SYSTEM_STATE.+slice.+state.+changed )|(ment ac)|(multiple cpu faults)|(system.+state.+changed )|(\[timeout)|(PRM\|1\|D)|(kpr)|(kdp)|(\|lc)|(penalty))" /e /r /s</v>
      </c>
      <c r="U40" s="9" t="str">
        <f t="shared" si="2"/>
        <v>4015</v>
      </c>
      <c r="V40" s="36">
        <f t="shared" si="3"/>
        <v>42724.641365740739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{"issue":{"subject":"DUS 28S STOP","project_id":79,"tracker_id":40,"status_id":1,"priority_id":2,"assigned_to_id":23,"start_date":"2016-12-20","description":"","custom_fields":[{"id":1,"name":"Subdivision","value":"NW"},{"id":4,"name":"Milepost","value":"0.479"},{"id":17,"name":"Train ID","value":"810-20"},{"id":16,"name":"Locomotive ID","value":"4015"},{"id":130,"name":"Impact","value":""},{"id":150,"name":"Time of Event (Mountain Time)","value":"08:23:34"},{"id":151,"name":"Denver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"%USERPROFILE%\AppData\Local\Temp\OnboardLogs"\RTDC4015\*4015*201612201*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"%USERPROFILE%\AppData\Local\Temp\OnboardLogs"\RTDC4015\*4015*201612201* &gt;&gt; 42724-slicedisagreementcheck.txt</v>
      </c>
    </row>
    <row r="41" spans="1:30" x14ac:dyDescent="0.25">
      <c r="A41" s="36">
        <v>42724.265798611108</v>
      </c>
      <c r="B41" s="31" t="s">
        <v>257</v>
      </c>
      <c r="C41" s="31" t="s">
        <v>461</v>
      </c>
      <c r="D41" s="31" t="s">
        <v>49</v>
      </c>
      <c r="E41" s="31" t="s">
        <v>198</v>
      </c>
      <c r="F41" s="47">
        <v>0</v>
      </c>
      <c r="G41" s="47">
        <v>363</v>
      </c>
      <c r="H41" s="47">
        <v>8882</v>
      </c>
      <c r="I41" s="47">
        <v>8171</v>
      </c>
      <c r="J41" s="31" t="s">
        <v>199</v>
      </c>
      <c r="K41" s="47">
        <v>6799</v>
      </c>
      <c r="L41" s="154" t="s">
        <v>51</v>
      </c>
      <c r="M41" s="155">
        <f t="shared" si="0"/>
        <v>724.41600000000005</v>
      </c>
      <c r="N41" s="156" t="str">
        <f>VLOOKUP(C41,'Trips&amp;Operators'!$C$1:$G$99999,5,FALSE)</f>
        <v>SIMMONS SHYHESHA</v>
      </c>
      <c r="O41" s="184" t="s">
        <v>195</v>
      </c>
      <c r="P41" s="157" t="s">
        <v>863</v>
      </c>
      <c r="Q41" s="31"/>
      <c r="R41" s="100" t="str">
        <f>VLOOKUP(C41,'Train Runs'!$A$13:$AE$9971,31,0)</f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S41" s="103" t="str">
        <f>VLOOKUP(C41,'Train Runs'!$A$13:$AE$9971,22,0)</f>
        <v>https://search-rtdc-monitor-bjffxe2xuh6vdkpspy63sjmuny.us-east-1.es.amazonaws.com/_plugin/kibana/#/discover/Steve-Slow-Train-Analysis-(2080s-and-2083s)?_g=(refreshInterval:(display:Off,section:0,value:0),time:(from:'2016-12-20 05:06:51-700',mode:absolute,to:'2016-12-20 07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1" s="105" t="str">
        <f t="shared" si="1"/>
        <v>"C:\Program Files (x86)\AstroGrep\AstroGrep.exe" /spath="%USERPROFILE%\AppData\Local\Temp\OnboardLogs" /stypes="*4015*201612201*" /stext=" 13:.+((SYSTEM_STATE.+slice.+state.+changed )|(ment ac)|(multiple cpu faults)|(system.+state.+changed )|(\[timeout)|(PRM\|1\|D)|(kpr)|(kdp)|(\|lc)|(penalty))" /e /r /s</v>
      </c>
      <c r="U41" s="9" t="str">
        <f t="shared" si="2"/>
        <v>4015</v>
      </c>
      <c r="V41" s="36">
        <f t="shared" si="3"/>
        <v>42724.557465277772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{"issue":{"subject":"RESTRICTED aspect","project_id":79,"tracker_id":40,"status_id":1,"priority_id":2,"assigned_to_id":23,"start_date":"2016-12-20","description":"","custom_fields":[{"id":1,"name":"Subdivision","value":"NW"},{"id":4,"name":"Milepost","value":"0.6799"},{"id":17,"name":"Train ID","value":"802-20"},{"id":16,"name":"Locomotive ID","value":"4015"},{"id":130,"name":"Impact","value":""},{"id":150,"name":"Time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"%USERPROFILE%\AppData\Local\Temp\OnboardLogs"\RTDC4015\*4015*201612201*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"%USERPROFILE%\AppData\Local\Temp\OnboardLogs"\RTDC4015\*4015*201612201* &gt;&gt; 42724-slicedisagreementcheck.txt</v>
      </c>
    </row>
    <row r="42" spans="1:30" x14ac:dyDescent="0.25">
      <c r="A42" s="36">
        <v>42724.684328703705</v>
      </c>
      <c r="B42" s="31" t="s">
        <v>257</v>
      </c>
      <c r="C42" s="31" t="s">
        <v>484</v>
      </c>
      <c r="D42" s="31" t="s">
        <v>49</v>
      </c>
      <c r="E42" s="31" t="s">
        <v>200</v>
      </c>
      <c r="F42" s="47">
        <v>0</v>
      </c>
      <c r="G42" s="47">
        <v>67</v>
      </c>
      <c r="H42" s="47">
        <v>713</v>
      </c>
      <c r="I42" s="47">
        <v>657</v>
      </c>
      <c r="J42" s="31" t="s">
        <v>201</v>
      </c>
      <c r="K42" s="47">
        <v>575</v>
      </c>
      <c r="L42" s="154" t="s">
        <v>51</v>
      </c>
      <c r="M42" s="155">
        <f t="shared" si="0"/>
        <v>43.296000000000006</v>
      </c>
      <c r="N42" s="156" t="str">
        <f>VLOOKUP(C42,'Trips&amp;Operators'!$C$1:$G$99999,5,FALSE)</f>
        <v>HILLS DUSTIN</v>
      </c>
      <c r="O42" s="184" t="s">
        <v>195</v>
      </c>
      <c r="P42" s="157"/>
      <c r="Q42" s="31"/>
      <c r="R42" s="100" t="str">
        <f>VLOOKUP(C42,'Train Runs'!$A$13:$AE$9971,31,0)</f>
        <v>aws s3 cp s3://rtdc.mdm.uploadarchive.raw/RTDC4015/ "%USERPROFILE%\AppData\Local\Temp\OnboardLogs"\RTDC4015\2016-12-20 --exclude "*" --recursive --include "*20161220*" &amp; "%USERPROFILE%\Documents\GitHub\mrs-test-scripts\Headless Mode &amp; Sideloading\WalkAndUnGZ.bat" "%USERPROFILE%\AppData\Local\Temp\OnboardLogs"\RTDC4015\2016-12-20 &amp; aws s3 cp s3://rtdc.mdm.uploadarchive.raw/RTDC4015/ "%USERPROFILE%\AppData\Local\Temp\OnboardLogs"\RTDC4015\2016-12-21 --exclude "*" --recursive --include "*20161221*" &amp; "%USERPROFILE%\Documents\GitHub\mrs-test-scripts\Headless Mode &amp; Sideloading\WalkAndUnGZ.bat" "%USERPROFILE%\AppData\Local\Temp\OnboardLogs"\RTDC4015\2016-12-21</v>
      </c>
      <c r="S42" s="103" t="str">
        <f>VLOOKUP(C42,'Train Runs'!$A$13:$AE$9971,22,0)</f>
        <v>https://search-rtdc-monitor-bjffxe2xuh6vdkpspy63sjmuny.us-east-1.es.amazonaws.com/_plugin/kibana/#/discover/Steve-Slow-Train-Analysis-(2080s-and-2083s)?_g=(refreshInterval:(display:Off,section:0,value:0),time:(from:'2016-12-20 15:07:41-700',mode:absolute,to:'2016-12-20 17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2" s="105" t="str">
        <f t="shared" si="1"/>
        <v>"C:\Program Files (x86)\AstroGrep\AstroGrep.exe" /spath="%USERPROFILE%\AppData\Local\Temp\OnboardLogs" /stypes="*4015*201612202*" /stext=" 23:.+((SYSTEM_STATE.+slice.+state.+changed )|(ment ac)|(multiple cpu faults)|(system.+state.+changed )|(\[timeout)|(PRM\|1\|D)|(kpr)|(kdp)|(\|lc)|(penalty))" /e /r /s</v>
      </c>
      <c r="U42" s="9" t="str">
        <f t="shared" si="2"/>
        <v>4015</v>
      </c>
      <c r="V42" s="36">
        <f t="shared" si="3"/>
        <v>42724.975995370369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{"issue":{"subject":"","project_id":79,"tracker_id":40,"status_id":1,"priority_id":2,"assigned_to_id":23,"start_date":"2016-12-20","description":"","custom_fields":[{"id":1,"name":"Subdivision","value":"NW"},{"id":4,"name":"Milepost","value":"0.0575"},{"id":17,"name":"Train ID","value":"828-20"},{"id":16,"name":"Locomotive ID","value":"4015"},{"id":130,"name":"Impact","value":""},{"id":150,"name":"Time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"%USERPROFILE%\AppData\Local\Temp\OnboardLogs"\RTDC4015\*4015*201612202*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"%USERPROFILE%\AppData\Local\Temp\OnboardLogs"\RTDC4015\*4015*201612202* &gt;&gt; 42724-slicedisagreementcheck.txt</v>
      </c>
    </row>
    <row r="43" spans="1:30" x14ac:dyDescent="0.25">
      <c r="A43" s="36">
        <v>42724.815601851849</v>
      </c>
      <c r="B43" s="31" t="s">
        <v>276</v>
      </c>
      <c r="C43" s="31" t="s">
        <v>488</v>
      </c>
      <c r="D43" s="31" t="s">
        <v>49</v>
      </c>
      <c r="E43" s="31" t="s">
        <v>200</v>
      </c>
      <c r="F43" s="47">
        <v>0</v>
      </c>
      <c r="G43" s="47">
        <v>100</v>
      </c>
      <c r="H43" s="47">
        <v>58606</v>
      </c>
      <c r="I43" s="47">
        <v>58758</v>
      </c>
      <c r="J43" s="31" t="s">
        <v>201</v>
      </c>
      <c r="K43" s="47">
        <v>59048</v>
      </c>
      <c r="L43" s="154" t="s">
        <v>50</v>
      </c>
      <c r="M43" s="155">
        <f t="shared" si="0"/>
        <v>153.12</v>
      </c>
      <c r="N43" s="156" t="str">
        <f>VLOOKUP(C43,'Trips&amp;Operators'!$C$1:$G$99999,5,FALSE)</f>
        <v>LEVIN SCOTT</v>
      </c>
      <c r="O43" s="184" t="s">
        <v>195</v>
      </c>
      <c r="P43" s="157"/>
      <c r="Q43" s="31"/>
      <c r="R43" s="100" t="str">
        <f>VLOOKUP(C43,'Train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43" s="103" t="str">
        <f>VLOOKUP(C43,'Train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18:14:00-700',mode:absolute,to:'2016-12-20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3" s="105" t="str">
        <f t="shared" si="1"/>
        <v>"C:\Program Files (x86)\AstroGrep\AstroGrep.exe" /spath="%USERPROFILE%\AppData\Local\Temp\OnboardLogs" /stypes="*4003*201612210*" /stext=" 02:.+((SYSTEM_STATE.+slice.+state.+changed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6">
        <f t="shared" si="3"/>
        <v>42725.107268518514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{"issue":{"subject":"","project_id":79,"tracker_id":40,"status_id":1,"priority_id":2,"assigned_to_id":23,"start_date":"2016-12-20","description":"","custom_fields":[{"id":1,"name":"Subdivision","value":"NW"},{"id":4,"name":"Milepost","value":"5.9048"},{"id":17,"name":"Train ID","value":"841-20"},{"id":16,"name":"Locomotive ID","value":"4003"},{"id":130,"name":"Impact","value":""},{"id":150,"name":"Time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"%USERPROFILE%\AppData\Local\Temp\OnboardLogs"\RTDC4003\*4003*201612210*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44" spans="1:30" x14ac:dyDescent="0.25">
      <c r="A44" s="36">
        <v>42724.815983796296</v>
      </c>
      <c r="B44" s="31" t="s">
        <v>276</v>
      </c>
      <c r="C44" s="31" t="s">
        <v>488</v>
      </c>
      <c r="D44" s="31" t="s">
        <v>49</v>
      </c>
      <c r="E44" s="31" t="s">
        <v>200</v>
      </c>
      <c r="F44" s="47">
        <v>0</v>
      </c>
      <c r="G44" s="47">
        <v>41</v>
      </c>
      <c r="H44" s="47">
        <v>58784</v>
      </c>
      <c r="I44" s="47">
        <v>58845</v>
      </c>
      <c r="J44" s="31" t="s">
        <v>201</v>
      </c>
      <c r="K44" s="47">
        <v>59048</v>
      </c>
      <c r="L44" s="154" t="s">
        <v>50</v>
      </c>
      <c r="M44" s="155">
        <f t="shared" si="0"/>
        <v>107.184</v>
      </c>
      <c r="N44" s="156" t="str">
        <f>VLOOKUP(C44,'Trips&amp;Operators'!$C$1:$G$99999,5,FALSE)</f>
        <v>LEVIN SCOTT</v>
      </c>
      <c r="O44" s="184" t="s">
        <v>195</v>
      </c>
      <c r="P44" s="157"/>
      <c r="Q44" s="31"/>
      <c r="R44" s="100" t="str">
        <f>VLOOKUP(C44,'Train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44" s="103" t="str">
        <f>VLOOKUP(C44,'Train Runs'!$A$13:$AE$9971,22,0)</f>
        <v>https://search-rtdc-monitor-bjffxe2xuh6vdkpspy63sjmuny.us-east-1.es.amazonaws.com/_plugin/kibana/#/discover/Steve-Slow-Train-Analysis-(2080s-and-2083s)?_g=(refreshInterval:(display:Off,section:0,value:0),time:(from:'2016-12-20 18:14:00-700',mode:absolute,to:'2016-12-20 20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4" s="105" t="str">
        <f t="shared" si="1"/>
        <v>"C:\Program Files (x86)\AstroGrep\AstroGrep.exe" /spath="%USERPROFILE%\AppData\Local\Temp\OnboardLogs" /stypes="*4003*201612210*" /stext=" 02:.+((SYSTEM_STATE.+slice.+state.+changed )|(ment ac)|(multiple cpu faults)|(system.+state.+changed )|(\[timeout)|(PRM\|1\|D)|(kpr)|(kdp)|(\|lc)|(penalty))" /e /r /s</v>
      </c>
      <c r="U44" s="9" t="str">
        <f t="shared" si="2"/>
        <v>4003</v>
      </c>
      <c r="V44" s="36">
        <f t="shared" si="3"/>
        <v>42725.10765046296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{"issue":{"subject":"","project_id":79,"tracker_id":40,"status_id":1,"priority_id":2,"assigned_to_id":23,"start_date":"2016-12-20","description":"","custom_fields":[{"id":1,"name":"Subdivision","value":"NW"},{"id":4,"name":"Milepost","value":"5.9048"},{"id":17,"name":"Train ID","value":"841-20"},{"id":16,"name":"Locomotive ID","value":"4003"},{"id":130,"name":"Impact","value":""},{"id":150,"name":"Time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"%USERPROFILE%\AppData\Local\Temp\OnboardLogs"\RTDC4003\*4003*201612210*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45" spans="1:30" x14ac:dyDescent="0.25">
      <c r="A45" s="36">
        <v>42724.753888888888</v>
      </c>
      <c r="B45" s="31" t="s">
        <v>244</v>
      </c>
      <c r="C45" s="31" t="s">
        <v>487</v>
      </c>
      <c r="D45" s="31" t="s">
        <v>49</v>
      </c>
      <c r="E45" s="31" t="s">
        <v>200</v>
      </c>
      <c r="F45" s="47">
        <v>0</v>
      </c>
      <c r="G45" s="47">
        <v>90</v>
      </c>
      <c r="H45" s="47">
        <v>58712</v>
      </c>
      <c r="I45" s="47">
        <v>58793</v>
      </c>
      <c r="J45" s="31" t="s">
        <v>201</v>
      </c>
      <c r="K45" s="47">
        <v>59058</v>
      </c>
      <c r="L45" s="154" t="s">
        <v>50</v>
      </c>
      <c r="M45" s="155">
        <f t="shared" si="0"/>
        <v>139.91999999999999</v>
      </c>
      <c r="N45" s="156" t="str">
        <f>VLOOKUP(C45,'Trips&amp;Operators'!$C$1:$G$99999,5,FALSE)</f>
        <v>HILLS DUSTIN</v>
      </c>
      <c r="O45" s="184" t="s">
        <v>195</v>
      </c>
      <c r="P45" s="157"/>
      <c r="Q45" s="31"/>
      <c r="R45" s="100" t="str">
        <f>VLOOKUP(C45,'Train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45" s="103" t="str">
        <f>VLOOKUP(C45,'Train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 t="shared" si="1"/>
        <v>"C:\Program Files (x86)\AstroGrep\AstroGrep.exe" /spath="%USERPROFILE%\AppData\Local\Temp\OnboardLogs" /stypes="*4016*201612210*" /stext=" 01:.+((SYSTEM_STATE.+slice.+state.+changed )|(ment ac)|(multiple cpu faults)|(system.+state.+changed )|(\[timeout)|(PRM\|1\|D)|(kpr)|(kdp)|(\|lc)|(penalty))" /e /r /s</v>
      </c>
      <c r="U45" s="9" t="str">
        <f t="shared" si="2"/>
        <v>4016</v>
      </c>
      <c r="V45" s="36">
        <f t="shared" si="3"/>
        <v>42725.045555555553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{"issue":{"subject":"","project_id":79,"tracker_id":40,"status_id":1,"priority_id":2,"assigned_to_id":23,"start_date":"2016-12-20","description":"","custom_fields":[{"id":1,"name":"Subdivision","value":"NW"},{"id":4,"name":"Milepost","value":"5.9058"},{"id":17,"name":"Train ID","value":"835-20"},{"id":16,"name":"Locomotive ID","value":"4016"},{"id":130,"name":"Impact","value":""},{"id":150,"name":"Time of Event (Mountain Time)","value":"18:05:36"},{"id":151,"name":"Denver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"%USERPROFILE%\AppData\Local\Temp\OnboardLogs"\RTDC4016\*4016*201612210*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46" spans="1:30" x14ac:dyDescent="0.25">
      <c r="A46" s="36">
        <v>42724.754282407404</v>
      </c>
      <c r="B46" s="31" t="s">
        <v>244</v>
      </c>
      <c r="C46" s="31" t="s">
        <v>487</v>
      </c>
      <c r="D46" s="31" t="s">
        <v>49</v>
      </c>
      <c r="E46" s="31" t="s">
        <v>200</v>
      </c>
      <c r="F46" s="47">
        <v>0</v>
      </c>
      <c r="G46" s="47">
        <v>50</v>
      </c>
      <c r="H46" s="47">
        <v>58831</v>
      </c>
      <c r="I46" s="47">
        <v>58869</v>
      </c>
      <c r="J46" s="31" t="s">
        <v>201</v>
      </c>
      <c r="K46" s="47">
        <v>59058</v>
      </c>
      <c r="L46" s="154" t="s">
        <v>50</v>
      </c>
      <c r="M46" s="155">
        <f t="shared" si="0"/>
        <v>99.792000000000002</v>
      </c>
      <c r="N46" s="156" t="str">
        <f>VLOOKUP(C46,'Trips&amp;Operators'!$C$1:$G$99999,5,FALSE)</f>
        <v>HILLS DUSTIN</v>
      </c>
      <c r="O46" s="184" t="s">
        <v>195</v>
      </c>
      <c r="P46" s="157"/>
      <c r="Q46" s="31"/>
      <c r="R46" s="100" t="str">
        <f>VLOOKUP(C46,'Train Runs'!$A$13:$AE$9971,31,0)</f>
        <v>aws s3 cp s3://rtdc.mdm.uploadarchive.raw/RTDC4016/ "%USERPROFILE%\AppData\Local\Temp\OnboardLogs"\RTDC4016\2016-12-20 --exclude "*" --recursive --include "*20161220*" &amp; "%USERPROFILE%\Documents\GitHub\mrs-test-scripts\Headless Mode &amp; Sideloading\WalkAndUnGZ.bat" "%USERPROFILE%\AppData\Local\Temp\OnboardLogs"\RTDC4016\2016-12-20 &amp; aws s3 cp s3://rtdc.mdm.uploadarchive.raw/RTDC4016/ "%USERPROFILE%\AppData\Local\Temp\OnboardLogs"\RTDC4016\2016-12-21 --exclude "*" --recursive --include "*20161221*" &amp; "%USERPROFILE%\Documents\GitHub\mrs-test-scripts\Headless Mode &amp; Sideloading\WalkAndUnGZ.bat" "%USERPROFILE%\AppData\Local\Temp\OnboardLogs"\RTDC4016\2016-12-21</v>
      </c>
      <c r="S46" s="103" t="str">
        <f>VLOOKUP(C46,'Train Runs'!$A$13:$AE$9971,22,0)</f>
        <v>https://search-rtdc-monitor-bjffxe2xuh6vdkpspy63sjmuny.us-east-1.es.amazonaws.com/_plugin/kibana/#/discover/Steve-Slow-Train-Analysis-(2080s-and-2083s)?_g=(refreshInterval:(display:Off,section:0,value:0),time:(from:'2016-12-20 16:28:20-700',mode:absolute,to:'2016-12-20 19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6" s="105" t="str">
        <f t="shared" si="1"/>
        <v>"C:\Program Files (x86)\AstroGrep\AstroGrep.exe" /spath="%USERPROFILE%\AppData\Local\Temp\OnboardLogs" /stypes="*4016*201612210*" /stext=" 01:.+((SYSTEM_STATE.+slice.+state.+changed )|(ment ac)|(multiple cpu faults)|(system.+state.+changed )|(\[timeout)|(PRM\|1\|D)|(kpr)|(kdp)|(\|lc)|(penalty))" /e /r /s</v>
      </c>
      <c r="U46" s="9" t="str">
        <f t="shared" si="2"/>
        <v>4016</v>
      </c>
      <c r="V46" s="36">
        <f t="shared" si="3"/>
        <v>42725.045949074069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{"issue":{"subject":"","project_id":79,"tracker_id":40,"status_id":1,"priority_id":2,"assigned_to_id":23,"start_date":"2016-12-20","description":"","custom_fields":[{"id":1,"name":"Subdivision","value":"NW"},{"id":4,"name":"Milepost","value":"5.9058"},{"id":17,"name":"Train ID","value":"835-20"},{"id":16,"name":"Locomotive ID","value":"4016"},{"id":130,"name":"Impact","value":""},{"id":150,"name":"Time of Event (Mountain Time)","value":"18:06:10"},{"id":151,"name":"Denver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"%USERPROFILE%\AppData\Local\Temp\OnboardLogs"\RTDC4016\*4016*201612210*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"%USERPROFILE%\AppData\Local\Temp\OnboardLogs"\RTDC4016\*4016*201612210* &gt;&gt; 42724-slicedisagreementcheck.txt</v>
      </c>
    </row>
    <row r="47" spans="1:30" x14ac:dyDescent="0.25">
      <c r="A47" s="36">
        <v>42724.899259259262</v>
      </c>
      <c r="B47" s="31" t="s">
        <v>276</v>
      </c>
      <c r="C47" s="31" t="s">
        <v>491</v>
      </c>
      <c r="D47" s="31" t="s">
        <v>49</v>
      </c>
      <c r="E47" s="31" t="s">
        <v>200</v>
      </c>
      <c r="F47" s="47">
        <v>0</v>
      </c>
      <c r="G47" s="47">
        <v>61</v>
      </c>
      <c r="H47" s="47">
        <v>58850</v>
      </c>
      <c r="I47" s="47">
        <v>58907</v>
      </c>
      <c r="J47" s="31" t="s">
        <v>201</v>
      </c>
      <c r="K47" s="47">
        <v>59058</v>
      </c>
      <c r="L47" s="154" t="s">
        <v>50</v>
      </c>
      <c r="M47" s="155">
        <f t="shared" si="0"/>
        <v>79.727999999999994</v>
      </c>
      <c r="N47" s="156" t="str">
        <f>VLOOKUP(C47,'Trips&amp;Operators'!$C$1:$G$99999,5,FALSE)</f>
        <v>HILLS DUSTIN</v>
      </c>
      <c r="O47" s="184" t="s">
        <v>195</v>
      </c>
      <c r="P47" s="157"/>
      <c r="Q47" s="31"/>
      <c r="R47" s="100" t="str">
        <f>VLOOKUP(C47,'Train Runs'!$A$13:$AE$9971,31,0)</f>
        <v>aws s3 cp s3://rtdc.mdm.uploadarchive.raw/RTDC4003/ "%USERPROFILE%\AppData\Local\Temp\OnboardLogs"\RTDC4003\2016-12-20 --exclude "*" --recursive --include "*20161220*" &amp; "%USERPROFILE%\Documents\GitHub\mrs-test-scripts\Headless Mode &amp; Sideloading\WalkAndUnGZ.bat" "%USERPROFILE%\AppData\Local\Temp\OnboardLogs"\RTDC4003\2016-12-20 &amp; aws s3 cp s3://rtdc.mdm.uploadarchive.raw/RTDC4003/ "%USERPROFILE%\AppData\Local\Temp\OnboardLogs"\RTDC4003\2016-12-21 --exclude "*" --recursive --include "*20161221*" &amp; "%USERPROFILE%\Documents\GitHub\mrs-test-scripts\Headless Mode &amp; Sideloading\WalkAndUnGZ.bat" "%USERPROFILE%\AppData\Local\Temp\OnboardLogs"\RTDC4003\2016-12-21</v>
      </c>
      <c r="S47" s="103" t="str">
        <f>VLOOKUP(C47,'Train Runs'!$A$13:$AE$9971,22,0)</f>
        <v>https://search-rtdc-monitor-bjffxe2xuh6vdkpspy63sjmuny.us-east-1.es.amazonaws.com/_plugin/kibana/#/discover/Steve-Slow-Train-Analysis-(2080s-and-2083s)?_g=(refreshInterval:(display:Off,section:0,value:0),time:(from:'2016-12-20 19:59:30-700',mode:absolute,to:'2016-12-20 22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7" s="105" t="str">
        <f t="shared" si="1"/>
        <v>"C:\Program Files (x86)\AstroGrep\AstroGrep.exe" /spath="%USERPROFILE%\AppData\Local\Temp\OnboardLogs" /stypes="*4003*201612210*" /stext=" 04:.+((SYSTEM_STATE.+slice.+state.+changed )|(ment ac)|(multiple cpu faults)|(system.+state.+changed )|(\[timeout)|(PRM\|1\|D)|(kpr)|(kdp)|(\|lc)|(penalty))" /e /r /s</v>
      </c>
      <c r="U47" s="9" t="str">
        <f t="shared" si="2"/>
        <v>4003</v>
      </c>
      <c r="V47" s="36">
        <f t="shared" si="3"/>
        <v>42725.190925925926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{"issue":{"subject":"","project_id":79,"tracker_id":40,"status_id":1,"priority_id":2,"assigned_to_id":23,"start_date":"2016-12-20","description":"","custom_fields":[{"id":1,"name":"Subdivision","value":"NW"},{"id":4,"name":"Milepost","value":"5.9058"},{"id":17,"name":"Train ID","value":"845-20"},{"id":16,"name":"Locomotive ID","value":"4003"},{"id":130,"name":"Impact","value":""},{"id":150,"name":"Time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"%USERPROFILE%\AppData\Local\Temp\OnboardLogs"\RTDC4003\*4003*201612210*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"%USERPROFILE%\AppData\Local\Temp\OnboardLogs"\RTDC4003\*4003*201612210* &gt;&gt; 42724-slicedisagreementcheck.txt</v>
      </c>
    </row>
    <row r="48" spans="1:30" x14ac:dyDescent="0.25">
      <c r="A48" s="36">
        <v>42724.445393518516</v>
      </c>
      <c r="B48" s="31" t="s">
        <v>210</v>
      </c>
      <c r="C48" s="31" t="s">
        <v>472</v>
      </c>
      <c r="D48" s="31" t="s">
        <v>49</v>
      </c>
      <c r="E48" s="31" t="s">
        <v>200</v>
      </c>
      <c r="F48" s="47">
        <v>0</v>
      </c>
      <c r="G48" s="47">
        <v>27</v>
      </c>
      <c r="H48" s="47">
        <v>91</v>
      </c>
      <c r="I48" s="47">
        <v>61</v>
      </c>
      <c r="J48" s="31" t="s">
        <v>201</v>
      </c>
      <c r="K48" s="47">
        <v>1</v>
      </c>
      <c r="L48" s="154" t="s">
        <v>51</v>
      </c>
      <c r="M48" s="155">
        <f t="shared" si="0"/>
        <v>31.68</v>
      </c>
      <c r="N48" s="156" t="str">
        <f>VLOOKUP(C48,'Trips&amp;Operators'!$C$1:$G$99999,5,FALSE)</f>
        <v>MOSES BRADLEY</v>
      </c>
      <c r="O48" s="184" t="s">
        <v>195</v>
      </c>
      <c r="P48" s="157"/>
      <c r="Q48" s="31"/>
      <c r="R48" s="100" t="str">
        <f>VLOOKUP(C48,'Train Runs'!$A$13:$AE$9971,31,0)</f>
        <v>aws s3 cp s3://rtdc.mdm.uploadarchive.raw/RTDC4012/ "%USERPROFILE%\AppData\Local\Temp\OnboardLogs"\RTDC4012\2016-12-20 --exclude "*" --recursive --include "*20161220*" &amp; "%USERPROFILE%\Documents\GitHub\mrs-test-scripts\Headless Mode &amp; Sideloading\WalkAndUnGZ.bat" "%USERPROFILE%\AppData\Local\Temp\OnboardLogs"\RTDC4012\2016-12-20 &amp; aws s3 cp s3://rtdc.mdm.uploadarchive.raw/RTDC4012/ "%USERPROFILE%\AppData\Local\Temp\OnboardLogs"\RTDC4012\2016-12-21 --exclude "*" --recursive --include "*20161221*" &amp; "%USERPROFILE%\Documents\GitHub\mrs-test-scripts\Headless Mode &amp; Sideloading\WalkAndUnGZ.bat" "%USERPROFILE%\AppData\Local\Temp\OnboardLogs"\RTDC4012\2016-12-21</v>
      </c>
      <c r="S48" s="103" t="str">
        <f>VLOOKUP(C48,'Train Runs'!$A$13:$AE$9971,22,0)</f>
        <v>https://search-rtdc-monitor-bjffxe2xuh6vdkpspy63sjmuny.us-east-1.es.amazonaws.com/_plugin/kibana/#/discover/Steve-Slow-Train-Analysis-(2080s-and-2083s)?_g=(refreshInterval:(display:Off,section:0,value:0),time:(from:'2016-12-20 09:30:48-700',mode:absolute,to:'2016-12-20 11:41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8" s="105" t="str">
        <f t="shared" si="1"/>
        <v>"C:\Program Files (x86)\AstroGrep\AstroGrep.exe" /spath="%USERPROFILE%\AppData\Local\Temp\OnboardLogs" /stypes="*4012*201612201*" /stext=" 17:.+((SYSTEM_STATE.+slice.+state.+changed )|(ment ac)|(multiple cpu faults)|(system.+state.+changed )|(\[timeout)|(PRM\|1\|D)|(kpr)|(kdp)|(\|lc)|(penalty))" /e /r /s</v>
      </c>
      <c r="U48" s="9" t="str">
        <f t="shared" si="2"/>
        <v>4012</v>
      </c>
      <c r="V48" s="36">
        <f t="shared" si="3"/>
        <v>42724.73706018518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{"issue":{"subject":"","project_id":79,"tracker_id":40,"status_id":1,"priority_id":2,"assigned_to_id":23,"start_date":"2016-12-20","description":"","custom_fields":[{"id":1,"name":"Subdivision","value":"Other"},{"id":4,"name":"Milepost","value":"0.0001"},{"id":17,"name":"Train ID","value":"52-20"},{"id":16,"name":"Locomotive ID","value":"4012"},{"id":130,"name":"Impact","value":""},{"id":150,"name":"Time of Event (Mountain Time)","value":"10:41:22"},{"id":151,"name":"Denver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"%USERPROFILE%\AppData\Local\Temp\OnboardLogs"\RTDC4012\*4012*201612201*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"%USERPROFILE%\AppData\Local\Temp\OnboardLogs"\RTDC4012\*4012*201612201* &gt;&gt; 42724-slicedisagreementcheck.txt</v>
      </c>
    </row>
    <row r="49" spans="1:30" x14ac:dyDescent="0.25">
      <c r="A49" s="36">
        <v>42724.490312499998</v>
      </c>
      <c r="B49" s="31" t="s">
        <v>315</v>
      </c>
      <c r="C49" s="31" t="s">
        <v>474</v>
      </c>
      <c r="D49" s="31" t="s">
        <v>49</v>
      </c>
      <c r="E49" s="31" t="s">
        <v>200</v>
      </c>
      <c r="F49" s="47">
        <v>0</v>
      </c>
      <c r="G49" s="47">
        <v>14</v>
      </c>
      <c r="H49" s="47">
        <v>15</v>
      </c>
      <c r="I49" s="47">
        <v>8</v>
      </c>
      <c r="J49" s="31" t="s">
        <v>201</v>
      </c>
      <c r="K49" s="47">
        <v>1</v>
      </c>
      <c r="L49" s="154" t="s">
        <v>51</v>
      </c>
      <c r="M49" s="155">
        <f t="shared" si="0"/>
        <v>3.6960000000000002</v>
      </c>
      <c r="N49" s="156" t="str">
        <f>VLOOKUP(C49,'Trips&amp;Operators'!$C$1:$G$99999,5,FALSE)</f>
        <v>HAITHCOX MICHAEL</v>
      </c>
      <c r="O49" s="184" t="s">
        <v>195</v>
      </c>
      <c r="P49" s="157"/>
      <c r="Q49" s="31"/>
      <c r="R49" s="100" t="str">
        <f>VLOOKUP(C49,'Train Runs'!$A$13:$AE$9971,31,0)</f>
        <v>aws s3 cp s3://rtdc.mdm.uploadarchive.raw/RTDC4028/ "%USERPROFILE%\AppData\Local\Temp\OnboardLogs"\RTDC4028\2016-12-20 --exclude "*" --recursive --include "*20161220*" &amp; "%USERPROFILE%\Documents\GitHub\mrs-test-scripts\Headless Mode &amp; Sideloading\WalkAndUnGZ.bat" "%USERPROFILE%\AppData\Local\Temp\OnboardLogs"\RTDC4028\2016-12-20 &amp; aws s3 cp s3://rtdc.mdm.uploadarchive.raw/RTDC4028/ "%USERPROFILE%\AppData\Local\Temp\OnboardLogs"\RTDC4028\2016-12-21 --exclude "*" --recursive --include "*20161221*" &amp; "%USERPROFILE%\Documents\GitHub\mrs-test-scripts\Headless Mode &amp; Sideloading\WalkAndUnGZ.bat" "%USERPROFILE%\AppData\Local\Temp\OnboardLogs"\RTDC4028\2016-12-21</v>
      </c>
      <c r="S49" s="103" t="str">
        <f>VLOOKUP(C49,'Train Runs'!$A$13:$AE$9971,22,0)</f>
        <v>https://search-rtdc-monitor-bjffxe2xuh6vdkpspy63sjmuny.us-east-1.es.amazonaws.com/_plugin/kibana/#/discover/Steve-Slow-Train-Analysis-(2080s-and-2083s)?_g=(refreshInterval:(display:Off,section:0,value:0),time:(from:'2016-12-20 10:36:25-700',mode:absolute,to:'2016-12-20 12:45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9" s="105" t="str">
        <f t="shared" si="1"/>
        <v>"C:\Program Files (x86)\AstroGrep\AstroGrep.exe" /spath="%USERPROFILE%\AppData\Local\Temp\OnboardLogs" /stypes="*4028*201612201*" /stext=" 18:.+((SYSTEM_STATE.+slice.+state.+changed )|(ment ac)|(multiple cpu faults)|(system.+state.+changed )|(\[timeout)|(PRM\|1\|D)|(kpr)|(kdp)|(\|lc)|(penalty))" /e /r /s</v>
      </c>
      <c r="U49" s="9" t="str">
        <f t="shared" si="2"/>
        <v>4028</v>
      </c>
      <c r="V49" s="36">
        <f t="shared" si="3"/>
        <v>42724.781979166662</v>
      </c>
      <c r="W49" s="50" t="str">
        <f t="shared" si="4"/>
        <v>Other</v>
      </c>
      <c r="X49" s="50" t="str">
        <f t="shared" si="5"/>
        <v>KEEP</v>
      </c>
      <c r="Y49" s="119" t="str">
        <f t="shared" si="6"/>
        <v>echo {"issue":{"subject":"","project_id":79,"tracker_id":40,"status_id":1,"priority_id":2,"assigned_to_id":23,"start_date":"2016-12-20","description":"","custom_fields":[{"id":1,"name":"Subdivision","value":"Other"},{"id":4,"name":"Milepost","value":"0.0001"},{"id":17,"name":"Train ID","value":"58-20"},{"id":16,"name":"Locomotive ID","value":"4028"},{"id":130,"name":"Impact","value":""},{"id":150,"name":"Time of Event (Mountain Time)","value":"11:46:03"},{"id":151,"name":"Denver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"%USERPROFILE%\AppData\Local\Temp\OnboardLogs"\RTDC4028\*4028*201612201*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"%USERPROFILE%\AppData\Local\Temp\OnboardLogs"\RTDC4028\*4028*201612201* &gt;&gt; 42724-slicedisagreementcheck.txt</v>
      </c>
    </row>
    <row r="50" spans="1:30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9">
      <sortCondition ref="V6:V44"/>
    </sortState>
  </autoFilter>
  <sortState ref="A7:AC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hyperlinks>
    <hyperlink ref="Z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2016-12-20</v>
      </c>
      <c r="C1" s="186"/>
      <c r="D1" s="186"/>
      <c r="E1" s="186"/>
      <c r="F1" s="186"/>
    </row>
    <row r="2" spans="1:11" s="24" customFormat="1" ht="45" x14ac:dyDescent="0.25">
      <c r="A2" s="179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-20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Runs'!$A$13:$A$99968,1,FALSE)</f>
        <v>#N/A</v>
      </c>
      <c r="K3" s="31" t="e">
        <f>IF(VLOOKUP(A3,$K$26:$K$49,1,FALSE),"Cancelled")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-20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Runs'!$A$13:$A$99968,1,FALSE)</f>
        <v>#N/A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-20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Runs'!$A$13:$A$99968,1,FALSE)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-20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Runs'!$A$13:$A$99968,1,FALSE)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-20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Runs'!$A$13:$A$99968,1,FALSE)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-20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8" s="31" t="e">
        <f>VLOOKUP(B8,'Train Runs'!$A$13:$A$99968,1,FALSE)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-20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9" s="31" t="e">
        <f>VLOOKUP(B9,'Train Runs'!$A$13:$A$99968,1,FALSE)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-20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0" s="31" t="e">
        <f>VLOOKUP(B10,'Train Runs'!$A$13:$A$99968,1,FALSE)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-20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1" s="31" t="e">
        <f>VLOOKUP(B11,'Train Runs'!$A$13:$A$99968,1,FALSE)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-20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2" s="31" t="e">
        <f>VLOOKUP(B12,'Train Runs'!$A$13:$A$99968,1,FALSE)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-20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3" s="31" t="e">
        <f>VLOOKUP(B13,'Train Runs'!$A$13:$A$99968,1,FALSE)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-20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4" s="31" t="e">
        <f>VLOOKUP(B14,'Train Runs'!$A$13:$A$99968,1,FALSE)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-20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5" s="31" t="e">
        <f>VLOOKUP(B15,'Train Runs'!$A$13:$A$99968,1,FALSE)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-20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6" s="31" t="e">
        <f>VLOOKUP(B16,'Train Runs'!$A$13:$A$99968,1,FALSE)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-20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7" s="31" t="e">
        <f>VLOOKUP(B17,'Train Runs'!$A$13:$A$99968,1,FALSE)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-20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8" s="31" t="e">
        <f>VLOOKUP(B18,'Train Runs'!$A$13:$A$99968,1,FALSE)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42724.04215277778</v>
      </c>
      <c r="B2" s="21" t="s">
        <v>315</v>
      </c>
      <c r="C2" s="21" t="s">
        <v>387</v>
      </c>
      <c r="D2" s="164">
        <v>1800000</v>
      </c>
      <c r="E2" s="21" t="s">
        <v>237</v>
      </c>
      <c r="F2" s="21" t="s">
        <v>254</v>
      </c>
      <c r="G2" s="8" t="str">
        <f>E2&amp;" "&amp;F2</f>
        <v>CHANDLER KELVIN</v>
      </c>
    </row>
    <row r="3" spans="1:7" x14ac:dyDescent="0.25">
      <c r="A3" s="8">
        <v>42724.049270833333</v>
      </c>
      <c r="B3" s="21" t="s">
        <v>214</v>
      </c>
      <c r="C3" s="21" t="s">
        <v>388</v>
      </c>
      <c r="D3" s="164">
        <v>2730000</v>
      </c>
      <c r="E3" s="21" t="s">
        <v>385</v>
      </c>
      <c r="F3" s="21" t="s">
        <v>386</v>
      </c>
      <c r="G3" s="8" t="str">
        <f t="shared" ref="G3:G66" si="0">E3&amp;" "&amp;F3</f>
        <v>YANG JAN</v>
      </c>
    </row>
    <row r="4" spans="1:7" x14ac:dyDescent="0.25">
      <c r="A4" s="8">
        <v>42724.052777777775</v>
      </c>
      <c r="B4" s="21" t="s">
        <v>296</v>
      </c>
      <c r="C4" s="21" t="s">
        <v>389</v>
      </c>
      <c r="D4" s="164">
        <v>2230000</v>
      </c>
      <c r="E4" s="21" t="s">
        <v>298</v>
      </c>
      <c r="F4" s="21" t="s">
        <v>262</v>
      </c>
      <c r="G4" s="8" t="str">
        <f t="shared" si="0"/>
        <v>SMITH MICHAEL</v>
      </c>
    </row>
    <row r="5" spans="1:7" x14ac:dyDescent="0.25">
      <c r="A5" s="8">
        <v>42724.073611111111</v>
      </c>
      <c r="B5" s="21" t="s">
        <v>316</v>
      </c>
      <c r="C5" s="21" t="s">
        <v>390</v>
      </c>
      <c r="D5" s="164">
        <v>1800000</v>
      </c>
      <c r="E5" s="21" t="s">
        <v>237</v>
      </c>
      <c r="F5" s="21" t="s">
        <v>254</v>
      </c>
      <c r="G5" s="8" t="str">
        <f t="shared" si="0"/>
        <v>CHANDLER KELVIN</v>
      </c>
    </row>
    <row r="6" spans="1:7" x14ac:dyDescent="0.25">
      <c r="A6" s="8">
        <v>42724.093993055554</v>
      </c>
      <c r="B6" s="21" t="s">
        <v>183</v>
      </c>
      <c r="C6" s="21" t="s">
        <v>391</v>
      </c>
      <c r="D6" s="164">
        <v>2230000</v>
      </c>
      <c r="E6" s="21" t="s">
        <v>298</v>
      </c>
      <c r="F6" s="21" t="s">
        <v>262</v>
      </c>
      <c r="G6" s="8" t="str">
        <f t="shared" si="0"/>
        <v>SMITH MICHAEL</v>
      </c>
    </row>
    <row r="7" spans="1:7" x14ac:dyDescent="0.25">
      <c r="A7" s="8">
        <v>42724.113333333335</v>
      </c>
      <c r="B7" s="21" t="s">
        <v>319</v>
      </c>
      <c r="C7" s="21" t="s">
        <v>392</v>
      </c>
      <c r="D7" s="164">
        <v>2110000</v>
      </c>
      <c r="E7" s="21" t="s">
        <v>322</v>
      </c>
      <c r="F7" s="21" t="s">
        <v>323</v>
      </c>
      <c r="G7" s="8" t="str">
        <f t="shared" si="0"/>
        <v>OUN ZACK</v>
      </c>
    </row>
    <row r="8" spans="1:7" x14ac:dyDescent="0.25">
      <c r="A8" s="8">
        <v>42724.129618055558</v>
      </c>
      <c r="B8" s="21" t="s">
        <v>373</v>
      </c>
      <c r="C8" s="21" t="s">
        <v>496</v>
      </c>
      <c r="D8" s="164">
        <v>2110000</v>
      </c>
      <c r="E8" s="21" t="s">
        <v>322</v>
      </c>
      <c r="F8" s="21" t="s">
        <v>323</v>
      </c>
      <c r="G8" s="8" t="str">
        <f t="shared" si="0"/>
        <v>OUN ZACK</v>
      </c>
    </row>
    <row r="9" spans="1:7" ht="15.75" thickBot="1" x14ac:dyDescent="0.3">
      <c r="A9" s="25">
        <v>42724.130879629629</v>
      </c>
      <c r="B9" s="21" t="s">
        <v>373</v>
      </c>
      <c r="C9" s="21" t="s">
        <v>496</v>
      </c>
      <c r="D9" s="164">
        <v>2110000</v>
      </c>
      <c r="E9" s="21" t="s">
        <v>322</v>
      </c>
      <c r="F9" s="21" t="s">
        <v>323</v>
      </c>
      <c r="G9" s="8" t="str">
        <f t="shared" si="0"/>
        <v>OUN ZACK</v>
      </c>
    </row>
    <row r="10" spans="1:7" x14ac:dyDescent="0.25">
      <c r="A10" s="8">
        <v>42724.135648148149</v>
      </c>
      <c r="B10" s="21" t="s">
        <v>259</v>
      </c>
      <c r="C10" s="21" t="s">
        <v>497</v>
      </c>
      <c r="D10" s="164">
        <v>2610000</v>
      </c>
      <c r="E10" s="21" t="s">
        <v>367</v>
      </c>
      <c r="F10" s="21" t="s">
        <v>368</v>
      </c>
      <c r="G10" s="8" t="str">
        <f t="shared" si="0"/>
        <v>MAGEE KENYA</v>
      </c>
    </row>
    <row r="11" spans="1:7" x14ac:dyDescent="0.25">
      <c r="A11" s="8">
        <v>42724.147534722222</v>
      </c>
      <c r="B11" s="21" t="s">
        <v>281</v>
      </c>
      <c r="C11" s="21" t="s">
        <v>498</v>
      </c>
      <c r="D11" s="164">
        <v>2610000</v>
      </c>
      <c r="E11" s="21" t="s">
        <v>367</v>
      </c>
      <c r="F11" s="21" t="s">
        <v>368</v>
      </c>
      <c r="G11" s="8" t="str">
        <f t="shared" si="0"/>
        <v>MAGEE KENYA</v>
      </c>
    </row>
    <row r="12" spans="1:7" x14ac:dyDescent="0.25">
      <c r="A12" s="8">
        <v>42724.162812499999</v>
      </c>
      <c r="B12" s="21" t="s">
        <v>236</v>
      </c>
      <c r="C12" s="21" t="s">
        <v>499</v>
      </c>
      <c r="D12" s="164">
        <v>1110000</v>
      </c>
      <c r="E12" s="21" t="s">
        <v>369</v>
      </c>
      <c r="F12" s="21" t="s">
        <v>370</v>
      </c>
      <c r="G12" s="8" t="str">
        <f t="shared" si="0"/>
        <v>STARKS ANGELINA</v>
      </c>
    </row>
    <row r="13" spans="1:7" x14ac:dyDescent="0.25">
      <c r="A13" s="8">
        <v>42724.168761574074</v>
      </c>
      <c r="B13" s="21" t="s">
        <v>207</v>
      </c>
      <c r="C13" s="21" t="s">
        <v>500</v>
      </c>
      <c r="D13" s="164">
        <v>2600000</v>
      </c>
      <c r="E13" s="21" t="s">
        <v>234</v>
      </c>
      <c r="F13" s="21" t="s">
        <v>250</v>
      </c>
      <c r="G13" s="8" t="str">
        <f t="shared" si="0"/>
        <v>DAVIDSON DAVID</v>
      </c>
    </row>
    <row r="14" spans="1:7" x14ac:dyDescent="0.25">
      <c r="A14" s="8">
        <v>42724.169490740744</v>
      </c>
      <c r="B14" s="21" t="s">
        <v>319</v>
      </c>
      <c r="C14" s="21" t="s">
        <v>459</v>
      </c>
      <c r="D14" s="164">
        <v>2110000</v>
      </c>
      <c r="E14" s="21" t="s">
        <v>322</v>
      </c>
      <c r="F14" s="21" t="s">
        <v>323</v>
      </c>
      <c r="G14" s="8" t="str">
        <f t="shared" si="0"/>
        <v>OUN ZACK</v>
      </c>
    </row>
    <row r="15" spans="1:7" x14ac:dyDescent="0.25">
      <c r="A15" s="8">
        <v>42724.175706018519</v>
      </c>
      <c r="B15" s="21" t="s">
        <v>154</v>
      </c>
      <c r="C15" s="21" t="s">
        <v>501</v>
      </c>
      <c r="D15" s="164">
        <v>1110000</v>
      </c>
      <c r="E15" s="21" t="s">
        <v>369</v>
      </c>
      <c r="F15" s="21" t="s">
        <v>370</v>
      </c>
      <c r="G15" s="8" t="str">
        <f t="shared" si="0"/>
        <v>STARKS ANGELINA</v>
      </c>
    </row>
    <row r="16" spans="1:7" x14ac:dyDescent="0.25">
      <c r="A16" s="8">
        <v>42724.183912037035</v>
      </c>
      <c r="B16" s="21" t="s">
        <v>206</v>
      </c>
      <c r="C16" s="21" t="s">
        <v>502</v>
      </c>
      <c r="D16" s="164">
        <v>2600000</v>
      </c>
      <c r="E16" s="21" t="s">
        <v>234</v>
      </c>
      <c r="F16" s="21" t="s">
        <v>250</v>
      </c>
      <c r="G16" s="8" t="str">
        <f t="shared" si="0"/>
        <v>DAVIDSON DAVID</v>
      </c>
    </row>
    <row r="17" spans="1:7" x14ac:dyDescent="0.25">
      <c r="A17" s="8">
        <v>42724.18550925926</v>
      </c>
      <c r="B17" s="21" t="s">
        <v>233</v>
      </c>
      <c r="C17" s="21" t="s">
        <v>503</v>
      </c>
      <c r="D17" s="164">
        <v>1990000</v>
      </c>
      <c r="E17" s="21" t="s">
        <v>263</v>
      </c>
      <c r="F17" s="21" t="s">
        <v>297</v>
      </c>
      <c r="G17" s="8" t="str">
        <f t="shared" si="0"/>
        <v>DAVIS WENDY</v>
      </c>
    </row>
    <row r="18" spans="1:7" x14ac:dyDescent="0.25">
      <c r="A18" s="8">
        <v>42724.18613425926</v>
      </c>
      <c r="B18" s="21" t="s">
        <v>259</v>
      </c>
      <c r="C18" s="21" t="s">
        <v>504</v>
      </c>
      <c r="D18" s="164">
        <v>2610000</v>
      </c>
      <c r="E18" s="21" t="s">
        <v>367</v>
      </c>
      <c r="F18" s="21" t="s">
        <v>368</v>
      </c>
      <c r="G18" s="8" t="str">
        <f t="shared" si="0"/>
        <v>MAGEE KENYA</v>
      </c>
    </row>
    <row r="19" spans="1:7" x14ac:dyDescent="0.25">
      <c r="A19" s="8">
        <v>42724.19431712963</v>
      </c>
      <c r="B19" s="21" t="s">
        <v>232</v>
      </c>
      <c r="C19" s="21" t="s">
        <v>505</v>
      </c>
      <c r="D19" s="164">
        <v>1990000</v>
      </c>
      <c r="E19" s="21" t="s">
        <v>263</v>
      </c>
      <c r="F19" s="21" t="s">
        <v>297</v>
      </c>
      <c r="G19" s="8" t="str">
        <f t="shared" si="0"/>
        <v>DAVIS WENDY</v>
      </c>
    </row>
    <row r="20" spans="1:7" x14ac:dyDescent="0.25">
      <c r="A20" s="8">
        <v>42724.203240740739</v>
      </c>
      <c r="B20" s="21" t="s">
        <v>244</v>
      </c>
      <c r="C20" s="21" t="s">
        <v>506</v>
      </c>
      <c r="D20" s="164">
        <v>2710000</v>
      </c>
      <c r="E20" s="21" t="s">
        <v>371</v>
      </c>
      <c r="F20" s="21" t="s">
        <v>372</v>
      </c>
      <c r="G20" s="8" t="str">
        <f t="shared" si="0"/>
        <v>SIMMONS SHYHESHA</v>
      </c>
    </row>
    <row r="21" spans="1:7" x14ac:dyDescent="0.25">
      <c r="A21" s="8">
        <v>42724.209270833337</v>
      </c>
      <c r="B21" s="21" t="s">
        <v>373</v>
      </c>
      <c r="C21" s="21" t="s">
        <v>507</v>
      </c>
      <c r="D21" s="164">
        <v>2680000</v>
      </c>
      <c r="E21" s="21" t="s">
        <v>379</v>
      </c>
      <c r="F21" s="21" t="s">
        <v>380</v>
      </c>
      <c r="G21" s="8" t="str">
        <f t="shared" si="0"/>
        <v>DUNCAN SHEILA</v>
      </c>
    </row>
    <row r="22" spans="1:7" x14ac:dyDescent="0.25">
      <c r="A22" s="27">
        <v>42724.211400462962</v>
      </c>
      <c r="B22" s="21" t="s">
        <v>257</v>
      </c>
      <c r="C22" s="21" t="s">
        <v>508</v>
      </c>
      <c r="D22" s="164">
        <v>2710000</v>
      </c>
      <c r="E22" s="21" t="s">
        <v>371</v>
      </c>
      <c r="F22" s="21" t="s">
        <v>372</v>
      </c>
      <c r="G22" s="8" t="str">
        <f t="shared" si="0"/>
        <v>SIMMONS SHYHESHA</v>
      </c>
    </row>
    <row r="23" spans="1:7" x14ac:dyDescent="0.25">
      <c r="A23" s="8">
        <v>42724.211736111109</v>
      </c>
      <c r="B23" s="21" t="s">
        <v>317</v>
      </c>
      <c r="C23" s="21" t="s">
        <v>460</v>
      </c>
      <c r="D23" s="164">
        <v>2110000</v>
      </c>
      <c r="E23" s="21" t="s">
        <v>322</v>
      </c>
      <c r="F23" s="21" t="s">
        <v>323</v>
      </c>
      <c r="G23" s="8" t="str">
        <f t="shared" si="0"/>
        <v>OUN ZACK</v>
      </c>
    </row>
    <row r="24" spans="1:7" x14ac:dyDescent="0.25">
      <c r="A24" s="8">
        <v>42724.215162037035</v>
      </c>
      <c r="B24" s="21" t="s">
        <v>236</v>
      </c>
      <c r="C24" s="21" t="s">
        <v>509</v>
      </c>
      <c r="D24" s="164">
        <v>1110000</v>
      </c>
      <c r="E24" s="21" t="s">
        <v>369</v>
      </c>
      <c r="F24" s="21" t="s">
        <v>370</v>
      </c>
      <c r="G24" s="8" t="str">
        <f t="shared" si="0"/>
        <v>STARKS ANGELINA</v>
      </c>
    </row>
    <row r="25" spans="1:7" x14ac:dyDescent="0.25">
      <c r="A25" s="8">
        <v>42724.21806712963</v>
      </c>
      <c r="B25" s="21" t="s">
        <v>207</v>
      </c>
      <c r="C25" s="21" t="s">
        <v>510</v>
      </c>
      <c r="D25" s="164">
        <v>2600000</v>
      </c>
      <c r="E25" s="21" t="s">
        <v>234</v>
      </c>
      <c r="F25" s="21" t="s">
        <v>250</v>
      </c>
      <c r="G25" s="8" t="str">
        <f t="shared" si="0"/>
        <v>DAVIDSON DAVID</v>
      </c>
    </row>
    <row r="26" spans="1:7" x14ac:dyDescent="0.25">
      <c r="A26" s="8">
        <v>42724.226273148146</v>
      </c>
      <c r="B26" s="21" t="s">
        <v>281</v>
      </c>
      <c r="C26" s="21" t="s">
        <v>511</v>
      </c>
      <c r="D26" s="164">
        <v>2720000</v>
      </c>
      <c r="E26" s="21" t="s">
        <v>376</v>
      </c>
      <c r="F26" s="21" t="s">
        <v>377</v>
      </c>
      <c r="G26" s="8" t="str">
        <f t="shared" si="0"/>
        <v>SIMONEAUX TERA</v>
      </c>
    </row>
    <row r="27" spans="1:7" x14ac:dyDescent="0.25">
      <c r="A27" s="8">
        <v>42724.226446759261</v>
      </c>
      <c r="B27" s="21" t="s">
        <v>229</v>
      </c>
      <c r="C27" s="21" t="s">
        <v>512</v>
      </c>
      <c r="D27" s="164">
        <v>2610000</v>
      </c>
      <c r="E27" s="21" t="s">
        <v>367</v>
      </c>
      <c r="F27" s="21" t="s">
        <v>368</v>
      </c>
      <c r="G27" s="8" t="str">
        <f t="shared" si="0"/>
        <v>MAGEE KENYA</v>
      </c>
    </row>
    <row r="28" spans="1:7" x14ac:dyDescent="0.25">
      <c r="A28" s="8">
        <v>42724.228726851848</v>
      </c>
      <c r="B28" s="21" t="s">
        <v>244</v>
      </c>
      <c r="C28" s="21" t="s">
        <v>513</v>
      </c>
      <c r="D28" s="164">
        <v>2710000</v>
      </c>
      <c r="E28" s="21" t="s">
        <v>371</v>
      </c>
      <c r="F28" s="21" t="s">
        <v>372</v>
      </c>
      <c r="G28" s="8" t="str">
        <f t="shared" si="0"/>
        <v>SIMMONS SHYHESHA</v>
      </c>
    </row>
    <row r="29" spans="1:7" x14ac:dyDescent="0.25">
      <c r="A29" s="8">
        <v>42724.2343287037</v>
      </c>
      <c r="B29" s="21" t="s">
        <v>233</v>
      </c>
      <c r="C29" s="21" t="s">
        <v>514</v>
      </c>
      <c r="D29" s="164">
        <v>1990000</v>
      </c>
      <c r="E29" s="21" t="s">
        <v>263</v>
      </c>
      <c r="F29" s="21" t="s">
        <v>297</v>
      </c>
      <c r="G29" s="8" t="str">
        <f t="shared" si="0"/>
        <v>DAVIS WENDY</v>
      </c>
    </row>
    <row r="30" spans="1:7" x14ac:dyDescent="0.25">
      <c r="A30" s="8">
        <v>42724.244502314818</v>
      </c>
      <c r="B30" s="21" t="s">
        <v>364</v>
      </c>
      <c r="C30" s="21" t="s">
        <v>515</v>
      </c>
      <c r="D30" s="164">
        <v>2680000</v>
      </c>
      <c r="E30" s="21" t="s">
        <v>379</v>
      </c>
      <c r="F30" s="21" t="s">
        <v>380</v>
      </c>
      <c r="G30" s="8" t="str">
        <f t="shared" si="0"/>
        <v>DUNCAN SHEILA</v>
      </c>
    </row>
    <row r="31" spans="1:7" x14ac:dyDescent="0.25">
      <c r="A31" s="8">
        <v>42724.248414351852</v>
      </c>
      <c r="B31" s="21" t="s">
        <v>154</v>
      </c>
      <c r="C31" s="21" t="s">
        <v>516</v>
      </c>
      <c r="D31" s="164">
        <v>1110000</v>
      </c>
      <c r="E31" s="21" t="s">
        <v>369</v>
      </c>
      <c r="F31" s="21" t="s">
        <v>370</v>
      </c>
      <c r="G31" s="8" t="str">
        <f t="shared" si="0"/>
        <v>STARKS ANGELINA</v>
      </c>
    </row>
    <row r="32" spans="1:7" x14ac:dyDescent="0.25">
      <c r="A32" s="8">
        <v>42724.251134259262</v>
      </c>
      <c r="B32" s="21" t="s">
        <v>273</v>
      </c>
      <c r="C32" s="21" t="s">
        <v>517</v>
      </c>
      <c r="D32" s="164">
        <v>2270000</v>
      </c>
      <c r="E32" s="21" t="s">
        <v>518</v>
      </c>
      <c r="F32" s="21" t="s">
        <v>519</v>
      </c>
      <c r="G32" s="8" t="str">
        <f t="shared" si="0"/>
        <v>BROWN JACOB</v>
      </c>
    </row>
    <row r="33" spans="1:7" x14ac:dyDescent="0.25">
      <c r="A33" s="8">
        <v>42724.254247685189</v>
      </c>
      <c r="B33" s="21" t="s">
        <v>319</v>
      </c>
      <c r="C33" s="21" t="s">
        <v>520</v>
      </c>
      <c r="D33" s="164">
        <v>2110000</v>
      </c>
      <c r="E33" s="21" t="s">
        <v>322</v>
      </c>
      <c r="F33" s="21" t="s">
        <v>323</v>
      </c>
      <c r="G33" s="8" t="str">
        <f t="shared" si="0"/>
        <v>OUN ZACK</v>
      </c>
    </row>
    <row r="34" spans="1:7" x14ac:dyDescent="0.25">
      <c r="A34" s="8">
        <v>42724.255046296297</v>
      </c>
      <c r="B34" s="21" t="s">
        <v>257</v>
      </c>
      <c r="C34" s="21" t="s">
        <v>461</v>
      </c>
      <c r="D34" s="164">
        <v>2710000</v>
      </c>
      <c r="E34" s="21" t="s">
        <v>371</v>
      </c>
      <c r="F34" s="21" t="s">
        <v>372</v>
      </c>
      <c r="G34" s="8" t="str">
        <f t="shared" si="0"/>
        <v>SIMMONS SHYHESHA</v>
      </c>
    </row>
    <row r="35" spans="1:7" x14ac:dyDescent="0.25">
      <c r="A35" s="8">
        <v>42724.257928240739</v>
      </c>
      <c r="B35" s="21" t="s">
        <v>282</v>
      </c>
      <c r="C35" s="21" t="s">
        <v>521</v>
      </c>
      <c r="D35" s="164">
        <v>2720000</v>
      </c>
      <c r="E35" s="21" t="s">
        <v>376</v>
      </c>
      <c r="F35" s="21" t="s">
        <v>377</v>
      </c>
      <c r="G35" s="8" t="str">
        <f t="shared" si="0"/>
        <v>SIMONEAUX TERA</v>
      </c>
    </row>
    <row r="36" spans="1:7" x14ac:dyDescent="0.25">
      <c r="A36" s="8">
        <v>42724.258067129631</v>
      </c>
      <c r="B36" s="21" t="s">
        <v>206</v>
      </c>
      <c r="C36" s="21" t="s">
        <v>522</v>
      </c>
      <c r="D36" s="164">
        <v>2600000</v>
      </c>
      <c r="E36" s="21" t="s">
        <v>234</v>
      </c>
      <c r="F36" s="21" t="s">
        <v>250</v>
      </c>
      <c r="G36" s="8" t="str">
        <f t="shared" si="0"/>
        <v>DAVIDSON DAVID</v>
      </c>
    </row>
    <row r="37" spans="1:7" x14ac:dyDescent="0.25">
      <c r="A37" s="8">
        <v>42724.26290509259</v>
      </c>
      <c r="B37" s="21" t="s">
        <v>276</v>
      </c>
      <c r="C37" s="21" t="s">
        <v>523</v>
      </c>
      <c r="D37" s="164">
        <v>2270000</v>
      </c>
      <c r="E37" s="21" t="s">
        <v>518</v>
      </c>
      <c r="F37" s="21" t="s">
        <v>519</v>
      </c>
      <c r="G37" s="8" t="str">
        <f t="shared" si="0"/>
        <v>BROWN JACOB</v>
      </c>
    </row>
    <row r="38" spans="1:7" x14ac:dyDescent="0.25">
      <c r="A38" s="8">
        <v>42724.266550925924</v>
      </c>
      <c r="B38" s="21" t="s">
        <v>259</v>
      </c>
      <c r="C38" s="21" t="s">
        <v>524</v>
      </c>
      <c r="D38" s="164">
        <v>2610000</v>
      </c>
      <c r="E38" s="21" t="s">
        <v>367</v>
      </c>
      <c r="F38" s="21" t="s">
        <v>368</v>
      </c>
      <c r="G38" s="8" t="str">
        <f t="shared" si="0"/>
        <v>MAGEE KENYA</v>
      </c>
    </row>
    <row r="39" spans="1:7" x14ac:dyDescent="0.25">
      <c r="A39" s="8">
        <v>42724.268495370372</v>
      </c>
      <c r="B39" s="21" t="s">
        <v>232</v>
      </c>
      <c r="C39" s="21" t="s">
        <v>462</v>
      </c>
      <c r="D39" s="164">
        <v>1990000</v>
      </c>
      <c r="E39" s="21" t="s">
        <v>263</v>
      </c>
      <c r="F39" s="21" t="s">
        <v>297</v>
      </c>
      <c r="G39" s="8" t="str">
        <f t="shared" si="0"/>
        <v>DAVIS WENDY</v>
      </c>
    </row>
    <row r="40" spans="1:7" x14ac:dyDescent="0.25">
      <c r="A40" s="8">
        <v>42724.276932870373</v>
      </c>
      <c r="B40" s="26" t="s">
        <v>273</v>
      </c>
      <c r="C40" s="21" t="s">
        <v>525</v>
      </c>
      <c r="D40" s="164">
        <v>2270000</v>
      </c>
      <c r="E40" s="21" t="s">
        <v>518</v>
      </c>
      <c r="F40" s="21" t="s">
        <v>519</v>
      </c>
      <c r="G40" s="8" t="str">
        <f t="shared" si="0"/>
        <v>BROWN JACOB</v>
      </c>
    </row>
    <row r="41" spans="1:7" x14ac:dyDescent="0.25">
      <c r="A41" s="8">
        <v>42724.279861111114</v>
      </c>
      <c r="B41" s="21" t="s">
        <v>373</v>
      </c>
      <c r="C41" s="21" t="s">
        <v>526</v>
      </c>
      <c r="D41" s="164">
        <v>2680000</v>
      </c>
      <c r="E41" s="21" t="s">
        <v>379</v>
      </c>
      <c r="F41" s="21" t="s">
        <v>380</v>
      </c>
      <c r="G41" s="8" t="str">
        <f t="shared" si="0"/>
        <v>DUNCAN SHEILA</v>
      </c>
    </row>
    <row r="42" spans="1:7" x14ac:dyDescent="0.25">
      <c r="A42" s="8">
        <v>42724.280011574076</v>
      </c>
      <c r="B42" s="21" t="s">
        <v>244</v>
      </c>
      <c r="C42" s="21" t="s">
        <v>527</v>
      </c>
      <c r="D42" s="164">
        <v>2710000</v>
      </c>
      <c r="E42" s="21" t="s">
        <v>371</v>
      </c>
      <c r="F42" s="21" t="s">
        <v>372</v>
      </c>
      <c r="G42" s="8" t="str">
        <f t="shared" si="0"/>
        <v>SIMMONS SHYHESHA</v>
      </c>
    </row>
    <row r="43" spans="1:7" x14ac:dyDescent="0.25">
      <c r="A43" s="8">
        <v>42724.287569444445</v>
      </c>
      <c r="B43" s="21" t="s">
        <v>155</v>
      </c>
      <c r="C43" s="21" t="s">
        <v>463</v>
      </c>
      <c r="D43" s="164">
        <v>1110000</v>
      </c>
      <c r="E43" s="21" t="s">
        <v>369</v>
      </c>
      <c r="F43" s="21" t="s">
        <v>370</v>
      </c>
      <c r="G43" s="8" t="str">
        <f t="shared" si="0"/>
        <v>STARKS ANGELINA</v>
      </c>
    </row>
    <row r="44" spans="1:7" x14ac:dyDescent="0.25">
      <c r="A44" s="8">
        <v>42724.288124999999</v>
      </c>
      <c r="B44" s="21" t="s">
        <v>317</v>
      </c>
      <c r="C44" s="21" t="s">
        <v>528</v>
      </c>
      <c r="D44" s="164">
        <v>2110000</v>
      </c>
      <c r="E44" s="21" t="s">
        <v>322</v>
      </c>
      <c r="F44" s="21" t="s">
        <v>323</v>
      </c>
      <c r="G44" s="8" t="str">
        <f t="shared" si="0"/>
        <v>OUN ZACK</v>
      </c>
    </row>
    <row r="45" spans="1:7" x14ac:dyDescent="0.25">
      <c r="A45" s="8">
        <v>42724.293009259258</v>
      </c>
      <c r="B45" s="21" t="s">
        <v>207</v>
      </c>
      <c r="C45" s="21" t="s">
        <v>529</v>
      </c>
      <c r="D45" s="164">
        <v>2600000</v>
      </c>
      <c r="E45" s="21" t="s">
        <v>234</v>
      </c>
      <c r="F45" s="21" t="s">
        <v>250</v>
      </c>
      <c r="G45" s="8" t="str">
        <f t="shared" si="0"/>
        <v>DAVIDSON DAVID</v>
      </c>
    </row>
    <row r="46" spans="1:7" x14ac:dyDescent="0.25">
      <c r="A46" s="8">
        <v>42724.296909722223</v>
      </c>
      <c r="B46" s="21" t="s">
        <v>257</v>
      </c>
      <c r="C46" s="21" t="s">
        <v>530</v>
      </c>
      <c r="D46" s="164">
        <v>2710000</v>
      </c>
      <c r="E46" s="21" t="s">
        <v>371</v>
      </c>
      <c r="F46" s="21" t="s">
        <v>372</v>
      </c>
      <c r="G46" s="8" t="str">
        <f t="shared" si="0"/>
        <v>SIMMONS SHYHESHA</v>
      </c>
    </row>
    <row r="47" spans="1:7" x14ac:dyDescent="0.25">
      <c r="A47" s="8">
        <v>42724.297673611109</v>
      </c>
      <c r="B47" s="21" t="s">
        <v>281</v>
      </c>
      <c r="C47" s="21" t="s">
        <v>531</v>
      </c>
      <c r="D47" s="164">
        <v>2720000</v>
      </c>
      <c r="E47" s="21" t="s">
        <v>376</v>
      </c>
      <c r="F47" s="21" t="s">
        <v>377</v>
      </c>
      <c r="G47" s="8" t="str">
        <f t="shared" si="0"/>
        <v>SIMONEAUX TERA</v>
      </c>
    </row>
    <row r="48" spans="1:7" x14ac:dyDescent="0.25">
      <c r="A48" s="8">
        <v>42724.305266203701</v>
      </c>
      <c r="B48" s="21" t="s">
        <v>276</v>
      </c>
      <c r="C48" s="21" t="s">
        <v>532</v>
      </c>
      <c r="D48" s="164">
        <v>2270000</v>
      </c>
      <c r="E48" s="21" t="s">
        <v>518</v>
      </c>
      <c r="F48" s="21" t="s">
        <v>519</v>
      </c>
      <c r="G48" s="8" t="str">
        <f t="shared" si="0"/>
        <v>BROWN JACOB</v>
      </c>
    </row>
    <row r="49" spans="1:7" x14ac:dyDescent="0.25">
      <c r="A49" s="8">
        <v>42724.306909722225</v>
      </c>
      <c r="B49" s="21" t="s">
        <v>233</v>
      </c>
      <c r="C49" s="21" t="s">
        <v>533</v>
      </c>
      <c r="D49" s="164">
        <v>1990000</v>
      </c>
      <c r="E49" s="21" t="s">
        <v>263</v>
      </c>
      <c r="F49" s="21" t="s">
        <v>297</v>
      </c>
      <c r="G49" s="8" t="str">
        <f t="shared" si="0"/>
        <v>DAVIS WENDY</v>
      </c>
    </row>
    <row r="50" spans="1:7" x14ac:dyDescent="0.25">
      <c r="A50" s="8">
        <v>42724.309490740743</v>
      </c>
      <c r="B50" s="21" t="s">
        <v>229</v>
      </c>
      <c r="C50" s="21" t="s">
        <v>534</v>
      </c>
      <c r="D50" s="164">
        <v>2610000</v>
      </c>
      <c r="E50" s="21" t="s">
        <v>367</v>
      </c>
      <c r="F50" s="21" t="s">
        <v>368</v>
      </c>
      <c r="G50" s="8" t="str">
        <f t="shared" si="0"/>
        <v>MAGEE KENYA</v>
      </c>
    </row>
    <row r="51" spans="1:7" x14ac:dyDescent="0.25">
      <c r="A51" s="8">
        <v>42724.314340277779</v>
      </c>
      <c r="B51" s="21" t="s">
        <v>318</v>
      </c>
      <c r="C51" s="21" t="s">
        <v>535</v>
      </c>
      <c r="D51" s="164">
        <v>1090000</v>
      </c>
      <c r="E51" s="21" t="s">
        <v>378</v>
      </c>
      <c r="F51" s="21" t="s">
        <v>262</v>
      </c>
      <c r="G51" s="8" t="str">
        <f t="shared" si="0"/>
        <v>SPECTOR MICHAEL</v>
      </c>
    </row>
    <row r="52" spans="1:7" x14ac:dyDescent="0.25">
      <c r="A52" s="8">
        <v>42724.317002314812</v>
      </c>
      <c r="B52" s="21" t="s">
        <v>273</v>
      </c>
      <c r="C52" s="21" t="s">
        <v>536</v>
      </c>
      <c r="D52" s="164">
        <v>2270000</v>
      </c>
      <c r="E52" s="21" t="s">
        <v>518</v>
      </c>
      <c r="F52" s="21" t="s">
        <v>519</v>
      </c>
      <c r="G52" s="8" t="str">
        <f t="shared" si="0"/>
        <v>BROWN JACOB</v>
      </c>
    </row>
    <row r="53" spans="1:7" x14ac:dyDescent="0.25">
      <c r="A53" s="8">
        <v>42724.31753472222</v>
      </c>
      <c r="B53" s="21" t="s">
        <v>364</v>
      </c>
      <c r="C53" s="21" t="s">
        <v>537</v>
      </c>
      <c r="D53" s="164">
        <v>2680000</v>
      </c>
      <c r="E53" s="21" t="s">
        <v>379</v>
      </c>
      <c r="F53" s="21" t="s">
        <v>380</v>
      </c>
      <c r="G53" s="8" t="str">
        <f t="shared" si="0"/>
        <v>DUNCAN SHEILA</v>
      </c>
    </row>
    <row r="54" spans="1:7" x14ac:dyDescent="0.25">
      <c r="A54" s="8">
        <v>42724.324930555558</v>
      </c>
      <c r="B54" s="21" t="s">
        <v>319</v>
      </c>
      <c r="C54" s="21" t="s">
        <v>464</v>
      </c>
      <c r="D54" s="164">
        <v>2110000</v>
      </c>
      <c r="E54" s="21" t="s">
        <v>322</v>
      </c>
      <c r="F54" s="21" t="s">
        <v>323</v>
      </c>
      <c r="G54" s="8" t="str">
        <f t="shared" si="0"/>
        <v>OUN ZACK</v>
      </c>
    </row>
    <row r="55" spans="1:7" x14ac:dyDescent="0.25">
      <c r="A55" s="8">
        <v>42724.326145833336</v>
      </c>
      <c r="B55" s="21" t="s">
        <v>244</v>
      </c>
      <c r="C55" s="21" t="s">
        <v>538</v>
      </c>
      <c r="D55" s="164">
        <v>2710000</v>
      </c>
      <c r="E55" s="21" t="s">
        <v>371</v>
      </c>
      <c r="F55" s="21" t="s">
        <v>372</v>
      </c>
      <c r="G55" s="8" t="str">
        <f t="shared" si="0"/>
        <v>SIMMONS SHYHESHA</v>
      </c>
    </row>
    <row r="56" spans="1:7" x14ac:dyDescent="0.25">
      <c r="A56" s="8">
        <v>42724.328750000001</v>
      </c>
      <c r="B56" s="21" t="s">
        <v>206</v>
      </c>
      <c r="C56" s="21" t="s">
        <v>539</v>
      </c>
      <c r="D56" s="164">
        <v>2600000</v>
      </c>
      <c r="E56" s="21" t="s">
        <v>234</v>
      </c>
      <c r="F56" s="21" t="s">
        <v>250</v>
      </c>
      <c r="G56" s="8" t="str">
        <f t="shared" si="0"/>
        <v>DAVIDSON DAVID</v>
      </c>
    </row>
    <row r="57" spans="1:7" x14ac:dyDescent="0.25">
      <c r="A57" s="8">
        <v>42724.331018518518</v>
      </c>
      <c r="B57" s="21" t="s">
        <v>282</v>
      </c>
      <c r="C57" s="21" t="s">
        <v>466</v>
      </c>
      <c r="D57" s="164">
        <v>2720000</v>
      </c>
      <c r="E57" s="21" t="s">
        <v>376</v>
      </c>
      <c r="F57" s="21" t="s">
        <v>377</v>
      </c>
      <c r="G57" s="8" t="str">
        <f t="shared" si="0"/>
        <v>SIMONEAUX TERA</v>
      </c>
    </row>
    <row r="58" spans="1:7" x14ac:dyDescent="0.25">
      <c r="A58" s="8">
        <v>42724.33997685185</v>
      </c>
      <c r="B58" s="21" t="s">
        <v>232</v>
      </c>
      <c r="C58" s="21" t="s">
        <v>540</v>
      </c>
      <c r="D58" s="164">
        <v>1990000</v>
      </c>
      <c r="E58" s="21" t="s">
        <v>263</v>
      </c>
      <c r="F58" s="21" t="s">
        <v>297</v>
      </c>
      <c r="G58" s="8" t="str">
        <f t="shared" si="0"/>
        <v>DAVIS WENDY</v>
      </c>
    </row>
    <row r="59" spans="1:7" x14ac:dyDescent="0.25">
      <c r="A59" s="8">
        <v>42724.340104166666</v>
      </c>
      <c r="B59" s="21" t="s">
        <v>259</v>
      </c>
      <c r="C59" s="21" t="s">
        <v>468</v>
      </c>
      <c r="D59" s="164">
        <v>2610000</v>
      </c>
      <c r="E59" s="21" t="s">
        <v>367</v>
      </c>
      <c r="F59" s="21" t="s">
        <v>368</v>
      </c>
      <c r="G59" s="8" t="str">
        <f t="shared" si="0"/>
        <v>MAGEE KENYA</v>
      </c>
    </row>
    <row r="60" spans="1:7" x14ac:dyDescent="0.25">
      <c r="A60" s="8">
        <v>42724.340266203704</v>
      </c>
      <c r="B60" s="21" t="s">
        <v>257</v>
      </c>
      <c r="C60" s="21" t="s">
        <v>465</v>
      </c>
      <c r="D60" s="164">
        <v>2710000</v>
      </c>
      <c r="E60" s="21" t="s">
        <v>371</v>
      </c>
      <c r="F60" s="21" t="s">
        <v>372</v>
      </c>
      <c r="G60" s="8" t="str">
        <f t="shared" si="0"/>
        <v>SIMMONS SHYHESHA</v>
      </c>
    </row>
    <row r="61" spans="1:7" x14ac:dyDescent="0.25">
      <c r="A61" s="8">
        <v>42724.350046296298</v>
      </c>
      <c r="B61" s="21" t="s">
        <v>276</v>
      </c>
      <c r="C61" s="21" t="s">
        <v>541</v>
      </c>
      <c r="D61" s="164">
        <v>2270000</v>
      </c>
      <c r="E61" s="21" t="s">
        <v>518</v>
      </c>
      <c r="F61" s="21" t="s">
        <v>519</v>
      </c>
      <c r="G61" s="8" t="str">
        <f t="shared" si="0"/>
        <v>BROWN JACOB</v>
      </c>
    </row>
    <row r="62" spans="1:7" x14ac:dyDescent="0.25">
      <c r="A62" s="8">
        <v>42724.352384259262</v>
      </c>
      <c r="B62" s="21" t="s">
        <v>373</v>
      </c>
      <c r="C62" s="21" t="s">
        <v>542</v>
      </c>
      <c r="D62" s="164">
        <v>2680000</v>
      </c>
      <c r="E62" s="21" t="s">
        <v>379</v>
      </c>
      <c r="F62" s="21" t="s">
        <v>380</v>
      </c>
      <c r="G62" s="8" t="str">
        <f t="shared" si="0"/>
        <v>DUNCAN SHEILA</v>
      </c>
    </row>
    <row r="63" spans="1:7" x14ac:dyDescent="0.25">
      <c r="A63" s="8">
        <v>42724.35429398148</v>
      </c>
      <c r="B63" s="21" t="s">
        <v>236</v>
      </c>
      <c r="C63" s="21" t="s">
        <v>543</v>
      </c>
      <c r="D63" s="164">
        <v>1090000</v>
      </c>
      <c r="E63" s="21" t="s">
        <v>378</v>
      </c>
      <c r="F63" s="21" t="s">
        <v>262</v>
      </c>
      <c r="G63" s="8" t="str">
        <f t="shared" si="0"/>
        <v>SPECTOR MICHAEL</v>
      </c>
    </row>
    <row r="64" spans="1:7" x14ac:dyDescent="0.25">
      <c r="A64" s="27">
        <v>42724.356053240743</v>
      </c>
      <c r="B64" s="21" t="s">
        <v>244</v>
      </c>
      <c r="C64" s="21" t="s">
        <v>544</v>
      </c>
      <c r="D64" s="164">
        <v>2710000</v>
      </c>
      <c r="E64" s="21" t="s">
        <v>371</v>
      </c>
      <c r="F64" s="21" t="s">
        <v>372</v>
      </c>
      <c r="G64" s="8" t="str">
        <f t="shared" si="0"/>
        <v>SIMMONS SHYHESHA</v>
      </c>
    </row>
    <row r="65" spans="1:7" x14ac:dyDescent="0.25">
      <c r="A65" s="8">
        <v>42724.36141203704</v>
      </c>
      <c r="B65" s="21" t="s">
        <v>154</v>
      </c>
      <c r="C65" s="21" t="s">
        <v>545</v>
      </c>
      <c r="D65" s="164">
        <v>1260000</v>
      </c>
      <c r="E65" s="21" t="s">
        <v>546</v>
      </c>
      <c r="F65" s="21" t="s">
        <v>547</v>
      </c>
      <c r="G65" s="8" t="str">
        <f t="shared" si="0"/>
        <v>ACKERMAN JARED</v>
      </c>
    </row>
    <row r="66" spans="1:7" x14ac:dyDescent="0.25">
      <c r="A66" s="8">
        <v>42724.361504629633</v>
      </c>
      <c r="B66" s="21" t="s">
        <v>317</v>
      </c>
      <c r="C66" s="21" t="s">
        <v>548</v>
      </c>
      <c r="D66" s="164">
        <v>2110000</v>
      </c>
      <c r="E66" s="21" t="s">
        <v>322</v>
      </c>
      <c r="F66" s="21" t="s">
        <v>323</v>
      </c>
      <c r="G66" s="8" t="str">
        <f t="shared" si="0"/>
        <v>OUN ZACK</v>
      </c>
    </row>
    <row r="67" spans="1:7" x14ac:dyDescent="0.25">
      <c r="A67" s="8">
        <v>42724.36210648148</v>
      </c>
      <c r="B67" s="21" t="s">
        <v>273</v>
      </c>
      <c r="C67" s="21" t="s">
        <v>549</v>
      </c>
      <c r="D67" s="164">
        <v>2270000</v>
      </c>
      <c r="E67" s="21" t="s">
        <v>518</v>
      </c>
      <c r="F67" s="21" t="s">
        <v>519</v>
      </c>
      <c r="G67" s="8" t="str">
        <f t="shared" ref="G67:G130" si="1">E67&amp;" "&amp;F67</f>
        <v>BROWN JACOB</v>
      </c>
    </row>
    <row r="68" spans="1:7" x14ac:dyDescent="0.25">
      <c r="A68" s="8">
        <v>42724.362627314818</v>
      </c>
      <c r="B68" s="21" t="s">
        <v>207</v>
      </c>
      <c r="C68" s="21" t="s">
        <v>550</v>
      </c>
      <c r="D68" s="164">
        <v>2600000</v>
      </c>
      <c r="E68" s="21" t="s">
        <v>234</v>
      </c>
      <c r="F68" s="21" t="s">
        <v>250</v>
      </c>
      <c r="G68" s="8" t="str">
        <f t="shared" si="1"/>
        <v>DAVIDSON DAVID</v>
      </c>
    </row>
    <row r="69" spans="1:7" x14ac:dyDescent="0.25">
      <c r="A69" s="8">
        <v>42724.372037037036</v>
      </c>
      <c r="B69" s="21" t="s">
        <v>281</v>
      </c>
      <c r="C69" s="21" t="s">
        <v>467</v>
      </c>
      <c r="D69" s="164">
        <v>2720000</v>
      </c>
      <c r="E69" s="21" t="s">
        <v>376</v>
      </c>
      <c r="F69" s="21" t="s">
        <v>377</v>
      </c>
      <c r="G69" s="8" t="str">
        <f t="shared" si="1"/>
        <v>SIMONEAUX TERA</v>
      </c>
    </row>
    <row r="70" spans="1:7" x14ac:dyDescent="0.25">
      <c r="A70" s="8">
        <v>42724.378576388888</v>
      </c>
      <c r="B70" s="21" t="s">
        <v>233</v>
      </c>
      <c r="C70" s="21" t="s">
        <v>469</v>
      </c>
      <c r="D70" s="164">
        <v>1990000</v>
      </c>
      <c r="E70" s="21" t="s">
        <v>263</v>
      </c>
      <c r="F70" s="21" t="s">
        <v>297</v>
      </c>
      <c r="G70" s="8" t="str">
        <f t="shared" si="1"/>
        <v>DAVIS WENDY</v>
      </c>
    </row>
    <row r="71" spans="1:7" x14ac:dyDescent="0.25">
      <c r="A71" s="8">
        <v>42724.383240740739</v>
      </c>
      <c r="B71" s="21" t="s">
        <v>229</v>
      </c>
      <c r="C71" s="21" t="s">
        <v>551</v>
      </c>
      <c r="D71" s="164">
        <v>2610000</v>
      </c>
      <c r="E71" s="21" t="s">
        <v>367</v>
      </c>
      <c r="F71" s="21" t="s">
        <v>368</v>
      </c>
      <c r="G71" s="8" t="str">
        <f t="shared" si="1"/>
        <v>MAGEE KENYA</v>
      </c>
    </row>
    <row r="72" spans="1:7" x14ac:dyDescent="0.25">
      <c r="A72" s="8">
        <v>42724.385057870371</v>
      </c>
      <c r="B72" s="21" t="s">
        <v>276</v>
      </c>
      <c r="C72" s="21" t="s">
        <v>552</v>
      </c>
      <c r="D72" s="164">
        <v>2270000</v>
      </c>
      <c r="E72" s="21" t="s">
        <v>518</v>
      </c>
      <c r="F72" s="21" t="s">
        <v>519</v>
      </c>
      <c r="G72" s="8" t="str">
        <f t="shared" si="1"/>
        <v>BROWN JACOB</v>
      </c>
    </row>
    <row r="73" spans="1:7" x14ac:dyDescent="0.25">
      <c r="A73" s="8">
        <v>42724.390231481484</v>
      </c>
      <c r="B73" s="21" t="s">
        <v>364</v>
      </c>
      <c r="C73" s="21" t="s">
        <v>470</v>
      </c>
      <c r="D73" s="164">
        <v>2680000</v>
      </c>
      <c r="E73" s="21" t="s">
        <v>379</v>
      </c>
      <c r="F73" s="21" t="s">
        <v>380</v>
      </c>
      <c r="G73" s="8" t="str">
        <f t="shared" si="1"/>
        <v>DUNCAN SHEILA</v>
      </c>
    </row>
    <row r="74" spans="1:7" x14ac:dyDescent="0.25">
      <c r="A74" s="8">
        <v>42724.391076388885</v>
      </c>
      <c r="B74" s="21" t="s">
        <v>318</v>
      </c>
      <c r="C74" s="21" t="s">
        <v>553</v>
      </c>
      <c r="D74" s="164">
        <v>1110000</v>
      </c>
      <c r="E74" s="21" t="s">
        <v>369</v>
      </c>
      <c r="F74" s="21" t="s">
        <v>370</v>
      </c>
      <c r="G74" s="8" t="str">
        <f t="shared" si="1"/>
        <v>STARKS ANGELINA</v>
      </c>
    </row>
    <row r="75" spans="1:7" x14ac:dyDescent="0.25">
      <c r="A75" s="8">
        <v>42724.399259259262</v>
      </c>
      <c r="B75" s="21" t="s">
        <v>319</v>
      </c>
      <c r="C75" s="21" t="s">
        <v>554</v>
      </c>
      <c r="D75" s="164">
        <v>2110000</v>
      </c>
      <c r="E75" s="21" t="s">
        <v>322</v>
      </c>
      <c r="F75" s="21" t="s">
        <v>323</v>
      </c>
      <c r="G75" s="8" t="str">
        <f t="shared" si="1"/>
        <v>OUN ZACK</v>
      </c>
    </row>
    <row r="76" spans="1:7" x14ac:dyDescent="0.25">
      <c r="A76" s="8">
        <v>42724.400706018518</v>
      </c>
      <c r="B76" s="21" t="s">
        <v>273</v>
      </c>
      <c r="C76" s="21" t="s">
        <v>555</v>
      </c>
      <c r="D76" s="164">
        <v>2270000</v>
      </c>
      <c r="E76" s="21" t="s">
        <v>518</v>
      </c>
      <c r="F76" s="21" t="s">
        <v>519</v>
      </c>
      <c r="G76" s="8" t="str">
        <f t="shared" si="1"/>
        <v>BROWN JACOB</v>
      </c>
    </row>
    <row r="77" spans="1:7" x14ac:dyDescent="0.25">
      <c r="A77" s="8">
        <v>42724.402175925927</v>
      </c>
      <c r="B77" s="21" t="s">
        <v>282</v>
      </c>
      <c r="C77" s="21" t="s">
        <v>556</v>
      </c>
      <c r="D77" s="164">
        <v>2720000</v>
      </c>
      <c r="E77" s="21" t="s">
        <v>376</v>
      </c>
      <c r="F77" s="21" t="s">
        <v>377</v>
      </c>
      <c r="G77" s="8" t="str">
        <f t="shared" si="1"/>
        <v>SIMONEAUX TERA</v>
      </c>
    </row>
    <row r="78" spans="1:7" x14ac:dyDescent="0.25">
      <c r="A78" s="8">
        <v>42724.402442129627</v>
      </c>
      <c r="B78" s="21" t="s">
        <v>296</v>
      </c>
      <c r="C78" s="21" t="s">
        <v>557</v>
      </c>
      <c r="D78" s="164">
        <v>1260000</v>
      </c>
      <c r="E78" s="21" t="s">
        <v>546</v>
      </c>
      <c r="F78" s="21" t="s">
        <v>547</v>
      </c>
      <c r="G78" s="8" t="str">
        <f t="shared" si="1"/>
        <v>ACKERMAN JARED</v>
      </c>
    </row>
    <row r="79" spans="1:7" x14ac:dyDescent="0.25">
      <c r="A79" s="8">
        <v>42724.403194444443</v>
      </c>
      <c r="B79" s="21" t="s">
        <v>206</v>
      </c>
      <c r="C79" s="21" t="s">
        <v>558</v>
      </c>
      <c r="D79" s="164">
        <v>2600000</v>
      </c>
      <c r="E79" s="21" t="s">
        <v>234</v>
      </c>
      <c r="F79" s="21" t="s">
        <v>250</v>
      </c>
      <c r="G79" s="8" t="str">
        <f t="shared" si="1"/>
        <v>DAVIDSON DAVID</v>
      </c>
    </row>
    <row r="80" spans="1:7" x14ac:dyDescent="0.25">
      <c r="A80" s="8">
        <v>42724.411759259259</v>
      </c>
      <c r="B80" s="21" t="s">
        <v>232</v>
      </c>
      <c r="C80" s="21" t="s">
        <v>559</v>
      </c>
      <c r="D80" s="164">
        <v>1990000</v>
      </c>
      <c r="E80" s="21" t="s">
        <v>263</v>
      </c>
      <c r="F80" s="21" t="s">
        <v>297</v>
      </c>
      <c r="G80" s="8" t="str">
        <f t="shared" si="1"/>
        <v>DAVIS WENDY</v>
      </c>
    </row>
    <row r="81" spans="1:7" x14ac:dyDescent="0.25">
      <c r="A81" s="8">
        <v>42724.41547453704</v>
      </c>
      <c r="B81" s="21" t="s">
        <v>259</v>
      </c>
      <c r="C81" s="21" t="s">
        <v>560</v>
      </c>
      <c r="D81" s="164">
        <v>2610000</v>
      </c>
      <c r="E81" s="21" t="s">
        <v>367</v>
      </c>
      <c r="F81" s="21" t="s">
        <v>368</v>
      </c>
      <c r="G81" s="8" t="str">
        <f t="shared" si="1"/>
        <v>MAGEE KENYA</v>
      </c>
    </row>
    <row r="82" spans="1:7" x14ac:dyDescent="0.25">
      <c r="A82" s="8">
        <v>42724.422523148147</v>
      </c>
      <c r="B82" s="21" t="s">
        <v>276</v>
      </c>
      <c r="C82" s="21" t="s">
        <v>561</v>
      </c>
      <c r="D82" s="164">
        <v>2270000</v>
      </c>
      <c r="E82" s="21" t="s">
        <v>518</v>
      </c>
      <c r="F82" s="21" t="s">
        <v>519</v>
      </c>
      <c r="G82" s="8" t="str">
        <f t="shared" si="1"/>
        <v>BROWN JACOB</v>
      </c>
    </row>
    <row r="83" spans="1:7" x14ac:dyDescent="0.25">
      <c r="A83" s="8">
        <v>42724.424895833334</v>
      </c>
      <c r="B83" s="21" t="s">
        <v>373</v>
      </c>
      <c r="C83" s="21" t="s">
        <v>471</v>
      </c>
      <c r="D83" s="164">
        <v>2680000</v>
      </c>
      <c r="E83" s="21" t="s">
        <v>379</v>
      </c>
      <c r="F83" s="21" t="s">
        <v>380</v>
      </c>
      <c r="G83" s="8" t="str">
        <f t="shared" si="1"/>
        <v>DUNCAN SHEILA</v>
      </c>
    </row>
    <row r="84" spans="1:7" x14ac:dyDescent="0.25">
      <c r="A84" s="8">
        <v>42724.431331018517</v>
      </c>
      <c r="B84" s="21" t="s">
        <v>236</v>
      </c>
      <c r="C84" s="21" t="s">
        <v>562</v>
      </c>
      <c r="D84" s="164">
        <v>1110000</v>
      </c>
      <c r="E84" s="21" t="s">
        <v>369</v>
      </c>
      <c r="F84" s="21" t="s">
        <v>370</v>
      </c>
      <c r="G84" s="8" t="str">
        <f t="shared" si="1"/>
        <v>STARKS ANGELINA</v>
      </c>
    </row>
    <row r="85" spans="1:7" x14ac:dyDescent="0.25">
      <c r="A85" s="8">
        <v>42724.434490740743</v>
      </c>
      <c r="B85" s="21" t="s">
        <v>317</v>
      </c>
      <c r="C85" s="21" t="s">
        <v>473</v>
      </c>
      <c r="D85" s="164">
        <v>2710000</v>
      </c>
      <c r="E85" s="21" t="s">
        <v>371</v>
      </c>
      <c r="F85" s="21" t="s">
        <v>372</v>
      </c>
      <c r="G85" s="8" t="str">
        <f t="shared" si="1"/>
        <v>SIMMONS SHYHESHA</v>
      </c>
    </row>
    <row r="86" spans="1:7" x14ac:dyDescent="0.25">
      <c r="A86" s="8">
        <v>42724.438506944447</v>
      </c>
      <c r="B86" s="21" t="s">
        <v>210</v>
      </c>
      <c r="C86" s="21" t="s">
        <v>472</v>
      </c>
      <c r="D86" s="164">
        <v>2040000</v>
      </c>
      <c r="E86" s="21" t="s">
        <v>563</v>
      </c>
      <c r="F86" s="21" t="s">
        <v>564</v>
      </c>
      <c r="G86" s="8" t="str">
        <f t="shared" si="1"/>
        <v>MOSES BRADLEY</v>
      </c>
    </row>
    <row r="87" spans="1:7" x14ac:dyDescent="0.25">
      <c r="A87" s="8">
        <v>42724.438530092593</v>
      </c>
      <c r="B87" s="21" t="s">
        <v>207</v>
      </c>
      <c r="C87" s="21" t="s">
        <v>565</v>
      </c>
      <c r="D87" s="164">
        <v>2600000</v>
      </c>
      <c r="E87" s="21" t="s">
        <v>234</v>
      </c>
      <c r="F87" s="21" t="s">
        <v>250</v>
      </c>
      <c r="G87" s="8" t="str">
        <f t="shared" si="1"/>
        <v>DAVIDSON DAVID</v>
      </c>
    </row>
    <row r="88" spans="1:7" x14ac:dyDescent="0.25">
      <c r="A88" s="8">
        <v>42724.441805555558</v>
      </c>
      <c r="B88" s="21" t="s">
        <v>273</v>
      </c>
      <c r="C88" s="21" t="s">
        <v>566</v>
      </c>
      <c r="D88" s="164">
        <v>2270000</v>
      </c>
      <c r="E88" s="21" t="s">
        <v>518</v>
      </c>
      <c r="F88" s="21" t="s">
        <v>519</v>
      </c>
      <c r="G88" s="8" t="str">
        <f t="shared" si="1"/>
        <v>BROWN JACOB</v>
      </c>
    </row>
    <row r="89" spans="1:7" x14ac:dyDescent="0.25">
      <c r="A89" s="8">
        <v>42724.445925925924</v>
      </c>
      <c r="B89" s="21" t="s">
        <v>281</v>
      </c>
      <c r="C89" s="21" t="s">
        <v>567</v>
      </c>
      <c r="D89" s="164">
        <v>2720000</v>
      </c>
      <c r="E89" s="21" t="s">
        <v>376</v>
      </c>
      <c r="F89" s="21" t="s">
        <v>377</v>
      </c>
      <c r="G89" s="8" t="str">
        <f t="shared" si="1"/>
        <v>SIMONEAUX TERA</v>
      </c>
    </row>
    <row r="90" spans="1:7" x14ac:dyDescent="0.25">
      <c r="A90" s="8">
        <v>42724.452233796299</v>
      </c>
      <c r="B90" s="21" t="s">
        <v>233</v>
      </c>
      <c r="C90" s="21" t="s">
        <v>568</v>
      </c>
      <c r="D90" s="164">
        <v>1990000</v>
      </c>
      <c r="E90" s="21" t="s">
        <v>263</v>
      </c>
      <c r="F90" s="21" t="s">
        <v>297</v>
      </c>
      <c r="G90" s="8" t="str">
        <f t="shared" si="1"/>
        <v>DAVIS WENDY</v>
      </c>
    </row>
    <row r="91" spans="1:7" x14ac:dyDescent="0.25">
      <c r="A91" s="8">
        <v>42724.455370370371</v>
      </c>
      <c r="B91" s="21" t="s">
        <v>229</v>
      </c>
      <c r="C91" s="21" t="s">
        <v>569</v>
      </c>
      <c r="D91" s="164">
        <v>920000</v>
      </c>
      <c r="E91" s="21" t="s">
        <v>263</v>
      </c>
      <c r="F91" s="21" t="s">
        <v>262</v>
      </c>
      <c r="G91" s="8" t="str">
        <f t="shared" si="1"/>
        <v>DAVIS MICHAEL</v>
      </c>
    </row>
    <row r="92" spans="1:7" x14ac:dyDescent="0.25">
      <c r="A92" s="8">
        <v>42724.462604166663</v>
      </c>
      <c r="B92" s="21" t="s">
        <v>364</v>
      </c>
      <c r="C92" s="21" t="s">
        <v>570</v>
      </c>
      <c r="D92" s="164">
        <v>2680000</v>
      </c>
      <c r="E92" s="21" t="s">
        <v>379</v>
      </c>
      <c r="F92" s="21" t="s">
        <v>380</v>
      </c>
      <c r="G92" s="8" t="str">
        <f t="shared" si="1"/>
        <v>DUNCAN SHEILA</v>
      </c>
    </row>
    <row r="93" spans="1:7" x14ac:dyDescent="0.25">
      <c r="A93" s="8">
        <v>42724.465138888889</v>
      </c>
      <c r="B93" s="21" t="s">
        <v>319</v>
      </c>
      <c r="C93" s="21" t="s">
        <v>571</v>
      </c>
      <c r="D93" s="164">
        <v>2710000</v>
      </c>
      <c r="E93" s="21" t="s">
        <v>371</v>
      </c>
      <c r="F93" s="21" t="s">
        <v>372</v>
      </c>
      <c r="G93" s="8" t="str">
        <f t="shared" si="1"/>
        <v>SIMMONS SHYHESHA</v>
      </c>
    </row>
    <row r="94" spans="1:7" x14ac:dyDescent="0.25">
      <c r="A94" s="8">
        <v>42724.468460648146</v>
      </c>
      <c r="B94" s="21" t="s">
        <v>183</v>
      </c>
      <c r="C94" s="21" t="s">
        <v>572</v>
      </c>
      <c r="D94" s="164">
        <v>880000</v>
      </c>
      <c r="E94" s="21" t="s">
        <v>325</v>
      </c>
      <c r="F94" s="21" t="s">
        <v>262</v>
      </c>
      <c r="G94" s="8" t="str">
        <f t="shared" si="1"/>
        <v>STEWART MICHAEL</v>
      </c>
    </row>
    <row r="95" spans="1:7" x14ac:dyDescent="0.25">
      <c r="A95" s="8">
        <v>42724.471550925926</v>
      </c>
      <c r="B95" s="21" t="s">
        <v>276</v>
      </c>
      <c r="C95" s="21" t="s">
        <v>573</v>
      </c>
      <c r="D95" s="164">
        <v>2270000</v>
      </c>
      <c r="E95" s="21" t="s">
        <v>518</v>
      </c>
      <c r="F95" s="21" t="s">
        <v>519</v>
      </c>
      <c r="G95" s="8" t="str">
        <f t="shared" si="1"/>
        <v>BROWN JACOB</v>
      </c>
    </row>
    <row r="96" spans="1:7" x14ac:dyDescent="0.25">
      <c r="A96" s="8">
        <v>42724.475995370369</v>
      </c>
      <c r="B96" s="21" t="s">
        <v>318</v>
      </c>
      <c r="C96" s="21" t="s">
        <v>574</v>
      </c>
      <c r="D96" s="164">
        <v>2670000</v>
      </c>
      <c r="E96" s="21" t="s">
        <v>383</v>
      </c>
      <c r="F96" s="21" t="s">
        <v>384</v>
      </c>
      <c r="G96" s="8" t="str">
        <f t="shared" si="1"/>
        <v>COMELLA JUSTIN</v>
      </c>
    </row>
    <row r="97" spans="1:7" x14ac:dyDescent="0.25">
      <c r="A97" s="8">
        <v>42724.47625</v>
      </c>
      <c r="B97" s="21" t="s">
        <v>204</v>
      </c>
      <c r="C97" s="21" t="s">
        <v>575</v>
      </c>
      <c r="D97" s="164">
        <v>1230000</v>
      </c>
      <c r="E97" s="21" t="s">
        <v>374</v>
      </c>
      <c r="F97" s="21" t="s">
        <v>375</v>
      </c>
      <c r="G97" s="8" t="str">
        <f t="shared" si="1"/>
        <v>YANAI IAN</v>
      </c>
    </row>
    <row r="98" spans="1:7" x14ac:dyDescent="0.25">
      <c r="A98" s="8">
        <v>42724.477164351854</v>
      </c>
      <c r="B98" s="21" t="s">
        <v>282</v>
      </c>
      <c r="C98" s="21" t="s">
        <v>576</v>
      </c>
      <c r="D98" s="164">
        <v>2720000</v>
      </c>
      <c r="E98" s="21" t="s">
        <v>376</v>
      </c>
      <c r="F98" s="21" t="s">
        <v>377</v>
      </c>
      <c r="G98" s="8" t="str">
        <f t="shared" si="1"/>
        <v>SIMONEAUX TERA</v>
      </c>
    </row>
    <row r="99" spans="1:7" x14ac:dyDescent="0.25">
      <c r="A99" s="8">
        <v>42724.477627314816</v>
      </c>
      <c r="B99" s="21" t="s">
        <v>318</v>
      </c>
      <c r="C99" s="21" t="s">
        <v>574</v>
      </c>
      <c r="D99" s="164">
        <v>2670000</v>
      </c>
      <c r="E99" s="21" t="s">
        <v>383</v>
      </c>
      <c r="F99" s="21" t="s">
        <v>384</v>
      </c>
      <c r="G99" s="8" t="str">
        <f t="shared" si="1"/>
        <v>COMELLA JUSTIN</v>
      </c>
    </row>
    <row r="100" spans="1:7" x14ac:dyDescent="0.25">
      <c r="A100" s="8">
        <v>42724.477662037039</v>
      </c>
      <c r="B100" s="21" t="s">
        <v>315</v>
      </c>
      <c r="C100" s="21" t="s">
        <v>474</v>
      </c>
      <c r="D100" s="164">
        <v>2090000</v>
      </c>
      <c r="E100" s="21" t="s">
        <v>324</v>
      </c>
      <c r="F100" s="21" t="s">
        <v>262</v>
      </c>
      <c r="G100" s="8" t="str">
        <f t="shared" si="1"/>
        <v>HAITHCOX MICHAEL</v>
      </c>
    </row>
    <row r="101" spans="1:7" x14ac:dyDescent="0.25">
      <c r="A101" s="8">
        <v>42724.483912037038</v>
      </c>
      <c r="B101" s="21" t="s">
        <v>315</v>
      </c>
      <c r="C101" s="21" t="s">
        <v>474</v>
      </c>
      <c r="D101" s="164">
        <v>2090000</v>
      </c>
      <c r="E101" s="21" t="s">
        <v>324</v>
      </c>
      <c r="F101" s="21" t="s">
        <v>262</v>
      </c>
      <c r="G101" s="8" t="str">
        <f t="shared" si="1"/>
        <v>HAITHCOX MICHAEL</v>
      </c>
    </row>
    <row r="102" spans="1:7" x14ac:dyDescent="0.25">
      <c r="A102" s="8">
        <v>42724.484456018516</v>
      </c>
      <c r="B102" s="21" t="s">
        <v>273</v>
      </c>
      <c r="C102" s="21" t="s">
        <v>577</v>
      </c>
      <c r="D102" s="164">
        <v>2270000</v>
      </c>
      <c r="E102" s="21" t="s">
        <v>518</v>
      </c>
      <c r="F102" s="21" t="s">
        <v>519</v>
      </c>
      <c r="G102" s="8" t="str">
        <f t="shared" si="1"/>
        <v>BROWN JACOB</v>
      </c>
    </row>
    <row r="103" spans="1:7" x14ac:dyDescent="0.25">
      <c r="A103" s="8">
        <v>42724.487581018519</v>
      </c>
      <c r="B103" s="21" t="s">
        <v>232</v>
      </c>
      <c r="C103" s="21" t="s">
        <v>578</v>
      </c>
      <c r="D103" s="164">
        <v>930000</v>
      </c>
      <c r="E103" s="21" t="s">
        <v>381</v>
      </c>
      <c r="F103" s="21" t="s">
        <v>382</v>
      </c>
      <c r="G103" s="8" t="str">
        <f t="shared" si="1"/>
        <v>CLARK KATHLEEN</v>
      </c>
    </row>
    <row r="104" spans="1:7" x14ac:dyDescent="0.25">
      <c r="A104" s="8">
        <v>42724.495636574073</v>
      </c>
      <c r="B104" s="21" t="s">
        <v>259</v>
      </c>
      <c r="C104" s="21" t="s">
        <v>579</v>
      </c>
      <c r="D104" s="164">
        <v>920000</v>
      </c>
      <c r="E104" s="21" t="s">
        <v>263</v>
      </c>
      <c r="F104" s="21" t="s">
        <v>262</v>
      </c>
      <c r="G104" s="8" t="str">
        <f t="shared" si="1"/>
        <v>DAVIS MICHAEL</v>
      </c>
    </row>
    <row r="105" spans="1:7" x14ac:dyDescent="0.25">
      <c r="A105" s="8">
        <v>42724.497037037036</v>
      </c>
      <c r="B105" s="21" t="s">
        <v>373</v>
      </c>
      <c r="C105" s="21" t="s">
        <v>580</v>
      </c>
      <c r="D105" s="164">
        <v>2250000</v>
      </c>
      <c r="E105" s="21" t="s">
        <v>581</v>
      </c>
      <c r="F105" s="21" t="s">
        <v>582</v>
      </c>
      <c r="G105" s="8" t="str">
        <f t="shared" si="1"/>
        <v>CRAYTON QUNTRELL</v>
      </c>
    </row>
    <row r="106" spans="1:7" x14ac:dyDescent="0.25">
      <c r="A106" s="8">
        <v>42724.504814814813</v>
      </c>
      <c r="B106" s="21" t="s">
        <v>296</v>
      </c>
      <c r="C106" s="21" t="s">
        <v>583</v>
      </c>
      <c r="D106" s="164">
        <v>880000</v>
      </c>
      <c r="E106" s="21" t="s">
        <v>325</v>
      </c>
      <c r="F106" s="21" t="s">
        <v>262</v>
      </c>
      <c r="G106" s="8" t="str">
        <f t="shared" si="1"/>
        <v>STEWART MICHAEL</v>
      </c>
    </row>
    <row r="107" spans="1:7" x14ac:dyDescent="0.25">
      <c r="A107" s="8">
        <v>42724.50577546296</v>
      </c>
      <c r="B107" s="21" t="s">
        <v>296</v>
      </c>
      <c r="C107" s="21" t="s">
        <v>583</v>
      </c>
      <c r="D107" s="164">
        <v>880000</v>
      </c>
      <c r="E107" s="21" t="s">
        <v>325</v>
      </c>
      <c r="F107" s="21" t="s">
        <v>262</v>
      </c>
      <c r="G107" s="8" t="str">
        <f t="shared" si="1"/>
        <v>STEWART MICHAEL</v>
      </c>
    </row>
    <row r="108" spans="1:7" x14ac:dyDescent="0.25">
      <c r="A108" s="8">
        <v>42724.50677083333</v>
      </c>
      <c r="B108" s="21" t="s">
        <v>296</v>
      </c>
      <c r="C108" s="21" t="s">
        <v>583</v>
      </c>
      <c r="D108" s="164">
        <v>880000</v>
      </c>
      <c r="E108" s="21" t="s">
        <v>325</v>
      </c>
      <c r="F108" s="21" t="s">
        <v>262</v>
      </c>
      <c r="G108" s="8" t="str">
        <f t="shared" si="1"/>
        <v>STEWART MICHAEL</v>
      </c>
    </row>
    <row r="109" spans="1:7" x14ac:dyDescent="0.25">
      <c r="A109" s="8">
        <v>42724.508344907408</v>
      </c>
      <c r="B109" s="21" t="s">
        <v>317</v>
      </c>
      <c r="C109" s="21" t="s">
        <v>584</v>
      </c>
      <c r="D109" s="164">
        <v>2040000</v>
      </c>
      <c r="E109" s="21" t="s">
        <v>563</v>
      </c>
      <c r="F109" s="21" t="s">
        <v>564</v>
      </c>
      <c r="G109" s="8" t="str">
        <f t="shared" si="1"/>
        <v>MOSES BRADLEY</v>
      </c>
    </row>
    <row r="110" spans="1:7" x14ac:dyDescent="0.25">
      <c r="A110" s="8">
        <v>42724.510648148149</v>
      </c>
      <c r="B110" s="21" t="s">
        <v>316</v>
      </c>
      <c r="C110" s="21" t="s">
        <v>585</v>
      </c>
      <c r="D110" s="164">
        <v>890000</v>
      </c>
      <c r="E110" s="21" t="s">
        <v>586</v>
      </c>
      <c r="F110" s="21" t="s">
        <v>587</v>
      </c>
      <c r="G110" s="8" t="str">
        <f t="shared" si="1"/>
        <v>LOZA FIDEL</v>
      </c>
    </row>
    <row r="111" spans="1:7" x14ac:dyDescent="0.25">
      <c r="A111" s="8">
        <v>42724.511550925927</v>
      </c>
      <c r="B111" s="21" t="s">
        <v>276</v>
      </c>
      <c r="C111" s="21" t="s">
        <v>475</v>
      </c>
      <c r="D111" s="164">
        <v>2270000</v>
      </c>
      <c r="E111" s="21" t="s">
        <v>518</v>
      </c>
      <c r="F111" s="21" t="s">
        <v>519</v>
      </c>
      <c r="G111" s="8" t="str">
        <f t="shared" si="1"/>
        <v>BROWN JACOB</v>
      </c>
    </row>
    <row r="112" spans="1:7" x14ac:dyDescent="0.25">
      <c r="A112" s="8">
        <v>42724.516215277778</v>
      </c>
      <c r="B112" s="21" t="s">
        <v>236</v>
      </c>
      <c r="C112" s="21" t="s">
        <v>588</v>
      </c>
      <c r="D112" s="164">
        <v>2670000</v>
      </c>
      <c r="E112" s="21" t="s">
        <v>383</v>
      </c>
      <c r="F112" s="21" t="s">
        <v>384</v>
      </c>
      <c r="G112" s="8" t="str">
        <f t="shared" si="1"/>
        <v>COMELLA JUSTIN</v>
      </c>
    </row>
    <row r="113" spans="1:7" x14ac:dyDescent="0.25">
      <c r="A113" s="8">
        <v>42724.520648148151</v>
      </c>
      <c r="B113" s="21" t="s">
        <v>281</v>
      </c>
      <c r="C113" s="21" t="s">
        <v>589</v>
      </c>
      <c r="D113" s="164">
        <v>1190000</v>
      </c>
      <c r="E113" s="21" t="s">
        <v>590</v>
      </c>
      <c r="F113" s="21" t="s">
        <v>591</v>
      </c>
      <c r="G113" s="8" t="str">
        <f t="shared" si="1"/>
        <v>BRANNON JEFFREY</v>
      </c>
    </row>
    <row r="114" spans="1:7" x14ac:dyDescent="0.25">
      <c r="A114" s="8">
        <v>42724.525810185187</v>
      </c>
      <c r="B114" s="21" t="s">
        <v>273</v>
      </c>
      <c r="C114" s="21" t="s">
        <v>592</v>
      </c>
      <c r="D114" s="164">
        <v>2270000</v>
      </c>
      <c r="E114" s="21" t="s">
        <v>518</v>
      </c>
      <c r="F114" s="21" t="s">
        <v>519</v>
      </c>
      <c r="G114" s="8" t="str">
        <f t="shared" si="1"/>
        <v>BROWN JACOB</v>
      </c>
    </row>
    <row r="115" spans="1:7" x14ac:dyDescent="0.25">
      <c r="A115" s="8">
        <v>42724.526516203703</v>
      </c>
      <c r="B115" s="21" t="s">
        <v>233</v>
      </c>
      <c r="C115" s="21" t="s">
        <v>477</v>
      </c>
      <c r="D115" s="164">
        <v>930000</v>
      </c>
      <c r="E115" s="21" t="s">
        <v>381</v>
      </c>
      <c r="F115" s="21" t="s">
        <v>382</v>
      </c>
      <c r="G115" s="8" t="str">
        <f t="shared" si="1"/>
        <v>CLARK KATHLEEN</v>
      </c>
    </row>
    <row r="116" spans="1:7" x14ac:dyDescent="0.25">
      <c r="A116" s="8">
        <v>42724.530844907407</v>
      </c>
      <c r="B116" s="21" t="s">
        <v>229</v>
      </c>
      <c r="C116" s="21" t="s">
        <v>593</v>
      </c>
      <c r="D116" s="164">
        <v>920000</v>
      </c>
      <c r="E116" s="21" t="s">
        <v>263</v>
      </c>
      <c r="F116" s="21" t="s">
        <v>262</v>
      </c>
      <c r="G116" s="8" t="str">
        <f t="shared" si="1"/>
        <v>DAVIS MICHAEL</v>
      </c>
    </row>
    <row r="117" spans="1:7" x14ac:dyDescent="0.25">
      <c r="A117" s="8">
        <v>42724.532685185186</v>
      </c>
      <c r="B117" s="21" t="s">
        <v>364</v>
      </c>
      <c r="C117" s="21" t="s">
        <v>594</v>
      </c>
      <c r="D117" s="164">
        <v>2250000</v>
      </c>
      <c r="E117" s="21" t="s">
        <v>581</v>
      </c>
      <c r="F117" s="21" t="s">
        <v>582</v>
      </c>
      <c r="G117" s="8" t="str">
        <f t="shared" si="1"/>
        <v>CRAYTON QUNTRELL</v>
      </c>
    </row>
    <row r="118" spans="1:7" x14ac:dyDescent="0.25">
      <c r="A118" s="8">
        <v>42724.53869212963</v>
      </c>
      <c r="B118" s="21" t="s">
        <v>183</v>
      </c>
      <c r="C118" s="21" t="s">
        <v>476</v>
      </c>
      <c r="D118" s="164">
        <v>880000</v>
      </c>
      <c r="E118" s="21" t="s">
        <v>325</v>
      </c>
      <c r="F118" s="21" t="s">
        <v>262</v>
      </c>
      <c r="G118" s="8" t="str">
        <f t="shared" si="1"/>
        <v>STEWART MICHAEL</v>
      </c>
    </row>
    <row r="119" spans="1:7" x14ac:dyDescent="0.25">
      <c r="A119" s="8">
        <v>42724.546087962961</v>
      </c>
      <c r="B119" s="21" t="s">
        <v>319</v>
      </c>
      <c r="C119" s="21" t="s">
        <v>595</v>
      </c>
      <c r="D119" s="164">
        <v>2040000</v>
      </c>
      <c r="E119" s="21" t="s">
        <v>563</v>
      </c>
      <c r="F119" s="21" t="s">
        <v>564</v>
      </c>
      <c r="G119" s="8" t="str">
        <f t="shared" si="1"/>
        <v>MOSES BRADLEY</v>
      </c>
    </row>
    <row r="120" spans="1:7" x14ac:dyDescent="0.25">
      <c r="A120" s="8">
        <v>42724.548842592594</v>
      </c>
      <c r="B120" s="21" t="s">
        <v>276</v>
      </c>
      <c r="C120" s="21" t="s">
        <v>478</v>
      </c>
      <c r="D120" s="164">
        <v>1300000</v>
      </c>
      <c r="E120" s="21" t="s">
        <v>113</v>
      </c>
      <c r="F120" s="21" t="s">
        <v>275</v>
      </c>
      <c r="G120" s="8" t="str">
        <f t="shared" si="1"/>
        <v>LEVIN SCOTT</v>
      </c>
    </row>
    <row r="121" spans="1:7" x14ac:dyDescent="0.25">
      <c r="A121" s="8">
        <v>42724.548981481479</v>
      </c>
      <c r="B121" s="21" t="s">
        <v>318</v>
      </c>
      <c r="C121" s="21" t="s">
        <v>596</v>
      </c>
      <c r="D121" s="164">
        <v>2670000</v>
      </c>
      <c r="E121" s="21" t="s">
        <v>383</v>
      </c>
      <c r="F121" s="21" t="s">
        <v>384</v>
      </c>
      <c r="G121" s="8" t="str">
        <f t="shared" si="1"/>
        <v>COMELLA JUSTIN</v>
      </c>
    </row>
    <row r="122" spans="1:7" x14ac:dyDescent="0.25">
      <c r="A122" s="8">
        <v>42724.557326388887</v>
      </c>
      <c r="B122" s="26" t="s">
        <v>282</v>
      </c>
      <c r="C122" s="21" t="s">
        <v>597</v>
      </c>
      <c r="D122" s="164">
        <v>1190000</v>
      </c>
      <c r="E122" s="21" t="s">
        <v>590</v>
      </c>
      <c r="F122" s="21" t="s">
        <v>591</v>
      </c>
      <c r="G122" s="8" t="str">
        <f t="shared" si="1"/>
        <v>BRANNON JEFFREY</v>
      </c>
    </row>
    <row r="123" spans="1:7" x14ac:dyDescent="0.25">
      <c r="A123" s="8">
        <v>42724.560335648152</v>
      </c>
      <c r="B123" s="21" t="s">
        <v>232</v>
      </c>
      <c r="C123" s="21" t="s">
        <v>598</v>
      </c>
      <c r="D123" s="164">
        <v>930000</v>
      </c>
      <c r="E123" s="21" t="s">
        <v>381</v>
      </c>
      <c r="F123" s="21" t="s">
        <v>382</v>
      </c>
      <c r="G123" s="8" t="str">
        <f t="shared" si="1"/>
        <v>CLARK KATHLEEN</v>
      </c>
    </row>
    <row r="124" spans="1:7" x14ac:dyDescent="0.25">
      <c r="A124" s="8">
        <v>42724.564606481479</v>
      </c>
      <c r="B124" s="21" t="s">
        <v>259</v>
      </c>
      <c r="C124" s="21" t="s">
        <v>479</v>
      </c>
      <c r="D124" s="164">
        <v>920000</v>
      </c>
      <c r="E124" s="21" t="s">
        <v>263</v>
      </c>
      <c r="F124" s="21" t="s">
        <v>262</v>
      </c>
      <c r="G124" s="8" t="str">
        <f t="shared" si="1"/>
        <v>DAVIS MICHAEL</v>
      </c>
    </row>
    <row r="125" spans="1:7" x14ac:dyDescent="0.25">
      <c r="A125" s="8">
        <v>42724.567557870374</v>
      </c>
      <c r="B125" s="21" t="s">
        <v>273</v>
      </c>
      <c r="C125" s="21" t="s">
        <v>599</v>
      </c>
      <c r="D125" s="164">
        <v>1300000</v>
      </c>
      <c r="E125" s="21" t="s">
        <v>113</v>
      </c>
      <c r="F125" s="21" t="s">
        <v>275</v>
      </c>
      <c r="G125" s="8" t="str">
        <f t="shared" si="1"/>
        <v>LEVIN SCOTT</v>
      </c>
    </row>
    <row r="126" spans="1:7" x14ac:dyDescent="0.25">
      <c r="A126" s="8">
        <v>42724.570150462961</v>
      </c>
      <c r="B126" s="21" t="s">
        <v>373</v>
      </c>
      <c r="C126" s="21" t="s">
        <v>600</v>
      </c>
      <c r="D126" s="164">
        <v>2250000</v>
      </c>
      <c r="E126" s="21" t="s">
        <v>581</v>
      </c>
      <c r="F126" s="21" t="s">
        <v>582</v>
      </c>
      <c r="G126" s="8" t="str">
        <f t="shared" si="1"/>
        <v>CRAYTON QUNTRELL</v>
      </c>
    </row>
    <row r="127" spans="1:7" x14ac:dyDescent="0.25">
      <c r="A127" s="8">
        <v>42724.578877314816</v>
      </c>
      <c r="B127" s="21" t="s">
        <v>296</v>
      </c>
      <c r="C127" s="21" t="s">
        <v>601</v>
      </c>
      <c r="D127" s="164">
        <v>880000</v>
      </c>
      <c r="E127" s="21" t="s">
        <v>325</v>
      </c>
      <c r="F127" s="21" t="s">
        <v>262</v>
      </c>
      <c r="G127" s="8" t="str">
        <f t="shared" si="1"/>
        <v>STEWART MICHAEL</v>
      </c>
    </row>
    <row r="128" spans="1:7" x14ac:dyDescent="0.25">
      <c r="A128" s="8">
        <v>42724.580185185187</v>
      </c>
      <c r="B128" s="21" t="s">
        <v>317</v>
      </c>
      <c r="C128" s="21" t="s">
        <v>602</v>
      </c>
      <c r="D128" s="164">
        <v>2040000</v>
      </c>
      <c r="E128" s="21" t="s">
        <v>563</v>
      </c>
      <c r="F128" s="21" t="s">
        <v>564</v>
      </c>
      <c r="G128" s="8" t="str">
        <f t="shared" si="1"/>
        <v>MOSES BRADLEY</v>
      </c>
    </row>
    <row r="129" spans="1:7" x14ac:dyDescent="0.25">
      <c r="A129" s="8">
        <v>42724.584398148145</v>
      </c>
      <c r="B129" s="21" t="s">
        <v>236</v>
      </c>
      <c r="C129" s="21" t="s">
        <v>603</v>
      </c>
      <c r="D129" s="164">
        <v>2670000</v>
      </c>
      <c r="E129" s="21" t="s">
        <v>383</v>
      </c>
      <c r="F129" s="21" t="s">
        <v>384</v>
      </c>
      <c r="G129" s="8" t="str">
        <f t="shared" si="1"/>
        <v>COMELLA JUSTIN</v>
      </c>
    </row>
    <row r="130" spans="1:7" x14ac:dyDescent="0.25">
      <c r="A130" s="8">
        <v>42724.590486111112</v>
      </c>
      <c r="B130" s="21" t="s">
        <v>281</v>
      </c>
      <c r="C130" s="21" t="s">
        <v>480</v>
      </c>
      <c r="D130" s="164">
        <v>1190000</v>
      </c>
      <c r="E130" s="21" t="s">
        <v>590</v>
      </c>
      <c r="F130" s="21" t="s">
        <v>591</v>
      </c>
      <c r="G130" s="8" t="str">
        <f t="shared" si="1"/>
        <v>BRANNON JEFFREY</v>
      </c>
    </row>
    <row r="131" spans="1:7" x14ac:dyDescent="0.25">
      <c r="A131" s="8">
        <v>42724.592858796299</v>
      </c>
      <c r="B131" s="21" t="s">
        <v>276</v>
      </c>
      <c r="C131" s="21" t="s">
        <v>604</v>
      </c>
      <c r="D131" s="164">
        <v>2620000</v>
      </c>
      <c r="E131" s="21" t="s">
        <v>605</v>
      </c>
      <c r="F131" s="21" t="s">
        <v>606</v>
      </c>
      <c r="G131" s="8" t="str">
        <f t="shared" ref="G131:G194" si="2">E131&amp;" "&amp;F131</f>
        <v>PERKINS DARREN</v>
      </c>
    </row>
    <row r="132" spans="1:7" x14ac:dyDescent="0.25">
      <c r="A132" s="8">
        <v>42724.596736111111</v>
      </c>
      <c r="B132" s="21" t="s">
        <v>233</v>
      </c>
      <c r="C132" s="21" t="s">
        <v>607</v>
      </c>
      <c r="D132" s="164">
        <v>930000</v>
      </c>
      <c r="E132" s="21" t="s">
        <v>381</v>
      </c>
      <c r="F132" s="21" t="s">
        <v>382</v>
      </c>
      <c r="G132" s="8" t="str">
        <f t="shared" si="2"/>
        <v>CLARK KATHLEEN</v>
      </c>
    </row>
    <row r="133" spans="1:7" x14ac:dyDescent="0.25">
      <c r="A133" s="8">
        <v>42724.602500000001</v>
      </c>
      <c r="B133" s="21" t="s">
        <v>229</v>
      </c>
      <c r="C133" s="21" t="s">
        <v>608</v>
      </c>
      <c r="D133" s="164">
        <v>920000</v>
      </c>
      <c r="E133" s="21" t="s">
        <v>263</v>
      </c>
      <c r="F133" s="21" t="s">
        <v>262</v>
      </c>
      <c r="G133" s="8" t="str">
        <f t="shared" si="2"/>
        <v>DAVIS MICHAEL</v>
      </c>
    </row>
    <row r="134" spans="1:7" x14ac:dyDescent="0.25">
      <c r="A134" s="8">
        <v>42724.605451388888</v>
      </c>
      <c r="B134" s="21" t="s">
        <v>364</v>
      </c>
      <c r="C134" s="21" t="s">
        <v>481</v>
      </c>
      <c r="D134" s="164">
        <v>2250000</v>
      </c>
      <c r="E134" s="21" t="s">
        <v>581</v>
      </c>
      <c r="F134" s="21" t="s">
        <v>582</v>
      </c>
      <c r="G134" s="8" t="str">
        <f t="shared" si="2"/>
        <v>CRAYTON QUNTRELL</v>
      </c>
    </row>
    <row r="135" spans="1:7" x14ac:dyDescent="0.25">
      <c r="A135" s="8">
        <v>42724.610081018516</v>
      </c>
      <c r="B135" s="21" t="s">
        <v>273</v>
      </c>
      <c r="C135" s="21" t="s">
        <v>609</v>
      </c>
      <c r="D135" s="164">
        <v>2620000</v>
      </c>
      <c r="E135" s="21" t="s">
        <v>605</v>
      </c>
      <c r="F135" s="21" t="s">
        <v>606</v>
      </c>
      <c r="G135" s="8" t="str">
        <f t="shared" si="2"/>
        <v>PERKINS DARREN</v>
      </c>
    </row>
    <row r="136" spans="1:7" x14ac:dyDescent="0.25">
      <c r="A136" s="8">
        <v>42724.612858796296</v>
      </c>
      <c r="B136" s="21" t="s">
        <v>183</v>
      </c>
      <c r="C136" s="21" t="s">
        <v>610</v>
      </c>
      <c r="D136" s="164">
        <v>880000</v>
      </c>
      <c r="E136" s="21" t="s">
        <v>325</v>
      </c>
      <c r="F136" s="21" t="s">
        <v>262</v>
      </c>
      <c r="G136" s="8" t="str">
        <f t="shared" si="2"/>
        <v>STEWART MICHAEL</v>
      </c>
    </row>
    <row r="137" spans="1:7" x14ac:dyDescent="0.25">
      <c r="A137" s="8">
        <v>42724.618356481478</v>
      </c>
      <c r="B137" s="21" t="s">
        <v>319</v>
      </c>
      <c r="C137" s="21" t="s">
        <v>611</v>
      </c>
      <c r="D137" s="164">
        <v>2040000</v>
      </c>
      <c r="E137" s="21" t="s">
        <v>563</v>
      </c>
      <c r="F137" s="21" t="s">
        <v>564</v>
      </c>
      <c r="G137" s="8" t="str">
        <f t="shared" si="2"/>
        <v>MOSES BRADLEY</v>
      </c>
    </row>
    <row r="138" spans="1:7" x14ac:dyDescent="0.25">
      <c r="A138" s="8">
        <v>42724.622777777775</v>
      </c>
      <c r="B138" s="21" t="s">
        <v>318</v>
      </c>
      <c r="C138" s="21" t="s">
        <v>612</v>
      </c>
      <c r="D138" s="164">
        <v>2670000</v>
      </c>
      <c r="E138" s="21" t="s">
        <v>383</v>
      </c>
      <c r="F138" s="21" t="s">
        <v>384</v>
      </c>
      <c r="G138" s="8" t="str">
        <f t="shared" si="2"/>
        <v>COMELLA JUSTIN</v>
      </c>
    </row>
    <row r="139" spans="1:7" x14ac:dyDescent="0.25">
      <c r="A139" s="8">
        <v>42724.628333333334</v>
      </c>
      <c r="B139" s="21" t="s">
        <v>282</v>
      </c>
      <c r="C139" s="21" t="s">
        <v>613</v>
      </c>
      <c r="D139" s="164">
        <v>1190000</v>
      </c>
      <c r="E139" s="21" t="s">
        <v>590</v>
      </c>
      <c r="F139" s="21" t="s">
        <v>591</v>
      </c>
      <c r="G139" s="8" t="str">
        <f t="shared" si="2"/>
        <v>BRANNON JEFFREY</v>
      </c>
    </row>
    <row r="140" spans="1:7" x14ac:dyDescent="0.25">
      <c r="A140" s="8">
        <v>42724.632893518516</v>
      </c>
      <c r="B140" s="21" t="s">
        <v>232</v>
      </c>
      <c r="C140" s="21" t="s">
        <v>482</v>
      </c>
      <c r="D140" s="164">
        <v>930000</v>
      </c>
      <c r="E140" s="21" t="s">
        <v>381</v>
      </c>
      <c r="F140" s="21" t="s">
        <v>382</v>
      </c>
      <c r="G140" s="8" t="str">
        <f t="shared" si="2"/>
        <v>CLARK KATHLEEN</v>
      </c>
    </row>
    <row r="141" spans="1:7" x14ac:dyDescent="0.25">
      <c r="A141" s="8">
        <v>42724.634583333333</v>
      </c>
      <c r="B141" s="21" t="s">
        <v>257</v>
      </c>
      <c r="C141" s="21" t="s">
        <v>614</v>
      </c>
      <c r="D141" s="164">
        <v>2220000</v>
      </c>
      <c r="E141" s="21" t="s">
        <v>615</v>
      </c>
      <c r="F141" s="21" t="s">
        <v>616</v>
      </c>
      <c r="G141" s="8" t="str">
        <f t="shared" si="2"/>
        <v>HILLS DUSTIN</v>
      </c>
    </row>
    <row r="142" spans="1:7" x14ac:dyDescent="0.25">
      <c r="A142" s="8">
        <v>42724.635821759257</v>
      </c>
      <c r="B142" s="21" t="s">
        <v>257</v>
      </c>
      <c r="C142" s="21" t="s">
        <v>614</v>
      </c>
      <c r="D142" s="164">
        <v>2220000</v>
      </c>
      <c r="E142" s="21" t="s">
        <v>615</v>
      </c>
      <c r="F142" s="21" t="s">
        <v>616</v>
      </c>
      <c r="G142" s="8" t="str">
        <f t="shared" si="2"/>
        <v>HILLS DUSTIN</v>
      </c>
    </row>
    <row r="143" spans="1:7" x14ac:dyDescent="0.25">
      <c r="A143" s="8">
        <v>42724.636388888888</v>
      </c>
      <c r="B143" s="21" t="s">
        <v>276</v>
      </c>
      <c r="C143" s="21" t="s">
        <v>617</v>
      </c>
      <c r="D143" s="164">
        <v>1300000</v>
      </c>
      <c r="E143" s="21" t="s">
        <v>113</v>
      </c>
      <c r="F143" s="21" t="s">
        <v>275</v>
      </c>
      <c r="G143" s="8" t="str">
        <f t="shared" si="2"/>
        <v>LEVIN SCOTT</v>
      </c>
    </row>
    <row r="144" spans="1:7" x14ac:dyDescent="0.25">
      <c r="A144" s="8">
        <v>42724.63921296296</v>
      </c>
      <c r="B144" s="21" t="s">
        <v>259</v>
      </c>
      <c r="C144" s="21" t="s">
        <v>618</v>
      </c>
      <c r="D144" s="164">
        <v>920000</v>
      </c>
      <c r="E144" s="21" t="s">
        <v>263</v>
      </c>
      <c r="F144" s="21" t="s">
        <v>262</v>
      </c>
      <c r="G144" s="8" t="str">
        <f t="shared" si="2"/>
        <v>DAVIS MICHAEL</v>
      </c>
    </row>
    <row r="145" spans="1:7" x14ac:dyDescent="0.25">
      <c r="A145" s="8">
        <v>42724.644444444442</v>
      </c>
      <c r="B145" s="21" t="s">
        <v>373</v>
      </c>
      <c r="C145" s="21" t="s">
        <v>619</v>
      </c>
      <c r="D145" s="164">
        <v>2250000</v>
      </c>
      <c r="E145" s="21" t="s">
        <v>581</v>
      </c>
      <c r="F145" s="21" t="s">
        <v>582</v>
      </c>
      <c r="G145" s="8" t="str">
        <f t="shared" si="2"/>
        <v>CRAYTON QUNTRELL</v>
      </c>
    </row>
    <row r="146" spans="1:7" x14ac:dyDescent="0.25">
      <c r="A146" s="8">
        <v>42724.64539351852</v>
      </c>
      <c r="B146" s="21" t="s">
        <v>244</v>
      </c>
      <c r="C146" s="21" t="s">
        <v>483</v>
      </c>
      <c r="D146" s="164">
        <v>2220000</v>
      </c>
      <c r="E146" s="21" t="s">
        <v>615</v>
      </c>
      <c r="F146" s="21" t="s">
        <v>616</v>
      </c>
      <c r="G146" s="8" t="str">
        <f t="shared" si="2"/>
        <v>HILLS DUSTIN</v>
      </c>
    </row>
    <row r="147" spans="1:7" x14ac:dyDescent="0.25">
      <c r="A147" s="8">
        <v>42724.650370370371</v>
      </c>
      <c r="B147" s="21" t="s">
        <v>296</v>
      </c>
      <c r="C147" s="21" t="s">
        <v>620</v>
      </c>
      <c r="D147" s="164">
        <v>880000</v>
      </c>
      <c r="E147" s="21" t="s">
        <v>325</v>
      </c>
      <c r="F147" s="21" t="s">
        <v>262</v>
      </c>
      <c r="G147" s="8" t="str">
        <f t="shared" si="2"/>
        <v>STEWART MICHAEL</v>
      </c>
    </row>
    <row r="148" spans="1:7" x14ac:dyDescent="0.25">
      <c r="A148" s="8">
        <v>42724.650659722225</v>
      </c>
      <c r="B148" s="21" t="s">
        <v>273</v>
      </c>
      <c r="C148" s="21" t="s">
        <v>621</v>
      </c>
      <c r="D148" s="164">
        <v>1300000</v>
      </c>
      <c r="E148" s="21" t="s">
        <v>113</v>
      </c>
      <c r="F148" s="21" t="s">
        <v>275</v>
      </c>
      <c r="G148" s="8" t="str">
        <f t="shared" si="2"/>
        <v>LEVIN SCOTT</v>
      </c>
    </row>
    <row r="149" spans="1:7" x14ac:dyDescent="0.25">
      <c r="A149" s="8">
        <v>42724.657060185185</v>
      </c>
      <c r="B149" s="21" t="s">
        <v>317</v>
      </c>
      <c r="C149" s="21" t="s">
        <v>622</v>
      </c>
      <c r="D149" s="164">
        <v>1820000</v>
      </c>
      <c r="E149" s="21" t="s">
        <v>283</v>
      </c>
      <c r="F149" s="21" t="s">
        <v>284</v>
      </c>
      <c r="G149" s="8" t="str">
        <f t="shared" si="2"/>
        <v>ADANE ELSHADAY</v>
      </c>
    </row>
    <row r="150" spans="1:7" x14ac:dyDescent="0.25">
      <c r="A150" s="8">
        <v>42724.658368055556</v>
      </c>
      <c r="B150" s="21" t="s">
        <v>236</v>
      </c>
      <c r="C150" s="21" t="s">
        <v>623</v>
      </c>
      <c r="D150" s="164">
        <v>2670000</v>
      </c>
      <c r="E150" s="21" t="s">
        <v>383</v>
      </c>
      <c r="F150" s="21" t="s">
        <v>384</v>
      </c>
      <c r="G150" s="8" t="str">
        <f t="shared" si="2"/>
        <v>COMELLA JUSTIN</v>
      </c>
    </row>
    <row r="151" spans="1:7" x14ac:dyDescent="0.25">
      <c r="A151" s="8">
        <v>42724.664525462962</v>
      </c>
      <c r="B151" s="21" t="s">
        <v>281</v>
      </c>
      <c r="C151" s="21" t="s">
        <v>624</v>
      </c>
      <c r="D151" s="164">
        <v>1190000</v>
      </c>
      <c r="E151" s="21" t="s">
        <v>590</v>
      </c>
      <c r="F151" s="21" t="s">
        <v>591</v>
      </c>
      <c r="G151" s="8" t="str">
        <f t="shared" si="2"/>
        <v>BRANNON JEFFREY</v>
      </c>
    </row>
    <row r="152" spans="1:7" x14ac:dyDescent="0.25">
      <c r="A152" s="8">
        <v>42724.669560185182</v>
      </c>
      <c r="B152" s="21" t="s">
        <v>233</v>
      </c>
      <c r="C152" s="21" t="s">
        <v>625</v>
      </c>
      <c r="D152" s="164">
        <v>930000</v>
      </c>
      <c r="E152" s="21" t="s">
        <v>381</v>
      </c>
      <c r="F152" s="21" t="s">
        <v>382</v>
      </c>
      <c r="G152" s="8" t="str">
        <f t="shared" si="2"/>
        <v>CLARK KATHLEEN</v>
      </c>
    </row>
    <row r="153" spans="1:7" x14ac:dyDescent="0.25">
      <c r="A153" s="8">
        <v>42724.672442129631</v>
      </c>
      <c r="B153" s="21" t="s">
        <v>257</v>
      </c>
      <c r="C153" s="21" t="s">
        <v>484</v>
      </c>
      <c r="D153" s="164">
        <v>2220000</v>
      </c>
      <c r="E153" s="21" t="s">
        <v>615</v>
      </c>
      <c r="F153" s="21" t="s">
        <v>616</v>
      </c>
      <c r="G153" s="8" t="str">
        <f t="shared" si="2"/>
        <v>HILLS DUSTIN</v>
      </c>
    </row>
    <row r="154" spans="1:7" x14ac:dyDescent="0.25">
      <c r="A154" s="8">
        <v>42724.676423611112</v>
      </c>
      <c r="B154" s="21" t="s">
        <v>364</v>
      </c>
      <c r="C154" s="21" t="s">
        <v>626</v>
      </c>
      <c r="D154" s="164">
        <v>2250000</v>
      </c>
      <c r="E154" s="21" t="s">
        <v>581</v>
      </c>
      <c r="F154" s="21" t="s">
        <v>582</v>
      </c>
      <c r="G154" s="8" t="str">
        <f t="shared" si="2"/>
        <v>CRAYTON QUNTRELL</v>
      </c>
    </row>
    <row r="155" spans="1:7" x14ac:dyDescent="0.25">
      <c r="A155" s="8">
        <v>42724.677141203705</v>
      </c>
      <c r="B155" s="21" t="s">
        <v>229</v>
      </c>
      <c r="C155" s="21" t="s">
        <v>627</v>
      </c>
      <c r="D155" s="164">
        <v>920000</v>
      </c>
      <c r="E155" s="21" t="s">
        <v>263</v>
      </c>
      <c r="F155" s="21" t="s">
        <v>262</v>
      </c>
      <c r="G155" s="8" t="str">
        <f t="shared" si="2"/>
        <v>DAVIS MICHAEL</v>
      </c>
    </row>
    <row r="156" spans="1:7" x14ac:dyDescent="0.25">
      <c r="A156" s="8">
        <v>42724.678368055553</v>
      </c>
      <c r="B156" s="21" t="s">
        <v>276</v>
      </c>
      <c r="C156" s="21" t="s">
        <v>628</v>
      </c>
      <c r="D156" s="164">
        <v>1300000</v>
      </c>
      <c r="E156" s="21" t="s">
        <v>113</v>
      </c>
      <c r="F156" s="21" t="s">
        <v>275</v>
      </c>
      <c r="G156" s="8" t="str">
        <f t="shared" si="2"/>
        <v>LEVIN SCOTT</v>
      </c>
    </row>
    <row r="157" spans="1:7" x14ac:dyDescent="0.25">
      <c r="A157" s="8">
        <v>42724.685555555552</v>
      </c>
      <c r="B157" s="21" t="s">
        <v>319</v>
      </c>
      <c r="C157" s="21" t="s">
        <v>629</v>
      </c>
      <c r="D157" s="164">
        <v>1820000</v>
      </c>
      <c r="E157" s="21" t="s">
        <v>283</v>
      </c>
      <c r="F157" s="21" t="s">
        <v>284</v>
      </c>
      <c r="G157" s="8" t="str">
        <f t="shared" si="2"/>
        <v>ADANE ELSHADAY</v>
      </c>
    </row>
    <row r="158" spans="1:7" x14ac:dyDescent="0.25">
      <c r="A158" s="8">
        <v>42724.686145833337</v>
      </c>
      <c r="B158" s="21" t="s">
        <v>183</v>
      </c>
      <c r="C158" s="21" t="s">
        <v>630</v>
      </c>
      <c r="D158" s="164">
        <v>880000</v>
      </c>
      <c r="E158" s="21" t="s">
        <v>325</v>
      </c>
      <c r="F158" s="21" t="s">
        <v>262</v>
      </c>
      <c r="G158" s="8" t="str">
        <f t="shared" si="2"/>
        <v>STEWART MICHAEL</v>
      </c>
    </row>
    <row r="159" spans="1:7" x14ac:dyDescent="0.25">
      <c r="A159" s="8">
        <v>42724.686238425929</v>
      </c>
      <c r="B159" s="21" t="s">
        <v>244</v>
      </c>
      <c r="C159" s="21" t="s">
        <v>485</v>
      </c>
      <c r="D159" s="164">
        <v>2220000</v>
      </c>
      <c r="E159" s="21" t="s">
        <v>615</v>
      </c>
      <c r="F159" s="21" t="s">
        <v>616</v>
      </c>
      <c r="G159" s="8" t="str">
        <f t="shared" si="2"/>
        <v>HILLS DUSTIN</v>
      </c>
    </row>
    <row r="160" spans="1:7" x14ac:dyDescent="0.25">
      <c r="A160" s="8">
        <v>42724.692361111112</v>
      </c>
      <c r="B160" s="21" t="s">
        <v>273</v>
      </c>
      <c r="C160" s="21" t="s">
        <v>631</v>
      </c>
      <c r="D160" s="164">
        <v>1300000</v>
      </c>
      <c r="E160" s="21" t="s">
        <v>113</v>
      </c>
      <c r="F160" s="21" t="s">
        <v>275</v>
      </c>
      <c r="G160" s="8" t="str">
        <f t="shared" si="2"/>
        <v>LEVIN SCOTT</v>
      </c>
    </row>
    <row r="161" spans="1:7" x14ac:dyDescent="0.25">
      <c r="A161" s="8">
        <v>42724.695185185185</v>
      </c>
      <c r="B161" s="21" t="s">
        <v>318</v>
      </c>
      <c r="C161" s="21" t="s">
        <v>632</v>
      </c>
      <c r="D161" s="164">
        <v>2670000</v>
      </c>
      <c r="E161" s="21" t="s">
        <v>383</v>
      </c>
      <c r="F161" s="21" t="s">
        <v>384</v>
      </c>
      <c r="G161" s="8" t="str">
        <f t="shared" si="2"/>
        <v>COMELLA JUSTIN</v>
      </c>
    </row>
    <row r="162" spans="1:7" x14ac:dyDescent="0.25">
      <c r="A162" s="8">
        <v>42724.696331018517</v>
      </c>
      <c r="B162" s="21" t="s">
        <v>282</v>
      </c>
      <c r="C162" s="21" t="s">
        <v>633</v>
      </c>
      <c r="D162" s="164">
        <v>1190000</v>
      </c>
      <c r="E162" s="21" t="s">
        <v>590</v>
      </c>
      <c r="F162" s="21" t="s">
        <v>591</v>
      </c>
      <c r="G162" s="8" t="str">
        <f t="shared" si="2"/>
        <v>BRANNON JEFFREY</v>
      </c>
    </row>
    <row r="163" spans="1:7" x14ac:dyDescent="0.25">
      <c r="A163" s="8">
        <v>42724.70244212963</v>
      </c>
      <c r="B163" s="21" t="s">
        <v>282</v>
      </c>
      <c r="C163" s="21" t="s">
        <v>633</v>
      </c>
      <c r="D163" s="164">
        <v>1190000</v>
      </c>
      <c r="E163" s="21" t="s">
        <v>590</v>
      </c>
      <c r="F163" s="21" t="s">
        <v>591</v>
      </c>
      <c r="G163" s="8" t="str">
        <f t="shared" si="2"/>
        <v>BRANNON JEFFREY</v>
      </c>
    </row>
    <row r="164" spans="1:7" x14ac:dyDescent="0.25">
      <c r="A164" s="8">
        <v>42724.706701388888</v>
      </c>
      <c r="B164" s="21" t="s">
        <v>232</v>
      </c>
      <c r="C164" s="21" t="s">
        <v>634</v>
      </c>
      <c r="D164" s="164">
        <v>930000</v>
      </c>
      <c r="E164" s="21" t="s">
        <v>381</v>
      </c>
      <c r="F164" s="21" t="s">
        <v>382</v>
      </c>
      <c r="G164" s="8" t="str">
        <f t="shared" si="2"/>
        <v>CLARK KATHLEEN</v>
      </c>
    </row>
    <row r="165" spans="1:7" x14ac:dyDescent="0.25">
      <c r="A165" s="8">
        <v>42724.712013888886</v>
      </c>
      <c r="B165" s="21" t="s">
        <v>206</v>
      </c>
      <c r="C165" s="21" t="s">
        <v>635</v>
      </c>
      <c r="D165" s="164">
        <v>2150000</v>
      </c>
      <c r="E165" s="21" t="s">
        <v>299</v>
      </c>
      <c r="F165" s="21" t="s">
        <v>300</v>
      </c>
      <c r="G165" s="8" t="str">
        <f t="shared" si="2"/>
        <v>SWANSON BRYCE</v>
      </c>
    </row>
    <row r="166" spans="1:7" x14ac:dyDescent="0.25">
      <c r="A166" s="8">
        <v>42724.712453703702</v>
      </c>
      <c r="B166" s="21" t="s">
        <v>259</v>
      </c>
      <c r="C166" s="21" t="s">
        <v>636</v>
      </c>
      <c r="D166" s="164">
        <v>920000</v>
      </c>
      <c r="E166" s="21" t="s">
        <v>263</v>
      </c>
      <c r="F166" s="21" t="s">
        <v>262</v>
      </c>
      <c r="G166" s="8" t="str">
        <f t="shared" si="2"/>
        <v>DAVIS MICHAEL</v>
      </c>
    </row>
    <row r="167" spans="1:7" x14ac:dyDescent="0.25">
      <c r="A167" s="8">
        <v>42724.712835648148</v>
      </c>
      <c r="B167" s="21" t="s">
        <v>206</v>
      </c>
      <c r="C167" s="21" t="s">
        <v>635</v>
      </c>
      <c r="D167" s="164">
        <v>2150000</v>
      </c>
      <c r="E167" s="21" t="s">
        <v>299</v>
      </c>
      <c r="F167" s="21" t="s">
        <v>300</v>
      </c>
      <c r="G167" s="8" t="str">
        <f t="shared" si="2"/>
        <v>SWANSON BRYCE</v>
      </c>
    </row>
    <row r="168" spans="1:7" x14ac:dyDescent="0.25">
      <c r="A168" s="8">
        <v>42724.713900462964</v>
      </c>
      <c r="B168" s="21" t="s">
        <v>257</v>
      </c>
      <c r="C168" s="21" t="s">
        <v>637</v>
      </c>
      <c r="D168" s="164">
        <v>2220000</v>
      </c>
      <c r="E168" s="21" t="s">
        <v>615</v>
      </c>
      <c r="F168" s="21" t="s">
        <v>616</v>
      </c>
      <c r="G168" s="8" t="str">
        <f t="shared" si="2"/>
        <v>HILLS DUSTIN</v>
      </c>
    </row>
    <row r="169" spans="1:7" x14ac:dyDescent="0.25">
      <c r="A169" s="8">
        <v>42724.714502314811</v>
      </c>
      <c r="B169" s="21" t="s">
        <v>315</v>
      </c>
      <c r="C169" s="21" t="s">
        <v>638</v>
      </c>
      <c r="D169" s="164">
        <v>1810000</v>
      </c>
      <c r="E169" s="21" t="s">
        <v>301</v>
      </c>
      <c r="F169" s="21" t="s">
        <v>251</v>
      </c>
      <c r="G169" s="8" t="str">
        <f t="shared" si="2"/>
        <v>NEWELL JAMES</v>
      </c>
    </row>
    <row r="170" spans="1:7" x14ac:dyDescent="0.25">
      <c r="A170" s="8">
        <v>42724.717905092592</v>
      </c>
      <c r="B170" s="21" t="s">
        <v>373</v>
      </c>
      <c r="C170" s="21" t="s">
        <v>639</v>
      </c>
      <c r="D170" s="164">
        <v>1800000</v>
      </c>
      <c r="E170" s="21" t="s">
        <v>237</v>
      </c>
      <c r="F170" s="21" t="s">
        <v>254</v>
      </c>
      <c r="G170" s="8" t="str">
        <f t="shared" si="2"/>
        <v>CHANDLER KELVIN</v>
      </c>
    </row>
    <row r="171" spans="1:7" x14ac:dyDescent="0.25">
      <c r="A171" s="8">
        <v>42724.719178240739</v>
      </c>
      <c r="B171" s="21" t="s">
        <v>276</v>
      </c>
      <c r="C171" s="21" t="s">
        <v>486</v>
      </c>
      <c r="D171" s="164">
        <v>1300000</v>
      </c>
      <c r="E171" s="21" t="s">
        <v>113</v>
      </c>
      <c r="F171" s="21" t="s">
        <v>275</v>
      </c>
      <c r="G171" s="8" t="str">
        <f t="shared" si="2"/>
        <v>LEVIN SCOTT</v>
      </c>
    </row>
    <row r="172" spans="1:7" x14ac:dyDescent="0.25">
      <c r="A172" s="8">
        <v>42724.723958333336</v>
      </c>
      <c r="B172" s="21" t="s">
        <v>296</v>
      </c>
      <c r="C172" s="21" t="s">
        <v>640</v>
      </c>
      <c r="D172" s="164">
        <v>880000</v>
      </c>
      <c r="E172" s="21" t="s">
        <v>325</v>
      </c>
      <c r="F172" s="21" t="s">
        <v>262</v>
      </c>
      <c r="G172" s="8" t="str">
        <f t="shared" si="2"/>
        <v>STEWART MICHAEL</v>
      </c>
    </row>
    <row r="173" spans="1:7" x14ac:dyDescent="0.25">
      <c r="A173" s="8">
        <v>42724.725810185184</v>
      </c>
      <c r="B173" s="21" t="s">
        <v>317</v>
      </c>
      <c r="C173" s="21" t="s">
        <v>641</v>
      </c>
      <c r="D173" s="164">
        <v>2250000</v>
      </c>
      <c r="E173" s="21" t="s">
        <v>581</v>
      </c>
      <c r="F173" s="21" t="s">
        <v>582</v>
      </c>
      <c r="G173" s="8" t="str">
        <f t="shared" si="2"/>
        <v>CRAYTON QUNTRELL</v>
      </c>
    </row>
    <row r="174" spans="1:7" x14ac:dyDescent="0.25">
      <c r="A174" s="8">
        <v>42724.728449074071</v>
      </c>
      <c r="B174" s="21" t="s">
        <v>244</v>
      </c>
      <c r="C174" s="21" t="s">
        <v>487</v>
      </c>
      <c r="D174" s="164">
        <v>2220000</v>
      </c>
      <c r="E174" s="21" t="s">
        <v>615</v>
      </c>
      <c r="F174" s="21" t="s">
        <v>616</v>
      </c>
      <c r="G174" s="8" t="str">
        <f t="shared" si="2"/>
        <v>HILLS DUSTIN</v>
      </c>
    </row>
    <row r="175" spans="1:7" x14ac:dyDescent="0.25">
      <c r="A175" s="8">
        <v>42724.729421296295</v>
      </c>
      <c r="B175" s="21" t="s">
        <v>236</v>
      </c>
      <c r="C175" s="21" t="s">
        <v>642</v>
      </c>
      <c r="D175" s="164">
        <v>2670000</v>
      </c>
      <c r="E175" s="21" t="s">
        <v>383</v>
      </c>
      <c r="F175" s="21" t="s">
        <v>384</v>
      </c>
      <c r="G175" s="8" t="str">
        <f t="shared" si="2"/>
        <v>COMELLA JUSTIN</v>
      </c>
    </row>
    <row r="176" spans="1:7" x14ac:dyDescent="0.25">
      <c r="A176" s="8">
        <v>42724.734733796293</v>
      </c>
      <c r="B176" s="21" t="s">
        <v>273</v>
      </c>
      <c r="C176" s="21" t="s">
        <v>643</v>
      </c>
      <c r="D176" s="164">
        <v>1300000</v>
      </c>
      <c r="E176" s="21" t="s">
        <v>113</v>
      </c>
      <c r="F176" s="21" t="s">
        <v>275</v>
      </c>
      <c r="G176" s="8" t="str">
        <f t="shared" si="2"/>
        <v>LEVIN SCOTT</v>
      </c>
    </row>
    <row r="177" spans="1:7" x14ac:dyDescent="0.25">
      <c r="A177" s="8">
        <v>42724.736701388887</v>
      </c>
      <c r="B177" s="21" t="s">
        <v>281</v>
      </c>
      <c r="C177" s="21" t="s">
        <v>644</v>
      </c>
      <c r="D177" s="164">
        <v>1810000</v>
      </c>
      <c r="E177" s="21" t="s">
        <v>301</v>
      </c>
      <c r="F177" s="21" t="s">
        <v>251</v>
      </c>
      <c r="G177" s="8" t="str">
        <f t="shared" si="2"/>
        <v>NEWELL JAMES</v>
      </c>
    </row>
    <row r="178" spans="1:7" x14ac:dyDescent="0.25">
      <c r="A178" s="8">
        <v>42724.743703703702</v>
      </c>
      <c r="B178" s="21" t="s">
        <v>233</v>
      </c>
      <c r="C178" s="21" t="s">
        <v>645</v>
      </c>
      <c r="D178" s="164">
        <v>930000</v>
      </c>
      <c r="E178" s="21" t="s">
        <v>381</v>
      </c>
      <c r="F178" s="21" t="s">
        <v>382</v>
      </c>
      <c r="G178" s="8" t="str">
        <f t="shared" si="2"/>
        <v>CLARK KATHLEEN</v>
      </c>
    </row>
    <row r="179" spans="1:7" x14ac:dyDescent="0.25">
      <c r="A179" s="8">
        <v>42724.745208333334</v>
      </c>
      <c r="B179" s="21" t="s">
        <v>210</v>
      </c>
      <c r="C179" s="21" t="s">
        <v>646</v>
      </c>
      <c r="D179" s="164">
        <v>1740000</v>
      </c>
      <c r="E179" s="21" t="s">
        <v>647</v>
      </c>
      <c r="F179" s="21" t="s">
        <v>648</v>
      </c>
      <c r="G179" s="8" t="str">
        <f t="shared" si="2"/>
        <v>STORY SAMANTHA</v>
      </c>
    </row>
    <row r="180" spans="1:7" x14ac:dyDescent="0.25">
      <c r="A180" s="8">
        <v>42724.748784722222</v>
      </c>
      <c r="B180" s="21" t="s">
        <v>229</v>
      </c>
      <c r="C180" s="21" t="s">
        <v>649</v>
      </c>
      <c r="D180" s="164">
        <v>1190000</v>
      </c>
      <c r="E180" s="21" t="s">
        <v>590</v>
      </c>
      <c r="F180" s="21" t="s">
        <v>591</v>
      </c>
      <c r="G180" s="8" t="str">
        <f t="shared" si="2"/>
        <v>BRANNON JEFFREY</v>
      </c>
    </row>
    <row r="181" spans="1:7" x14ac:dyDescent="0.25">
      <c r="A181" s="8">
        <v>42724.755983796298</v>
      </c>
      <c r="B181" s="21" t="s">
        <v>364</v>
      </c>
      <c r="C181" s="21" t="s">
        <v>650</v>
      </c>
      <c r="D181" s="164">
        <v>1800000</v>
      </c>
      <c r="E181" s="21" t="s">
        <v>237</v>
      </c>
      <c r="F181" s="21" t="s">
        <v>254</v>
      </c>
      <c r="G181" s="8" t="str">
        <f t="shared" si="2"/>
        <v>CHANDLER KELVIN</v>
      </c>
    </row>
    <row r="182" spans="1:7" x14ac:dyDescent="0.25">
      <c r="A182" s="8">
        <v>42724.756203703706</v>
      </c>
      <c r="B182" s="21" t="s">
        <v>257</v>
      </c>
      <c r="C182" s="21" t="s">
        <v>651</v>
      </c>
      <c r="D182" s="164">
        <v>2220000</v>
      </c>
      <c r="E182" s="21" t="s">
        <v>615</v>
      </c>
      <c r="F182" s="21" t="s">
        <v>616</v>
      </c>
      <c r="G182" s="8" t="str">
        <f t="shared" si="2"/>
        <v>HILLS DUSTIN</v>
      </c>
    </row>
    <row r="183" spans="1:7" x14ac:dyDescent="0.25">
      <c r="A183" s="8">
        <v>42724.756331018521</v>
      </c>
      <c r="B183" s="21" t="s">
        <v>204</v>
      </c>
      <c r="C183" s="21" t="s">
        <v>652</v>
      </c>
      <c r="D183" s="164">
        <v>920000</v>
      </c>
      <c r="E183" s="21" t="s">
        <v>263</v>
      </c>
      <c r="F183" s="21" t="s">
        <v>262</v>
      </c>
      <c r="G183" s="8" t="str">
        <f t="shared" si="2"/>
        <v>DAVIS MICHAEL</v>
      </c>
    </row>
    <row r="184" spans="1:7" x14ac:dyDescent="0.25">
      <c r="A184" s="8">
        <v>42724.760752314818</v>
      </c>
      <c r="B184" s="21" t="s">
        <v>183</v>
      </c>
      <c r="C184" s="21" t="s">
        <v>653</v>
      </c>
      <c r="D184" s="164">
        <v>2730000</v>
      </c>
      <c r="E184" s="21" t="s">
        <v>385</v>
      </c>
      <c r="F184" s="21" t="s">
        <v>386</v>
      </c>
      <c r="G184" s="8" t="str">
        <f t="shared" si="2"/>
        <v>YANG JAN</v>
      </c>
    </row>
    <row r="185" spans="1:7" x14ac:dyDescent="0.25">
      <c r="A185" s="8">
        <v>42724.761666666665</v>
      </c>
      <c r="B185" s="21" t="s">
        <v>257</v>
      </c>
      <c r="C185" s="21" t="s">
        <v>651</v>
      </c>
      <c r="D185" s="164">
        <v>2220000</v>
      </c>
      <c r="E185" s="21" t="s">
        <v>615</v>
      </c>
      <c r="F185" s="21" t="s">
        <v>616</v>
      </c>
      <c r="G185" s="8" t="str">
        <f t="shared" si="2"/>
        <v>HILLS DUSTIN</v>
      </c>
    </row>
    <row r="186" spans="1:7" x14ac:dyDescent="0.25">
      <c r="A186" s="8">
        <v>42724.76222222222</v>
      </c>
      <c r="B186" s="21" t="s">
        <v>276</v>
      </c>
      <c r="C186" s="21" t="s">
        <v>654</v>
      </c>
      <c r="D186" s="164">
        <v>1300000</v>
      </c>
      <c r="E186" s="21" t="s">
        <v>113</v>
      </c>
      <c r="F186" s="21" t="s">
        <v>275</v>
      </c>
      <c r="G186" s="8" t="str">
        <f t="shared" si="2"/>
        <v>LEVIN SCOTT</v>
      </c>
    </row>
    <row r="187" spans="1:7" x14ac:dyDescent="0.25">
      <c r="A187" s="8">
        <v>42724.763969907406</v>
      </c>
      <c r="B187" s="21" t="s">
        <v>319</v>
      </c>
      <c r="C187" s="21" t="s">
        <v>655</v>
      </c>
      <c r="D187" s="164">
        <v>2250000</v>
      </c>
      <c r="E187" s="21" t="s">
        <v>581</v>
      </c>
      <c r="F187" s="21" t="s">
        <v>582</v>
      </c>
      <c r="G187" s="8" t="str">
        <f t="shared" si="2"/>
        <v>CRAYTON QUNTRELL</v>
      </c>
    </row>
    <row r="188" spans="1:7" x14ac:dyDescent="0.25">
      <c r="A188" s="8">
        <v>42724.765324074076</v>
      </c>
      <c r="B188" s="21" t="s">
        <v>316</v>
      </c>
      <c r="C188" s="21" t="s">
        <v>656</v>
      </c>
      <c r="D188" s="164">
        <v>880000</v>
      </c>
      <c r="E188" s="21" t="s">
        <v>325</v>
      </c>
      <c r="F188" s="21" t="s">
        <v>262</v>
      </c>
      <c r="G188" s="8" t="str">
        <f t="shared" si="2"/>
        <v>STEWART MICHAEL</v>
      </c>
    </row>
    <row r="189" spans="1:7" x14ac:dyDescent="0.25">
      <c r="A189" s="8">
        <v>42724.768935185188</v>
      </c>
      <c r="B189" s="21" t="s">
        <v>282</v>
      </c>
      <c r="C189" s="21" t="s">
        <v>657</v>
      </c>
      <c r="D189" s="164">
        <v>1810000</v>
      </c>
      <c r="E189" s="21" t="s">
        <v>301</v>
      </c>
      <c r="F189" s="21" t="s">
        <v>251</v>
      </c>
      <c r="G189" s="8" t="str">
        <f t="shared" si="2"/>
        <v>NEWELL JAMES</v>
      </c>
    </row>
    <row r="190" spans="1:7" x14ac:dyDescent="0.25">
      <c r="A190" s="8">
        <v>42724.769062500003</v>
      </c>
      <c r="B190" s="21" t="s">
        <v>318</v>
      </c>
      <c r="C190" s="21" t="s">
        <v>658</v>
      </c>
      <c r="D190" s="164">
        <v>2000000</v>
      </c>
      <c r="E190" s="21" t="s">
        <v>209</v>
      </c>
      <c r="F190" s="21" t="s">
        <v>251</v>
      </c>
      <c r="G190" s="8" t="str">
        <f t="shared" si="2"/>
        <v>STAMBAUGH JAMES</v>
      </c>
    </row>
    <row r="191" spans="1:7" x14ac:dyDescent="0.25">
      <c r="A191" s="8">
        <v>42724.775625000002</v>
      </c>
      <c r="B191" s="21" t="s">
        <v>273</v>
      </c>
      <c r="C191" s="21" t="s">
        <v>659</v>
      </c>
      <c r="D191" s="164">
        <v>1300000</v>
      </c>
      <c r="E191" s="21" t="s">
        <v>113</v>
      </c>
      <c r="F191" s="21" t="s">
        <v>275</v>
      </c>
      <c r="G191" s="8" t="str">
        <f t="shared" si="2"/>
        <v>LEVIN SCOTT</v>
      </c>
    </row>
    <row r="192" spans="1:7" x14ac:dyDescent="0.25">
      <c r="A192" s="8">
        <v>42724.778958333336</v>
      </c>
      <c r="B192" s="21" t="s">
        <v>232</v>
      </c>
      <c r="C192" s="21" t="s">
        <v>660</v>
      </c>
      <c r="D192" s="164">
        <v>930000</v>
      </c>
      <c r="E192" s="21" t="s">
        <v>381</v>
      </c>
      <c r="F192" s="21" t="s">
        <v>382</v>
      </c>
      <c r="G192" s="8" t="str">
        <f t="shared" si="2"/>
        <v>CLARK KATHLEEN</v>
      </c>
    </row>
    <row r="193" spans="1:7" x14ac:dyDescent="0.25">
      <c r="A193" s="8">
        <v>42724.7809375</v>
      </c>
      <c r="B193" s="21" t="s">
        <v>259</v>
      </c>
      <c r="C193" s="21" t="s">
        <v>661</v>
      </c>
      <c r="D193" s="164">
        <v>1190000</v>
      </c>
      <c r="E193" s="21" t="s">
        <v>590</v>
      </c>
      <c r="F193" s="21" t="s">
        <v>591</v>
      </c>
      <c r="G193" s="8" t="str">
        <f t="shared" si="2"/>
        <v>BRANNON JEFFREY</v>
      </c>
    </row>
    <row r="194" spans="1:7" x14ac:dyDescent="0.25">
      <c r="A194" s="8">
        <v>42724.783043981479</v>
      </c>
      <c r="B194" s="21" t="s">
        <v>244</v>
      </c>
      <c r="C194" s="21" t="s">
        <v>662</v>
      </c>
      <c r="D194" s="164">
        <v>2220000</v>
      </c>
      <c r="E194" s="21" t="s">
        <v>615</v>
      </c>
      <c r="F194" s="21" t="s">
        <v>616</v>
      </c>
      <c r="G194" s="8" t="str">
        <f t="shared" si="2"/>
        <v>HILLS DUSTIN</v>
      </c>
    </row>
    <row r="195" spans="1:7" x14ac:dyDescent="0.25">
      <c r="A195" s="8">
        <v>42724.785104166665</v>
      </c>
      <c r="B195" s="21" t="s">
        <v>244</v>
      </c>
      <c r="C195" s="21" t="s">
        <v>662</v>
      </c>
      <c r="D195" s="164">
        <v>2220000</v>
      </c>
      <c r="E195" s="21" t="s">
        <v>615</v>
      </c>
      <c r="F195" s="21" t="s">
        <v>616</v>
      </c>
      <c r="G195" s="8" t="str">
        <f t="shared" ref="G195:G258" si="3">E195&amp;" "&amp;F195</f>
        <v>HILLS DUSTIN</v>
      </c>
    </row>
    <row r="196" spans="1:7" x14ac:dyDescent="0.25">
      <c r="A196" s="8">
        <v>42724.791342592594</v>
      </c>
      <c r="B196" s="21" t="s">
        <v>373</v>
      </c>
      <c r="C196" s="21" t="s">
        <v>663</v>
      </c>
      <c r="D196" s="164">
        <v>1800000</v>
      </c>
      <c r="E196" s="21" t="s">
        <v>237</v>
      </c>
      <c r="F196" s="21" t="s">
        <v>254</v>
      </c>
      <c r="G196" s="8" t="str">
        <f t="shared" si="3"/>
        <v>CHANDLER KELVIN</v>
      </c>
    </row>
    <row r="197" spans="1:7" x14ac:dyDescent="0.25">
      <c r="A197" s="8">
        <v>42724.79724537037</v>
      </c>
      <c r="B197" s="21" t="s">
        <v>296</v>
      </c>
      <c r="C197" s="21" t="s">
        <v>489</v>
      </c>
      <c r="D197" s="164">
        <v>2730000</v>
      </c>
      <c r="E197" s="21" t="s">
        <v>385</v>
      </c>
      <c r="F197" s="21" t="s">
        <v>386</v>
      </c>
      <c r="G197" s="8" t="str">
        <f t="shared" si="3"/>
        <v>YANG JAN</v>
      </c>
    </row>
    <row r="198" spans="1:7" x14ac:dyDescent="0.25">
      <c r="A198" s="8">
        <v>42724.79928240741</v>
      </c>
      <c r="B198" s="21" t="s">
        <v>317</v>
      </c>
      <c r="C198" s="21" t="s">
        <v>664</v>
      </c>
      <c r="D198" s="164">
        <v>2250000</v>
      </c>
      <c r="E198" s="21" t="s">
        <v>581</v>
      </c>
      <c r="F198" s="21" t="s">
        <v>582</v>
      </c>
      <c r="G198" s="8" t="str">
        <f t="shared" si="3"/>
        <v>CRAYTON QUNTRELL</v>
      </c>
    </row>
    <row r="199" spans="1:7" x14ac:dyDescent="0.25">
      <c r="A199" s="8">
        <v>42724.799317129633</v>
      </c>
      <c r="B199" s="21" t="s">
        <v>257</v>
      </c>
      <c r="C199" s="21" t="s">
        <v>665</v>
      </c>
      <c r="D199" s="164">
        <v>2220000</v>
      </c>
      <c r="E199" s="21" t="s">
        <v>615</v>
      </c>
      <c r="F199" s="21" t="s">
        <v>616</v>
      </c>
      <c r="G199" s="8" t="str">
        <f t="shared" si="3"/>
        <v>HILLS DUSTIN</v>
      </c>
    </row>
    <row r="200" spans="1:7" x14ac:dyDescent="0.25">
      <c r="A200" s="8">
        <v>42724.800613425927</v>
      </c>
      <c r="B200" s="21" t="s">
        <v>257</v>
      </c>
      <c r="C200" s="21" t="s">
        <v>665</v>
      </c>
      <c r="D200" s="164">
        <v>2220000</v>
      </c>
      <c r="E200" s="21" t="s">
        <v>615</v>
      </c>
      <c r="F200" s="21" t="s">
        <v>616</v>
      </c>
      <c r="G200" s="8" t="str">
        <f t="shared" si="3"/>
        <v>HILLS DUSTIN</v>
      </c>
    </row>
    <row r="201" spans="1:7" x14ac:dyDescent="0.25">
      <c r="A201" s="8">
        <v>42724.802037037036</v>
      </c>
      <c r="B201" s="21" t="s">
        <v>276</v>
      </c>
      <c r="C201" s="21" t="s">
        <v>488</v>
      </c>
      <c r="D201" s="164">
        <v>1300000</v>
      </c>
      <c r="E201" s="21" t="s">
        <v>113</v>
      </c>
      <c r="F201" s="21" t="s">
        <v>275</v>
      </c>
      <c r="G201" s="8" t="str">
        <f t="shared" si="3"/>
        <v>LEVIN SCOTT</v>
      </c>
    </row>
    <row r="202" spans="1:7" x14ac:dyDescent="0.25">
      <c r="A202" s="27">
        <v>42724.807349537034</v>
      </c>
      <c r="B202" s="21" t="s">
        <v>236</v>
      </c>
      <c r="C202" s="21" t="s">
        <v>666</v>
      </c>
      <c r="D202" s="164">
        <v>2000000</v>
      </c>
      <c r="E202" s="21" t="s">
        <v>209</v>
      </c>
      <c r="F202" s="21" t="s">
        <v>251</v>
      </c>
      <c r="G202" s="8" t="str">
        <f t="shared" si="3"/>
        <v>STAMBAUGH JAMES</v>
      </c>
    </row>
    <row r="203" spans="1:7" x14ac:dyDescent="0.25">
      <c r="A203" s="8">
        <v>42724.80872685185</v>
      </c>
      <c r="B203" s="21" t="s">
        <v>281</v>
      </c>
      <c r="C203" s="21" t="s">
        <v>667</v>
      </c>
      <c r="D203" s="164">
        <v>2420000</v>
      </c>
      <c r="E203" s="21" t="s">
        <v>215</v>
      </c>
      <c r="F203" s="21" t="s">
        <v>668</v>
      </c>
      <c r="G203" s="8" t="str">
        <f t="shared" si="3"/>
        <v>HOLCOMB KAMDEN</v>
      </c>
    </row>
    <row r="204" spans="1:7" x14ac:dyDescent="0.25">
      <c r="A204" s="8">
        <v>42724.818032407406</v>
      </c>
      <c r="B204" s="21" t="s">
        <v>273</v>
      </c>
      <c r="C204" s="21" t="s">
        <v>669</v>
      </c>
      <c r="D204" s="164">
        <v>1300000</v>
      </c>
      <c r="E204" s="21" t="s">
        <v>113</v>
      </c>
      <c r="F204" s="21" t="s">
        <v>275</v>
      </c>
      <c r="G204" s="8" t="str">
        <f t="shared" si="3"/>
        <v>LEVIN SCOTT</v>
      </c>
    </row>
    <row r="205" spans="1:7" x14ac:dyDescent="0.25">
      <c r="A205" s="8">
        <v>42724.828321759262</v>
      </c>
      <c r="B205" s="21" t="s">
        <v>364</v>
      </c>
      <c r="C205" s="21" t="s">
        <v>670</v>
      </c>
      <c r="D205" s="164">
        <v>1800000</v>
      </c>
      <c r="E205" s="21" t="s">
        <v>237</v>
      </c>
      <c r="F205" s="21" t="s">
        <v>254</v>
      </c>
      <c r="G205" s="8" t="str">
        <f t="shared" si="3"/>
        <v>CHANDLER KELVIN</v>
      </c>
    </row>
    <row r="206" spans="1:7" x14ac:dyDescent="0.25">
      <c r="A206" s="8">
        <v>42724.83326388889</v>
      </c>
      <c r="B206" s="21" t="s">
        <v>229</v>
      </c>
      <c r="C206" s="21" t="s">
        <v>490</v>
      </c>
      <c r="D206" s="164">
        <v>2730000</v>
      </c>
      <c r="E206" s="21" t="s">
        <v>385</v>
      </c>
      <c r="F206" s="21" t="s">
        <v>386</v>
      </c>
      <c r="G206" s="8" t="str">
        <f t="shared" si="3"/>
        <v>YANG JAN</v>
      </c>
    </row>
    <row r="207" spans="1:7" x14ac:dyDescent="0.25">
      <c r="A207" s="8">
        <v>42724.840520833335</v>
      </c>
      <c r="B207" s="21" t="s">
        <v>318</v>
      </c>
      <c r="C207" s="21" t="s">
        <v>671</v>
      </c>
      <c r="D207" s="164">
        <v>2000000</v>
      </c>
      <c r="E207" s="21" t="s">
        <v>209</v>
      </c>
      <c r="F207" s="21" t="s">
        <v>251</v>
      </c>
      <c r="G207" s="8" t="str">
        <f t="shared" si="3"/>
        <v>STAMBAUGH JAMES</v>
      </c>
    </row>
    <row r="208" spans="1:7" x14ac:dyDescent="0.25">
      <c r="A208" s="8">
        <v>42724.842905092592</v>
      </c>
      <c r="B208" s="21" t="s">
        <v>282</v>
      </c>
      <c r="C208" s="21" t="s">
        <v>672</v>
      </c>
      <c r="D208" s="164">
        <v>2420000</v>
      </c>
      <c r="E208" s="21" t="s">
        <v>215</v>
      </c>
      <c r="F208" s="21" t="s">
        <v>668</v>
      </c>
      <c r="G208" s="8" t="str">
        <f t="shared" si="3"/>
        <v>HOLCOMB KAMDEN</v>
      </c>
    </row>
    <row r="209" spans="1:7" x14ac:dyDescent="0.25">
      <c r="A209" s="8">
        <v>42724.845891203702</v>
      </c>
      <c r="B209" s="21" t="s">
        <v>276</v>
      </c>
      <c r="C209" s="21" t="s">
        <v>673</v>
      </c>
      <c r="D209" s="164">
        <v>1300000</v>
      </c>
      <c r="E209" s="21" t="s">
        <v>113</v>
      </c>
      <c r="F209" s="21" t="s">
        <v>275</v>
      </c>
      <c r="G209" s="8" t="str">
        <f t="shared" si="3"/>
        <v>LEVIN SCOTT</v>
      </c>
    </row>
    <row r="210" spans="1:7" x14ac:dyDescent="0.25">
      <c r="A210" s="8">
        <v>42724.859710648147</v>
      </c>
      <c r="B210" s="21" t="s">
        <v>273</v>
      </c>
      <c r="C210" s="21" t="s">
        <v>674</v>
      </c>
      <c r="D210" s="164">
        <v>1300000</v>
      </c>
      <c r="E210" s="21" t="s">
        <v>113</v>
      </c>
      <c r="F210" s="21" t="s">
        <v>275</v>
      </c>
      <c r="G210" s="8" t="str">
        <f t="shared" si="3"/>
        <v>LEVIN SCOTT</v>
      </c>
    </row>
    <row r="211" spans="1:7" x14ac:dyDescent="0.25">
      <c r="A211" s="8">
        <v>42724.868900462963</v>
      </c>
      <c r="B211" s="21" t="s">
        <v>259</v>
      </c>
      <c r="C211" s="21" t="s">
        <v>675</v>
      </c>
      <c r="D211" s="164">
        <v>2730000</v>
      </c>
      <c r="E211" s="21" t="s">
        <v>385</v>
      </c>
      <c r="F211" s="21" t="s">
        <v>386</v>
      </c>
      <c r="G211" s="8" t="str">
        <f t="shared" si="3"/>
        <v>YANG JAN</v>
      </c>
    </row>
    <row r="212" spans="1:7" x14ac:dyDescent="0.25">
      <c r="A212" s="8">
        <v>42724.874328703707</v>
      </c>
      <c r="B212" s="21" t="s">
        <v>373</v>
      </c>
      <c r="C212" s="21" t="s">
        <v>676</v>
      </c>
      <c r="D212" s="164">
        <v>1800000</v>
      </c>
      <c r="E212" s="21" t="s">
        <v>237</v>
      </c>
      <c r="F212" s="21" t="s">
        <v>254</v>
      </c>
      <c r="G212" s="8" t="str">
        <f t="shared" si="3"/>
        <v>CHANDLER KELVIN</v>
      </c>
    </row>
    <row r="213" spans="1:7" x14ac:dyDescent="0.25">
      <c r="A213" s="8">
        <v>42724.875416666669</v>
      </c>
      <c r="B213" s="21" t="s">
        <v>276</v>
      </c>
      <c r="C213" s="21" t="s">
        <v>491</v>
      </c>
      <c r="D213" s="164">
        <v>2220000</v>
      </c>
      <c r="E213" s="21" t="s">
        <v>615</v>
      </c>
      <c r="F213" s="21" t="s">
        <v>616</v>
      </c>
      <c r="G213" s="8" t="str">
        <f t="shared" si="3"/>
        <v>HILLS DUSTIN</v>
      </c>
    </row>
    <row r="214" spans="1:7" x14ac:dyDescent="0.25">
      <c r="A214" s="8">
        <v>42724.888495370367</v>
      </c>
      <c r="B214" s="21" t="s">
        <v>281</v>
      </c>
      <c r="C214" s="21" t="s">
        <v>677</v>
      </c>
      <c r="D214" s="164">
        <v>1810000</v>
      </c>
      <c r="E214" s="21" t="s">
        <v>301</v>
      </c>
      <c r="F214" s="21" t="s">
        <v>251</v>
      </c>
      <c r="G214" s="8" t="str">
        <f t="shared" si="3"/>
        <v>NEWELL JAMES</v>
      </c>
    </row>
    <row r="215" spans="1:7" x14ac:dyDescent="0.25">
      <c r="A215" s="8">
        <v>42724.890092592592</v>
      </c>
      <c r="B215" s="21" t="s">
        <v>236</v>
      </c>
      <c r="C215" s="21" t="s">
        <v>678</v>
      </c>
      <c r="D215" s="164">
        <v>2000000</v>
      </c>
      <c r="E215" s="21" t="s">
        <v>209</v>
      </c>
      <c r="F215" s="21" t="s">
        <v>251</v>
      </c>
      <c r="G215" s="8" t="str">
        <f t="shared" si="3"/>
        <v>STAMBAUGH JAMES</v>
      </c>
    </row>
    <row r="216" spans="1:7" x14ac:dyDescent="0.25">
      <c r="A216" s="8">
        <v>42724.902233796296</v>
      </c>
      <c r="B216" s="21" t="s">
        <v>273</v>
      </c>
      <c r="C216" s="21" t="s">
        <v>679</v>
      </c>
      <c r="D216" s="164">
        <v>2220000</v>
      </c>
      <c r="E216" s="21" t="s">
        <v>615</v>
      </c>
      <c r="F216" s="21" t="s">
        <v>616</v>
      </c>
      <c r="G216" s="8" t="str">
        <f t="shared" si="3"/>
        <v>HILLS DUSTIN</v>
      </c>
    </row>
    <row r="217" spans="1:7" x14ac:dyDescent="0.25">
      <c r="A217" s="8">
        <v>42724.906689814816</v>
      </c>
      <c r="B217" s="21" t="s">
        <v>229</v>
      </c>
      <c r="C217" s="21" t="s">
        <v>680</v>
      </c>
      <c r="D217" s="164">
        <v>2730000</v>
      </c>
      <c r="E217" s="21" t="s">
        <v>385</v>
      </c>
      <c r="F217" s="21" t="s">
        <v>386</v>
      </c>
      <c r="G217" s="8" t="str">
        <f t="shared" si="3"/>
        <v>YANG JAN</v>
      </c>
    </row>
    <row r="218" spans="1:7" x14ac:dyDescent="0.25">
      <c r="A218" s="8">
        <v>42724.913159722222</v>
      </c>
      <c r="B218" s="21" t="s">
        <v>364</v>
      </c>
      <c r="C218" s="21" t="s">
        <v>681</v>
      </c>
      <c r="D218" s="164">
        <v>1800000</v>
      </c>
      <c r="E218" s="21" t="s">
        <v>237</v>
      </c>
      <c r="F218" s="21" t="s">
        <v>254</v>
      </c>
      <c r="G218" s="8" t="str">
        <f t="shared" si="3"/>
        <v>CHANDLER KELVIN</v>
      </c>
    </row>
    <row r="219" spans="1:7" x14ac:dyDescent="0.25">
      <c r="A219" s="8">
        <v>42724.914756944447</v>
      </c>
      <c r="B219" s="21" t="s">
        <v>276</v>
      </c>
      <c r="C219" s="21" t="s">
        <v>682</v>
      </c>
      <c r="D219" s="164">
        <v>2220000</v>
      </c>
      <c r="E219" s="21" t="s">
        <v>615</v>
      </c>
      <c r="F219" s="21" t="s">
        <v>616</v>
      </c>
      <c r="G219" s="8" t="str">
        <f t="shared" si="3"/>
        <v>HILLS DUSTIN</v>
      </c>
    </row>
    <row r="220" spans="1:7" x14ac:dyDescent="0.25">
      <c r="A220" s="8">
        <v>42724.923136574071</v>
      </c>
      <c r="B220" s="21" t="s">
        <v>318</v>
      </c>
      <c r="C220" s="21" t="s">
        <v>683</v>
      </c>
      <c r="D220" s="164">
        <v>2000000</v>
      </c>
      <c r="E220" s="21" t="s">
        <v>209</v>
      </c>
      <c r="F220" s="21" t="s">
        <v>251</v>
      </c>
      <c r="G220" s="8" t="str">
        <f t="shared" si="3"/>
        <v>STAMBAUGH JAMES</v>
      </c>
    </row>
    <row r="221" spans="1:7" x14ac:dyDescent="0.25">
      <c r="A221" s="8">
        <v>42724.930659722224</v>
      </c>
      <c r="B221" s="21" t="s">
        <v>282</v>
      </c>
      <c r="C221" s="21" t="s">
        <v>684</v>
      </c>
      <c r="D221" s="164">
        <v>1810000</v>
      </c>
      <c r="E221" s="21" t="s">
        <v>301</v>
      </c>
      <c r="F221" s="21" t="s">
        <v>251</v>
      </c>
      <c r="G221" s="8" t="str">
        <f t="shared" si="3"/>
        <v>NEWELL JAMES</v>
      </c>
    </row>
    <row r="222" spans="1:7" x14ac:dyDescent="0.25">
      <c r="A222" s="8">
        <v>42724.950335648151</v>
      </c>
      <c r="B222" s="21" t="s">
        <v>259</v>
      </c>
      <c r="C222" s="21" t="s">
        <v>685</v>
      </c>
      <c r="D222" s="164">
        <v>2730000</v>
      </c>
      <c r="E222" s="21" t="s">
        <v>385</v>
      </c>
      <c r="F222" s="21" t="s">
        <v>386</v>
      </c>
      <c r="G222" s="8" t="str">
        <f t="shared" si="3"/>
        <v>YANG JAN</v>
      </c>
    </row>
    <row r="223" spans="1:7" x14ac:dyDescent="0.25">
      <c r="A223" s="8">
        <v>42724.958124999997</v>
      </c>
      <c r="B223" s="21" t="s">
        <v>373</v>
      </c>
      <c r="C223" s="21" t="s">
        <v>686</v>
      </c>
      <c r="D223" s="164">
        <v>1800000</v>
      </c>
      <c r="E223" s="21" t="s">
        <v>237</v>
      </c>
      <c r="F223" s="21" t="s">
        <v>254</v>
      </c>
      <c r="G223" s="8" t="str">
        <f t="shared" si="3"/>
        <v>CHANDLER KELVIN</v>
      </c>
    </row>
    <row r="224" spans="1:7" x14ac:dyDescent="0.25">
      <c r="A224" s="8">
        <v>42724.967094907406</v>
      </c>
      <c r="B224" t="s">
        <v>281</v>
      </c>
      <c r="C224" t="s">
        <v>687</v>
      </c>
      <c r="D224" s="164">
        <v>1810000</v>
      </c>
      <c r="E224" t="s">
        <v>301</v>
      </c>
      <c r="F224" s="21" t="s">
        <v>251</v>
      </c>
      <c r="G224" s="8" t="str">
        <f t="shared" si="3"/>
        <v>NEWELL JAMES</v>
      </c>
    </row>
    <row r="225" spans="1:7" x14ac:dyDescent="0.25">
      <c r="A225" s="8">
        <v>42724.974062499998</v>
      </c>
      <c r="B225" t="s">
        <v>236</v>
      </c>
      <c r="C225" t="s">
        <v>688</v>
      </c>
      <c r="D225" s="164">
        <v>2000000</v>
      </c>
      <c r="E225" t="s">
        <v>209</v>
      </c>
      <c r="F225" s="21" t="s">
        <v>251</v>
      </c>
      <c r="G225" s="8" t="str">
        <f t="shared" si="3"/>
        <v>STAMBAUGH JAMES</v>
      </c>
    </row>
    <row r="226" spans="1:7" x14ac:dyDescent="0.25">
      <c r="A226" s="8">
        <v>42724.995486111111</v>
      </c>
      <c r="B226" t="s">
        <v>364</v>
      </c>
      <c r="C226" t="s">
        <v>689</v>
      </c>
      <c r="D226" s="164">
        <v>1800000</v>
      </c>
      <c r="E226" t="s">
        <v>237</v>
      </c>
      <c r="F226" s="21" t="s">
        <v>254</v>
      </c>
      <c r="G226" s="8" t="str">
        <f t="shared" si="3"/>
        <v>CHANDLER KELVIN</v>
      </c>
    </row>
    <row r="227" spans="1:7" x14ac:dyDescent="0.25">
      <c r="A227" s="8">
        <v>42724.998541666668</v>
      </c>
      <c r="B227" t="s">
        <v>183</v>
      </c>
      <c r="C227" t="s">
        <v>492</v>
      </c>
      <c r="D227" s="164">
        <v>2730000</v>
      </c>
      <c r="E227" t="s">
        <v>385</v>
      </c>
      <c r="F227" s="21" t="s">
        <v>386</v>
      </c>
      <c r="G227" s="8" t="str">
        <f t="shared" si="3"/>
        <v>YANG JAN</v>
      </c>
    </row>
    <row r="228" spans="1:7" x14ac:dyDescent="0.25">
      <c r="A228" s="8">
        <v>42725.006562499999</v>
      </c>
      <c r="B228" t="s">
        <v>318</v>
      </c>
      <c r="C228" t="s">
        <v>493</v>
      </c>
      <c r="D228" s="164">
        <v>2000000</v>
      </c>
      <c r="E228" t="s">
        <v>209</v>
      </c>
      <c r="F228" s="21" t="s">
        <v>251</v>
      </c>
      <c r="G228" s="8" t="str">
        <f t="shared" si="3"/>
        <v>STAMBAUGH JAMES</v>
      </c>
    </row>
    <row r="229" spans="1:7" x14ac:dyDescent="0.25">
      <c r="A229" s="8">
        <v>42725.013784722221</v>
      </c>
      <c r="B229" t="s">
        <v>282</v>
      </c>
      <c r="C229" t="s">
        <v>494</v>
      </c>
      <c r="D229" s="164">
        <v>1810000</v>
      </c>
      <c r="E229" t="s">
        <v>301</v>
      </c>
      <c r="F229" s="21" t="s">
        <v>251</v>
      </c>
      <c r="G229" s="8" t="str">
        <f t="shared" si="3"/>
        <v>NEWELL JAMES</v>
      </c>
    </row>
    <row r="230" spans="1:7" x14ac:dyDescent="0.25">
      <c r="A230" s="8">
        <v>42725.030509259261</v>
      </c>
      <c r="B230" t="s">
        <v>373</v>
      </c>
      <c r="C230" t="s">
        <v>690</v>
      </c>
      <c r="D230" s="164">
        <v>1800000</v>
      </c>
      <c r="E230" t="s">
        <v>237</v>
      </c>
      <c r="F230" s="21" t="s">
        <v>254</v>
      </c>
      <c r="G230" s="8" t="str">
        <f t="shared" si="3"/>
        <v>CHANDLER KELVIN</v>
      </c>
    </row>
    <row r="231" spans="1:7" x14ac:dyDescent="0.25">
      <c r="A231" s="8">
        <v>42725.032210648147</v>
      </c>
      <c r="B231" t="s">
        <v>296</v>
      </c>
      <c r="C231" t="s">
        <v>495</v>
      </c>
      <c r="D231" s="164">
        <v>2730000</v>
      </c>
      <c r="E231" t="s">
        <v>385</v>
      </c>
      <c r="F231" s="21" t="s">
        <v>386</v>
      </c>
      <c r="G231" s="8" t="str">
        <f t="shared" si="3"/>
        <v>YANG JAN</v>
      </c>
    </row>
    <row r="232" spans="1:7" x14ac:dyDescent="0.25">
      <c r="A232" s="8">
        <v>42725.047013888892</v>
      </c>
      <c r="B232" t="s">
        <v>281</v>
      </c>
      <c r="C232" t="s">
        <v>691</v>
      </c>
      <c r="D232" s="164">
        <v>1810000</v>
      </c>
      <c r="E232" t="s">
        <v>301</v>
      </c>
      <c r="F232" s="21" t="s">
        <v>251</v>
      </c>
      <c r="G232" s="8" t="str">
        <f t="shared" si="3"/>
        <v>NEWELL JAMES</v>
      </c>
    </row>
    <row r="233" spans="1:7" x14ac:dyDescent="0.25">
      <c r="A233" s="8">
        <v>42725.058136574073</v>
      </c>
      <c r="B233" t="s">
        <v>236</v>
      </c>
      <c r="C233" t="s">
        <v>692</v>
      </c>
      <c r="D233" s="164">
        <v>2000000</v>
      </c>
      <c r="E233" t="s">
        <v>209</v>
      </c>
      <c r="F233" s="21" t="s">
        <v>251</v>
      </c>
      <c r="G233" s="8" t="str">
        <f t="shared" si="3"/>
        <v>STAMBAUGH JAMES</v>
      </c>
    </row>
    <row r="234" spans="1:7" x14ac:dyDescent="0.25">
      <c r="A234" s="8">
        <v>42725.073645833334</v>
      </c>
      <c r="B234" t="s">
        <v>229</v>
      </c>
      <c r="C234" t="s">
        <v>693</v>
      </c>
      <c r="D234" s="164">
        <v>2730000</v>
      </c>
      <c r="E234" t="s">
        <v>385</v>
      </c>
      <c r="F234" s="21" t="s">
        <v>386</v>
      </c>
      <c r="G234" s="8" t="str">
        <f t="shared" si="3"/>
        <v>YANG JAN</v>
      </c>
    </row>
    <row r="235" spans="1:7" x14ac:dyDescent="0.25">
      <c r="A235" s="8">
        <v>42725.087673611109</v>
      </c>
      <c r="B235" t="s">
        <v>318</v>
      </c>
      <c r="C235" t="s">
        <v>694</v>
      </c>
      <c r="D235" s="164">
        <v>2000000</v>
      </c>
      <c r="E235" t="s">
        <v>209</v>
      </c>
      <c r="F235" s="21" t="s">
        <v>251</v>
      </c>
      <c r="G235" s="8" t="str">
        <f t="shared" si="3"/>
        <v>STAMBAUGH JAMES</v>
      </c>
    </row>
    <row r="236" spans="1:7" x14ac:dyDescent="0.25">
      <c r="A236" s="8">
        <v>42725.112060185187</v>
      </c>
      <c r="B236" t="s">
        <v>207</v>
      </c>
      <c r="C236" t="s">
        <v>695</v>
      </c>
      <c r="D236" s="164">
        <v>2100000</v>
      </c>
      <c r="E236" t="s">
        <v>696</v>
      </c>
      <c r="F236" s="21" t="s">
        <v>697</v>
      </c>
      <c r="G236" s="8" t="str">
        <f t="shared" si="3"/>
        <v>ISHMAEL JOSEPH</v>
      </c>
    </row>
    <row r="237" spans="1:7" x14ac:dyDescent="0.25">
      <c r="A237" s="8">
        <v>42722.908842592595</v>
      </c>
      <c r="B237" t="s">
        <v>225</v>
      </c>
      <c r="C237" t="s">
        <v>329</v>
      </c>
      <c r="D237" s="164">
        <v>2230000</v>
      </c>
      <c r="E237" t="s">
        <v>298</v>
      </c>
      <c r="F237" s="21" t="s">
        <v>262</v>
      </c>
      <c r="G237" s="8" t="str">
        <f t="shared" si="3"/>
        <v>SMITH MICHAEL</v>
      </c>
    </row>
    <row r="238" spans="1:7" x14ac:dyDescent="0.25">
      <c r="A238" s="8">
        <v>42722.910370370373</v>
      </c>
      <c r="B238" t="s">
        <v>229</v>
      </c>
      <c r="C238" t="s">
        <v>328</v>
      </c>
      <c r="D238" s="164">
        <v>2540000</v>
      </c>
      <c r="E238" t="s">
        <v>326</v>
      </c>
      <c r="F238" s="21" t="s">
        <v>327</v>
      </c>
      <c r="G238" s="8" t="str">
        <f t="shared" si="3"/>
        <v>MCREYNOLDS KYLE</v>
      </c>
    </row>
    <row r="239" spans="1:7" x14ac:dyDescent="0.25">
      <c r="A239" s="8">
        <v>42722.910717592589</v>
      </c>
      <c r="B239" t="s">
        <v>207</v>
      </c>
      <c r="C239" t="s">
        <v>330</v>
      </c>
      <c r="D239" s="164">
        <v>1800000</v>
      </c>
      <c r="E239" t="s">
        <v>237</v>
      </c>
      <c r="F239" s="21" t="s">
        <v>254</v>
      </c>
      <c r="G239" s="8" t="str">
        <f t="shared" si="3"/>
        <v>CHANDLER KELVIN</v>
      </c>
    </row>
    <row r="240" spans="1:7" x14ac:dyDescent="0.25">
      <c r="A240" s="8">
        <v>42722.916539351849</v>
      </c>
      <c r="B240" t="s">
        <v>214</v>
      </c>
      <c r="C240" t="s">
        <v>331</v>
      </c>
      <c r="D240" s="164">
        <v>2530000</v>
      </c>
      <c r="E240" t="s">
        <v>238</v>
      </c>
      <c r="F240" s="21" t="s">
        <v>302</v>
      </c>
      <c r="G240" s="8" t="str">
        <f t="shared" si="3"/>
        <v>LALONDE GREGORY</v>
      </c>
    </row>
    <row r="241" spans="1:7" x14ac:dyDescent="0.25">
      <c r="A241" s="8">
        <v>42722.923055555555</v>
      </c>
      <c r="B241" t="s">
        <v>317</v>
      </c>
      <c r="C241" t="s">
        <v>321</v>
      </c>
      <c r="D241" s="164">
        <v>2000000</v>
      </c>
      <c r="E241" t="s">
        <v>209</v>
      </c>
      <c r="F241" s="21" t="s">
        <v>251</v>
      </c>
      <c r="G241" s="8" t="str">
        <f t="shared" si="3"/>
        <v>STAMBAUGH JAMES</v>
      </c>
    </row>
    <row r="242" spans="1:7" x14ac:dyDescent="0.25">
      <c r="A242" s="8">
        <v>42722.93068287037</v>
      </c>
      <c r="B242" t="s">
        <v>273</v>
      </c>
      <c r="C242" t="s">
        <v>332</v>
      </c>
      <c r="D242" s="164">
        <v>1810000</v>
      </c>
      <c r="E242" t="s">
        <v>301</v>
      </c>
      <c r="F242" s="21" t="s">
        <v>251</v>
      </c>
      <c r="G242" s="8" t="str">
        <f t="shared" si="3"/>
        <v>NEWELL JAMES</v>
      </c>
    </row>
    <row r="243" spans="1:7" x14ac:dyDescent="0.25">
      <c r="A243" s="8">
        <v>42722.942569444444</v>
      </c>
      <c r="B243" t="s">
        <v>274</v>
      </c>
      <c r="C243" t="s">
        <v>333</v>
      </c>
      <c r="D243" s="164">
        <v>2530000</v>
      </c>
      <c r="E243" t="s">
        <v>238</v>
      </c>
      <c r="F243" s="21" t="s">
        <v>302</v>
      </c>
      <c r="G243" s="8" t="str">
        <f t="shared" si="3"/>
        <v>LALONDE GREGORY</v>
      </c>
    </row>
    <row r="244" spans="1:7" x14ac:dyDescent="0.25">
      <c r="A244" s="8">
        <v>42722.946111111109</v>
      </c>
      <c r="B244" t="s">
        <v>270</v>
      </c>
      <c r="C244" t="s">
        <v>320</v>
      </c>
      <c r="D244" s="164">
        <v>2230000</v>
      </c>
      <c r="E244" t="s">
        <v>298</v>
      </c>
      <c r="F244" s="21" t="s">
        <v>262</v>
      </c>
      <c r="G244" s="8" t="str">
        <f t="shared" si="3"/>
        <v>SMITH MICHAEL</v>
      </c>
    </row>
    <row r="245" spans="1:7" x14ac:dyDescent="0.25">
      <c r="A245" s="8">
        <v>42722.957858796297</v>
      </c>
      <c r="B245" t="s">
        <v>206</v>
      </c>
      <c r="C245" t="s">
        <v>334</v>
      </c>
      <c r="D245" s="164">
        <v>1800000</v>
      </c>
      <c r="E245" t="s">
        <v>237</v>
      </c>
      <c r="F245" s="21" t="s">
        <v>254</v>
      </c>
      <c r="G245" s="8" t="str">
        <f t="shared" si="3"/>
        <v>CHANDLER KELVIN</v>
      </c>
    </row>
    <row r="246" spans="1:7" x14ac:dyDescent="0.25">
      <c r="A246" s="8">
        <v>42722.974085648151</v>
      </c>
      <c r="B246" t="s">
        <v>319</v>
      </c>
      <c r="C246" t="s">
        <v>335</v>
      </c>
      <c r="D246" s="164">
        <v>2000000</v>
      </c>
      <c r="E246" t="s">
        <v>209</v>
      </c>
      <c r="F246" s="21" t="s">
        <v>251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276</v>
      </c>
      <c r="C247" t="s">
        <v>336</v>
      </c>
      <c r="D247" s="164">
        <v>1810000</v>
      </c>
      <c r="E247" t="s">
        <v>301</v>
      </c>
      <c r="F247" s="21" t="s">
        <v>251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337</v>
      </c>
      <c r="D248" s="164">
        <v>2230000</v>
      </c>
      <c r="E248" t="s">
        <v>298</v>
      </c>
      <c r="F248" s="21" t="s">
        <v>262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338</v>
      </c>
      <c r="D249" s="164">
        <v>1800000</v>
      </c>
      <c r="E249" t="s">
        <v>237</v>
      </c>
      <c r="F249" s="21" t="s">
        <v>254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273</v>
      </c>
      <c r="C250" t="s">
        <v>339</v>
      </c>
      <c r="D250" s="164">
        <v>1810000</v>
      </c>
      <c r="E250" t="s">
        <v>301</v>
      </c>
      <c r="F250" s="21" t="s">
        <v>251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317</v>
      </c>
      <c r="C251" t="s">
        <v>340</v>
      </c>
      <c r="D251" s="164">
        <v>2000000</v>
      </c>
      <c r="E251" t="s">
        <v>209</v>
      </c>
      <c r="F251" s="21" t="s">
        <v>251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341</v>
      </c>
      <c r="D252" s="164">
        <v>1800000</v>
      </c>
      <c r="E252" t="s">
        <v>237</v>
      </c>
      <c r="F252" s="21" t="s">
        <v>254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270</v>
      </c>
      <c r="C253" t="s">
        <v>342</v>
      </c>
      <c r="D253" s="164">
        <v>2230000</v>
      </c>
      <c r="E253" t="s">
        <v>298</v>
      </c>
      <c r="F253" s="21" t="s">
        <v>262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276</v>
      </c>
      <c r="C254" t="s">
        <v>343</v>
      </c>
      <c r="D254" s="164">
        <v>1810000</v>
      </c>
      <c r="E254" t="s">
        <v>301</v>
      </c>
      <c r="F254" s="21" t="s">
        <v>251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319</v>
      </c>
      <c r="C255" t="s">
        <v>344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345</v>
      </c>
      <c r="D256" s="164">
        <v>2230000</v>
      </c>
      <c r="E256" t="s">
        <v>298</v>
      </c>
      <c r="F256" s="21" t="s">
        <v>262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317</v>
      </c>
      <c r="C257" t="s">
        <v>346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347</v>
      </c>
      <c r="D258" s="164">
        <v>2110000</v>
      </c>
      <c r="E258" t="s">
        <v>322</v>
      </c>
      <c r="F258" s="21" t="s">
        <v>323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347</v>
      </c>
      <c r="D259" s="164">
        <v>2110000</v>
      </c>
      <c r="E259" t="s">
        <v>322</v>
      </c>
      <c r="F259" s="21" t="s">
        <v>323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232</v>
      </c>
      <c r="C260" t="s">
        <v>240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239</v>
      </c>
      <c r="D261" s="164">
        <v>2530000</v>
      </c>
      <c r="E261" t="s">
        <v>238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241</v>
      </c>
      <c r="D262" s="164">
        <v>2600000</v>
      </c>
      <c r="E262" t="s">
        <v>234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80" t="s">
        <v>165</v>
      </c>
      <c r="B1" s="180" t="s">
        <v>168</v>
      </c>
      <c r="C1" s="180" t="s">
        <v>161</v>
      </c>
      <c r="D1" s="159" t="s">
        <v>173</v>
      </c>
      <c r="E1" s="180" t="s">
        <v>162</v>
      </c>
      <c r="F1" s="180" t="s">
        <v>160</v>
      </c>
      <c r="G1" s="180" t="s">
        <v>158</v>
      </c>
      <c r="H1" s="180" t="s">
        <v>171</v>
      </c>
      <c r="I1" s="180" t="s">
        <v>172</v>
      </c>
      <c r="J1" s="180" t="s">
        <v>166</v>
      </c>
      <c r="K1" s="180" t="s">
        <v>164</v>
      </c>
      <c r="L1" s="180" t="s">
        <v>159</v>
      </c>
      <c r="M1" s="180" t="s">
        <v>169</v>
      </c>
      <c r="N1" s="180" t="s">
        <v>163</v>
      </c>
      <c r="O1" s="180" t="s">
        <v>170</v>
      </c>
      <c r="P1" s="180" t="s">
        <v>167</v>
      </c>
      <c r="Q1"/>
      <c r="R1"/>
    </row>
    <row r="2" spans="1:18" x14ac:dyDescent="0.25">
      <c r="A2" s="169">
        <v>35.590000000000003</v>
      </c>
      <c r="B2" s="169">
        <v>0.62</v>
      </c>
      <c r="C2" s="169">
        <v>20.25</v>
      </c>
      <c r="D2" s="8">
        <v>42724</v>
      </c>
      <c r="E2" s="169">
        <v>0.47</v>
      </c>
      <c r="F2" s="169" t="s">
        <v>242</v>
      </c>
      <c r="G2" s="169">
        <v>245.88</v>
      </c>
      <c r="H2" s="169">
        <v>0</v>
      </c>
      <c r="I2" s="169">
        <v>0</v>
      </c>
      <c r="J2" s="169">
        <v>1023.43</v>
      </c>
      <c r="K2" s="169" t="s">
        <v>394</v>
      </c>
      <c r="L2" s="169">
        <v>38.72</v>
      </c>
      <c r="M2" s="169">
        <v>1482217200</v>
      </c>
      <c r="N2" s="169">
        <v>6.03</v>
      </c>
      <c r="O2" s="169">
        <v>264</v>
      </c>
      <c r="P2" s="169">
        <v>4.2699999999999996</v>
      </c>
      <c r="Q2"/>
      <c r="R2"/>
    </row>
    <row r="3" spans="1:18" x14ac:dyDescent="0.25">
      <c r="A3" s="169">
        <v>37.130000000000003</v>
      </c>
      <c r="B3" s="169">
        <v>0.55000000000000004</v>
      </c>
      <c r="C3" s="169">
        <v>23.53</v>
      </c>
      <c r="D3" s="8">
        <v>42724.041666666664</v>
      </c>
      <c r="E3" s="169">
        <v>0.51</v>
      </c>
      <c r="F3" s="169" t="s">
        <v>242</v>
      </c>
      <c r="G3" s="169">
        <v>246.35</v>
      </c>
      <c r="H3" s="169">
        <v>0</v>
      </c>
      <c r="I3" s="169">
        <v>0</v>
      </c>
      <c r="J3" s="169">
        <v>1024.3800000000001</v>
      </c>
      <c r="K3" s="169" t="s">
        <v>247</v>
      </c>
      <c r="L3" s="169">
        <v>40.15</v>
      </c>
      <c r="M3" s="169">
        <v>1482220800</v>
      </c>
      <c r="N3" s="169">
        <v>5.72</v>
      </c>
      <c r="O3" s="169">
        <v>284</v>
      </c>
      <c r="P3" s="169">
        <v>4.4000000000000004</v>
      </c>
      <c r="Q3"/>
      <c r="R3"/>
    </row>
    <row r="4" spans="1:18" x14ac:dyDescent="0.25">
      <c r="A4" s="169">
        <v>34.07</v>
      </c>
      <c r="B4" s="169">
        <v>0.48</v>
      </c>
      <c r="C4" s="169">
        <v>23.88</v>
      </c>
      <c r="D4" s="8">
        <v>42724.083333333336</v>
      </c>
      <c r="E4" s="169">
        <v>0.55000000000000004</v>
      </c>
      <c r="F4" s="169" t="s">
        <v>242</v>
      </c>
      <c r="G4" s="169">
        <v>246.81</v>
      </c>
      <c r="H4" s="169">
        <v>0</v>
      </c>
      <c r="I4" s="169">
        <v>0</v>
      </c>
      <c r="J4" s="169">
        <v>1025.82</v>
      </c>
      <c r="K4" s="169" t="s">
        <v>247</v>
      </c>
      <c r="L4" s="169">
        <v>38.479999999999997</v>
      </c>
      <c r="M4" s="169">
        <v>1482224400</v>
      </c>
      <c r="N4" s="169">
        <v>4.88</v>
      </c>
      <c r="O4" s="169">
        <v>263</v>
      </c>
      <c r="P4" s="169">
        <v>5.82</v>
      </c>
      <c r="Q4"/>
      <c r="R4"/>
    </row>
    <row r="5" spans="1:18" x14ac:dyDescent="0.25">
      <c r="A5" s="169">
        <v>34.9</v>
      </c>
      <c r="B5" s="169">
        <v>0.54</v>
      </c>
      <c r="C5" s="169">
        <v>24.01</v>
      </c>
      <c r="D5" s="8">
        <v>42724.125</v>
      </c>
      <c r="E5" s="169">
        <v>0.53</v>
      </c>
      <c r="F5" s="169" t="s">
        <v>242</v>
      </c>
      <c r="G5" s="169">
        <v>247.87</v>
      </c>
      <c r="H5" s="169">
        <v>0</v>
      </c>
      <c r="I5" s="169">
        <v>0</v>
      </c>
      <c r="J5" s="169">
        <v>1025.0899999999999</v>
      </c>
      <c r="K5" s="169" t="s">
        <v>247</v>
      </c>
      <c r="L5" s="169">
        <v>39.71</v>
      </c>
      <c r="M5" s="169">
        <v>1482228000</v>
      </c>
      <c r="N5" s="169">
        <v>4.2300000000000004</v>
      </c>
      <c r="O5" s="169">
        <v>279</v>
      </c>
      <c r="P5" s="169">
        <v>6.82</v>
      </c>
      <c r="Q5"/>
      <c r="R5"/>
    </row>
    <row r="6" spans="1:18" x14ac:dyDescent="0.25">
      <c r="A6" s="169">
        <v>34.909999999999997</v>
      </c>
      <c r="B6" s="169">
        <v>0.69</v>
      </c>
      <c r="C6" s="169">
        <v>21.72</v>
      </c>
      <c r="D6" s="8">
        <v>42724.166666666664</v>
      </c>
      <c r="E6" s="169">
        <v>0.49</v>
      </c>
      <c r="F6" s="169" t="s">
        <v>242</v>
      </c>
      <c r="G6" s="169">
        <v>249.18</v>
      </c>
      <c r="H6" s="169">
        <v>0</v>
      </c>
      <c r="I6" s="169">
        <v>0</v>
      </c>
      <c r="J6" s="169">
        <v>1024.3599999999999</v>
      </c>
      <c r="K6" s="169" t="s">
        <v>394</v>
      </c>
      <c r="L6" s="169">
        <v>39.49</v>
      </c>
      <c r="M6" s="169">
        <v>1482231600</v>
      </c>
      <c r="N6" s="169">
        <v>4.4000000000000004</v>
      </c>
      <c r="O6" s="169">
        <v>265</v>
      </c>
      <c r="P6" s="169">
        <v>6.38</v>
      </c>
      <c r="Q6"/>
      <c r="R6"/>
    </row>
    <row r="7" spans="1:18" x14ac:dyDescent="0.25">
      <c r="A7" s="169">
        <v>36.54</v>
      </c>
      <c r="B7" s="169">
        <v>0.76</v>
      </c>
      <c r="C7" s="169">
        <v>19.97</v>
      </c>
      <c r="D7" s="8">
        <v>42724.208333333336</v>
      </c>
      <c r="E7" s="169">
        <v>0.47</v>
      </c>
      <c r="F7" s="169" t="s">
        <v>242</v>
      </c>
      <c r="G7" s="169">
        <v>250.44</v>
      </c>
      <c r="H7" s="169">
        <v>0</v>
      </c>
      <c r="I7" s="169">
        <v>0</v>
      </c>
      <c r="J7" s="169">
        <v>1024.19</v>
      </c>
      <c r="K7" s="169" t="s">
        <v>394</v>
      </c>
      <c r="L7" s="169">
        <v>38.6</v>
      </c>
      <c r="M7" s="169">
        <v>1482235200</v>
      </c>
      <c r="N7" s="169">
        <v>6.05</v>
      </c>
      <c r="O7" s="169">
        <v>308</v>
      </c>
      <c r="P7" s="169">
        <v>3.2</v>
      </c>
      <c r="Q7"/>
      <c r="R7"/>
    </row>
    <row r="8" spans="1:18" x14ac:dyDescent="0.25">
      <c r="A8" s="169">
        <v>34.74</v>
      </c>
      <c r="B8" s="169">
        <v>0.72</v>
      </c>
      <c r="C8" s="169">
        <v>20.85</v>
      </c>
      <c r="D8" s="8">
        <v>42724.25</v>
      </c>
      <c r="E8" s="169">
        <v>0.5</v>
      </c>
      <c r="F8" s="169" t="s">
        <v>242</v>
      </c>
      <c r="G8" s="169">
        <v>251.68</v>
      </c>
      <c r="H8" s="169">
        <v>0</v>
      </c>
      <c r="I8" s="169">
        <v>0</v>
      </c>
      <c r="J8" s="169">
        <v>1024.93</v>
      </c>
      <c r="K8" s="169" t="s">
        <v>394</v>
      </c>
      <c r="L8" s="169">
        <v>37.770000000000003</v>
      </c>
      <c r="M8" s="169">
        <v>1482238800</v>
      </c>
      <c r="N8" s="169">
        <v>5.08</v>
      </c>
      <c r="O8" s="169">
        <v>287</v>
      </c>
      <c r="P8" s="169">
        <v>4</v>
      </c>
      <c r="Q8"/>
      <c r="R8"/>
    </row>
    <row r="9" spans="1:18" x14ac:dyDescent="0.25">
      <c r="A9" s="169">
        <v>33.08</v>
      </c>
      <c r="B9" s="169">
        <v>0.62</v>
      </c>
      <c r="C9" s="169">
        <v>22.69</v>
      </c>
      <c r="D9" s="8">
        <v>42724.291666666664</v>
      </c>
      <c r="E9" s="169">
        <v>0.56000000000000005</v>
      </c>
      <c r="F9" s="169" t="s">
        <v>242</v>
      </c>
      <c r="G9" s="169">
        <v>252.89</v>
      </c>
      <c r="H9" s="169">
        <v>0</v>
      </c>
      <c r="I9" s="169">
        <v>0</v>
      </c>
      <c r="J9" s="169">
        <v>1026.52</v>
      </c>
      <c r="K9" s="169" t="s">
        <v>394</v>
      </c>
      <c r="L9" s="169">
        <v>36.880000000000003</v>
      </c>
      <c r="M9" s="169">
        <v>1482242400</v>
      </c>
      <c r="N9" s="169">
        <v>4.29</v>
      </c>
      <c r="O9" s="169">
        <v>285</v>
      </c>
      <c r="P9" s="169">
        <v>4.68</v>
      </c>
      <c r="Q9"/>
      <c r="R9"/>
    </row>
    <row r="10" spans="1:18" x14ac:dyDescent="0.25">
      <c r="A10" s="169">
        <v>36.26</v>
      </c>
      <c r="B10" s="169">
        <v>0.61</v>
      </c>
      <c r="C10" s="169">
        <v>23.68</v>
      </c>
      <c r="D10" s="8">
        <v>42724.333333333336</v>
      </c>
      <c r="E10" s="169">
        <v>0.6</v>
      </c>
      <c r="F10" s="169" t="s">
        <v>393</v>
      </c>
      <c r="G10" s="169">
        <v>253.67</v>
      </c>
      <c r="H10" s="169">
        <v>0</v>
      </c>
      <c r="I10" s="169">
        <v>0</v>
      </c>
      <c r="J10" s="169">
        <v>1027.69</v>
      </c>
      <c r="K10" s="169" t="s">
        <v>394</v>
      </c>
      <c r="L10" s="169">
        <v>36.26</v>
      </c>
      <c r="M10" s="169">
        <v>1482246000</v>
      </c>
      <c r="N10" s="169">
        <v>4.01</v>
      </c>
      <c r="O10" s="169">
        <v>255</v>
      </c>
      <c r="P10" s="169">
        <v>2.94</v>
      </c>
      <c r="Q10"/>
      <c r="R10"/>
    </row>
    <row r="11" spans="1:18" x14ac:dyDescent="0.25">
      <c r="A11" s="169">
        <v>33.49</v>
      </c>
      <c r="B11" s="169">
        <v>0.6</v>
      </c>
      <c r="C11" s="169">
        <v>23.18</v>
      </c>
      <c r="D11" s="8">
        <v>42724.375</v>
      </c>
      <c r="E11" s="169">
        <v>0.57999999999999996</v>
      </c>
      <c r="F11" s="169" t="s">
        <v>393</v>
      </c>
      <c r="G11" s="169">
        <v>253.78</v>
      </c>
      <c r="H11" s="169">
        <v>0</v>
      </c>
      <c r="I11" s="169">
        <v>0</v>
      </c>
      <c r="J11" s="169">
        <v>1026.5</v>
      </c>
      <c r="K11" s="169" t="s">
        <v>394</v>
      </c>
      <c r="L11" s="169">
        <v>36.67</v>
      </c>
      <c r="M11" s="169">
        <v>1482249600</v>
      </c>
      <c r="N11" s="169">
        <v>3.81</v>
      </c>
      <c r="O11" s="169">
        <v>234</v>
      </c>
      <c r="P11" s="169">
        <v>3.98</v>
      </c>
      <c r="Q11"/>
      <c r="R11"/>
    </row>
    <row r="12" spans="1:18" x14ac:dyDescent="0.25">
      <c r="A12" s="169">
        <v>38.69</v>
      </c>
      <c r="B12" s="169">
        <v>0.63</v>
      </c>
      <c r="C12" s="169">
        <v>25.41</v>
      </c>
      <c r="D12" s="8">
        <v>42724.416666666664</v>
      </c>
      <c r="E12" s="169">
        <v>0.53</v>
      </c>
      <c r="F12" s="169" t="s">
        <v>393</v>
      </c>
      <c r="G12" s="169">
        <v>253.46</v>
      </c>
      <c r="H12" s="169">
        <v>0</v>
      </c>
      <c r="I12" s="169">
        <v>0</v>
      </c>
      <c r="J12" s="169">
        <v>1024.23</v>
      </c>
      <c r="K12" s="169" t="s">
        <v>394</v>
      </c>
      <c r="L12" s="169">
        <v>41.06</v>
      </c>
      <c r="M12" s="169">
        <v>1482253200</v>
      </c>
      <c r="N12" s="169">
        <v>10</v>
      </c>
      <c r="O12" s="169">
        <v>241</v>
      </c>
      <c r="P12" s="169">
        <v>3.84</v>
      </c>
      <c r="Q12"/>
      <c r="R12"/>
    </row>
    <row r="13" spans="1:18" x14ac:dyDescent="0.25">
      <c r="A13" s="169">
        <v>43.27</v>
      </c>
      <c r="B13" s="169">
        <v>0.65</v>
      </c>
      <c r="C13" s="169">
        <v>28.54</v>
      </c>
      <c r="D13" s="8">
        <v>42724.458333333336</v>
      </c>
      <c r="E13" s="169">
        <v>0.52</v>
      </c>
      <c r="F13" s="169" t="s">
        <v>393</v>
      </c>
      <c r="G13" s="169">
        <v>253.06</v>
      </c>
      <c r="H13" s="169">
        <v>0</v>
      </c>
      <c r="I13" s="169">
        <v>0</v>
      </c>
      <c r="J13" s="169">
        <v>1022.74</v>
      </c>
      <c r="K13" s="169" t="s">
        <v>394</v>
      </c>
      <c r="L13" s="169">
        <v>45.06</v>
      </c>
      <c r="M13" s="169">
        <v>1482256800</v>
      </c>
      <c r="N13" s="169">
        <v>3.85</v>
      </c>
      <c r="O13" s="169">
        <v>241</v>
      </c>
      <c r="P13" s="169">
        <v>3.88</v>
      </c>
      <c r="Q13"/>
      <c r="R13"/>
    </row>
    <row r="14" spans="1:18" x14ac:dyDescent="0.25">
      <c r="A14" s="169">
        <v>48.49</v>
      </c>
      <c r="B14" s="169">
        <v>0.61</v>
      </c>
      <c r="C14" s="169">
        <v>34.32</v>
      </c>
      <c r="D14" s="8">
        <v>42724.5</v>
      </c>
      <c r="E14" s="169">
        <v>0.57999999999999996</v>
      </c>
      <c r="F14" s="169" t="s">
        <v>393</v>
      </c>
      <c r="G14" s="169">
        <v>252.94</v>
      </c>
      <c r="H14" s="169">
        <v>0</v>
      </c>
      <c r="I14" s="169">
        <v>0</v>
      </c>
      <c r="J14" s="169">
        <v>1021.73</v>
      </c>
      <c r="K14" s="169" t="s">
        <v>394</v>
      </c>
      <c r="L14" s="169">
        <v>48.49</v>
      </c>
      <c r="M14" s="169">
        <v>1482260400</v>
      </c>
      <c r="N14" s="169">
        <v>3.9</v>
      </c>
      <c r="O14" s="169">
        <v>295</v>
      </c>
      <c r="P14" s="169">
        <v>2.89</v>
      </c>
      <c r="Q14"/>
      <c r="R14"/>
    </row>
    <row r="15" spans="1:18" x14ac:dyDescent="0.25">
      <c r="A15" s="169">
        <v>48.58</v>
      </c>
      <c r="B15" s="169">
        <v>0.54</v>
      </c>
      <c r="C15" s="169">
        <v>38.479999999999997</v>
      </c>
      <c r="D15" s="8">
        <v>42724.541666666664</v>
      </c>
      <c r="E15" s="169">
        <v>0.67</v>
      </c>
      <c r="F15" s="169" t="s">
        <v>393</v>
      </c>
      <c r="G15" s="169">
        <v>252.73</v>
      </c>
      <c r="H15" s="169">
        <v>0</v>
      </c>
      <c r="I15" s="169">
        <v>0</v>
      </c>
      <c r="J15" s="169">
        <v>1020.84</v>
      </c>
      <c r="K15" s="169" t="s">
        <v>247</v>
      </c>
      <c r="L15" s="169">
        <v>49.06</v>
      </c>
      <c r="M15" s="169">
        <v>1482264000</v>
      </c>
      <c r="N15" s="169">
        <v>4</v>
      </c>
      <c r="O15" s="169">
        <v>291</v>
      </c>
      <c r="P15" s="169">
        <v>3.03</v>
      </c>
      <c r="Q15"/>
      <c r="R15"/>
    </row>
    <row r="16" spans="1:18" x14ac:dyDescent="0.25">
      <c r="A16" s="169">
        <v>49.55</v>
      </c>
      <c r="B16" s="169">
        <v>0.5</v>
      </c>
      <c r="C16" s="169">
        <v>28.99</v>
      </c>
      <c r="D16" s="8">
        <v>42724.583333333336</v>
      </c>
      <c r="E16" s="169">
        <v>0.45</v>
      </c>
      <c r="F16" s="169" t="s">
        <v>393</v>
      </c>
      <c r="G16" s="169">
        <v>251.82</v>
      </c>
      <c r="H16" s="169">
        <v>0</v>
      </c>
      <c r="I16" s="169">
        <v>0</v>
      </c>
      <c r="J16" s="169">
        <v>1019.97</v>
      </c>
      <c r="K16" s="169" t="s">
        <v>247</v>
      </c>
      <c r="L16" s="169">
        <v>49.55</v>
      </c>
      <c r="M16" s="169">
        <v>1482267600</v>
      </c>
      <c r="N16" s="169">
        <v>10</v>
      </c>
      <c r="O16" s="169">
        <v>258</v>
      </c>
      <c r="P16" s="169">
        <v>1.24</v>
      </c>
      <c r="Q16"/>
      <c r="R16"/>
    </row>
    <row r="17" spans="1:18" x14ac:dyDescent="0.25">
      <c r="A17" s="169">
        <v>48.44</v>
      </c>
      <c r="B17" s="169">
        <v>0.54</v>
      </c>
      <c r="C17" s="169">
        <v>28.75</v>
      </c>
      <c r="D17" s="8">
        <v>42724.625</v>
      </c>
      <c r="E17" s="169">
        <v>0.45</v>
      </c>
      <c r="F17" s="169" t="s">
        <v>393</v>
      </c>
      <c r="G17" s="169">
        <v>249.4</v>
      </c>
      <c r="H17" s="169">
        <v>0</v>
      </c>
      <c r="I17" s="169">
        <v>0</v>
      </c>
      <c r="J17" s="169">
        <v>1019.03</v>
      </c>
      <c r="K17" s="169" t="s">
        <v>247</v>
      </c>
      <c r="L17" s="169">
        <v>49.27</v>
      </c>
      <c r="M17" s="169">
        <v>1482271200</v>
      </c>
      <c r="N17" s="169">
        <v>4.16</v>
      </c>
      <c r="O17" s="169">
        <v>285</v>
      </c>
      <c r="P17" s="169">
        <v>3.46</v>
      </c>
      <c r="Q17"/>
      <c r="R17"/>
    </row>
    <row r="18" spans="1:18" x14ac:dyDescent="0.25">
      <c r="A18" s="169">
        <v>46.41</v>
      </c>
      <c r="B18" s="169">
        <v>0.64</v>
      </c>
      <c r="C18" s="169">
        <v>23.66</v>
      </c>
      <c r="D18" s="8">
        <v>42724.666666666664</v>
      </c>
      <c r="E18" s="169">
        <v>0.39</v>
      </c>
      <c r="F18" s="169" t="s">
        <v>393</v>
      </c>
      <c r="G18" s="169">
        <v>246.26</v>
      </c>
      <c r="H18" s="169">
        <v>0</v>
      </c>
      <c r="I18" s="169">
        <v>0</v>
      </c>
      <c r="J18" s="169">
        <v>1018.2</v>
      </c>
      <c r="K18" s="169" t="s">
        <v>394</v>
      </c>
      <c r="L18" s="169">
        <v>47.15</v>
      </c>
      <c r="M18" s="169">
        <v>1482274800</v>
      </c>
      <c r="N18" s="169">
        <v>10</v>
      </c>
      <c r="O18" s="169">
        <v>278</v>
      </c>
      <c r="P18" s="169">
        <v>3.04</v>
      </c>
      <c r="Q18"/>
      <c r="R18"/>
    </row>
    <row r="19" spans="1:18" x14ac:dyDescent="0.25">
      <c r="A19" s="169">
        <v>44.06</v>
      </c>
      <c r="B19" s="169">
        <v>0.63</v>
      </c>
      <c r="C19" s="169">
        <v>23.25</v>
      </c>
      <c r="D19" s="8">
        <v>42724.708333333336</v>
      </c>
      <c r="E19" s="169">
        <v>0.42</v>
      </c>
      <c r="F19" s="169" t="s">
        <v>242</v>
      </c>
      <c r="G19" s="169">
        <v>244.12</v>
      </c>
      <c r="H19" s="169">
        <v>0</v>
      </c>
      <c r="I19" s="169">
        <v>0</v>
      </c>
      <c r="J19" s="169">
        <v>1017.71</v>
      </c>
      <c r="K19" s="169" t="s">
        <v>394</v>
      </c>
      <c r="L19" s="169">
        <v>45.12</v>
      </c>
      <c r="M19" s="169">
        <v>1482278400</v>
      </c>
      <c r="N19" s="169">
        <v>7.25</v>
      </c>
      <c r="O19" s="169">
        <v>245</v>
      </c>
      <c r="P19" s="169">
        <v>3.1</v>
      </c>
      <c r="Q19"/>
      <c r="R19"/>
    </row>
    <row r="20" spans="1:18" x14ac:dyDescent="0.25">
      <c r="A20" s="169">
        <v>43.83</v>
      </c>
      <c r="B20" s="169">
        <v>0.56000000000000005</v>
      </c>
      <c r="C20" s="169">
        <v>23.93</v>
      </c>
      <c r="D20" s="8">
        <v>42724.75</v>
      </c>
      <c r="E20" s="169">
        <v>0.43</v>
      </c>
      <c r="F20" s="169" t="s">
        <v>242</v>
      </c>
      <c r="G20" s="169">
        <v>243.89</v>
      </c>
      <c r="H20" s="169">
        <v>0</v>
      </c>
      <c r="I20" s="169">
        <v>0</v>
      </c>
      <c r="J20" s="169">
        <v>1017.95</v>
      </c>
      <c r="K20" s="169" t="s">
        <v>247</v>
      </c>
      <c r="L20" s="169">
        <v>45.08</v>
      </c>
      <c r="M20" s="169">
        <v>1482282000</v>
      </c>
      <c r="N20" s="169">
        <v>10</v>
      </c>
      <c r="O20" s="169">
        <v>223</v>
      </c>
      <c r="P20" s="169">
        <v>3.28</v>
      </c>
      <c r="Q20"/>
      <c r="R20"/>
    </row>
    <row r="21" spans="1:18" x14ac:dyDescent="0.25">
      <c r="A21" s="169">
        <v>41.35</v>
      </c>
      <c r="B21" s="169">
        <v>0.52</v>
      </c>
      <c r="C21" s="169">
        <v>26.79</v>
      </c>
      <c r="D21" s="8">
        <v>42724.791666666664</v>
      </c>
      <c r="E21" s="169">
        <v>0.51</v>
      </c>
      <c r="F21" s="169" t="s">
        <v>242</v>
      </c>
      <c r="G21" s="169">
        <v>244.65</v>
      </c>
      <c r="H21" s="169">
        <v>0</v>
      </c>
      <c r="I21" s="169">
        <v>0</v>
      </c>
      <c r="J21" s="169">
        <v>1018.78</v>
      </c>
      <c r="K21" s="169" t="s">
        <v>247</v>
      </c>
      <c r="L21" s="169">
        <v>43.56</v>
      </c>
      <c r="M21" s="169">
        <v>1482285600</v>
      </c>
      <c r="N21" s="169">
        <v>8.8000000000000007</v>
      </c>
      <c r="O21" s="169">
        <v>220</v>
      </c>
      <c r="P21" s="169">
        <v>4.1100000000000003</v>
      </c>
      <c r="Q21"/>
      <c r="R21"/>
    </row>
    <row r="22" spans="1:18" x14ac:dyDescent="0.25">
      <c r="A22" s="169">
        <v>39.57</v>
      </c>
      <c r="B22" s="169">
        <v>0.54</v>
      </c>
      <c r="C22" s="169">
        <v>26.86</v>
      </c>
      <c r="D22" s="8">
        <v>42724.833333333336</v>
      </c>
      <c r="E22" s="169">
        <v>0.55000000000000004</v>
      </c>
      <c r="F22" s="169" t="s">
        <v>242</v>
      </c>
      <c r="G22" s="169">
        <v>245.33</v>
      </c>
      <c r="H22" s="169">
        <v>0</v>
      </c>
      <c r="I22" s="169">
        <v>0</v>
      </c>
      <c r="J22" s="169">
        <v>1019.29</v>
      </c>
      <c r="K22" s="169" t="s">
        <v>247</v>
      </c>
      <c r="L22" s="169">
        <v>41.86</v>
      </c>
      <c r="M22" s="169">
        <v>1482289200</v>
      </c>
      <c r="N22" s="169">
        <v>8.1199999999999992</v>
      </c>
      <c r="O22" s="169">
        <v>222</v>
      </c>
      <c r="P22" s="169">
        <v>3.88</v>
      </c>
      <c r="Q22"/>
      <c r="R22"/>
    </row>
    <row r="23" spans="1:18" x14ac:dyDescent="0.25">
      <c r="A23" s="169">
        <v>37.86</v>
      </c>
      <c r="B23" s="169">
        <v>0.55000000000000004</v>
      </c>
      <c r="C23" s="169">
        <v>24.62</v>
      </c>
      <c r="D23" s="8">
        <v>42724.875</v>
      </c>
      <c r="E23" s="169">
        <v>0.52</v>
      </c>
      <c r="F23" s="169" t="s">
        <v>242</v>
      </c>
      <c r="G23" s="169">
        <v>245.56</v>
      </c>
      <c r="H23" s="169">
        <v>0</v>
      </c>
      <c r="I23" s="169">
        <v>0</v>
      </c>
      <c r="J23" s="169">
        <v>1018.06</v>
      </c>
      <c r="K23" s="169" t="s">
        <v>247</v>
      </c>
      <c r="L23" s="169">
        <v>41.05</v>
      </c>
      <c r="M23" s="169">
        <v>1482292800</v>
      </c>
      <c r="N23" s="169">
        <v>7.89</v>
      </c>
      <c r="O23" s="169">
        <v>217</v>
      </c>
      <c r="P23" s="169">
        <v>4.8</v>
      </c>
      <c r="Q23"/>
      <c r="R23"/>
    </row>
    <row r="24" spans="1:18" x14ac:dyDescent="0.25">
      <c r="A24" s="169">
        <v>37.409999999999997</v>
      </c>
      <c r="B24" s="169">
        <v>0.63</v>
      </c>
      <c r="C24" s="169">
        <v>23.8</v>
      </c>
      <c r="D24" s="8">
        <v>42724.916666666664</v>
      </c>
      <c r="E24" s="169">
        <v>0.5</v>
      </c>
      <c r="F24" s="169" t="s">
        <v>242</v>
      </c>
      <c r="G24" s="169">
        <v>245.71</v>
      </c>
      <c r="H24" s="169">
        <v>0</v>
      </c>
      <c r="I24" s="169">
        <v>0</v>
      </c>
      <c r="J24" s="169">
        <v>1016.47</v>
      </c>
      <c r="K24" s="169" t="s">
        <v>394</v>
      </c>
      <c r="L24" s="169">
        <v>40.770000000000003</v>
      </c>
      <c r="M24" s="169">
        <v>1482296400</v>
      </c>
      <c r="N24" s="169">
        <v>8.14</v>
      </c>
      <c r="O24" s="169">
        <v>203</v>
      </c>
      <c r="P24" s="169">
        <v>4.96</v>
      </c>
      <c r="Q24"/>
      <c r="R24"/>
    </row>
    <row r="25" spans="1:18" x14ac:dyDescent="0.25">
      <c r="A25" s="169">
        <v>38.21</v>
      </c>
      <c r="B25" s="169">
        <v>0.69</v>
      </c>
      <c r="C25" s="169">
        <v>23.86</v>
      </c>
      <c r="D25" s="8">
        <v>42724.958333333336</v>
      </c>
      <c r="E25" s="169">
        <v>0.5</v>
      </c>
      <c r="F25" s="169" t="s">
        <v>242</v>
      </c>
      <c r="G25" s="169">
        <v>245.82</v>
      </c>
      <c r="H25" s="169">
        <v>0</v>
      </c>
      <c r="I25" s="169">
        <v>0</v>
      </c>
      <c r="J25" s="169">
        <v>1015.56</v>
      </c>
      <c r="K25" s="169" t="s">
        <v>394</v>
      </c>
      <c r="L25" s="169">
        <v>40.92</v>
      </c>
      <c r="M25" s="169">
        <v>1482300000</v>
      </c>
      <c r="N25" s="169">
        <v>8.59</v>
      </c>
      <c r="O25" s="169">
        <v>203</v>
      </c>
      <c r="P25" s="169">
        <v>4.18</v>
      </c>
      <c r="Q25"/>
      <c r="R25"/>
    </row>
    <row r="26" spans="1:18" x14ac:dyDescent="0.25">
      <c r="A26" s="169">
        <v>36.36</v>
      </c>
      <c r="B26" s="169">
        <v>0.46</v>
      </c>
      <c r="C26" s="169">
        <v>22.85</v>
      </c>
      <c r="D26" s="8">
        <v>42725</v>
      </c>
      <c r="E26" s="169">
        <v>0.52</v>
      </c>
      <c r="F26" s="169" t="s">
        <v>242</v>
      </c>
      <c r="G26" s="169">
        <v>245.86</v>
      </c>
      <c r="H26" s="169">
        <v>0</v>
      </c>
      <c r="I26" s="169">
        <v>0</v>
      </c>
      <c r="J26" s="169">
        <v>1016.39</v>
      </c>
      <c r="K26" s="169" t="s">
        <v>247</v>
      </c>
      <c r="L26" s="169">
        <v>38.92</v>
      </c>
      <c r="M26" s="169">
        <v>1482303600</v>
      </c>
      <c r="N26" s="169">
        <v>8.86</v>
      </c>
      <c r="O26" s="169">
        <v>211</v>
      </c>
      <c r="P26" s="169">
        <v>3.71</v>
      </c>
      <c r="Q26"/>
      <c r="R26"/>
    </row>
    <row r="27" spans="1:18" x14ac:dyDescent="0.25">
      <c r="A27" s="169">
        <v>37.61</v>
      </c>
      <c r="B27" s="169">
        <v>0.4</v>
      </c>
      <c r="C27" s="169">
        <v>23.5</v>
      </c>
      <c r="D27" s="8">
        <v>42725.041666666664</v>
      </c>
      <c r="E27" s="169">
        <v>0.56000000000000005</v>
      </c>
      <c r="F27" s="169" t="s">
        <v>242</v>
      </c>
      <c r="G27" s="169">
        <v>245.9</v>
      </c>
      <c r="H27" s="169">
        <v>0</v>
      </c>
      <c r="I27" s="169">
        <v>0</v>
      </c>
      <c r="J27" s="169">
        <v>1017.27</v>
      </c>
      <c r="K27" s="169" t="s">
        <v>247</v>
      </c>
      <c r="L27" s="169">
        <v>37.61</v>
      </c>
      <c r="M27" s="169">
        <v>1482307200</v>
      </c>
      <c r="N27" s="169">
        <v>8.8000000000000007</v>
      </c>
      <c r="O27" s="169">
        <v>223</v>
      </c>
      <c r="P27" s="169">
        <v>2.94</v>
      </c>
      <c r="Q27"/>
      <c r="R27"/>
    </row>
    <row r="28" spans="1:18" x14ac:dyDescent="0.25">
      <c r="A28" s="169">
        <v>36.32</v>
      </c>
      <c r="B28" s="169">
        <v>0.33</v>
      </c>
      <c r="C28" s="169">
        <v>23.62</v>
      </c>
      <c r="D28" s="8">
        <v>42725.083333333336</v>
      </c>
      <c r="E28" s="169">
        <v>0.6</v>
      </c>
      <c r="F28" s="169" t="s">
        <v>242</v>
      </c>
      <c r="G28" s="169">
        <v>245.94</v>
      </c>
      <c r="H28" s="169">
        <v>0</v>
      </c>
      <c r="I28" s="169">
        <v>0</v>
      </c>
      <c r="J28" s="169">
        <v>1018.27</v>
      </c>
      <c r="K28" s="169" t="s">
        <v>247</v>
      </c>
      <c r="L28" s="169">
        <v>36.32</v>
      </c>
      <c r="M28" s="169">
        <v>1482310800</v>
      </c>
      <c r="N28" s="169">
        <v>8.32</v>
      </c>
      <c r="O28" s="169">
        <v>238</v>
      </c>
      <c r="P28" s="169">
        <v>2.56</v>
      </c>
      <c r="Q28"/>
      <c r="R28"/>
    </row>
    <row r="29" spans="1:18" x14ac:dyDescent="0.25">
      <c r="A29" s="169">
        <v>36.64</v>
      </c>
      <c r="B29" s="169">
        <v>0.5</v>
      </c>
      <c r="C29" s="169">
        <v>23.34</v>
      </c>
      <c r="D29" s="8">
        <v>42725.125</v>
      </c>
      <c r="E29" s="169">
        <v>0.57999999999999996</v>
      </c>
      <c r="F29" s="169" t="s">
        <v>242</v>
      </c>
      <c r="G29" s="169">
        <v>246.33</v>
      </c>
      <c r="H29" s="169">
        <v>0</v>
      </c>
      <c r="I29" s="169">
        <v>0</v>
      </c>
      <c r="J29" s="169">
        <v>1019.44</v>
      </c>
      <c r="K29" s="169" t="s">
        <v>247</v>
      </c>
      <c r="L29" s="169">
        <v>36.64</v>
      </c>
      <c r="M29" s="169">
        <v>1482314400</v>
      </c>
      <c r="N29" s="169">
        <v>7.65</v>
      </c>
      <c r="O29" s="169">
        <v>253</v>
      </c>
      <c r="P29" s="169">
        <v>1.89</v>
      </c>
      <c r="Q29"/>
      <c r="R29"/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455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856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839</v>
      </c>
      <c r="J20" t="s">
        <v>87</v>
      </c>
      <c r="M20" s="164" t="s">
        <v>246</v>
      </c>
    </row>
    <row r="21" spans="3:13" x14ac:dyDescent="0.25">
      <c r="C21" t="s">
        <v>840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841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842</v>
      </c>
      <c r="J23" s="29" t="s">
        <v>95</v>
      </c>
      <c r="K23" s="21"/>
      <c r="M23" s="169">
        <v>-7</v>
      </c>
    </row>
    <row r="24" spans="3:13" x14ac:dyDescent="0.25">
      <c r="C24" t="s">
        <v>843</v>
      </c>
      <c r="J24" s="21" t="s">
        <v>108</v>
      </c>
      <c r="K24" s="21"/>
      <c r="M24" s="164" t="s">
        <v>110</v>
      </c>
    </row>
    <row r="25" spans="3:13" x14ac:dyDescent="0.25">
      <c r="C25" t="s">
        <v>844</v>
      </c>
      <c r="J25" t="s">
        <v>151</v>
      </c>
      <c r="M25" s="164" t="b">
        <v>1</v>
      </c>
    </row>
    <row r="26" spans="3:13" x14ac:dyDescent="0.25">
      <c r="C26" t="s">
        <v>845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C:\Users\stu\Documents\GitHub\eaglep3-reporting\EC\2016-12-20-refined-times.txt</v>
      </c>
    </row>
    <row r="27" spans="3:13" x14ac:dyDescent="0.25">
      <c r="C27" t="s">
        <v>857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C:\Users\stu\Documents\GitHub\eaglep3-reporting\EC\2016-12-20-Enforcements.txt</v>
      </c>
    </row>
    <row r="28" spans="3:13" x14ac:dyDescent="0.25">
      <c r="C28" t="s">
        <v>846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C:\Users\stu\Documents\GitHub\eaglep3-reporting\EC\2016-12-20-Runs-refined.txt</v>
      </c>
    </row>
    <row r="29" spans="3:13" x14ac:dyDescent="0.25">
      <c r="C29" t="s">
        <v>847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C:\Users\stu\Documents\GitHub\eaglep3-reporting\EC\2016-12-20-Trips.txt</v>
      </c>
    </row>
    <row r="30" spans="3:13" x14ac:dyDescent="0.25">
      <c r="C30" t="s">
        <v>848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C:\Users\stu\Documents\GitHub\eaglep3-reporting\EC\2016-12-20-Weather.txt</v>
      </c>
    </row>
    <row r="31" spans="3:13" x14ac:dyDescent="0.25">
      <c r="C31" t="s">
        <v>849</v>
      </c>
    </row>
    <row r="32" spans="3:13" x14ac:dyDescent="0.25">
      <c r="C32" t="s">
        <v>850</v>
      </c>
    </row>
    <row r="33" spans="3:3" x14ac:dyDescent="0.25">
      <c r="C33" t="s">
        <v>851</v>
      </c>
    </row>
    <row r="34" spans="3:3" x14ac:dyDescent="0.25">
      <c r="C34" t="s">
        <v>852</v>
      </c>
    </row>
    <row r="35" spans="3:3" x14ac:dyDescent="0.25">
      <c r="C35" t="s">
        <v>853</v>
      </c>
    </row>
    <row r="36" spans="3:3" x14ac:dyDescent="0.25">
      <c r="C36" t="s">
        <v>854</v>
      </c>
    </row>
    <row r="37" spans="3:3" x14ac:dyDescent="0.25">
      <c r="C37" t="s">
        <v>855</v>
      </c>
    </row>
    <row r="38" spans="3:3" x14ac:dyDescent="0.25">
      <c r="C38" t="s">
        <v>838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865</v>
      </c>
      <c r="B1" t="str">
        <f t="shared" ref="B1:B52" si="0">MID(A1,6,23)</f>
        <v>2016/12/20 11:34:03.066</v>
      </c>
      <c r="C1" t="e">
        <f>ABS(B1-#REF!)</f>
        <v>#REF!</v>
      </c>
    </row>
    <row r="2" spans="1:3" x14ac:dyDescent="0.25">
      <c r="A2" t="s">
        <v>866</v>
      </c>
      <c r="B2" s="21" t="str">
        <f t="shared" si="0"/>
        <v>2016/12/20 11:34:03.186</v>
      </c>
      <c r="C2">
        <f>ABS(B2-B1)</f>
        <v>1.3888857210986316E-6</v>
      </c>
    </row>
    <row r="3" spans="1:3" x14ac:dyDescent="0.25">
      <c r="A3" t="s">
        <v>867</v>
      </c>
      <c r="B3" s="21" t="str">
        <f t="shared" si="0"/>
        <v>2016/12/20 11:34:03.203</v>
      </c>
      <c r="C3" s="21">
        <f t="shared" ref="C3:C52" si="1">ABS(B3-B2)</f>
        <v>1.9676372176036239E-7</v>
      </c>
    </row>
    <row r="4" spans="1:3" x14ac:dyDescent="0.25">
      <c r="A4" t="s">
        <v>868</v>
      </c>
      <c r="B4" s="21" t="str">
        <f t="shared" si="0"/>
        <v>2016/12/20 12:51:46.673</v>
      </c>
      <c r="C4" s="21">
        <f t="shared" si="1"/>
        <v>5.397534721851116E-2</v>
      </c>
    </row>
    <row r="5" spans="1:3" x14ac:dyDescent="0.25">
      <c r="A5" t="s">
        <v>869</v>
      </c>
      <c r="B5" s="21" t="str">
        <f t="shared" si="0"/>
        <v>2016/12/20 12:51:46.679</v>
      </c>
      <c r="C5" s="21">
        <f t="shared" si="1"/>
        <v>6.94490154273808E-8</v>
      </c>
    </row>
    <row r="6" spans="1:3" x14ac:dyDescent="0.25">
      <c r="A6" t="s">
        <v>870</v>
      </c>
      <c r="B6" s="21" t="str">
        <f t="shared" si="0"/>
        <v>2016/12/20 12:52:12.142</v>
      </c>
      <c r="C6" s="21">
        <f t="shared" si="1"/>
        <v>2.9471064772224054E-4</v>
      </c>
    </row>
    <row r="7" spans="1:3" x14ac:dyDescent="0.25">
      <c r="A7" t="s">
        <v>871</v>
      </c>
      <c r="B7" s="21" t="str">
        <f t="shared" si="0"/>
        <v>2016/12/20 12:52:12.159</v>
      </c>
      <c r="C7" s="21">
        <f t="shared" si="1"/>
        <v>1.967564458027482E-7</v>
      </c>
    </row>
    <row r="8" spans="1:3" x14ac:dyDescent="0.25">
      <c r="A8" t="s">
        <v>872</v>
      </c>
      <c r="B8" s="21" t="str">
        <f t="shared" si="0"/>
        <v>2016/12/20 13:22:31.397</v>
      </c>
      <c r="C8" s="21">
        <f t="shared" si="1"/>
        <v>2.1055995370261371E-2</v>
      </c>
    </row>
    <row r="9" spans="1:3" x14ac:dyDescent="0.25">
      <c r="A9" t="s">
        <v>873</v>
      </c>
      <c r="B9" s="21" t="str">
        <f t="shared" si="0"/>
        <v>2016/12/20 13:22:31.422</v>
      </c>
      <c r="C9" s="21">
        <f t="shared" si="1"/>
        <v>2.8935028240084648E-7</v>
      </c>
    </row>
    <row r="10" spans="1:3" x14ac:dyDescent="0.25">
      <c r="A10" t="s">
        <v>874</v>
      </c>
      <c r="B10" s="21" t="str">
        <f t="shared" si="0"/>
        <v>2016/12/20 13:22:32.449</v>
      </c>
      <c r="C10" s="21">
        <f t="shared" si="1"/>
        <v>1.1886579159181565E-5</v>
      </c>
    </row>
    <row r="11" spans="1:3" x14ac:dyDescent="0.25">
      <c r="A11" t="s">
        <v>875</v>
      </c>
      <c r="B11" s="21" t="str">
        <f t="shared" si="0"/>
        <v>2016/12/20 13:34:42.073</v>
      </c>
      <c r="C11" s="21">
        <f t="shared" si="1"/>
        <v>8.4447222179733217E-3</v>
      </c>
    </row>
    <row r="12" spans="1:3" x14ac:dyDescent="0.25">
      <c r="A12" t="s">
        <v>876</v>
      </c>
      <c r="B12" s="21" t="str">
        <f t="shared" si="0"/>
        <v>2016/12/20 14:03:06.533</v>
      </c>
      <c r="C12" s="21">
        <f t="shared" si="1"/>
        <v>1.9727546299691312E-2</v>
      </c>
    </row>
    <row r="13" spans="1:3" x14ac:dyDescent="0.25">
      <c r="A13" t="s">
        <v>877</v>
      </c>
      <c r="B13" s="21" t="str">
        <f t="shared" si="0"/>
        <v>2016/12/20 14:03:06.810</v>
      </c>
      <c r="C13" s="21">
        <f t="shared" si="1"/>
        <v>3.2060197554528713E-6</v>
      </c>
    </row>
    <row r="14" spans="1:3" x14ac:dyDescent="0.25">
      <c r="A14" t="s">
        <v>878</v>
      </c>
      <c r="B14" s="21" t="str">
        <f t="shared" si="0"/>
        <v>2016/12/20 14:03:07.185</v>
      </c>
      <c r="C14" s="21">
        <f t="shared" si="1"/>
        <v>4.3402760638855398E-6</v>
      </c>
    </row>
    <row r="15" spans="1:3" x14ac:dyDescent="0.25">
      <c r="A15" t="s">
        <v>879</v>
      </c>
      <c r="B15" s="21" t="str">
        <f t="shared" si="0"/>
        <v>2016/12/20 14:41:59.561</v>
      </c>
      <c r="C15" s="21">
        <f t="shared" si="1"/>
        <v>2.6995092594006564E-2</v>
      </c>
    </row>
    <row r="16" spans="1:3" x14ac:dyDescent="0.25">
      <c r="A16" t="s">
        <v>880</v>
      </c>
      <c r="B16" s="21" t="str">
        <f t="shared" si="0"/>
        <v>2016/12/20 14:42:06.064</v>
      </c>
      <c r="C16" s="21">
        <f t="shared" si="1"/>
        <v>7.5266201747581363E-5</v>
      </c>
    </row>
    <row r="17" spans="1:3" x14ac:dyDescent="0.25">
      <c r="A17" t="s">
        <v>881</v>
      </c>
      <c r="B17" s="21" t="str">
        <f t="shared" si="0"/>
        <v>2016/12/20 14:42:06.188</v>
      </c>
      <c r="C17" s="21">
        <f t="shared" si="1"/>
        <v>1.4351826393976808E-6</v>
      </c>
    </row>
    <row r="18" spans="1:3" x14ac:dyDescent="0.25">
      <c r="A18" t="s">
        <v>882</v>
      </c>
      <c r="B18" s="21" t="str">
        <f t="shared" si="0"/>
        <v>2016/12/20 14:42:44.560</v>
      </c>
      <c r="C18" s="21">
        <f t="shared" si="1"/>
        <v>4.4412037095753476E-4</v>
      </c>
    </row>
    <row r="19" spans="1:3" x14ac:dyDescent="0.25">
      <c r="A19" t="s">
        <v>883</v>
      </c>
      <c r="B19" s="21" t="str">
        <f t="shared" si="0"/>
        <v>2016/12/20 14:42:48.064</v>
      </c>
      <c r="C19" s="21">
        <f t="shared" si="1"/>
        <v>4.0555554733145982E-5</v>
      </c>
    </row>
    <row r="20" spans="1:3" x14ac:dyDescent="0.25">
      <c r="A20" t="s">
        <v>884</v>
      </c>
      <c r="B20" s="21" t="str">
        <f t="shared" si="0"/>
        <v>2016/12/20 14:42:48.187</v>
      </c>
      <c r="C20" s="21">
        <f t="shared" si="1"/>
        <v>1.4236138667911291E-6</v>
      </c>
    </row>
    <row r="21" spans="1:3" x14ac:dyDescent="0.25">
      <c r="A21" t="s">
        <v>885</v>
      </c>
      <c r="B21" s="21" t="str">
        <f t="shared" si="0"/>
        <v>2016/12/20 15:03:22.071</v>
      </c>
      <c r="C21" s="21">
        <f t="shared" si="1"/>
        <v>1.4281064817623701E-2</v>
      </c>
    </row>
    <row r="22" spans="1:3" x14ac:dyDescent="0.25">
      <c r="A22" t="s">
        <v>886</v>
      </c>
      <c r="B22" s="21" t="str">
        <f t="shared" si="0"/>
        <v>2016/12/20 15:03:22.207</v>
      </c>
      <c r="C22" s="21">
        <f t="shared" si="1"/>
        <v>1.5740733942948282E-6</v>
      </c>
    </row>
    <row r="23" spans="1:3" x14ac:dyDescent="0.25">
      <c r="A23" t="s">
        <v>887</v>
      </c>
      <c r="B23" s="21" t="str">
        <f t="shared" si="0"/>
        <v>2016/12/20 15:03:23.193</v>
      </c>
      <c r="C23" s="21">
        <f t="shared" si="1"/>
        <v>1.1412033927626908E-5</v>
      </c>
    </row>
    <row r="24" spans="1:3" x14ac:dyDescent="0.25">
      <c r="A24" t="s">
        <v>888</v>
      </c>
      <c r="B24" s="21" t="str">
        <f t="shared" si="0"/>
        <v>2016/12/20 15:23:22.386</v>
      </c>
      <c r="C24" s="21">
        <f t="shared" si="1"/>
        <v>1.3879548612749204E-2</v>
      </c>
    </row>
    <row r="25" spans="1:3" x14ac:dyDescent="0.25">
      <c r="A25" t="s">
        <v>889</v>
      </c>
      <c r="B25" s="21" t="str">
        <f t="shared" si="0"/>
        <v>2016/12/20 15:23:22.417</v>
      </c>
      <c r="C25" s="21">
        <f t="shared" si="1"/>
        <v>3.5879929782822728E-7</v>
      </c>
    </row>
    <row r="26" spans="1:3" x14ac:dyDescent="0.25">
      <c r="A26" t="s">
        <v>890</v>
      </c>
      <c r="B26" s="21" t="str">
        <f t="shared" si="0"/>
        <v>2016/12/20 15:23:22.448</v>
      </c>
      <c r="C26" s="21">
        <f t="shared" si="1"/>
        <v>3.587920218706131E-7</v>
      </c>
    </row>
    <row r="27" spans="1:3" x14ac:dyDescent="0.25">
      <c r="A27" t="s">
        <v>891</v>
      </c>
      <c r="B27" s="21" t="str">
        <f t="shared" si="0"/>
        <v>2016/12/20 15:52:15.021</v>
      </c>
      <c r="C27" s="21">
        <f t="shared" si="1"/>
        <v>2.0052928244695067E-2</v>
      </c>
    </row>
    <row r="28" spans="1:3" x14ac:dyDescent="0.25">
      <c r="A28" t="s">
        <v>892</v>
      </c>
      <c r="B28" s="21" t="str">
        <f t="shared" si="0"/>
        <v>2016/12/20 15:52:15.196</v>
      </c>
      <c r="C28" s="21">
        <f t="shared" si="1"/>
        <v>2.0254592527635396E-6</v>
      </c>
    </row>
    <row r="29" spans="1:3" x14ac:dyDescent="0.25">
      <c r="A29" t="s">
        <v>893</v>
      </c>
      <c r="B29" s="21" t="str">
        <f t="shared" si="0"/>
        <v>2016/12/20 16:03:47.015</v>
      </c>
      <c r="C29" s="21">
        <f t="shared" si="1"/>
        <v>8.007164353330154E-3</v>
      </c>
    </row>
    <row r="30" spans="1:3" x14ac:dyDescent="0.25">
      <c r="A30" t="s">
        <v>894</v>
      </c>
      <c r="B30" s="21" t="str">
        <f t="shared" si="0"/>
        <v>2016/12/20 16:03:47.232</v>
      </c>
      <c r="C30" s="21">
        <f t="shared" si="1"/>
        <v>2.5115732569247484E-6</v>
      </c>
    </row>
    <row r="31" spans="1:3" x14ac:dyDescent="0.25">
      <c r="A31" t="s">
        <v>895</v>
      </c>
      <c r="B31" s="21" t="str">
        <f t="shared" si="0"/>
        <v>2016/12/20 16:06:53.097</v>
      </c>
      <c r="C31" s="21">
        <f t="shared" si="1"/>
        <v>2.1512152743525803E-3</v>
      </c>
    </row>
    <row r="32" spans="1:3" x14ac:dyDescent="0.25">
      <c r="A32" t="s">
        <v>896</v>
      </c>
      <c r="B32" s="21" t="str">
        <f t="shared" si="0"/>
        <v>2016/12/20 16:06:53.675</v>
      </c>
      <c r="C32" s="21">
        <f t="shared" si="1"/>
        <v>6.6898210207000375E-6</v>
      </c>
    </row>
    <row r="33" spans="1:3" x14ac:dyDescent="0.25">
      <c r="A33" t="s">
        <v>897</v>
      </c>
      <c r="B33" s="21" t="str">
        <f t="shared" si="0"/>
        <v>2016/12/20 16:06:53.811</v>
      </c>
      <c r="C33" s="21">
        <f t="shared" si="1"/>
        <v>1.5740733942948282E-6</v>
      </c>
    </row>
    <row r="34" spans="1:3" x14ac:dyDescent="0.25">
      <c r="A34" t="s">
        <v>898</v>
      </c>
      <c r="B34" s="21" t="str">
        <f t="shared" si="0"/>
        <v>2016/12/20 16:50:29.171</v>
      </c>
      <c r="C34" s="21">
        <f t="shared" si="1"/>
        <v>3.0270370370999444E-2</v>
      </c>
    </row>
    <row r="35" spans="1:3" x14ac:dyDescent="0.25">
      <c r="A35" t="s">
        <v>899</v>
      </c>
      <c r="B35" s="21" t="str">
        <f t="shared" si="0"/>
        <v>2016/12/20 16:53:28.021</v>
      </c>
      <c r="C35" s="21">
        <f t="shared" si="1"/>
        <v>2.0700231470982544E-3</v>
      </c>
    </row>
    <row r="36" spans="1:3" x14ac:dyDescent="0.25">
      <c r="A36" t="s">
        <v>900</v>
      </c>
      <c r="B36" s="21" t="str">
        <f t="shared" si="0"/>
        <v>2016/12/20 16:53:28.381</v>
      </c>
      <c r="C36" s="21">
        <f t="shared" si="1"/>
        <v>4.166664439253509E-6</v>
      </c>
    </row>
    <row r="37" spans="1:3" x14ac:dyDescent="0.25">
      <c r="A37" t="s">
        <v>901</v>
      </c>
      <c r="B37" s="21" t="str">
        <f t="shared" si="0"/>
        <v>2016/12/20 16:53:29.098</v>
      </c>
      <c r="C37" s="21">
        <f t="shared" si="1"/>
        <v>8.2986080087721348E-6</v>
      </c>
    </row>
    <row r="38" spans="1:3" x14ac:dyDescent="0.25">
      <c r="A38" t="s">
        <v>902</v>
      </c>
      <c r="B38" s="21" t="str">
        <f t="shared" si="0"/>
        <v>2016/12/20 17:25:46.719</v>
      </c>
      <c r="C38" s="21">
        <f t="shared" si="1"/>
        <v>2.2426168987294659E-2</v>
      </c>
    </row>
    <row r="39" spans="1:3" x14ac:dyDescent="0.25">
      <c r="A39" t="s">
        <v>903</v>
      </c>
      <c r="B39" s="21" t="str">
        <f t="shared" si="0"/>
        <v>2016/12/20 17:25:46.729</v>
      </c>
      <c r="C39" s="21">
        <f t="shared" si="1"/>
        <v>1.1573865776881576E-7</v>
      </c>
    </row>
    <row r="40" spans="1:3" x14ac:dyDescent="0.25">
      <c r="A40" t="s">
        <v>904</v>
      </c>
      <c r="B40" s="21" t="str">
        <f t="shared" si="0"/>
        <v>2016/12/20 17:25:46.832</v>
      </c>
      <c r="C40" s="21">
        <f t="shared" si="1"/>
        <v>1.1921292752958834E-6</v>
      </c>
    </row>
    <row r="41" spans="1:3" x14ac:dyDescent="0.25">
      <c r="A41" t="s">
        <v>905</v>
      </c>
      <c r="B41" s="21" t="str">
        <f t="shared" si="0"/>
        <v>2016/12/20 18:05:38.151</v>
      </c>
      <c r="C41" s="21">
        <f t="shared" si="1"/>
        <v>2.7677303238306195E-2</v>
      </c>
    </row>
    <row r="42" spans="1:3" x14ac:dyDescent="0.25">
      <c r="A42" t="s">
        <v>906</v>
      </c>
      <c r="B42" s="21" t="str">
        <f t="shared" si="0"/>
        <v>2016/12/20 19:27:08.638</v>
      </c>
      <c r="C42" s="21">
        <f t="shared" si="1"/>
        <v>5.6602858800033573E-2</v>
      </c>
    </row>
    <row r="43" spans="1:3" x14ac:dyDescent="0.25">
      <c r="A43" t="s">
        <v>907</v>
      </c>
      <c r="B43" s="21" t="str">
        <f t="shared" si="0"/>
        <v>2016/12/20 19:27:09.114</v>
      </c>
      <c r="C43" s="21">
        <f t="shared" si="1"/>
        <v>5.5092605180107057E-6</v>
      </c>
    </row>
    <row r="44" spans="1:3" x14ac:dyDescent="0.25">
      <c r="A44" t="s">
        <v>908</v>
      </c>
      <c r="B44" s="21" t="str">
        <f t="shared" si="0"/>
        <v>2016/12/20 19:27:09.291</v>
      </c>
      <c r="C44" s="21">
        <f t="shared" si="1"/>
        <v>2.0486113498918712E-6</v>
      </c>
    </row>
    <row r="45" spans="1:3" x14ac:dyDescent="0.25">
      <c r="A45" t="s">
        <v>909</v>
      </c>
      <c r="B45" s="21" t="str">
        <f t="shared" si="0"/>
        <v>2016/12/20 20:10:11.310</v>
      </c>
      <c r="C45" s="21">
        <f t="shared" si="1"/>
        <v>2.9884479161410127E-2</v>
      </c>
    </row>
    <row r="46" spans="1:3" x14ac:dyDescent="0.25">
      <c r="A46" t="s">
        <v>910</v>
      </c>
      <c r="B46" s="21" t="str">
        <f t="shared" si="0"/>
        <v>2016/12/20 20:10:12.037</v>
      </c>
      <c r="C46" s="21">
        <f t="shared" si="1"/>
        <v>8.4143539424985647E-6</v>
      </c>
    </row>
    <row r="47" spans="1:3" x14ac:dyDescent="0.25">
      <c r="A47" t="s">
        <v>911</v>
      </c>
      <c r="B47" s="21" t="str">
        <f t="shared" si="0"/>
        <v>2016/12/20 20:10:12.479</v>
      </c>
      <c r="C47" s="21">
        <f t="shared" si="1"/>
        <v>5.1157403504475951E-6</v>
      </c>
    </row>
    <row r="48" spans="1:3" x14ac:dyDescent="0.25">
      <c r="A48" t="s">
        <v>912</v>
      </c>
      <c r="B48" s="21" t="str">
        <f t="shared" si="0"/>
        <v>2016/12/20 20:23:49.174</v>
      </c>
      <c r="C48" s="21">
        <f t="shared" si="1"/>
        <v>9.4524884261772968E-3</v>
      </c>
    </row>
    <row r="49" spans="1:3" x14ac:dyDescent="0.25">
      <c r="A49" t="s">
        <v>913</v>
      </c>
      <c r="B49" s="21" t="str">
        <f t="shared" si="0"/>
        <v>2016/12/20 20:26:06.119</v>
      </c>
      <c r="C49" s="21">
        <f t="shared" si="1"/>
        <v>1.5850115742068738E-3</v>
      </c>
    </row>
    <row r="50" spans="1:3" x14ac:dyDescent="0.25">
      <c r="A50" t="s">
        <v>914</v>
      </c>
      <c r="B50" s="21" t="str">
        <f t="shared" si="0"/>
        <v>2016/12/20 20:26:06.650</v>
      </c>
      <c r="C50" s="21">
        <f t="shared" si="1"/>
        <v>6.1458340496756136E-6</v>
      </c>
    </row>
    <row r="51" spans="1:3" x14ac:dyDescent="0.25">
      <c r="A51" t="s">
        <v>915</v>
      </c>
      <c r="B51" s="21" t="str">
        <f t="shared" si="0"/>
        <v>2016/12/20 20:26:07.301</v>
      </c>
      <c r="C51" s="21">
        <f t="shared" si="1"/>
        <v>7.5347197707742453E-6</v>
      </c>
    </row>
    <row r="52" spans="1:3" x14ac:dyDescent="0.25">
      <c r="A52" t="s">
        <v>916</v>
      </c>
      <c r="B52" s="21" t="str">
        <f t="shared" si="0"/>
        <v>2016/12/20 21:07:48.686</v>
      </c>
      <c r="C52" s="21">
        <f t="shared" si="1"/>
        <v>2.895121528126765E-2</v>
      </c>
    </row>
    <row r="53" spans="1:3" x14ac:dyDescent="0.25">
      <c r="A53" t="s">
        <v>917</v>
      </c>
      <c r="B53" s="21" t="str">
        <f t="shared" ref="B53:B75" si="2">MID(A53,6,23)</f>
        <v>2016/12/20 21:07:49.105</v>
      </c>
      <c r="C53" s="21">
        <f t="shared" ref="C53:C75" si="3">ABS(B53-B52)</f>
        <v>4.8495348892174661E-6</v>
      </c>
    </row>
    <row r="54" spans="1:3" x14ac:dyDescent="0.25">
      <c r="A54" t="s">
        <v>918</v>
      </c>
      <c r="B54" s="21" t="str">
        <f t="shared" si="2"/>
        <v>2016/12/20 21:44:59.012</v>
      </c>
      <c r="C54" s="21">
        <f t="shared" si="3"/>
        <v>2.5809108796238434E-2</v>
      </c>
    </row>
    <row r="55" spans="1:3" x14ac:dyDescent="0.25">
      <c r="A55" t="s">
        <v>919</v>
      </c>
      <c r="B55" s="21" t="str">
        <f t="shared" si="2"/>
        <v>2016/12/20 21:44:59.233</v>
      </c>
      <c r="C55" s="21">
        <f t="shared" si="3"/>
        <v>2.5578701752237976E-6</v>
      </c>
    </row>
    <row r="56" spans="1:3" x14ac:dyDescent="0.25">
      <c r="A56" t="s">
        <v>920</v>
      </c>
      <c r="B56" s="21" t="str">
        <f t="shared" si="2"/>
        <v>2016/12/20 22:25:35.996</v>
      </c>
      <c r="C56" s="21">
        <f t="shared" si="3"/>
        <v>2.8203275462146848E-2</v>
      </c>
    </row>
    <row r="57" spans="1:3" x14ac:dyDescent="0.25">
      <c r="A57" t="s">
        <v>921</v>
      </c>
      <c r="B57" s="21" t="str">
        <f t="shared" si="2"/>
        <v>2016/12/20 22:25:36.083</v>
      </c>
      <c r="C57" s="21">
        <f t="shared" si="3"/>
        <v>1.006948878057301E-6</v>
      </c>
    </row>
    <row r="58" spans="1:3" x14ac:dyDescent="0.25">
      <c r="A58" t="s">
        <v>922</v>
      </c>
      <c r="B58" s="21" t="str">
        <f t="shared" si="2"/>
        <v>2016/12/20 22:25:36.376</v>
      </c>
      <c r="C58" s="21">
        <f t="shared" si="3"/>
        <v>3.3912001526914537E-6</v>
      </c>
    </row>
    <row r="59" spans="1:3" x14ac:dyDescent="0.25">
      <c r="A59" t="s">
        <v>923</v>
      </c>
      <c r="B59" s="21" t="str">
        <f t="shared" si="2"/>
        <v>2016/12/20 22:30:33.627</v>
      </c>
      <c r="C59" s="21">
        <f t="shared" si="3"/>
        <v>3.4404050966259092E-3</v>
      </c>
    </row>
    <row r="60" spans="1:3" x14ac:dyDescent="0.25">
      <c r="A60" t="s">
        <v>924</v>
      </c>
      <c r="B60" s="21" t="str">
        <f t="shared" si="2"/>
        <v>2016/12/20 22:55:43.517</v>
      </c>
      <c r="C60" s="21">
        <f t="shared" si="3"/>
        <v>1.7475578701123595E-2</v>
      </c>
    </row>
    <row r="61" spans="1:3" x14ac:dyDescent="0.25">
      <c r="A61" t="s">
        <v>925</v>
      </c>
      <c r="B61" s="21" t="str">
        <f t="shared" si="2"/>
        <v>2016/12/20 22:55:43.794</v>
      </c>
      <c r="C61" s="21">
        <f t="shared" si="3"/>
        <v>3.2060197554528713E-6</v>
      </c>
    </row>
    <row r="62" spans="1:3" x14ac:dyDescent="0.25">
      <c r="A62" t="s">
        <v>926</v>
      </c>
      <c r="B62" s="21" t="str">
        <f t="shared" si="2"/>
        <v>2016/12/20 22:55:44.162</v>
      </c>
      <c r="C62" s="21">
        <f t="shared" si="3"/>
        <v>4.2592582758516073E-6</v>
      </c>
    </row>
    <row r="63" spans="1:3" x14ac:dyDescent="0.25">
      <c r="A63" t="s">
        <v>927</v>
      </c>
      <c r="B63" s="21" t="str">
        <f t="shared" si="2"/>
        <v>2016/12/20 22:57:28.041</v>
      </c>
      <c r="C63" s="21">
        <f t="shared" si="3"/>
        <v>1.2023032395518385E-3</v>
      </c>
    </row>
    <row r="64" spans="1:3" x14ac:dyDescent="0.25">
      <c r="A64" t="s">
        <v>928</v>
      </c>
      <c r="B64" s="21" t="str">
        <f t="shared" si="2"/>
        <v>2016/12/20 22:57:28.373</v>
      </c>
      <c r="C64" s="21">
        <f t="shared" si="3"/>
        <v>3.8425932871177793E-6</v>
      </c>
    </row>
    <row r="65" spans="1:3" x14ac:dyDescent="0.25">
      <c r="A65" t="s">
        <v>929</v>
      </c>
      <c r="B65" s="21" t="str">
        <f t="shared" si="2"/>
        <v>2016/12/20 22:57:29.071</v>
      </c>
      <c r="C65" s="21">
        <f t="shared" si="3"/>
        <v>8.0787067417986691E-6</v>
      </c>
    </row>
    <row r="66" spans="1:3" x14ac:dyDescent="0.25">
      <c r="A66" t="s">
        <v>930</v>
      </c>
      <c r="B66" s="21" t="str">
        <f t="shared" si="2"/>
        <v>2016/12/20 23:25:18.406</v>
      </c>
      <c r="C66" s="21">
        <f t="shared" si="3"/>
        <v>1.9321006941027008E-2</v>
      </c>
    </row>
    <row r="67" spans="1:3" x14ac:dyDescent="0.25">
      <c r="A67" t="s">
        <v>931</v>
      </c>
      <c r="B67" s="21" t="str">
        <f t="shared" si="2"/>
        <v>2016/12/20 23:25:19.445</v>
      </c>
      <c r="C67" s="21">
        <f t="shared" si="3"/>
        <v>1.2025462638121098E-5</v>
      </c>
    </row>
    <row r="68" spans="1:3" x14ac:dyDescent="0.25">
      <c r="A68" t="s">
        <v>932</v>
      </c>
      <c r="B68" s="21" t="str">
        <f t="shared" si="2"/>
        <v>2016/12/21 00:02:05.348</v>
      </c>
      <c r="C68" s="21">
        <f t="shared" si="3"/>
        <v>2.5531284722092096E-2</v>
      </c>
    </row>
    <row r="69" spans="1:3" x14ac:dyDescent="0.25">
      <c r="A69" t="s">
        <v>933</v>
      </c>
      <c r="B69" s="21" t="str">
        <f t="shared" si="2"/>
        <v>2016/12/21 00:02:06.027</v>
      </c>
      <c r="C69" s="21">
        <f t="shared" si="3"/>
        <v>7.8587981988675892E-6</v>
      </c>
    </row>
    <row r="70" spans="1:3" x14ac:dyDescent="0.25">
      <c r="A70" t="s">
        <v>934</v>
      </c>
      <c r="B70" s="21" t="str">
        <f t="shared" si="2"/>
        <v>2016/12/21 00:02:06.055</v>
      </c>
      <c r="C70" s="21">
        <f t="shared" si="3"/>
        <v>3.2407115213572979E-7</v>
      </c>
    </row>
    <row r="71" spans="1:3" x14ac:dyDescent="0.25">
      <c r="A71" t="s">
        <v>935</v>
      </c>
      <c r="B71" s="21" t="str">
        <f t="shared" si="2"/>
        <v>2016/12/21 00:24:40.099</v>
      </c>
      <c r="C71" s="21">
        <f t="shared" si="3"/>
        <v>1.5671805558667984E-2</v>
      </c>
    </row>
    <row r="72" spans="1:3" x14ac:dyDescent="0.25">
      <c r="A72" t="s">
        <v>936</v>
      </c>
      <c r="B72" s="21" t="str">
        <f t="shared" si="2"/>
        <v>2016/12/21 00:24:40.108</v>
      </c>
      <c r="C72" s="21">
        <f t="shared" si="3"/>
        <v>1.0416260920464993E-7</v>
      </c>
    </row>
    <row r="73" spans="1:3" x14ac:dyDescent="0.25">
      <c r="A73" t="s">
        <v>937</v>
      </c>
      <c r="B73" s="21" t="str">
        <f t="shared" si="2"/>
        <v>2016/12/21 00:24:40.288</v>
      </c>
      <c r="C73" s="21">
        <f t="shared" si="3"/>
        <v>2.0833394955843687E-6</v>
      </c>
    </row>
    <row r="74" spans="1:3" x14ac:dyDescent="0.25">
      <c r="A74" t="s">
        <v>938</v>
      </c>
      <c r="B74" s="21" t="str">
        <f t="shared" si="2"/>
        <v>2016/12/21 00:24:40.297</v>
      </c>
      <c r="C74" s="21">
        <f t="shared" si="3"/>
        <v>1.0416260920464993E-7</v>
      </c>
    </row>
    <row r="75" spans="1:3" x14ac:dyDescent="0.25">
      <c r="A75" t="s">
        <v>939</v>
      </c>
      <c r="B75" s="21" t="str">
        <f t="shared" si="2"/>
        <v>2016/12/21 00:24:40.634</v>
      </c>
      <c r="C75" s="21">
        <f t="shared" si="3"/>
        <v>3.9004662539809942E-6</v>
      </c>
    </row>
    <row r="76" spans="1:3" x14ac:dyDescent="0.25">
      <c r="A76" t="s">
        <v>940</v>
      </c>
      <c r="B76" s="21" t="str">
        <f t="shared" ref="B76:B106" si="4">MID(A76,6,23)</f>
        <v>2016/12/21 00:24:40.643</v>
      </c>
      <c r="C76" s="21">
        <f t="shared" ref="C76:C106" si="5">ABS(B76-B75)</f>
        <v>1.0416260920464993E-7</v>
      </c>
    </row>
    <row r="77" spans="1:3" x14ac:dyDescent="0.25">
      <c r="A77" t="s">
        <v>941</v>
      </c>
      <c r="B77" s="21" t="str">
        <f t="shared" si="4"/>
        <v>2016/12/21 01:02:23.032</v>
      </c>
      <c r="C77" s="21">
        <f t="shared" si="5"/>
        <v>2.6185057868133299E-2</v>
      </c>
    </row>
    <row r="78" spans="1:3" x14ac:dyDescent="0.25">
      <c r="A78" t="s">
        <v>942</v>
      </c>
      <c r="B78" s="21" t="str">
        <f t="shared" si="4"/>
        <v>2016/12/21 01:02:23.354</v>
      </c>
      <c r="C78" s="21">
        <f t="shared" si="5"/>
        <v>3.7268546293489635E-6</v>
      </c>
    </row>
    <row r="79" spans="1:3" x14ac:dyDescent="0.25">
      <c r="A79" t="s">
        <v>943</v>
      </c>
      <c r="B79" s="21" t="str">
        <f t="shared" si="4"/>
        <v>2016/12/21 01:05:29.023</v>
      </c>
      <c r="C79" s="21">
        <f t="shared" si="5"/>
        <v>2.148946761735715E-3</v>
      </c>
    </row>
    <row r="80" spans="1:3" x14ac:dyDescent="0.25">
      <c r="A80" t="s">
        <v>944</v>
      </c>
      <c r="B80" s="21" t="str">
        <f t="shared" si="4"/>
        <v>2016/12/21 01:05:29.055</v>
      </c>
      <c r="C80" s="21">
        <f t="shared" si="5"/>
        <v>3.7036807043477893E-7</v>
      </c>
    </row>
    <row r="81" spans="1:3" x14ac:dyDescent="0.25">
      <c r="A81" t="s">
        <v>945</v>
      </c>
      <c r="B81" s="21" t="str">
        <f t="shared" si="4"/>
        <v>2016/12/21 01:05:29.344</v>
      </c>
      <c r="C81" s="21">
        <f t="shared" si="5"/>
        <v>3.3449105103500187E-6</v>
      </c>
    </row>
    <row r="82" spans="1:3" x14ac:dyDescent="0.25">
      <c r="A82" t="s">
        <v>946</v>
      </c>
      <c r="B82" s="21" t="str">
        <f t="shared" si="4"/>
        <v>2016/12/21 01:06:04.028</v>
      </c>
      <c r="C82" s="21">
        <f t="shared" si="5"/>
        <v>4.0143517981050536E-4</v>
      </c>
    </row>
    <row r="83" spans="1:3" x14ac:dyDescent="0.25">
      <c r="A83" t="s">
        <v>947</v>
      </c>
      <c r="B83" s="21" t="str">
        <f t="shared" si="4"/>
        <v>2016/12/21 01:06:04.055</v>
      </c>
      <c r="C83" s="21">
        <f t="shared" si="5"/>
        <v>3.1250237952917814E-7</v>
      </c>
    </row>
    <row r="84" spans="1:3" x14ac:dyDescent="0.25">
      <c r="A84" t="s">
        <v>948</v>
      </c>
      <c r="B84" s="21" t="str">
        <f t="shared" si="4"/>
        <v>2016/12/21 01:06:04.346</v>
      </c>
      <c r="C84" s="21">
        <f t="shared" si="5"/>
        <v>3.3680553315207362E-6</v>
      </c>
    </row>
    <row r="85" spans="1:3" x14ac:dyDescent="0.25">
      <c r="A85" t="s">
        <v>949</v>
      </c>
      <c r="B85" s="21" t="str">
        <f t="shared" si="4"/>
        <v>2016/12/21 02:34:19.069</v>
      </c>
      <c r="C85" s="21">
        <f t="shared" si="5"/>
        <v>6.1281516202143393E-2</v>
      </c>
    </row>
    <row r="86" spans="1:3" x14ac:dyDescent="0.25">
      <c r="A86" t="s">
        <v>950</v>
      </c>
      <c r="B86" s="21" t="str">
        <f t="shared" si="4"/>
        <v>2016/12/21 02:34:19.256</v>
      </c>
      <c r="C86" s="21">
        <f t="shared" si="5"/>
        <v>2.1643572836183012E-6</v>
      </c>
    </row>
    <row r="87" spans="1:3" x14ac:dyDescent="0.25">
      <c r="A87" t="s">
        <v>951</v>
      </c>
      <c r="B87" s="21" t="str">
        <f t="shared" si="4"/>
        <v>2016/12/21 02:34:19.621</v>
      </c>
      <c r="C87" s="21">
        <f t="shared" si="5"/>
        <v>4.224537406116724E-6</v>
      </c>
    </row>
    <row r="88" spans="1:3" x14ac:dyDescent="0.25">
      <c r="A88" t="s">
        <v>952</v>
      </c>
      <c r="B88" s="21" t="str">
        <f t="shared" si="4"/>
        <v>2016/12/21 02:34:54.067</v>
      </c>
      <c r="C88" s="21">
        <f t="shared" si="5"/>
        <v>3.9868055318947881E-4</v>
      </c>
    </row>
    <row r="89" spans="1:3" x14ac:dyDescent="0.25">
      <c r="A89" t="s">
        <v>953</v>
      </c>
      <c r="B89" s="21" t="str">
        <f t="shared" si="4"/>
        <v>2016/12/21 02:34:54.255</v>
      </c>
      <c r="C89" s="21">
        <f t="shared" si="5"/>
        <v>2.1759260562248528E-6</v>
      </c>
    </row>
    <row r="90" spans="1:3" x14ac:dyDescent="0.25">
      <c r="A90" t="s">
        <v>954</v>
      </c>
      <c r="B90" s="21" t="str">
        <f t="shared" si="4"/>
        <v>2016/12/21 02:34:57.617</v>
      </c>
      <c r="C90" s="21">
        <f t="shared" si="5"/>
        <v>3.8912032323423773E-5</v>
      </c>
    </row>
    <row r="91" spans="1:3" x14ac:dyDescent="0.25">
      <c r="A91" t="s">
        <v>955</v>
      </c>
      <c r="B91" s="21" t="str">
        <f t="shared" si="4"/>
        <v>2016/12/21 02:51:58.568</v>
      </c>
      <c r="C91" s="21">
        <f t="shared" si="5"/>
        <v>1.1816562502644956E-2</v>
      </c>
    </row>
    <row r="92" spans="1:3" x14ac:dyDescent="0.25">
      <c r="A92" t="s">
        <v>956</v>
      </c>
      <c r="B92" s="21" t="str">
        <f t="shared" si="4"/>
        <v>2016/12/21 02:52:17.348</v>
      </c>
      <c r="C92" s="21">
        <f t="shared" si="5"/>
        <v>2.1736111375503242E-4</v>
      </c>
    </row>
    <row r="93" spans="1:3" x14ac:dyDescent="0.25">
      <c r="A93" t="s">
        <v>957</v>
      </c>
      <c r="B93" s="21" t="str">
        <f t="shared" si="4"/>
        <v>2016/12/21 02:52:17.566</v>
      </c>
      <c r="C93" s="21">
        <f t="shared" si="5"/>
        <v>2.5231493054889143E-6</v>
      </c>
    </row>
    <row r="94" spans="1:3" x14ac:dyDescent="0.25">
      <c r="A94" t="s">
        <v>958</v>
      </c>
      <c r="B94" s="21" t="str">
        <f t="shared" si="4"/>
        <v>2016/12/21 02:52:18.671</v>
      </c>
      <c r="C94" s="21">
        <f t="shared" si="5"/>
        <v>1.2789350876118988E-5</v>
      </c>
    </row>
    <row r="95" spans="1:3" x14ac:dyDescent="0.25">
      <c r="A95" t="s">
        <v>959</v>
      </c>
      <c r="B95" s="21" t="str">
        <f t="shared" si="4"/>
        <v>2016/12/21 03:41:09.779</v>
      </c>
      <c r="C95" s="21">
        <f t="shared" si="5"/>
        <v>3.3924861105333548E-2</v>
      </c>
    </row>
    <row r="96" spans="1:3" x14ac:dyDescent="0.25">
      <c r="A96" t="s">
        <v>960</v>
      </c>
      <c r="B96" s="21" t="str">
        <f t="shared" si="4"/>
        <v>2016/12/21 03:41:09.977</v>
      </c>
      <c r="C96" s="21">
        <f t="shared" si="5"/>
        <v>2.2916719899512827E-6</v>
      </c>
    </row>
    <row r="97" spans="1:3" x14ac:dyDescent="0.25">
      <c r="A97" t="s">
        <v>961</v>
      </c>
      <c r="B97" s="21" t="str">
        <f t="shared" si="4"/>
        <v>2016/12/21 03:41:10.140</v>
      </c>
      <c r="C97" s="21">
        <f t="shared" si="5"/>
        <v>1.8865757738240063E-6</v>
      </c>
    </row>
    <row r="98" spans="1:3" x14ac:dyDescent="0.25">
      <c r="A98" t="s">
        <v>962</v>
      </c>
      <c r="B98" s="21" t="str">
        <f t="shared" si="4"/>
        <v>2016/12/21 04:34:49.130</v>
      </c>
      <c r="C98" s="21">
        <f t="shared" si="5"/>
        <v>3.7256828698446043E-2</v>
      </c>
    </row>
    <row r="99" spans="1:3" x14ac:dyDescent="0.25">
      <c r="A99" t="s">
        <v>963</v>
      </c>
      <c r="B99" s="21" t="str">
        <f t="shared" si="4"/>
        <v>2016/12/21 04:34:49.257</v>
      </c>
      <c r="C99" s="21">
        <f t="shared" si="5"/>
        <v>1.4699107850901783E-6</v>
      </c>
    </row>
    <row r="100" spans="1:3" x14ac:dyDescent="0.25">
      <c r="A100" t="s">
        <v>964</v>
      </c>
      <c r="B100" s="21" t="str">
        <f t="shared" si="4"/>
        <v>2016/12/21 04:34:50.066</v>
      </c>
      <c r="C100" s="21">
        <f t="shared" si="5"/>
        <v>9.3634225777350366E-6</v>
      </c>
    </row>
    <row r="101" spans="1:3" x14ac:dyDescent="0.25">
      <c r="A101" t="s">
        <v>965</v>
      </c>
      <c r="B101" s="21" t="str">
        <f t="shared" si="4"/>
        <v>2016/12/21 07:31:12.029</v>
      </c>
      <c r="C101" s="21">
        <f t="shared" si="5"/>
        <v>0.12247642361035105</v>
      </c>
    </row>
    <row r="102" spans="1:3" x14ac:dyDescent="0.25">
      <c r="A102" t="s">
        <v>966</v>
      </c>
      <c r="B102" s="21" t="str">
        <f t="shared" si="4"/>
        <v>2016/12/21 07:31:12.463</v>
      </c>
      <c r="C102" s="21">
        <f t="shared" si="5"/>
        <v>5.023153789807111E-6</v>
      </c>
    </row>
    <row r="103" spans="1:3" x14ac:dyDescent="0.25">
      <c r="A103" t="s">
        <v>967</v>
      </c>
      <c r="B103" s="21" t="str">
        <f t="shared" si="4"/>
        <v>2016/12/21 07:36:49.214</v>
      </c>
      <c r="C103" s="21">
        <f t="shared" si="5"/>
        <v>3.8975810166448355E-3</v>
      </c>
    </row>
    <row r="104" spans="1:3" x14ac:dyDescent="0.25">
      <c r="A104" t="s">
        <v>968</v>
      </c>
      <c r="B104" s="21" t="str">
        <f t="shared" si="4"/>
        <v>2016/12/21 07:36:49.327</v>
      </c>
      <c r="C104" s="21">
        <f t="shared" si="5"/>
        <v>1.3078679330646992E-6</v>
      </c>
    </row>
    <row r="105" spans="1:3" x14ac:dyDescent="0.25">
      <c r="A105" t="s">
        <v>969</v>
      </c>
      <c r="B105" s="21" t="str">
        <f t="shared" si="4"/>
        <v>2016/12/21 07:36:50.023</v>
      </c>
      <c r="C105" s="21">
        <f t="shared" si="5"/>
        <v>8.0555546446703374E-6</v>
      </c>
    </row>
    <row r="106" spans="1:3" x14ac:dyDescent="0.25">
      <c r="A106" t="s">
        <v>970</v>
      </c>
      <c r="B106" s="21" t="str">
        <f t="shared" si="4"/>
        <v>2016/12/21 07:48:11.600</v>
      </c>
      <c r="C106" s="21">
        <f t="shared" si="5"/>
        <v>7.8886226838221774E-3</v>
      </c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2016-12-27T18:46:04Z</dcterms:modified>
</cp:coreProperties>
</file>