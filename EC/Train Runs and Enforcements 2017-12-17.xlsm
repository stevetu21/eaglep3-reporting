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Runs'!$A$12:$AG$511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8" i="1" l="1"/>
  <c r="X170" i="1" l="1"/>
  <c r="X171" i="1"/>
  <c r="X172" i="1"/>
  <c r="X173" i="1"/>
  <c r="X174" i="1"/>
  <c r="AO171" i="1"/>
  <c r="AN171" i="1"/>
  <c r="AM171" i="1"/>
  <c r="AH171" i="1"/>
  <c r="AF171" i="1"/>
  <c r="AE171" i="1"/>
  <c r="AD171" i="1"/>
  <c r="AC171" i="1"/>
  <c r="AB171" i="1"/>
  <c r="Z171" i="1"/>
  <c r="Y171" i="1"/>
  <c r="V171" i="1"/>
  <c r="M171" i="1"/>
  <c r="N171" i="1" s="1"/>
  <c r="L171" i="1"/>
  <c r="K171" i="1"/>
  <c r="AG171" i="1"/>
  <c r="AA171" i="1" l="1"/>
  <c r="W171" i="1" s="1"/>
  <c r="AI171" i="1"/>
  <c r="T171" i="1"/>
  <c r="U171" i="1" s="1"/>
  <c r="S171" i="1" s="1"/>
  <c r="K160" i="1"/>
  <c r="M160" i="1"/>
  <c r="P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58" i="1"/>
  <c r="M158" i="1"/>
  <c r="P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AG160" i="1"/>
  <c r="AG158" i="1"/>
  <c r="AI160" i="1" l="1"/>
  <c r="U160" i="1"/>
  <c r="S160" i="1" s="1"/>
  <c r="W160" i="1"/>
  <c r="AI158" i="1"/>
  <c r="U158" i="1"/>
  <c r="S158" i="1" s="1"/>
  <c r="W158" i="1"/>
  <c r="X155" i="1"/>
  <c r="P154" i="1"/>
  <c r="K154" i="1"/>
  <c r="L154" i="1"/>
  <c r="M154" i="1"/>
  <c r="V154" i="1"/>
  <c r="S9" i="3" s="1"/>
  <c r="AA154" i="1"/>
  <c r="AB154" i="1"/>
  <c r="AC154" i="1"/>
  <c r="AD154" i="1"/>
  <c r="T154" i="1" s="1"/>
  <c r="AE154" i="1"/>
  <c r="R17" i="3" s="1"/>
  <c r="AF154" i="1"/>
  <c r="AH154" i="1"/>
  <c r="AM154" i="1"/>
  <c r="AN154" i="1"/>
  <c r="AO154" i="1"/>
  <c r="X142" i="1"/>
  <c r="K139" i="1"/>
  <c r="L139" i="1"/>
  <c r="M139" i="1"/>
  <c r="N139" i="1" s="1"/>
  <c r="V139" i="1"/>
  <c r="AA139" i="1"/>
  <c r="AB139" i="1"/>
  <c r="AC139" i="1"/>
  <c r="AD139" i="1"/>
  <c r="T139" i="1" s="1"/>
  <c r="AE139" i="1"/>
  <c r="R21" i="3" s="1"/>
  <c r="AF139" i="1"/>
  <c r="AH139" i="1"/>
  <c r="AM139" i="1"/>
  <c r="AN139" i="1"/>
  <c r="AO139" i="1"/>
  <c r="K138" i="1"/>
  <c r="L138" i="1"/>
  <c r="M138" i="1"/>
  <c r="N138" i="1" s="1"/>
  <c r="V138" i="1"/>
  <c r="AA138" i="1"/>
  <c r="AB138" i="1"/>
  <c r="AC138" i="1"/>
  <c r="AD138" i="1"/>
  <c r="T138" i="1" s="1"/>
  <c r="AE138" i="1"/>
  <c r="AF138" i="1"/>
  <c r="AH138" i="1"/>
  <c r="AM138" i="1"/>
  <c r="AN138" i="1"/>
  <c r="AO138" i="1"/>
  <c r="X119" i="1"/>
  <c r="N117" i="1"/>
  <c r="K117" i="1"/>
  <c r="L117" i="1"/>
  <c r="M117" i="1"/>
  <c r="V117" i="1"/>
  <c r="S15" i="3" s="1"/>
  <c r="AA117" i="1"/>
  <c r="AB117" i="1"/>
  <c r="AC117" i="1"/>
  <c r="AD117" i="1"/>
  <c r="T117" i="1" s="1"/>
  <c r="AE117" i="1"/>
  <c r="R15" i="3" s="1"/>
  <c r="AF117" i="1"/>
  <c r="AH117" i="1"/>
  <c r="AM117" i="1"/>
  <c r="AN117" i="1"/>
  <c r="AO117" i="1"/>
  <c r="K116" i="1"/>
  <c r="L116" i="1"/>
  <c r="M116" i="1"/>
  <c r="P116" i="1" s="1"/>
  <c r="V116" i="1"/>
  <c r="AA116" i="1"/>
  <c r="AB116" i="1"/>
  <c r="AC116" i="1"/>
  <c r="AD116" i="1"/>
  <c r="T116" i="1" s="1"/>
  <c r="AE116" i="1"/>
  <c r="R13" i="3" s="1"/>
  <c r="AF116" i="1"/>
  <c r="AH116" i="1"/>
  <c r="AM116" i="1"/>
  <c r="AN116" i="1"/>
  <c r="AO116" i="1"/>
  <c r="X58" i="1"/>
  <c r="X59" i="1"/>
  <c r="K35" i="1"/>
  <c r="M35" i="1"/>
  <c r="P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AO3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P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S10" i="3" s="1"/>
  <c r="Y20" i="1"/>
  <c r="Z20" i="1"/>
  <c r="AB20" i="1"/>
  <c r="AC20" i="1"/>
  <c r="AD20" i="1"/>
  <c r="AE20" i="1"/>
  <c r="R10" i="3" s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P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AO36" i="1"/>
  <c r="K37" i="1"/>
  <c r="L37" i="1"/>
  <c r="M37" i="1"/>
  <c r="N37" i="1"/>
  <c r="V37" i="1"/>
  <c r="Y37" i="1"/>
  <c r="Z37" i="1"/>
  <c r="AA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S19" i="3" s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P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A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/>
  <c r="V70" i="1"/>
  <c r="S16" i="3" s="1"/>
  <c r="Y70" i="1"/>
  <c r="Z70" i="1"/>
  <c r="AB70" i="1"/>
  <c r="AC70" i="1"/>
  <c r="AD70" i="1"/>
  <c r="T70" i="1" s="1"/>
  <c r="AE70" i="1"/>
  <c r="R16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T72" i="1"/>
  <c r="V72" i="1"/>
  <c r="Y72" i="1"/>
  <c r="AA72" i="1" s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S14" i="3" s="1"/>
  <c r="Y77" i="1"/>
  <c r="Z77" i="1"/>
  <c r="AB77" i="1"/>
  <c r="AC77" i="1"/>
  <c r="AD77" i="1"/>
  <c r="AE77" i="1"/>
  <c r="R14" i="3" s="1"/>
  <c r="AF77" i="1"/>
  <c r="AH77" i="1"/>
  <c r="AM77" i="1"/>
  <c r="AN77" i="1"/>
  <c r="AO77" i="1"/>
  <c r="K78" i="1"/>
  <c r="L78" i="1"/>
  <c r="M78" i="1"/>
  <c r="N78" i="1" s="1"/>
  <c r="V78" i="1"/>
  <c r="S11" i="3" s="1"/>
  <c r="Y78" i="1"/>
  <c r="Z78" i="1"/>
  <c r="AB78" i="1"/>
  <c r="AC78" i="1"/>
  <c r="AD78" i="1"/>
  <c r="T78" i="1" s="1"/>
  <c r="AE78" i="1"/>
  <c r="R11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23" i="3" s="1"/>
  <c r="Y82" i="1"/>
  <c r="Z82" i="1"/>
  <c r="AB82" i="1"/>
  <c r="AC82" i="1"/>
  <c r="AD82" i="1"/>
  <c r="AE82" i="1"/>
  <c r="R23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94" i="1"/>
  <c r="AM94" i="1"/>
  <c r="AN94" i="1"/>
  <c r="AO94" i="1"/>
  <c r="K161" i="1"/>
  <c r="L161" i="1"/>
  <c r="M161" i="1"/>
  <c r="N161" i="1" s="1"/>
  <c r="V161" i="1"/>
  <c r="Y161" i="1"/>
  <c r="Z161" i="1"/>
  <c r="AA161" i="1" s="1"/>
  <c r="AB161" i="1"/>
  <c r="AC161" i="1"/>
  <c r="AD161" i="1"/>
  <c r="X161" i="1" s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AM101" i="1"/>
  <c r="AN101" i="1"/>
  <c r="AO101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2" i="1"/>
  <c r="AM102" i="1"/>
  <c r="AN102" i="1"/>
  <c r="AO10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AH105" i="1"/>
  <c r="AM105" i="1"/>
  <c r="AN105" i="1"/>
  <c r="AO10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6" i="1"/>
  <c r="AM106" i="1"/>
  <c r="AN106" i="1"/>
  <c r="AO106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S25" i="3" s="1"/>
  <c r="Y173" i="1"/>
  <c r="Z173" i="1"/>
  <c r="AB173" i="1"/>
  <c r="AC173" i="1"/>
  <c r="AD173" i="1"/>
  <c r="AE173" i="1"/>
  <c r="R25" i="3" s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AA176" i="1" s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12" i="1"/>
  <c r="AM112" i="1"/>
  <c r="AN112" i="1"/>
  <c r="AO11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AO11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9" i="1"/>
  <c r="AM119" i="1"/>
  <c r="AN119" i="1"/>
  <c r="AO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AN120" i="1"/>
  <c r="AO12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1" i="1"/>
  <c r="AM121" i="1"/>
  <c r="AN121" i="1"/>
  <c r="AO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AO122" i="1"/>
  <c r="K185" i="1"/>
  <c r="L185" i="1"/>
  <c r="M185" i="1"/>
  <c r="N185" i="1" s="1"/>
  <c r="V185" i="1"/>
  <c r="S24" i="3" s="1"/>
  <c r="Y185" i="1"/>
  <c r="Z185" i="1"/>
  <c r="AB185" i="1"/>
  <c r="AC185" i="1"/>
  <c r="AD185" i="1"/>
  <c r="AE185" i="1"/>
  <c r="R24" i="3" s="1"/>
  <c r="AF185" i="1"/>
  <c r="AH123" i="1"/>
  <c r="AM123" i="1"/>
  <c r="AN123" i="1"/>
  <c r="AO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S26" i="3" s="1"/>
  <c r="Y187" i="1"/>
  <c r="Z187" i="1"/>
  <c r="AB187" i="1"/>
  <c r="AC187" i="1"/>
  <c r="AD187" i="1"/>
  <c r="AE187" i="1"/>
  <c r="R26" i="3" s="1"/>
  <c r="AF187" i="1"/>
  <c r="AH125" i="1"/>
  <c r="AM125" i="1"/>
  <c r="AN125" i="1"/>
  <c r="AO12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26" i="1"/>
  <c r="AM126" i="1"/>
  <c r="AN126" i="1"/>
  <c r="AO12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7" i="1"/>
  <c r="AM127" i="1"/>
  <c r="AN127" i="1"/>
  <c r="AO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AO12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9" i="1"/>
  <c r="AM129" i="1"/>
  <c r="AN129" i="1"/>
  <c r="AO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AO13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40" i="1"/>
  <c r="AM140" i="1"/>
  <c r="AN140" i="1"/>
  <c r="AO140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1" i="1"/>
  <c r="AM141" i="1"/>
  <c r="AN141" i="1"/>
  <c r="AO141" i="1"/>
  <c r="K208" i="1"/>
  <c r="L208" i="1"/>
  <c r="M208" i="1"/>
  <c r="V208" i="1"/>
  <c r="S30" i="3" s="1"/>
  <c r="Y208" i="1"/>
  <c r="Z208" i="1"/>
  <c r="AB208" i="1"/>
  <c r="AC208" i="1"/>
  <c r="AD208" i="1"/>
  <c r="AE208" i="1"/>
  <c r="R31" i="3" s="1"/>
  <c r="AF208" i="1"/>
  <c r="AH142" i="1"/>
  <c r="AM142" i="1"/>
  <c r="AN142" i="1"/>
  <c r="AO142" i="1"/>
  <c r="K209" i="1"/>
  <c r="L209" i="1"/>
  <c r="M209" i="1"/>
  <c r="N209" i="1" s="1"/>
  <c r="V209" i="1"/>
  <c r="S29" i="3" s="1"/>
  <c r="Y209" i="1"/>
  <c r="Z209" i="1"/>
  <c r="AB209" i="1"/>
  <c r="AC209" i="1"/>
  <c r="AD209" i="1"/>
  <c r="AE209" i="1"/>
  <c r="R29" i="3" s="1"/>
  <c r="AF209" i="1"/>
  <c r="AH143" i="1"/>
  <c r="AM143" i="1"/>
  <c r="AN143" i="1"/>
  <c r="AO14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4" i="1"/>
  <c r="AM144" i="1"/>
  <c r="AN144" i="1"/>
  <c r="AO14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5" i="1"/>
  <c r="AM145" i="1"/>
  <c r="AN145" i="1"/>
  <c r="AO145" i="1"/>
  <c r="K106" i="1"/>
  <c r="L106" i="1"/>
  <c r="M106" i="1"/>
  <c r="N106" i="1" s="1"/>
  <c r="V106" i="1"/>
  <c r="S12" i="3" s="1"/>
  <c r="Y106" i="1"/>
  <c r="Z106" i="1"/>
  <c r="AB106" i="1"/>
  <c r="AC106" i="1"/>
  <c r="AD106" i="1"/>
  <c r="AE106" i="1"/>
  <c r="R12" i="3" s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9" i="1"/>
  <c r="AM149" i="1"/>
  <c r="AN149" i="1"/>
  <c r="AO149" i="1"/>
  <c r="K110" i="1"/>
  <c r="L110" i="1"/>
  <c r="M110" i="1"/>
  <c r="N110" i="1" s="1"/>
  <c r="V110" i="1"/>
  <c r="S7" i="3" s="1"/>
  <c r="Y110" i="1"/>
  <c r="Z110" i="1"/>
  <c r="AB110" i="1"/>
  <c r="AC110" i="1"/>
  <c r="AD110" i="1"/>
  <c r="AE110" i="1"/>
  <c r="R7" i="3" s="1"/>
  <c r="AF110" i="1"/>
  <c r="AH150" i="1"/>
  <c r="AM150" i="1"/>
  <c r="AN150" i="1"/>
  <c r="AO15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5" i="1"/>
  <c r="AM155" i="1"/>
  <c r="AN155" i="1"/>
  <c r="AO155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6" i="1"/>
  <c r="AM156" i="1"/>
  <c r="AN156" i="1"/>
  <c r="AO156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57" i="1"/>
  <c r="AM157" i="1"/>
  <c r="AN157" i="1"/>
  <c r="AO157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62" i="1"/>
  <c r="AM162" i="1"/>
  <c r="AN162" i="1"/>
  <c r="AO162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3" i="1"/>
  <c r="AM163" i="1"/>
  <c r="AN163" i="1"/>
  <c r="AO163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4" i="1"/>
  <c r="AM164" i="1"/>
  <c r="AN164" i="1"/>
  <c r="AO164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5" i="1"/>
  <c r="AM165" i="1"/>
  <c r="AN165" i="1"/>
  <c r="AO165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6" i="1"/>
  <c r="AM166" i="1"/>
  <c r="AN166" i="1"/>
  <c r="AO166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7" i="1"/>
  <c r="AM167" i="1"/>
  <c r="AN167" i="1"/>
  <c r="AO167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8" i="1"/>
  <c r="AM168" i="1"/>
  <c r="AN168" i="1"/>
  <c r="AO168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9" i="1"/>
  <c r="AM169" i="1"/>
  <c r="AN169" i="1"/>
  <c r="AO169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70" i="1"/>
  <c r="AM170" i="1"/>
  <c r="AN170" i="1"/>
  <c r="AO170" i="1"/>
  <c r="K131" i="1"/>
  <c r="L131" i="1"/>
  <c r="M131" i="1"/>
  <c r="N131" i="1" s="1"/>
  <c r="V131" i="1"/>
  <c r="S20" i="3" s="1"/>
  <c r="Y131" i="1"/>
  <c r="Z131" i="1"/>
  <c r="AB131" i="1"/>
  <c r="AC131" i="1"/>
  <c r="AD131" i="1"/>
  <c r="AE131" i="1"/>
  <c r="R20" i="3" s="1"/>
  <c r="AF131" i="1"/>
  <c r="AH172" i="1"/>
  <c r="AM172" i="1"/>
  <c r="AN172" i="1"/>
  <c r="AO172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3" i="1"/>
  <c r="AM173" i="1"/>
  <c r="AN173" i="1"/>
  <c r="AO173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4" i="1"/>
  <c r="AM174" i="1"/>
  <c r="AN174" i="1"/>
  <c r="AO174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5" i="1"/>
  <c r="AM175" i="1"/>
  <c r="AN175" i="1"/>
  <c r="AO175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6" i="1"/>
  <c r="AM176" i="1"/>
  <c r="AN176" i="1"/>
  <c r="AO176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7" i="1"/>
  <c r="AM177" i="1"/>
  <c r="AN177" i="1"/>
  <c r="AO177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79" i="1"/>
  <c r="AM179" i="1"/>
  <c r="AN179" i="1"/>
  <c r="AO179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5" i="1"/>
  <c r="AM185" i="1"/>
  <c r="AN185" i="1"/>
  <c r="AO185" i="1"/>
  <c r="K147" i="1"/>
  <c r="L147" i="1"/>
  <c r="M147" i="1"/>
  <c r="N147" i="1"/>
  <c r="V147" i="1"/>
  <c r="S18" i="3" s="1"/>
  <c r="Y147" i="1"/>
  <c r="Z147" i="1"/>
  <c r="AB147" i="1"/>
  <c r="AC147" i="1"/>
  <c r="AD147" i="1"/>
  <c r="X147" i="1" s="1"/>
  <c r="AE147" i="1"/>
  <c r="R18" i="3" s="1"/>
  <c r="AF147" i="1"/>
  <c r="AH186" i="1"/>
  <c r="AM186" i="1"/>
  <c r="AN186" i="1"/>
  <c r="AO186" i="1"/>
  <c r="K148" i="1"/>
  <c r="L148" i="1"/>
  <c r="M148" i="1"/>
  <c r="N148" i="1"/>
  <c r="V148" i="1"/>
  <c r="Y148" i="1"/>
  <c r="Z148" i="1"/>
  <c r="AA148" i="1"/>
  <c r="AB148" i="1"/>
  <c r="AC148" i="1"/>
  <c r="AD148" i="1"/>
  <c r="T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/>
  <c r="V151" i="1"/>
  <c r="Y151" i="1"/>
  <c r="Z151" i="1"/>
  <c r="AB151" i="1"/>
  <c r="AC151" i="1"/>
  <c r="AD151" i="1"/>
  <c r="X151" i="1" s="1"/>
  <c r="AE151" i="1"/>
  <c r="AF151" i="1"/>
  <c r="AH190" i="1"/>
  <c r="AM190" i="1"/>
  <c r="AN190" i="1"/>
  <c r="AO190" i="1"/>
  <c r="K152" i="1"/>
  <c r="L152" i="1"/>
  <c r="M152" i="1"/>
  <c r="N152" i="1"/>
  <c r="V152" i="1"/>
  <c r="Y152" i="1"/>
  <c r="AA152" i="1" s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A153" i="1" s="1"/>
  <c r="AB153" i="1"/>
  <c r="AC153" i="1"/>
  <c r="AD153" i="1"/>
  <c r="X154" i="1" s="1"/>
  <c r="AE153" i="1"/>
  <c r="AF153" i="1"/>
  <c r="AH192" i="1"/>
  <c r="AM192" i="1"/>
  <c r="AN192" i="1"/>
  <c r="AO192" i="1"/>
  <c r="K155" i="1"/>
  <c r="L155" i="1"/>
  <c r="M155" i="1"/>
  <c r="P155" i="1" s="1"/>
  <c r="V155" i="1"/>
  <c r="S22" i="3" s="1"/>
  <c r="Y155" i="1"/>
  <c r="Z155" i="1"/>
  <c r="AB155" i="1"/>
  <c r="AC155" i="1"/>
  <c r="AD155" i="1"/>
  <c r="AE155" i="1"/>
  <c r="R22" i="3" s="1"/>
  <c r="AF155" i="1"/>
  <c r="AH193" i="1"/>
  <c r="AM193" i="1"/>
  <c r="AN193" i="1"/>
  <c r="AO193" i="1"/>
  <c r="K156" i="1"/>
  <c r="L156" i="1"/>
  <c r="M156" i="1"/>
  <c r="N156" i="1"/>
  <c r="V156" i="1"/>
  <c r="Y156" i="1"/>
  <c r="Z156" i="1"/>
  <c r="AB156" i="1"/>
  <c r="AC156" i="1"/>
  <c r="AD156" i="1"/>
  <c r="X156" i="1" s="1"/>
  <c r="AE156" i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X158" i="1" s="1"/>
  <c r="AE157" i="1"/>
  <c r="AF157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S27" i="3" s="1"/>
  <c r="Y200" i="1"/>
  <c r="Z200" i="1"/>
  <c r="AB200" i="1"/>
  <c r="AC200" i="1"/>
  <c r="AD200" i="1"/>
  <c r="AE200" i="1"/>
  <c r="R27" i="3" s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4" i="1"/>
  <c r="AM214" i="1"/>
  <c r="AN214" i="1"/>
  <c r="AO214" i="1"/>
  <c r="K215" i="1"/>
  <c r="L215" i="1"/>
  <c r="M215" i="1"/>
  <c r="N215" i="1"/>
  <c r="V215" i="1"/>
  <c r="Y215" i="1"/>
  <c r="AA215" i="1" s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M27" i="3"/>
  <c r="U27" i="3"/>
  <c r="T27" i="3" s="1"/>
  <c r="V27" i="3"/>
  <c r="X27" i="3"/>
  <c r="M32" i="3"/>
  <c r="U32" i="3"/>
  <c r="AC32" i="3" s="1"/>
  <c r="V32" i="3"/>
  <c r="X32" i="3"/>
  <c r="M10" i="3"/>
  <c r="U10" i="3"/>
  <c r="AC10" i="3" s="1"/>
  <c r="V10" i="3"/>
  <c r="X10" i="3"/>
  <c r="M30" i="3"/>
  <c r="R30" i="3"/>
  <c r="U30" i="3"/>
  <c r="T30" i="3" s="1"/>
  <c r="V30" i="3"/>
  <c r="X30" i="3"/>
  <c r="M31" i="3"/>
  <c r="U31" i="3"/>
  <c r="AC31" i="3" s="1"/>
  <c r="V31" i="3"/>
  <c r="X31" i="3"/>
  <c r="M19" i="3"/>
  <c r="R19" i="3"/>
  <c r="U19" i="3"/>
  <c r="AC19" i="3" s="1"/>
  <c r="V19" i="3"/>
  <c r="X19" i="3"/>
  <c r="M16" i="3"/>
  <c r="U16" i="3"/>
  <c r="T16" i="3" s="1"/>
  <c r="V16" i="3"/>
  <c r="X16" i="3"/>
  <c r="M11" i="3"/>
  <c r="U11" i="3"/>
  <c r="AC11" i="3" s="1"/>
  <c r="V11" i="3"/>
  <c r="X11" i="3"/>
  <c r="M14" i="3"/>
  <c r="U14" i="3"/>
  <c r="AC14" i="3" s="1"/>
  <c r="V14" i="3"/>
  <c r="X14" i="3"/>
  <c r="M23" i="3"/>
  <c r="U23" i="3"/>
  <c r="AC23" i="3" s="1"/>
  <c r="V23" i="3"/>
  <c r="X23" i="3"/>
  <c r="M25" i="3"/>
  <c r="U25" i="3"/>
  <c r="T25" i="3" s="1"/>
  <c r="V25" i="3"/>
  <c r="X25" i="3"/>
  <c r="M12" i="3"/>
  <c r="U12" i="3"/>
  <c r="AC12" i="3" s="1"/>
  <c r="V12" i="3"/>
  <c r="X12" i="3"/>
  <c r="M7" i="3"/>
  <c r="U7" i="3"/>
  <c r="AC7" i="3" s="1"/>
  <c r="V7" i="3"/>
  <c r="X7" i="3"/>
  <c r="M13" i="3"/>
  <c r="S13" i="3"/>
  <c r="U13" i="3"/>
  <c r="AC13" i="3" s="1"/>
  <c r="V13" i="3"/>
  <c r="X13" i="3"/>
  <c r="M15" i="3"/>
  <c r="U15" i="3"/>
  <c r="AC15" i="3" s="1"/>
  <c r="V15" i="3"/>
  <c r="X15" i="3"/>
  <c r="M24" i="3"/>
  <c r="U24" i="3"/>
  <c r="T24" i="3" s="1"/>
  <c r="V24" i="3"/>
  <c r="X24" i="3"/>
  <c r="M20" i="3"/>
  <c r="U20" i="3"/>
  <c r="V20" i="3"/>
  <c r="X20" i="3"/>
  <c r="M26" i="3"/>
  <c r="U26" i="3"/>
  <c r="AC26" i="3" s="1"/>
  <c r="V26" i="3"/>
  <c r="X26" i="3"/>
  <c r="M21" i="3"/>
  <c r="S21" i="3"/>
  <c r="U21" i="3"/>
  <c r="AC21" i="3" s="1"/>
  <c r="V21" i="3"/>
  <c r="X21" i="3"/>
  <c r="M18" i="3"/>
  <c r="U18" i="3"/>
  <c r="V18" i="3"/>
  <c r="X18" i="3"/>
  <c r="M8" i="3"/>
  <c r="U8" i="3"/>
  <c r="AC8" i="3" s="1"/>
  <c r="V8" i="3"/>
  <c r="X8" i="3"/>
  <c r="M29" i="3"/>
  <c r="U29" i="3"/>
  <c r="AC29" i="3" s="1"/>
  <c r="V29" i="3"/>
  <c r="X29" i="3"/>
  <c r="M17" i="3"/>
  <c r="S17" i="3"/>
  <c r="U17" i="3"/>
  <c r="T17" i="3" s="1"/>
  <c r="V17" i="3"/>
  <c r="X17" i="3"/>
  <c r="M9" i="3"/>
  <c r="U9" i="3"/>
  <c r="V9" i="3"/>
  <c r="X9" i="3"/>
  <c r="M22" i="3"/>
  <c r="U22" i="3"/>
  <c r="AC22" i="3" s="1"/>
  <c r="V22" i="3"/>
  <c r="X22" i="3"/>
  <c r="AG154" i="1"/>
  <c r="AG139" i="1"/>
  <c r="AG138" i="1"/>
  <c r="AG117" i="1"/>
  <c r="AG116" i="1"/>
  <c r="AG35" i="1"/>
  <c r="AG16" i="1"/>
  <c r="AG20" i="1"/>
  <c r="AG24" i="1"/>
  <c r="AG28" i="1"/>
  <c r="AG32" i="1"/>
  <c r="AG37" i="1"/>
  <c r="AG41" i="1"/>
  <c r="AG45" i="1"/>
  <c r="AG49" i="1"/>
  <c r="AG53" i="1"/>
  <c r="AG60" i="1"/>
  <c r="AG64" i="1"/>
  <c r="AG68" i="1"/>
  <c r="AG72" i="1"/>
  <c r="AG76" i="1"/>
  <c r="AG80" i="1"/>
  <c r="AG84" i="1"/>
  <c r="AG88" i="1"/>
  <c r="AG92" i="1"/>
  <c r="AG162" i="1"/>
  <c r="AG166" i="1"/>
  <c r="AG169" i="1"/>
  <c r="AG173" i="1"/>
  <c r="AG176" i="1"/>
  <c r="AG192" i="1"/>
  <c r="AG99" i="1"/>
  <c r="AG103" i="1"/>
  <c r="AG105" i="1"/>
  <c r="AG109" i="1"/>
  <c r="AG95" i="1"/>
  <c r="AG191" i="1"/>
  <c r="AG190" i="1"/>
  <c r="AG118" i="1"/>
  <c r="AG122" i="1"/>
  <c r="AG126" i="1"/>
  <c r="AG130" i="1"/>
  <c r="AG134" i="1"/>
  <c r="AG140" i="1"/>
  <c r="AG144" i="1"/>
  <c r="AG148" i="1"/>
  <c r="AG152" i="1"/>
  <c r="AG157" i="1"/>
  <c r="AG197" i="1"/>
  <c r="AG201" i="1"/>
  <c r="AG205" i="1"/>
  <c r="AG211" i="1"/>
  <c r="AG215" i="1"/>
  <c r="AG219" i="1"/>
  <c r="AG186" i="1"/>
  <c r="AG17" i="1"/>
  <c r="AG21" i="1"/>
  <c r="AG25" i="1"/>
  <c r="AG29" i="1"/>
  <c r="AG33" i="1"/>
  <c r="AG38" i="1"/>
  <c r="AG42" i="1"/>
  <c r="AG46" i="1"/>
  <c r="AG50" i="1"/>
  <c r="AG54" i="1"/>
  <c r="AG57" i="1"/>
  <c r="AG61" i="1"/>
  <c r="AG65" i="1"/>
  <c r="AG73" i="1"/>
  <c r="AG77" i="1"/>
  <c r="AG81" i="1"/>
  <c r="AG85" i="1"/>
  <c r="AG89" i="1"/>
  <c r="AG93" i="1"/>
  <c r="AG163" i="1"/>
  <c r="AG167" i="1"/>
  <c r="AG175" i="1"/>
  <c r="AG181" i="1"/>
  <c r="AG193" i="1"/>
  <c r="AG100" i="1"/>
  <c r="AG106" i="1"/>
  <c r="AG110" i="1"/>
  <c r="AG179" i="1"/>
  <c r="AG113" i="1"/>
  <c r="AG69" i="1"/>
  <c r="AG208" i="1"/>
  <c r="AG180" i="1"/>
  <c r="AG119" i="1"/>
  <c r="AG14" i="1"/>
  <c r="AG18" i="1"/>
  <c r="AG22" i="1"/>
  <c r="AG26" i="1"/>
  <c r="AG30" i="1"/>
  <c r="AG34" i="1"/>
  <c r="AG39" i="1"/>
  <c r="AG43" i="1"/>
  <c r="AG47" i="1"/>
  <c r="AG51" i="1"/>
  <c r="AG55" i="1"/>
  <c r="AG58" i="1"/>
  <c r="AG62" i="1"/>
  <c r="AG66" i="1"/>
  <c r="AG70" i="1"/>
  <c r="AG74" i="1"/>
  <c r="AG78" i="1"/>
  <c r="AG82" i="1"/>
  <c r="AG86" i="1"/>
  <c r="AG90" i="1"/>
  <c r="AG159" i="1"/>
  <c r="AG164" i="1"/>
  <c r="AG94" i="1"/>
  <c r="AG170" i="1"/>
  <c r="AG177" i="1"/>
  <c r="AG185" i="1"/>
  <c r="AG97" i="1"/>
  <c r="AG101" i="1"/>
  <c r="AG209" i="1"/>
  <c r="AG107" i="1"/>
  <c r="AG111" i="1"/>
  <c r="AG184" i="1"/>
  <c r="AG183" i="1"/>
  <c r="AG114" i="1"/>
  <c r="AG120" i="1"/>
  <c r="AG124" i="1"/>
  <c r="AG128" i="1"/>
  <c r="AG132" i="1"/>
  <c r="AG136" i="1"/>
  <c r="AG142" i="1"/>
  <c r="AG146" i="1"/>
  <c r="AG150" i="1"/>
  <c r="AG155" i="1"/>
  <c r="AG195" i="1"/>
  <c r="AG199" i="1"/>
  <c r="AG203" i="1"/>
  <c r="AG207" i="1"/>
  <c r="AG213" i="1"/>
  <c r="AG217" i="1"/>
  <c r="AG174" i="1"/>
  <c r="AG19" i="1"/>
  <c r="AG36" i="1"/>
  <c r="AG52" i="1"/>
  <c r="AG67" i="1"/>
  <c r="AG83" i="1"/>
  <c r="AG165" i="1"/>
  <c r="AG188" i="1"/>
  <c r="AG108" i="1"/>
  <c r="AG115" i="1"/>
  <c r="AG127" i="1"/>
  <c r="AG135" i="1"/>
  <c r="AG145" i="1"/>
  <c r="AG153" i="1"/>
  <c r="AG198" i="1"/>
  <c r="AG206" i="1"/>
  <c r="AG216" i="1"/>
  <c r="AG189" i="1"/>
  <c r="AG27" i="1"/>
  <c r="AG44" i="1"/>
  <c r="AG59" i="1"/>
  <c r="AG75" i="1"/>
  <c r="AG91" i="1"/>
  <c r="AG172" i="1"/>
  <c r="AG102" i="1"/>
  <c r="AG96" i="1"/>
  <c r="AG123" i="1"/>
  <c r="AG131" i="1"/>
  <c r="AG141" i="1"/>
  <c r="AG149" i="1"/>
  <c r="AG194" i="1"/>
  <c r="AG202" i="1"/>
  <c r="AG212" i="1"/>
  <c r="AG220" i="1"/>
  <c r="AG23" i="1"/>
  <c r="AG40" i="1"/>
  <c r="AG56" i="1"/>
  <c r="AG71" i="1"/>
  <c r="AG87" i="1"/>
  <c r="AG168" i="1"/>
  <c r="AG98" i="1"/>
  <c r="AG112" i="1"/>
  <c r="AG121" i="1"/>
  <c r="AG129" i="1"/>
  <c r="AG137" i="1"/>
  <c r="AG147" i="1"/>
  <c r="AG156" i="1"/>
  <c r="AG200" i="1"/>
  <c r="AG210" i="1"/>
  <c r="AG218" i="1"/>
  <c r="AG125" i="1"/>
  <c r="AG143" i="1"/>
  <c r="AG196" i="1"/>
  <c r="AG214" i="1"/>
  <c r="AG15" i="1"/>
  <c r="AG31" i="1"/>
  <c r="AG48" i="1"/>
  <c r="AG63" i="1"/>
  <c r="AG79" i="1"/>
  <c r="AG161" i="1"/>
  <c r="AG178" i="1"/>
  <c r="AG104" i="1"/>
  <c r="AG187" i="1"/>
  <c r="AG133" i="1"/>
  <c r="AG151" i="1"/>
  <c r="AG204" i="1"/>
  <c r="AG182" i="1"/>
  <c r="W32" i="3"/>
  <c r="W15" i="3"/>
  <c r="W14" i="3"/>
  <c r="W8" i="3"/>
  <c r="W19" i="3"/>
  <c r="W27" i="3"/>
  <c r="W31" i="3"/>
  <c r="W20" i="3"/>
  <c r="W29" i="3"/>
  <c r="W12" i="3"/>
  <c r="W22" i="3"/>
  <c r="W23" i="3"/>
  <c r="W24" i="3"/>
  <c r="W30" i="3"/>
  <c r="W11" i="3"/>
  <c r="W18" i="3"/>
  <c r="W13" i="3"/>
  <c r="W7" i="3"/>
  <c r="W21" i="3"/>
  <c r="W16" i="3"/>
  <c r="W9" i="3"/>
  <c r="W26" i="3"/>
  <c r="W10" i="3"/>
  <c r="W17" i="3"/>
  <c r="W25" i="3"/>
  <c r="AA202" i="1" l="1"/>
  <c r="AA167" i="1"/>
  <c r="AA163" i="1"/>
  <c r="X162" i="1"/>
  <c r="AA93" i="1"/>
  <c r="AA89" i="1"/>
  <c r="AA85" i="1"/>
  <c r="AA81" i="1"/>
  <c r="AA75" i="1"/>
  <c r="X74" i="1"/>
  <c r="AA73" i="1"/>
  <c r="AA71" i="1"/>
  <c r="AA66" i="1"/>
  <c r="AA53" i="1"/>
  <c r="X139" i="1"/>
  <c r="X82" i="1"/>
  <c r="AA78" i="1"/>
  <c r="AA219" i="1"/>
  <c r="X206" i="1"/>
  <c r="AA157" i="1"/>
  <c r="AA69" i="1"/>
  <c r="AA65" i="1"/>
  <c r="AA59" i="1"/>
  <c r="X45" i="1"/>
  <c r="X38" i="1"/>
  <c r="X37" i="1"/>
  <c r="X160" i="1"/>
  <c r="R9" i="3"/>
  <c r="R32" i="3"/>
  <c r="AI154" i="1"/>
  <c r="U154" i="1"/>
  <c r="S154" i="1" s="1"/>
  <c r="W154" i="1"/>
  <c r="R8" i="3"/>
  <c r="U139" i="1"/>
  <c r="S139" i="1" s="1"/>
  <c r="AI139" i="1"/>
  <c r="W139" i="1"/>
  <c r="AI138" i="1"/>
  <c r="U138" i="1"/>
  <c r="S138" i="1" s="1"/>
  <c r="W138" i="1"/>
  <c r="X138" i="1"/>
  <c r="U117" i="1"/>
  <c r="S117" i="1" s="1"/>
  <c r="AI117" i="1"/>
  <c r="W117" i="1"/>
  <c r="X117" i="1"/>
  <c r="AI116" i="1"/>
  <c r="U116" i="1"/>
  <c r="S116" i="1" s="1"/>
  <c r="W116" i="1"/>
  <c r="X116" i="1"/>
  <c r="AD27" i="3"/>
  <c r="X210" i="1"/>
  <c r="AA210" i="1"/>
  <c r="X180" i="1"/>
  <c r="X50" i="1"/>
  <c r="X46" i="1"/>
  <c r="AA40" i="1"/>
  <c r="X212" i="1"/>
  <c r="AA156" i="1"/>
  <c r="W156" i="1" s="1"/>
  <c r="X55" i="1"/>
  <c r="AA201" i="1"/>
  <c r="W201" i="1" s="1"/>
  <c r="X200" i="1"/>
  <c r="X191" i="1"/>
  <c r="X184" i="1"/>
  <c r="AD19" i="3"/>
  <c r="AA218" i="1"/>
  <c r="X217" i="1"/>
  <c r="X211" i="1"/>
  <c r="S8" i="3"/>
  <c r="S32" i="3"/>
  <c r="AA220" i="1"/>
  <c r="AA205" i="1"/>
  <c r="X203" i="1"/>
  <c r="X198" i="1"/>
  <c r="X197" i="1"/>
  <c r="X149" i="1"/>
  <c r="X146" i="1"/>
  <c r="X189" i="1"/>
  <c r="X186" i="1"/>
  <c r="X182" i="1"/>
  <c r="AA82" i="1"/>
  <c r="W82" i="1" s="1"/>
  <c r="AA67" i="1"/>
  <c r="W67" i="1" s="1"/>
  <c r="X66" i="1"/>
  <c r="AA63" i="1"/>
  <c r="AA62" i="1"/>
  <c r="AA50" i="1"/>
  <c r="W50" i="1" s="1"/>
  <c r="AA46" i="1"/>
  <c r="AA43" i="1"/>
  <c r="AA42" i="1"/>
  <c r="AI35" i="1"/>
  <c r="U35" i="1"/>
  <c r="S35" i="1" s="1"/>
  <c r="W35" i="1"/>
  <c r="X35" i="1"/>
  <c r="T23" i="3"/>
  <c r="T10" i="3"/>
  <c r="AD16" i="3"/>
  <c r="S31" i="3"/>
  <c r="AA217" i="1"/>
  <c r="W217" i="1" s="1"/>
  <c r="X216" i="1"/>
  <c r="X207" i="1"/>
  <c r="AA200" i="1"/>
  <c r="W200" i="1" s="1"/>
  <c r="AA199" i="1"/>
  <c r="W199" i="1" s="1"/>
  <c r="X196" i="1"/>
  <c r="X157" i="1"/>
  <c r="AA150" i="1"/>
  <c r="W150" i="1" s="1"/>
  <c r="AA149" i="1"/>
  <c r="W149" i="1" s="1"/>
  <c r="AA146" i="1"/>
  <c r="X144" i="1"/>
  <c r="X111" i="1"/>
  <c r="X107" i="1"/>
  <c r="X209" i="1"/>
  <c r="X101" i="1"/>
  <c r="X97" i="1"/>
  <c r="AA191" i="1"/>
  <c r="T191" i="1"/>
  <c r="AA189" i="1"/>
  <c r="T189" i="1"/>
  <c r="U189" i="1" s="1"/>
  <c r="S189" i="1" s="1"/>
  <c r="AA96" i="1"/>
  <c r="W96" i="1" s="1"/>
  <c r="T96" i="1"/>
  <c r="T186" i="1"/>
  <c r="T184" i="1"/>
  <c r="U184" i="1" s="1"/>
  <c r="S184" i="1" s="1"/>
  <c r="T182" i="1"/>
  <c r="U182" i="1" s="1"/>
  <c r="S182" i="1" s="1"/>
  <c r="T180" i="1"/>
  <c r="AA170" i="1"/>
  <c r="AA94" i="1"/>
  <c r="AA164" i="1"/>
  <c r="W164" i="1" s="1"/>
  <c r="AA159" i="1"/>
  <c r="AA90" i="1"/>
  <c r="AA86" i="1"/>
  <c r="AA77" i="1"/>
  <c r="W77" i="1" s="1"/>
  <c r="AA76" i="1"/>
  <c r="AA61" i="1"/>
  <c r="AA60" i="1"/>
  <c r="AA39" i="1"/>
  <c r="W39" i="1" s="1"/>
  <c r="AA32" i="1"/>
  <c r="AA28" i="1"/>
  <c r="AA24" i="1"/>
  <c r="AA20" i="1"/>
  <c r="AA16" i="1"/>
  <c r="X78" i="1"/>
  <c r="X62" i="1"/>
  <c r="AA41" i="1"/>
  <c r="AA33" i="1"/>
  <c r="AA29" i="1"/>
  <c r="AA25" i="1"/>
  <c r="AA21" i="1"/>
  <c r="W21" i="1" s="1"/>
  <c r="AA17" i="1"/>
  <c r="X219" i="1"/>
  <c r="AA214" i="1"/>
  <c r="W214" i="1" s="1"/>
  <c r="AA213" i="1"/>
  <c r="W213" i="1" s="1"/>
  <c r="AA207" i="1"/>
  <c r="AA206" i="1"/>
  <c r="AA203" i="1"/>
  <c r="W203" i="1" s="1"/>
  <c r="X202" i="1"/>
  <c r="AA155" i="1"/>
  <c r="X153" i="1"/>
  <c r="X150" i="1"/>
  <c r="AA143" i="1"/>
  <c r="W143" i="1" s="1"/>
  <c r="AA142" i="1"/>
  <c r="X109" i="1"/>
  <c r="X105" i="1"/>
  <c r="X103" i="1"/>
  <c r="X99" i="1"/>
  <c r="X192" i="1"/>
  <c r="AA185" i="1"/>
  <c r="AA183" i="1"/>
  <c r="W183" i="1" s="1"/>
  <c r="AA181" i="1"/>
  <c r="AA179" i="1"/>
  <c r="AA175" i="1"/>
  <c r="W175" i="1" s="1"/>
  <c r="AA174" i="1"/>
  <c r="W174" i="1" s="1"/>
  <c r="AA169" i="1"/>
  <c r="AA166" i="1"/>
  <c r="AA162" i="1"/>
  <c r="AA92" i="1"/>
  <c r="W92" i="1" s="1"/>
  <c r="AA88" i="1"/>
  <c r="AA84" i="1"/>
  <c r="AA68" i="1"/>
  <c r="X42" i="1"/>
  <c r="AA70" i="1"/>
  <c r="X70" i="1"/>
  <c r="AA55" i="1"/>
  <c r="W55" i="1" s="1"/>
  <c r="AA54" i="1"/>
  <c r="W54" i="1" s="1"/>
  <c r="X53" i="1"/>
  <c r="AA52" i="1"/>
  <c r="AA51" i="1"/>
  <c r="X49" i="1"/>
  <c r="AA48" i="1"/>
  <c r="AA47" i="1"/>
  <c r="AA44" i="1"/>
  <c r="AA38" i="1"/>
  <c r="W38" i="1" s="1"/>
  <c r="AA36" i="1"/>
  <c r="AA31" i="1"/>
  <c r="AA27" i="1"/>
  <c r="AA23" i="1"/>
  <c r="W23" i="1" s="1"/>
  <c r="AA19" i="1"/>
  <c r="AA15" i="1"/>
  <c r="T219" i="1"/>
  <c r="U219" i="1" s="1"/>
  <c r="S219" i="1" s="1"/>
  <c r="T217" i="1"/>
  <c r="U217" i="1" s="1"/>
  <c r="S217" i="1" s="1"/>
  <c r="T203" i="1"/>
  <c r="T157" i="1"/>
  <c r="T144" i="1"/>
  <c r="T155" i="1"/>
  <c r="T146" i="1"/>
  <c r="X215" i="1"/>
  <c r="X213" i="1"/>
  <c r="AA212" i="1"/>
  <c r="W212" i="1" s="1"/>
  <c r="X201" i="1"/>
  <c r="X199" i="1"/>
  <c r="AA198" i="1"/>
  <c r="X152" i="1"/>
  <c r="AA151" i="1"/>
  <c r="AA141" i="1"/>
  <c r="AA140" i="1"/>
  <c r="AA137" i="1"/>
  <c r="AA136" i="1"/>
  <c r="AA135" i="1"/>
  <c r="W135" i="1" s="1"/>
  <c r="AA134" i="1"/>
  <c r="W134" i="1" s="1"/>
  <c r="AA133" i="1"/>
  <c r="AA132" i="1"/>
  <c r="AA131" i="1"/>
  <c r="W131" i="1" s="1"/>
  <c r="AA130" i="1"/>
  <c r="W130" i="1" s="1"/>
  <c r="AA129" i="1"/>
  <c r="AA128" i="1"/>
  <c r="AA127" i="1"/>
  <c r="W127" i="1" s="1"/>
  <c r="X220" i="1"/>
  <c r="X190" i="1"/>
  <c r="T190" i="1"/>
  <c r="T188" i="1"/>
  <c r="X188" i="1"/>
  <c r="X187" i="1"/>
  <c r="T187" i="1"/>
  <c r="T185" i="1"/>
  <c r="U185" i="1" s="1"/>
  <c r="S185" i="1" s="1"/>
  <c r="X185" i="1"/>
  <c r="X183" i="1"/>
  <c r="T183" i="1"/>
  <c r="T181" i="1"/>
  <c r="X181" i="1"/>
  <c r="X218" i="1"/>
  <c r="X205" i="1"/>
  <c r="AA204" i="1"/>
  <c r="X195" i="1"/>
  <c r="AA194" i="1"/>
  <c r="X148" i="1"/>
  <c r="AA147" i="1"/>
  <c r="W147" i="1" s="1"/>
  <c r="X145" i="1"/>
  <c r="AA126" i="1"/>
  <c r="AA125" i="1"/>
  <c r="AA124" i="1"/>
  <c r="W124" i="1" s="1"/>
  <c r="AA123" i="1"/>
  <c r="AA122" i="1"/>
  <c r="AA121" i="1"/>
  <c r="AA120" i="1"/>
  <c r="W120" i="1" s="1"/>
  <c r="AA119" i="1"/>
  <c r="AA118" i="1"/>
  <c r="AA115" i="1"/>
  <c r="AA114" i="1"/>
  <c r="W114" i="1" s="1"/>
  <c r="AA113" i="1"/>
  <c r="X112" i="1"/>
  <c r="X108" i="1"/>
  <c r="X104" i="1"/>
  <c r="X102" i="1"/>
  <c r="X98" i="1"/>
  <c r="AA184" i="1"/>
  <c r="W184" i="1" s="1"/>
  <c r="AA180" i="1"/>
  <c r="W180" i="1" s="1"/>
  <c r="AA178" i="1"/>
  <c r="AA95" i="1"/>
  <c r="T82" i="1"/>
  <c r="T74" i="1"/>
  <c r="U74" i="1" s="1"/>
  <c r="S74" i="1" s="1"/>
  <c r="T66" i="1"/>
  <c r="T58" i="1"/>
  <c r="AA56" i="1"/>
  <c r="T53" i="1"/>
  <c r="X51" i="1"/>
  <c r="T49" i="1"/>
  <c r="X47" i="1"/>
  <c r="T45" i="1"/>
  <c r="X52" i="1"/>
  <c r="X48" i="1"/>
  <c r="X44" i="1"/>
  <c r="AA14" i="1"/>
  <c r="W14" i="1" s="1"/>
  <c r="X110" i="1"/>
  <c r="X106" i="1"/>
  <c r="X208" i="1"/>
  <c r="X100" i="1"/>
  <c r="X193" i="1"/>
  <c r="AA186" i="1"/>
  <c r="AA182" i="1"/>
  <c r="AA173" i="1"/>
  <c r="W173" i="1" s="1"/>
  <c r="AA57" i="1"/>
  <c r="AI128" i="1"/>
  <c r="AI124" i="1"/>
  <c r="U186" i="1"/>
  <c r="S186" i="1" s="1"/>
  <c r="AI120" i="1"/>
  <c r="AI109" i="1"/>
  <c r="U220" i="1"/>
  <c r="S220" i="1" s="1"/>
  <c r="AI220" i="1"/>
  <c r="AI219" i="1"/>
  <c r="AI218" i="1"/>
  <c r="AI217" i="1"/>
  <c r="AI216" i="1"/>
  <c r="U215" i="1"/>
  <c r="S215" i="1" s="1"/>
  <c r="AI215" i="1"/>
  <c r="AI214" i="1"/>
  <c r="U213" i="1"/>
  <c r="S213" i="1" s="1"/>
  <c r="AI213" i="1"/>
  <c r="AI212" i="1"/>
  <c r="U211" i="1"/>
  <c r="S211" i="1" s="1"/>
  <c r="AI211" i="1"/>
  <c r="AI210" i="1"/>
  <c r="U207" i="1"/>
  <c r="S207" i="1" s="1"/>
  <c r="AI209" i="1"/>
  <c r="AI208" i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U199" i="1"/>
  <c r="S199" i="1" s="1"/>
  <c r="AI201" i="1"/>
  <c r="AI200" i="1"/>
  <c r="U197" i="1"/>
  <c r="S197" i="1" s="1"/>
  <c r="AI199" i="1"/>
  <c r="AI198" i="1"/>
  <c r="U195" i="1"/>
  <c r="S195" i="1" s="1"/>
  <c r="AI197" i="1"/>
  <c r="AI196" i="1"/>
  <c r="U157" i="1"/>
  <c r="S157" i="1" s="1"/>
  <c r="AI195" i="1"/>
  <c r="AI194" i="1"/>
  <c r="U155" i="1"/>
  <c r="S155" i="1" s="1"/>
  <c r="AI193" i="1"/>
  <c r="AI192" i="1"/>
  <c r="U152" i="1"/>
  <c r="S152" i="1" s="1"/>
  <c r="AI191" i="1"/>
  <c r="AI190" i="1"/>
  <c r="U150" i="1"/>
  <c r="S150" i="1" s="1"/>
  <c r="AI189" i="1"/>
  <c r="AI188" i="1"/>
  <c r="U148" i="1"/>
  <c r="S148" i="1" s="1"/>
  <c r="AI187" i="1"/>
  <c r="AI186" i="1"/>
  <c r="U146" i="1"/>
  <c r="S146" i="1" s="1"/>
  <c r="AI185" i="1"/>
  <c r="U145" i="1"/>
  <c r="S145" i="1" s="1"/>
  <c r="AI184" i="1"/>
  <c r="U144" i="1"/>
  <c r="S144" i="1" s="1"/>
  <c r="AI183" i="1"/>
  <c r="AI182" i="1"/>
  <c r="U142" i="1"/>
  <c r="S142" i="1" s="1"/>
  <c r="AI181" i="1"/>
  <c r="AI180" i="1"/>
  <c r="AI179" i="1"/>
  <c r="AI178" i="1"/>
  <c r="AI177" i="1"/>
  <c r="AI176" i="1"/>
  <c r="AI175" i="1"/>
  <c r="AI174" i="1"/>
  <c r="AI173" i="1"/>
  <c r="AI172" i="1"/>
  <c r="AI170" i="1"/>
  <c r="AI169" i="1"/>
  <c r="AI168" i="1"/>
  <c r="AI167" i="1"/>
  <c r="AI166" i="1"/>
  <c r="AI165" i="1"/>
  <c r="AI164" i="1"/>
  <c r="AI163" i="1"/>
  <c r="AI162" i="1"/>
  <c r="AI161" i="1"/>
  <c r="AI159" i="1"/>
  <c r="AI157" i="1"/>
  <c r="AI156" i="1"/>
  <c r="AI155" i="1"/>
  <c r="AI153" i="1"/>
  <c r="AI129" i="1"/>
  <c r="U190" i="1"/>
  <c r="S190" i="1" s="1"/>
  <c r="AI125" i="1"/>
  <c r="U187" i="1"/>
  <c r="S187" i="1" s="1"/>
  <c r="AI121" i="1"/>
  <c r="U183" i="1"/>
  <c r="S183" i="1" s="1"/>
  <c r="AI115" i="1"/>
  <c r="AI130" i="1"/>
  <c r="U191" i="1"/>
  <c r="S191" i="1" s="1"/>
  <c r="AI126" i="1"/>
  <c r="U96" i="1"/>
  <c r="S96" i="1" s="1"/>
  <c r="AI122" i="1"/>
  <c r="AI118" i="1"/>
  <c r="U180" i="1"/>
  <c r="S180" i="1" s="1"/>
  <c r="AI113" i="1"/>
  <c r="W95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7" i="1"/>
  <c r="AI136" i="1"/>
  <c r="AI135" i="1"/>
  <c r="AI134" i="1"/>
  <c r="AI133" i="1"/>
  <c r="AI132" i="1"/>
  <c r="AI131" i="1"/>
  <c r="AI127" i="1"/>
  <c r="U188" i="1"/>
  <c r="S188" i="1" s="1"/>
  <c r="AI123" i="1"/>
  <c r="AI119" i="1"/>
  <c r="U181" i="1"/>
  <c r="S181" i="1" s="1"/>
  <c r="AI111" i="1"/>
  <c r="AI114" i="1"/>
  <c r="AI112" i="1"/>
  <c r="AI110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U82" i="1"/>
  <c r="S82" i="1" s="1"/>
  <c r="AI82" i="1"/>
  <c r="AI81" i="1"/>
  <c r="U80" i="1"/>
  <c r="S80" i="1" s="1"/>
  <c r="AI80" i="1"/>
  <c r="AI79" i="1"/>
  <c r="U78" i="1"/>
  <c r="S78" i="1" s="1"/>
  <c r="AI78" i="1"/>
  <c r="AI77" i="1"/>
  <c r="U76" i="1"/>
  <c r="S76" i="1" s="1"/>
  <c r="AI76" i="1"/>
  <c r="AI75" i="1"/>
  <c r="AI74" i="1"/>
  <c r="AI73" i="1"/>
  <c r="U72" i="1"/>
  <c r="S72" i="1" s="1"/>
  <c r="AI72" i="1"/>
  <c r="AI71" i="1"/>
  <c r="W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AI56" i="1"/>
  <c r="U55" i="1"/>
  <c r="S55" i="1" s="1"/>
  <c r="AI55" i="1"/>
  <c r="AI54" i="1"/>
  <c r="U53" i="1"/>
  <c r="S53" i="1" s="1"/>
  <c r="AI53" i="1"/>
  <c r="U52" i="1"/>
  <c r="S52" i="1" s="1"/>
  <c r="AI52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S45" i="1" s="1"/>
  <c r="AI45" i="1"/>
  <c r="U44" i="1"/>
  <c r="S44" i="1" s="1"/>
  <c r="AI44" i="1"/>
  <c r="AI43" i="1"/>
  <c r="W43" i="1"/>
  <c r="U42" i="1"/>
  <c r="S42" i="1" s="1"/>
  <c r="AI42" i="1"/>
  <c r="AI41" i="1"/>
  <c r="U40" i="1"/>
  <c r="S40" i="1" s="1"/>
  <c r="AI40" i="1"/>
  <c r="AI39" i="1"/>
  <c r="AI38" i="1"/>
  <c r="AI37" i="1"/>
  <c r="AI36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96" i="1"/>
  <c r="W220" i="1"/>
  <c r="W211" i="1"/>
  <c r="W207" i="1"/>
  <c r="W198" i="1"/>
  <c r="W197" i="1"/>
  <c r="W151" i="1"/>
  <c r="W210" i="1"/>
  <c r="W205" i="1"/>
  <c r="W195" i="1"/>
  <c r="W148" i="1"/>
  <c r="W218" i="1"/>
  <c r="W216" i="1"/>
  <c r="W215" i="1"/>
  <c r="W202" i="1"/>
  <c r="W153" i="1"/>
  <c r="W152" i="1"/>
  <c r="W142" i="1"/>
  <c r="W219" i="1"/>
  <c r="W204" i="1"/>
  <c r="W194" i="1"/>
  <c r="W157" i="1"/>
  <c r="W155" i="1"/>
  <c r="W146" i="1"/>
  <c r="W144" i="1"/>
  <c r="W206" i="1"/>
  <c r="T216" i="1"/>
  <c r="U216" i="1" s="1"/>
  <c r="S216" i="1" s="1"/>
  <c r="T206" i="1"/>
  <c r="U206" i="1" s="1"/>
  <c r="S206" i="1" s="1"/>
  <c r="T198" i="1"/>
  <c r="U198" i="1" s="1"/>
  <c r="S198" i="1" s="1"/>
  <c r="T153" i="1"/>
  <c r="U153" i="1" s="1"/>
  <c r="S153" i="1" s="1"/>
  <c r="T149" i="1"/>
  <c r="U149" i="1" s="1"/>
  <c r="S149" i="1" s="1"/>
  <c r="T140" i="1"/>
  <c r="U140" i="1" s="1"/>
  <c r="S140" i="1" s="1"/>
  <c r="T136" i="1"/>
  <c r="U136" i="1" s="1"/>
  <c r="S136" i="1" s="1"/>
  <c r="X136" i="1"/>
  <c r="T214" i="1"/>
  <c r="U214" i="1" s="1"/>
  <c r="S214" i="1" s="1"/>
  <c r="T204" i="1"/>
  <c r="U204" i="1" s="1"/>
  <c r="S204" i="1" s="1"/>
  <c r="T196" i="1"/>
  <c r="U196" i="1" s="1"/>
  <c r="S196" i="1" s="1"/>
  <c r="T151" i="1"/>
  <c r="U151" i="1" s="1"/>
  <c r="S151" i="1" s="1"/>
  <c r="T143" i="1"/>
  <c r="U143" i="1" s="1"/>
  <c r="S143" i="1" s="1"/>
  <c r="W141" i="1"/>
  <c r="W137" i="1"/>
  <c r="T212" i="1"/>
  <c r="U212" i="1" s="1"/>
  <c r="S212" i="1" s="1"/>
  <c r="T202" i="1"/>
  <c r="U202" i="1" s="1"/>
  <c r="S202" i="1" s="1"/>
  <c r="T194" i="1"/>
  <c r="U194" i="1" s="1"/>
  <c r="S194" i="1" s="1"/>
  <c r="T141" i="1"/>
  <c r="U141" i="1" s="1"/>
  <c r="S141" i="1" s="1"/>
  <c r="T137" i="1"/>
  <c r="U137" i="1" s="1"/>
  <c r="S137" i="1" s="1"/>
  <c r="X137" i="1"/>
  <c r="T218" i="1"/>
  <c r="U218" i="1" s="1"/>
  <c r="S218" i="1" s="1"/>
  <c r="T210" i="1"/>
  <c r="U210" i="1" s="1"/>
  <c r="S210" i="1" s="1"/>
  <c r="T200" i="1"/>
  <c r="U200" i="1" s="1"/>
  <c r="S200" i="1" s="1"/>
  <c r="T156" i="1"/>
  <c r="U156" i="1" s="1"/>
  <c r="S156" i="1" s="1"/>
  <c r="T147" i="1"/>
  <c r="U147" i="1" s="1"/>
  <c r="S147" i="1" s="1"/>
  <c r="W145" i="1"/>
  <c r="W140" i="1"/>
  <c r="W136" i="1"/>
  <c r="W133" i="1"/>
  <c r="W132" i="1"/>
  <c r="W129" i="1"/>
  <c r="W128" i="1"/>
  <c r="W126" i="1"/>
  <c r="W125" i="1"/>
  <c r="W123" i="1"/>
  <c r="W122" i="1"/>
  <c r="W121" i="1"/>
  <c r="W119" i="1"/>
  <c r="W118" i="1"/>
  <c r="W115" i="1"/>
  <c r="W113" i="1"/>
  <c r="W178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T120" i="1"/>
  <c r="U120" i="1" s="1"/>
  <c r="S120" i="1" s="1"/>
  <c r="T119" i="1"/>
  <c r="U119" i="1" s="1"/>
  <c r="S119" i="1" s="1"/>
  <c r="T118" i="1"/>
  <c r="U118" i="1" s="1"/>
  <c r="S118" i="1" s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W179" i="1"/>
  <c r="W79" i="1"/>
  <c r="W63" i="1"/>
  <c r="W177" i="1"/>
  <c r="W176" i="1"/>
  <c r="W191" i="1"/>
  <c r="T177" i="1"/>
  <c r="U177" i="1" s="1"/>
  <c r="S177" i="1" s="1"/>
  <c r="X177" i="1"/>
  <c r="W172" i="1"/>
  <c r="T170" i="1"/>
  <c r="U170" i="1" s="1"/>
  <c r="S170" i="1" s="1"/>
  <c r="T169" i="1"/>
  <c r="U169" i="1" s="1"/>
  <c r="S169" i="1" s="1"/>
  <c r="X169" i="1"/>
  <c r="T94" i="1"/>
  <c r="U94" i="1" s="1"/>
  <c r="S94" i="1" s="1"/>
  <c r="X94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T159" i="1"/>
  <c r="U159" i="1" s="1"/>
  <c r="S159" i="1" s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W81" i="1"/>
  <c r="W75" i="1"/>
  <c r="W72" i="1"/>
  <c r="X67" i="1"/>
  <c r="T67" i="1"/>
  <c r="U67" i="1" s="1"/>
  <c r="S67" i="1" s="1"/>
  <c r="X68" i="1"/>
  <c r="T39" i="1"/>
  <c r="U39" i="1" s="1"/>
  <c r="S39" i="1" s="1"/>
  <c r="X39" i="1"/>
  <c r="X40" i="1"/>
  <c r="W36" i="1"/>
  <c r="AA112" i="1"/>
  <c r="W112" i="1" s="1"/>
  <c r="AA111" i="1"/>
  <c r="W111" i="1" s="1"/>
  <c r="AA110" i="1"/>
  <c r="W110" i="1" s="1"/>
  <c r="AA109" i="1"/>
  <c r="W109" i="1" s="1"/>
  <c r="AA108" i="1"/>
  <c r="W108" i="1" s="1"/>
  <c r="AA107" i="1"/>
  <c r="W107" i="1" s="1"/>
  <c r="AA106" i="1"/>
  <c r="W106" i="1" s="1"/>
  <c r="AA105" i="1"/>
  <c r="W105" i="1" s="1"/>
  <c r="AA104" i="1"/>
  <c r="W104" i="1" s="1"/>
  <c r="AA209" i="1"/>
  <c r="W209" i="1" s="1"/>
  <c r="AA208" i="1"/>
  <c r="W208" i="1" s="1"/>
  <c r="AA103" i="1"/>
  <c r="W103" i="1" s="1"/>
  <c r="AA102" i="1"/>
  <c r="W102" i="1" s="1"/>
  <c r="AA101" i="1"/>
  <c r="W101" i="1" s="1"/>
  <c r="AA100" i="1"/>
  <c r="W100" i="1" s="1"/>
  <c r="AA99" i="1"/>
  <c r="W99" i="1" s="1"/>
  <c r="AA98" i="1"/>
  <c r="W98" i="1" s="1"/>
  <c r="AA97" i="1"/>
  <c r="W97" i="1" s="1"/>
  <c r="AA193" i="1"/>
  <c r="W193" i="1" s="1"/>
  <c r="AA192" i="1"/>
  <c r="W192" i="1" s="1"/>
  <c r="AA188" i="1"/>
  <c r="W188" i="1" s="1"/>
  <c r="T175" i="1"/>
  <c r="U175" i="1" s="1"/>
  <c r="S175" i="1" s="1"/>
  <c r="X175" i="1"/>
  <c r="T172" i="1"/>
  <c r="U172" i="1" s="1"/>
  <c r="S172" i="1" s="1"/>
  <c r="W168" i="1"/>
  <c r="W167" i="1"/>
  <c r="W165" i="1"/>
  <c r="W163" i="1"/>
  <c r="W161" i="1"/>
  <c r="W93" i="1"/>
  <c r="W91" i="1"/>
  <c r="W89" i="1"/>
  <c r="W87" i="1"/>
  <c r="W85" i="1"/>
  <c r="W83" i="1"/>
  <c r="W80" i="1"/>
  <c r="X75" i="1"/>
  <c r="T75" i="1"/>
  <c r="U75" i="1" s="1"/>
  <c r="S75" i="1" s="1"/>
  <c r="X76" i="1"/>
  <c r="W61" i="1"/>
  <c r="W57" i="1"/>
  <c r="T112" i="1"/>
  <c r="U112" i="1" s="1"/>
  <c r="S112" i="1" s="1"/>
  <c r="T111" i="1"/>
  <c r="U111" i="1" s="1"/>
  <c r="S111" i="1" s="1"/>
  <c r="T110" i="1"/>
  <c r="U110" i="1" s="1"/>
  <c r="S110" i="1" s="1"/>
  <c r="T109" i="1"/>
  <c r="U109" i="1" s="1"/>
  <c r="S109" i="1" s="1"/>
  <c r="T108" i="1"/>
  <c r="U108" i="1" s="1"/>
  <c r="S108" i="1" s="1"/>
  <c r="T107" i="1"/>
  <c r="U107" i="1" s="1"/>
  <c r="S107" i="1" s="1"/>
  <c r="T106" i="1"/>
  <c r="U106" i="1" s="1"/>
  <c r="S106" i="1" s="1"/>
  <c r="T105" i="1"/>
  <c r="U105" i="1" s="1"/>
  <c r="S105" i="1" s="1"/>
  <c r="T104" i="1"/>
  <c r="U104" i="1" s="1"/>
  <c r="S104" i="1" s="1"/>
  <c r="T209" i="1"/>
  <c r="U209" i="1" s="1"/>
  <c r="S209" i="1" s="1"/>
  <c r="T208" i="1"/>
  <c r="U208" i="1" s="1"/>
  <c r="S208" i="1" s="1"/>
  <c r="T103" i="1"/>
  <c r="U103" i="1" s="1"/>
  <c r="S103" i="1" s="1"/>
  <c r="T102" i="1"/>
  <c r="U102" i="1" s="1"/>
  <c r="S102" i="1" s="1"/>
  <c r="T101" i="1"/>
  <c r="U101" i="1" s="1"/>
  <c r="S101" i="1" s="1"/>
  <c r="T100" i="1"/>
  <c r="U100" i="1" s="1"/>
  <c r="S100" i="1" s="1"/>
  <c r="T99" i="1"/>
  <c r="U99" i="1" s="1"/>
  <c r="S99" i="1" s="1"/>
  <c r="T98" i="1"/>
  <c r="U98" i="1" s="1"/>
  <c r="S98" i="1" s="1"/>
  <c r="T97" i="1"/>
  <c r="U97" i="1" s="1"/>
  <c r="S97" i="1" s="1"/>
  <c r="T193" i="1"/>
  <c r="U193" i="1" s="1"/>
  <c r="S193" i="1" s="1"/>
  <c r="T192" i="1"/>
  <c r="U192" i="1" s="1"/>
  <c r="S192" i="1" s="1"/>
  <c r="W189" i="1"/>
  <c r="W185" i="1"/>
  <c r="W181" i="1"/>
  <c r="T173" i="1"/>
  <c r="U173" i="1" s="1"/>
  <c r="S173" i="1" s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X83" i="1"/>
  <c r="T83" i="1"/>
  <c r="U83" i="1" s="1"/>
  <c r="S83" i="1" s="1"/>
  <c r="W69" i="1"/>
  <c r="W65" i="1"/>
  <c r="AA190" i="1"/>
  <c r="W190" i="1" s="1"/>
  <c r="AA187" i="1"/>
  <c r="W187" i="1" s="1"/>
  <c r="W186" i="1"/>
  <c r="W182" i="1"/>
  <c r="T178" i="1"/>
  <c r="U178" i="1" s="1"/>
  <c r="S178" i="1" s="1"/>
  <c r="X178" i="1"/>
  <c r="W170" i="1"/>
  <c r="W169" i="1"/>
  <c r="W94" i="1"/>
  <c r="W166" i="1"/>
  <c r="W162" i="1"/>
  <c r="W159" i="1"/>
  <c r="W90" i="1"/>
  <c r="W88" i="1"/>
  <c r="W86" i="1"/>
  <c r="W84" i="1"/>
  <c r="W73" i="1"/>
  <c r="W64" i="1"/>
  <c r="T59" i="1"/>
  <c r="U59" i="1" s="1"/>
  <c r="S59" i="1" s="1"/>
  <c r="X60" i="1"/>
  <c r="X77" i="1"/>
  <c r="T77" i="1"/>
  <c r="U77" i="1" s="1"/>
  <c r="S77" i="1" s="1"/>
  <c r="W74" i="1"/>
  <c r="X69" i="1"/>
  <c r="T69" i="1"/>
  <c r="U69" i="1" s="1"/>
  <c r="S69" i="1" s="1"/>
  <c r="W66" i="1"/>
  <c r="X61" i="1"/>
  <c r="T61" i="1"/>
  <c r="U61" i="1" s="1"/>
  <c r="S61" i="1" s="1"/>
  <c r="T57" i="1"/>
  <c r="U57" i="1" s="1"/>
  <c r="S57" i="1" s="1"/>
  <c r="W56" i="1"/>
  <c r="T179" i="1"/>
  <c r="U179" i="1" s="1"/>
  <c r="S179" i="1" s="1"/>
  <c r="X179" i="1"/>
  <c r="T95" i="1"/>
  <c r="U95" i="1" s="1"/>
  <c r="S95" i="1" s="1"/>
  <c r="X95" i="1"/>
  <c r="T176" i="1"/>
  <c r="U176" i="1" s="1"/>
  <c r="S176" i="1" s="1"/>
  <c r="X176" i="1"/>
  <c r="T174" i="1"/>
  <c r="U174" i="1" s="1"/>
  <c r="S174" i="1" s="1"/>
  <c r="X79" i="1"/>
  <c r="T79" i="1"/>
  <c r="U79" i="1" s="1"/>
  <c r="S79" i="1" s="1"/>
  <c r="W76" i="1"/>
  <c r="X71" i="1"/>
  <c r="T71" i="1"/>
  <c r="U71" i="1" s="1"/>
  <c r="S71" i="1" s="1"/>
  <c r="W68" i="1"/>
  <c r="X63" i="1"/>
  <c r="T63" i="1"/>
  <c r="U63" i="1" s="1"/>
  <c r="S63" i="1" s="1"/>
  <c r="W60" i="1"/>
  <c r="T56" i="1"/>
  <c r="U56" i="1" s="1"/>
  <c r="S56" i="1" s="1"/>
  <c r="W53" i="1"/>
  <c r="W51" i="1"/>
  <c r="W49" i="1"/>
  <c r="W47" i="1"/>
  <c r="W45" i="1"/>
  <c r="W41" i="1"/>
  <c r="X81" i="1"/>
  <c r="T81" i="1"/>
  <c r="U81" i="1" s="1"/>
  <c r="S81" i="1" s="1"/>
  <c r="X80" i="1"/>
  <c r="W78" i="1"/>
  <c r="X73" i="1"/>
  <c r="T73" i="1"/>
  <c r="U73" i="1" s="1"/>
  <c r="S73" i="1" s="1"/>
  <c r="X72" i="1"/>
  <c r="W70" i="1"/>
  <c r="X65" i="1"/>
  <c r="T65" i="1"/>
  <c r="U65" i="1" s="1"/>
  <c r="S65" i="1" s="1"/>
  <c r="X64" i="1"/>
  <c r="W62" i="1"/>
  <c r="W59" i="1"/>
  <c r="W58" i="1"/>
  <c r="X54" i="1"/>
  <c r="T54" i="1"/>
  <c r="U54" i="1" s="1"/>
  <c r="S54" i="1" s="1"/>
  <c r="W52" i="1"/>
  <c r="W48" i="1"/>
  <c r="W46" i="1"/>
  <c r="W44" i="1"/>
  <c r="X41" i="1"/>
  <c r="T41" i="1"/>
  <c r="U41" i="1" s="1"/>
  <c r="S41" i="1" s="1"/>
  <c r="W37" i="1"/>
  <c r="T36" i="1"/>
  <c r="U36" i="1" s="1"/>
  <c r="S36" i="1" s="1"/>
  <c r="X43" i="1"/>
  <c r="T43" i="1"/>
  <c r="U43" i="1" s="1"/>
  <c r="S43" i="1" s="1"/>
  <c r="W40" i="1"/>
  <c r="T37" i="1"/>
  <c r="U37" i="1" s="1"/>
  <c r="S37" i="1" s="1"/>
  <c r="W42" i="1"/>
  <c r="T38" i="1"/>
  <c r="U38" i="1" s="1"/>
  <c r="S38" i="1" s="1"/>
  <c r="W34" i="1"/>
  <c r="W33" i="1"/>
  <c r="W32" i="1"/>
  <c r="W31" i="1"/>
  <c r="W30" i="1"/>
  <c r="W29" i="1"/>
  <c r="W28" i="1"/>
  <c r="W27" i="1"/>
  <c r="W26" i="1"/>
  <c r="W25" i="1"/>
  <c r="W24" i="1"/>
  <c r="W22" i="1"/>
  <c r="W20" i="1"/>
  <c r="W19" i="1"/>
  <c r="W18" i="1"/>
  <c r="W17" i="1"/>
  <c r="W16" i="1"/>
  <c r="W1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5" i="3"/>
  <c r="T19" i="3"/>
  <c r="AC24" i="3"/>
  <c r="AD24" i="3"/>
  <c r="T15" i="3"/>
  <c r="T7" i="3"/>
  <c r="AD15" i="3"/>
  <c r="AD31" i="3"/>
  <c r="AC25" i="3"/>
  <c r="AD12" i="3"/>
  <c r="AE29" i="3"/>
  <c r="AD17" i="3"/>
  <c r="AD13" i="3"/>
  <c r="AC27" i="3"/>
  <c r="AE24" i="3"/>
  <c r="AC9" i="3"/>
  <c r="AD30" i="3"/>
  <c r="AD29" i="3"/>
  <c r="T29" i="3"/>
  <c r="AC18" i="3"/>
  <c r="AD26" i="3"/>
  <c r="T21" i="3"/>
  <c r="AC20" i="3"/>
  <c r="AD20" i="3"/>
  <c r="AC30" i="3"/>
  <c r="AE11" i="3"/>
  <c r="AD9" i="3"/>
  <c r="AD22" i="3"/>
  <c r="AE15" i="3"/>
  <c r="AD11" i="3"/>
  <c r="AD8" i="3"/>
  <c r="AC16" i="3"/>
  <c r="AC17" i="3"/>
  <c r="Y25" i="3"/>
  <c r="Y16" i="3"/>
  <c r="Y30" i="3"/>
  <c r="Y27" i="3"/>
  <c r="Y17" i="3"/>
  <c r="Y24" i="3"/>
  <c r="Y21" i="3"/>
  <c r="Y23" i="3"/>
  <c r="Y19" i="3"/>
  <c r="Y10" i="3"/>
  <c r="Y7" i="3"/>
  <c r="Y22" i="3"/>
  <c r="Y8" i="3"/>
  <c r="Y26" i="3"/>
  <c r="Y13" i="3"/>
  <c r="Y12" i="3"/>
  <c r="Y14" i="3"/>
  <c r="Y29" i="3"/>
  <c r="Y15" i="3"/>
  <c r="Y9" i="3"/>
  <c r="Y18" i="3"/>
  <c r="Y20" i="3"/>
  <c r="Y11" i="3"/>
  <c r="Y31" i="3"/>
  <c r="Y32" i="3"/>
  <c r="AE23" i="3"/>
  <c r="T13" i="3"/>
  <c r="AE18" i="3"/>
  <c r="T14" i="3"/>
  <c r="AE14" i="3"/>
  <c r="AE10" i="3"/>
  <c r="AE32" i="3"/>
  <c r="T22" i="3"/>
  <c r="T8" i="3"/>
  <c r="T26" i="3"/>
  <c r="AD32" i="3"/>
  <c r="AE31" i="3"/>
  <c r="T9" i="3"/>
  <c r="AE27" i="3"/>
  <c r="T18" i="3"/>
  <c r="AE25" i="3"/>
  <c r="T20" i="3"/>
  <c r="AD23" i="3"/>
  <c r="AD21" i="3"/>
  <c r="AE20" i="3"/>
  <c r="AD18" i="3"/>
  <c r="AE17" i="3"/>
  <c r="T11" i="3"/>
  <c r="AD14" i="3"/>
  <c r="AE13" i="3"/>
  <c r="T31" i="3"/>
  <c r="AD10" i="3"/>
  <c r="AE9" i="3"/>
  <c r="T32" i="3"/>
  <c r="AE21" i="3"/>
  <c r="T12" i="3"/>
  <c r="AE30" i="3"/>
  <c r="AE26" i="3"/>
  <c r="AE22" i="3"/>
  <c r="AE19" i="3"/>
  <c r="AE16" i="3"/>
  <c r="AE12" i="3"/>
  <c r="AE8" i="3"/>
  <c r="M28" i="3"/>
  <c r="S28" i="3"/>
  <c r="U28" i="3"/>
  <c r="T28" i="3" s="1"/>
  <c r="V28" i="3"/>
  <c r="X28" i="3"/>
  <c r="AD28" i="3" l="1"/>
  <c r="AE28" i="3"/>
  <c r="W28" i="3"/>
  <c r="R28" i="3" l="1"/>
  <c r="AC28" i="3"/>
  <c r="Y2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0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19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6" i="3" s="1"/>
  <c r="G94" i="4"/>
  <c r="G95" i="4"/>
  <c r="G96" i="4"/>
  <c r="G97" i="4"/>
  <c r="G98" i="4"/>
  <c r="G99" i="4"/>
  <c r="G100" i="4"/>
  <c r="G101" i="4"/>
  <c r="G102" i="4"/>
  <c r="G103" i="4"/>
  <c r="N11" i="3" s="1"/>
  <c r="G104" i="4"/>
  <c r="G105" i="4"/>
  <c r="G106" i="4"/>
  <c r="G107" i="4"/>
  <c r="G108" i="4"/>
  <c r="N23" i="3" s="1"/>
  <c r="G109" i="4"/>
  <c r="G110" i="4"/>
  <c r="G111" i="4"/>
  <c r="N14" i="3" s="1"/>
  <c r="G112" i="4"/>
  <c r="G113" i="4"/>
  <c r="G114" i="4"/>
  <c r="G115" i="4"/>
  <c r="G116" i="4"/>
  <c r="G117" i="4"/>
  <c r="N25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2" i="3" s="1"/>
  <c r="G139" i="4"/>
  <c r="G140" i="4"/>
  <c r="G141" i="4"/>
  <c r="G142" i="4"/>
  <c r="N7" i="3" s="1"/>
  <c r="G143" i="4"/>
  <c r="G144" i="4"/>
  <c r="G145" i="4"/>
  <c r="G146" i="4"/>
  <c r="G147" i="4"/>
  <c r="G148" i="4"/>
  <c r="G149" i="4"/>
  <c r="G150" i="4"/>
  <c r="G151" i="4"/>
  <c r="G152" i="4"/>
  <c r="G153" i="4"/>
  <c r="N13" i="3" s="1"/>
  <c r="G154" i="4"/>
  <c r="G155" i="4"/>
  <c r="G156" i="4"/>
  <c r="G157" i="4"/>
  <c r="G158" i="4"/>
  <c r="G159" i="4"/>
  <c r="G160" i="4"/>
  <c r="G161" i="4"/>
  <c r="G162" i="4"/>
  <c r="G163" i="4"/>
  <c r="G164" i="4"/>
  <c r="N15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0" i="3" s="1"/>
  <c r="G183" i="4"/>
  <c r="G184" i="4"/>
  <c r="N24" i="3" s="1"/>
  <c r="G185" i="4"/>
  <c r="G186" i="4"/>
  <c r="G187" i="4"/>
  <c r="G188" i="4"/>
  <c r="G189" i="4"/>
  <c r="G190" i="4"/>
  <c r="G191" i="4"/>
  <c r="G192" i="4"/>
  <c r="N26" i="3" s="1"/>
  <c r="G193" i="4"/>
  <c r="G194" i="4"/>
  <c r="G195" i="4"/>
  <c r="G196" i="4"/>
  <c r="N21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9" i="3" s="1"/>
  <c r="G213" i="4"/>
  <c r="G214" i="4"/>
  <c r="G215" i="4"/>
  <c r="G216" i="4"/>
  <c r="G217" i="4"/>
  <c r="G218" i="4"/>
  <c r="G219" i="4"/>
  <c r="N22" i="3" s="1"/>
  <c r="G220" i="4"/>
  <c r="G221" i="4"/>
  <c r="G222" i="4"/>
  <c r="G223" i="4"/>
  <c r="G2" i="4"/>
  <c r="N31" i="3" l="1"/>
  <c r="N30" i="3"/>
  <c r="N8" i="3"/>
  <c r="N18" i="3"/>
  <c r="N32" i="3"/>
  <c r="N27" i="3"/>
  <c r="N17" i="3"/>
  <c r="N9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<sst xmlns="http://schemas.openxmlformats.org/spreadsheetml/2006/main" count="2744" uniqueCount="1107">
  <si>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</si>
  <si>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</si>
  <si>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</si>
  <si>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</si>
  <si>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</si>
  <si>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</si>
  <si>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</si>
  <si>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</si>
  <si>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</si>
  <si>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</si>
  <si>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</si>
  <si>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</si>
  <si>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</si>
  <si>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</si>
  <si>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</si>
  <si>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</si>
  <si>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</si>
  <si>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</si>
  <si>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</si>
  <si>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</si>
  <si>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</si>
  <si>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</si>
  <si>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</si>
  <si>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</si>
  <si>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</si>
  <si>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</si>
  <si>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</si>
  <si>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</si>
  <si>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</si>
  <si>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</si>
  <si>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</si>
  <si>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</si>
  <si>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</si>
  <si>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</si>
  <si>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</si>
  <si>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</si>
  <si>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</si>
  <si>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</si>
  <si>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</si>
  <si>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</si>
  <si>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</si>
  <si>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</si>
  <si>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</si>
  <si>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</si>
  <si>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</si>
  <si>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</si>
  <si>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</si>
  <si>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</si>
  <si>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</si>
  <si>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</si>
  <si>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</si>
  <si>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</si>
  <si>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</si>
  <si>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</si>
  <si>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</si>
  <si>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</si>
  <si>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</si>
  <si>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</si>
  <si>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</si>
  <si>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</si>
  <si>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</si>
  <si>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</si>
  <si>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</si>
  <si>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</si>
  <si>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</si>
  <si>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</si>
  <si>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</si>
  <si>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</si>
  <si>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</si>
  <si>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</si>
  <si>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</si>
  <si>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</si>
  <si>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</si>
  <si>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</si>
  <si>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</si>
  <si>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</si>
  <si>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</si>
  <si>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</si>
  <si>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</si>
  <si>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</si>
  <si>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</si>
  <si>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</si>
  <si>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</si>
  <si>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</si>
  <si>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</si>
  <si>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</si>
  <si>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</si>
  <si>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</si>
  <si>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</si>
  <si>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</si>
  <si>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</si>
  <si>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</si>
  <si>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</si>
  <si>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</si>
  <si>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</si>
  <si>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</si>
  <si>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</si>
  <si>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</si>
  <si>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</si>
  <si>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</si>
  <si>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</si>
  <si>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</si>
  <si>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</si>
  <si>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</si>
  <si>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</si>
  <si>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</si>
  <si>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</si>
  <si>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</si>
  <si>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</si>
  <si>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</si>
  <si>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</si>
  <si>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</si>
  <si>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</si>
  <si>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</si>
  <si>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</si>
  <si>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</si>
  <si>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</si>
  <si>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</si>
  <si>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</si>
  <si>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</si>
  <si>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</si>
  <si>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</si>
  <si>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</si>
  <si>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</si>
  <si>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</si>
  <si>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</si>
  <si>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</si>
  <si>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</si>
  <si>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</si>
  <si>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</si>
  <si>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</si>
  <si>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</si>
  <si>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</si>
  <si>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</si>
  <si>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</si>
  <si>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</si>
  <si>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</si>
  <si>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</si>
  <si>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</si>
  <si>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</si>
  <si>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</si>
  <si>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</si>
  <si>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</si>
  <si>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</si>
  <si>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</si>
  <si>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</si>
  <si>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</si>
  <si>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</si>
  <si>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</si>
  <si>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</si>
  <si>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</si>
  <si>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</si>
  <si>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</si>
  <si>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</si>
  <si>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</si>
  <si>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</si>
  <si>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</si>
  <si>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</si>
  <si>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</si>
  <si>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</si>
  <si>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</si>
  <si>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</si>
  <si>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</si>
  <si>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</si>
  <si>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</si>
  <si>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</si>
  <si>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</si>
  <si>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</si>
  <si>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</si>
  <si>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</si>
  <si>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</si>
  <si>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</si>
  <si>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</si>
  <si>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</si>
  <si>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</si>
  <si>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</si>
  <si>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</si>
  <si>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</si>
  <si>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</si>
  <si>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</si>
  <si>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</si>
  <si>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</si>
  <si>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</si>
  <si>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</si>
  <si>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</si>
  <si>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</si>
  <si>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</si>
  <si>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</si>
  <si>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</si>
  <si>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</si>
  <si>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</si>
  <si>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</si>
  <si>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</si>
  <si>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</si>
  <si>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</si>
  <si>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</si>
  <si>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</si>
  <si>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</si>
  <si>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</si>
  <si>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</si>
  <si>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</si>
  <si>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</si>
  <si>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</si>
  <si>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</si>
  <si>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</si>
  <si>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</si>
  <si>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</si>
  <si>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</si>
  <si>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</si>
  <si>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</si>
  <si>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</si>
  <si>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</si>
  <si>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</si>
  <si>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</si>
  <si>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</si>
  <si>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</si>
  <si>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</si>
  <si>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</si>
  <si>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</si>
  <si>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</si>
  <si>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</si>
  <si>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</si>
  <si>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</si>
  <si>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</si>
  <si>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</si>
  <si>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</si>
  <si>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</si>
  <si>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</si>
  <si>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</si>
  <si>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</si>
  <si>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</si>
  <si>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</si>
  <si>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</si>
  <si>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</si>
  <si>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</si>
  <si>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</si>
  <si>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</si>
  <si>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</si>
  <si>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</si>
  <si>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</si>
  <si>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</si>
  <si>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</si>
  <si>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</si>
  <si>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</si>
  <si>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</si>
  <si>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</si>
  <si>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</si>
  <si>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</si>
  <si>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</si>
  <si>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</si>
  <si>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</si>
  <si>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</si>
  <si>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</si>
  <si>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</si>
  <si>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</si>
  <si>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</si>
  <si>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</si>
  <si>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</si>
  <si>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</si>
  <si>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</si>
  <si>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</si>
  <si>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</si>
  <si>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</si>
  <si>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</si>
  <si>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</si>
  <si>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</si>
  <si>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</si>
  <si>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</si>
  <si>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</si>
  <si>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</si>
  <si>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</si>
  <si>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</si>
  <si>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</si>
  <si>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</si>
  <si>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</si>
  <si>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</si>
  <si>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</si>
  <si>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</si>
  <si>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</si>
  <si>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</si>
  <si>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</si>
  <si>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</si>
  <si>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</si>
  <si>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</si>
  <si>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</si>
  <si>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</si>
  <si>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</si>
  <si>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</si>
  <si>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</si>
  <si>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</si>
  <si>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</si>
  <si>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</si>
  <si>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</si>
  <si>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</si>
  <si>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</si>
  <si>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</si>
  <si>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</si>
  <si>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</si>
  <si>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</si>
  <si>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</si>
  <si>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</si>
  <si>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</si>
  <si>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</si>
  <si>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</si>
  <si>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</si>
  <si>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</si>
  <si>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</si>
  <si>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</si>
  <si>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</si>
  <si>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</si>
  <si>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</si>
  <si>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</si>
  <si>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</si>
  <si>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</si>
  <si>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</si>
  <si>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</si>
  <si>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</si>
  <si>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</si>
  <si>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</si>
  <si>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</si>
  <si>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</si>
  <si>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</si>
  <si>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</si>
  <si>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</si>
  <si>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</si>
  <si>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</si>
  <si>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</si>
  <si>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</si>
  <si>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</si>
  <si>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</si>
  <si>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</si>
  <si>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</si>
  <si>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</si>
  <si>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</si>
  <si>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</si>
  <si>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</si>
  <si>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</si>
  <si>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</si>
  <si>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</si>
  <si>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</si>
  <si>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</si>
  <si>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</si>
  <si>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</si>
  <si>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</si>
  <si>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</si>
  <si>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</si>
  <si>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</si>
  <si>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</si>
  <si>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</si>
  <si>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</si>
  <si>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</si>
  <si>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</si>
  <si>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</si>
  <si>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</si>
  <si>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</si>
  <si>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</si>
  <si>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</si>
  <si>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</si>
  <si>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</si>
  <si>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</si>
  <si>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</si>
  <si>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</si>
  <si>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</si>
  <si>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</si>
  <si>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</si>
  <si>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</si>
  <si>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</si>
  <si>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</si>
  <si>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</si>
  <si>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</si>
  <si>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</si>
  <si>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</si>
  <si>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</si>
  <si>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</si>
  <si>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</si>
  <si>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</si>
  <si>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</si>
  <si>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</si>
  <si>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</si>
  <si>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</si>
  <si>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</si>
  <si>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</si>
  <si>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</si>
  <si>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</si>
  <si>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</si>
  <si>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</si>
  <si>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</si>
  <si>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</si>
  <si>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</si>
  <si>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</si>
  <si>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</si>
  <si>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</si>
  <si>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</si>
  <si>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</si>
  <si>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</si>
  <si>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</si>
  <si>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</si>
  <si>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</si>
  <si>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</si>
  <si>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</si>
  <si>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</si>
  <si>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</si>
  <si>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</si>
  <si>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</si>
  <si>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</si>
  <si>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</si>
  <si>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</si>
  <si>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</si>
  <si>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</si>
  <si>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</si>
  <si>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</si>
  <si>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</si>
  <si>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</si>
  <si>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</si>
  <si>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</si>
  <si>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</si>
  <si>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</si>
  <si>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</si>
  <si>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</si>
  <si>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</si>
  <si>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</si>
  <si>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</si>
  <si>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</si>
  <si>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</si>
  <si>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</si>
  <si>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</si>
  <si>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</si>
  <si>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</si>
  <si>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</si>
  <si>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</si>
  <si>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</si>
  <si>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</si>
  <si>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</si>
  <si>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</si>
  <si>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</si>
  <si>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</si>
  <si>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</si>
  <si>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</si>
  <si>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</si>
  <si>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</si>
  <si>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</si>
  <si>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</si>
  <si>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</si>
  <si>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</si>
  <si>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</si>
  <si>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</si>
  <si>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</si>
  <si>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</si>
  <si>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</si>
  <si>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</si>
  <si>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</si>
  <si>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</si>
  <si>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</si>
  <si>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</si>
  <si>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</si>
  <si>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</si>
  <si>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</si>
  <si>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</si>
  <si>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</si>
  <si>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</si>
  <si>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</si>
  <si>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</si>
  <si>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</si>
  <si>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</si>
  <si>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</si>
  <si>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</si>
  <si>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</si>
  <si>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</si>
  <si>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</si>
  <si>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204:502</t>
  </si>
  <si>
    <t>204:211</t>
  </si>
  <si>
    <t>204:196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</si>
  <si>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</si>
  <si>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</si>
  <si>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</si>
  <si>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</si>
  <si>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</si>
  <si>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</si>
  <si>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</si>
  <si>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</si>
  <si>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</si>
  <si>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</si>
  <si>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</si>
  <si>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</si>
  <si>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</si>
  <si>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</si>
  <si>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</si>
  <si>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</si>
  <si>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</si>
  <si>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</si>
  <si>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</si>
  <si>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</si>
  <si>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</si>
  <si>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</si>
  <si>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</si>
  <si>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</si>
  <si>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</si>
  <si>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</si>
  <si>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204:225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</si>
  <si>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</si>
  <si>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</si>
  <si>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</si>
  <si>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</si>
  <si>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</si>
  <si>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</si>
  <si>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</si>
  <si>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</si>
  <si>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</si>
  <si>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</si>
  <si>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</si>
  <si>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</si>
  <si>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</si>
  <si>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</si>
  <si>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</si>
  <si>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</si>
  <si>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</si>
  <si>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</si>
  <si>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</si>
  <si>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</si>
  <si>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</si>
  <si>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</si>
  <si>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</si>
  <si>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</si>
  <si>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</si>
  <si>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</si>
  <si>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</si>
  <si>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</si>
  <si>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</si>
  <si>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</si>
  <si>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</si>
  <si>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</si>
  <si>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</si>
  <si>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</si>
  <si>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204:520</t>
  </si>
  <si>
    <t>204:233253</t>
  </si>
  <si>
    <t>204:189</t>
  </si>
  <si>
    <t>rtdc.l.rtdc.4009:itc</t>
  </si>
  <si>
    <t>LESTER</t>
  </si>
  <si>
    <t>GEBRETEKLE</t>
  </si>
  <si>
    <t>DAGNEW</t>
  </si>
  <si>
    <t>LAMAR</t>
  </si>
  <si>
    <t>NEKESHA</t>
  </si>
  <si>
    <t>HOLCOMB</t>
  </si>
  <si>
    <t>KAMDEN</t>
  </si>
  <si>
    <t>DELGADO</t>
  </si>
  <si>
    <t>DIANAH</t>
  </si>
  <si>
    <t>204:506</t>
  </si>
  <si>
    <t>204:233297</t>
  </si>
  <si>
    <t>204:201</t>
  </si>
  <si>
    <t>204:185</t>
  </si>
  <si>
    <t>204:480</t>
  </si>
  <si>
    <t>204:218</t>
  </si>
  <si>
    <t>204:500</t>
  </si>
  <si>
    <t>204:458</t>
  </si>
  <si>
    <t>204:511</t>
  </si>
  <si>
    <t>204:232925</t>
  </si>
  <si>
    <t>204:233259</t>
  </si>
  <si>
    <t>204:508</t>
  </si>
  <si>
    <t>rtdc.l.rtdc.4033:itc</t>
  </si>
  <si>
    <t>rtdc.l.rtdc.4034:itc</t>
  </si>
  <si>
    <t>rtdc.l.rtdc.4044:itc</t>
  </si>
  <si>
    <t>rtdc.l.rtdc.4043:itc</t>
  </si>
  <si>
    <t>rtdc.l.rtdc.4057:itc</t>
  </si>
  <si>
    <t>GONZALEZ</t>
  </si>
  <si>
    <t>ARMANDO</t>
  </si>
  <si>
    <t>204:233234</t>
  </si>
  <si>
    <t>204:205</t>
  </si>
  <si>
    <t>204:233257</t>
  </si>
  <si>
    <t>204:232978</t>
  </si>
  <si>
    <t>204:238</t>
  </si>
  <si>
    <t>204:220</t>
  </si>
  <si>
    <t>300:58670</t>
  </si>
  <si>
    <t>204:466</t>
  </si>
  <si>
    <t>300:58647</t>
  </si>
  <si>
    <t>204:149</t>
  </si>
  <si>
    <t>204:194</t>
  </si>
  <si>
    <t>204:529</t>
  </si>
  <si>
    <t>204:526</t>
  </si>
  <si>
    <t>Early Arrival</t>
  </si>
  <si>
    <t>rtdc.l.rtdc.4064:itc</t>
  </si>
  <si>
    <t>DAVIS</t>
  </si>
  <si>
    <t>204:486</t>
  </si>
  <si>
    <t>204:198</t>
  </si>
  <si>
    <t>204:517</t>
  </si>
  <si>
    <t>204:232970</t>
  </si>
  <si>
    <t>204:233305</t>
  </si>
  <si>
    <t>204:464</t>
  </si>
  <si>
    <t>204:147</t>
  </si>
  <si>
    <t>204:187</t>
  </si>
  <si>
    <t>204:457</t>
  </si>
  <si>
    <t>204:440</t>
  </si>
  <si>
    <t>204:462</t>
  </si>
  <si>
    <t>204:221</t>
  </si>
  <si>
    <t>204:178</t>
  </si>
  <si>
    <t>204:174</t>
  </si>
  <si>
    <t>204:233263</t>
  </si>
  <si>
    <t>300:58675</t>
  </si>
  <si>
    <t>204:446</t>
  </si>
  <si>
    <t>204:233286</t>
  </si>
  <si>
    <t>204:233314</t>
  </si>
  <si>
    <t>204:232975</t>
  </si>
  <si>
    <t>204:584</t>
  </si>
  <si>
    <t>242-10</t>
  </si>
  <si>
    <t>244-10</t>
  </si>
  <si>
    <t>51-10</t>
  </si>
  <si>
    <t>52-10</t>
  </si>
  <si>
    <t>313-10</t>
  </si>
  <si>
    <t>307-10</t>
  </si>
  <si>
    <t>309-10</t>
  </si>
  <si>
    <t>311-10</t>
  </si>
  <si>
    <t>300-11</t>
  </si>
  <si>
    <t>204:183</t>
  </si>
  <si>
    <t>204:232984</t>
  </si>
  <si>
    <t>204:232951</t>
  </si>
  <si>
    <t>204:232991</t>
  </si>
  <si>
    <t>204:233261</t>
  </si>
  <si>
    <t>204:232987</t>
  </si>
  <si>
    <t>204:150</t>
  </si>
  <si>
    <t>204:549</t>
  </si>
  <si>
    <t>204:236</t>
  </si>
  <si>
    <t>Observed unhealthy xing banner at Chambers due to station stop</t>
  </si>
  <si>
    <t>rtdc.l.rtdc.4021:itc</t>
  </si>
  <si>
    <t>244-16</t>
  </si>
  <si>
    <t>246-16</t>
  </si>
  <si>
    <t>rtdc.l.rtdc.4004:itc</t>
  </si>
  <si>
    <t>rtdc.l.rtdc.4003:itc</t>
  </si>
  <si>
    <t>BROWN</t>
  </si>
  <si>
    <t>JACOB</t>
  </si>
  <si>
    <t>245-16</t>
  </si>
  <si>
    <t>307-16</t>
  </si>
  <si>
    <t>309-16</t>
  </si>
  <si>
    <t>311-16</t>
  </si>
  <si>
    <t>313-16</t>
  </si>
  <si>
    <t>300-17</t>
  </si>
  <si>
    <t>partly-cloudy-night</t>
  </si>
  <si>
    <t>Partly Cloudy</t>
  </si>
  <si>
    <t>partly-cloudy-day</t>
  </si>
  <si>
    <t>Mostly Cloudy</t>
  </si>
  <si>
    <t>cloudy</t>
  </si>
  <si>
    <t>Overcast</t>
  </si>
  <si>
    <t>204:232930</t>
  </si>
  <si>
    <t>204:232968</t>
  </si>
  <si>
    <t>204:158</t>
  </si>
  <si>
    <t>204:233315</t>
  </si>
  <si>
    <t>204:504</t>
  </si>
  <si>
    <t>204:233295</t>
  </si>
  <si>
    <t>204:232953</t>
  </si>
  <si>
    <t>204:156</t>
  </si>
  <si>
    <t>204:233308</t>
  </si>
  <si>
    <t>204:233355</t>
  </si>
  <si>
    <t>204:192</t>
  </si>
  <si>
    <t>204:167</t>
  </si>
  <si>
    <t>204:233222</t>
  </si>
  <si>
    <t>204:475</t>
  </si>
  <si>
    <t>204:232963</t>
  </si>
  <si>
    <t>204:482</t>
  </si>
  <si>
    <t>204:478</t>
  </si>
  <si>
    <t>204:233221</t>
  </si>
  <si>
    <t>204:232945</t>
  </si>
  <si>
    <t>204:287</t>
  </si>
  <si>
    <t>204:232938</t>
  </si>
  <si>
    <t>300:58664</t>
  </si>
  <si>
    <t>204:157</t>
  </si>
  <si>
    <t>300:58651</t>
  </si>
  <si>
    <t>300:58626</t>
  </si>
  <si>
    <t>300:58956</t>
  </si>
  <si>
    <t>204:232892</t>
  </si>
  <si>
    <t>300:58993</t>
  </si>
  <si>
    <t>204:155</t>
  </si>
  <si>
    <t>204:146</t>
  </si>
  <si>
    <t>204:564</t>
  </si>
  <si>
    <t>204:233293</t>
  </si>
  <si>
    <t>204:232971</t>
  </si>
  <si>
    <t>204:548</t>
  </si>
  <si>
    <t>204:160</t>
  </si>
  <si>
    <t>204:233304</t>
  </si>
  <si>
    <t>204:232898</t>
  </si>
  <si>
    <t>204:170</t>
  </si>
  <si>
    <t>204:535</t>
  </si>
  <si>
    <t>204:232902</t>
  </si>
  <si>
    <t>204:232952</t>
  </si>
  <si>
    <t>204:223</t>
  </si>
  <si>
    <t>204:232959</t>
  </si>
  <si>
    <t>204:232917</t>
  </si>
  <si>
    <t>204:165</t>
  </si>
  <si>
    <t>204:551</t>
  </si>
  <si>
    <t>300:23312</t>
  </si>
  <si>
    <t>204:1156</t>
  </si>
  <si>
    <t>300:23297</t>
  </si>
  <si>
    <t>Onboard en route failure during init</t>
  </si>
  <si>
    <t>302-17</t>
  </si>
  <si>
    <t>306-17</t>
  </si>
  <si>
    <t>TRACK WARRANT AUTHORITY</t>
  </si>
  <si>
    <t>Form based authority (4)</t>
  </si>
  <si>
    <t>107-17</t>
  </si>
  <si>
    <t>1901-17</t>
  </si>
  <si>
    <t>108-17</t>
  </si>
  <si>
    <t>140-17</t>
  </si>
  <si>
    <t>rtdc.l.rtdc.4058:itc</t>
  </si>
  <si>
    <t>157-17</t>
  </si>
  <si>
    <t>165-17</t>
  </si>
  <si>
    <t>164-17</t>
  </si>
  <si>
    <t>rtdc.l.rtdc.4040:itc</t>
  </si>
  <si>
    <t>169-17</t>
  </si>
  <si>
    <t>1815-17</t>
  </si>
  <si>
    <t>1818-17</t>
  </si>
  <si>
    <t>193-17</t>
  </si>
  <si>
    <t>197-17</t>
  </si>
  <si>
    <t>1821-17</t>
  </si>
  <si>
    <t>203-17</t>
  </si>
  <si>
    <t>204-17</t>
  </si>
  <si>
    <t>1827-17</t>
  </si>
  <si>
    <t>218-17</t>
  </si>
  <si>
    <t>1829-17</t>
  </si>
  <si>
    <t>226-17</t>
  </si>
  <si>
    <t>234-17</t>
  </si>
  <si>
    <t>TEMPORARY SPEED RESTRICTION</t>
  </si>
  <si>
    <t>1902-17</t>
  </si>
  <si>
    <t>241-17</t>
  </si>
  <si>
    <t>242-17</t>
  </si>
  <si>
    <t>101-17</t>
  </si>
  <si>
    <t>51-17</t>
  </si>
  <si>
    <t>52-17</t>
  </si>
  <si>
    <t>103-17</t>
  </si>
  <si>
    <t>304-17</t>
  </si>
  <si>
    <t>105-17</t>
  </si>
  <si>
    <t>102-17</t>
  </si>
  <si>
    <t>308-17</t>
  </si>
  <si>
    <t>104-17</t>
  </si>
  <si>
    <t>109-17</t>
  </si>
  <si>
    <t>rtdc.l.rtdc.4039:itc</t>
  </si>
  <si>
    <t>310-17</t>
  </si>
  <si>
    <t>111-17</t>
  </si>
  <si>
    <t>STRICKLAND</t>
  </si>
  <si>
    <t>EVAN</t>
  </si>
  <si>
    <t>106-17</t>
  </si>
  <si>
    <t>113-17</t>
  </si>
  <si>
    <t>312-17</t>
  </si>
  <si>
    <t>110-17</t>
  </si>
  <si>
    <t>115-17</t>
  </si>
  <si>
    <t>LANGERAK</t>
  </si>
  <si>
    <t>WILLIAM</t>
  </si>
  <si>
    <t>117-17</t>
  </si>
  <si>
    <t>112-17</t>
  </si>
  <si>
    <t>119-17</t>
  </si>
  <si>
    <t>1801-17</t>
  </si>
  <si>
    <t>114-17</t>
  </si>
  <si>
    <t>116-17</t>
  </si>
  <si>
    <t>121-17</t>
  </si>
  <si>
    <t>123-17</t>
  </si>
  <si>
    <t>118-17</t>
  </si>
  <si>
    <t>53-17</t>
  </si>
  <si>
    <t>125-17</t>
  </si>
  <si>
    <t>120-17</t>
  </si>
  <si>
    <t>127-17</t>
  </si>
  <si>
    <t>1803-17</t>
  </si>
  <si>
    <t>124-17</t>
  </si>
  <si>
    <t>129-17</t>
  </si>
  <si>
    <t>1804-17</t>
  </si>
  <si>
    <t>131-17</t>
  </si>
  <si>
    <t>133-17</t>
  </si>
  <si>
    <t>126-17</t>
  </si>
  <si>
    <t>128-17</t>
  </si>
  <si>
    <t>135-17</t>
  </si>
  <si>
    <t>130-17</t>
  </si>
  <si>
    <t>1805-17</t>
  </si>
  <si>
    <t>137-17</t>
  </si>
  <si>
    <t>134-17</t>
  </si>
  <si>
    <t>132-17</t>
  </si>
  <si>
    <t>1806-17</t>
  </si>
  <si>
    <t>139-17</t>
  </si>
  <si>
    <t>141-17</t>
  </si>
  <si>
    <t>136-17</t>
  </si>
  <si>
    <t>138-17</t>
  </si>
  <si>
    <t>143-17</t>
  </si>
  <si>
    <t>1807-17</t>
  </si>
  <si>
    <t>145-17</t>
  </si>
  <si>
    <t>55-17</t>
  </si>
  <si>
    <t>PAGE</t>
  </si>
  <si>
    <t>MARCUS</t>
  </si>
  <si>
    <t>147-17</t>
  </si>
  <si>
    <t>1808-17</t>
  </si>
  <si>
    <t>142-17</t>
  </si>
  <si>
    <t>149-17</t>
  </si>
  <si>
    <t>144-17</t>
  </si>
  <si>
    <t>151-17</t>
  </si>
  <si>
    <t>1809-17</t>
  </si>
  <si>
    <t>146-17</t>
  </si>
  <si>
    <t>153-17</t>
  </si>
  <si>
    <t>148-17</t>
  </si>
  <si>
    <t>155-17</t>
  </si>
  <si>
    <t>1810-17</t>
  </si>
  <si>
    <t>150-17</t>
  </si>
  <si>
    <t>STEWART</t>
  </si>
  <si>
    <t>152-17</t>
  </si>
  <si>
    <t>159-17</t>
  </si>
  <si>
    <t>1811-17</t>
  </si>
  <si>
    <t>161-17</t>
  </si>
  <si>
    <t>154-17</t>
  </si>
  <si>
    <t>156-17</t>
  </si>
  <si>
    <t>163-17</t>
  </si>
  <si>
    <t>1812-17</t>
  </si>
  <si>
    <t>158-17</t>
  </si>
  <si>
    <t>160-17</t>
  </si>
  <si>
    <t>167-17</t>
  </si>
  <si>
    <t>162-17</t>
  </si>
  <si>
    <t>166-17</t>
  </si>
  <si>
    <t>171-17</t>
  </si>
  <si>
    <t>1814-17</t>
  </si>
  <si>
    <t>173-17</t>
  </si>
  <si>
    <t>168-17</t>
  </si>
  <si>
    <t>175-17</t>
  </si>
  <si>
    <t>170-17</t>
  </si>
  <si>
    <t>177-17</t>
  </si>
  <si>
    <t>172-17</t>
  </si>
  <si>
    <t>179-17</t>
  </si>
  <si>
    <t>1816-17</t>
  </si>
  <si>
    <t>174-17</t>
  </si>
  <si>
    <t>181-17</t>
  </si>
  <si>
    <t>176-17</t>
  </si>
  <si>
    <t>178-17</t>
  </si>
  <si>
    <t>183-17</t>
  </si>
  <si>
    <t>1817-17</t>
  </si>
  <si>
    <t>185-17</t>
  </si>
  <si>
    <t>180-17</t>
  </si>
  <si>
    <t>187-17</t>
  </si>
  <si>
    <t>182-17</t>
  </si>
  <si>
    <t>189-17</t>
  </si>
  <si>
    <t>191-17</t>
  </si>
  <si>
    <t>184-17</t>
  </si>
  <si>
    <t>1819-17</t>
  </si>
  <si>
    <t>186-17</t>
  </si>
  <si>
    <t>188-17</t>
  </si>
  <si>
    <t>195-17</t>
  </si>
  <si>
    <t>1820-17</t>
  </si>
  <si>
    <t>190-17</t>
  </si>
  <si>
    <t>192-17</t>
  </si>
  <si>
    <t>75-17</t>
  </si>
  <si>
    <t>199-17</t>
  </si>
  <si>
    <t>194-17</t>
  </si>
  <si>
    <t>201-17</t>
  </si>
  <si>
    <t>196-17</t>
  </si>
  <si>
    <t>1822-17</t>
  </si>
  <si>
    <t>73-17</t>
  </si>
  <si>
    <t>198-17</t>
  </si>
  <si>
    <t>205-17</t>
  </si>
  <si>
    <t>200-17</t>
  </si>
  <si>
    <t>207-17</t>
  </si>
  <si>
    <t>202-17</t>
  </si>
  <si>
    <t>1823-17</t>
  </si>
  <si>
    <t>KILLION</t>
  </si>
  <si>
    <t>DAVID</t>
  </si>
  <si>
    <t>209-17</t>
  </si>
  <si>
    <t>206-17</t>
  </si>
  <si>
    <t>1824-17</t>
  </si>
  <si>
    <t>211-17</t>
  </si>
  <si>
    <t>70-17</t>
  </si>
  <si>
    <t>213-17</t>
  </si>
  <si>
    <t>208-17</t>
  </si>
  <si>
    <t>215-17</t>
  </si>
  <si>
    <t>1825-17</t>
  </si>
  <si>
    <t>210-17</t>
  </si>
  <si>
    <t>217-17</t>
  </si>
  <si>
    <t>212-17</t>
  </si>
  <si>
    <t>219-17</t>
  </si>
  <si>
    <t>1826-17</t>
  </si>
  <si>
    <t>301-17</t>
  </si>
  <si>
    <t>214-17</t>
  </si>
  <si>
    <t>216-17</t>
  </si>
  <si>
    <t>221-17</t>
  </si>
  <si>
    <t>303-17</t>
  </si>
  <si>
    <t>220-17</t>
  </si>
  <si>
    <t>1828-17</t>
  </si>
  <si>
    <t>223-17</t>
  </si>
  <si>
    <t>305-17</t>
  </si>
  <si>
    <t>225-17</t>
  </si>
  <si>
    <t>222-17</t>
  </si>
  <si>
    <t>224-17</t>
  </si>
  <si>
    <t>227-17</t>
  </si>
  <si>
    <t>1830-17</t>
  </si>
  <si>
    <t>229-17</t>
  </si>
  <si>
    <t>231-17</t>
  </si>
  <si>
    <t>1831-17</t>
  </si>
  <si>
    <t>1832-17</t>
  </si>
  <si>
    <t>228-17</t>
  </si>
  <si>
    <t>230-17</t>
  </si>
  <si>
    <t>233-17</t>
  </si>
  <si>
    <t>1833-17</t>
  </si>
  <si>
    <t>232-17</t>
  </si>
  <si>
    <t>1834-17</t>
  </si>
  <si>
    <t>235-17</t>
  </si>
  <si>
    <t>237-17</t>
  </si>
  <si>
    <t>1835-17</t>
  </si>
  <si>
    <t>236-17</t>
  </si>
  <si>
    <t>239-17</t>
  </si>
  <si>
    <t>238-17</t>
  </si>
  <si>
    <t>243-17</t>
  </si>
  <si>
    <t>240-17</t>
  </si>
  <si>
    <t>307-17</t>
  </si>
  <si>
    <t>244-17</t>
  </si>
  <si>
    <t>300-18</t>
  </si>
  <si>
    <t>precipAccumulation</t>
  </si>
  <si>
    <t>precipType</t>
  </si>
  <si>
    <t>snow</t>
  </si>
  <si>
    <t>204:774</t>
  </si>
  <si>
    <t>204:233316</t>
  </si>
  <si>
    <t>204:493</t>
  </si>
  <si>
    <t>204:233349</t>
  </si>
  <si>
    <t>204:232986</t>
  </si>
  <si>
    <t>204:934</t>
  </si>
  <si>
    <t>204:19140</t>
  </si>
  <si>
    <t>204:233322</t>
  </si>
  <si>
    <t>204:233000</t>
  </si>
  <si>
    <t>204:233021</t>
  </si>
  <si>
    <t>204:233330</t>
  </si>
  <si>
    <t>204:232996</t>
  </si>
  <si>
    <t>204:145</t>
  </si>
  <si>
    <t>204:216</t>
  </si>
  <si>
    <t>204:233232</t>
  </si>
  <si>
    <t>204:477</t>
  </si>
  <si>
    <t>204:233289</t>
  </si>
  <si>
    <t>204:19123</t>
  </si>
  <si>
    <t>204:451</t>
  </si>
  <si>
    <t>204:233266</t>
  </si>
  <si>
    <t>204:232961</t>
  </si>
  <si>
    <t>204:522</t>
  </si>
  <si>
    <t>204:233229</t>
  </si>
  <si>
    <t>204:497</t>
  </si>
  <si>
    <t>204:233303</t>
  </si>
  <si>
    <t>204:232973</t>
  </si>
  <si>
    <t>204:232994</t>
  </si>
  <si>
    <t>204:232992</t>
  </si>
  <si>
    <t>204:233340</t>
  </si>
  <si>
    <t>204:444</t>
  </si>
  <si>
    <t>204:316</t>
  </si>
  <si>
    <t>204:19133</t>
  </si>
  <si>
    <t>204:232989</t>
  </si>
  <si>
    <t>204:181</t>
  </si>
  <si>
    <t>204:233317</t>
  </si>
  <si>
    <t>204:449</t>
  </si>
  <si>
    <t>204:233319</t>
  </si>
  <si>
    <t>204:606</t>
  </si>
  <si>
    <t>204:232950</t>
  </si>
  <si>
    <t>204:200</t>
  </si>
  <si>
    <t>204:233307</t>
  </si>
  <si>
    <t>204:232990</t>
  </si>
  <si>
    <t>204:232936</t>
  </si>
  <si>
    <t>204:233227</t>
  </si>
  <si>
    <t>204:232921</t>
  </si>
  <si>
    <t>204:233291</t>
  </si>
  <si>
    <t>204:258</t>
  </si>
  <si>
    <t>204:233274</t>
  </si>
  <si>
    <t>204:232964</t>
  </si>
  <si>
    <t>204:233207</t>
  </si>
  <si>
    <t>204:232877</t>
  </si>
  <si>
    <t>204:242</t>
  </si>
  <si>
    <t>204:448</t>
  </si>
  <si>
    <t>300:58950</t>
  </si>
  <si>
    <t>204:433</t>
  </si>
  <si>
    <t>300:58954</t>
  </si>
  <si>
    <t>204:441</t>
  </si>
  <si>
    <t>300:58937</t>
  </si>
  <si>
    <t>204:468</t>
  </si>
  <si>
    <t>300:58641</t>
  </si>
  <si>
    <t>204:138</t>
  </si>
  <si>
    <t>204:233301</t>
  </si>
  <si>
    <t>204:435</t>
  </si>
  <si>
    <t>300:58960</t>
  </si>
  <si>
    <t>204:432</t>
  </si>
  <si>
    <t>300:58645</t>
  </si>
  <si>
    <t>300:58636</t>
  </si>
  <si>
    <t>204:144</t>
  </si>
  <si>
    <t>300:59001</t>
  </si>
  <si>
    <t>300:58685</t>
  </si>
  <si>
    <t>204:77</t>
  </si>
  <si>
    <t>204:372</t>
  </si>
  <si>
    <t>300:58673</t>
  </si>
  <si>
    <t>204:4625</t>
  </si>
  <si>
    <t>204:332</t>
  </si>
  <si>
    <t>300:58982</t>
  </si>
  <si>
    <t>204:90</t>
  </si>
  <si>
    <t>204:404</t>
  </si>
  <si>
    <t>300:58988</t>
  </si>
  <si>
    <t>300:58683</t>
  </si>
  <si>
    <t>204:93</t>
  </si>
  <si>
    <t>204:388</t>
  </si>
  <si>
    <t>204:415</t>
  </si>
  <si>
    <t>300:58999</t>
  </si>
  <si>
    <t>204:82</t>
  </si>
  <si>
    <t>204:386</t>
  </si>
  <si>
    <t>300:58041</t>
  </si>
  <si>
    <t>204:540</t>
  </si>
  <si>
    <t>204:233415</t>
  </si>
  <si>
    <t>300:58687</t>
  </si>
  <si>
    <t>204:99</t>
  </si>
  <si>
    <t>204:374</t>
  </si>
  <si>
    <t>300:58990</t>
  </si>
  <si>
    <t>204:68</t>
  </si>
  <si>
    <t>300:58668</t>
  </si>
  <si>
    <t>204:97</t>
  </si>
  <si>
    <t>204:233028</t>
  </si>
  <si>
    <t>204:233311</t>
  </si>
  <si>
    <t>204:233225</t>
  </si>
  <si>
    <t>204:232</t>
  </si>
  <si>
    <t>204:233336</t>
  </si>
  <si>
    <t>204:1936</t>
  </si>
  <si>
    <t>300:29494</t>
  </si>
  <si>
    <t>300:37323</t>
  </si>
  <si>
    <t>300:58688</t>
  </si>
  <si>
    <t>300:27359</t>
  </si>
  <si>
    <t>204:484</t>
  </si>
  <si>
    <t>204:233278</t>
  </si>
  <si>
    <t>204:232960</t>
  </si>
  <si>
    <t>204:180</t>
  </si>
  <si>
    <t>204:555</t>
  </si>
  <si>
    <t>204:262</t>
  </si>
  <si>
    <t>204:232948</t>
  </si>
  <si>
    <t>204:233264</t>
  </si>
  <si>
    <t>204:232947</t>
  </si>
  <si>
    <t>204:233215</t>
  </si>
  <si>
    <t>204:232884</t>
  </si>
  <si>
    <t>204:233300</t>
  </si>
  <si>
    <t>204:271</t>
  </si>
  <si>
    <t>204:232988</t>
  </si>
  <si>
    <t>204:233055</t>
  </si>
  <si>
    <t>204:537</t>
  </si>
  <si>
    <t>204:557</t>
  </si>
  <si>
    <t>204:232900</t>
  </si>
  <si>
    <t>204:233244</t>
  </si>
  <si>
    <t>204:283</t>
  </si>
  <si>
    <t>204:233327</t>
  </si>
  <si>
    <t>204:233013</t>
  </si>
  <si>
    <t>204:232966</t>
  </si>
  <si>
    <t>204:233249</t>
  </si>
  <si>
    <t>204:232943</t>
  </si>
  <si>
    <t>204:276</t>
  </si>
  <si>
    <t>204:232972</t>
  </si>
  <si>
    <t>204:580</t>
  </si>
  <si>
    <t>204:570</t>
  </si>
  <si>
    <t>204:233236</t>
  </si>
  <si>
    <t>204:263</t>
  </si>
  <si>
    <t>204:64145</t>
  </si>
  <si>
    <t>204:300</t>
  </si>
  <si>
    <t>204:586</t>
  </si>
  <si>
    <t>204:233243</t>
  </si>
  <si>
    <t>204:232909</t>
  </si>
  <si>
    <t>300:23527</t>
  </si>
  <si>
    <t>204:568</t>
  </si>
  <si>
    <t>300:23295</t>
  </si>
  <si>
    <t>300:19179</t>
  </si>
  <si>
    <t>300:23392</t>
  </si>
  <si>
    <t>300:23299</t>
  </si>
  <si>
    <t>300:22650</t>
  </si>
  <si>
    <t>300:23314</t>
  </si>
  <si>
    <t>300:23432</t>
  </si>
  <si>
    <t>204:154</t>
  </si>
  <si>
    <t>204:610</t>
  </si>
  <si>
    <t>300:23302</t>
  </si>
  <si>
    <t>300:23516</t>
  </si>
  <si>
    <t>204:573</t>
  </si>
  <si>
    <t>300:23306</t>
  </si>
  <si>
    <t>300:21985</t>
  </si>
  <si>
    <t>204:169</t>
  </si>
  <si>
    <t>204:542</t>
  </si>
  <si>
    <t>204:438</t>
  </si>
  <si>
    <t>204:3388</t>
  </si>
  <si>
    <t>204:1160</t>
  </si>
  <si>
    <t>204:3329</t>
  </si>
  <si>
    <t>204:2998</t>
  </si>
  <si>
    <t>204:141</t>
  </si>
  <si>
    <t>204:3052</t>
  </si>
  <si>
    <t>204:1165</t>
  </si>
  <si>
    <t>300:4924</t>
  </si>
  <si>
    <t>204:126</t>
  </si>
  <si>
    <t>204:1484</t>
  </si>
  <si>
    <t>300:5132</t>
  </si>
  <si>
    <t>300:22149</t>
  </si>
  <si>
    <t>204:2212</t>
  </si>
  <si>
    <t>204:1218</t>
  </si>
  <si>
    <t>204:3188</t>
  </si>
  <si>
    <t>204:3480</t>
  </si>
  <si>
    <t>204:1167</t>
  </si>
  <si>
    <t>start /low /b %USERPROFILE%\Documents\GitHub\eaglep3\Utilities\DownloadLogsFromS3.py --loco 4030 --day 2017-12-17</t>
  </si>
  <si>
    <t>start /low /b %USERPROFILE%\Documents\GitHub\eaglep3\Utilities\DownloadLogsFromS3.py --loco 4004 --day 2017-12-17</t>
  </si>
  <si>
    <t>start /low /b %USERPROFILE%\Documents\GitHub\eaglep3\Utilities\DownloadLogsFromS3.py --loco 4058 --day 2017-12-17</t>
  </si>
  <si>
    <t>start /low /b %USERPROFILE%\Documents\GitHub\eaglep3\Utilities\DownloadLogsFromS3.py --loco 4003 --day 2017-12-18</t>
  </si>
  <si>
    <t>start /low /b %USERPROFILE%\Documents\GitHub\eaglep3\Utilities\DownloadLogsFromS3.py --loco 4043 --day 2017-12-17</t>
  </si>
  <si>
    <t>start /low /b %USERPROFILE%\Documents\GitHub\eaglep3\Utilities\DownloadLogsFromS3.py --loco 4040 --day 2017-12-17</t>
  </si>
  <si>
    <t>start /low /b %USERPROFILE%\Documents\GitHub\eaglep3\Utilities\DownloadLogsFromS3.py --loco 4004 --day 2017-12-18</t>
  </si>
  <si>
    <t>start /low /b %USERPROFILE%\Documents\GitHub\eaglep3\Utilities\DownloadLogsFromS3.py --loco 4032 --day 2017-12-17</t>
  </si>
  <si>
    <t>start /low /b %USERPROFILE%\Documents\GitHub\eaglep3\Utilities\DownloadLogsFromS3.py --loco 4017 --day 2017-12-17</t>
  </si>
  <si>
    <t>start /low /b %USERPROFILE%\Documents\GitHub\eaglep3\Utilities\DownloadLogsFromS3.py --loco 4053 --day 2017-12-17</t>
  </si>
  <si>
    <t>start /low /b %USERPROFILE%\Documents\GitHub\eaglep3\Utilities\DownloadLogsFromS3.py --loco 4044 --day 2017-12-18</t>
  </si>
  <si>
    <t>start /low /b %USERPROFILE%\Documents\GitHub\eaglep3\Utilities\DownloadLogsFromS3.py --loco 4044 --day 2017-12-17</t>
  </si>
  <si>
    <t>Operator selected wrong track</t>
  </si>
  <si>
    <t>122-17</t>
  </si>
  <si>
    <t>DELGADO DIANAH</t>
  </si>
  <si>
    <t>Did not init due to onboard PTC radio issue</t>
  </si>
  <si>
    <t>Extended Wi-MAX data drop</t>
  </si>
  <si>
    <t>1800-17</t>
  </si>
  <si>
    <t>1802-17</t>
  </si>
  <si>
    <t>Did not init due to extended s/w download</t>
  </si>
  <si>
    <t>BROWN JACOB</t>
  </si>
  <si>
    <t>Cascade from 1800-17</t>
  </si>
  <si>
    <t>Operator accidentally selected 1811-17, should have selected 1813-17</t>
  </si>
  <si>
    <t>Observed braking without banner</t>
  </si>
  <si>
    <t>Observed unhealthy xing banner at Ulster due to Wi-MAX data drop, no PTC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</si>
</sst>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6"/>
  <sheetViews>
    <sheetView tabSelected="1" topLeftCell="A196" zoomScaleNormal="100" workbookViewId="0">
      <selection activeCell="AO211" sqref="AO21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43086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43086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COUNTIFS($N$13:$N$9559,"&gt;0",$AG$13:$AG$9559,I1)</f>
        <v>137</v>
      </c>
      <c r="K5" s="39"/>
      <c r="L5" s="171"/>
      <c r="M5" s="40">
        <f>AVERAGEIFS($N$13:$N$9559,$AG$13:$AG$9559,I1)</f>
        <v>36.551946472592419</v>
      </c>
      <c r="N5" s="38">
        <f t="array" ref="N5">MIN(IF($AG$13:$AG$9559=I1,IF(ISNUMBER($N$13:$N$9559),IF($N$13:$N$9559&gt;0,$N$13:$N$9559))))</f>
        <v>34.016666666138917</v>
      </c>
      <c r="O5" s="3">
        <f t="array" ref="O5">MAX(IF($AG$13:$AG$9559=I1,IF(ISNUMBER($N$13:$N$9559),IF($N$13:$N$9559&gt;0,$N$13:$N$9559))))</f>
        <v>43.950000006007031</v>
      </c>
      <c r="P5" s="2"/>
      <c r="R5" s="162" t="s">
        <v>17</v>
      </c>
      <c r="S5" s="206">
        <f>COUNTIFS($N$13:$N$9559,"&gt;0",$AG$13:$AG$9559,R1)</f>
        <v>34</v>
      </c>
      <c r="T5" s="171"/>
      <c r="U5" s="194"/>
      <c r="V5" s="210">
        <f>AVERAGEIFS($N$13:$N$9559,$AG$13:$AG$9559,R1)</f>
        <v>13.418137254501584</v>
      </c>
      <c r="W5" s="211">
        <f t="array" ref="W5">MIN(IF($AG$13:$AG$9559=R1,IF(ISNUMBER($N$13:$N$9559),IF($N$13:$N$9559&gt;0,$N$13:$N$9559))))</f>
        <v>9.3499999959021807</v>
      </c>
      <c r="X5" s="199">
        <f t="array" ref="X5">MAX(IF($AG$13:$AG$9559=R1,IF(ISNUMBER($N$13:$N$9559),IF($N$13:$N$9559&gt;0,$N$13:$N$9559))))</f>
        <v>16.149999992921948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COUNT($O$13:$O$317)</f>
        <v>0</v>
      </c>
      <c r="K6" s="39"/>
      <c r="L6" s="171"/>
      <c r="M6" s="40">
        <f>IFERROR(AVERAGE($O$13:$O$317),0)</f>
        <v>0</v>
      </c>
      <c r="N6" s="38">
        <f>MIN($O$13:$O$317)</f>
        <v>0</v>
      </c>
      <c r="O6" s="3">
        <f>MAX($O$13:$O$317)</f>
        <v>0</v>
      </c>
      <c r="P6" s="2"/>
      <c r="R6" s="163" t="s">
        <v>43</v>
      </c>
      <c r="S6" s="206">
        <f>COUNT($O$13:$O$317)</f>
        <v>0</v>
      </c>
      <c r="T6" s="171"/>
      <c r="U6" s="194"/>
      <c r="V6" s="210">
        <f>IFERROR(AVERAGE($O$13:$O$317),0)</f>
        <v>0</v>
      </c>
      <c r="W6" s="211">
        <f>MIN($O$13:$O$317)</f>
        <v>0</v>
      </c>
      <c r="X6" s="199">
        <f>MAX($O$13:$O$317)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COUNTIFS($P$13:$P$9559,"&gt;0",$AG$13:$AG$9559,I1)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COUNTIFS($P$13:$P$9559,"&gt;0",$AG$13:$AG$9559,R1)</f>
        <v>2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171"/>
      <c r="M8" s="40">
        <f>M5</f>
        <v>36.551946472592419</v>
      </c>
      <c r="N8" s="38">
        <f>N5</f>
        <v>34.016666666138917</v>
      </c>
      <c r="O8" s="3">
        <f>O5</f>
        <v>43.950000006007031</v>
      </c>
      <c r="P8" s="2"/>
      <c r="R8" s="162" t="s">
        <v>16</v>
      </c>
      <c r="S8" s="206">
        <f>S5</f>
        <v>34</v>
      </c>
      <c r="T8" s="171"/>
      <c r="U8" s="194"/>
      <c r="V8" s="210">
        <f>V5</f>
        <v>13.418137254501584</v>
      </c>
      <c r="W8" s="211">
        <f>W5</f>
        <v>9.3499999959021807</v>
      </c>
      <c r="X8" s="199">
        <f>X5</f>
        <v>16.149999992921948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0.94444444444444442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- 2017-12-17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AVERAGE(S13:S128)</f>
        <v>0.99130434782608701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720</v>
      </c>
      <c r="B13" s="7">
        <v>4054</v>
      </c>
      <c r="C13" s="21" t="s">
        <v>192</v>
      </c>
      <c r="D13" s="21" t="s">
        <v>904</v>
      </c>
      <c r="E13" s="13">
        <v>43086.130787037036</v>
      </c>
      <c r="F13" s="13">
        <v>43086.135636574072</v>
      </c>
      <c r="G13" s="7">
        <v>83</v>
      </c>
      <c r="H13" s="21" t="s">
        <v>905</v>
      </c>
      <c r="I13" s="13">
        <v>43086.160393518519</v>
      </c>
      <c r="J13" s="7">
        <v>0</v>
      </c>
      <c r="K13" s="89" t="str">
        <f t="shared" ref="K13:K76" si="0">IF(ISEVEN(B13),(B13-1)&amp;"/"&amp;B13,B13&amp;"/"&amp;(B13+1))</f>
        <v>4053/4054</v>
      </c>
      <c r="L13" s="184" t="str">
        <f>VLOOKUP(A13,'Trips&amp;Operators'!$C$1:$G$99911,5,FALSE)</f>
        <v>THOMPSON LESTER</v>
      </c>
      <c r="M13" s="6">
        <f t="shared" ref="M13:M76" si="1">I13-F13</f>
        <v>2.4756944447290152E-2</v>
      </c>
      <c r="N13" s="7">
        <f>24*60*SUM($M13:$M13)</f>
        <v>35.650000004097819</v>
      </c>
      <c r="O13" s="7"/>
      <c r="P13" s="7"/>
      <c r="Q13" s="22"/>
      <c r="R13" s="166"/>
      <c r="S13" s="249">
        <f>1/IF(AG13="EC",12,1)*SUM(U13:U13)</f>
        <v>1</v>
      </c>
      <c r="T13" s="173" t="str">
        <f t="shared" ref="T13:T76" si="2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-17T02:08:20-0700',mode:absolute,to:'2017-12-17T04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203" t="str">
        <f>IF(AA13&lt;VLOOKUP(AG13,Variables!$AC$3:$AD$8,2,FALSE),"Y","N")</f>
        <v>N</v>
      </c>
      <c r="X13" s="203" t="e">
        <f t="shared" ref="X13:X35" si="4">VALUE(LEFT(AD13,4))-VALUE(LEFT(AD12,4))</f>
        <v>#VALUE!</v>
      </c>
      <c r="Y13" s="203">
        <f t="shared" ref="Y13:Y44" si="5">RIGHT(D13,LEN(D13)-4)/10000</f>
        <v>7.7399999999999997E-2</v>
      </c>
      <c r="Z13" s="203">
        <f t="shared" ref="Z13:Z44" si="6">RIGHT(H13,LEN(H13)-4)/10000</f>
        <v>23.331600000000002</v>
      </c>
      <c r="AA13" s="203">
        <f t="shared" ref="AA13:AA76" si="7">ABS(Z13-Y13)</f>
        <v>23.254200000000001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/stypes="app*4054*20171217*"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4054 --swversion DE.1.0.9.0 --startMP 204:774 --initTime 2017-12-17T03:08:20 --startdatetime 2017-12-17T03:15:19 --delay 83 --endMP 204:233316 --enddatetime 2017-12-17T03:50:58 --enforcementcount 0 &gt;&gt;%USERPROFILE%\Documents\GitHub\eaglep3-reporting\EC\2017-12-17-refined-times.txt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{"issue":{"subject":"","project_id":79,"tracker_id":40,"status_id":1,"priority_id":2,"assigned_to_id":338,"start_date":"2017-12-17","description":"","custom_fields":[{"id":1,"name":"Subdivision","value":"EC"},{"id":4,"name":"Milepost","value":"23.3316"},{"id":17,"name":"Train ID","value":"101-17"},{"id":16,"name":"Locomotive ID","value":"4054"},{"id":130,"name":"Impact","value":""},{"id":150,"name":"Time of Event (Mountain Time)","value":"03:50:58"},{"id":151,"name":"Denver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4">"start /low /b "&amp;dls3logs&amp;" --loco "&amp;B13&amp;" --day "&amp;TEXT(F13,"YYYY-MM-DD")</f>
        <v>start /low /b %USERPROFILE%\Documents\GitHub\eaglep3\Utilities\DownloadLogsFromS3.py --loco 4054 --day 2017-12-17</v>
      </c>
      <c r="AN13" s="150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-17T02:08:20-0700',mode:absolute,to:'2017-12-17T04:50:58-0700'))&amp;_a=(columns:!('Message%20ID',Summary),filters:!(),index:'emp_*',interval:auto,query:(query_string:(analyze_wildcard:!t,query:'%22rtdc.l.rtdc.4054%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726</v>
      </c>
      <c r="B14" s="225">
        <v>4053</v>
      </c>
      <c r="C14" s="227" t="s">
        <v>192</v>
      </c>
      <c r="D14" s="227" t="s">
        <v>612</v>
      </c>
      <c r="E14" s="226">
        <v>43086.173703703702</v>
      </c>
      <c r="F14" s="226">
        <v>43086.175358796296</v>
      </c>
      <c r="G14" s="225">
        <v>71</v>
      </c>
      <c r="H14" s="227" t="s">
        <v>651</v>
      </c>
      <c r="I14" s="226">
        <v>43086.201828703706</v>
      </c>
      <c r="J14" s="225">
        <v>0</v>
      </c>
      <c r="K14" s="237" t="str">
        <f t="shared" si="0"/>
        <v>4053/4054</v>
      </c>
      <c r="L14" s="245" t="str">
        <f>VLOOKUP(A14,'Trips&amp;Operators'!$C$1:$G$99911,5,FALSE)</f>
        <v>THOMPSON LESTER</v>
      </c>
      <c r="M14" s="224">
        <f t="shared" si="1"/>
        <v>2.6469907410501037E-2</v>
      </c>
      <c r="N14" s="225">
        <f>24*60*SUM($M14:$M14)</f>
        <v>38.116666671121493</v>
      </c>
      <c r="O14" s="225"/>
      <c r="P14" s="225"/>
      <c r="Q14" s="228"/>
      <c r="R14" s="242"/>
      <c r="S14" s="249">
        <f>1/IF(AG14="EC",12,1)*SUM(U14:U14)</f>
        <v>1</v>
      </c>
      <c r="T14" s="242" t="str">
        <f t="shared" si="2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3"/>
        <v>https://d0f6bd738d7f1b3e5a7ca70fe4ff75f0.us-east-1.aws.found.io/app/kibana#/discover/Steve-Slow-Train-Analysis-(2080s-and-2083s)?_g=(refreshInterval:(display:Off,pause:!f,section:0,value:0),time:(from:'2017-12-17T03:10:08-0700',mode:absolute,to:'2017-12-17T05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247" t="str">
        <f>IF(AA14&lt;VLOOKUP(AG14,Variables!$AC$3:$AD$8,2,FALSE),"Y","N")</f>
        <v>N</v>
      </c>
      <c r="X14" s="247">
        <f t="shared" si="4"/>
        <v>1</v>
      </c>
      <c r="Y14" s="247">
        <f t="shared" si="5"/>
        <v>23.298400000000001</v>
      </c>
      <c r="Z14" s="247">
        <f t="shared" si="6"/>
        <v>1.67E-2</v>
      </c>
      <c r="AA14" s="247">
        <f t="shared" si="7"/>
        <v>23.281700000000001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8"/>
        <v>102</v>
      </c>
      <c r="AE14" s="235" t="str">
        <f t="shared" si="9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4" s="234" t="str">
        <f t="shared" si="10"/>
        <v>"C:\Program Files (x86)\AstroGrep\AstroGrep.exe" /e /r /s /spath="%USERPROFILE%\AppData\Local\Temp\OnboardLogs" /stypes="app*4053*20171217*" /stext=" 11:.+((SYSTEM_STATE.+slice.+state.+changed )|(ment ac)|(multiple cpu faults)|(system.+state.+changed )|(\[timeout)|(PRM\|1\|D)|(kpr)|(kdp)|(train st.+moving)|(\|lc)|(penalty))"</v>
      </c>
      <c r="AG14" s="244" t="str">
        <f t="shared" si="11"/>
        <v>EC</v>
      </c>
      <c r="AH14" s="23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4053 --swversion DE.1.0.9.0 --startMP 204:232984 --initTime 2017-12-17T04:10:08 --startdatetime 2017-12-17T04:12:31 --delay 71 --endMP 204:167 --enddatetime 2017-12-17T04:50:38 --enforcementcount 0 &gt;&gt;%USERPROFILE%\Documents\GitHub\eaglep3-reporting\EC\2017-12-17-refined-times.txt</v>
      </c>
      <c r="AI14" s="238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{"issue":{"subject":"","project_id":79,"tracker_id":40,"status_id":1,"priority_id":2,"assigned_to_id":338,"start_date":"2017-12-17","description":"","custom_fields":[{"id":1,"name":"Subdivision","value":"EC"},{"id":4,"name":"Milepost","value":"0.0167"},{"id":17,"name":"Train ID","value":"102-17"},{"id":16,"name":"Locomotive ID","value":"4053"},{"id":130,"name":"Impact","value":""},{"id":150,"name":"Time of Event (Mountain Time)","value":"04:50:38"},{"id":151,"name":"Denver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19">"start /low /b "&amp;dls3logs&amp;" --loco "&amp;B14&amp;" --day "&amp;TEXT(F14,"YYYY-MM-DD")</f>
        <v>start /low /b %USERPROFILE%\Documents\GitHub\eaglep3\Utilities\DownloadLogsFromS3.py --loco 4053 --day 2017-12-17</v>
      </c>
      <c r="AN14" s="24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-17T03:10:08-0700',mode:absolute,to:'2017-12-17T05:50:38-0700'))&amp;_a=(columns:!('Message%20ID',Summary),filters:!(),index:'emp_*',interval:auto,query:(query_string:(analyze_wildcard:!t,query:'%22rtdc.l.rtdc.4053%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723</v>
      </c>
      <c r="B15" s="225">
        <v>4058</v>
      </c>
      <c r="C15" s="227" t="s">
        <v>192</v>
      </c>
      <c r="D15" s="227" t="s">
        <v>906</v>
      </c>
      <c r="E15" s="226">
        <v>43086.151562500003</v>
      </c>
      <c r="F15" s="226">
        <v>43086.156423611108</v>
      </c>
      <c r="G15" s="225">
        <v>57</v>
      </c>
      <c r="H15" s="227" t="s">
        <v>907</v>
      </c>
      <c r="I15" s="226">
        <v>43086.18105324074</v>
      </c>
      <c r="J15" s="225">
        <v>0</v>
      </c>
      <c r="K15" s="237" t="str">
        <f t="shared" si="0"/>
        <v>4057/4058</v>
      </c>
      <c r="L15" s="245" t="str">
        <f>VLOOKUP(A15,'Trips&amp;Operators'!$C$1:$G$99911,5,FALSE)</f>
        <v>MAELZER KURT</v>
      </c>
      <c r="M15" s="224">
        <f t="shared" si="1"/>
        <v>2.4629629631817807E-2</v>
      </c>
      <c r="N15" s="225">
        <f>24*60*SUM($M15:$M15)</f>
        <v>35.466666669817641</v>
      </c>
      <c r="O15" s="225"/>
      <c r="P15" s="225"/>
      <c r="Q15" s="228"/>
      <c r="R15" s="242"/>
      <c r="S15" s="249">
        <f>1/IF(AG15="EC",12,1)*SUM(U15:U15)</f>
        <v>1</v>
      </c>
      <c r="T15" s="242" t="str">
        <f t="shared" si="2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3"/>
        <v>https://d0f6bd738d7f1b3e5a7ca70fe4ff75f0.us-east-1.aws.found.io/app/kibana#/discover/Steve-Slow-Train-Analysis-(2080s-and-2083s)?_g=(refreshInterval:(display:Off,pause:!f,section:0,value:0),time:(from:'2017-12-17T02:38:15-0700',mode:absolute,to:'2017-12-17T05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" s="247" t="str">
        <f>IF(AA15&lt;VLOOKUP(AG15,Variables!$AC$3:$AD$8,2,FALSE),"Y","N")</f>
        <v>N</v>
      </c>
      <c r="X15" s="247">
        <f t="shared" si="4"/>
        <v>1</v>
      </c>
      <c r="Y15" s="247">
        <f t="shared" si="5"/>
        <v>4.9299999999999997E-2</v>
      </c>
      <c r="Z15" s="247">
        <f t="shared" si="6"/>
        <v>23.334900000000001</v>
      </c>
      <c r="AA15" s="247">
        <f t="shared" si="7"/>
        <v>23.285600000000002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8"/>
        <v>103</v>
      </c>
      <c r="AE15" s="235" t="str">
        <f t="shared" si="9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5" s="234" t="str">
        <f t="shared" si="10"/>
        <v>"C:\Program Files (x86)\AstroGrep\AstroGrep.exe" /e /r /s /spath="%USERPROFILE%\AppData\Local\Temp\OnboardLogs" /stypes="app*4058*20171217*" /stext=" 11:.+((SYSTEM_STATE.+slice.+state.+changed )|(ment ac)|(multiple cpu faults)|(system.+state.+changed )|(\[timeout)|(PRM\|1\|D)|(kpr)|(kdp)|(train st.+moving)|(\|lc)|(penalty))"</v>
      </c>
      <c r="AG15" s="244" t="str">
        <f t="shared" si="11"/>
        <v>EC</v>
      </c>
      <c r="AH15" s="236" t="str">
        <f t="shared" si="17"/>
        <v>"%USERPROFILE%\Documents\GitHub\eaglep3\Utilities\RefineRTDCRunTimes.py" --tripid 103-17 --locoid 4058 --swversion DE.1.0.9.0 --startMP 204:493 --initTime 2017-12-17T03:38:15 --startdatetime 2017-12-17T03:45:15 --delay 57 --endMP 204:233349 --enddatetime 2017-12-17T04:20:43 --enforcementcount 0 &gt;&gt;%USERPROFILE%\Documents\GitHub\eaglep3-reporting\EC\2017-12-17-refined-times.txt</v>
      </c>
      <c r="AI1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{"issue":{"subject":"","project_id":79,"tracker_id":40,"status_id":1,"priority_id":2,"assigned_to_id":338,"start_date":"2017-12-17","description":"","custom_fields":[{"id":1,"name":"Subdivision","value":"EC"},{"id":4,"name":"Milepost","value":"23.3349"},{"id":17,"name":"Train ID","value":"103-17"},{"id":16,"name":"Locomotive ID","value":"4058"},{"id":130,"name":"Impact","value":""},{"id":150,"name":"Time of Event (Mountain Time)","value":"04:20:43"},{"id":151,"name":"Denver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19"/>
        <v>start /low /b %USERPROFILE%\Documents\GitHub\eaglep3\Utilities\DownloadLogsFromS3.py --loco 4058 --day 2017-12-17</v>
      </c>
      <c r="AN1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1"/>
        <v>https://d0f6bd738d7f1b3e5a7ca70fe4ff75f0.us-east-1.aws.found.io/app/kibana#/discover/Steve-Slow-Train-Analysis-(2080s-and-2083s)?_g=(refreshInterval:(display:Off,pause:!f,section:0,value:0),time:(from:'2017-12-17T02:38:15-0700',mode:absolute,to:'2017-12-17T05:20:43-0700'))&amp;_a=(columns:!('Message%20ID',Summary),filters:!(),index:'emp_*',interval:auto,query:(query_string:(analyze_wildcard:!t,query:'%22rtdc.l.rtdc.4058%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728</v>
      </c>
      <c r="B16" s="225">
        <v>4057</v>
      </c>
      <c r="C16" s="227" t="s">
        <v>192</v>
      </c>
      <c r="D16" s="227" t="s">
        <v>908</v>
      </c>
      <c r="E16" s="226">
        <v>43086.185543981483</v>
      </c>
      <c r="F16" s="226">
        <v>43086.195983796293</v>
      </c>
      <c r="G16" s="225">
        <v>50</v>
      </c>
      <c r="H16" s="227" t="s">
        <v>650</v>
      </c>
      <c r="I16" s="226">
        <v>43086.222025462965</v>
      </c>
      <c r="J16" s="225">
        <v>0</v>
      </c>
      <c r="K16" s="237" t="str">
        <f t="shared" si="0"/>
        <v>4057/4058</v>
      </c>
      <c r="L16" s="245" t="str">
        <f>VLOOKUP(A16,'Trips&amp;Operators'!$C$1:$G$99911,5,FALSE)</f>
        <v>MAELZER KURT</v>
      </c>
      <c r="M16" s="224">
        <f t="shared" si="1"/>
        <v>2.6041666671517305E-2</v>
      </c>
      <c r="N16" s="225">
        <f>24*60*SUM($M16:$M16)</f>
        <v>37.500000006984919</v>
      </c>
      <c r="O16" s="225"/>
      <c r="P16" s="225"/>
      <c r="Q16" s="228"/>
      <c r="R16" s="242"/>
      <c r="S16" s="249">
        <f>1/IF(AG16="EC",12,1)*SUM(U16:U16)</f>
        <v>1</v>
      </c>
      <c r="T16" s="242" t="str">
        <f t="shared" si="2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3"/>
        <v>https://d0f6bd738d7f1b3e5a7ca70fe4ff75f0.us-east-1.aws.found.io/app/kibana#/discover/Steve-Slow-Train-Analysis-(2080s-and-2083s)?_g=(refreshInterval:(display:Off,pause:!f,section:0,value:0),time:(from:'2017-12-17T03:27:11-0700',mode:absolute,to:'2017-12-17T06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" s="247" t="str">
        <f>IF(AA16&lt;VLOOKUP(AG16,Variables!$AC$3:$AD$8,2,FALSE),"Y","N")</f>
        <v>N</v>
      </c>
      <c r="X16" s="247">
        <f t="shared" si="4"/>
        <v>1</v>
      </c>
      <c r="Y16" s="247">
        <f t="shared" si="5"/>
        <v>23.2986</v>
      </c>
      <c r="Z16" s="247">
        <f t="shared" si="6"/>
        <v>1.9199999999999998E-2</v>
      </c>
      <c r="AA16" s="247">
        <f t="shared" si="7"/>
        <v>23.279399999999999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8"/>
        <v>104</v>
      </c>
      <c r="AE16" s="235" t="str">
        <f t="shared" si="9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6" s="234" t="str">
        <f t="shared" si="10"/>
        <v>"C:\Program Files (x86)\AstroGrep\AstroGrep.exe" /e /r /s /spath="%USERPROFILE%\AppData\Local\Temp\OnboardLogs" /stypes="app*4057*20171217*" /stext=" 12:.+((SYSTEM_STATE.+slice.+state.+changed )|(ment ac)|(multiple cpu faults)|(system.+state.+changed )|(\[timeout)|(PRM\|1\|D)|(kpr)|(kdp)|(train st.+moving)|(\|lc)|(penalty))"</v>
      </c>
      <c r="AG16" s="244" t="str">
        <f t="shared" si="11"/>
        <v>EC</v>
      </c>
      <c r="AH16" s="236" t="str">
        <f t="shared" si="17"/>
        <v>"%USERPROFILE%\Documents\GitHub\eaglep3\Utilities\RefineRTDCRunTimes.py" --tripid 104-17 --locoid 4057 --swversion DE.1.0.9.0 --startMP 204:232986 --initTime 2017-12-17T04:27:11 --startdatetime 2017-12-17T04:42:13 --delay 50 --endMP 204:192 --enddatetime 2017-12-17T05:19:43 --enforcementcount 0 &gt;&gt;%USERPROFILE%\Documents\GitHub\eaglep3-reporting\EC\2017-12-17-refined-times.txt</v>
      </c>
      <c r="AI1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{"issue":{"subject":"","project_id":79,"tracker_id":40,"status_id":1,"priority_id":2,"assigned_to_id":338,"start_date":"2017-12-17","description":"","custom_fields":[{"id":1,"name":"Subdivision","value":"EC"},{"id":4,"name":"Milepost","value":"0.0192"},{"id":17,"name":"Train ID","value":"104-17"},{"id":16,"name":"Locomotive ID","value":"4057"},{"id":130,"name":"Impact","value":""},{"id":150,"name":"Time of Event (Mountain Time)","value":"05:19:43"},{"id":151,"name":"Denver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19"/>
        <v>start /low /b %USERPROFILE%\Documents\GitHub\eaglep3\Utilities\DownloadLogsFromS3.py --loco 4057 --day 2017-12-17</v>
      </c>
      <c r="AN1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1"/>
        <v>https://d0f6bd738d7f1b3e5a7ca70fe4ff75f0.us-east-1.aws.found.io/app/kibana#/discover/Steve-Slow-Train-Analysis-(2080s-and-2083s)?_g=(refreshInterval:(display:Off,pause:!f,section:0,value:0),time:(from:'2017-12-17T03:27:11-0700',mode:absolute,to:'2017-12-17T06:19:43-0700'))&amp;_a=(columns:!('Message%20ID',Summary),filters:!(),index:'emp_*',interval:auto,query:(query_string:(analyze_wildcard:!t,query:'%22rtdc.l.rtdc.4057%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725</v>
      </c>
      <c r="B17" s="225">
        <v>4030</v>
      </c>
      <c r="C17" s="227" t="s">
        <v>192</v>
      </c>
      <c r="D17" s="227" t="s">
        <v>481</v>
      </c>
      <c r="E17" s="226">
        <v>43086.171284722222</v>
      </c>
      <c r="F17" s="226">
        <v>43086.18141203704</v>
      </c>
      <c r="G17" s="225">
        <v>92</v>
      </c>
      <c r="H17" s="227" t="s">
        <v>909</v>
      </c>
      <c r="I17" s="226">
        <v>43086.202291666668</v>
      </c>
      <c r="J17" s="225">
        <v>0</v>
      </c>
      <c r="K17" s="237" t="str">
        <f t="shared" si="0"/>
        <v>4029/4030</v>
      </c>
      <c r="L17" s="245" t="str">
        <f>VLOOKUP(A17,'Trips&amp;Operators'!$C$1:$G$99911,5,FALSE)</f>
        <v>LOPES KIMBERLY</v>
      </c>
      <c r="M17" s="224">
        <f t="shared" si="1"/>
        <v>2.0879629628325347E-2</v>
      </c>
      <c r="N17" s="225"/>
      <c r="O17" s="225"/>
      <c r="P17" s="225"/>
      <c r="Q17" s="228"/>
      <c r="R17" s="242"/>
      <c r="S17" s="249"/>
      <c r="T17" s="242" t="str">
        <f t="shared" si="2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48" t="str">
        <f t="shared" si="3"/>
        <v>https://d0f6bd738d7f1b3e5a7ca70fe4ff75f0.us-east-1.aws.found.io/app/kibana#/discover/Steve-Slow-Train-Analysis-(2080s-and-2083s)?_g=(refreshInterval:(display:Off,pause:!f,section:0,value:0),time:(from:'2017-12-17T03:06:39-0700',mode:absolute,to:'2017-12-17T05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47" t="str">
        <f>IF(AA17&lt;VLOOKUP(AG17,Variables!$AC$3:$AD$8,2,FALSE),"Y","N")</f>
        <v>Y</v>
      </c>
      <c r="X17" s="247">
        <f t="shared" si="4"/>
        <v>1</v>
      </c>
      <c r="Y17" s="247">
        <f t="shared" si="5"/>
        <v>5.1499999999999997E-2</v>
      </c>
      <c r="Z17" s="247">
        <f t="shared" si="6"/>
        <v>9.3399999999999997E-2</v>
      </c>
      <c r="AA17" s="247">
        <f t="shared" si="7"/>
        <v>4.19E-2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8"/>
        <v>105</v>
      </c>
      <c r="AE17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7" s="234" t="str">
        <f t="shared" si="10"/>
        <v>"C:\Program Files (x86)\AstroGrep\AstroGrep.exe" /e /r /s /spath="%USERPROFILE%\AppData\Local\Temp\OnboardLogs" /stypes="app*4030*20171217*" /stext=" 11:.+((SYSTEM_STATE.+slice.+state.+changed )|(ment ac)|(multiple cpu faults)|(system.+state.+changed )|(\[timeout)|(PRM\|1\|D)|(kpr)|(kdp)|(train st.+moving)|(\|lc)|(penalty))"</v>
      </c>
      <c r="AG17" s="244" t="str">
        <f t="shared" si="11"/>
        <v>EC</v>
      </c>
      <c r="AH17" s="236" t="str">
        <f t="shared" si="17"/>
        <v>"%USERPROFILE%\Documents\GitHub\eaglep3\Utilities\RefineRTDCRunTimes.py" --tripid 105-17 --locoid 4030 --swversion DE.1.0.9.0 --startMP 204:515 --initTime 2017-12-17T04:06:39 --startdatetime 2017-12-17T04:21:14 --delay 92 --endMP 204:934 --enddatetime 2017-12-17T04:51:18 --enforcementcount 0 &gt;&gt;%USERPROFILE%\Documents\GitHub\eaglep3-reporting\EC\2017-12-17-refined-times.txt</v>
      </c>
      <c r="AI1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{"issue":{"subject":"","project_id":79,"tracker_id":40,"status_id":1,"priority_id":2,"assigned_to_id":338,"start_date":"2017-12-17","description":"","custom_fields":[{"id":1,"name":"Subdivision","value":"EC"},{"id":4,"name":"Milepost","value":"0.0934"},{"id":17,"name":"Train ID","value":"105-17"},{"id":16,"name":"Locomotive ID","value":"4030"},{"id":130,"name":"Impact","value":""},{"id":150,"name":"Time of Event (Mountain Time)","value":"04:51:18"},{"id":151,"name":"Denver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19"/>
        <v>start /low /b %USERPROFILE%\Documents\GitHub\eaglep3\Utilities\DownloadLogsFromS3.py --loco 4030 --day 2017-12-17</v>
      </c>
      <c r="AN1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1"/>
        <v>https://d0f6bd738d7f1b3e5a7ca70fe4ff75f0.us-east-1.aws.found.io/app/kibana#/discover/Steve-Slow-Train-Analysis-(2080s-and-2083s)?_g=(refreshInterval:(display:Off,pause:!f,section:0,value:0),time:(from:'2017-12-17T03:06:39-0700',mode:absolute,to:'2017-12-17T05:51:18-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725</v>
      </c>
      <c r="B18" s="225">
        <v>4030</v>
      </c>
      <c r="C18" s="227" t="s">
        <v>192</v>
      </c>
      <c r="D18" s="227" t="s">
        <v>910</v>
      </c>
      <c r="E18" s="226">
        <v>43086.180636574078</v>
      </c>
      <c r="F18" s="226">
        <v>43086.18141203704</v>
      </c>
      <c r="G18" s="225">
        <v>39</v>
      </c>
      <c r="H18" s="227" t="s">
        <v>911</v>
      </c>
      <c r="I18" s="226">
        <v>43086.202291666668</v>
      </c>
      <c r="J18" s="225">
        <v>0</v>
      </c>
      <c r="K18" s="237" t="str">
        <f t="shared" si="0"/>
        <v>4029/4030</v>
      </c>
      <c r="L18" s="245" t="str">
        <f>VLOOKUP(A18,'Trips&amp;Operators'!$C$1:$G$99911,5,FALSE)</f>
        <v>LOPES KIMBERLY</v>
      </c>
      <c r="M18" s="224">
        <f t="shared" si="1"/>
        <v>2.0879629628325347E-2</v>
      </c>
      <c r="N18" s="225"/>
      <c r="O18" s="225"/>
      <c r="P18" s="225">
        <f>24*60*SUM($M18:$M18)</f>
        <v>30.066666664788499</v>
      </c>
      <c r="Q18" s="228"/>
      <c r="R18" s="242" t="s">
        <v>1094</v>
      </c>
      <c r="S18" s="249">
        <f t="shared" ref="S18:S81" si="22">1/IF(AG18="EC",12,1)*SUM(U18:U18)</f>
        <v>1</v>
      </c>
      <c r="T18" s="242" t="str">
        <f t="shared" si="2"/>
        <v>NorthBound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3"/>
        <v>https://d0f6bd738d7f1b3e5a7ca70fe4ff75f0.us-east-1.aws.found.io/app/kibana#/discover/Steve-Slow-Train-Analysis-(2080s-and-2083s)?_g=(refreshInterval:(display:Off,pause:!f,section:0,value:0),time:(from:'2017-12-17T03:20:07-0700',mode:absolute,to:'2017-12-17T05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247" t="str">
        <f>IF(AA18&lt;VLOOKUP(AG18,Variables!$AC$3:$AD$8,2,FALSE),"Y","N")</f>
        <v>Y</v>
      </c>
      <c r="X18" s="247">
        <f t="shared" si="4"/>
        <v>0</v>
      </c>
      <c r="Y18" s="247">
        <f t="shared" si="5"/>
        <v>1.9139999999999999</v>
      </c>
      <c r="Z18" s="247">
        <f t="shared" si="6"/>
        <v>23.3322</v>
      </c>
      <c r="AA18" s="247">
        <f t="shared" si="7"/>
        <v>21.418199999999999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8"/>
        <v>105</v>
      </c>
      <c r="AE18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8" s="234" t="str">
        <f t="shared" si="10"/>
        <v>"C:\Program Files (x86)\AstroGrep\AstroGrep.exe" /e /r /s /spath="%USERPROFILE%\AppData\Local\Temp\OnboardLogs" /stypes="app*4030*20171217*" /stext=" 11:.+((SYSTEM_STATE.+slice.+state.+changed )|(ment ac)|(multiple cpu faults)|(system.+state.+changed )|(\[timeout)|(PRM\|1\|D)|(kpr)|(kdp)|(train st.+moving)|(\|lc)|(penalty))"</v>
      </c>
      <c r="AG18" s="244" t="str">
        <f t="shared" si="11"/>
        <v>EC</v>
      </c>
      <c r="AH18" s="236" t="str">
        <f t="shared" si="17"/>
        <v>"%USERPROFILE%\Documents\GitHub\eaglep3\Utilities\RefineRTDCRunTimes.py" --tripid 105-17 --locoid 4030 --swversion DE.1.0.9.0 --startMP 204:19140 --initTime 2017-12-17T04:20:07 --startdatetime 2017-12-17T04:21:14 --delay 39 --endMP 204:233322 --enddatetime 2017-12-17T04:51:18 --enforcementcount 0 &gt;&gt;%USERPROFILE%\Documents\GitHub\eaglep3-reporting\EC\2017-12-17-refined-times.txt</v>
      </c>
      <c r="AI18" s="238" t="str">
        <f t="shared" si="18"/>
        <v>echo {"issue":{"subject":"Operator selected wrong track","project_id":79,"tracker_id":40,"status_id":1,"priority_id":2,"assigned_to_id":338,"start_date":"2017-12-17","description":"","custom_fields":[{"id":1,"name":"Subdivision","value":"EC"},{"id":4,"name":"Milepost","value":"23.3322"},{"id":17,"name":"Train ID","value":"105-17"},{"id":16,"name":"Locomotive ID","value":"4030"},{"id":130,"name":"Impact","value":""},{"id":150,"name":"Time of Event (Mountain Time)","value":"04:51:18"},{"id":151,"name":"Denver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19"/>
        <v>start /low /b %USERPROFILE%\Documents\GitHub\eaglep3\Utilities\DownloadLogsFromS3.py --loco 4030 --day 2017-12-17</v>
      </c>
      <c r="AN18" s="241" t="str">
        <f t="shared" si="20"/>
        <v>echo {"issue":{"subject":"Operator selected wrong track","project_id":30,"tracker_id":4,"status_id":1,"priority_id":1,"assigned_to_id":10,"start_date":"2017-12-17","description":"","custom_fields":[{"id":30,"name":"Category","value":"Issue"},{"id":3,"name":"Functional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1"/>
        <v>https://d0f6bd738d7f1b3e5a7ca70fe4ff75f0.us-east-1.aws.found.io/app/kibana#/discover/Steve-Slow-Train-Analysis-(2080s-and-2083s)?_g=(refreshInterval:(display:Off,pause:!f,section:0,value:0),time:(from:'2017-12-17T03:20:07-0700',mode:absolute,to:'2017-12-17T05:51:18-0700'))&amp;_a=(columns:!('Message%20ID',Summary),filters:!(),index:'emp_*',interval:auto,query:(query_string:(analyze_wildcard:!t,query:'%22rtdc.l.rtdc.4030%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735</v>
      </c>
      <c r="B19" s="225">
        <v>4029</v>
      </c>
      <c r="C19" s="227" t="s">
        <v>192</v>
      </c>
      <c r="D19" s="227" t="s">
        <v>912</v>
      </c>
      <c r="E19" s="226">
        <v>43086.21197916667</v>
      </c>
      <c r="F19" s="226">
        <v>43086.216944444444</v>
      </c>
      <c r="G19" s="225">
        <v>64</v>
      </c>
      <c r="H19" s="227" t="s">
        <v>582</v>
      </c>
      <c r="I19" s="226">
        <v>43086.242754629631</v>
      </c>
      <c r="J19" s="225">
        <v>0</v>
      </c>
      <c r="K19" s="237" t="str">
        <f t="shared" si="0"/>
        <v>4029/4030</v>
      </c>
      <c r="L19" s="245" t="str">
        <f>VLOOKUP(A19,'Trips&amp;Operators'!$C$1:$G$99911,5,FALSE)</f>
        <v>LOPES KIMBERLY</v>
      </c>
      <c r="M19" s="224">
        <f t="shared" si="1"/>
        <v>2.5810185186855961E-2</v>
      </c>
      <c r="N19" s="225">
        <f t="shared" ref="N19:N33" si="23">24*60*SUM($M19:$M19)</f>
        <v>37.166666669072583</v>
      </c>
      <c r="O19" s="225"/>
      <c r="P19" s="225"/>
      <c r="Q19" s="228"/>
      <c r="R19" s="242"/>
      <c r="S19" s="249">
        <f t="shared" si="22"/>
        <v>1</v>
      </c>
      <c r="T19" s="242" t="str">
        <f t="shared" si="2"/>
        <v>Southbound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3"/>
        <v>https://d0f6bd738d7f1b3e5a7ca70fe4ff75f0.us-east-1.aws.found.io/app/kibana#/discover/Steve-Slow-Train-Analysis-(2080s-and-2083s)?_g=(refreshInterval:(display:Off,pause:!f,section:0,value:0),time:(from:'2017-12-17T04:05:15-0700',mode:absolute,to:'2017-12-17T06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247" t="str">
        <f>IF(AA19&lt;VLOOKUP(AG19,Variables!$AC$3:$AD$8,2,FALSE),"Y","N")</f>
        <v>N</v>
      </c>
      <c r="X19" s="247">
        <f t="shared" si="4"/>
        <v>1</v>
      </c>
      <c r="Y19" s="247">
        <f t="shared" si="5"/>
        <v>23.3</v>
      </c>
      <c r="Z19" s="247">
        <f t="shared" si="6"/>
        <v>1.9800000000000002E-2</v>
      </c>
      <c r="AA19" s="247">
        <f t="shared" si="7"/>
        <v>23.280200000000001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8"/>
        <v>106</v>
      </c>
      <c r="AE19" s="235" t="str">
        <f t="shared" si="9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9" s="234" t="str">
        <f t="shared" si="10"/>
        <v>"C:\Program Files (x86)\AstroGrep\AstroGrep.exe" /e /r /s /spath="%USERPROFILE%\AppData\Local\Temp\OnboardLogs" /stypes="app*4029*20171217*" /stext=" 12:.+((SYSTEM_STATE.+slice.+state.+changed )|(ment ac)|(multiple cpu faults)|(system.+state.+changed )|(\[timeout)|(PRM\|1\|D)|(kpr)|(kdp)|(train st.+moving)|(\|lc)|(penalty))"</v>
      </c>
      <c r="AG19" s="244" t="str">
        <f t="shared" si="11"/>
        <v>EC</v>
      </c>
      <c r="AH19" s="236" t="str">
        <f t="shared" si="17"/>
        <v>"%USERPROFILE%\Documents\GitHub\eaglep3\Utilities\RefineRTDCRunTimes.py" --tripid 106-17 --locoid 4029 --swversion DE.1.0.9.0 --startMP 204:233000 --initTime 2017-12-17T05:05:15 --startdatetime 2017-12-17T05:12:24 --delay 64 --endMP 204:198 --enddatetime 2017-12-17T05:49:34 --enforcementcount 0 &gt;&gt;%USERPROFILE%\Documents\GitHub\eaglep3-reporting\EC\2017-12-17-refined-times.txt</v>
      </c>
      <c r="AI1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{"issue":{"subject":"","project_id":79,"tracker_id":40,"status_id":1,"priority_id":2,"assigned_to_id":338,"start_date":"2017-12-17","description":"","custom_fields":[{"id":1,"name":"Subdivision","value":"EC"},{"id":4,"name":"Milepost","value":"0.0198"},{"id":17,"name":"Train ID","value":"106-17"},{"id":16,"name":"Locomotive ID","value":"4029"},{"id":130,"name":"Impact","value":""},{"id":150,"name":"Time of Event (Mountain Time)","value":"05:49:34"},{"id":151,"name":"Denver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19"/>
        <v>start /low /b %USERPROFILE%\Documents\GitHub\eaglep3\Utilities\DownloadLogsFromS3.py --loco 4029 --day 2017-12-17</v>
      </c>
      <c r="AN1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1"/>
        <v>https://d0f6bd738d7f1b3e5a7ca70fe4ff75f0.us-east-1.aws.found.io/app/kibana#/discover/Steve-Slow-Train-Analysis-(2080s-and-2083s)?_g=(refreshInterval:(display:Off,pause:!f,section:0,value:0),time:(from:'2017-12-17T04:05:15-0700',mode:absolute,to:'2017-12-17T06:49:34-0700'))&amp;_a=(columns:!('Message%20ID',Summary),filters:!(),index:'emp_*',interval:auto,query:(query_string:(analyze_wildcard:!t,query:'%22rtdc.l.rtdc.4029%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694</v>
      </c>
      <c r="B20" s="225">
        <v>4004</v>
      </c>
      <c r="C20" s="227" t="s">
        <v>192</v>
      </c>
      <c r="D20" s="227" t="s">
        <v>486</v>
      </c>
      <c r="E20" s="226">
        <v>43086.184131944443</v>
      </c>
      <c r="F20" s="226">
        <v>43086.187673611108</v>
      </c>
      <c r="G20" s="225">
        <v>193</v>
      </c>
      <c r="H20" s="227" t="s">
        <v>649</v>
      </c>
      <c r="I20" s="226">
        <v>43086.212407407409</v>
      </c>
      <c r="J20" s="225">
        <v>0</v>
      </c>
      <c r="K20" s="237" t="str">
        <f t="shared" si="0"/>
        <v>4003/4004</v>
      </c>
      <c r="L20" s="245" t="str">
        <f>VLOOKUP(A20,'Trips&amp;Operators'!$C$1:$G$99911,5,FALSE)</f>
        <v>DELGADO DIANAH</v>
      </c>
      <c r="M20" s="224">
        <f t="shared" si="1"/>
        <v>2.4733796301006805E-2</v>
      </c>
      <c r="N20" s="225">
        <f t="shared" si="23"/>
        <v>35.616666673449799</v>
      </c>
      <c r="O20" s="225"/>
      <c r="P20" s="225"/>
      <c r="Q20" s="228"/>
      <c r="R20" s="242"/>
      <c r="S20" s="249">
        <f t="shared" si="22"/>
        <v>1</v>
      </c>
      <c r="T20" s="242" t="str">
        <f t="shared" si="2"/>
        <v>NorthBound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3"/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247" t="str">
        <f>IF(AA20&lt;VLOOKUP(AG20,Variables!$AC$3:$AD$8,2,FALSE),"Y","N")</f>
        <v>N</v>
      </c>
      <c r="X20" s="247">
        <f t="shared" si="4"/>
        <v>1</v>
      </c>
      <c r="Y20" s="247">
        <f t="shared" si="5"/>
        <v>5.0900000000000001E-2</v>
      </c>
      <c r="Z20" s="247">
        <f t="shared" si="6"/>
        <v>23.3355</v>
      </c>
      <c r="AA20" s="247">
        <f t="shared" si="7"/>
        <v>23.284600000000001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8"/>
        <v>107</v>
      </c>
      <c r="AE20" s="235" t="str">
        <f t="shared" si="9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20" s="234" t="str">
        <f t="shared" si="10"/>
        <v>"C:\Program Files (x86)\AstroGrep\AstroGrep.exe" /e /r /s /spath="%USERPROFILE%\AppData\Local\Temp\OnboardLogs" /stypes="app*4004*20171217*" /stext=" 12:.+((SYSTEM_STATE.+slice.+state.+changed )|(ment ac)|(multiple cpu faults)|(system.+state.+changed )|(\[timeout)|(PRM\|1\|D)|(kpr)|(kdp)|(train st.+moving)|(\|lc)|(penalty))"</v>
      </c>
      <c r="AG20" s="244" t="str">
        <f t="shared" si="11"/>
        <v>EC</v>
      </c>
      <c r="AH20" s="236" t="str">
        <f t="shared" si="17"/>
        <v>"%USERPROFILE%\Documents\GitHub\eaglep3\Utilities\RefineRTDCRunTimes.py" --tripid 107-17 --locoid 4004 --swversion DE.1.0.9.0 --startMP 204:509 --initTime 2017-12-17T04:25:09 --startdatetime 2017-12-17T04:30:15 --delay 193 --endMP 204:233355 --enddatetime 2017-12-17T05:05:52 --enforcementcount 0 &gt;&gt;%USERPROFILE%\Documents\GitHub\eaglep3-reporting\EC\2017-12-17-refined-times.txt</v>
      </c>
      <c r="AI2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{"issue":{"subject":"","project_id":79,"tracker_id":40,"status_id":1,"priority_id":2,"assigned_to_id":338,"start_date":"2017-12-17","description":"","custom_fields":[{"id":1,"name":"Subdivision","value":"EC"},{"id":4,"name":"Milepost","value":"23.3355"},{"id":17,"name":"Train ID","value":"107-17"},{"id":16,"name":"Locomotive ID","value":"4004"},{"id":130,"name":"Impact","value":""},{"id":150,"name":"Time of Event (Mountain Time)","value":"05:05:52"},{"id":151,"name":"Denver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19"/>
        <v>start /low /b %USERPROFILE%\Documents\GitHub\eaglep3\Utilities\DownloadLogsFromS3.py --loco 4004 --day 2017-12-17</v>
      </c>
      <c r="AN2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1"/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Message%20ID',Summary),filters:!(),index:'emp_*',interval:auto,query:(query_string:(analyze_wildcard:!t,query:'%22rtdc.l.rtdc.4004%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696</v>
      </c>
      <c r="B21" s="225">
        <v>4003</v>
      </c>
      <c r="C21" s="227" t="s">
        <v>192</v>
      </c>
      <c r="D21" s="227" t="s">
        <v>913</v>
      </c>
      <c r="E21" s="226">
        <v>43086.21398148148</v>
      </c>
      <c r="F21" s="226">
        <v>43086.227384259262</v>
      </c>
      <c r="G21" s="225">
        <v>59</v>
      </c>
      <c r="H21" s="227" t="s">
        <v>659</v>
      </c>
      <c r="I21" s="226">
        <v>43086.253148148149</v>
      </c>
      <c r="J21" s="225">
        <v>0</v>
      </c>
      <c r="K21" s="237" t="str">
        <f t="shared" si="0"/>
        <v>4003/4004</v>
      </c>
      <c r="L21" s="245" t="str">
        <f>VLOOKUP(A21,'Trips&amp;Operators'!$C$1:$G$99911,5,FALSE)</f>
        <v>DELGADO DIANAH</v>
      </c>
      <c r="M21" s="224">
        <f t="shared" si="1"/>
        <v>2.5763888887013309E-2</v>
      </c>
      <c r="N21" s="225">
        <f t="shared" si="23"/>
        <v>37.099999997299165</v>
      </c>
      <c r="O21" s="225"/>
      <c r="P21" s="225"/>
      <c r="Q21" s="228"/>
      <c r="R21" s="242"/>
      <c r="S21" s="249">
        <f t="shared" si="22"/>
        <v>1</v>
      </c>
      <c r="T21" s="242" t="str">
        <f t="shared" si="2"/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3"/>
        <v>https://d0f6bd738d7f1b3e5a7ca70fe4ff75f0.us-east-1.aws.found.io/app/kibana#/discover/Steve-Slow-Train-Analysis-(2080s-and-2083s)?_g=(refreshInterval:(display:Off,pause:!f,section:0,value:0),time:(from:'2017-12-17T04:08:08-0700',mode:absolute,to:'2017-12-17T07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247" t="str">
        <f>IF(AA21&lt;VLOOKUP(AG21,Variables!$AC$3:$AD$8,2,FALSE),"Y","N")</f>
        <v>N</v>
      </c>
      <c r="X21" s="247">
        <f t="shared" si="4"/>
        <v>1</v>
      </c>
      <c r="Y21" s="247">
        <f t="shared" si="5"/>
        <v>23.302099999999999</v>
      </c>
      <c r="Z21" s="247">
        <f t="shared" si="6"/>
        <v>2.87E-2</v>
      </c>
      <c r="AA21" s="247">
        <f t="shared" si="7"/>
        <v>23.273399999999999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8"/>
        <v>108</v>
      </c>
      <c r="AE21" s="235" t="str">
        <f t="shared" si="9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1" s="234" t="str">
        <f t="shared" si="10"/>
        <v>"C:\Program Files (x86)\AstroGrep\AstroGrep.exe" /e /r /s /spath="%USERPROFILE%\AppData\Local\Temp\OnboardLogs" /stypes="app*4003*20171217*" /stext=" 13:.+((SYSTEM_STATE.+slice.+state.+changed )|(ment ac)|(multiple cpu faults)|(system.+state.+changed )|(\[timeout)|(PRM\|1\|D)|(kpr)|(kdp)|(train st.+moving)|(\|lc)|(penalty))"</v>
      </c>
      <c r="AG21" s="244" t="str">
        <f t="shared" si="11"/>
        <v>EC</v>
      </c>
      <c r="AH21" s="236" t="str">
        <f t="shared" si="17"/>
        <v>"%USERPROFILE%\Documents\GitHub\eaglep3\Utilities\RefineRTDCRunTimes.py" --tripid 108-17 --locoid 4003 --swversion DE.1.0.9.0 --startMP 204:233021 --initTime 2017-12-17T05:08:08 --startdatetime 2017-12-17T05:27:26 --delay 59 --endMP 204:287 --enddatetime 2017-12-17T06:04:32 --enforcementcount 0 &gt;&gt;%USERPROFILE%\Documents\GitHub\eaglep3-reporting\EC\2017-12-17-refined-times.txt</v>
      </c>
      <c r="AI2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{"issue":{"subject":"","project_id":79,"tracker_id":40,"status_id":1,"priority_id":2,"assigned_to_id":338,"start_date":"2017-12-17","description":"","custom_fields":[{"id":1,"name":"Subdivision","value":"EC"},{"id":4,"name":"Milepost","value":"0.0287"},{"id":17,"name":"Train ID","value":"108-17"},{"id":16,"name":"Locomotive ID","value":"4003"},{"id":130,"name":"Impact","value":""},{"id":150,"name":"Time of Event (Mountain Time)","value":"06:04:32"},{"id":151,"name":"Denver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19"/>
        <v>start /low /b %USERPROFILE%\Documents\GitHub\eaglep3\Utilities\DownloadLogsFromS3.py --loco 4003 --day 2017-12-17</v>
      </c>
      <c r="AN2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1"/>
        <v>https://d0f6bd738d7f1b3e5a7ca70fe4ff75f0.us-east-1.aws.found.io/app/kibana#/discover/Steve-Slow-Train-Analysis-(2080s-and-2083s)?_g=(refreshInterval:(display:Off,pause:!f,section:0,value:0),time:(from:'2017-12-17T04:08:08-0700',mode:absolute,to:'2017-12-17T07:04:32-0700'))&amp;_a=(columns:!('Message%20ID',Summary),filters:!(),index:'emp_*',interval:auto,query:(query_string:(analyze_wildcard:!t,query:'%22rtdc.l.rtdc.4003%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729</v>
      </c>
      <c r="B22" s="225">
        <v>4032</v>
      </c>
      <c r="C22" s="227" t="s">
        <v>192</v>
      </c>
      <c r="D22" s="227" t="s">
        <v>572</v>
      </c>
      <c r="E22" s="226">
        <v>43086.19358796296</v>
      </c>
      <c r="F22" s="226">
        <v>43086.198125000003</v>
      </c>
      <c r="G22" s="225">
        <v>68</v>
      </c>
      <c r="H22" s="227" t="s">
        <v>914</v>
      </c>
      <c r="I22" s="226">
        <v>43086.222361111111</v>
      </c>
      <c r="J22" s="225">
        <v>0</v>
      </c>
      <c r="K22" s="237" t="str">
        <f t="shared" si="0"/>
        <v>4031/4032</v>
      </c>
      <c r="L22" s="245" t="str">
        <f>VLOOKUP(A22,'Trips&amp;Operators'!$C$1:$G$99911,5,FALSE)</f>
        <v>GEBRETEKLE DAGNEW</v>
      </c>
      <c r="M22" s="224">
        <f t="shared" si="1"/>
        <v>2.4236111108621117E-2</v>
      </c>
      <c r="N22" s="225">
        <f t="shared" si="23"/>
        <v>34.899999996414408</v>
      </c>
      <c r="O22" s="225"/>
      <c r="P22" s="225"/>
      <c r="Q22" s="228"/>
      <c r="R22" s="242"/>
      <c r="S22" s="249">
        <f t="shared" si="22"/>
        <v>1</v>
      </c>
      <c r="T22" s="242" t="str">
        <f t="shared" si="2"/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3"/>
        <v>https://d0f6bd738d7f1b3e5a7ca70fe4ff75f0.us-east-1.aws.found.io/app/kibana#/discover/Steve-Slow-Train-Analysis-(2080s-and-2083s)?_g=(refreshInterval:(display:Off,pause:!f,section:0,value:0),time:(from:'2017-12-17T03:38:46-0700',mode:absolute,to:'2017-12-17T06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247" t="str">
        <f>IF(AA22&lt;VLOOKUP(AG22,Variables!$AC$3:$AD$8,2,FALSE),"Y","N")</f>
        <v>N</v>
      </c>
      <c r="X22" s="247">
        <f t="shared" si="4"/>
        <v>1</v>
      </c>
      <c r="Y22" s="247">
        <f t="shared" si="5"/>
        <v>4.6600000000000003E-2</v>
      </c>
      <c r="Z22" s="247">
        <f t="shared" si="6"/>
        <v>23.332999999999998</v>
      </c>
      <c r="AA22" s="247">
        <f t="shared" si="7"/>
        <v>23.286399999999997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8"/>
        <v>109</v>
      </c>
      <c r="AE22" s="235" t="str">
        <f t="shared" si="9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22" s="234" t="str">
        <f t="shared" si="10"/>
        <v>"C:\Program Files (x86)\AstroGrep\AstroGrep.exe" /e /r /s /spath="%USERPROFILE%\AppData\Local\Temp\OnboardLogs" /stypes="app*4032*20171217*" /stext=" 12:.+((SYSTEM_STATE.+slice.+state.+changed )|(ment ac)|(multiple cpu faults)|(system.+state.+changed )|(\[timeout)|(PRM\|1\|D)|(kpr)|(kdp)|(train st.+moving)|(\|lc)|(penalty))"</v>
      </c>
      <c r="AG22" s="244" t="str">
        <f t="shared" si="11"/>
        <v>EC</v>
      </c>
      <c r="AH22" s="236" t="str">
        <f t="shared" si="17"/>
        <v>"%USERPROFILE%\Documents\GitHub\eaglep3\Utilities\RefineRTDCRunTimes.py" --tripid 109-17 --locoid 4032 --swversion DE.1.0.9.0 --startMP 204:466 --initTime 2017-12-17T04:38:46 --startdatetime 2017-12-17T04:45:18 --delay 68 --endMP 204:233330 --enddatetime 2017-12-17T05:20:12 --enforcementcount 0 &gt;&gt;%USERPROFILE%\Documents\GitHub\eaglep3-reporting\EC\2017-12-17-refined-times.txt</v>
      </c>
      <c r="AI2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{"issue":{"subject":"","project_id":79,"tracker_id":40,"status_id":1,"priority_id":2,"assigned_to_id":338,"start_date":"2017-12-17","description":"","custom_fields":[{"id":1,"name":"Subdivision","value":"EC"},{"id":4,"name":"Milepost","value":"23.333"},{"id":17,"name":"Train ID","value":"109-17"},{"id":16,"name":"Locomotive ID","value":"4032"},{"id":130,"name":"Impact","value":""},{"id":150,"name":"Time of Event (Mountain Time)","value":"05:20:12"},{"id":151,"name":"Denver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19"/>
        <v>start /low /b %USERPROFILE%\Documents\GitHub\eaglep3\Utilities\DownloadLogsFromS3.py --loco 4032 --day 2017-12-17</v>
      </c>
      <c r="AN2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1"/>
        <v>https://d0f6bd738d7f1b3e5a7ca70fe4ff75f0.us-east-1.aws.found.io/app/kibana#/discover/Steve-Slow-Train-Analysis-(2080s-and-2083s)?_g=(refreshInterval:(display:Off,pause:!f,section:0,value:0),time:(from:'2017-12-17T03:38:46-0700',mode:absolute,to:'2017-12-17T06:20:12-0700'))&amp;_a=(columns:!('Message%20ID',Summary),filters:!(),index:'emp_*',interval:auto,query:(query_string:(analyze_wildcard:!t,query:'%22rtdc.l.rtdc.4032%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738</v>
      </c>
      <c r="B23" s="225">
        <v>4031</v>
      </c>
      <c r="C23" s="227" t="s">
        <v>192</v>
      </c>
      <c r="D23" s="227" t="s">
        <v>915</v>
      </c>
      <c r="E23" s="226">
        <v>43086.223622685182</v>
      </c>
      <c r="F23" s="226">
        <v>43086.237685185188</v>
      </c>
      <c r="G23" s="225">
        <v>53</v>
      </c>
      <c r="H23" s="227" t="s">
        <v>916</v>
      </c>
      <c r="I23" s="226">
        <v>43086.26358796296</v>
      </c>
      <c r="J23" s="225">
        <v>0</v>
      </c>
      <c r="K23" s="237" t="str">
        <f t="shared" si="0"/>
        <v>4031/4032</v>
      </c>
      <c r="L23" s="245" t="str">
        <f>VLOOKUP(A23,'Trips&amp;Operators'!$C$1:$G$99911,5,FALSE)</f>
        <v>GEBRETEKLE DAGNEW</v>
      </c>
      <c r="M23" s="224">
        <f t="shared" si="1"/>
        <v>2.5902777771989349E-2</v>
      </c>
      <c r="N23" s="225">
        <f t="shared" si="23"/>
        <v>37.299999991664663</v>
      </c>
      <c r="O23" s="225"/>
      <c r="P23" s="225"/>
      <c r="Q23" s="228"/>
      <c r="R23" s="242"/>
      <c r="S23" s="249">
        <f t="shared" si="22"/>
        <v>1</v>
      </c>
      <c r="T23" s="242" t="str">
        <f t="shared" si="2"/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3"/>
        <v>https://d0f6bd738d7f1b3e5a7ca70fe4ff75f0.us-east-1.aws.found.io/app/kibana#/discover/Steve-Slow-Train-Analysis-(2080s-and-2083s)?_g=(refreshInterval:(display:Off,pause:!f,section:0,value:0),time:(from:'2017-12-17T04:22:01-0700',mode:absolute,to:'2017-12-17T07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247" t="str">
        <f>IF(AA23&lt;VLOOKUP(AG23,Variables!$AC$3:$AD$8,2,FALSE),"Y","N")</f>
        <v>N</v>
      </c>
      <c r="X23" s="247">
        <f t="shared" si="4"/>
        <v>1</v>
      </c>
      <c r="Y23" s="247">
        <f t="shared" si="5"/>
        <v>23.299600000000002</v>
      </c>
      <c r="Z23" s="247">
        <f t="shared" si="6"/>
        <v>1.4500000000000001E-2</v>
      </c>
      <c r="AA23" s="247">
        <f t="shared" si="7"/>
        <v>23.2851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8"/>
        <v>110</v>
      </c>
      <c r="AE23" s="235" t="str">
        <f t="shared" si="9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23" s="234" t="str">
        <f t="shared" si="10"/>
        <v>"C:\Program Files (x86)\AstroGrep\AstroGrep.exe" /e /r /s /spath="%USERPROFILE%\AppData\Local\Temp\OnboardLogs" /stypes="app*4031*20171217*" /stext=" 13:.+((SYSTEM_STATE.+slice.+state.+changed )|(ment ac)|(multiple cpu faults)|(system.+state.+changed )|(\[timeout)|(PRM\|1\|D)|(kpr)|(kdp)|(train st.+moving)|(\|lc)|(penalty))"</v>
      </c>
      <c r="AG23" s="244" t="str">
        <f t="shared" si="11"/>
        <v>EC</v>
      </c>
      <c r="AH23" s="236" t="str">
        <f t="shared" si="17"/>
        <v>"%USERPROFILE%\Documents\GitHub\eaglep3\Utilities\RefineRTDCRunTimes.py" --tripid 110-17 --locoid 4031 --swversion DE.1.0.9.0 --startMP 204:232996 --initTime 2017-12-17T05:22:01 --startdatetime 2017-12-17T05:42:16 --delay 53 --endMP 204:145 --enddatetime 2017-12-17T06:19:34 --enforcementcount 0 &gt;&gt;%USERPROFILE%\Documents\GitHub\eaglep3-reporting\EC\2017-12-17-refined-times.txt</v>
      </c>
      <c r="AI2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{"issue":{"subject":"","project_id":79,"tracker_id":40,"status_id":1,"priority_id":2,"assigned_to_id":338,"start_date":"2017-12-17","description":"","custom_fields":[{"id":1,"name":"Subdivision","value":"EC"},{"id":4,"name":"Milepost","value":"0.0145"},{"id":17,"name":"Train ID","value":"110-17"},{"id":16,"name":"Locomotive ID","value":"4031"},{"id":130,"name":"Impact","value":""},{"id":150,"name":"Time of Event (Mountain Time)","value":"06:19:34"},{"id":151,"name":"Denver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19"/>
        <v>start /low /b %USERPROFILE%\Documents\GitHub\eaglep3\Utilities\DownloadLogsFromS3.py --loco 4031 --day 2017-12-17</v>
      </c>
      <c r="AN2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1"/>
        <v>https://d0f6bd738d7f1b3e5a7ca70fe4ff75f0.us-east-1.aws.found.io/app/kibana#/discover/Steve-Slow-Train-Analysis-(2080s-and-2083s)?_g=(refreshInterval:(display:Off,pause:!f,section:0,value:0),time:(from:'2017-12-17T04:22:01-0700',mode:absolute,to:'2017-12-17T07:19:34-0700'))&amp;_a=(columns:!('Message%20ID',Summary),filters:!(),index:'emp_*',interval:auto,query:(query_string:(analyze_wildcard:!t,query:'%22rtdc.l.rtdc.4031%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732</v>
      </c>
      <c r="B24" s="225">
        <v>4054</v>
      </c>
      <c r="C24" s="227" t="s">
        <v>192</v>
      </c>
      <c r="D24" s="227" t="s">
        <v>656</v>
      </c>
      <c r="E24" s="226">
        <v>43086.203518518516</v>
      </c>
      <c r="F24" s="226">
        <v>43086.208587962959</v>
      </c>
      <c r="G24" s="225">
        <v>86</v>
      </c>
      <c r="H24" s="227" t="s">
        <v>556</v>
      </c>
      <c r="I24" s="226">
        <v>43086.235567129632</v>
      </c>
      <c r="J24" s="225">
        <v>0</v>
      </c>
      <c r="K24" s="237" t="str">
        <f t="shared" si="0"/>
        <v>4053/4054</v>
      </c>
      <c r="L24" s="245" t="str">
        <f>VLOOKUP(A24,'Trips&amp;Operators'!$C$1:$G$99911,5,FALSE)</f>
        <v>STRICKLAND EVAN</v>
      </c>
      <c r="M24" s="224">
        <f t="shared" si="1"/>
        <v>2.697916667239042E-2</v>
      </c>
      <c r="N24" s="225">
        <f t="shared" si="23"/>
        <v>38.850000008242205</v>
      </c>
      <c r="O24" s="225"/>
      <c r="P24" s="225"/>
      <c r="Q24" s="228"/>
      <c r="R24" s="242" t="s">
        <v>1106</v>
      </c>
      <c r="S24" s="249">
        <f t="shared" si="22"/>
        <v>1</v>
      </c>
      <c r="T24" s="242" t="str">
        <f t="shared" si="2"/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3"/>
        <v>https://d0f6bd738d7f1b3e5a7ca70fe4ff75f0.us-east-1.aws.found.io/app/kibana#/discover/Steve-Slow-Train-Analysis-(2080s-and-2083s)?_g=(refreshInterval:(display:Off,pause:!f,section:0,value:0),time:(from:'2017-12-17T03:53:04-0700',mode:absolute,to:'2017-12-17T06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247" t="str">
        <f>IF(AA24&lt;VLOOKUP(AG24,Variables!$AC$3:$AD$8,2,FALSE),"Y","N")</f>
        <v>N</v>
      </c>
      <c r="X24" s="247">
        <f t="shared" si="4"/>
        <v>1</v>
      </c>
      <c r="Y24" s="247">
        <f t="shared" si="5"/>
        <v>4.7800000000000002E-2</v>
      </c>
      <c r="Z24" s="247">
        <f t="shared" si="6"/>
        <v>23.325900000000001</v>
      </c>
      <c r="AA24" s="247">
        <f t="shared" si="7"/>
        <v>23.278100000000002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8"/>
        <v>111</v>
      </c>
      <c r="AE24" s="235" t="str">
        <f t="shared" si="9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24" s="234" t="str">
        <f t="shared" si="10"/>
        <v>"C:\Program Files (x86)\AstroGrep\AstroGrep.exe" /e /r /s /spath="%USERPROFILE%\AppData\Local\Temp\OnboardLogs" /stypes="app*4054*20171217*" /stext=" 12:.+((SYSTEM_STATE.+slice.+state.+changed )|(ment ac)|(multiple cpu faults)|(system.+state.+changed )|(\[timeout)|(PRM\|1\|D)|(kpr)|(kdp)|(train st.+moving)|(\|lc)|(penalty))"</v>
      </c>
      <c r="AG24" s="244" t="str">
        <f t="shared" si="11"/>
        <v>EC</v>
      </c>
      <c r="AH24" s="236" t="str">
        <f t="shared" si="17"/>
        <v>"%USERPROFILE%\Documents\GitHub\eaglep3\Utilities\RefineRTDCRunTimes.py" --tripid 111-17 --locoid 4054 --swversion DE.1.0.9.0 --startMP 204:478 --initTime 2017-12-17T04:53:04 --startdatetime 2017-12-17T05:00:22 --delay 86 --endMP 204:233259 --enddatetime 2017-12-17T05:39:13 --enforcementcount 0 &gt;&gt;%USERPROFILE%\Documents\GitHub\eaglep3-reporting\EC\2017-12-17-refined-times.txt</v>
      </c>
      <c r="AI24" s="238" t="str">
        <f t="shared" si="18"/>
        <v>echo {"issue":{"subject":"Observed unhealthy xing banner at Ulster due to Wi-MAX data drop, no PTC enforcement","project_id":79,"tracker_id":40,"status_id":1,"priority_id":2,"assigned_to_id":338,"start_date":"2017-12-17","description":"","custom_fields":[{"id":1,"name":"Subdivision","value":"EC"},{"id":4,"name":"Milepost","value":"23.3259"},{"id":17,"name":"Train ID","value":"111-17"},{"id":16,"name":"Locomotive ID","value":"4054"},{"id":130,"name":"Impact","value":""},{"id":150,"name":"Time of Event (Mountain Time)","value":"05:39:13"},{"id":151,"name":"Denver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19"/>
        <v>start /low /b %USERPROFILE%\Documents\GitHub\eaglep3\Utilities\DownloadLogsFromS3.py --loco 4054 --day 2017-12-17</v>
      </c>
      <c r="AN24" s="241" t="str">
        <f t="shared" si="20"/>
        <v>echo {"issue":{"subject":"Observed unhealthy xing banner at Ulster due to Wi-MAX data drop, no PTC enforcement","project_id":30,"tracker_id":4,"status_id":1,"priority_id":1,"assigned_to_id":10,"start_date":"2017-12-17","description":"","custom_fields":[{"id":30,"name":"Category","value":"Issue"},{"id":3,"name":"Functional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1"/>
        <v>https://d0f6bd738d7f1b3e5a7ca70fe4ff75f0.us-east-1.aws.found.io/app/kibana#/discover/Steve-Slow-Train-Analysis-(2080s-and-2083s)?_g=(refreshInterval:(display:Off,pause:!f,section:0,value:0),time:(from:'2017-12-17T03:53:04-0700',mode:absolute,to:'2017-12-17T06:39:13-0700'))&amp;_a=(columns:!('Message%20ID',Summary),filters:!(),index:'emp_*',interval:auto,query:(query_string:(analyze_wildcard:!t,query:'%22rtdc.l.rtdc.4054%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743</v>
      </c>
      <c r="B25" s="225">
        <v>4053</v>
      </c>
      <c r="C25" s="227" t="s">
        <v>192</v>
      </c>
      <c r="D25" s="227" t="s">
        <v>646</v>
      </c>
      <c r="E25" s="226">
        <v>43086.237175925926</v>
      </c>
      <c r="F25" s="226">
        <v>43086.248287037037</v>
      </c>
      <c r="G25" s="225">
        <v>96</v>
      </c>
      <c r="H25" s="227" t="s">
        <v>917</v>
      </c>
      <c r="I25" s="226">
        <v>43086.274675925924</v>
      </c>
      <c r="J25" s="225">
        <v>0</v>
      </c>
      <c r="K25" s="237" t="str">
        <f t="shared" si="0"/>
        <v>4053/4054</v>
      </c>
      <c r="L25" s="245" t="str">
        <f>VLOOKUP(A25,'Trips&amp;Operators'!$C$1:$G$99911,5,FALSE)</f>
        <v>STRICKLAND EVAN</v>
      </c>
      <c r="M25" s="224">
        <f t="shared" si="1"/>
        <v>2.6388888887595385E-2</v>
      </c>
      <c r="N25" s="225">
        <f t="shared" si="23"/>
        <v>37.999999998137355</v>
      </c>
      <c r="O25" s="225"/>
      <c r="P25" s="225"/>
      <c r="Q25" s="228"/>
      <c r="R25" s="242"/>
      <c r="S25" s="249">
        <f t="shared" si="22"/>
        <v>1</v>
      </c>
      <c r="T25" s="242" t="str">
        <f t="shared" si="2"/>
        <v>Southbound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3"/>
        <v>https://d0f6bd738d7f1b3e5a7ca70fe4ff75f0.us-east-1.aws.found.io/app/kibana#/discover/Steve-Slow-Train-Analysis-(2080s-and-2083s)?_g=(refreshInterval:(display:Off,pause:!f,section:0,value:0),time:(from:'2017-12-17T04:41:32-0700',mode:absolute,to:'2017-12-17T07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247" t="str">
        <f>IF(AA25&lt;VLOOKUP(AG25,Variables!$AC$3:$AD$8,2,FALSE),"Y","N")</f>
        <v>N</v>
      </c>
      <c r="X25" s="247">
        <f t="shared" si="4"/>
        <v>1</v>
      </c>
      <c r="Y25" s="247">
        <f t="shared" si="5"/>
        <v>23.295300000000001</v>
      </c>
      <c r="Z25" s="247">
        <f t="shared" si="6"/>
        <v>2.1600000000000001E-2</v>
      </c>
      <c r="AA25" s="247">
        <f t="shared" si="7"/>
        <v>23.273700000000002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8"/>
        <v>112</v>
      </c>
      <c r="AE25" s="235" t="str">
        <f t="shared" si="9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25" s="234" t="str">
        <f t="shared" si="10"/>
        <v>"C:\Program Files (x86)\AstroGrep\AstroGrep.exe" /e /r /s /spath="%USERPROFILE%\AppData\Local\Temp\OnboardLogs" /stypes="app*4053*20171217*" /stext=" 13:.+((SYSTEM_STATE.+slice.+state.+changed )|(ment ac)|(multiple cpu faults)|(system.+state.+changed )|(\[timeout)|(PRM\|1\|D)|(kpr)|(kdp)|(train st.+moving)|(\|lc)|(penalty))"</v>
      </c>
      <c r="AG25" s="244" t="str">
        <f t="shared" si="11"/>
        <v>EC</v>
      </c>
      <c r="AH25" s="236" t="str">
        <f t="shared" si="17"/>
        <v>"%USERPROFILE%\Documents\GitHub\eaglep3\Utilities\RefineRTDCRunTimes.py" --tripid 112-17 --locoid 4053 --swversion DE.1.0.9.0 --startMP 204:232953 --initTime 2017-12-17T05:41:32 --startdatetime 2017-12-17T05:57:32 --delay 96 --endMP 204:216 --enddatetime 2017-12-17T06:35:32 --enforcementcount 0 &gt;&gt;%USERPROFILE%\Documents\GitHub\eaglep3-reporting\EC\2017-12-17-refined-times.txt</v>
      </c>
      <c r="AI2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{"issue":{"subject":"","project_id":79,"tracker_id":40,"status_id":1,"priority_id":2,"assigned_to_id":338,"start_date":"2017-12-17","description":"","custom_fields":[{"id":1,"name":"Subdivision","value":"EC"},{"id":4,"name":"Milepost","value":"0.0216"},{"id":17,"name":"Train ID","value":"112-17"},{"id":16,"name":"Locomotive ID","value":"4053"},{"id":130,"name":"Impact","value":""},{"id":150,"name":"Time of Event (Mountain Time)","value":"06:35:32"},{"id":151,"name":"Denver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19"/>
        <v>start /low /b %USERPROFILE%\Documents\GitHub\eaglep3\Utilities\DownloadLogsFromS3.py --loco 4053 --day 2017-12-17</v>
      </c>
      <c r="AN2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1"/>
        <v>https://d0f6bd738d7f1b3e5a7ca70fe4ff75f0.us-east-1.aws.found.io/app/kibana#/discover/Steve-Slow-Train-Analysis-(2080s-and-2083s)?_g=(refreshInterval:(display:Off,pause:!f,section:0,value:0),time:(from:'2017-12-17T04:41:32-0700',mode:absolute,to:'2017-12-17T07:35:32-0700'))&amp;_a=(columns:!('Message%20ID',Summary),filters:!(),index:'emp_*',interval:auto,query:(query_string:(analyze_wildcard:!t,query:'%22rtdc.l.rtdc.4053%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736</v>
      </c>
      <c r="B26" s="225">
        <v>4040</v>
      </c>
      <c r="C26" s="227" t="s">
        <v>192</v>
      </c>
      <c r="D26" s="227" t="s">
        <v>644</v>
      </c>
      <c r="E26" s="226">
        <v>43086.213206018518</v>
      </c>
      <c r="F26" s="226">
        <v>43086.218923611108</v>
      </c>
      <c r="G26" s="225">
        <v>86</v>
      </c>
      <c r="H26" s="227" t="s">
        <v>918</v>
      </c>
      <c r="I26" s="226">
        <v>43086.244490740741</v>
      </c>
      <c r="J26" s="225">
        <v>0</v>
      </c>
      <c r="K26" s="237" t="str">
        <f t="shared" si="0"/>
        <v>4039/4040</v>
      </c>
      <c r="L26" s="245" t="str">
        <f>VLOOKUP(A26,'Trips&amp;Operators'!$C$1:$G$99911,5,FALSE)</f>
        <v>WILLIAMS DONTE</v>
      </c>
      <c r="M26" s="224">
        <f t="shared" si="1"/>
        <v>2.5567129632690921E-2</v>
      </c>
      <c r="N26" s="225">
        <f t="shared" si="23"/>
        <v>36.816666671074927</v>
      </c>
      <c r="O26" s="225"/>
      <c r="P26" s="225"/>
      <c r="Q26" s="228"/>
      <c r="R26" s="242"/>
      <c r="S26" s="249">
        <f t="shared" si="22"/>
        <v>1</v>
      </c>
      <c r="T26" s="242" t="str">
        <f t="shared" si="2"/>
        <v>NorthBound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3"/>
        <v>https://d0f6bd738d7f1b3e5a7ca70fe4ff75f0.us-east-1.aws.found.io/app/kibana#/discover/Steve-Slow-Train-Analysis-(2080s-and-2083s)?_g=(refreshInterval:(display:Off,pause:!f,section:0,value:0),time:(from:'2017-12-17T04:07:01-0700',mode:absolute,to:'2017-12-17T06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6" s="247" t="str">
        <f>IF(AA26&lt;VLOOKUP(AG26,Variables!$AC$3:$AD$8,2,FALSE),"Y","N")</f>
        <v>N</v>
      </c>
      <c r="X26" s="247">
        <f t="shared" si="4"/>
        <v>1</v>
      </c>
      <c r="Y26" s="247">
        <f t="shared" si="5"/>
        <v>5.04E-2</v>
      </c>
      <c r="Z26" s="247">
        <f t="shared" si="6"/>
        <v>23.3232</v>
      </c>
      <c r="AA26" s="247">
        <f t="shared" si="7"/>
        <v>23.2728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8"/>
        <v>113</v>
      </c>
      <c r="AE26" s="235" t="str">
        <f t="shared" si="9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26" s="234" t="str">
        <f t="shared" si="10"/>
        <v>"C:\Program Files (x86)\AstroGrep\AstroGrep.exe" /e /r /s /spath="%USERPROFILE%\AppData\Local\Temp\OnboardLogs" /stypes="app*4040*20171217*" /stext=" 12:.+((SYSTEM_STATE.+slice.+state.+changed )|(ment ac)|(multiple cpu faults)|(system.+state.+changed )|(\[timeout)|(PRM\|1\|D)|(kpr)|(kdp)|(train st.+moving)|(\|lc)|(penalty))"</v>
      </c>
      <c r="AG26" s="244" t="str">
        <f t="shared" si="11"/>
        <v>EC</v>
      </c>
      <c r="AH26" s="236" t="str">
        <f t="shared" si="17"/>
        <v>"%USERPROFILE%\Documents\GitHub\eaglep3\Utilities\RefineRTDCRunTimes.py" --tripid 113-17 --locoid 4040 --swversion DE.1.0.9.0 --startMP 204:504 --initTime 2017-12-17T05:07:01 --startdatetime 2017-12-17T05:15:15 --delay 86 --endMP 204:233232 --enddatetime 2017-12-17T05:52:04 --enforcementcount 0 &gt;&gt;%USERPROFILE%\Documents\GitHub\eaglep3-reporting\EC\2017-12-17-refined-times.txt</v>
      </c>
      <c r="AI2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{"issue":{"subject":"","project_id":79,"tracker_id":40,"status_id":1,"priority_id":2,"assigned_to_id":338,"start_date":"2017-12-17","description":"","custom_fields":[{"id":1,"name":"Subdivision","value":"EC"},{"id":4,"name":"Milepost","value":"23.3232"},{"id":17,"name":"Train ID","value":"113-17"},{"id":16,"name":"Locomotive ID","value":"4040"},{"id":130,"name":"Impact","value":""},{"id":150,"name":"Time of Event (Mountain Time)","value":"05:52:04"},{"id":151,"name":"Denver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19"/>
        <v>start /low /b %USERPROFILE%\Documents\GitHub\eaglep3\Utilities\DownloadLogsFromS3.py --loco 4040 --day 2017-12-17</v>
      </c>
      <c r="AN2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1"/>
        <v>https://d0f6bd738d7f1b3e5a7ca70fe4ff75f0.us-east-1.aws.found.io/app/kibana#/discover/Steve-Slow-Train-Analysis-(2080s-and-2083s)?_g=(refreshInterval:(display:Off,pause:!f,section:0,value:0),time:(from:'2017-12-17T04:07:01-0700',mode:absolute,to:'2017-12-17T06:52:04-0700'))&amp;_a=(columns:!('Message%20ID',Summary),filters:!(),index:'emp_*',interval:auto,query:(query_string:(analyze_wildcard:!t,query:'%22rtdc.l.rtdc.4040%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746</v>
      </c>
      <c r="B27" s="225">
        <v>4039</v>
      </c>
      <c r="C27" s="227" t="s">
        <v>192</v>
      </c>
      <c r="D27" s="227" t="s">
        <v>679</v>
      </c>
      <c r="E27" s="226">
        <v>43086.253738425927</v>
      </c>
      <c r="F27" s="226">
        <v>43086.25849537037</v>
      </c>
      <c r="G27" s="225">
        <v>132</v>
      </c>
      <c r="H27" s="227" t="s">
        <v>566</v>
      </c>
      <c r="I27" s="226">
        <v>43086.285682870373</v>
      </c>
      <c r="J27" s="225">
        <v>0</v>
      </c>
      <c r="K27" s="237" t="str">
        <f t="shared" si="0"/>
        <v>4039/4040</v>
      </c>
      <c r="L27" s="245" t="str">
        <f>VLOOKUP(A27,'Trips&amp;Operators'!$C$1:$G$99911,5,FALSE)</f>
        <v>WILLIAMS DONTE</v>
      </c>
      <c r="M27" s="224">
        <f t="shared" si="1"/>
        <v>2.718750000349246E-2</v>
      </c>
      <c r="N27" s="225">
        <f t="shared" si="23"/>
        <v>39.150000005029142</v>
      </c>
      <c r="O27" s="225"/>
      <c r="P27" s="225"/>
      <c r="Q27" s="228"/>
      <c r="R27" s="242"/>
      <c r="S27" s="249">
        <f t="shared" si="22"/>
        <v>1</v>
      </c>
      <c r="T27" s="242" t="str">
        <f t="shared" si="2"/>
        <v>Southbound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3"/>
        <v>https://d0f6bd738d7f1b3e5a7ca70fe4ff75f0.us-east-1.aws.found.io/app/kibana#/discover/Steve-Slow-Train-Analysis-(2080s-and-2083s)?_g=(refreshInterval:(display:Off,pause:!f,section:0,value:0),time:(from:'2017-12-17T05:05:23-0700',mode:absolute,to:'2017-12-17T07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7" s="247" t="str">
        <f>IF(AA27&lt;VLOOKUP(AG27,Variables!$AC$3:$AD$8,2,FALSE),"Y","N")</f>
        <v>N</v>
      </c>
      <c r="X27" s="247">
        <f t="shared" si="4"/>
        <v>1</v>
      </c>
      <c r="Y27" s="247">
        <f t="shared" si="5"/>
        <v>23.290199999999999</v>
      </c>
      <c r="Z27" s="247">
        <f t="shared" si="6"/>
        <v>2.0500000000000001E-2</v>
      </c>
      <c r="AA27" s="247">
        <f t="shared" si="7"/>
        <v>23.2697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8"/>
        <v>114</v>
      </c>
      <c r="AE27" s="235" t="str">
        <f t="shared" si="9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27" s="234" t="str">
        <f t="shared" si="10"/>
        <v>"C:\Program Files (x86)\AstroGrep\AstroGrep.exe" /e /r /s /spath="%USERPROFILE%\AppData\Local\Temp\OnboardLogs" /stypes="app*4039*20171217*" /stext=" 13:.+((SYSTEM_STATE.+slice.+state.+changed )|(ment ac)|(multiple cpu faults)|(system.+state.+changed )|(\[timeout)|(PRM\|1\|D)|(kpr)|(kdp)|(train st.+moving)|(\|lc)|(penalty))"</v>
      </c>
      <c r="AG27" s="244" t="str">
        <f t="shared" si="11"/>
        <v>EC</v>
      </c>
      <c r="AH27" s="236" t="str">
        <f t="shared" si="17"/>
        <v>"%USERPROFILE%\Documents\GitHub\eaglep3\Utilities\RefineRTDCRunTimes.py" --tripid 114-17 --locoid 4039 --swversion DE.1.0.9.0 --startMP 204:232902 --initTime 2017-12-17T06:05:23 --startdatetime 2017-12-17T06:12:14 --delay 132 --endMP 204:205 --enddatetime 2017-12-17T06:51:23 --enforcementcount 0 &gt;&gt;%USERPROFILE%\Documents\GitHub\eaglep3-reporting\EC\2017-12-17-refined-times.txt</v>
      </c>
      <c r="AI2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ID","value":"114-17"},{"id":16,"name":"Locomotive ID","value":"4039"},{"id":130,"name":"Impact","value":""},{"id":150,"name":"Time of Event (Mountain Time)","value":"06:51:23"},{"id":151,"name":"Denver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19"/>
        <v>start /low /b %USERPROFILE%\Documents\GitHub\eaglep3\Utilities\DownloadLogsFromS3.py --loco 4039 --day 2017-12-17</v>
      </c>
      <c r="AN2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1"/>
        <v>https://d0f6bd738d7f1b3e5a7ca70fe4ff75f0.us-east-1.aws.found.io/app/kibana#/discover/Steve-Slow-Train-Analysis-(2080s-and-2083s)?_g=(refreshInterval:(display:Off,pause:!f,section:0,value:0),time:(from:'2017-12-17T05:05:23-0700',mode:absolute,to:'2017-12-17T07:51:23-0700'))&amp;_a=(columns:!('Message%20ID',Summary),filters:!(),index:'emp_*',interval:auto,query:(query_string:(analyze_wildcard:!t,query:'%22rtdc.l.rtdc.4039%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739</v>
      </c>
      <c r="B28" s="225">
        <v>4058</v>
      </c>
      <c r="C28" s="227" t="s">
        <v>192</v>
      </c>
      <c r="D28" s="227" t="s">
        <v>906</v>
      </c>
      <c r="E28" s="226">
        <v>43086.223726851851</v>
      </c>
      <c r="F28" s="226">
        <v>43086.229421296295</v>
      </c>
      <c r="G28" s="225">
        <v>83</v>
      </c>
      <c r="H28" s="227" t="s">
        <v>547</v>
      </c>
      <c r="I28" s="226">
        <v>43086.255833333336</v>
      </c>
      <c r="J28" s="225">
        <v>0</v>
      </c>
      <c r="K28" s="237" t="str">
        <f t="shared" si="0"/>
        <v>4057/4058</v>
      </c>
      <c r="L28" s="245" t="str">
        <f>VLOOKUP(A28,'Trips&amp;Operators'!$C$1:$G$99911,5,FALSE)</f>
        <v>LANGERAK WILLIAM</v>
      </c>
      <c r="M28" s="224">
        <f t="shared" si="1"/>
        <v>2.641203704115469E-2</v>
      </c>
      <c r="N28" s="225">
        <f t="shared" si="23"/>
        <v>38.033333339262754</v>
      </c>
      <c r="O28" s="225"/>
      <c r="P28" s="225"/>
      <c r="Q28" s="228"/>
      <c r="R28" s="242"/>
      <c r="S28" s="249">
        <f t="shared" si="22"/>
        <v>1</v>
      </c>
      <c r="T28" s="242" t="str">
        <f t="shared" si="2"/>
        <v>NorthBound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3"/>
        <v>https://d0f6bd738d7f1b3e5a7ca70fe4ff75f0.us-east-1.aws.found.io/app/kibana#/discover/Steve-Slow-Train-Analysis-(2080s-and-2083s)?_g=(refreshInterval:(display:Off,pause:!f,section:0,value:0),time:(from:'2017-12-17T04:22:10-0700',mode:absolute,to:'2017-12-17T07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8" s="247" t="str">
        <f>IF(AA28&lt;VLOOKUP(AG28,Variables!$AC$3:$AD$8,2,FALSE),"Y","N")</f>
        <v>N</v>
      </c>
      <c r="X28" s="247">
        <f t="shared" si="4"/>
        <v>1</v>
      </c>
      <c r="Y28" s="247">
        <f t="shared" si="5"/>
        <v>4.9299999999999997E-2</v>
      </c>
      <c r="Z28" s="247">
        <f t="shared" si="6"/>
        <v>23.329699999999999</v>
      </c>
      <c r="AA28" s="247">
        <f t="shared" si="7"/>
        <v>23.2804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8"/>
        <v>115</v>
      </c>
      <c r="AE28" s="235" t="str">
        <f t="shared" si="9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28" s="234" t="str">
        <f t="shared" si="10"/>
        <v>"C:\Program Files (x86)\AstroGrep\AstroGrep.exe" /e /r /s /spath="%USERPROFILE%\AppData\Local\Temp\OnboardLogs" /stypes="app*4058*20171217*" /stext=" 13:.+((SYSTEM_STATE.+slice.+state.+changed )|(ment ac)|(multiple cpu faults)|(system.+state.+changed )|(\[timeout)|(PRM\|1\|D)|(kpr)|(kdp)|(train st.+moving)|(\|lc)|(penalty))"</v>
      </c>
      <c r="AG28" s="244" t="str">
        <f t="shared" si="11"/>
        <v>EC</v>
      </c>
      <c r="AH28" s="236" t="str">
        <f t="shared" si="17"/>
        <v>"%USERPROFILE%\Documents\GitHub\eaglep3\Utilities\RefineRTDCRunTimes.py" --tripid 115-17 --locoid 4058 --swversion DE.1.0.9.0 --startMP 204:493 --initTime 2017-12-17T05:22:10 --startdatetime 2017-12-17T05:30:22 --delay 83 --endMP 204:233297 --enddatetime 2017-12-17T06:08:24 --enforcementcount 0 &gt;&gt;%USERPROFILE%\Documents\GitHub\eaglep3-reporting\EC\2017-12-17-refined-times.txt</v>
      </c>
      <c r="AI2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{"issue":{"subject":"","project_id":79,"tracker_id":40,"status_id":1,"priority_id":2,"assigned_to_id":338,"start_date":"2017-12-17","description":"","custom_fields":[{"id":1,"name":"Subdivision","value":"EC"},{"id":4,"name":"Milepost","value":"23.3297"},{"id":17,"name":"Train ID","value":"115-17"},{"id":16,"name":"Locomotive ID","value":"4058"},{"id":130,"name":"Impact","value":""},{"id":150,"name":"Time of Event (Mountain Time)","value":"06:08:24"},{"id":151,"name":"Denver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19"/>
        <v>start /low /b %USERPROFILE%\Documents\GitHub\eaglep3\Utilities\DownloadLogsFromS3.py --loco 4058 --day 2017-12-17</v>
      </c>
      <c r="AN2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1"/>
        <v>https://d0f6bd738d7f1b3e5a7ca70fe4ff75f0.us-east-1.aws.found.io/app/kibana#/discover/Steve-Slow-Train-Analysis-(2080s-and-2083s)?_g=(refreshInterval:(display:Off,pause:!f,section:0,value:0),time:(from:'2017-12-17T04:22:10-0700',mode:absolute,to:'2017-12-17T07:08:24-0700'))&amp;_a=(columns:!('Message%20ID',Summary),filters:!(),index:'emp_*',interval:auto,query:(query_string:(analyze_wildcard:!t,query:'%22rtdc.l.rtdc.4058%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747</v>
      </c>
      <c r="B29" s="225">
        <v>4057</v>
      </c>
      <c r="C29" s="227" t="s">
        <v>192</v>
      </c>
      <c r="D29" s="227" t="s">
        <v>641</v>
      </c>
      <c r="E29" s="226">
        <v>43086.257881944446</v>
      </c>
      <c r="F29" s="226">
        <v>43086.268923611111</v>
      </c>
      <c r="G29" s="225">
        <v>79</v>
      </c>
      <c r="H29" s="227" t="s">
        <v>582</v>
      </c>
      <c r="I29" s="226">
        <v>43086.294768518521</v>
      </c>
      <c r="J29" s="225">
        <v>0</v>
      </c>
      <c r="K29" s="237" t="str">
        <f t="shared" si="0"/>
        <v>4057/4058</v>
      </c>
      <c r="L29" s="245" t="str">
        <f>VLOOKUP(A29,'Trips&amp;Operators'!$C$1:$G$99911,5,FALSE)</f>
        <v>LANGERAK WILLIAM</v>
      </c>
      <c r="M29" s="224">
        <f t="shared" si="1"/>
        <v>2.584490740991896E-2</v>
      </c>
      <c r="N29" s="225">
        <f t="shared" si="23"/>
        <v>37.216666670283303</v>
      </c>
      <c r="O29" s="225"/>
      <c r="P29" s="225"/>
      <c r="Q29" s="228"/>
      <c r="R29" s="242"/>
      <c r="S29" s="249">
        <f t="shared" si="22"/>
        <v>1</v>
      </c>
      <c r="T29" s="242" t="str">
        <f t="shared" si="2"/>
        <v>Southbound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3"/>
        <v>https://d0f6bd738d7f1b3e5a7ca70fe4ff75f0.us-east-1.aws.found.io/app/kibana#/discover/Steve-Slow-Train-Analysis-(2080s-and-2083s)?_g=(refreshInterval:(display:Off,pause:!f,section:0,value:0),time:(from:'2017-12-17T05:11:21-0700',mode:absolute,to:'2017-12-17T08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9" s="247" t="str">
        <f>IF(AA29&lt;VLOOKUP(AG29,Variables!$AC$3:$AD$8,2,FALSE),"Y","N")</f>
        <v>N</v>
      </c>
      <c r="X29" s="247">
        <f t="shared" si="4"/>
        <v>1</v>
      </c>
      <c r="Y29" s="247">
        <f t="shared" si="5"/>
        <v>23.296800000000001</v>
      </c>
      <c r="Z29" s="247">
        <f t="shared" si="6"/>
        <v>1.9800000000000002E-2</v>
      </c>
      <c r="AA29" s="247">
        <f t="shared" si="7"/>
        <v>23.277000000000001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8"/>
        <v>116</v>
      </c>
      <c r="AE29" s="235" t="str">
        <f t="shared" si="9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29" s="234" t="str">
        <f t="shared" si="10"/>
        <v>"C:\Program Files (x86)\AstroGrep\AstroGrep.exe" /e /r /s /spath="%USERPROFILE%\AppData\Local\Temp\OnboardLogs" /stypes="app*4057*20171217*" /stext=" 14:.+((SYSTEM_STATE.+slice.+state.+changed )|(ment ac)|(multiple cpu faults)|(system.+state.+changed )|(\[timeout)|(PRM\|1\|D)|(kpr)|(kdp)|(train st.+moving)|(\|lc)|(penalty))"</v>
      </c>
      <c r="AG29" s="244" t="str">
        <f t="shared" si="11"/>
        <v>EC</v>
      </c>
      <c r="AH29" s="236" t="str">
        <f t="shared" si="17"/>
        <v>"%USERPROFILE%\Documents\GitHub\eaglep3\Utilities\RefineRTDCRunTimes.py" --tripid 116-17 --locoid 4057 --swversion DE.1.0.9.0 --startMP 204:232968 --initTime 2017-12-17T06:11:21 --startdatetime 2017-12-17T06:27:15 --delay 79 --endMP 204:198 --enddatetime 2017-12-17T07:04:28 --enforcementcount 0 &gt;&gt;%USERPROFILE%\Documents\GitHub\eaglep3-reporting\EC\2017-12-17-refined-times.txt</v>
      </c>
      <c r="AI2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{"issue":{"subject":"","project_id":79,"tracker_id":40,"status_id":1,"priority_id":2,"assigned_to_id":338,"start_date":"2017-12-17","description":"","custom_fields":[{"id":1,"name":"Subdivision","value":"EC"},{"id":4,"name":"Milepost","value":"0.0198"},{"id":17,"name":"Train ID","value":"116-17"},{"id":16,"name":"Locomotive ID","value":"4057"},{"id":130,"name":"Impact","value":""},{"id":150,"name":"Time of Event (Mountain Time)","value":"07:04:28"},{"id":151,"name":"Denver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19"/>
        <v>start /low /b %USERPROFILE%\Documents\GitHub\eaglep3\Utilities\DownloadLogsFromS3.py --loco 4057 --day 2017-12-17</v>
      </c>
      <c r="AN2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1"/>
        <v>https://d0f6bd738d7f1b3e5a7ca70fe4ff75f0.us-east-1.aws.found.io/app/kibana#/discover/Steve-Slow-Train-Analysis-(2080s-and-2083s)?_g=(refreshInterval:(display:Off,pause:!f,section:0,value:0),time:(from:'2017-12-17T05:11:21-0700',mode:absolute,to:'2017-12-17T08:04:28-0700'))&amp;_a=(columns:!('Message%20ID',Summary),filters:!(),index:'emp_*',interval:auto,query:(query_string:(analyze_wildcard:!t,query:'%22rtdc.l.rtdc.4057%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742</v>
      </c>
      <c r="B30" s="225">
        <v>4008</v>
      </c>
      <c r="C30" s="227" t="s">
        <v>192</v>
      </c>
      <c r="D30" s="227" t="s">
        <v>919</v>
      </c>
      <c r="E30" s="226">
        <v>43086.236226851855</v>
      </c>
      <c r="F30" s="226">
        <v>43086.240243055552</v>
      </c>
      <c r="G30" s="225">
        <v>77</v>
      </c>
      <c r="H30" s="227" t="s">
        <v>920</v>
      </c>
      <c r="I30" s="226">
        <v>43086.264236111114</v>
      </c>
      <c r="J30" s="225">
        <v>0</v>
      </c>
      <c r="K30" s="237" t="str">
        <f t="shared" si="0"/>
        <v>4007/4008</v>
      </c>
      <c r="L30" s="245" t="str">
        <f>VLOOKUP(A30,'Trips&amp;Operators'!$C$1:$G$99911,5,FALSE)</f>
        <v>LAMAR NEKESHA</v>
      </c>
      <c r="M30" s="224">
        <f t="shared" si="1"/>
        <v>2.3993055561732035E-2</v>
      </c>
      <c r="N30" s="225">
        <f t="shared" si="23"/>
        <v>34.550000008894131</v>
      </c>
      <c r="O30" s="225"/>
      <c r="P30" s="225"/>
      <c r="Q30" s="228"/>
      <c r="R30" s="242"/>
      <c r="S30" s="249">
        <f t="shared" si="22"/>
        <v>1</v>
      </c>
      <c r="T30" s="242" t="str">
        <f t="shared" si="2"/>
        <v>NorthBound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3"/>
        <v>https://d0f6bd738d7f1b3e5a7ca70fe4ff75f0.us-east-1.aws.found.io/app/kibana#/discover/Steve-Slow-Train-Analysis-(2080s-and-2083s)?_g=(refreshInterval:(display:Off,pause:!f,section:0,value:0),time:(from:'2017-12-17T04:40:10-0700',mode:absolute,to:'2017-12-17T07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247" t="str">
        <f>IF(AA30&lt;VLOOKUP(AG30,Variables!$AC$3:$AD$8,2,FALSE),"Y","N")</f>
        <v>N</v>
      </c>
      <c r="X30" s="247">
        <f t="shared" si="4"/>
        <v>1</v>
      </c>
      <c r="Y30" s="247">
        <f t="shared" si="5"/>
        <v>4.7699999999999999E-2</v>
      </c>
      <c r="Z30" s="247">
        <f t="shared" si="6"/>
        <v>23.328900000000001</v>
      </c>
      <c r="AA30" s="247">
        <f t="shared" si="7"/>
        <v>23.281200000000002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8"/>
        <v>117</v>
      </c>
      <c r="AE30" s="235" t="str">
        <f t="shared" si="9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30" s="234" t="str">
        <f t="shared" si="10"/>
        <v>"C:\Program Files (x86)\AstroGrep\AstroGrep.exe" /e /r /s /spath="%USERPROFILE%\AppData\Local\Temp\OnboardLogs" /stypes="app*4008*20171217*" /stext=" 13:.+((SYSTEM_STATE.+slice.+state.+changed )|(ment ac)|(multiple cpu faults)|(system.+state.+changed )|(\[timeout)|(PRM\|1\|D)|(kpr)|(kdp)|(train st.+moving)|(\|lc)|(penalty))"</v>
      </c>
      <c r="AG30" s="244" t="str">
        <f t="shared" si="11"/>
        <v>EC</v>
      </c>
      <c r="AH30" s="236" t="str">
        <f t="shared" si="17"/>
        <v>"%USERPROFILE%\Documents\GitHub\eaglep3\Utilities\RefineRTDCRunTimes.py" --tripid 117-17 --locoid 4008 --swversion DE.1.0.9.0 --startMP 204:477 --initTime 2017-12-17T05:40:10 --startdatetime 2017-12-17T05:45:57 --delay 77 --endMP 204:233289 --enddatetime 2017-12-17T06:20:30 --enforcementcount 0 &gt;&gt;%USERPROFILE%\Documents\GitHub\eaglep3-reporting\EC\2017-12-17-refined-times.txt</v>
      </c>
      <c r="AI3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ID","value":"117-17"},{"id":16,"name":"Locomotive ID","value":"4008"},{"id":130,"name":"Impact","value":""},{"id":150,"name":"Time of Event (Mountain Time)","value":"06:20:30"},{"id":151,"name":"Denver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19"/>
        <v>start /low /b %USERPROFILE%\Documents\GitHub\eaglep3\Utilities\DownloadLogsFromS3.py --loco 4008 --day 2017-12-17</v>
      </c>
      <c r="AN3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1"/>
        <v>https://d0f6bd738d7f1b3e5a7ca70fe4ff75f0.us-east-1.aws.found.io/app/kibana#/discover/Steve-Slow-Train-Analysis-(2080s-and-2083s)?_g=(refreshInterval:(display:Off,pause:!f,section:0,value:0),time:(from:'2017-12-17T04:40:10-0700',mode:absolute,to:'2017-12-17T07:20:30-0700'))&amp;_a=(columns:!('Message%20ID',Summary),filters:!(),index:'emp_*',interval:auto,query:(query_string:(analyze_wildcard:!t,query:'%22rtdc.l.rtdc.4008%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750</v>
      </c>
      <c r="B31" s="225">
        <v>4007</v>
      </c>
      <c r="C31" s="227" t="s">
        <v>192</v>
      </c>
      <c r="D31" s="227" t="s">
        <v>654</v>
      </c>
      <c r="E31" s="226">
        <v>43086.272407407407</v>
      </c>
      <c r="F31" s="226">
        <v>43086.279351851852</v>
      </c>
      <c r="G31" s="225">
        <v>50</v>
      </c>
      <c r="H31" s="227" t="s">
        <v>677</v>
      </c>
      <c r="I31" s="226">
        <v>43086.305023148147</v>
      </c>
      <c r="J31" s="225">
        <v>0</v>
      </c>
      <c r="K31" s="237" t="str">
        <f t="shared" si="0"/>
        <v>4007/4008</v>
      </c>
      <c r="L31" s="245" t="str">
        <f>VLOOKUP(A31,'Trips&amp;Operators'!$C$1:$G$99911,5,FALSE)</f>
        <v>LAMAR NEKESHA</v>
      </c>
      <c r="M31" s="224">
        <f t="shared" si="1"/>
        <v>2.5671296294603962E-2</v>
      </c>
      <c r="N31" s="225">
        <f t="shared" si="23"/>
        <v>36.966666664229706</v>
      </c>
      <c r="O31" s="225"/>
      <c r="P31" s="225"/>
      <c r="Q31" s="228"/>
      <c r="R31" s="242"/>
      <c r="S31" s="249">
        <f t="shared" si="22"/>
        <v>1</v>
      </c>
      <c r="T31" s="242" t="str">
        <f t="shared" si="2"/>
        <v>Southbound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3"/>
        <v>https://d0f6bd738d7f1b3e5a7ca70fe4ff75f0.us-east-1.aws.found.io/app/kibana#/discover/Steve-Slow-Train-Analysis-(2080s-and-2083s)?_g=(refreshInterval:(display:Off,pause:!f,section:0,value:0),time:(from:'2017-12-17T05:32:16-0700',mode:absolute,to:'2017-12-17T08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247" t="str">
        <f>IF(AA31&lt;VLOOKUP(AG31,Variables!$AC$3:$AD$8,2,FALSE),"Y","N")</f>
        <v>N</v>
      </c>
      <c r="X31" s="247">
        <f t="shared" si="4"/>
        <v>1</v>
      </c>
      <c r="Y31" s="247">
        <f t="shared" si="5"/>
        <v>23.296299999999999</v>
      </c>
      <c r="Z31" s="247">
        <f t="shared" si="6"/>
        <v>1.7000000000000001E-2</v>
      </c>
      <c r="AA31" s="247">
        <f t="shared" si="7"/>
        <v>23.279299999999999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8"/>
        <v>118</v>
      </c>
      <c r="AE31" s="235" t="str">
        <f t="shared" si="9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31" s="234" t="str">
        <f t="shared" si="10"/>
        <v>"C:\Program Files (x86)\AstroGrep\AstroGrep.exe" /e /r /s /spath="%USERPROFILE%\AppData\Local\Temp\OnboardLogs" /stypes="app*4007*20171217*" /stext=" 14:.+((SYSTEM_STATE.+slice.+state.+changed )|(ment ac)|(multiple cpu faults)|(system.+state.+changed )|(\[timeout)|(PRM\|1\|D)|(kpr)|(kdp)|(train st.+moving)|(\|lc)|(penalty))"</v>
      </c>
      <c r="AG31" s="244" t="str">
        <f t="shared" si="11"/>
        <v>EC</v>
      </c>
      <c r="AH31" s="236" t="str">
        <f t="shared" si="17"/>
        <v>"%USERPROFILE%\Documents\GitHub\eaglep3\Utilities\RefineRTDCRunTimes.py" --tripid 118-17 --locoid 4007 --swversion DE.1.0.9.0 --startMP 204:232963 --initTime 2017-12-17T06:32:16 --startdatetime 2017-12-17T06:42:16 --delay 50 --endMP 204:170 --enddatetime 2017-12-17T07:19:14 --enforcementcount 0 &gt;&gt;%USERPROFILE%\Documents\GitHub\eaglep3-reporting\EC\2017-12-17-refined-times.txt</v>
      </c>
      <c r="AI3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{"issue":{"subject":"","project_id":79,"tracker_id":40,"status_id":1,"priority_id":2,"assigned_to_id":338,"start_date":"2017-12-17","description":"","custom_fields":[{"id":1,"name":"Subdivision","value":"EC"},{"id":4,"name":"Milepost","value":"0.017"},{"id":17,"name":"Train ID","value":"118-17"},{"id":16,"name":"Locomotive ID","value":"4007"},{"id":130,"name":"Impact","value":""},{"id":150,"name":"Time of Event (Mountain Time)","value":"07:19:14"},{"id":151,"name":"Denver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19"/>
        <v>start /low /b %USERPROFILE%\Documents\GitHub\eaglep3\Utilities\DownloadLogsFromS3.py --loco 4007 --day 2017-12-17</v>
      </c>
      <c r="AN3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1"/>
        <v>https://d0f6bd738d7f1b3e5a7ca70fe4ff75f0.us-east-1.aws.found.io/app/kibana#/discover/Steve-Slow-Train-Analysis-(2080s-and-2083s)?_g=(refreshInterval:(display:Off,pause:!f,section:0,value:0),time:(from:'2017-12-17T05:32:16-0700',mode:absolute,to:'2017-12-17T08:19:14-0700'))&amp;_a=(columns:!('Message%20ID',Summary),filters:!(),index:'emp_*',interval:auto,query:(query_string:(analyze_wildcard:!t,query:'%22rtdc.l.rtdc.4007%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744</v>
      </c>
      <c r="B32" s="225">
        <v>4030</v>
      </c>
      <c r="C32" s="227" t="s">
        <v>192</v>
      </c>
      <c r="D32" s="227" t="s">
        <v>486</v>
      </c>
      <c r="E32" s="226">
        <v>43086.245682870373</v>
      </c>
      <c r="F32" s="226">
        <v>43086.250983796293</v>
      </c>
      <c r="G32" s="225">
        <v>74</v>
      </c>
      <c r="H32" s="227" t="s">
        <v>645</v>
      </c>
      <c r="I32" s="226">
        <v>43086.274722222224</v>
      </c>
      <c r="J32" s="225">
        <v>0</v>
      </c>
      <c r="K32" s="237" t="str">
        <f t="shared" si="0"/>
        <v>4029/4030</v>
      </c>
      <c r="L32" s="245" t="str">
        <f>VLOOKUP(A32,'Trips&amp;Operators'!$C$1:$G$99911,5,FALSE)</f>
        <v>LOPES KIMBERLY</v>
      </c>
      <c r="M32" s="224">
        <f t="shared" si="1"/>
        <v>2.3738425930787344E-2</v>
      </c>
      <c r="N32" s="225">
        <f t="shared" si="23"/>
        <v>34.183333340333775</v>
      </c>
      <c r="O32" s="225"/>
      <c r="P32" s="225"/>
      <c r="Q32" s="228"/>
      <c r="R32" s="242"/>
      <c r="S32" s="249">
        <f t="shared" si="22"/>
        <v>1</v>
      </c>
      <c r="T32" s="242" t="str">
        <f t="shared" si="2"/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3"/>
        <v>https://d0f6bd738d7f1b3e5a7ca70fe4ff75f0.us-east-1.aws.found.io/app/kibana#/discover/Steve-Slow-Train-Analysis-(2080s-and-2083s)?_g=(refreshInterval:(display:Off,pause:!f,section:0,value:0),time:(from:'2017-12-17T04:53:47-0700',mode:absolute,to:'2017-12-17T07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247" t="str">
        <f>IF(AA32&lt;VLOOKUP(AG32,Variables!$AC$3:$AD$8,2,FALSE),"Y","N")</f>
        <v>N</v>
      </c>
      <c r="X32" s="247">
        <f t="shared" si="4"/>
        <v>1</v>
      </c>
      <c r="Y32" s="247">
        <f t="shared" si="5"/>
        <v>5.0900000000000001E-2</v>
      </c>
      <c r="Z32" s="247">
        <f t="shared" si="6"/>
        <v>23.329499999999999</v>
      </c>
      <c r="AA32" s="247">
        <f t="shared" si="7"/>
        <v>23.278600000000001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8"/>
        <v>119</v>
      </c>
      <c r="AE32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32" s="234" t="str">
        <f t="shared" si="10"/>
        <v>"C:\Program Files (x86)\AstroGrep\AstroGrep.exe" /e /r /s /spath="%USERPROFILE%\AppData\Local\Temp\OnboardLogs" /stypes="app*4030*20171217*" /stext=" 13:.+((SYSTEM_STATE.+slice.+state.+changed )|(ment ac)|(multiple cpu faults)|(system.+state.+changed )|(\[timeout)|(PRM\|1\|D)|(kpr)|(kdp)|(train st.+moving)|(\|lc)|(penalty))"</v>
      </c>
      <c r="AG32" s="244" t="str">
        <f t="shared" si="11"/>
        <v>EC</v>
      </c>
      <c r="AH32" s="236" t="str">
        <f t="shared" si="17"/>
        <v>"%USERPROFILE%\Documents\GitHub\eaglep3\Utilities\RefineRTDCRunTimes.py" --tripid 119-17 --locoid 4030 --swversion DE.1.0.9.0 --startMP 204:509 --initTime 2017-12-17T05:53:47 --startdatetime 2017-12-17T06:01:25 --delay 74 --endMP 204:233295 --enddatetime 2017-12-17T06:35:36 --enforcementcount 0 &gt;&gt;%USERPROFILE%\Documents\GitHub\eaglep3-reporting\EC\2017-12-17-refined-times.txt</v>
      </c>
      <c r="AI3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{"issue":{"subject":"","project_id":79,"tracker_id":40,"status_id":1,"priority_id":2,"assigned_to_id":338,"start_date":"2017-12-17","description":"","custom_fields":[{"id":1,"name":"Subdivision","value":"EC"},{"id":4,"name":"Milepost","value":"23.3295"},{"id":17,"name":"Train ID","value":"119-17"},{"id":16,"name":"Locomotive ID","value":"4030"},{"id":130,"name":"Impact","value":""},{"id":150,"name":"Time of Event (Mountain Time)","value":"06:35:36"},{"id":151,"name":"Denver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19"/>
        <v>start /low /b %USERPROFILE%\Documents\GitHub\eaglep3\Utilities\DownloadLogsFromS3.py --loco 4030 --day 2017-12-17</v>
      </c>
      <c r="AN3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1"/>
        <v>https://d0f6bd738d7f1b3e5a7ca70fe4ff75f0.us-east-1.aws.found.io/app/kibana#/discover/Steve-Slow-Train-Analysis-(2080s-and-2083s)?_g=(refreshInterval:(display:Off,pause:!f,section:0,value:0),time:(from:'2017-12-17T04:53:47-0700',mode:absolute,to:'2017-12-17T07:35:36-0700'))&amp;_a=(columns:!('Message%20ID',Summary),filters:!(),index:'emp_*',interval:auto,query:(query_string:(analyze_wildcard:!t,query:'%22rtdc.l.rtdc.4030%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753</v>
      </c>
      <c r="B33" s="225">
        <v>4029</v>
      </c>
      <c r="C33" s="227" t="s">
        <v>192</v>
      </c>
      <c r="D33" s="227" t="s">
        <v>616</v>
      </c>
      <c r="E33" s="226">
        <v>43086.285381944443</v>
      </c>
      <c r="F33" s="226">
        <v>43086.289756944447</v>
      </c>
      <c r="G33" s="225">
        <v>66</v>
      </c>
      <c r="H33" s="227" t="s">
        <v>442</v>
      </c>
      <c r="I33" s="226">
        <v>43086.315810185188</v>
      </c>
      <c r="J33" s="225">
        <v>0</v>
      </c>
      <c r="K33" s="237" t="str">
        <f t="shared" si="0"/>
        <v>4029/4030</v>
      </c>
      <c r="L33" s="245" t="str">
        <f>VLOOKUP(A33,'Trips&amp;Operators'!$C$1:$G$99911,5,FALSE)</f>
        <v>LOPES KIMBERLY</v>
      </c>
      <c r="M33" s="224">
        <f t="shared" si="1"/>
        <v>2.6053240741021E-2</v>
      </c>
      <c r="N33" s="225">
        <f t="shared" si="23"/>
        <v>37.51666666707024</v>
      </c>
      <c r="O33" s="225"/>
      <c r="P33" s="225"/>
      <c r="Q33" s="228"/>
      <c r="R33" s="242"/>
      <c r="S33" s="249">
        <f t="shared" si="22"/>
        <v>1</v>
      </c>
      <c r="T33" s="242" t="str">
        <f t="shared" si="2"/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3"/>
        <v>https://d0f6bd738d7f1b3e5a7ca70fe4ff75f0.us-east-1.aws.found.io/app/kibana#/discover/Steve-Slow-Train-Analysis-(2080s-and-2083s)?_g=(refreshInterval:(display:Off,pause:!f,section:0,value:0),time:(from:'2017-12-17T05:50:57-0700',mode:absolute,to:'2017-12-17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247" t="str">
        <f>IF(AA33&lt;VLOOKUP(AG33,Variables!$AC$3:$AD$8,2,FALSE),"Y","N")</f>
        <v>N</v>
      </c>
      <c r="X33" s="247">
        <f t="shared" si="4"/>
        <v>1</v>
      </c>
      <c r="Y33" s="247">
        <f t="shared" si="5"/>
        <v>23.2987</v>
      </c>
      <c r="Z33" s="247">
        <f t="shared" si="6"/>
        <v>2.07E-2</v>
      </c>
      <c r="AA33" s="247">
        <f t="shared" si="7"/>
        <v>23.277999999999999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8"/>
        <v>120</v>
      </c>
      <c r="AE33" s="235" t="str">
        <f t="shared" si="9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33" s="234" t="str">
        <f t="shared" si="10"/>
        <v>"C:\Program Files (x86)\AstroGrep\AstroGrep.exe" /e /r /s /spath="%USERPROFILE%\AppData\Local\Temp\OnboardLogs" /stypes="app*4029*20171217*" /stext=" 14:.+((SYSTEM_STATE.+slice.+state.+changed )|(ment ac)|(multiple cpu faults)|(system.+state.+changed )|(\[timeout)|(PRM\|1\|D)|(kpr)|(kdp)|(train st.+moving)|(\|lc)|(penalty))"</v>
      </c>
      <c r="AG33" s="244" t="str">
        <f t="shared" si="11"/>
        <v>EC</v>
      </c>
      <c r="AH33" s="236" t="str">
        <f t="shared" si="17"/>
        <v>"%USERPROFILE%\Documents\GitHub\eaglep3\Utilities\RefineRTDCRunTimes.py" --tripid 120-17 --locoid 4029 --swversion DE.1.0.9.0 --startMP 204:232987 --initTime 2017-12-17T06:50:57 --startdatetime 2017-12-17T06:57:15 --delay 66 --endMP 204:207 --enddatetime 2017-12-17T07:34:46 --enforcementcount 0 &gt;&gt;%USERPROFILE%\Documents\GitHub\eaglep3-reporting\EC\2017-12-17-refined-times.txt</v>
      </c>
      <c r="AI3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{"issue":{"subject":"","project_id":79,"tracker_id":40,"status_id":1,"priority_id":2,"assigned_to_id":338,"start_date":"2017-12-17","description":"","custom_fields":[{"id":1,"name":"Subdivision","value":"EC"},{"id":4,"name":"Milepost","value":"0.0207"},{"id":17,"name":"Train ID","value":"120-17"},{"id":16,"name":"Locomotive ID","value":"4029"},{"id":130,"name":"Impact","value":""},{"id":150,"name":"Time of Event (Mountain Time)","value":"07:34:46"},{"id":151,"name":"Denver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19"/>
        <v>start /low /b %USERPROFILE%\Documents\GitHub\eaglep3\Utilities\DownloadLogsFromS3.py --loco 4029 --day 2017-12-17</v>
      </c>
      <c r="AN3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1"/>
        <v>https://d0f6bd738d7f1b3e5a7ca70fe4ff75f0.us-east-1.aws.found.io/app/kibana#/discover/Steve-Slow-Train-Analysis-(2080s-and-2083s)?_g=(refreshInterval:(display:Off,pause:!f,section:0,value:0),time:(from:'2017-12-17T05:50:57-0700',mode:absolute,to:'2017-12-17T08:34:46-0700'))&amp;_a=(columns:!('Message%20ID',Summary),filters:!(),index:'emp_*',interval:auto,query:(query_string:(analyze_wildcard:!t,query:'%22rtdc.l.rtdc.4029%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748</v>
      </c>
      <c r="B34" s="225">
        <v>4004</v>
      </c>
      <c r="C34" s="227" t="s">
        <v>192</v>
      </c>
      <c r="D34" s="227" t="s">
        <v>921</v>
      </c>
      <c r="E34" s="226">
        <v>43086.259826388887</v>
      </c>
      <c r="F34" s="226">
        <v>43086.264780092592</v>
      </c>
      <c r="G34" s="225">
        <v>381</v>
      </c>
      <c r="H34" s="227" t="s">
        <v>671</v>
      </c>
      <c r="I34" s="226">
        <v>43086.285104166665</v>
      </c>
      <c r="J34" s="225">
        <v>0</v>
      </c>
      <c r="K34" s="237" t="str">
        <f t="shared" si="0"/>
        <v>4003/4004</v>
      </c>
      <c r="L34" s="245" t="str">
        <f>VLOOKUP(A34,'Trips&amp;Operators'!$C$1:$G$99911,5,FALSE)</f>
        <v>DELGADO DIANAH</v>
      </c>
      <c r="M34" s="224">
        <f t="shared" si="1"/>
        <v>2.0324074073869269E-2</v>
      </c>
      <c r="N34" s="225"/>
      <c r="O34" s="225"/>
      <c r="P34" s="225">
        <f>24*60*SUM($M34:$M34)</f>
        <v>29.266666666371748</v>
      </c>
      <c r="Q34" s="228"/>
      <c r="R34" s="242" t="s">
        <v>689</v>
      </c>
      <c r="S34" s="249">
        <f t="shared" si="22"/>
        <v>1</v>
      </c>
      <c r="T34" s="242" t="str">
        <f t="shared" si="2"/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3"/>
        <v>https://d0f6bd738d7f1b3e5a7ca70fe4ff75f0.us-east-1.aws.found.io/app/kibana#/discover/Steve-Slow-Train-Analysis-(2080s-and-2083s)?_g=(refreshInterval:(display:Off,pause:!f,section:0,value:0),time:(from:'2017-12-17T05:14:09-0700',mode:absolute,to:'2017-12-17T07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247" t="str">
        <f>IF(AA34&lt;VLOOKUP(AG34,Variables!$AC$3:$AD$8,2,FALSE),"Y","N")</f>
        <v>Y</v>
      </c>
      <c r="X34" s="247">
        <f t="shared" si="4"/>
        <v>1</v>
      </c>
      <c r="Y34" s="247">
        <f t="shared" si="5"/>
        <v>1.9123000000000001</v>
      </c>
      <c r="Z34" s="247">
        <f t="shared" si="6"/>
        <v>23.3293</v>
      </c>
      <c r="AA34" s="247">
        <f t="shared" si="7"/>
        <v>21.417000000000002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8"/>
        <v>121</v>
      </c>
      <c r="AE34" s="235" t="str">
        <f t="shared" si="9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34" s="234" t="str">
        <f t="shared" si="10"/>
        <v>"C:\Program Files (x86)\AstroGrep\AstroGrep.exe" /e /r /s /spath="%USERPROFILE%\AppData\Local\Temp\OnboardLogs" /stypes="app*4004*20171217*" /stext=" 13:.+((SYSTEM_STATE.+slice.+state.+changed )|(ment ac)|(multiple cpu faults)|(system.+state.+changed )|(\[timeout)|(PRM\|1\|D)|(kpr)|(kdp)|(train st.+moving)|(\|lc)|(penalty))"</v>
      </c>
      <c r="AG34" s="244" t="str">
        <f t="shared" si="11"/>
        <v>EC</v>
      </c>
      <c r="AH34" s="236" t="str">
        <f t="shared" si="17"/>
        <v>"%USERPROFILE%\Documents\GitHub\eaglep3\Utilities\RefineRTDCRunTimes.py" --tripid 121-17 --locoid 4004 --swversion DE.1.0.9.0 --startMP 204:19123 --initTime 2017-12-17T06:14:09 --startdatetime 2017-12-17T06:21:17 --delay 381 --endMP 204:233293 --enddatetime 2017-12-17T06:50:33 --enforcementcount 0 &gt;&gt;%USERPROFILE%\Documents\GitHub\eaglep3-reporting\EC\2017-12-17-refined-times.txt</v>
      </c>
      <c r="AI34" s="238" t="str">
        <f t="shared" si="18"/>
        <v>echo {"issue":{"subject":"Onboard en route failure during init","project_id":79,"tracker_id":40,"status_id":1,"priority_id":2,"assigned_to_id":338,"start_date":"2017-12-17","description":"","custom_fields":[{"id":1,"name":"Subdivision","value":"EC"},{"id":4,"name":"Milepost","value":"23.3293"},{"id":17,"name":"Train ID","value":"121-17"},{"id":16,"name":"Locomotive ID","value":"4004"},{"id":130,"name":"Impact","value":""},{"id":150,"name":"Time of Event (Mountain Time)","value":"06:50:33"},{"id":151,"name":"Denver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19"/>
        <v>start /low /b %USERPROFILE%\Documents\GitHub\eaglep3\Utilities\DownloadLogsFromS3.py --loco 4004 --day 2017-12-17</v>
      </c>
      <c r="AN34" s="241" t="str">
        <f t="shared" si="20"/>
        <v>echo {"issue":{"subject":"Onboard en route failure during init","project_id":30,"tracker_id":4,"status_id":1,"priority_id":1,"assigned_to_id":10,"start_date":"2017-12-17","description":"","custom_fields":[{"id":30,"name":"Category","value":"Issue"},{"id":3,"name":"Functional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1"/>
        <v>https://d0f6bd738d7f1b3e5a7ca70fe4ff75f0.us-east-1.aws.found.io/app/kibana#/discover/Steve-Slow-Train-Analysis-(2080s-and-2083s)?_g=(refreshInterval:(display:Off,pause:!f,section:0,value:0),time:(from:'2017-12-17T05:14:09-0700',mode:absolute,to:'2017-12-17T07:50:33-0700'))&amp;_a=(columns:!('Message%20ID',Summary),filters:!(),index:'emp_*',interval:auto,query:(query_string:(analyze_wildcard:!t,query:'%22rtdc.l.rtdc.4004%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1095</v>
      </c>
      <c r="B35" s="225">
        <v>4003</v>
      </c>
      <c r="C35" s="227" t="s">
        <v>192</v>
      </c>
      <c r="D35" s="227" t="s">
        <v>921</v>
      </c>
      <c r="E35" s="226">
        <v>43086.259826388887</v>
      </c>
      <c r="F35" s="226">
        <v>43086.300196759257</v>
      </c>
      <c r="G35" s="225">
        <v>381</v>
      </c>
      <c r="H35" s="227" t="s">
        <v>671</v>
      </c>
      <c r="I35" s="226">
        <v>43086.301076388889</v>
      </c>
      <c r="J35" s="225">
        <v>0</v>
      </c>
      <c r="K35" s="237" t="str">
        <f t="shared" si="0"/>
        <v>4003/4004</v>
      </c>
      <c r="L35" s="245" t="s">
        <v>1096</v>
      </c>
      <c r="M35" s="224">
        <f t="shared" si="1"/>
        <v>8.7962963152676821E-4</v>
      </c>
      <c r="N35" s="225"/>
      <c r="O35" s="225"/>
      <c r="P35" s="225">
        <f>24*60*SUM($M35:$M35)</f>
        <v>1.2666666693985462</v>
      </c>
      <c r="Q35" s="228"/>
      <c r="R35" s="242" t="s">
        <v>1097</v>
      </c>
      <c r="S35" s="249">
        <f t="shared" si="22"/>
        <v>0</v>
      </c>
      <c r="T35" s="242" t="str">
        <f t="shared" si="2"/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48" t="str">
        <f t="shared" si="3"/>
        <v>https://d0f6bd738d7f1b3e5a7ca70fe4ff75f0.us-east-1.aws.found.io/app/kibana#/discover/Steve-Slow-Train-Analysis-(2080s-and-2083s)?_g=(refreshInterval:(display:Off,pause:!f,section:0,value:0),time:(from:'2017-12-17T05:14:09-0700',mode:absolute,to:'2017-12-17T08:13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247" t="str">
        <f>IF(AA35&lt;VLOOKUP(AG35,Variables!$AC$3:$AD$8,2,FALSE),"Y","N")</f>
        <v>Y</v>
      </c>
      <c r="X35" s="247">
        <f t="shared" si="4"/>
        <v>1</v>
      </c>
      <c r="Y35" s="247">
        <f t="shared" si="5"/>
        <v>1.9123000000000001</v>
      </c>
      <c r="Z35" s="247">
        <f t="shared" si="6"/>
        <v>23.3293</v>
      </c>
      <c r="AA35" s="247">
        <f t="shared" si="7"/>
        <v>21.417000000000002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8"/>
        <v>122</v>
      </c>
      <c r="AE35" s="235" t="str">
        <f t="shared" si="9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35" s="234" t="str">
        <f t="shared" si="10"/>
        <v>"C:\Program Files (x86)\AstroGrep\AstroGrep.exe" /e /r /s /spath="%USERPROFILE%\AppData\Local\Temp\OnboardLogs" /stypes="app*4003*20171217*" /stext=" 14:.+((SYSTEM_STATE.+slice.+state.+changed )|(ment ac)|(multiple cpu faults)|(system.+state.+changed )|(\[timeout)|(PRM\|1\|D)|(kpr)|(kdp)|(train st.+moving)|(\|lc)|(penalty))"</v>
      </c>
      <c r="AG35" s="244" t="str">
        <f t="shared" si="11"/>
        <v>EC</v>
      </c>
      <c r="AH35" s="236" t="str">
        <f t="shared" ref="AH35" si="24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122-17 --locoid 4003 --swversion DE.1.0.9.0 --startMP 204:19123 --initTime 2017-12-17T06:14:09 --startdatetime 2017-12-17T07:12:17 --delay 381 --endMP 204:233293 --enddatetime 2017-12-17T07:13:33 --enforcementcount 0 &gt;&gt;%USERPROFILE%\Documents\GitHub\eaglep3-reporting\EC\2017-12-17-refined-times.txt</v>
      </c>
      <c r="AI35" s="238" t="str">
        <f t="shared" ref="AI35" si="25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--insecure -X POST -H ""Content-Type: application/json"" -H ""X-Redmine-API-Key: "&amp;redm_api_key&amp;""" "&amp;redm_url&amp;" --data @-"</f>
        <v>echo {"issue":{"subject":"Did not init due to onboard PTC radio issue","project_id":79,"tracker_id":40,"status_id":1,"priority_id":2,"assigned_to_id":338,"start_date":"2017-12-17","description":"","custom_fields":[{"id":1,"name":"Subdivision","value":"EC"},{"id":4,"name":"Milepost","value":"23.3293"},{"id":17,"name":"Train ID","value":"122-17"},{"id":16,"name":"Locomotive ID","value":"4003"},{"id":130,"name":"Impact","value":""},{"id":150,"name":"Time of Event (Mountain Time)","value":"07:13:33"},{"id":151,"name":"Denver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ref="AM35" si="26">"start /low /b "&amp;dls3logs&amp;" --loco "&amp;B35&amp;" --day "&amp;TEXT(F35,"YYYY-MM-DD")</f>
        <v>start /low /b %USERPROFILE%\Documents\GitHub\eaglep3\Utilities\DownloadLogsFromS3.py --loco 4003 --day 2017-12-17</v>
      </c>
      <c r="AN35" s="241" t="str">
        <f t="shared" ref="AN35" si="27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onboard PTC radio issue","project_id":30,"tracker_id":4,"status_id":1,"priority_id":1,"assigned_to_id":10,"start_date":"2017-12-17","description":"","custom_fields":[{"id":30,"name":"Category","value":"Issue"},{"id":3,"name":"Functional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14:13:33"},{"id":29,"name":"Sharepoint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ref="AO35" si="28"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-17T05:14:09-0700',mode:absolute,to:'2017-12-17T08:13:33-0700'))&amp;_a=(columns:!('Message%20ID',Summary),filters:!(),index:'emp_*',interval:auto,query:(query_string:(analyze_wildcard:!t,query:'%22rtdc.l.rtdc.4003%22')),sort:!(Time.ISO8601,asc))</v>
      </c>
      <c r="AP35" s="223"/>
      <c r="AQ35" s="223"/>
      <c r="AR35" s="223"/>
      <c r="AS35" s="223"/>
      <c r="AT35" s="223"/>
      <c r="AU35" s="223"/>
      <c r="AV35" s="223"/>
      <c r="AW35" s="223"/>
      <c r="AX35" s="223"/>
      <c r="AY35" s="223"/>
      <c r="AZ35" s="223"/>
      <c r="BA35" s="223"/>
      <c r="BB35" s="223"/>
      <c r="BC35" s="223"/>
      <c r="BD35" s="223"/>
      <c r="BE35" s="223"/>
      <c r="BF35" s="223"/>
      <c r="BG35" s="223"/>
      <c r="BH35" s="223"/>
      <c r="BI35" s="223"/>
      <c r="BJ35" s="223"/>
      <c r="BK35" s="223"/>
      <c r="BL35" s="223"/>
      <c r="BM35" s="223"/>
      <c r="BN35" s="223"/>
      <c r="BO35" s="223"/>
      <c r="BP35" s="223"/>
      <c r="BQ35" s="223"/>
      <c r="BR35" s="223"/>
      <c r="BS35" s="223"/>
      <c r="BT35" s="223"/>
      <c r="BU35" s="223"/>
      <c r="BV35" s="223"/>
      <c r="BW35" s="223"/>
      <c r="BX35" s="223"/>
      <c r="BY35" s="223"/>
      <c r="BZ35" s="223"/>
      <c r="CA35" s="223"/>
      <c r="CB35" s="223"/>
      <c r="CC35" s="223"/>
      <c r="CD35" s="223"/>
      <c r="CE35" s="223"/>
      <c r="CF35" s="223"/>
      <c r="CG35" s="223"/>
      <c r="CH35" s="223"/>
      <c r="CI35" s="223"/>
      <c r="CJ35" s="223"/>
      <c r="CK35" s="223"/>
      <c r="CL35" s="223"/>
      <c r="CM35" s="223"/>
    </row>
    <row r="36" spans="1:91" s="1" customFormat="1" x14ac:dyDescent="0.25">
      <c r="A36" s="229" t="s">
        <v>749</v>
      </c>
      <c r="B36" s="225">
        <v>4032</v>
      </c>
      <c r="C36" s="227" t="s">
        <v>192</v>
      </c>
      <c r="D36" s="227" t="s">
        <v>922</v>
      </c>
      <c r="E36" s="226">
        <v>43086.266018518516</v>
      </c>
      <c r="F36" s="226">
        <v>43086.271018518521</v>
      </c>
      <c r="G36" s="225">
        <v>61</v>
      </c>
      <c r="H36" s="227" t="s">
        <v>923</v>
      </c>
      <c r="I36" s="226">
        <v>43086.295486111114</v>
      </c>
      <c r="J36" s="225">
        <v>0</v>
      </c>
      <c r="K36" s="237" t="str">
        <f t="shared" si="0"/>
        <v>4031/4032</v>
      </c>
      <c r="L36" s="245" t="str">
        <f>VLOOKUP(A36,'Trips&amp;Operators'!$C$1:$G$99911,5,FALSE)</f>
        <v>GEBRETEKLE DAGNEW</v>
      </c>
      <c r="M36" s="224">
        <f t="shared" si="1"/>
        <v>2.4467592593282461E-2</v>
      </c>
      <c r="N36" s="225">
        <f t="shared" ref="N36:N55" si="29">24*60*SUM($M36:$M36)</f>
        <v>35.233333334326744</v>
      </c>
      <c r="O36" s="225"/>
      <c r="P36" s="225"/>
      <c r="Q36" s="228"/>
      <c r="R36" s="242"/>
      <c r="S36" s="249">
        <f t="shared" si="22"/>
        <v>1</v>
      </c>
      <c r="T36" s="242" t="str">
        <f t="shared" si="2"/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3"/>
        <v>https://d0f6bd738d7f1b3e5a7ca70fe4ff75f0.us-east-1.aws.found.io/app/kibana#/discover/Steve-Slow-Train-Analysis-(2080s-and-2083s)?_g=(refreshInterval:(display:Off,pause:!f,section:0,value:0),time:(from:'2017-12-17T05:23:04-0700',mode:absolute,to:'2017-12-17T08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247" t="str">
        <f>IF(AA36&lt;VLOOKUP(AG36,Variables!$AC$3:$AD$8,2,FALSE),"Y","N")</f>
        <v>N</v>
      </c>
      <c r="X36" s="247">
        <f t="shared" ref="X36:X38" si="30">VALUE(LEFT(AD36,4))-VALUE(LEFT(AD35,4))</f>
        <v>1</v>
      </c>
      <c r="Y36" s="247">
        <f t="shared" si="5"/>
        <v>4.5100000000000001E-2</v>
      </c>
      <c r="Z36" s="247">
        <f t="shared" si="6"/>
        <v>23.326599999999999</v>
      </c>
      <c r="AA36" s="247">
        <f t="shared" si="7"/>
        <v>23.281499999999998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8"/>
        <v>123</v>
      </c>
      <c r="AE36" s="235" t="str">
        <f t="shared" si="9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36" s="234" t="str">
        <f t="shared" si="10"/>
        <v>"C:\Program Files (x86)\AstroGrep\AstroGrep.exe" /e /r /s /spath="%USERPROFILE%\AppData\Local\Temp\OnboardLogs" /stypes="app*4032*20171217*" /stext=" 14:.+((SYSTEM_STATE.+slice.+state.+changed )|(ment ac)|(multiple cpu faults)|(system.+state.+changed )|(\[timeout)|(PRM\|1\|D)|(kpr)|(kdp)|(train st.+moving)|(\|lc)|(penalty))"</v>
      </c>
      <c r="AG36" s="244" t="str">
        <f t="shared" si="11"/>
        <v>EC</v>
      </c>
      <c r="AH36" s="236" t="str">
        <f t="shared" si="17"/>
        <v>"%USERPROFILE%\Documents\GitHub\eaglep3\Utilities\RefineRTDCRunTimes.py" --tripid 123-17 --locoid 4032 --swversion DE.1.0.9.0 --startMP 204:451 --initTime 2017-12-17T06:23:04 --startdatetime 2017-12-17T06:30:16 --delay 61 --endMP 204:233266 --enddatetime 2017-12-17T07:05:30 --enforcementcount 0 &gt;&gt;%USERPROFILE%\Documents\GitHub\eaglep3-reporting\EC\2017-12-17-refined-times.txt</v>
      </c>
      <c r="AI3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{"issue":{"subject":"","project_id":79,"tracker_id":40,"status_id":1,"priority_id":2,"assigned_to_id":338,"start_date":"2017-12-17","description":"","custom_fields":[{"id":1,"name":"Subdivision","value":"EC"},{"id":4,"name":"Milepost","value":"23.3266"},{"id":17,"name":"Train ID","value":"123-17"},{"id":16,"name":"Locomotive ID","value":"4032"},{"id":130,"name":"Impact","value":""},{"id":150,"name":"Time of Event (Mountain Time)","value":"07:05:30"},{"id":151,"name":"Denver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19"/>
        <v>start /low /b %USERPROFILE%\Documents\GitHub\eaglep3\Utilities\DownloadLogsFromS3.py --loco 4032 --day 2017-12-17</v>
      </c>
      <c r="AN3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1"/>
        <v>https://d0f6bd738d7f1b3e5a7ca70fe4ff75f0.us-east-1.aws.found.io/app/kibana#/discover/Steve-Slow-Train-Analysis-(2080s-and-2083s)?_g=(refreshInterval:(display:Off,pause:!f,section:0,value:0),time:(from:'2017-12-17T05:23:04-0700',mode:absolute,to:'2017-12-17T08:05:30-0700'))&amp;_a=(columns:!('Message%20ID',Summary),filters:!(),index:'emp_*',interval:auto,query:(query_string:(analyze_wildcard:!t,query:'%22rtdc.l.rtdc.4032%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756</v>
      </c>
      <c r="B37" s="225">
        <v>4031</v>
      </c>
      <c r="C37" s="227" t="s">
        <v>192</v>
      </c>
      <c r="D37" s="227" t="s">
        <v>613</v>
      </c>
      <c r="E37" s="226">
        <v>43086.296875</v>
      </c>
      <c r="F37" s="226">
        <v>43086.310624999998</v>
      </c>
      <c r="G37" s="225">
        <v>92</v>
      </c>
      <c r="H37" s="227" t="s">
        <v>647</v>
      </c>
      <c r="I37" s="226">
        <v>43086.335740740738</v>
      </c>
      <c r="J37" s="225">
        <v>0</v>
      </c>
      <c r="K37" s="237" t="str">
        <f t="shared" si="0"/>
        <v>4031/4032</v>
      </c>
      <c r="L37" s="245" t="str">
        <f>VLOOKUP(A37,'Trips&amp;Operators'!$C$1:$G$99911,5,FALSE)</f>
        <v>GEBRETEKLE DAGNEW</v>
      </c>
      <c r="M37" s="224">
        <f t="shared" si="1"/>
        <v>2.5115740740147885E-2</v>
      </c>
      <c r="N37" s="225">
        <f t="shared" si="29"/>
        <v>36.166666665812954</v>
      </c>
      <c r="O37" s="225"/>
      <c r="P37" s="225"/>
      <c r="Q37" s="228"/>
      <c r="R37" s="242"/>
      <c r="S37" s="249">
        <f t="shared" si="22"/>
        <v>1</v>
      </c>
      <c r="T37" s="242" t="str">
        <f t="shared" si="2"/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3"/>
        <v>https://d0f6bd738d7f1b3e5a7ca70fe4ff75f0.us-east-1.aws.found.io/app/kibana#/discover/Steve-Slow-Train-Analysis-(2080s-and-2083s)?_g=(refreshInterval:(display:Off,pause:!f,section:0,value:0),time:(from:'2017-12-17T06:07:30-0700',mode:absolute,to:'2017-12-17T09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247" t="str">
        <f>IF(AA37&lt;VLOOKUP(AG37,Variables!$AC$3:$AD$8,2,FALSE),"Y","N")</f>
        <v>N</v>
      </c>
      <c r="X37" s="247">
        <f t="shared" si="30"/>
        <v>1</v>
      </c>
      <c r="Y37" s="247">
        <f t="shared" si="5"/>
        <v>23.295100000000001</v>
      </c>
      <c r="Z37" s="247">
        <f t="shared" si="6"/>
        <v>1.5599999999999999E-2</v>
      </c>
      <c r="AA37" s="247">
        <f t="shared" si="7"/>
        <v>23.279500000000002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8"/>
        <v>124</v>
      </c>
      <c r="AE37" s="235" t="str">
        <f t="shared" si="9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37" s="234" t="str">
        <f t="shared" si="10"/>
        <v>"C:\Program Files (x86)\AstroGrep\AstroGrep.exe" /e /r /s /spath="%USERPROFILE%\AppData\Local\Temp\OnboardLogs" /stypes="app*4031*20171217*" /stext=" 15:.+((SYSTEM_STATE.+slice.+state.+changed )|(ment ac)|(multiple cpu faults)|(system.+state.+changed )|(\[timeout)|(PRM\|1\|D)|(kpr)|(kdp)|(train st.+moving)|(\|lc)|(penalty))"</v>
      </c>
      <c r="AG37" s="244" t="str">
        <f t="shared" si="11"/>
        <v>EC</v>
      </c>
      <c r="AH37" s="236" t="str">
        <f t="shared" si="17"/>
        <v>"%USERPROFILE%\Documents\GitHub\eaglep3\Utilities\RefineRTDCRunTimes.py" --tripid 124-17 --locoid 4031 --swversion DE.1.0.9.0 --startMP 204:232951 --initTime 2017-12-17T07:07:30 --startdatetime 2017-12-17T07:27:18 --delay 92 --endMP 204:156 --enddatetime 2017-12-17T08:03:28 --enforcementcount 0 &gt;&gt;%USERPROFILE%\Documents\GitHub\eaglep3-reporting\EC\2017-12-17-refined-times.txt</v>
      </c>
      <c r="AI3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{"issue":{"subject":"","project_id":79,"tracker_id":40,"status_id":1,"priority_id":2,"assigned_to_id":338,"start_date":"2017-12-17","description":"","custom_fields":[{"id":1,"name":"Subdivision","value":"EC"},{"id":4,"name":"Milepost","value":"0.0156"},{"id":17,"name":"Train ID","value":"124-17"},{"id":16,"name":"Locomotive ID","value":"4031"},{"id":130,"name":"Impact","value":""},{"id":150,"name":"Time of Event (Mountain Time)","value":"08:03:28"},{"id":151,"name":"Denver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19"/>
        <v>start /low /b %USERPROFILE%\Documents\GitHub\eaglep3\Utilities\DownloadLogsFromS3.py --loco 4031 --day 2017-12-17</v>
      </c>
      <c r="AN3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1"/>
        <v>https://d0f6bd738d7f1b3e5a7ca70fe4ff75f0.us-east-1.aws.found.io/app/kibana#/discover/Steve-Slow-Train-Analysis-(2080s-and-2083s)?_g=(refreshInterval:(display:Off,pause:!f,section:0,value:0),time:(from:'2017-12-17T06:07:30-0700',mode:absolute,to:'2017-12-17T09:03:28-0700'))&amp;_a=(columns:!('Message%20ID',Summary),filters:!(),index:'emp_*',interval:auto,query:(query_string:(analyze_wildcard:!t,query:'%22rtdc.l.rtdc.4031%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752</v>
      </c>
      <c r="B38" s="225">
        <v>4054</v>
      </c>
      <c r="C38" s="227" t="s">
        <v>192</v>
      </c>
      <c r="D38" s="227" t="s">
        <v>618</v>
      </c>
      <c r="E38" s="226">
        <v>43086.279340277775</v>
      </c>
      <c r="F38" s="226">
        <v>43086.281446759262</v>
      </c>
      <c r="G38" s="225">
        <v>72</v>
      </c>
      <c r="H38" s="227" t="s">
        <v>920</v>
      </c>
      <c r="I38" s="226">
        <v>43086.306307870371</v>
      </c>
      <c r="J38" s="225">
        <v>0</v>
      </c>
      <c r="K38" s="237" t="str">
        <f t="shared" si="0"/>
        <v>4053/4054</v>
      </c>
      <c r="L38" s="245" t="str">
        <f>VLOOKUP(A38,'Trips&amp;Operators'!$C$1:$G$99911,5,FALSE)</f>
        <v>THOMPSON LESTER</v>
      </c>
      <c r="M38" s="224">
        <f t="shared" si="1"/>
        <v>2.4861111109203193E-2</v>
      </c>
      <c r="N38" s="225">
        <f t="shared" si="29"/>
        <v>35.799999997252598</v>
      </c>
      <c r="O38" s="225"/>
      <c r="P38" s="225"/>
      <c r="Q38" s="228"/>
      <c r="R38" s="242"/>
      <c r="S38" s="249">
        <f t="shared" si="22"/>
        <v>1</v>
      </c>
      <c r="T38" s="242" t="str">
        <f t="shared" si="2"/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3"/>
        <v>https://d0f6bd738d7f1b3e5a7ca70fe4ff75f0.us-east-1.aws.found.io/app/kibana#/discover/Steve-Slow-Train-Analysis-(2080s-and-2083s)?_g=(refreshInterval:(display:Off,pause:!f,section:0,value:0),time:(from:'2017-12-17T05:42:15-0700',mode:absolute,to:'2017-12-17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247" t="str">
        <f>IF(AA38&lt;VLOOKUP(AG38,Variables!$AC$3:$AD$8,2,FALSE),"Y","N")</f>
        <v>N</v>
      </c>
      <c r="X38" s="247">
        <f t="shared" si="30"/>
        <v>1</v>
      </c>
      <c r="Y38" s="247">
        <f t="shared" si="5"/>
        <v>5.4899999999999997E-2</v>
      </c>
      <c r="Z38" s="247">
        <f t="shared" si="6"/>
        <v>23.328900000000001</v>
      </c>
      <c r="AA38" s="247">
        <f t="shared" si="7"/>
        <v>23.274000000000001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8"/>
        <v>125</v>
      </c>
      <c r="AE38" s="235" t="str">
        <f t="shared" si="9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38" s="234" t="str">
        <f t="shared" si="10"/>
        <v>"C:\Program Files (x86)\AstroGrep\AstroGrep.exe" /e /r /s /spath="%USERPROFILE%\AppData\Local\Temp\OnboardLogs" /stypes="app*4054*20171217*" /stext=" 14:.+((SYSTEM_STATE.+slice.+state.+changed )|(ment ac)|(multiple cpu faults)|(system.+state.+changed )|(\[timeout)|(PRM\|1\|D)|(kpr)|(kdp)|(train st.+moving)|(\|lc)|(penalty))"</v>
      </c>
      <c r="AG38" s="244" t="str">
        <f t="shared" si="11"/>
        <v>EC</v>
      </c>
      <c r="AH38" s="236" t="str">
        <f t="shared" si="17"/>
        <v>"%USERPROFILE%\Documents\GitHub\eaglep3\Utilities\RefineRTDCRunTimes.py" --tripid 125-17 --locoid 4054 --swversion DE.1.0.9.0 --startMP 204:549 --initTime 2017-12-17T06:42:15 --startdatetime 2017-12-17T06:45:17 --delay 72 --endMP 204:233289 --enddatetime 2017-12-17T07:21:05 --enforcementcount 0 &gt;&gt;%USERPROFILE%\Documents\GitHub\eaglep3-reporting\EC\2017-12-17-refined-times.txt</v>
      </c>
      <c r="AI3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ID","value":"125-17"},{"id":16,"name":"Locomotive ID","value":"4054"},{"id":130,"name":"Impact","value":""},{"id":150,"name":"Time of Event (Mountain Time)","value":"07:21:05"},{"id":151,"name":"Denver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19"/>
        <v>start /low /b %USERPROFILE%\Documents\GitHub\eaglep3\Utilities\DownloadLogsFromS3.py --loco 4054 --day 2017-12-17</v>
      </c>
      <c r="AN3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1"/>
        <v>https://d0f6bd738d7f1b3e5a7ca70fe4ff75f0.us-east-1.aws.found.io/app/kibana#/discover/Steve-Slow-Train-Analysis-(2080s-and-2083s)?_g=(refreshInterval:(display:Off,pause:!f,section:0,value:0),time:(from:'2017-12-17T05:42:15-0700',mode:absolute,to:'2017-12-17T08:21:05-0700'))&amp;_a=(columns:!('Message%20ID',Summary),filters:!(),index:'emp_*',interval:auto,query:(query_string:(analyze_wildcard:!t,query:'%22rtdc.l.rtdc.4054%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761</v>
      </c>
      <c r="B39" s="225">
        <v>4053</v>
      </c>
      <c r="C39" s="227" t="s">
        <v>192</v>
      </c>
      <c r="D39" s="227" t="s">
        <v>924</v>
      </c>
      <c r="E39" s="226">
        <v>43086.319594907407</v>
      </c>
      <c r="F39" s="226">
        <v>43086.321157407408</v>
      </c>
      <c r="G39" s="225">
        <v>79</v>
      </c>
      <c r="H39" s="227" t="s">
        <v>535</v>
      </c>
      <c r="I39" s="226">
        <v>43086.347604166665</v>
      </c>
      <c r="J39" s="225">
        <v>0</v>
      </c>
      <c r="K39" s="237" t="str">
        <f t="shared" si="0"/>
        <v>4053/4054</v>
      </c>
      <c r="L39" s="245" t="str">
        <f>VLOOKUP(A39,'Trips&amp;Operators'!$C$1:$G$99911,5,FALSE)</f>
        <v>THOMPSON LESTER</v>
      </c>
      <c r="M39" s="224">
        <f t="shared" si="1"/>
        <v>2.6446759256941732E-2</v>
      </c>
      <c r="N39" s="225">
        <f t="shared" si="29"/>
        <v>38.083333329996094</v>
      </c>
      <c r="O39" s="225"/>
      <c r="P39" s="225"/>
      <c r="Q39" s="228"/>
      <c r="R39" s="242"/>
      <c r="S39" s="249">
        <f t="shared" si="22"/>
        <v>1</v>
      </c>
      <c r="T39" s="242" t="str">
        <f t="shared" si="2"/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3"/>
        <v>https://d0f6bd738d7f1b3e5a7ca70fe4ff75f0.us-east-1.aws.found.io/app/kibana#/discover/Steve-Slow-Train-Analysis-(2080s-and-2083s)?_g=(refreshInterval:(display:Off,pause:!f,section:0,value:0),time:(from:'2017-12-17T06:40:13-0700',mode:absolute,to:'2017-12-17T09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247" t="str">
        <f>IF(AA39&lt;VLOOKUP(AG39,Variables!$AC$3:$AD$8,2,FALSE),"Y","N")</f>
        <v>N</v>
      </c>
      <c r="X39" s="247">
        <f t="shared" ref="X39:X55" si="31">VALUE(LEFT(AD39,4))-VALUE(LEFT(AD38,4))</f>
        <v>1</v>
      </c>
      <c r="Y39" s="247">
        <f t="shared" si="5"/>
        <v>23.296099999999999</v>
      </c>
      <c r="Z39" s="247">
        <f t="shared" si="6"/>
        <v>1.89E-2</v>
      </c>
      <c r="AA39" s="247">
        <f t="shared" si="7"/>
        <v>23.277200000000001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8"/>
        <v>126</v>
      </c>
      <c r="AE39" s="235" t="str">
        <f t="shared" si="9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39" s="234" t="str">
        <f t="shared" si="10"/>
        <v>"C:\Program Files (x86)\AstroGrep\AstroGrep.exe" /e /r /s /spath="%USERPROFILE%\AppData\Local\Temp\OnboardLogs" /stypes="app*4053*20171217*" /stext=" 15:.+((SYSTEM_STATE.+slice.+state.+changed )|(ment ac)|(multiple cpu faults)|(system.+state.+changed )|(\[timeout)|(PRM\|1\|D)|(kpr)|(kdp)|(train st.+moving)|(\|lc)|(penalty))"</v>
      </c>
      <c r="AG39" s="244" t="str">
        <f t="shared" si="11"/>
        <v>EC</v>
      </c>
      <c r="AH39" s="236" t="str">
        <f t="shared" si="17"/>
        <v>"%USERPROFILE%\Documents\GitHub\eaglep3\Utilities\RefineRTDCRunTimes.py" --tripid 126-17 --locoid 4053 --swversion DE.1.0.9.0 --startMP 204:232961 --initTime 2017-12-17T07:40:13 --startdatetime 2017-12-17T07:42:28 --delay 79 --endMP 204:189 --enddatetime 2017-12-17T08:20:33 --enforcementcount 0 &gt;&gt;%USERPROFILE%\Documents\GitHub\eaglep3-reporting\EC\2017-12-17-refined-times.txt</v>
      </c>
      <c r="AI3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{"issue":{"subject":"","project_id":79,"tracker_id":40,"status_id":1,"priority_id":2,"assigned_to_id":338,"start_date":"2017-12-17","description":"","custom_fields":[{"id":1,"name":"Subdivision","value":"EC"},{"id":4,"name":"Milepost","value":"0.0189"},{"id":17,"name":"Train ID","value":"126-17"},{"id":16,"name":"Locomotive ID","value":"4053"},{"id":130,"name":"Impact","value":""},{"id":150,"name":"Time of Event (Mountain Time)","value":"08:20:33"},{"id":151,"name":"Denver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19"/>
        <v>start /low /b %USERPROFILE%\Documents\GitHub\eaglep3\Utilities\DownloadLogsFromS3.py --loco 4053 --day 2017-12-17</v>
      </c>
      <c r="AN3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1"/>
        <v>https://d0f6bd738d7f1b3e5a7ca70fe4ff75f0.us-east-1.aws.found.io/app/kibana#/discover/Steve-Slow-Train-Analysis-(2080s-and-2083s)?_g=(refreshInterval:(display:Off,pause:!f,section:0,value:0),time:(from:'2017-12-17T06:40:13-0700',mode:absolute,to:'2017-12-17T09:20:33-0700'))&amp;_a=(columns:!('Message%20ID',Summary),filters:!(),index:'emp_*',interval:auto,query:(query_string:(analyze_wildcard:!t,query:'%22rtdc.l.rtdc.4053%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754</v>
      </c>
      <c r="B40" s="225">
        <v>4040</v>
      </c>
      <c r="C40" s="227" t="s">
        <v>192</v>
      </c>
      <c r="D40" s="227" t="s">
        <v>925</v>
      </c>
      <c r="E40" s="226">
        <v>43086.288078703707</v>
      </c>
      <c r="F40" s="226">
        <v>43086.291863425926</v>
      </c>
      <c r="G40" s="225">
        <v>54</v>
      </c>
      <c r="H40" s="227" t="s">
        <v>926</v>
      </c>
      <c r="I40" s="226">
        <v>43086.316817129627</v>
      </c>
      <c r="J40" s="225">
        <v>0</v>
      </c>
      <c r="K40" s="237" t="str">
        <f t="shared" si="0"/>
        <v>4039/4040</v>
      </c>
      <c r="L40" s="245" t="str">
        <f>VLOOKUP(A40,'Trips&amp;Operators'!$C$1:$G$99911,5,FALSE)</f>
        <v>WILLIAMS DONTE</v>
      </c>
      <c r="M40" s="224">
        <f t="shared" si="1"/>
        <v>2.495370370161254E-2</v>
      </c>
      <c r="N40" s="225">
        <f t="shared" si="29"/>
        <v>35.933333330322057</v>
      </c>
      <c r="O40" s="225"/>
      <c r="P40" s="225"/>
      <c r="Q40" s="228"/>
      <c r="R40" s="242"/>
      <c r="S40" s="249">
        <f t="shared" si="22"/>
        <v>1</v>
      </c>
      <c r="T40" s="242" t="str">
        <f t="shared" si="2"/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3"/>
        <v>https://d0f6bd738d7f1b3e5a7ca70fe4ff75f0.us-east-1.aws.found.io/app/kibana#/discover/Steve-Slow-Train-Analysis-(2080s-and-2083s)?_g=(refreshInterval:(display:Off,pause:!f,section:0,value:0),time:(from:'2017-12-17T05:54:50-0700',mode:absolute,to:'2017-12-17T08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0" s="247" t="str">
        <f>IF(AA40&lt;VLOOKUP(AG40,Variables!$AC$3:$AD$8,2,FALSE),"Y","N")</f>
        <v>N</v>
      </c>
      <c r="X40" s="247">
        <f t="shared" si="31"/>
        <v>1</v>
      </c>
      <c r="Y40" s="247">
        <f t="shared" si="5"/>
        <v>5.2200000000000003E-2</v>
      </c>
      <c r="Z40" s="247">
        <f t="shared" si="6"/>
        <v>23.322900000000001</v>
      </c>
      <c r="AA40" s="247">
        <f t="shared" si="7"/>
        <v>23.270700000000001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8"/>
        <v>127</v>
      </c>
      <c r="AE40" s="235" t="str">
        <f t="shared" si="9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40" s="234" t="str">
        <f t="shared" si="10"/>
        <v>"C:\Program Files (x86)\AstroGrep\AstroGrep.exe" /e /r /s /spath="%USERPROFILE%\AppData\Local\Temp\OnboardLogs" /stypes="app*4040*20171217*" /stext=" 14:.+((SYSTEM_STATE.+slice.+state.+changed )|(ment ac)|(multiple cpu faults)|(system.+state.+changed )|(\[timeout)|(PRM\|1\|D)|(kpr)|(kdp)|(train st.+moving)|(\|lc)|(penalty))"</v>
      </c>
      <c r="AG40" s="244" t="str">
        <f t="shared" si="11"/>
        <v>EC</v>
      </c>
      <c r="AH40" s="236" t="str">
        <f t="shared" si="17"/>
        <v>"%USERPROFILE%\Documents\GitHub\eaglep3\Utilities\RefineRTDCRunTimes.py" --tripid 127-17 --locoid 4040 --swversion DE.1.0.9.0 --startMP 204:522 --initTime 2017-12-17T06:54:50 --startdatetime 2017-12-17T07:00:17 --delay 54 --endMP 204:233229 --enddatetime 2017-12-17T07:36:13 --enforcementcount 0 &gt;&gt;%USERPROFILE%\Documents\GitHub\eaglep3-reporting\EC\2017-12-17-refined-times.txt</v>
      </c>
      <c r="AI4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{"issue":{"subject":"","project_id":79,"tracker_id":40,"status_id":1,"priority_id":2,"assigned_to_id":338,"start_date":"2017-12-17","description":"","custom_fields":[{"id":1,"name":"Subdivision","value":"EC"},{"id":4,"name":"Milepost","value":"23.3229"},{"id":17,"name":"Train ID","value":"127-17"},{"id":16,"name":"Locomotive ID","value":"4040"},{"id":130,"name":"Impact","value":""},{"id":150,"name":"Time of Event (Mountain Time)","value":"07:36:13"},{"id":151,"name":"Denver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19"/>
        <v>start /low /b %USERPROFILE%\Documents\GitHub\eaglep3\Utilities\DownloadLogsFromS3.py --loco 4040 --day 2017-12-17</v>
      </c>
      <c r="AN4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1"/>
        <v>https://d0f6bd738d7f1b3e5a7ca70fe4ff75f0.us-east-1.aws.found.io/app/kibana#/discover/Steve-Slow-Train-Analysis-(2080s-and-2083s)?_g=(refreshInterval:(display:Off,pause:!f,section:0,value:0),time:(from:'2017-12-17T05:54:50-0700',mode:absolute,to:'2017-12-17T08:36:13-0700'))&amp;_a=(columns:!('Message%20ID',Summary),filters:!(),index:'emp_*',interval:auto,query:(query_string:(analyze_wildcard:!t,query:'%22rtdc.l.rtdc.4040%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762</v>
      </c>
      <c r="B41" s="225">
        <v>4039</v>
      </c>
      <c r="C41" s="227" t="s">
        <v>192</v>
      </c>
      <c r="D41" s="227" t="s">
        <v>679</v>
      </c>
      <c r="E41" s="226">
        <v>43086.325532407405</v>
      </c>
      <c r="F41" s="226">
        <v>43086.331469907411</v>
      </c>
      <c r="G41" s="225">
        <v>62</v>
      </c>
      <c r="H41" s="227" t="s">
        <v>548</v>
      </c>
      <c r="I41" s="226">
        <v>43086.357488425929</v>
      </c>
      <c r="J41" s="225">
        <v>0</v>
      </c>
      <c r="K41" s="237" t="str">
        <f t="shared" si="0"/>
        <v>4039/4040</v>
      </c>
      <c r="L41" s="245" t="str">
        <f>VLOOKUP(A41,'Trips&amp;Operators'!$C$1:$G$99911,5,FALSE)</f>
        <v>WILLIAMS DONTE</v>
      </c>
      <c r="M41" s="224">
        <f t="shared" si="1"/>
        <v>2.6018518517958E-2</v>
      </c>
      <c r="N41" s="225">
        <f t="shared" si="29"/>
        <v>37.46666666585952</v>
      </c>
      <c r="O41" s="225"/>
      <c r="P41" s="225"/>
      <c r="Q41" s="228"/>
      <c r="R41" s="242"/>
      <c r="S41" s="249">
        <f t="shared" si="22"/>
        <v>1</v>
      </c>
      <c r="T41" s="242" t="str">
        <f t="shared" si="2"/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3"/>
        <v>https://d0f6bd738d7f1b3e5a7ca70fe4ff75f0.us-east-1.aws.found.io/app/kibana#/discover/Steve-Slow-Train-Analysis-(2080s-and-2083s)?_g=(refreshInterval:(display:Off,pause:!f,section:0,value:0),time:(from:'2017-12-17T06:48:46-0700',mode:absolute,to:'2017-12-17T09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1" s="247" t="str">
        <f>IF(AA41&lt;VLOOKUP(AG41,Variables!$AC$3:$AD$8,2,FALSE),"Y","N")</f>
        <v>N</v>
      </c>
      <c r="X41" s="247">
        <f t="shared" si="31"/>
        <v>1</v>
      </c>
      <c r="Y41" s="247">
        <f t="shared" si="5"/>
        <v>23.290199999999999</v>
      </c>
      <c r="Z41" s="247">
        <f t="shared" si="6"/>
        <v>2.01E-2</v>
      </c>
      <c r="AA41" s="247">
        <f t="shared" si="7"/>
        <v>23.270099999999999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8"/>
        <v>128</v>
      </c>
      <c r="AE41" s="235" t="str">
        <f t="shared" si="9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41" s="234" t="str">
        <f t="shared" si="10"/>
        <v>"C:\Program Files (x86)\AstroGrep\AstroGrep.exe" /e /r /s /spath="%USERPROFILE%\AppData\Local\Temp\OnboardLogs" /stypes="app*4039*20171217*" /stext=" 15:.+((SYSTEM_STATE.+slice.+state.+changed )|(ment ac)|(multiple cpu faults)|(system.+state.+changed )|(\[timeout)|(PRM\|1\|D)|(kpr)|(kdp)|(train st.+moving)|(\|lc)|(penalty))"</v>
      </c>
      <c r="AG41" s="244" t="str">
        <f t="shared" si="11"/>
        <v>EC</v>
      </c>
      <c r="AH41" s="236" t="str">
        <f t="shared" si="17"/>
        <v>"%USERPROFILE%\Documents\GitHub\eaglep3\Utilities\RefineRTDCRunTimes.py" --tripid 128-17 --locoid 4039 --swversion DE.1.0.9.0 --startMP 204:232902 --initTime 2017-12-17T07:48:46 --startdatetime 2017-12-17T07:57:19 --delay 62 --endMP 204:201 --enddatetime 2017-12-17T08:34:47 --enforcementcount 0 &gt;&gt;%USERPROFILE%\Documents\GitHub\eaglep3-reporting\EC\2017-12-17-refined-times.txt</v>
      </c>
      <c r="AI4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{"issue":{"subject":"","project_id":79,"tracker_id":40,"status_id":1,"priority_id":2,"assigned_to_id":338,"start_date":"2017-12-17","description":"","custom_fields":[{"id":1,"name":"Subdivision","value":"EC"},{"id":4,"name":"Milepost","value":"0.0201"},{"id":17,"name":"Train ID","value":"128-17"},{"id":16,"name":"Locomotive ID","value":"4039"},{"id":130,"name":"Impact","value":""},{"id":150,"name":"Time of Event (Mountain Time)","value":"08:34:47"},{"id":151,"name":"Denver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19"/>
        <v>start /low /b %USERPROFILE%\Documents\GitHub\eaglep3\Utilities\DownloadLogsFromS3.py --loco 4039 --day 2017-12-17</v>
      </c>
      <c r="AN4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1"/>
        <v>https://d0f6bd738d7f1b3e5a7ca70fe4ff75f0.us-east-1.aws.found.io/app/kibana#/discover/Steve-Slow-Train-Analysis-(2080s-and-2083s)?_g=(refreshInterval:(display:Off,pause:!f,section:0,value:0),time:(from:'2017-12-17T06:48:46-0700',mode:absolute,to:'2017-12-17T09:34:47-0700'))&amp;_a=(columns:!('Message%20ID',Summary),filters:!(),index:'emp_*',interval:auto,query:(query_string:(analyze_wildcard:!t,query:'%22rtdc.l.rtdc.4039%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757</v>
      </c>
      <c r="B42" s="225">
        <v>4058</v>
      </c>
      <c r="C42" s="227" t="s">
        <v>192</v>
      </c>
      <c r="D42" s="227" t="s">
        <v>927</v>
      </c>
      <c r="E42" s="226">
        <v>43086.298611111109</v>
      </c>
      <c r="F42" s="226">
        <v>43086.302337962959</v>
      </c>
      <c r="G42" s="225">
        <v>68</v>
      </c>
      <c r="H42" s="227" t="s">
        <v>928</v>
      </c>
      <c r="I42" s="226">
        <v>43086.326956018522</v>
      </c>
      <c r="J42" s="225">
        <v>0</v>
      </c>
      <c r="K42" s="237" t="str">
        <f t="shared" si="0"/>
        <v>4057/4058</v>
      </c>
      <c r="L42" s="245" t="str">
        <f>VLOOKUP(A42,'Trips&amp;Operators'!$C$1:$G$99911,5,FALSE)</f>
        <v>MAELZER KURT</v>
      </c>
      <c r="M42" s="224">
        <f t="shared" si="1"/>
        <v>2.4618055562314112E-2</v>
      </c>
      <c r="N42" s="225">
        <f t="shared" si="29"/>
        <v>35.450000009732321</v>
      </c>
      <c r="O42" s="225"/>
      <c r="P42" s="225"/>
      <c r="Q42" s="228"/>
      <c r="R42" s="242"/>
      <c r="S42" s="249">
        <f t="shared" si="22"/>
        <v>1</v>
      </c>
      <c r="T42" s="242" t="str">
        <f t="shared" si="2"/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3"/>
        <v>https://d0f6bd738d7f1b3e5a7ca70fe4ff75f0.us-east-1.aws.found.io/app/kibana#/discover/Steve-Slow-Train-Analysis-(2080s-and-2083s)?_g=(refreshInterval:(display:Off,pause:!f,section:0,value:0),time:(from:'2017-12-17T06:10:00-0700',mode:absolute,to:'2017-12-17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2" s="247" t="str">
        <f>IF(AA42&lt;VLOOKUP(AG42,Variables!$AC$3:$AD$8,2,FALSE),"Y","N")</f>
        <v>N</v>
      </c>
      <c r="X42" s="247">
        <f t="shared" si="31"/>
        <v>1</v>
      </c>
      <c r="Y42" s="247">
        <f t="shared" si="5"/>
        <v>4.9700000000000001E-2</v>
      </c>
      <c r="Z42" s="247">
        <f t="shared" si="6"/>
        <v>23.330300000000001</v>
      </c>
      <c r="AA42" s="247">
        <f t="shared" si="7"/>
        <v>23.2806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8"/>
        <v>129</v>
      </c>
      <c r="AE42" s="235" t="str">
        <f t="shared" si="9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42" s="234" t="str">
        <f t="shared" si="10"/>
        <v>"C:\Program Files (x86)\AstroGrep\AstroGrep.exe" /e /r /s /spath="%USERPROFILE%\AppData\Local\Temp\OnboardLogs" /stypes="app*4058*20171217*" /stext=" 14:.+((SYSTEM_STATE.+slice.+state.+changed )|(ment ac)|(multiple cpu faults)|(system.+state.+changed )|(\[timeout)|(PRM\|1\|D)|(kpr)|(kdp)|(train st.+moving)|(\|lc)|(penalty))"</v>
      </c>
      <c r="AG42" s="244" t="str">
        <f t="shared" si="11"/>
        <v>EC</v>
      </c>
      <c r="AH42" s="236" t="str">
        <f t="shared" si="17"/>
        <v>"%USERPROFILE%\Documents\GitHub\eaglep3\Utilities\RefineRTDCRunTimes.py" --tripid 129-17 --locoid 4058 --swversion DE.1.0.9.0 --startMP 204:497 --initTime 2017-12-17T07:10:00 --startdatetime 2017-12-17T07:15:22 --delay 68 --endMP 204:233303 --enddatetime 2017-12-17T07:50:49 --enforcementcount 0 &gt;&gt;%USERPROFILE%\Documents\GitHub\eaglep3-reporting\EC\2017-12-17-refined-times.txt</v>
      </c>
      <c r="AI4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{"issue":{"subject":"","project_id":79,"tracker_id":40,"status_id":1,"priority_id":2,"assigned_to_id":338,"start_date":"2017-12-17","description":"","custom_fields":[{"id":1,"name":"Subdivision","value":"EC"},{"id":4,"name":"Milepost","value":"23.3303"},{"id":17,"name":"Train ID","value":"129-17"},{"id":16,"name":"Locomotive ID","value":"4058"},{"id":130,"name":"Impact","value":""},{"id":150,"name":"Time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19"/>
        <v>start /low /b %USERPROFILE%\Documents\GitHub\eaglep3\Utilities\DownloadLogsFromS3.py --loco 4058 --day 2017-12-17</v>
      </c>
      <c r="AN4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1"/>
        <v>https://d0f6bd738d7f1b3e5a7ca70fe4ff75f0.us-east-1.aws.found.io/app/kibana#/discover/Steve-Slow-Train-Analysis-(2080s-and-2083s)?_g=(refreshInterval:(display:Off,pause:!f,section:0,value:0),time:(from:'2017-12-17T06:10:00-0700',mode:absolute,to:'2017-12-17T08:50:49-0700'))&amp;_a=(columns:!('Message%20ID',Summary),filters:!(),index:'emp_*',interval:auto,query:(query_string:(analyze_wildcard:!t,query:'%22rtdc.l.rtdc.4058%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764</v>
      </c>
      <c r="B43" s="225">
        <v>4057</v>
      </c>
      <c r="C43" s="227" t="s">
        <v>192</v>
      </c>
      <c r="D43" s="227" t="s">
        <v>929</v>
      </c>
      <c r="E43" s="226">
        <v>43086.331643518519</v>
      </c>
      <c r="F43" s="226">
        <v>43086.341817129629</v>
      </c>
      <c r="G43" s="225">
        <v>61</v>
      </c>
      <c r="H43" s="227" t="s">
        <v>611</v>
      </c>
      <c r="I43" s="226">
        <v>43086.367569444446</v>
      </c>
      <c r="J43" s="225">
        <v>0</v>
      </c>
      <c r="K43" s="237" t="str">
        <f t="shared" si="0"/>
        <v>4057/4058</v>
      </c>
      <c r="L43" s="245" t="str">
        <f>VLOOKUP(A43,'Trips&amp;Operators'!$C$1:$G$99911,5,FALSE)</f>
        <v>MAELZER KURT</v>
      </c>
      <c r="M43" s="224">
        <f t="shared" si="1"/>
        <v>2.5752314817509614E-2</v>
      </c>
      <c r="N43" s="225">
        <f t="shared" si="29"/>
        <v>37.083333337213844</v>
      </c>
      <c r="O43" s="225"/>
      <c r="P43" s="225"/>
      <c r="Q43" s="228"/>
      <c r="R43" s="242"/>
      <c r="S43" s="249">
        <f t="shared" si="22"/>
        <v>1</v>
      </c>
      <c r="T43" s="242" t="str">
        <f t="shared" si="2"/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3"/>
        <v>https://d0f6bd738d7f1b3e5a7ca70fe4ff75f0.us-east-1.aws.found.io/app/kibana#/discover/Steve-Slow-Train-Analysis-(2080s-and-2083s)?_g=(refreshInterval:(display:Off,pause:!f,section:0,value:0),time:(from:'2017-12-17T06:57:34-0700',mode:absolute,to:'2017-12-17T09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3" s="247" t="str">
        <f>IF(AA43&lt;VLOOKUP(AG43,Variables!$AC$3:$AD$8,2,FALSE),"Y","N")</f>
        <v>N</v>
      </c>
      <c r="X43" s="247">
        <f t="shared" si="31"/>
        <v>1</v>
      </c>
      <c r="Y43" s="247">
        <f t="shared" si="5"/>
        <v>23.2973</v>
      </c>
      <c r="Z43" s="247">
        <f t="shared" si="6"/>
        <v>1.83E-2</v>
      </c>
      <c r="AA43" s="247">
        <f t="shared" si="7"/>
        <v>23.279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8"/>
        <v>130</v>
      </c>
      <c r="AE43" s="235" t="str">
        <f t="shared" si="9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43" s="234" t="str">
        <f t="shared" si="10"/>
        <v>"C:\Program Files (x86)\AstroGrep\AstroGrep.exe" /e /r /s /spath="%USERPROFILE%\AppData\Local\Temp\OnboardLogs" /stypes="app*4057*20171217*" /stext=" 15:.+((SYSTEM_STATE.+slice.+state.+changed )|(ment ac)|(multiple cpu faults)|(system.+state.+changed )|(\[timeout)|(PRM\|1\|D)|(kpr)|(kdp)|(train st.+moving)|(\|lc)|(penalty))"</v>
      </c>
      <c r="AG43" s="244" t="str">
        <f t="shared" si="11"/>
        <v>EC</v>
      </c>
      <c r="AH43" s="236" t="str">
        <f t="shared" si="17"/>
        <v>"%USERPROFILE%\Documents\GitHub\eaglep3\Utilities\RefineRTDCRunTimes.py" --tripid 130-17 --locoid 4057 --swversion DE.1.0.9.0 --startMP 204:232973 --initTime 2017-12-17T07:57:34 --startdatetime 2017-12-17T08:12:13 --delay 61 --endMP 204:183 --enddatetime 2017-12-17T08:49:18 --enforcementcount 0 &gt;&gt;%USERPROFILE%\Documents\GitHub\eaglep3-reporting\EC\2017-12-17-refined-times.txt</v>
      </c>
      <c r="AI4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{"issue":{"subject":"","project_id":79,"tracker_id":40,"status_id":1,"priority_id":2,"assigned_to_id":338,"start_date":"2017-12-17","description":"","custom_fields":[{"id":1,"name":"Subdivision","value":"EC"},{"id":4,"name":"Milepost","value":"0.0183"},{"id":17,"name":"Train ID","value":"130-17"},{"id":16,"name":"Locomotive ID","value":"4057"},{"id":130,"name":"Impact","value":""},{"id":150,"name":"Time of Event (Mountain Time)","value":"08:49:18"},{"id":151,"name":"Denver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19"/>
        <v>start /low /b %USERPROFILE%\Documents\GitHub\eaglep3\Utilities\DownloadLogsFromS3.py --loco 4057 --day 2017-12-17</v>
      </c>
      <c r="AN4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1"/>
        <v>https://d0f6bd738d7f1b3e5a7ca70fe4ff75f0.us-east-1.aws.found.io/app/kibana#/discover/Steve-Slow-Train-Analysis-(2080s-and-2083s)?_g=(refreshInterval:(display:Off,pause:!f,section:0,value:0),time:(from:'2017-12-17T06:57:34-0700',mode:absolute,to:'2017-12-17T09:49:18-0700'))&amp;_a=(columns:!('Message%20ID',Summary),filters:!(),index:'emp_*',interval:auto,query:(query_string:(analyze_wildcard:!t,query:'%22rtdc.l.rtdc.4057%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759</v>
      </c>
      <c r="B44" s="225">
        <v>4008</v>
      </c>
      <c r="C44" s="227" t="s">
        <v>192</v>
      </c>
      <c r="D44" s="227" t="s">
        <v>591</v>
      </c>
      <c r="E44" s="226">
        <v>43086.309942129628</v>
      </c>
      <c r="F44" s="226">
        <v>43086.312673611108</v>
      </c>
      <c r="G44" s="225">
        <v>56</v>
      </c>
      <c r="H44" s="227" t="s">
        <v>648</v>
      </c>
      <c r="I44" s="226">
        <v>43086.337604166663</v>
      </c>
      <c r="J44" s="225">
        <v>0</v>
      </c>
      <c r="K44" s="237" t="str">
        <f t="shared" si="0"/>
        <v>4007/4008</v>
      </c>
      <c r="L44" s="245" t="str">
        <f>VLOOKUP(A44,'Trips&amp;Operators'!$C$1:$G$99911,5,FALSE)</f>
        <v>LAMAR NEKESHA</v>
      </c>
      <c r="M44" s="224">
        <f t="shared" si="1"/>
        <v>2.4930555555329192E-2</v>
      </c>
      <c r="N44" s="225">
        <f t="shared" si="29"/>
        <v>35.899999999674037</v>
      </c>
      <c r="O44" s="225"/>
      <c r="P44" s="225"/>
      <c r="Q44" s="228"/>
      <c r="R44" s="242"/>
      <c r="S44" s="249">
        <f t="shared" si="22"/>
        <v>1</v>
      </c>
      <c r="T44" s="242" t="str">
        <f t="shared" si="2"/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3"/>
        <v>https://d0f6bd738d7f1b3e5a7ca70fe4ff75f0.us-east-1.aws.found.io/app/kibana#/discover/Steve-Slow-Train-Analysis-(2080s-and-2083s)?_g=(refreshInterval:(display:Off,pause:!f,section:0,value:0),time:(from:'2017-12-17T06:26:19-0700',mode:absolute,to:'2017-12-17T09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247" t="str">
        <f>IF(AA44&lt;VLOOKUP(AG44,Variables!$AC$3:$AD$8,2,FALSE),"Y","N")</f>
        <v>N</v>
      </c>
      <c r="X44" s="247">
        <f t="shared" si="31"/>
        <v>1</v>
      </c>
      <c r="Y44" s="247">
        <f t="shared" si="5"/>
        <v>4.6199999999999998E-2</v>
      </c>
      <c r="Z44" s="247">
        <f t="shared" si="6"/>
        <v>23.3308</v>
      </c>
      <c r="AA44" s="247">
        <f t="shared" si="7"/>
        <v>23.284600000000001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8"/>
        <v>131</v>
      </c>
      <c r="AE44" s="235" t="str">
        <f t="shared" si="9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44" s="234" t="str">
        <f t="shared" si="10"/>
        <v>"C:\Program Files (x86)\AstroGrep\AstroGrep.exe" /e /r /s /spath="%USERPROFILE%\AppData\Local\Temp\OnboardLogs" /stypes="app*4008*20171217*" /stext=" 15:.+((SYSTEM_STATE.+slice.+state.+changed )|(ment ac)|(multiple cpu faults)|(system.+state.+changed )|(\[timeout)|(PRM\|1\|D)|(kpr)|(kdp)|(train st.+moving)|(\|lc)|(penalty))"</v>
      </c>
      <c r="AG44" s="244" t="str">
        <f t="shared" si="11"/>
        <v>EC</v>
      </c>
      <c r="AH44" s="236" t="str">
        <f t="shared" si="17"/>
        <v>"%USERPROFILE%\Documents\GitHub\eaglep3\Utilities\RefineRTDCRunTimes.py" --tripid 131-17 --locoid 4008 --swversion DE.1.0.9.0 --startMP 204:462 --initTime 2017-12-17T07:26:19 --startdatetime 2017-12-17T07:30:15 --delay 56 --endMP 204:233308 --enddatetime 2017-12-17T08:06:09 --enforcementcount 0 &gt;&gt;%USERPROFILE%\Documents\GitHub\eaglep3-reporting\EC\2017-12-17-refined-times.txt</v>
      </c>
      <c r="AI4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{"issue":{"subject":"","project_id":79,"tracker_id":40,"status_id":1,"priority_id":2,"assigned_to_id":338,"start_date":"2017-12-17","description":"","custom_fields":[{"id":1,"name":"Subdivision","value":"EC"},{"id":4,"name":"Milepost","value":"23.3308"},{"id":17,"name":"Train ID","value":"131-17"},{"id":16,"name":"Locomotive ID","value":"4008"},{"id":130,"name":"Impact","value":""},{"id":150,"name":"Time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19"/>
        <v>start /low /b %USERPROFILE%\Documents\GitHub\eaglep3\Utilities\DownloadLogsFromS3.py --loco 4008 --day 2017-12-17</v>
      </c>
      <c r="AN4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1"/>
        <v>https://d0f6bd738d7f1b3e5a7ca70fe4ff75f0.us-east-1.aws.found.io/app/kibana#/discover/Steve-Slow-Train-Analysis-(2080s-and-2083s)?_g=(refreshInterval:(display:Off,pause:!f,section:0,value:0),time:(from:'2017-12-17T06:26:19-0700',mode:absolute,to:'2017-12-17T09:06:09-0700'))&amp;_a=(columns:!('Message%20ID',Summary),filters:!(),index:'emp_*',interval:auto,query:(query_string:(analyze_wildcard:!t,query:'%22rtdc.l.rtdc.4008%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768</v>
      </c>
      <c r="B45" s="225">
        <v>4007</v>
      </c>
      <c r="C45" s="227" t="s">
        <v>192</v>
      </c>
      <c r="D45" s="227" t="s">
        <v>930</v>
      </c>
      <c r="E45" s="226">
        <v>43086.350706018522</v>
      </c>
      <c r="F45" s="226">
        <v>43086.352303240739</v>
      </c>
      <c r="G45" s="225">
        <v>46</v>
      </c>
      <c r="H45" s="227" t="s">
        <v>593</v>
      </c>
      <c r="I45" s="226">
        <v>43086.377500000002</v>
      </c>
      <c r="J45" s="225">
        <v>0</v>
      </c>
      <c r="K45" s="237" t="str">
        <f t="shared" si="0"/>
        <v>4007/4008</v>
      </c>
      <c r="L45" s="245" t="str">
        <f>VLOOKUP(A45,'Trips&amp;Operators'!$C$1:$G$99911,5,FALSE)</f>
        <v>LAMAR NEKESHA</v>
      </c>
      <c r="M45" s="224">
        <f t="shared" si="1"/>
        <v>2.5196759263053536E-2</v>
      </c>
      <c r="N45" s="225">
        <f t="shared" si="29"/>
        <v>36.283333338797092</v>
      </c>
      <c r="O45" s="225"/>
      <c r="P45" s="225"/>
      <c r="Q45" s="228"/>
      <c r="R45" s="242"/>
      <c r="S45" s="249">
        <f t="shared" si="22"/>
        <v>1</v>
      </c>
      <c r="T45" s="242" t="str">
        <f t="shared" si="2"/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3"/>
        <v>https://d0f6bd738d7f1b3e5a7ca70fe4ff75f0.us-east-1.aws.found.io/app/kibana#/discover/Steve-Slow-Train-Analysis-(2080s-and-2083s)?_g=(refreshInterval:(display:Off,pause:!f,section:0,value:0),time:(from:'2017-12-17T07:25:01-0700',mode:absolute,to:'2017-12-17T10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247" t="str">
        <f>IF(AA45&lt;VLOOKUP(AG45,Variables!$AC$3:$AD$8,2,FALSE),"Y","N")</f>
        <v>N</v>
      </c>
      <c r="X45" s="247">
        <f t="shared" si="31"/>
        <v>1</v>
      </c>
      <c r="Y45" s="247">
        <f t="shared" ref="Y45:Y76" si="32">RIGHT(D45,LEN(D45)-4)/10000</f>
        <v>23.299399999999999</v>
      </c>
      <c r="Z45" s="247">
        <f t="shared" ref="Z45:Z76" si="33">RIGHT(H45,LEN(H45)-4)/10000</f>
        <v>1.78E-2</v>
      </c>
      <c r="AA45" s="247">
        <f t="shared" si="7"/>
        <v>23.281599999999997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8"/>
        <v>132</v>
      </c>
      <c r="AE45" s="235" t="str">
        <f t="shared" si="9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45" s="234" t="str">
        <f t="shared" si="10"/>
        <v>"C:\Program Files (x86)\AstroGrep\AstroGrep.exe" /e /r /s /spath="%USERPROFILE%\AppData\Local\Temp\OnboardLogs" /stypes="app*4007*20171217*" /stext=" 16:.+((SYSTEM_STATE.+slice.+state.+changed )|(ment ac)|(multiple cpu faults)|(system.+state.+changed )|(\[timeout)|(PRM\|1\|D)|(kpr)|(kdp)|(train st.+moving)|(\|lc)|(penalty))"</v>
      </c>
      <c r="AG45" s="244" t="str">
        <f t="shared" si="11"/>
        <v>EC</v>
      </c>
      <c r="AH45" s="236" t="str">
        <f t="shared" si="17"/>
        <v>"%USERPROFILE%\Documents\GitHub\eaglep3\Utilities\RefineRTDCRunTimes.py" --tripid 132-17 --locoid 4007 --swversion DE.1.0.9.0 --startMP 204:232994 --initTime 2017-12-17T08:25:01 --startdatetime 2017-12-17T08:27:19 --delay 46 --endMP 204:178 --enddatetime 2017-12-17T09:03:36 --enforcementcount 0 &gt;&gt;%USERPROFILE%\Documents\GitHub\eaglep3-reporting\EC\2017-12-17-refined-times.txt</v>
      </c>
      <c r="AI4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{"issue":{"subject":"","project_id":79,"tracker_id":40,"status_id":1,"priority_id":2,"assigned_to_id":338,"start_date":"2017-12-17","description":"","custom_fields":[{"id":1,"name":"Subdivision","value":"EC"},{"id":4,"name":"Milepost","value":"0.0178"},{"id":17,"name":"Train ID","value":"132-17"},{"id":16,"name":"Locomotive ID","value":"4007"},{"id":130,"name":"Impact","value":""},{"id":150,"name":"Time of Event (Mountain Time)","value":"09:03:36"},{"id":151,"name":"Denver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19"/>
        <v>start /low /b %USERPROFILE%\Documents\GitHub\eaglep3\Utilities\DownloadLogsFromS3.py --loco 4007 --day 2017-12-17</v>
      </c>
      <c r="AN4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1"/>
        <v>https://d0f6bd738d7f1b3e5a7ca70fe4ff75f0.us-east-1.aws.found.io/app/kibana#/discover/Steve-Slow-Train-Analysis-(2080s-and-2083s)?_g=(refreshInterval:(display:Off,pause:!f,section:0,value:0),time:(from:'2017-12-17T07:25:01-0700',mode:absolute,to:'2017-12-17T10:03:36-0700'))&amp;_a=(columns:!('Message%20ID',Summary),filters:!(),index:'emp_*',interval:auto,query:(query_string:(analyze_wildcard:!t,query:'%22rtdc.l.rtdc.4007%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760</v>
      </c>
      <c r="B46" s="225">
        <v>4030</v>
      </c>
      <c r="C46" s="227" t="s">
        <v>192</v>
      </c>
      <c r="D46" s="227" t="s">
        <v>906</v>
      </c>
      <c r="E46" s="226">
        <v>43086.317893518521</v>
      </c>
      <c r="F46" s="226">
        <v>43086.323159722226</v>
      </c>
      <c r="G46" s="225">
        <v>69</v>
      </c>
      <c r="H46" s="227" t="s">
        <v>599</v>
      </c>
      <c r="I46" s="226">
        <v>43086.346782407411</v>
      </c>
      <c r="J46" s="225">
        <v>0</v>
      </c>
      <c r="K46" s="237" t="str">
        <f t="shared" si="0"/>
        <v>4029/4030</v>
      </c>
      <c r="L46" s="245" t="str">
        <f>VLOOKUP(A46,'Trips&amp;Operators'!$C$1:$G$99911,5,FALSE)</f>
        <v>LOPES KIMBERLY</v>
      </c>
      <c r="M46" s="224">
        <f t="shared" si="1"/>
        <v>2.3622685184818693E-2</v>
      </c>
      <c r="N46" s="225">
        <f t="shared" si="29"/>
        <v>34.016666666138917</v>
      </c>
      <c r="O46" s="225"/>
      <c r="P46" s="225"/>
      <c r="Q46" s="228"/>
      <c r="R46" s="242"/>
      <c r="S46" s="249">
        <f t="shared" si="22"/>
        <v>1</v>
      </c>
      <c r="T46" s="242" t="str">
        <f t="shared" si="2"/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3"/>
        <v>https://d0f6bd738d7f1b3e5a7ca70fe4ff75f0.us-east-1.aws.found.io/app/kibana#/discover/Steve-Slow-Train-Analysis-(2080s-and-2083s)?_g=(refreshInterval:(display:Off,pause:!f,section:0,value:0),time:(from:'2017-12-17T06:37:46-0700',mode:absolute,to:'2017-12-17T09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47" t="str">
        <f>IF(AA46&lt;VLOOKUP(AG46,Variables!$AC$3:$AD$8,2,FALSE),"Y","N")</f>
        <v>N</v>
      </c>
      <c r="X46" s="247">
        <f t="shared" si="31"/>
        <v>1</v>
      </c>
      <c r="Y46" s="247">
        <f t="shared" si="32"/>
        <v>4.9299999999999997E-2</v>
      </c>
      <c r="Z46" s="247">
        <f t="shared" si="33"/>
        <v>23.331399999999999</v>
      </c>
      <c r="AA46" s="247">
        <f t="shared" si="7"/>
        <v>23.2821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8"/>
        <v>133</v>
      </c>
      <c r="AE46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46" s="234" t="str">
        <f t="shared" si="10"/>
        <v>"C:\Program Files (x86)\AstroGrep\AstroGrep.exe" /e /r /s /spath="%USERPROFILE%\AppData\Local\Temp\OnboardLogs" /stypes="app*4030*20171217*" /stext=" 15:.+((SYSTEM_STATE.+slice.+state.+changed )|(ment ac)|(multiple cpu faults)|(system.+state.+changed )|(\[timeout)|(PRM\|1\|D)|(kpr)|(kdp)|(train st.+moving)|(\|lc)|(penalty))"</v>
      </c>
      <c r="AG46" s="244" t="str">
        <f t="shared" si="11"/>
        <v>EC</v>
      </c>
      <c r="AH46" s="236" t="str">
        <f t="shared" si="17"/>
        <v>"%USERPROFILE%\Documents\GitHub\eaglep3\Utilities\RefineRTDCRunTimes.py" --tripid 133-17 --locoid 4030 --swversion DE.1.0.9.0 --startMP 204:493 --initTime 2017-12-17T07:37:46 --startdatetime 2017-12-17T07:45:21 --delay 69 --endMP 204:233314 --enddatetime 2017-12-17T08:19:22 --enforcementcount 0 &gt;&gt;%USERPROFILE%\Documents\GitHub\eaglep3-reporting\EC\2017-12-17-refined-times.txt</v>
      </c>
      <c r="AI4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{"issue":{"subject":"","project_id":79,"tracker_id":40,"status_id":1,"priority_id":2,"assigned_to_id":338,"start_date":"2017-12-17","description":"","custom_fields":[{"id":1,"name":"Subdivision","value":"EC"},{"id":4,"name":"Milepost","value":"23.3314"},{"id":17,"name":"Train ID","value":"133-17"},{"id":16,"name":"Locomotive ID","value":"4030"},{"id":130,"name":"Impact","value":""},{"id":150,"name":"Time of Event (Mountain Time)","value":"08:19:22"},{"id":151,"name":"Denver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19"/>
        <v>start /low /b %USERPROFILE%\Documents\GitHub\eaglep3\Utilities\DownloadLogsFromS3.py --loco 4030 --day 2017-12-17</v>
      </c>
      <c r="AN4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1"/>
        <v>https://d0f6bd738d7f1b3e5a7ca70fe4ff75f0.us-east-1.aws.found.io/app/kibana#/discover/Steve-Slow-Train-Analysis-(2080s-and-2083s)?_g=(refreshInterval:(display:Off,pause:!f,section:0,value:0),time:(from:'2017-12-17T06:37:46-0700',mode:absolute,to:'2017-12-17T09:19:22-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767</v>
      </c>
      <c r="B47" s="225">
        <v>4029</v>
      </c>
      <c r="C47" s="227" t="s">
        <v>192</v>
      </c>
      <c r="D47" s="227" t="s">
        <v>931</v>
      </c>
      <c r="E47" s="226">
        <v>43086.348425925928</v>
      </c>
      <c r="F47" s="226">
        <v>43086.362928240742</v>
      </c>
      <c r="G47" s="225">
        <v>53</v>
      </c>
      <c r="H47" s="227" t="s">
        <v>588</v>
      </c>
      <c r="I47" s="226">
        <v>43086.387962962966</v>
      </c>
      <c r="J47" s="225">
        <v>0</v>
      </c>
      <c r="K47" s="237" t="str">
        <f t="shared" si="0"/>
        <v>4029/4030</v>
      </c>
      <c r="L47" s="245" t="str">
        <f>VLOOKUP(A47,'Trips&amp;Operators'!$C$1:$G$99911,5,FALSE)</f>
        <v>LOPES KIMBERLY</v>
      </c>
      <c r="M47" s="224">
        <f t="shared" si="1"/>
        <v>2.5034722224518191E-2</v>
      </c>
      <c r="N47" s="225">
        <f t="shared" si="29"/>
        <v>36.050000003306195</v>
      </c>
      <c r="O47" s="225"/>
      <c r="P47" s="225"/>
      <c r="Q47" s="228"/>
      <c r="R47" s="242"/>
      <c r="S47" s="249">
        <f t="shared" si="22"/>
        <v>1</v>
      </c>
      <c r="T47" s="242" t="str">
        <f t="shared" si="2"/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3"/>
        <v>https://d0f6bd738d7f1b3e5a7ca70fe4ff75f0.us-east-1.aws.found.io/app/kibana#/discover/Steve-Slow-Train-Analysis-(2080s-and-2083s)?_g=(refreshInterval:(display:Off,pause:!f,section:0,value:0),time:(from:'2017-12-17T07:21:44-0700',mode:absolute,to:'2017-12-17T10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47" t="str">
        <f>IF(AA47&lt;VLOOKUP(AG47,Variables!$AC$3:$AD$8,2,FALSE),"Y","N")</f>
        <v>N</v>
      </c>
      <c r="X47" s="247">
        <f t="shared" si="31"/>
        <v>1</v>
      </c>
      <c r="Y47" s="247">
        <f t="shared" si="32"/>
        <v>23.299199999999999</v>
      </c>
      <c r="Z47" s="247">
        <f t="shared" si="33"/>
        <v>1.8700000000000001E-2</v>
      </c>
      <c r="AA47" s="247">
        <f t="shared" si="7"/>
        <v>23.2805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8"/>
        <v>134</v>
      </c>
      <c r="AE47" s="235" t="str">
        <f t="shared" si="9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47" s="234" t="str">
        <f t="shared" si="10"/>
        <v>"C:\Program Files (x86)\AstroGrep\AstroGrep.exe" /e /r /s /spath="%USERPROFILE%\AppData\Local\Temp\OnboardLogs" /stypes="app*4029*20171217*" /stext=" 16:.+((SYSTEM_STATE.+slice.+state.+changed )|(ment ac)|(multiple cpu faults)|(system.+state.+changed )|(\[timeout)|(PRM\|1\|D)|(kpr)|(kdp)|(train st.+moving)|(\|lc)|(penalty))"</v>
      </c>
      <c r="AG47" s="244" t="str">
        <f t="shared" si="11"/>
        <v>EC</v>
      </c>
      <c r="AH47" s="236" t="str">
        <f t="shared" si="17"/>
        <v>"%USERPROFILE%\Documents\GitHub\eaglep3\Utilities\RefineRTDCRunTimes.py" --tripid 134-17 --locoid 4029 --swversion DE.1.0.9.0 --startMP 204:232992 --initTime 2017-12-17T08:21:44 --startdatetime 2017-12-17T08:42:37 --delay 53 --endMP 204:187 --enddatetime 2017-12-17T09:18:40 --enforcementcount 0 &gt;&gt;%USERPROFILE%\Documents\GitHub\eaglep3-reporting\EC\2017-12-17-refined-times.txt</v>
      </c>
      <c r="AI4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{"issue":{"subject":"","project_id":79,"tracker_id":40,"status_id":1,"priority_id":2,"assigned_to_id":338,"start_date":"2017-12-17","description":"","custom_fields":[{"id":1,"name":"Subdivision","value":"EC"},{"id":4,"name":"Milepost","value":"0.0187"},{"id":17,"name":"Train ID","value":"134-17"},{"id":16,"name":"Locomotive ID","value":"4029"},{"id":130,"name":"Impact","value":""},{"id":150,"name":"Time of Event (Mountain Time)","value":"09:18:40"},{"id":151,"name":"Denver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19"/>
        <v>start /low /b %USERPROFILE%\Documents\GitHub\eaglep3\Utilities\DownloadLogsFromS3.py --loco 4029 --day 2017-12-17</v>
      </c>
      <c r="AN4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1"/>
        <v>https://d0f6bd738d7f1b3e5a7ca70fe4ff75f0.us-east-1.aws.found.io/app/kibana#/discover/Steve-Slow-Train-Analysis-(2080s-and-2083s)?_g=(refreshInterval:(display:Off,pause:!f,section:0,value:0),time:(from:'2017-12-17T07:21:44-0700',mode:absolute,to:'2017-12-17T10:18:40-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763</v>
      </c>
      <c r="B48" s="225">
        <v>4018</v>
      </c>
      <c r="C48" s="227" t="s">
        <v>192</v>
      </c>
      <c r="D48" s="227" t="s">
        <v>589</v>
      </c>
      <c r="E48" s="226">
        <v>43086.327048611114</v>
      </c>
      <c r="F48" s="226">
        <v>43086.333506944444</v>
      </c>
      <c r="G48" s="225">
        <v>71</v>
      </c>
      <c r="H48" s="227" t="s">
        <v>932</v>
      </c>
      <c r="I48" s="226">
        <v>43086.358020833337</v>
      </c>
      <c r="J48" s="225">
        <v>0</v>
      </c>
      <c r="K48" s="237" t="str">
        <f t="shared" si="0"/>
        <v>4017/4018</v>
      </c>
      <c r="L48" s="245" t="str">
        <f>VLOOKUP(A48,'Trips&amp;Operators'!$C$1:$G$99911,5,FALSE)</f>
        <v>DELGADO DIANAH</v>
      </c>
      <c r="M48" s="224">
        <f t="shared" si="1"/>
        <v>2.4513888893125113E-2</v>
      </c>
      <c r="N48" s="225">
        <f t="shared" si="29"/>
        <v>35.300000006100163</v>
      </c>
      <c r="O48" s="225"/>
      <c r="P48" s="225"/>
      <c r="Q48" s="228"/>
      <c r="R48" s="242"/>
      <c r="S48" s="249">
        <f t="shared" si="22"/>
        <v>1</v>
      </c>
      <c r="T48" s="242" t="str">
        <f t="shared" si="2"/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3"/>
        <v>https://d0f6bd738d7f1b3e5a7ca70fe4ff75f0.us-east-1.aws.found.io/app/kibana#/discover/Steve-Slow-Train-Analysis-(2080s-and-2083s)?_g=(refreshInterval:(display:Off,pause:!f,section:0,value:0),time:(from:'2017-12-17T06:50:57-0700',mode:absolute,to:'2017-12-17T09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247" t="str">
        <f>IF(AA48&lt;VLOOKUP(AG48,Variables!$AC$3:$AD$8,2,FALSE),"Y","N")</f>
        <v>N</v>
      </c>
      <c r="X48" s="247">
        <f t="shared" si="31"/>
        <v>1</v>
      </c>
      <c r="Y48" s="247">
        <f t="shared" si="32"/>
        <v>4.5699999999999998E-2</v>
      </c>
      <c r="Z48" s="247">
        <f t="shared" si="33"/>
        <v>23.334</v>
      </c>
      <c r="AA48" s="247">
        <f t="shared" si="7"/>
        <v>23.2883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8"/>
        <v>135</v>
      </c>
      <c r="AE48" s="235" t="str">
        <f t="shared" si="9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48" s="234" t="str">
        <f t="shared" si="10"/>
        <v>"C:\Program Files (x86)\AstroGrep\AstroGrep.exe" /e /r /s /spath="%USERPROFILE%\AppData\Local\Temp\OnboardLogs" /stypes="app*4018*20171217*" /stext=" 15:.+((SYSTEM_STATE.+slice.+state.+changed )|(ment ac)|(multiple cpu faults)|(system.+state.+changed )|(\[timeout)|(PRM\|1\|D)|(kpr)|(kdp)|(train st.+moving)|(\|lc)|(penalty))"</v>
      </c>
      <c r="AG48" s="244" t="str">
        <f t="shared" si="11"/>
        <v>EC</v>
      </c>
      <c r="AH48" s="236" t="str">
        <f t="shared" si="17"/>
        <v>"%USERPROFILE%\Documents\GitHub\eaglep3\Utilities\RefineRTDCRunTimes.py" --tripid 135-17 --locoid 4018 --swversion DE.1.0.9.0 --startMP 204:457 --initTime 2017-12-17T07:50:57 --startdatetime 2017-12-17T08:00:15 --delay 71 --endMP 204:233340 --enddatetime 2017-12-17T08:35:33 --enforcementcount 0 &gt;&gt;%USERPROFILE%\Documents\GitHub\eaglep3-reporting\EC\2017-12-17-refined-times.txt</v>
      </c>
      <c r="AI4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{"issue":{"subject":"","project_id":79,"tracker_id":40,"status_id":1,"priority_id":2,"assigned_to_id":338,"start_date":"2017-12-17","description":"","custom_fields":[{"id":1,"name":"Subdivision","value":"EC"},{"id":4,"name":"Milepost","value":"23.334"},{"id":17,"name":"Train ID","value":"135-17"},{"id":16,"name":"Locomotive ID","value":"4018"},{"id":130,"name":"Impact","value":""},{"id":150,"name":"Time of Event (Mountain Time)","value":"08:35:33"},{"id":151,"name":"Denver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19"/>
        <v>start /low /b %USERPROFILE%\Documents\GitHub\eaglep3\Utilities\DownloadLogsFromS3.py --loco 4018 --day 2017-12-17</v>
      </c>
      <c r="AN4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1"/>
        <v>https://d0f6bd738d7f1b3e5a7ca70fe4ff75f0.us-east-1.aws.found.io/app/kibana#/discover/Steve-Slow-Train-Analysis-(2080s-and-2083s)?_g=(refreshInterval:(display:Off,pause:!f,section:0,value:0),time:(from:'2017-12-17T06:50:57-0700',mode:absolute,to:'2017-12-17T09:35:33-0700'))&amp;_a=(columns:!('Message%20ID',Summary),filters:!(),index:'emp_*',interval:auto,query:(query_string:(analyze_wildcard:!t,query:'%22rtdc.l.rtdc.4018%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772</v>
      </c>
      <c r="B49" s="225">
        <v>4017</v>
      </c>
      <c r="C49" s="227" t="s">
        <v>192</v>
      </c>
      <c r="D49" s="227" t="s">
        <v>913</v>
      </c>
      <c r="E49" s="226">
        <v>43086.360208333332</v>
      </c>
      <c r="F49" s="226">
        <v>43086.373090277775</v>
      </c>
      <c r="G49" s="225">
        <v>248</v>
      </c>
      <c r="H49" s="227" t="s">
        <v>617</v>
      </c>
      <c r="I49" s="226">
        <v>43086.3981712963</v>
      </c>
      <c r="J49" s="225">
        <v>0</v>
      </c>
      <c r="K49" s="237" t="str">
        <f t="shared" si="0"/>
        <v>4017/4018</v>
      </c>
      <c r="L49" s="245" t="str">
        <f>VLOOKUP(A49,'Trips&amp;Operators'!$C$1:$G$99911,5,FALSE)</f>
        <v>DELGADO DIANAH</v>
      </c>
      <c r="M49" s="224">
        <f t="shared" si="1"/>
        <v>2.5081018524360843E-2</v>
      </c>
      <c r="N49" s="225">
        <f t="shared" si="29"/>
        <v>36.116666675079614</v>
      </c>
      <c r="O49" s="225"/>
      <c r="P49" s="225"/>
      <c r="Q49" s="228"/>
      <c r="R49" s="242"/>
      <c r="S49" s="249">
        <f t="shared" si="22"/>
        <v>1</v>
      </c>
      <c r="T49" s="242" t="str">
        <f t="shared" si="2"/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3"/>
        <v>https://d0f6bd738d7f1b3e5a7ca70fe4ff75f0.us-east-1.aws.found.io/app/kibana#/discover/Steve-Slow-Train-Analysis-(2080s-and-2083s)?_g=(refreshInterval:(display:Off,pause:!f,section:0,value:0),time:(from:'2017-12-17T07:38:42-0700',mode:absolute,to:'2017-12-17T10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247" t="str">
        <f>IF(AA49&lt;VLOOKUP(AG49,Variables!$AC$3:$AD$8,2,FALSE),"Y","N")</f>
        <v>N</v>
      </c>
      <c r="X49" s="247">
        <f t="shared" si="31"/>
        <v>1</v>
      </c>
      <c r="Y49" s="247">
        <f t="shared" si="32"/>
        <v>23.302099999999999</v>
      </c>
      <c r="Z49" s="247">
        <f t="shared" si="33"/>
        <v>1.4999999999999999E-2</v>
      </c>
      <c r="AA49" s="247">
        <f t="shared" si="7"/>
        <v>23.287099999999999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8"/>
        <v>136</v>
      </c>
      <c r="AE49" s="235" t="str">
        <f t="shared" si="9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49" s="234" t="str">
        <f t="shared" si="10"/>
        <v>"C:\Program Files (x86)\AstroGrep\AstroGrep.exe" /e /r /s /spath="%USERPROFILE%\AppData\Local\Temp\OnboardLogs" /stypes="app*4017*20171217*" /stext=" 16:.+((SYSTEM_STATE.+slice.+state.+changed )|(ment ac)|(multiple cpu faults)|(system.+state.+changed )|(\[timeout)|(PRM\|1\|D)|(kpr)|(kdp)|(train st.+moving)|(\|lc)|(penalty))"</v>
      </c>
      <c r="AG49" s="244" t="str">
        <f t="shared" si="11"/>
        <v>EC</v>
      </c>
      <c r="AH49" s="236" t="str">
        <f t="shared" si="17"/>
        <v>"%USERPROFILE%\Documents\GitHub\eaglep3\Utilities\RefineRTDCRunTimes.py" --tripid 136-17 --locoid 4017 --swversion DE.1.0.9.0 --startMP 204:233021 --initTime 2017-12-17T08:38:42 --startdatetime 2017-12-17T08:57:15 --delay 248 --endMP 204:150 --enddatetime 2017-12-17T09:33:22 --enforcementcount 0 &gt;&gt;%USERPROFILE%\Documents\GitHub\eaglep3-reporting\EC\2017-12-17-refined-times.txt</v>
      </c>
      <c r="AI4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{"issue":{"subject":"","project_id":79,"tracker_id":40,"status_id":1,"priority_id":2,"assigned_to_id":338,"start_date":"2017-12-17","description":"","custom_fields":[{"id":1,"name":"Subdivision","value":"EC"},{"id":4,"name":"Milepost","value":"0.015"},{"id":17,"name":"Train ID","value":"136-17"},{"id":16,"name":"Locomotive ID","value":"4017"},{"id":130,"name":"Impact","value":""},{"id":150,"name":"Time of Event (Mountain Time)","value":"09:33:22"},{"id":151,"name":"Denver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19"/>
        <v>start /low /b %USERPROFILE%\Documents\GitHub\eaglep3\Utilities\DownloadLogsFromS3.py --loco 4017 --day 2017-12-17</v>
      </c>
      <c r="AN4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1"/>
        <v>https://d0f6bd738d7f1b3e5a7ca70fe4ff75f0.us-east-1.aws.found.io/app/kibana#/discover/Steve-Slow-Train-Analysis-(2080s-and-2083s)?_g=(refreshInterval:(display:Off,pause:!f,section:0,value:0),time:(from:'2017-12-17T07:38:42-0700',mode:absolute,to:'2017-12-17T10:33:22-0700'))&amp;_a=(columns:!('Message%20ID',Summary),filters:!(),index:'emp_*',interval:auto,query:(query_string:(analyze_wildcard:!t,query:'%22rtdc.l.rtdc.4017%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766</v>
      </c>
      <c r="B50" s="225">
        <v>4032</v>
      </c>
      <c r="C50" s="227" t="s">
        <v>192</v>
      </c>
      <c r="D50" s="227" t="s">
        <v>933</v>
      </c>
      <c r="E50" s="226">
        <v>43086.338148148148</v>
      </c>
      <c r="F50" s="226">
        <v>43086.343935185185</v>
      </c>
      <c r="G50" s="225">
        <v>57</v>
      </c>
      <c r="H50" s="227" t="s">
        <v>598</v>
      </c>
      <c r="I50" s="226">
        <v>43086.367581018516</v>
      </c>
      <c r="J50" s="225">
        <v>0</v>
      </c>
      <c r="K50" s="237" t="str">
        <f t="shared" si="0"/>
        <v>4031/4032</v>
      </c>
      <c r="L50" s="245" t="str">
        <f>VLOOKUP(A50,'Trips&amp;Operators'!$C$1:$G$99911,5,FALSE)</f>
        <v>GEBRETEKLE DAGNEW</v>
      </c>
      <c r="M50" s="224">
        <f t="shared" si="1"/>
        <v>2.364583333110204E-2</v>
      </c>
      <c r="N50" s="225">
        <f t="shared" si="29"/>
        <v>34.049999996786937</v>
      </c>
      <c r="O50" s="225"/>
      <c r="P50" s="225"/>
      <c r="Q50" s="228"/>
      <c r="R50" s="242"/>
      <c r="S50" s="249">
        <f t="shared" si="22"/>
        <v>1</v>
      </c>
      <c r="T50" s="242" t="str">
        <f t="shared" si="2"/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3"/>
        <v>https://d0f6bd738d7f1b3e5a7ca70fe4ff75f0.us-east-1.aws.found.io/app/kibana#/discover/Steve-Slow-Train-Analysis-(2080s-and-2083s)?_g=(refreshInterval:(display:Off,pause:!f,section:0,value:0),time:(from:'2017-12-17T07:06:56-0700',mode:absolute,to:'2017-12-17T09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247" t="str">
        <f>IF(AA50&lt;VLOOKUP(AG50,Variables!$AC$3:$AD$8,2,FALSE),"Y","N")</f>
        <v>N</v>
      </c>
      <c r="X50" s="247">
        <f t="shared" si="31"/>
        <v>1</v>
      </c>
      <c r="Y50" s="247">
        <f t="shared" si="32"/>
        <v>4.4400000000000002E-2</v>
      </c>
      <c r="Z50" s="247">
        <f t="shared" si="33"/>
        <v>23.328600000000002</v>
      </c>
      <c r="AA50" s="247">
        <f t="shared" si="7"/>
        <v>23.284200000000002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8"/>
        <v>137</v>
      </c>
      <c r="AE50" s="235" t="str">
        <f t="shared" si="9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50" s="234" t="str">
        <f t="shared" si="10"/>
        <v>"C:\Program Files (x86)\AstroGrep\AstroGrep.exe" /e /r /s /spath="%USERPROFILE%\AppData\Local\Temp\OnboardLogs" /stypes="app*4032*20171217*" /stext=" 15:.+((SYSTEM_STATE.+slice.+state.+changed )|(ment ac)|(multiple cpu faults)|(system.+state.+changed )|(\[timeout)|(PRM\|1\|D)|(kpr)|(kdp)|(train st.+moving)|(\|lc)|(penalty))"</v>
      </c>
      <c r="AG50" s="244" t="str">
        <f t="shared" si="11"/>
        <v>EC</v>
      </c>
      <c r="AH50" s="236" t="str">
        <f t="shared" si="17"/>
        <v>"%USERPROFILE%\Documents\GitHub\eaglep3\Utilities\RefineRTDCRunTimes.py" --tripid 137-17 --locoid 4032 --swversion DE.1.0.9.0 --startMP 204:444 --initTime 2017-12-17T08:06:56 --startdatetime 2017-12-17T08:15:16 --delay 57 --endMP 204:233286 --enddatetime 2017-12-17T08:49:19 --enforcementcount 0 &gt;&gt;%USERPROFILE%\Documents\GitHub\eaglep3-reporting\EC\2017-12-17-refined-times.txt</v>
      </c>
      <c r="AI5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{"issue":{"subject":"","project_id":79,"tracker_id":40,"status_id":1,"priority_id":2,"assigned_to_id":338,"start_date":"2017-12-17","description":"","custom_fields":[{"id":1,"name":"Subdivision","value":"EC"},{"id":4,"name":"Milepost","value":"23.3286"},{"id":17,"name":"Train ID","value":"137-17"},{"id":16,"name":"Locomotive ID","value":"4032"},{"id":130,"name":"Impact","value":""},{"id":150,"name":"Time of Event (Mountain Time)","value":"08:49:19"},{"id":151,"name":"Denver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19"/>
        <v>start /low /b %USERPROFILE%\Documents\GitHub\eaglep3\Utilities\DownloadLogsFromS3.py --loco 4032 --day 2017-12-17</v>
      </c>
      <c r="AN5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1"/>
        <v>https://d0f6bd738d7f1b3e5a7ca70fe4ff75f0.us-east-1.aws.found.io/app/kibana#/discover/Steve-Slow-Train-Analysis-(2080s-and-2083s)?_g=(refreshInterval:(display:Off,pause:!f,section:0,value:0),time:(from:'2017-12-17T07:06:56-0700',mode:absolute,to:'2017-12-17T09:49:19-0700'))&amp;_a=(columns:!('Message%20ID',Summary),filters:!(),index:'emp_*',interval:auto,query:(query_string:(analyze_wildcard:!t,query:'%22rtdc.l.rtdc.4032%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773</v>
      </c>
      <c r="B51" s="225">
        <v>4031</v>
      </c>
      <c r="C51" s="227" t="s">
        <v>192</v>
      </c>
      <c r="D51" s="227" t="s">
        <v>568</v>
      </c>
      <c r="E51" s="226">
        <v>43086.368680555555</v>
      </c>
      <c r="F51" s="226">
        <v>43086.38354166667</v>
      </c>
      <c r="G51" s="225">
        <v>49</v>
      </c>
      <c r="H51" s="227" t="s">
        <v>587</v>
      </c>
      <c r="I51" s="226">
        <v>43086.409201388888</v>
      </c>
      <c r="J51" s="225">
        <v>0</v>
      </c>
      <c r="K51" s="237" t="str">
        <f t="shared" si="0"/>
        <v>4031/4032</v>
      </c>
      <c r="L51" s="245" t="str">
        <f>VLOOKUP(A51,'Trips&amp;Operators'!$C$1:$G$99911,5,FALSE)</f>
        <v>GEBRETEKLE DAGNEW</v>
      </c>
      <c r="M51" s="224">
        <f t="shared" si="1"/>
        <v>2.565972221782431E-2</v>
      </c>
      <c r="N51" s="225">
        <f t="shared" si="29"/>
        <v>36.949999993667006</v>
      </c>
      <c r="O51" s="225"/>
      <c r="P51" s="225"/>
      <c r="Q51" s="228"/>
      <c r="R51" s="242"/>
      <c r="S51" s="249">
        <f t="shared" si="22"/>
        <v>1</v>
      </c>
      <c r="T51" s="242" t="str">
        <f t="shared" si="2"/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3"/>
        <v>https://d0f6bd738d7f1b3e5a7ca70fe4ff75f0.us-east-1.aws.found.io/app/kibana#/discover/Steve-Slow-Train-Analysis-(2080s-and-2083s)?_g=(refreshInterval:(display:Off,pause:!f,section:0,value:0),time:(from:'2017-12-17T07:50:54-0700',mode:absolute,to:'2017-12-17T10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247" t="str">
        <f>IF(AA51&lt;VLOOKUP(AG51,Variables!$AC$3:$AD$8,2,FALSE),"Y","N")</f>
        <v>N</v>
      </c>
      <c r="X51" s="247">
        <f t="shared" si="31"/>
        <v>1</v>
      </c>
      <c r="Y51" s="247">
        <f t="shared" si="32"/>
        <v>23.297799999999999</v>
      </c>
      <c r="Z51" s="247">
        <f t="shared" si="33"/>
        <v>1.47E-2</v>
      </c>
      <c r="AA51" s="247">
        <f t="shared" si="7"/>
        <v>23.283099999999997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8"/>
        <v>138</v>
      </c>
      <c r="AE51" s="235" t="str">
        <f t="shared" si="9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51" s="234" t="str">
        <f t="shared" si="10"/>
        <v>"C:\Program Files (x86)\AstroGrep\AstroGrep.exe" /e /r /s /spath="%USERPROFILE%\AppData\Local\Temp\OnboardLogs" /stypes="app*4031*20171217*" /stext=" 16:.+((SYSTEM_STATE.+slice.+state.+changed )|(ment ac)|(multiple cpu faults)|(system.+state.+changed )|(\[timeout)|(PRM\|1\|D)|(kpr)|(kdp)|(train st.+moving)|(\|lc)|(penalty))"</v>
      </c>
      <c r="AG51" s="244" t="str">
        <f t="shared" si="11"/>
        <v>EC</v>
      </c>
      <c r="AH51" s="236" t="str">
        <f t="shared" si="17"/>
        <v>"%USERPROFILE%\Documents\GitHub\eaglep3\Utilities\RefineRTDCRunTimes.py" --tripid 138-17 --locoid 4031 --swversion DE.1.0.9.0 --startMP 204:232978 --initTime 2017-12-17T08:50:54 --startdatetime 2017-12-17T09:12:18 --delay 49 --endMP 204:147 --enddatetime 2017-12-17T09:49:15 --enforcementcount 0 &gt;&gt;%USERPROFILE%\Documents\GitHub\eaglep3-reporting\EC\2017-12-17-refined-times.txt</v>
      </c>
      <c r="AI5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{"issue":{"subject":"","project_id":79,"tracker_id":40,"status_id":1,"priority_id":2,"assigned_to_id":338,"start_date":"2017-12-17","description":"","custom_fields":[{"id":1,"name":"Subdivision","value":"EC"},{"id":4,"name":"Milepost","value":"0.0147"},{"id":17,"name":"Train ID","value":"138-17"},{"id":16,"name":"Locomotive ID","value":"4031"},{"id":130,"name":"Impact","value":""},{"id":150,"name":"Time of Event (Mountain Time)","value":"09:49:15"},{"id":151,"name":"Denver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19"/>
        <v>start /low /b %USERPROFILE%\Documents\GitHub\eaglep3\Utilities\DownloadLogsFromS3.py --loco 4031 --day 2017-12-17</v>
      </c>
      <c r="AN5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1"/>
        <v>https://d0f6bd738d7f1b3e5a7ca70fe4ff75f0.us-east-1.aws.found.io/app/kibana#/discover/Steve-Slow-Train-Analysis-(2080s-and-2083s)?_g=(refreshInterval:(display:Off,pause:!f,section:0,value:0),time:(from:'2017-12-17T07:50:54-0700',mode:absolute,to:'2017-12-17T10:49:15-0700'))&amp;_a=(columns:!('Message%20ID',Summary),filters:!(),index:'emp_*',interval:auto,query:(query_string:(analyze_wildcard:!t,query:'%22rtdc.l.rtdc.4031%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770</v>
      </c>
      <c r="B52" s="225">
        <v>4054</v>
      </c>
      <c r="C52" s="227" t="s">
        <v>192</v>
      </c>
      <c r="D52" s="227" t="s">
        <v>550</v>
      </c>
      <c r="E52" s="226">
        <v>43086.352233796293</v>
      </c>
      <c r="F52" s="226">
        <v>43086.354479166665</v>
      </c>
      <c r="G52" s="225">
        <v>57</v>
      </c>
      <c r="H52" s="227" t="s">
        <v>531</v>
      </c>
      <c r="I52" s="226">
        <v>43086.379166666666</v>
      </c>
      <c r="J52" s="225">
        <v>0</v>
      </c>
      <c r="K52" s="237" t="str">
        <f t="shared" si="0"/>
        <v>4053/4054</v>
      </c>
      <c r="L52" s="245" t="str">
        <f>VLOOKUP(A52,'Trips&amp;Operators'!$C$1:$G$99911,5,FALSE)</f>
        <v>THOMPSON LESTER</v>
      </c>
      <c r="M52" s="224">
        <f t="shared" si="1"/>
        <v>2.4687500001164153E-2</v>
      </c>
      <c r="N52" s="225">
        <f t="shared" si="29"/>
        <v>35.550000001676381</v>
      </c>
      <c r="O52" s="225"/>
      <c r="P52" s="225"/>
      <c r="Q52" s="228"/>
      <c r="R52" s="242"/>
      <c r="S52" s="249">
        <f t="shared" si="22"/>
        <v>1</v>
      </c>
      <c r="T52" s="242" t="str">
        <f t="shared" si="2"/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3"/>
        <v>https://d0f6bd738d7f1b3e5a7ca70fe4ff75f0.us-east-1.aws.found.io/app/kibana#/discover/Steve-Slow-Train-Analysis-(2080s-and-2083s)?_g=(refreshInterval:(display:Off,pause:!f,section:0,value:0),time:(from:'2017-12-17T07:27:13-0700',mode:absolute,to:'2017-12-17T10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247" t="str">
        <f>IF(AA52&lt;VLOOKUP(AG52,Variables!$AC$3:$AD$8,2,FALSE),"Y","N")</f>
        <v>N</v>
      </c>
      <c r="X52" s="247">
        <f t="shared" si="31"/>
        <v>1</v>
      </c>
      <c r="Y52" s="247">
        <f t="shared" si="32"/>
        <v>4.8000000000000001E-2</v>
      </c>
      <c r="Z52" s="247">
        <f t="shared" si="33"/>
        <v>23.327000000000002</v>
      </c>
      <c r="AA52" s="247">
        <f t="shared" si="7"/>
        <v>23.279000000000003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8"/>
        <v>139</v>
      </c>
      <c r="AE52" s="235" t="str">
        <f t="shared" si="9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52" s="234" t="str">
        <f t="shared" si="10"/>
        <v>"C:\Program Files (x86)\AstroGrep\AstroGrep.exe" /e /r /s /spath="%USERPROFILE%\AppData\Local\Temp\OnboardLogs" /stypes="app*4054*20171217*" /stext=" 16:.+((SYSTEM_STATE.+slice.+state.+changed )|(ment ac)|(multiple cpu faults)|(system.+state.+changed )|(\[timeout)|(PRM\|1\|D)|(kpr)|(kdp)|(train st.+moving)|(\|lc)|(penalty))"</v>
      </c>
      <c r="AG52" s="244" t="str">
        <f t="shared" si="11"/>
        <v>EC</v>
      </c>
      <c r="AH52" s="236" t="str">
        <f t="shared" si="17"/>
        <v>"%USERPROFILE%\Documents\GitHub\eaglep3\Utilities\RefineRTDCRunTimes.py" --tripid 139-17 --locoid 4054 --swversion DE.1.0.9.0 --startMP 204:480 --initTime 2017-12-17T08:27:13 --startdatetime 2017-12-17T08:30:27 --delay 57 --endMP 204:233270 --enddatetime 2017-12-17T09:06:00 --enforcementcount 0 &gt;&gt;%USERPROFILE%\Documents\GitHub\eaglep3-reporting\EC\2017-12-17-refined-times.txt</v>
      </c>
      <c r="AI5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ID","value":"139-17"},{"id":16,"name":"Locomotive ID","value":"4054"},{"id":130,"name":"Impact","value":""},{"id":150,"name":"Time of Event (Mountain Time)","value":"09:06:00"},{"id":151,"name":"Denver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19"/>
        <v>start /low /b %USERPROFILE%\Documents\GitHub\eaglep3\Utilities\DownloadLogsFromS3.py --loco 4054 --day 2017-12-17</v>
      </c>
      <c r="AN5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1"/>
        <v>https://d0f6bd738d7f1b3e5a7ca70fe4ff75f0.us-east-1.aws.found.io/app/kibana#/discover/Steve-Slow-Train-Analysis-(2080s-and-2083s)?_g=(refreshInterval:(display:Off,pause:!f,section:0,value:0),time:(from:'2017-12-17T07:27:13-0700',mode:absolute,to:'2017-12-17T10:06:00-0700'))&amp;_a=(columns:!('Message%20ID',Summary),filters:!(),index:'emp_*',interval:auto,query:(query_string:(analyze_wildcard:!t,query:'%22rtdc.l.rtdc.4054%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697</v>
      </c>
      <c r="B53" s="225">
        <v>4053</v>
      </c>
      <c r="C53" s="227" t="s">
        <v>192</v>
      </c>
      <c r="D53" s="227" t="s">
        <v>584</v>
      </c>
      <c r="E53" s="226">
        <v>43086.392187500001</v>
      </c>
      <c r="F53" s="226">
        <v>43086.393935185188</v>
      </c>
      <c r="G53" s="225">
        <v>49</v>
      </c>
      <c r="H53" s="227" t="s">
        <v>934</v>
      </c>
      <c r="I53" s="226">
        <v>43086.420381944445</v>
      </c>
      <c r="J53" s="225">
        <v>0</v>
      </c>
      <c r="K53" s="237" t="str">
        <f t="shared" si="0"/>
        <v>4053/4054</v>
      </c>
      <c r="L53" s="245" t="str">
        <f>VLOOKUP(A53,'Trips&amp;Operators'!$C$1:$G$99911,5,FALSE)</f>
        <v>THOMPSON LESTER</v>
      </c>
      <c r="M53" s="224">
        <f t="shared" si="1"/>
        <v>2.6446759256941732E-2</v>
      </c>
      <c r="N53" s="225">
        <f t="shared" si="29"/>
        <v>38.083333329996094</v>
      </c>
      <c r="O53" s="225"/>
      <c r="P53" s="225"/>
      <c r="Q53" s="228"/>
      <c r="R53" s="242"/>
      <c r="S53" s="249">
        <f t="shared" si="22"/>
        <v>1</v>
      </c>
      <c r="T53" s="242" t="str">
        <f t="shared" si="2"/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3"/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247" t="str">
        <f>IF(AA53&lt;VLOOKUP(AG53,Variables!$AC$3:$AD$8,2,FALSE),"Y","N")</f>
        <v>N</v>
      </c>
      <c r="X53" s="247">
        <f t="shared" si="31"/>
        <v>1</v>
      </c>
      <c r="Y53" s="247">
        <f t="shared" si="32"/>
        <v>23.297000000000001</v>
      </c>
      <c r="Z53" s="247">
        <f t="shared" si="33"/>
        <v>3.1600000000000003E-2</v>
      </c>
      <c r="AA53" s="247">
        <f t="shared" si="7"/>
        <v>23.2654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8"/>
        <v>140</v>
      </c>
      <c r="AE53" s="235" t="str">
        <f t="shared" si="9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53" s="234" t="str">
        <f t="shared" si="10"/>
        <v>"C:\Program Files (x86)\AstroGrep\AstroGrep.exe" /e /r /s /spath="%USERPROFILE%\AppData\Local\Temp\OnboardLogs" /stypes="app*4053*20171217*" /stext=" 17:.+((SYSTEM_STATE.+slice.+state.+changed )|(ment ac)|(multiple cpu faults)|(system.+state.+changed )|(\[timeout)|(PRM\|1\|D)|(kpr)|(kdp)|(train st.+moving)|(\|lc)|(penalty))"</v>
      </c>
      <c r="AG53" s="244" t="str">
        <f t="shared" si="11"/>
        <v>EC</v>
      </c>
      <c r="AH53" s="236" t="str">
        <f t="shared" si="17"/>
        <v>"%USERPROFILE%\Documents\GitHub\eaglep3\Utilities\RefineRTDCRunTimes.py" --tripid 140-17 --locoid 4053 --swversion DE.1.0.9.0 --startMP 204:232970 --initTime 2017-12-17T09:24:45 --startdatetime 2017-12-17T09:27:16 --delay 49 --endMP 204:316 --enddatetime 2017-12-17T10:05:21 --enforcementcount 0 &gt;&gt;%USERPROFILE%\Documents\GitHub\eaglep3-reporting\EC\2017-12-17-refined-times.txt</v>
      </c>
      <c r="AI5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{"issue":{"subject":"","project_id":79,"tracker_id":40,"status_id":1,"priority_id":2,"assigned_to_id":338,"start_date":"2017-12-17","description":"","custom_fields":[{"id":1,"name":"Subdivision","value":"EC"},{"id":4,"name":"Milepost","value":"0.0316"},{"id":17,"name":"Train ID","value":"140-17"},{"id":16,"name":"Locomotive ID","value":"4053"},{"id":130,"name":"Impact","value":""},{"id":150,"name":"Time of Event (Mountain Time)","value":"10:05:21"},{"id":151,"name":"Denver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19"/>
        <v>start /low /b %USERPROFILE%\Documents\GitHub\eaglep3\Utilities\DownloadLogsFromS3.py --loco 4053 --day 2017-12-17</v>
      </c>
      <c r="AN5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1"/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Message%20ID',Summary),filters:!(),index:'emp_*',interval:auto,query:(query_string:(analyze_wildcard:!t,query:'%22rtdc.l.rtdc.4053%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771</v>
      </c>
      <c r="B54" s="225">
        <v>4040</v>
      </c>
      <c r="C54" s="227" t="s">
        <v>192</v>
      </c>
      <c r="D54" s="227" t="s">
        <v>557</v>
      </c>
      <c r="E54" s="226">
        <v>43086.358969907407</v>
      </c>
      <c r="F54" s="226">
        <v>43086.364861111113</v>
      </c>
      <c r="G54" s="225">
        <v>116</v>
      </c>
      <c r="H54" s="227" t="s">
        <v>652</v>
      </c>
      <c r="I54" s="226">
        <v>43086.389560185184</v>
      </c>
      <c r="J54" s="225">
        <v>0</v>
      </c>
      <c r="K54" s="237" t="str">
        <f t="shared" si="0"/>
        <v>4039/4040</v>
      </c>
      <c r="L54" s="245" t="str">
        <f>VLOOKUP(A54,'Trips&amp;Operators'!$C$1:$G$99911,5,FALSE)</f>
        <v>WILLIAMS DONTE</v>
      </c>
      <c r="M54" s="224">
        <f t="shared" si="1"/>
        <v>2.4699074070667848E-2</v>
      </c>
      <c r="N54" s="225">
        <f t="shared" si="29"/>
        <v>35.566666661761701</v>
      </c>
      <c r="O54" s="225"/>
      <c r="P54" s="225"/>
      <c r="Q54" s="228"/>
      <c r="R54" s="242"/>
      <c r="S54" s="249">
        <f t="shared" si="22"/>
        <v>1</v>
      </c>
      <c r="T54" s="242" t="str">
        <f t="shared" si="2"/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3"/>
        <v>https://d0f6bd738d7f1b3e5a7ca70fe4ff75f0.us-east-1.aws.found.io/app/kibana#/discover/Steve-Slow-Train-Analysis-(2080s-and-2083s)?_g=(refreshInterval:(display:Off,pause:!f,section:0,value:0),time:(from:'2017-12-17T07:36:55-0700',mode:absolute,to:'2017-12-17T10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4" s="247" t="str">
        <f>IF(AA54&lt;VLOOKUP(AG54,Variables!$AC$3:$AD$8,2,FALSE),"Y","N")</f>
        <v>N</v>
      </c>
      <c r="X54" s="247">
        <f t="shared" si="31"/>
        <v>1</v>
      </c>
      <c r="Y54" s="247">
        <f t="shared" si="32"/>
        <v>5.0799999999999998E-2</v>
      </c>
      <c r="Z54" s="247">
        <f t="shared" si="33"/>
        <v>23.322199999999999</v>
      </c>
      <c r="AA54" s="247">
        <f t="shared" si="7"/>
        <v>23.2714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8"/>
        <v>141</v>
      </c>
      <c r="AE54" s="235" t="str">
        <f t="shared" si="9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54" s="234" t="str">
        <f t="shared" si="10"/>
        <v>"C:\Program Files (x86)\AstroGrep\AstroGrep.exe" /e /r /s /spath="%USERPROFILE%\AppData\Local\Temp\OnboardLogs" /stypes="app*4040*20171217*" /stext=" 16:.+((SYSTEM_STATE.+slice.+state.+changed )|(ment ac)|(multiple cpu faults)|(system.+state.+changed )|(\[timeout)|(PRM\|1\|D)|(kpr)|(kdp)|(train st.+moving)|(\|lc)|(penalty))"</v>
      </c>
      <c r="AG54" s="244" t="str">
        <f t="shared" si="11"/>
        <v>EC</v>
      </c>
      <c r="AH54" s="236" t="str">
        <f t="shared" si="17"/>
        <v>"%USERPROFILE%\Documents\GitHub\eaglep3\Utilities\RefineRTDCRunTimes.py" --tripid 141-17 --locoid 4040 --swversion DE.1.0.9.0 --startMP 204:508 --initTime 2017-12-17T08:36:55 --startdatetime 2017-12-17T08:45:24 --delay 116 --endMP 204:233222 --enddatetime 2017-12-17T09:20:58 --enforcementcount 0 &gt;&gt;%USERPROFILE%\Documents\GitHub\eaglep3-reporting\EC\2017-12-17-refined-times.txt</v>
      </c>
      <c r="AI5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{"issue":{"subject":"","project_id":79,"tracker_id":40,"status_id":1,"priority_id":2,"assigned_to_id":338,"start_date":"2017-12-17","description":"","custom_fields":[{"id":1,"name":"Subdivision","value":"EC"},{"id":4,"name":"Milepost","value":"23.3222"},{"id":17,"name":"Train ID","value":"141-17"},{"id":16,"name":"Locomotive ID","value":"4040"},{"id":130,"name":"Impact","value":""},{"id":150,"name":"Time of Event (Mountain Time)","value":"09:20:58"},{"id":151,"name":"Denver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19"/>
        <v>start /low /b %USERPROFILE%\Documents\GitHub\eaglep3\Utilities\DownloadLogsFromS3.py --loco 4040 --day 2017-12-17</v>
      </c>
      <c r="AN5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1"/>
        <v>https://d0f6bd738d7f1b3e5a7ca70fe4ff75f0.us-east-1.aws.found.io/app/kibana#/discover/Steve-Slow-Train-Analysis-(2080s-and-2083s)?_g=(refreshInterval:(display:Off,pause:!f,section:0,value:0),time:(from:'2017-12-17T07:36:55-0700',mode:absolute,to:'2017-12-17T10:20:58-0700'))&amp;_a=(columns:!('Message%20ID',Summary),filters:!(),index:'emp_*',interval:auto,query:(query_string:(analyze_wildcard:!t,query:'%22rtdc.l.rtdc.4040%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782</v>
      </c>
      <c r="B55" s="225">
        <v>4039</v>
      </c>
      <c r="C55" s="227" t="s">
        <v>192</v>
      </c>
      <c r="D55" s="227" t="s">
        <v>679</v>
      </c>
      <c r="E55" s="226">
        <v>43086.397812499999</v>
      </c>
      <c r="F55" s="226">
        <v>43086.404513888891</v>
      </c>
      <c r="G55" s="225">
        <v>95</v>
      </c>
      <c r="H55" s="227" t="s">
        <v>566</v>
      </c>
      <c r="I55" s="226">
        <v>43086.431145833332</v>
      </c>
      <c r="J55" s="225">
        <v>0</v>
      </c>
      <c r="K55" s="237" t="str">
        <f t="shared" si="0"/>
        <v>4039/4040</v>
      </c>
      <c r="L55" s="245" t="str">
        <f>VLOOKUP(A55,'Trips&amp;Operators'!$C$1:$G$99911,5,FALSE)</f>
        <v>WILLIAMS DONTE</v>
      </c>
      <c r="M55" s="224">
        <f t="shared" si="1"/>
        <v>2.6631944441760425E-2</v>
      </c>
      <c r="N55" s="225">
        <f t="shared" si="29"/>
        <v>38.349999996135011</v>
      </c>
      <c r="O55" s="225"/>
      <c r="P55" s="225"/>
      <c r="Q55" s="228"/>
      <c r="R55" s="242"/>
      <c r="S55" s="249">
        <f t="shared" si="22"/>
        <v>1</v>
      </c>
      <c r="T55" s="242" t="str">
        <f t="shared" si="2"/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3"/>
        <v>https://d0f6bd738d7f1b3e5a7ca70fe4ff75f0.us-east-1.aws.found.io/app/kibana#/discover/Steve-Slow-Train-Analysis-(2080s-and-2083s)?_g=(refreshInterval:(display:Off,pause:!f,section:0,value:0),time:(from:'2017-12-17T08:32:51-0700',mode:absolute,to:'2017-12-17T11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5" s="247" t="str">
        <f>IF(AA55&lt;VLOOKUP(AG55,Variables!$AC$3:$AD$8,2,FALSE),"Y","N")</f>
        <v>N</v>
      </c>
      <c r="X55" s="247">
        <f t="shared" si="31"/>
        <v>1</v>
      </c>
      <c r="Y55" s="247">
        <f t="shared" si="32"/>
        <v>23.290199999999999</v>
      </c>
      <c r="Z55" s="247">
        <f t="shared" si="33"/>
        <v>2.0500000000000001E-2</v>
      </c>
      <c r="AA55" s="247">
        <f t="shared" si="7"/>
        <v>23.2697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8"/>
        <v>142</v>
      </c>
      <c r="AE55" s="235" t="str">
        <f t="shared" si="9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55" s="234" t="str">
        <f t="shared" si="10"/>
        <v>"C:\Program Files (x86)\AstroGrep\AstroGrep.exe" /e /r /s /spath="%USERPROFILE%\AppData\Local\Temp\OnboardLogs" /stypes="app*4039*20171217*" /stext=" 17:.+((SYSTEM_STATE.+slice.+state.+changed )|(ment ac)|(multiple cpu faults)|(system.+state.+changed )|(\[timeout)|(PRM\|1\|D)|(kpr)|(kdp)|(train st.+moving)|(\|lc)|(penalty))"</v>
      </c>
      <c r="AG55" s="244" t="str">
        <f t="shared" si="11"/>
        <v>EC</v>
      </c>
      <c r="AH55" s="236" t="str">
        <f t="shared" si="17"/>
        <v>"%USERPROFILE%\Documents\GitHub\eaglep3\Utilities\RefineRTDCRunTimes.py" --tripid 142-17 --locoid 4039 --swversion DE.1.0.9.0 --startMP 204:232902 --initTime 2017-12-17T09:32:51 --startdatetime 2017-12-17T09:42:30 --delay 95 --endMP 204:205 --enddatetime 2017-12-17T10:20:51 --enforcementcount 0 &gt;&gt;%USERPROFILE%\Documents\GitHub\eaglep3-reporting\EC\2017-12-17-refined-times.txt</v>
      </c>
      <c r="AI5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ID","value":"142-17"},{"id":16,"name":"Locomotive ID","value":"4039"},{"id":130,"name":"Impact","value":""},{"id":150,"name":"Time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19"/>
        <v>start /low /b %USERPROFILE%\Documents\GitHub\eaglep3\Utilities\DownloadLogsFromS3.py --loco 4039 --day 2017-12-17</v>
      </c>
      <c r="AN5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1"/>
        <v>https://d0f6bd738d7f1b3e5a7ca70fe4ff75f0.us-east-1.aws.found.io/app/kibana#/discover/Steve-Slow-Train-Analysis-(2080s-and-2083s)?_g=(refreshInterval:(display:Off,pause:!f,section:0,value:0),time:(from:'2017-12-17T08:32:51-0700',mode:absolute,to:'2017-12-17T11:20:51-0700'))&amp;_a=(columns:!('Message%20ID',Summary),filters:!(),index:'emp_*',interval:auto,query:(query_string:(analyze_wildcard:!t,query:'%22rtdc.l.rtdc.4039%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774</v>
      </c>
      <c r="B56" s="225">
        <v>4058</v>
      </c>
      <c r="C56" s="227" t="s">
        <v>192</v>
      </c>
      <c r="D56" s="227" t="s">
        <v>935</v>
      </c>
      <c r="E56" s="226">
        <v>43086.371446759258</v>
      </c>
      <c r="F56" s="226">
        <v>43086.379814814813</v>
      </c>
      <c r="G56" s="225">
        <v>51</v>
      </c>
      <c r="H56" s="227" t="s">
        <v>675</v>
      </c>
      <c r="I56" s="226">
        <v>43086.401041666664</v>
      </c>
      <c r="J56" s="225">
        <v>0</v>
      </c>
      <c r="K56" s="237" t="str">
        <f t="shared" si="0"/>
        <v>4057/4058</v>
      </c>
      <c r="L56" s="245" t="str">
        <f>VLOOKUP(A56,'Trips&amp;Operators'!$C$1:$G$99911,5,FALSE)</f>
        <v>MAELZER KURT</v>
      </c>
      <c r="M56" s="224">
        <f t="shared" si="1"/>
        <v>2.1226851851679385E-2</v>
      </c>
      <c r="N56" s="225"/>
      <c r="O56" s="225"/>
      <c r="P56" s="225">
        <f>24*60*SUM($M56:$M56)</f>
        <v>30.566666666418314</v>
      </c>
      <c r="Q56" s="228"/>
      <c r="R56" s="242" t="s">
        <v>689</v>
      </c>
      <c r="S56" s="249">
        <f t="shared" si="22"/>
        <v>1</v>
      </c>
      <c r="T56" s="242" t="str">
        <f t="shared" si="2"/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3"/>
        <v>https://d0f6bd738d7f1b3e5a7ca70fe4ff75f0.us-east-1.aws.found.io/app/kibana#/discover/Steve-Slow-Train-Analysis-(2080s-and-2083s)?_g=(refreshInterval:(display:Off,pause:!f,section:0,value:0),time:(from:'2017-12-17T07:54:53-0700',mode:absolute,to:'2017-12-17T10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6" s="247" t="str">
        <f>IF(AA56&lt;VLOOKUP(AG56,Variables!$AC$3:$AD$8,2,FALSE),"Y","N")</f>
        <v>Y</v>
      </c>
      <c r="X56" s="247">
        <f t="shared" ref="X56:X59" si="34">VALUE(LEFT(AD56,4))-VALUE(LEFT(AD55,4))</f>
        <v>1</v>
      </c>
      <c r="Y56" s="247">
        <f t="shared" si="32"/>
        <v>1.9133</v>
      </c>
      <c r="Z56" s="247">
        <f t="shared" si="33"/>
        <v>23.330400000000001</v>
      </c>
      <c r="AA56" s="247">
        <f t="shared" si="7"/>
        <v>21.417100000000001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8"/>
        <v>143</v>
      </c>
      <c r="AE56" s="235" t="str">
        <f t="shared" si="9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56" s="234" t="str">
        <f t="shared" si="10"/>
        <v>"C:\Program Files (x86)\AstroGrep\AstroGrep.exe" /e /r /s /spath="%USERPROFILE%\AppData\Local\Temp\OnboardLogs" /stypes="app*4058*20171217*" /stext=" 16:.+((SYSTEM_STATE.+slice.+state.+changed )|(ment ac)|(multiple cpu faults)|(system.+state.+changed )|(\[timeout)|(PRM\|1\|D)|(kpr)|(kdp)|(train st.+moving)|(\|lc)|(penalty))"</v>
      </c>
      <c r="AG56" s="244" t="str">
        <f t="shared" si="11"/>
        <v>EC</v>
      </c>
      <c r="AH56" s="236" t="str">
        <f t="shared" si="17"/>
        <v>"%USERPROFILE%\Documents\GitHub\eaglep3\Utilities\RefineRTDCRunTimes.py" --tripid 143-17 --locoid 4058 --swversion DE.1.0.9.0 --startMP 204:19133 --initTime 2017-12-17T08:54:53 --startdatetime 2017-12-17T09:06:56 --delay 51 --endMP 204:233304 --enddatetime 2017-12-17T09:37:30 --enforcementcount 0 &gt;&gt;%USERPROFILE%\Documents\GitHub\eaglep3-reporting\EC\2017-12-17-refined-times.txt</v>
      </c>
      <c r="AI56" s="238" t="str">
        <f t="shared" si="18"/>
        <v>echo {"issue":{"subject":"Onboard en route failure during init","project_id":79,"tracker_id":40,"status_id":1,"priority_id":2,"assigned_to_id":338,"start_date":"2017-12-17","description":"","custom_fields":[{"id":1,"name":"Subdivision","value":"EC"},{"id":4,"name":"Milepost","value":"23.3304"},{"id":17,"name":"Train ID","value":"143-17"},{"id":16,"name":"Locomotive ID","value":"4058"},{"id":130,"name":"Impact","value":""},{"id":150,"name":"Time of Event (Mountain Time)","value":"09:37:30"},{"id":151,"name":"Denver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19"/>
        <v>start /low /b %USERPROFILE%\Documents\GitHub\eaglep3\Utilities\DownloadLogsFromS3.py --loco 4058 --day 2017-12-17</v>
      </c>
      <c r="AN56" s="241" t="str">
        <f t="shared" si="20"/>
        <v>echo {"issue":{"subject":"Onboard en route failure during init","project_id":30,"tracker_id":4,"status_id":1,"priority_id":1,"assigned_to_id":10,"start_date":"2017-12-17","description":"","custom_fields":[{"id":30,"name":"Category","value":"Issue"},{"id":3,"name":"Functional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1"/>
        <v>https://d0f6bd738d7f1b3e5a7ca70fe4ff75f0.us-east-1.aws.found.io/app/kibana#/discover/Steve-Slow-Train-Analysis-(2080s-and-2083s)?_g=(refreshInterval:(display:Off,pause:!f,section:0,value:0),time:(from:'2017-12-17T07:54:53-0700',mode:absolute,to:'2017-12-17T10:37:30-0700'))&amp;_a=(columns:!('Message%20ID',Summary),filters:!(),index:'emp_*',interval:auto,query:(query_string:(analyze_wildcard:!t,query:'%22rtdc.l.rtdc.4058%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784</v>
      </c>
      <c r="B57" s="225">
        <v>4057</v>
      </c>
      <c r="C57" s="227" t="s">
        <v>192</v>
      </c>
      <c r="D57" s="227" t="s">
        <v>936</v>
      </c>
      <c r="E57" s="226">
        <v>43086.405763888892</v>
      </c>
      <c r="F57" s="226">
        <v>43086.41474537037</v>
      </c>
      <c r="G57" s="225">
        <v>45</v>
      </c>
      <c r="H57" s="227" t="s">
        <v>594</v>
      </c>
      <c r="I57" s="226">
        <v>43086.440069444441</v>
      </c>
      <c r="J57" s="225">
        <v>0</v>
      </c>
      <c r="K57" s="237" t="str">
        <f t="shared" si="0"/>
        <v>4057/4058</v>
      </c>
      <c r="L57" s="245" t="str">
        <f>VLOOKUP(A57,'Trips&amp;Operators'!$C$1:$G$99911,5,FALSE)</f>
        <v>MAELZER KURT</v>
      </c>
      <c r="M57" s="224">
        <f t="shared" si="1"/>
        <v>2.5324074071249925E-2</v>
      </c>
      <c r="N57" s="225">
        <f t="shared" ref="N57:N88" si="35">24*60*SUM($M57:$M57)</f>
        <v>36.466666662599891</v>
      </c>
      <c r="O57" s="225"/>
      <c r="P57" s="225"/>
      <c r="Q57" s="228"/>
      <c r="R57" s="242"/>
      <c r="S57" s="249">
        <f t="shared" si="22"/>
        <v>1</v>
      </c>
      <c r="T57" s="242" t="str">
        <f t="shared" si="2"/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3"/>
        <v>https://d0f6bd738d7f1b3e5a7ca70fe4ff75f0.us-east-1.aws.found.io/app/kibana#/discover/Steve-Slow-Train-Analysis-(2080s-and-2083s)?_g=(refreshInterval:(display:Off,pause:!f,section:0,value:0),time:(from:'2017-12-17T08:44:18-0700',mode:absolute,to:'2017-12-17T11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7" s="247" t="str">
        <f>IF(AA57&lt;VLOOKUP(AG57,Variables!$AC$3:$AD$8,2,FALSE),"Y","N")</f>
        <v>N</v>
      </c>
      <c r="X57" s="247">
        <f t="shared" si="34"/>
        <v>1</v>
      </c>
      <c r="Y57" s="247">
        <f t="shared" si="32"/>
        <v>23.2989</v>
      </c>
      <c r="Z57" s="247">
        <f t="shared" si="33"/>
        <v>1.7399999999999999E-2</v>
      </c>
      <c r="AA57" s="247">
        <f t="shared" si="7"/>
        <v>23.281500000000001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8"/>
        <v>144</v>
      </c>
      <c r="AE57" s="235" t="str">
        <f t="shared" si="9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57" s="234" t="str">
        <f t="shared" si="10"/>
        <v>"C:\Program Files (x86)\AstroGrep\AstroGrep.exe" /e /r /s /spath="%USERPROFILE%\AppData\Local\Temp\OnboardLogs" /stypes="app*4057*20171217*" /stext=" 17:.+((SYSTEM_STATE.+slice.+state.+changed )|(ment ac)|(multiple cpu faults)|(system.+state.+changed )|(\[timeout)|(PRM\|1\|D)|(kpr)|(kdp)|(train st.+moving)|(\|lc)|(penalty))"</v>
      </c>
      <c r="AG57" s="244" t="str">
        <f t="shared" si="11"/>
        <v>EC</v>
      </c>
      <c r="AH57" s="236" t="str">
        <f t="shared" si="17"/>
        <v>"%USERPROFILE%\Documents\GitHub\eaglep3\Utilities\RefineRTDCRunTimes.py" --tripid 144-17 --locoid 4057 --swversion DE.1.0.9.0 --startMP 204:232989 --initTime 2017-12-17T09:44:18 --startdatetime 2017-12-17T09:57:14 --delay 45 --endMP 204:174 --enddatetime 2017-12-17T10:33:42 --enforcementcount 0 &gt;&gt;%USERPROFILE%\Documents\GitHub\eaglep3-reporting\EC\2017-12-17-refined-times.txt</v>
      </c>
      <c r="AI5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{"issue":{"subject":"","project_id":79,"tracker_id":40,"status_id":1,"priority_id":2,"assigned_to_id":338,"start_date":"2017-12-17","description":"","custom_fields":[{"id":1,"name":"Subdivision","value":"EC"},{"id":4,"name":"Milepost","value":"0.0174"},{"id":17,"name":"Train ID","value":"144-17"},{"id":16,"name":"Locomotive ID","value":"4057"},{"id":130,"name":"Impact","value":""},{"id":150,"name":"Time of Event (Mountain Time)","value":"10:33:42"},{"id":151,"name":"Denver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19"/>
        <v>start /low /b %USERPROFILE%\Documents\GitHub\eaglep3\Utilities\DownloadLogsFromS3.py --loco 4057 --day 2017-12-17</v>
      </c>
      <c r="AN5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1"/>
        <v>https://d0f6bd738d7f1b3e5a7ca70fe4ff75f0.us-east-1.aws.found.io/app/kibana#/discover/Steve-Slow-Train-Analysis-(2080s-and-2083s)?_g=(refreshInterval:(display:Off,pause:!f,section:0,value:0),time:(from:'2017-12-17T08:44:18-0700',mode:absolute,to:'2017-12-17T11:33:42-0700'))&amp;_a=(columns:!('Message%20ID',Summary),filters:!(),index:'emp_*',interval:auto,query:(query_string:(analyze_wildcard:!t,query:'%22rtdc.l.rtdc.4057%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776</v>
      </c>
      <c r="B58" s="225">
        <v>4008</v>
      </c>
      <c r="C58" s="227" t="s">
        <v>192</v>
      </c>
      <c r="D58" s="227" t="s">
        <v>581</v>
      </c>
      <c r="E58" s="226">
        <v>43086.381793981483</v>
      </c>
      <c r="F58" s="226">
        <v>43086.385682870372</v>
      </c>
      <c r="G58" s="225">
        <v>51</v>
      </c>
      <c r="H58" s="227" t="s">
        <v>920</v>
      </c>
      <c r="I58" s="226">
        <v>43086.409594907411</v>
      </c>
      <c r="J58" s="225">
        <v>0</v>
      </c>
      <c r="K58" s="237" t="str">
        <f t="shared" si="0"/>
        <v>4007/4008</v>
      </c>
      <c r="L58" s="245" t="str">
        <f>VLOOKUP(A58,'Trips&amp;Operators'!$C$1:$G$99911,5,FALSE)</f>
        <v>LAMAR NEKESHA</v>
      </c>
      <c r="M58" s="224">
        <f t="shared" si="1"/>
        <v>2.3912037038826384E-2</v>
      </c>
      <c r="N58" s="225">
        <f t="shared" si="35"/>
        <v>34.433333335909992</v>
      </c>
      <c r="O58" s="225"/>
      <c r="P58" s="225"/>
      <c r="Q58" s="228"/>
      <c r="R58" s="242"/>
      <c r="S58" s="249">
        <f t="shared" si="22"/>
        <v>1</v>
      </c>
      <c r="T58" s="242" t="str">
        <f t="shared" si="2"/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3"/>
        <v>https://d0f6bd738d7f1b3e5a7ca70fe4ff75f0.us-east-1.aws.found.io/app/kibana#/discover/Steve-Slow-Train-Analysis-(2080s-and-2083s)?_g=(refreshInterval:(display:Off,pause:!f,section:0,value:0),time:(from:'2017-12-17T08:09:47-0700',mode:absolute,to:'2017-12-17T10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247" t="str">
        <f>IF(AA58&lt;VLOOKUP(AG58,Variables!$AC$3:$AD$8,2,FALSE),"Y","N")</f>
        <v>N</v>
      </c>
      <c r="X58" s="247">
        <f t="shared" si="34"/>
        <v>1</v>
      </c>
      <c r="Y58" s="247">
        <f t="shared" si="32"/>
        <v>4.8599999999999997E-2</v>
      </c>
      <c r="Z58" s="247">
        <f t="shared" si="33"/>
        <v>23.328900000000001</v>
      </c>
      <c r="AA58" s="247">
        <f t="shared" si="7"/>
        <v>23.2803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8"/>
        <v>145</v>
      </c>
      <c r="AE58" s="235" t="str">
        <f t="shared" si="9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58" s="234" t="str">
        <f t="shared" si="10"/>
        <v>"C:\Program Files (x86)\AstroGrep\AstroGrep.exe" /e /r /s /spath="%USERPROFILE%\AppData\Local\Temp\OnboardLogs" /stypes="app*4008*20171217*" /stext=" 16:.+((SYSTEM_STATE.+slice.+state.+changed )|(ment ac)|(multiple cpu faults)|(system.+state.+changed )|(\[timeout)|(PRM\|1\|D)|(kpr)|(kdp)|(train st.+moving)|(\|lc)|(penalty))"</v>
      </c>
      <c r="AG58" s="244" t="str">
        <f t="shared" si="11"/>
        <v>EC</v>
      </c>
      <c r="AH58" s="236" t="str">
        <f t="shared" si="17"/>
        <v>"%USERPROFILE%\Documents\GitHub\eaglep3\Utilities\RefineRTDCRunTimes.py" --tripid 145-17 --locoid 4008 --swversion DE.1.0.9.0 --startMP 204:486 --initTime 2017-12-17T09:09:47 --startdatetime 2017-12-17T09:15:23 --delay 51 --endMP 204:233289 --enddatetime 2017-12-17T09:49:49 --enforcementcount 0 &gt;&gt;%USERPROFILE%\Documents\GitHub\eaglep3-reporting\EC\2017-12-17-refined-times.txt</v>
      </c>
      <c r="AI5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ID","value":"145-17"},{"id":16,"name":"Locomotive ID","value":"4008"},{"id":130,"name":"Impact","value":""},{"id":150,"name":"Time of Event (Mountain Time)","value":"09:49:49"},{"id":151,"name":"Denver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19"/>
        <v>start /low /b %USERPROFILE%\Documents\GitHub\eaglep3\Utilities\DownloadLogsFromS3.py --loco 4008 --day 2017-12-17</v>
      </c>
      <c r="AN5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1"/>
        <v>https://d0f6bd738d7f1b3e5a7ca70fe4ff75f0.us-east-1.aws.found.io/app/kibana#/discover/Steve-Slow-Train-Analysis-(2080s-and-2083s)?_g=(refreshInterval:(display:Off,pause:!f,section:0,value:0),time:(from:'2017-12-17T08:09:47-0700',mode:absolute,to:'2017-12-17T10:49:49-0700'))&amp;_a=(columns:!('Message%20ID',Summary),filters:!(),index:'emp_*',interval:auto,query:(query_string:(analyze_wildcard:!t,query:'%22rtdc.l.rtdc.4008%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787</v>
      </c>
      <c r="B59" s="225">
        <v>4007</v>
      </c>
      <c r="C59" s="227" t="s">
        <v>192</v>
      </c>
      <c r="D59" s="227" t="s">
        <v>672</v>
      </c>
      <c r="E59" s="226">
        <v>43086.420787037037</v>
      </c>
      <c r="F59" s="226">
        <v>43086.425185185188</v>
      </c>
      <c r="G59" s="225">
        <v>63</v>
      </c>
      <c r="H59" s="227" t="s">
        <v>937</v>
      </c>
      <c r="I59" s="226">
        <v>43086.450636574074</v>
      </c>
      <c r="J59" s="225">
        <v>0</v>
      </c>
      <c r="K59" s="237" t="str">
        <f t="shared" si="0"/>
        <v>4007/4008</v>
      </c>
      <c r="L59" s="245" t="str">
        <f>VLOOKUP(A59,'Trips&amp;Operators'!$C$1:$G$99911,5,FALSE)</f>
        <v>LAMAR NEKESHA</v>
      </c>
      <c r="M59" s="224">
        <f t="shared" si="1"/>
        <v>2.545138888672227E-2</v>
      </c>
      <c r="N59" s="225">
        <f t="shared" si="35"/>
        <v>36.649999996880069</v>
      </c>
      <c r="O59" s="225"/>
      <c r="P59" s="225"/>
      <c r="Q59" s="228"/>
      <c r="R59" s="242"/>
      <c r="S59" s="249">
        <f t="shared" si="22"/>
        <v>1</v>
      </c>
      <c r="T59" s="242" t="str">
        <f t="shared" si="2"/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3"/>
        <v>https://d0f6bd738d7f1b3e5a7ca70fe4ff75f0.us-east-1.aws.found.io/app/kibana#/discover/Steve-Slow-Train-Analysis-(2080s-and-2083s)?_g=(refreshInterval:(display:Off,pause:!f,section:0,value:0),time:(from:'2017-12-17T09:05:56-0700',mode:absolute,to:'2017-12-17T11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247" t="str">
        <f>IF(AA59&lt;VLOOKUP(AG59,Variables!$AC$3:$AD$8,2,FALSE),"Y","N")</f>
        <v>N</v>
      </c>
      <c r="X59" s="247">
        <f t="shared" si="34"/>
        <v>1</v>
      </c>
      <c r="Y59" s="247">
        <f t="shared" si="32"/>
        <v>23.2971</v>
      </c>
      <c r="Z59" s="247">
        <f t="shared" si="33"/>
        <v>1.8100000000000002E-2</v>
      </c>
      <c r="AA59" s="247">
        <f t="shared" si="7"/>
        <v>23.279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8"/>
        <v>146</v>
      </c>
      <c r="AE59" s="235" t="str">
        <f t="shared" si="9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59" s="234" t="str">
        <f t="shared" si="10"/>
        <v>"C:\Program Files (x86)\AstroGrep\AstroGrep.exe" /e /r /s /spath="%USERPROFILE%\AppData\Local\Temp\OnboardLogs" /stypes="app*4007*20171217*" /stext=" 17:.+((SYSTEM_STATE.+slice.+state.+changed )|(ment ac)|(multiple cpu faults)|(system.+state.+changed )|(\[timeout)|(PRM\|1\|D)|(kpr)|(kdp)|(train st.+moving)|(\|lc)|(penalty))"</v>
      </c>
      <c r="AG59" s="244" t="str">
        <f t="shared" si="11"/>
        <v>EC</v>
      </c>
      <c r="AH59" s="236" t="str">
        <f t="shared" si="17"/>
        <v>"%USERPROFILE%\Documents\GitHub\eaglep3\Utilities\RefineRTDCRunTimes.py" --tripid 146-17 --locoid 4007 --swversion DE.1.0.9.0 --startMP 204:232971 --initTime 2017-12-17T10:05:56 --startdatetime 2017-12-17T10:12:16 --delay 63 --endMP 204:181 --enddatetime 2017-12-17T10:48:55 --enforcementcount 0 &gt;&gt;%USERPROFILE%\Documents\GitHub\eaglep3-reporting\EC\2017-12-17-refined-times.txt</v>
      </c>
      <c r="AI5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{"issue":{"subject":"","project_id":79,"tracker_id":40,"status_id":1,"priority_id":2,"assigned_to_id":338,"start_date":"2017-12-17","description":"","custom_fields":[{"id":1,"name":"Subdivision","value":"EC"},{"id":4,"name":"Milepost","value":"0.0181"},{"id":17,"name":"Train ID","value":"146-17"},{"id":16,"name":"Locomotive ID","value":"4007"},{"id":130,"name":"Impact","value":""},{"id":150,"name":"Time of Event (Mountain Time)","value":"10:48:55"},{"id":151,"name":"Denver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19"/>
        <v>start /low /b %USERPROFILE%\Documents\GitHub\eaglep3\Utilities\DownloadLogsFromS3.py --loco 4007 --day 2017-12-17</v>
      </c>
      <c r="AN5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1"/>
        <v>https://d0f6bd738d7f1b3e5a7ca70fe4ff75f0.us-east-1.aws.found.io/app/kibana#/discover/Steve-Slow-Train-Analysis-(2080s-and-2083s)?_g=(refreshInterval:(display:Off,pause:!f,section:0,value:0),time:(from:'2017-12-17T09:05:56-0700',mode:absolute,to:'2017-12-17T11:48:55-0700'))&amp;_a=(columns:!('Message%20ID',Summary),filters:!(),index:'emp_*',interval:auto,query:(query_string:(analyze_wildcard:!t,query:'%22rtdc.l.rtdc.4007%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780</v>
      </c>
      <c r="B60" s="225">
        <v>4030</v>
      </c>
      <c r="C60" s="227" t="s">
        <v>192</v>
      </c>
      <c r="D60" s="227" t="s">
        <v>644</v>
      </c>
      <c r="E60" s="226">
        <v>43086.389710648145</v>
      </c>
      <c r="F60" s="226">
        <v>43086.395995370367</v>
      </c>
      <c r="G60" s="225">
        <v>80</v>
      </c>
      <c r="H60" s="227" t="s">
        <v>938</v>
      </c>
      <c r="I60" s="226">
        <v>43086.420717592591</v>
      </c>
      <c r="J60" s="225">
        <v>0</v>
      </c>
      <c r="K60" s="237" t="str">
        <f t="shared" si="0"/>
        <v>4029/4030</v>
      </c>
      <c r="L60" s="245" t="str">
        <f>VLOOKUP(A60,'Trips&amp;Operators'!$C$1:$G$99911,5,FALSE)</f>
        <v>LOPES KIMBERLY</v>
      </c>
      <c r="M60" s="224">
        <f t="shared" si="1"/>
        <v>2.4722222224227153E-2</v>
      </c>
      <c r="N60" s="225">
        <f t="shared" si="35"/>
        <v>35.6000000028871</v>
      </c>
      <c r="O60" s="225"/>
      <c r="P60" s="225"/>
      <c r="Q60" s="228"/>
      <c r="R60" s="242"/>
      <c r="S60" s="249">
        <f t="shared" si="22"/>
        <v>1</v>
      </c>
      <c r="T60" s="242" t="str">
        <f t="shared" si="2"/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3"/>
        <v>https://d0f6bd738d7f1b3e5a7ca70fe4ff75f0.us-east-1.aws.found.io/app/kibana#/discover/Steve-Slow-Train-Analysis-(2080s-and-2083s)?_g=(refreshInterval:(display:Off,pause:!f,section:0,value:0),time:(from:'2017-12-17T08:21:11-0700',mode:absolute,to:'2017-12-17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247" t="str">
        <f>IF(AA60&lt;VLOOKUP(AG60,Variables!$AC$3:$AD$8,2,FALSE),"Y","N")</f>
        <v>N</v>
      </c>
      <c r="X60" s="247">
        <f t="shared" ref="X60:X91" si="36">VALUE(LEFT(AD60,4))-VALUE(LEFT(AD59,4))</f>
        <v>1</v>
      </c>
      <c r="Y60" s="247">
        <f t="shared" si="32"/>
        <v>5.04E-2</v>
      </c>
      <c r="Z60" s="247">
        <f t="shared" si="33"/>
        <v>23.331700000000001</v>
      </c>
      <c r="AA60" s="247">
        <f t="shared" si="7"/>
        <v>23.281300000000002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8"/>
        <v>147</v>
      </c>
      <c r="AE60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60" s="234" t="str">
        <f t="shared" si="10"/>
        <v>"C:\Program Files (x86)\AstroGrep\AstroGrep.exe" /e /r /s /spath="%USERPROFILE%\AppData\Local\Temp\OnboardLogs" /stypes="app*4030*20171217*" /stext=" 17:.+((SYSTEM_STATE.+slice.+state.+changed )|(ment ac)|(multiple cpu faults)|(system.+state.+changed )|(\[timeout)|(PRM\|1\|D)|(kpr)|(kdp)|(train st.+moving)|(\|lc)|(penalty))"</v>
      </c>
      <c r="AG60" s="244" t="str">
        <f t="shared" si="11"/>
        <v>EC</v>
      </c>
      <c r="AH60" s="236" t="str">
        <f t="shared" si="17"/>
        <v>"%USERPROFILE%\Documents\GitHub\eaglep3\Utilities\RefineRTDCRunTimes.py" --tripid 147-17 --locoid 4030 --swversion DE.1.0.9.0 --startMP 204:504 --initTime 2017-12-17T09:21:11 --startdatetime 2017-12-17T09:30:14 --delay 80 --endMP 204:233317 --enddatetime 2017-12-17T10:05:50 --enforcementcount 0 &gt;&gt;%USERPROFILE%\Documents\GitHub\eaglep3-reporting\EC\2017-12-17-refined-times.txt</v>
      </c>
      <c r="AI6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{"issue":{"subject":"","project_id":79,"tracker_id":40,"status_id":1,"priority_id":2,"assigned_to_id":338,"start_date":"2017-12-17","description":"","custom_fields":[{"id":1,"name":"Subdivision","value":"EC"},{"id":4,"name":"Milepost","value":"23.3317"},{"id":17,"name":"Train ID","value":"147-17"},{"id":16,"name":"Locomotive ID","value":"4030"},{"id":130,"name":"Impact","value":""},{"id":150,"name":"Time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19"/>
        <v>start /low /b %USERPROFILE%\Documents\GitHub\eaglep3\Utilities\DownloadLogsFromS3.py --loco 4030 --day 2017-12-17</v>
      </c>
      <c r="AN6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1"/>
        <v>https://d0f6bd738d7f1b3e5a7ca70fe4ff75f0.us-east-1.aws.found.io/app/kibana#/discover/Steve-Slow-Train-Analysis-(2080s-and-2083s)?_g=(refreshInterval:(display:Off,pause:!f,section:0,value:0),time:(from:'2017-12-17T08:21:11-0700',mode:absolute,to:'2017-12-17T11:05:50-0700'))&amp;_a=(columns:!('Message%20ID',Summary),filters:!(),index:'emp_*',interval:auto,query:(query_string:(analyze_wildcard:!t,query:'%22rtdc.l.rtdc.4030%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789</v>
      </c>
      <c r="B61" s="225">
        <v>4029</v>
      </c>
      <c r="C61" s="227" t="s">
        <v>192</v>
      </c>
      <c r="D61" s="227" t="s">
        <v>614</v>
      </c>
      <c r="E61" s="226">
        <v>43086.42864583333</v>
      </c>
      <c r="F61" s="226">
        <v>43086.435613425929</v>
      </c>
      <c r="G61" s="225">
        <v>57</v>
      </c>
      <c r="H61" s="227" t="s">
        <v>470</v>
      </c>
      <c r="I61" s="226">
        <v>43086.460659722223</v>
      </c>
      <c r="J61" s="225">
        <v>0</v>
      </c>
      <c r="K61" s="237" t="str">
        <f t="shared" si="0"/>
        <v>4029/4030</v>
      </c>
      <c r="L61" s="245" t="str">
        <f>VLOOKUP(A61,'Trips&amp;Operators'!$C$1:$G$99911,5,FALSE)</f>
        <v>LOPES KIMBERLY</v>
      </c>
      <c r="M61" s="224">
        <f t="shared" si="1"/>
        <v>2.5046296294021886E-2</v>
      </c>
      <c r="N61" s="225">
        <f t="shared" si="35"/>
        <v>36.066666663391516</v>
      </c>
      <c r="O61" s="225"/>
      <c r="P61" s="225"/>
      <c r="Q61" s="228"/>
      <c r="R61" s="242"/>
      <c r="S61" s="249">
        <f t="shared" si="22"/>
        <v>1</v>
      </c>
      <c r="T61" s="242" t="str">
        <f t="shared" si="2"/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3"/>
        <v>https://d0f6bd738d7f1b3e5a7ca70fe4ff75f0.us-east-1.aws.found.io/app/kibana#/discover/Steve-Slow-Train-Analysis-(2080s-and-2083s)?_g=(refreshInterval:(display:Off,pause:!f,section:0,value:0),time:(from:'2017-12-17T09:17:15-0700',mode:absolute,to:'2017-12-17T12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247" t="str">
        <f>IF(AA61&lt;VLOOKUP(AG61,Variables!$AC$3:$AD$8,2,FALSE),"Y","N")</f>
        <v>N</v>
      </c>
      <c r="X61" s="247">
        <f t="shared" si="36"/>
        <v>1</v>
      </c>
      <c r="Y61" s="247">
        <f t="shared" si="32"/>
        <v>23.299099999999999</v>
      </c>
      <c r="Z61" s="247">
        <f t="shared" si="33"/>
        <v>2.1100000000000001E-2</v>
      </c>
      <c r="AA61" s="247">
        <f t="shared" si="7"/>
        <v>23.277999999999999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8"/>
        <v>148</v>
      </c>
      <c r="AE61" s="235" t="str">
        <f t="shared" si="9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61" s="234" t="str">
        <f t="shared" si="10"/>
        <v>"C:\Program Files (x86)\AstroGrep\AstroGrep.exe" /e /r /s /spath="%USERPROFILE%\AppData\Local\Temp\OnboardLogs" /stypes="app*4029*20171217*" /stext=" 18:.+((SYSTEM_STATE.+slice.+state.+changed )|(ment ac)|(multiple cpu faults)|(system.+state.+changed )|(\[timeout)|(PRM\|1\|D)|(kpr)|(kdp)|(train st.+moving)|(\|lc)|(penalty))"</v>
      </c>
      <c r="AG61" s="244" t="str">
        <f t="shared" si="11"/>
        <v>EC</v>
      </c>
      <c r="AH61" s="236" t="str">
        <f t="shared" si="17"/>
        <v>"%USERPROFILE%\Documents\GitHub\eaglep3\Utilities\RefineRTDCRunTimes.py" --tripid 148-17 --locoid 4029 --swversion DE.1.0.9.0 --startMP 204:232991 --initTime 2017-12-17T10:17:15 --startdatetime 2017-12-17T10:27:17 --delay 57 --endMP 204:211 --enddatetime 2017-12-17T11:03:21 --enforcementcount 0 &gt;&gt;%USERPROFILE%\Documents\GitHub\eaglep3-reporting\EC\2017-12-17-refined-times.txt</v>
      </c>
      <c r="AI6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{"issue":{"subject":"","project_id":79,"tracker_id":40,"status_id":1,"priority_id":2,"assigned_to_id":338,"start_date":"2017-12-17","description":"","custom_fields":[{"id":1,"name":"Subdivision","value":"EC"},{"id":4,"name":"Milepost","value":"0.0211"},{"id":17,"name":"Train ID","value":"148-17"},{"id":16,"name":"Locomotive ID","value":"4029"},{"id":130,"name":"Impact","value":""},{"id":150,"name":"Time of Event (Mountain Time)","value":"11:03:21"},{"id":151,"name":"Denver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19"/>
        <v>start /low /b %USERPROFILE%\Documents\GitHub\eaglep3\Utilities\DownloadLogsFromS3.py --loco 4029 --day 2017-12-17</v>
      </c>
      <c r="AN6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1"/>
        <v>https://d0f6bd738d7f1b3e5a7ca70fe4ff75f0.us-east-1.aws.found.io/app/kibana#/discover/Steve-Slow-Train-Analysis-(2080s-and-2083s)?_g=(refreshInterval:(display:Off,pause:!f,section:0,value:0),time:(from:'2017-12-17T09:17:15-0700',mode:absolute,to:'2017-12-17T12:03:21-0700'))&amp;_a=(columns:!('Message%20ID',Summary),filters:!(),index:'emp_*',interval:auto,query:(query_string:(analyze_wildcard:!t,query:'%22rtdc.l.rtdc.4029%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783</v>
      </c>
      <c r="B62" s="225">
        <v>4018</v>
      </c>
      <c r="C62" s="227" t="s">
        <v>192</v>
      </c>
      <c r="D62" s="227" t="s">
        <v>590</v>
      </c>
      <c r="E62" s="226">
        <v>43086.399143518516</v>
      </c>
      <c r="F62" s="226">
        <v>43086.406423611108</v>
      </c>
      <c r="G62" s="225">
        <v>65</v>
      </c>
      <c r="H62" s="227" t="s">
        <v>599</v>
      </c>
      <c r="I62" s="226">
        <v>43086.430115740739</v>
      </c>
      <c r="J62" s="225">
        <v>0</v>
      </c>
      <c r="K62" s="237" t="str">
        <f t="shared" si="0"/>
        <v>4017/4018</v>
      </c>
      <c r="L62" s="245" t="str">
        <f>VLOOKUP(A62,'Trips&amp;Operators'!$C$1:$G$99911,5,FALSE)</f>
        <v>DELGADO DIANAH</v>
      </c>
      <c r="M62" s="224">
        <f t="shared" si="1"/>
        <v>2.3692129630944692E-2</v>
      </c>
      <c r="N62" s="225">
        <f t="shared" si="35"/>
        <v>34.116666668560356</v>
      </c>
      <c r="O62" s="225"/>
      <c r="P62" s="225"/>
      <c r="Q62" s="228"/>
      <c r="R62" s="242"/>
      <c r="S62" s="249">
        <f t="shared" si="22"/>
        <v>1</v>
      </c>
      <c r="T62" s="242" t="str">
        <f t="shared" si="2"/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3"/>
        <v>https://d0f6bd738d7f1b3e5a7ca70fe4ff75f0.us-east-1.aws.found.io/app/kibana#/discover/Steve-Slow-Train-Analysis-(2080s-and-2083s)?_g=(refreshInterval:(display:Off,pause:!f,section:0,value:0),time:(from:'2017-12-17T08:34:46-0700',mode:absolute,to:'2017-12-17T11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247" t="str">
        <f>IF(AA62&lt;VLOOKUP(AG62,Variables!$AC$3:$AD$8,2,FALSE),"Y","N")</f>
        <v>N</v>
      </c>
      <c r="X62" s="247">
        <f t="shared" si="36"/>
        <v>1</v>
      </c>
      <c r="Y62" s="247">
        <f t="shared" si="32"/>
        <v>4.3999999999999997E-2</v>
      </c>
      <c r="Z62" s="247">
        <f t="shared" si="33"/>
        <v>23.331399999999999</v>
      </c>
      <c r="AA62" s="247">
        <f t="shared" si="7"/>
        <v>23.287399999999998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8"/>
        <v>149</v>
      </c>
      <c r="AE62" s="235" t="str">
        <f t="shared" si="9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62" s="234" t="str">
        <f t="shared" si="10"/>
        <v>"C:\Program Files (x86)\AstroGrep\AstroGrep.exe" /e /r /s /spath="%USERPROFILE%\AppData\Local\Temp\OnboardLogs" /stypes="app*4018*20171217*" /stext=" 17:.+((SYSTEM_STATE.+slice.+state.+changed )|(ment ac)|(multiple cpu faults)|(system.+state.+changed )|(\[timeout)|(PRM\|1\|D)|(kpr)|(kdp)|(train st.+moving)|(\|lc)|(penalty))"</v>
      </c>
      <c r="AG62" s="244" t="str">
        <f t="shared" si="11"/>
        <v>EC</v>
      </c>
      <c r="AH62" s="236" t="str">
        <f t="shared" si="17"/>
        <v>"%USERPROFILE%\Documents\GitHub\eaglep3\Utilities\RefineRTDCRunTimes.py" --tripid 149-17 --locoid 4018 --swversion DE.1.0.9.0 --startMP 204:440 --initTime 2017-12-17T09:34:46 --startdatetime 2017-12-17T09:45:15 --delay 65 --endMP 204:233314 --enddatetime 2017-12-17T10:19:22 --enforcementcount 0 &gt;&gt;%USERPROFILE%\Documents\GitHub\eaglep3-reporting\EC\2017-12-17-refined-times.txt</v>
      </c>
      <c r="AI6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{"issue":{"subject":"","project_id":79,"tracker_id":40,"status_id":1,"priority_id":2,"assigned_to_id":338,"start_date":"2017-12-17","description":"","custom_fields":[{"id":1,"name":"Subdivision","value":"EC"},{"id":4,"name":"Milepost","value":"23.3314"},{"id":17,"name":"Train ID","value":"149-17"},{"id":16,"name":"Locomotive ID","value":"4018"},{"id":130,"name":"Impact","value":""},{"id":150,"name":"Time of Event (Mountain Time)","value":"10:19:22"},{"id":151,"name":"Denver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19"/>
        <v>start /low /b %USERPROFILE%\Documents\GitHub\eaglep3\Utilities\DownloadLogsFromS3.py --loco 4018 --day 2017-12-17</v>
      </c>
      <c r="AN6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1"/>
        <v>https://d0f6bd738d7f1b3e5a7ca70fe4ff75f0.us-east-1.aws.found.io/app/kibana#/discover/Steve-Slow-Train-Analysis-(2080s-and-2083s)?_g=(refreshInterval:(display:Off,pause:!f,section:0,value:0),time:(from:'2017-12-17T08:34:46-0700',mode:absolute,to:'2017-12-17T11:19:22-0700'))&amp;_a=(columns:!('Message%20ID',Summary),filters:!(),index:'emp_*',interval:auto,query:(query_string:(analyze_wildcard:!t,query:'%22rtdc.l.rtdc.4018%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792</v>
      </c>
      <c r="B63" s="225">
        <v>4017</v>
      </c>
      <c r="C63" s="227" t="s">
        <v>192</v>
      </c>
      <c r="D63" s="227" t="s">
        <v>931</v>
      </c>
      <c r="E63" s="226">
        <v>43086.438449074078</v>
      </c>
      <c r="F63" s="226">
        <v>43086.446006944447</v>
      </c>
      <c r="G63" s="225">
        <v>87</v>
      </c>
      <c r="H63" s="227" t="s">
        <v>574</v>
      </c>
      <c r="I63" s="226">
        <v>43086.471712962964</v>
      </c>
      <c r="J63" s="225">
        <v>0</v>
      </c>
      <c r="K63" s="237" t="str">
        <f t="shared" si="0"/>
        <v>4017/4018</v>
      </c>
      <c r="L63" s="245" t="str">
        <f>VLOOKUP(A63,'Trips&amp;Operators'!$C$1:$G$99911,5,FALSE)</f>
        <v>DELGADO DIANAH</v>
      </c>
      <c r="M63" s="224">
        <f t="shared" si="1"/>
        <v>2.5706018517666962E-2</v>
      </c>
      <c r="N63" s="225">
        <f t="shared" si="35"/>
        <v>37.016666665440425</v>
      </c>
      <c r="O63" s="225"/>
      <c r="P63" s="225"/>
      <c r="Q63" s="228"/>
      <c r="R63" s="242"/>
      <c r="S63" s="249">
        <f t="shared" si="22"/>
        <v>1</v>
      </c>
      <c r="T63" s="242" t="str">
        <f t="shared" si="2"/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3"/>
        <v>https://d0f6bd738d7f1b3e5a7ca70fe4ff75f0.us-east-1.aws.found.io/app/kibana#/discover/Steve-Slow-Train-Analysis-(2080s-and-2083s)?_g=(refreshInterval:(display:Off,pause:!f,section:0,value:0),time:(from:'2017-12-17T09:31:22-0700',mode:absolute,to:'2017-12-17T12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247" t="str">
        <f>IF(AA63&lt;VLOOKUP(AG63,Variables!$AC$3:$AD$8,2,FALSE),"Y","N")</f>
        <v>N</v>
      </c>
      <c r="X63" s="247">
        <f t="shared" si="36"/>
        <v>1</v>
      </c>
      <c r="Y63" s="247">
        <f t="shared" si="32"/>
        <v>23.299199999999999</v>
      </c>
      <c r="Z63" s="247">
        <f t="shared" si="33"/>
        <v>1.49E-2</v>
      </c>
      <c r="AA63" s="247">
        <f t="shared" si="7"/>
        <v>23.284299999999998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8"/>
        <v>150</v>
      </c>
      <c r="AE63" s="235" t="str">
        <f t="shared" si="9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63" s="234" t="str">
        <f t="shared" si="10"/>
        <v>"C:\Program Files (x86)\AstroGrep\AstroGrep.exe" /e /r /s /spath="%USERPROFILE%\AppData\Local\Temp\OnboardLogs" /stypes="app*4017*20171217*" /stext=" 18:.+((SYSTEM_STATE.+slice.+state.+changed )|(ment ac)|(multiple cpu faults)|(system.+state.+changed )|(\[timeout)|(PRM\|1\|D)|(kpr)|(kdp)|(train st.+moving)|(\|lc)|(penalty))"</v>
      </c>
      <c r="AG63" s="244" t="str">
        <f t="shared" si="11"/>
        <v>EC</v>
      </c>
      <c r="AH63" s="236" t="str">
        <f t="shared" si="17"/>
        <v>"%USERPROFILE%\Documents\GitHub\eaglep3\Utilities\RefineRTDCRunTimes.py" --tripid 150-17 --locoid 4017 --swversion DE.1.0.9.0 --startMP 204:232992 --initTime 2017-12-17T10:31:22 --startdatetime 2017-12-17T10:42:15 --delay 87 --endMP 204:149 --enddatetime 2017-12-17T11:19:16 --enforcementcount 0 &gt;&gt;%USERPROFILE%\Documents\GitHub\eaglep3-reporting\EC\2017-12-17-refined-times.txt</v>
      </c>
      <c r="AI6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{"issue":{"subject":"","project_id":79,"tracker_id":40,"status_id":1,"priority_id":2,"assigned_to_id":338,"start_date":"2017-12-17","description":"","custom_fields":[{"id":1,"name":"Subdivision","value":"EC"},{"id":4,"name":"Milepost","value":"0.0149"},{"id":17,"name":"Train ID","value":"150-17"},{"id":16,"name":"Locomotive ID","value":"4017"},{"id":130,"name":"Impact","value":""},{"id":150,"name":"Time of Event (Mountain Time)","value":"11:19:16"},{"id":151,"name":"Denver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19"/>
        <v>start /low /b %USERPROFILE%\Documents\GitHub\eaglep3\Utilities\DownloadLogsFromS3.py --loco 4017 --day 2017-12-17</v>
      </c>
      <c r="AN6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1"/>
        <v>https://d0f6bd738d7f1b3e5a7ca70fe4ff75f0.us-east-1.aws.found.io/app/kibana#/discover/Steve-Slow-Train-Analysis-(2080s-and-2083s)?_g=(refreshInterval:(display:Off,pause:!f,section:0,value:0),time:(from:'2017-12-17T09:31:22-0700',mode:absolute,to:'2017-12-17T12:19:16-0700'))&amp;_a=(columns:!('Message%20ID',Summary),filters:!(),index:'emp_*',interval:auto,query:(query_string:(analyze_wildcard:!t,query:'%22rtdc.l.rtdc.4017%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785</v>
      </c>
      <c r="B64" s="225">
        <v>4032</v>
      </c>
      <c r="C64" s="227" t="s">
        <v>192</v>
      </c>
      <c r="D64" s="227" t="s">
        <v>939</v>
      </c>
      <c r="E64" s="226">
        <v>43086.411157407405</v>
      </c>
      <c r="F64" s="226">
        <v>43086.416944444441</v>
      </c>
      <c r="G64" s="225">
        <v>53</v>
      </c>
      <c r="H64" s="227" t="s">
        <v>940</v>
      </c>
      <c r="I64" s="226">
        <v>43086.441134259258</v>
      </c>
      <c r="J64" s="225">
        <v>0</v>
      </c>
      <c r="K64" s="237" t="str">
        <f t="shared" si="0"/>
        <v>4031/4032</v>
      </c>
      <c r="L64" s="245" t="str">
        <f>VLOOKUP(A64,'Trips&amp;Operators'!$C$1:$G$99911,5,FALSE)</f>
        <v>GEBRETEKLE DAGNEW</v>
      </c>
      <c r="M64" s="224">
        <f t="shared" si="1"/>
        <v>2.4189814816054422E-2</v>
      </c>
      <c r="N64" s="225">
        <f t="shared" si="35"/>
        <v>34.833333335118368</v>
      </c>
      <c r="O64" s="225"/>
      <c r="P64" s="225"/>
      <c r="Q64" s="228"/>
      <c r="R64" s="242"/>
      <c r="S64" s="249">
        <f t="shared" si="22"/>
        <v>1</v>
      </c>
      <c r="T64" s="242" t="str">
        <f t="shared" si="2"/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3"/>
        <v>https://d0f6bd738d7f1b3e5a7ca70fe4ff75f0.us-east-1.aws.found.io/app/kibana#/discover/Steve-Slow-Train-Analysis-(2080s-and-2083s)?_g=(refreshInterval:(display:Off,pause:!f,section:0,value:0),time:(from:'2017-12-17T08:52:04-0700',mode:absolute,to:'2017-12-17T11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47" t="str">
        <f>IF(AA64&lt;VLOOKUP(AG64,Variables!$AC$3:$AD$8,2,FALSE),"Y","N")</f>
        <v>N</v>
      </c>
      <c r="X64" s="247">
        <f t="shared" si="36"/>
        <v>1</v>
      </c>
      <c r="Y64" s="247">
        <f t="shared" si="32"/>
        <v>4.4900000000000002E-2</v>
      </c>
      <c r="Z64" s="247">
        <f t="shared" si="33"/>
        <v>23.331900000000001</v>
      </c>
      <c r="AA64" s="247">
        <f t="shared" si="7"/>
        <v>23.287000000000003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8"/>
        <v>151</v>
      </c>
      <c r="AE64" s="235" t="str">
        <f t="shared" si="9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64" s="234" t="str">
        <f t="shared" si="10"/>
        <v>"C:\Program Files (x86)\AstroGrep\AstroGrep.exe" /e /r /s /spath="%USERPROFILE%\AppData\Local\Temp\OnboardLogs" /stypes="app*4032*20171217*" /stext=" 17:.+((SYSTEM_STATE.+slice.+state.+changed )|(ment ac)|(multiple cpu faults)|(system.+state.+changed )|(\[timeout)|(PRM\|1\|D)|(kpr)|(kdp)|(train st.+moving)|(\|lc)|(penalty))"</v>
      </c>
      <c r="AG64" s="244" t="str">
        <f t="shared" si="11"/>
        <v>EC</v>
      </c>
      <c r="AH64" s="236" t="str">
        <f t="shared" si="17"/>
        <v>"%USERPROFILE%\Documents\GitHub\eaglep3\Utilities\RefineRTDCRunTimes.py" --tripid 151-17 --locoid 4032 --swversion DE.1.0.9.0 --startMP 204:449 --initTime 2017-12-17T09:52:04 --startdatetime 2017-12-17T10:00:24 --delay 53 --endMP 204:233319 --enddatetime 2017-12-17T10:35:14 --enforcementcount 0 &gt;&gt;%USERPROFILE%\Documents\GitHub\eaglep3-reporting\EC\2017-12-17-refined-times.txt</v>
      </c>
      <c r="AI6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{"issue":{"subject":"","project_id":79,"tracker_id":40,"status_id":1,"priority_id":2,"assigned_to_id":338,"start_date":"2017-12-17","description":"","custom_fields":[{"id":1,"name":"Subdivision","value":"EC"},{"id":4,"name":"Milepost","value":"23.3319"},{"id":17,"name":"Train ID","value":"151-17"},{"id":16,"name":"Locomotive ID","value":"4032"},{"id":130,"name":"Impact","value":""},{"id":150,"name":"Time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19"/>
        <v>start /low /b %USERPROFILE%\Documents\GitHub\eaglep3\Utilities\DownloadLogsFromS3.py --loco 4032 --day 2017-12-17</v>
      </c>
      <c r="AN6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1"/>
        <v>https://d0f6bd738d7f1b3e5a7ca70fe4ff75f0.us-east-1.aws.found.io/app/kibana#/discover/Steve-Slow-Train-Analysis-(2080s-and-2083s)?_g=(refreshInterval:(display:Off,pause:!f,section:0,value:0),time:(from:'2017-12-17T08:52:04-0700',mode:absolute,to:'2017-12-17T11:35:14-0700'))&amp;_a=(columns:!('Message%20ID',Summary),filters:!(),index:'emp_*',interval:auto,query:(query_string:(analyze_wildcard:!t,query:'%22rtdc.l.rtdc.4032%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794</v>
      </c>
      <c r="B65" s="225">
        <v>4031</v>
      </c>
      <c r="C65" s="227" t="s">
        <v>192</v>
      </c>
      <c r="D65" s="227" t="s">
        <v>912</v>
      </c>
      <c r="E65" s="226">
        <v>43086.443530092591</v>
      </c>
      <c r="F65" s="226">
        <v>43086.456423611111</v>
      </c>
      <c r="G65" s="225">
        <v>54</v>
      </c>
      <c r="H65" s="227" t="s">
        <v>442</v>
      </c>
      <c r="I65" s="226">
        <v>43086.481469907405</v>
      </c>
      <c r="J65" s="225">
        <v>0</v>
      </c>
      <c r="K65" s="237" t="str">
        <f t="shared" si="0"/>
        <v>4031/4032</v>
      </c>
      <c r="L65" s="245" t="str">
        <f>VLOOKUP(A65,'Trips&amp;Operators'!$C$1:$G$99911,5,FALSE)</f>
        <v>GEBRETEKLE DAGNEW</v>
      </c>
      <c r="M65" s="224">
        <f t="shared" si="1"/>
        <v>2.5046296294021886E-2</v>
      </c>
      <c r="N65" s="225">
        <f t="shared" si="35"/>
        <v>36.066666663391516</v>
      </c>
      <c r="O65" s="225"/>
      <c r="P65" s="225"/>
      <c r="Q65" s="228"/>
      <c r="R65" s="242"/>
      <c r="S65" s="249">
        <f t="shared" si="22"/>
        <v>1</v>
      </c>
      <c r="T65" s="242" t="str">
        <f t="shared" si="2"/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3"/>
        <v>https://d0f6bd738d7f1b3e5a7ca70fe4ff75f0.us-east-1.aws.found.io/app/kibana#/discover/Steve-Slow-Train-Analysis-(2080s-and-2083s)?_g=(refreshInterval:(display:Off,pause:!f,section:0,value:0),time:(from:'2017-12-17T09:38:41-0700',mode:absolute,to:'2017-12-17T12:33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47" t="str">
        <f>IF(AA65&lt;VLOOKUP(AG65,Variables!$AC$3:$AD$8,2,FALSE),"Y","N")</f>
        <v>N</v>
      </c>
      <c r="X65" s="247">
        <f t="shared" si="36"/>
        <v>1</v>
      </c>
      <c r="Y65" s="247">
        <f t="shared" si="32"/>
        <v>23.3</v>
      </c>
      <c r="Z65" s="247">
        <f t="shared" si="33"/>
        <v>2.07E-2</v>
      </c>
      <c r="AA65" s="247">
        <f t="shared" si="7"/>
        <v>23.279299999999999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8"/>
        <v>152</v>
      </c>
      <c r="AE65" s="235" t="str">
        <f t="shared" si="9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65" s="234" t="str">
        <f t="shared" si="10"/>
        <v>"C:\Program Files (x86)\AstroGrep\AstroGrep.exe" /e /r /s /spath="%USERPROFILE%\AppData\Local\Temp\OnboardLogs" /stypes="app*4031*20171217*" /stext=" 18:.+((SYSTEM_STATE.+slice.+state.+changed )|(ment ac)|(multiple cpu faults)|(system.+state.+changed )|(\[timeout)|(PRM\|1\|D)|(kpr)|(kdp)|(train st.+moving)|(\|lc)|(penalty))"</v>
      </c>
      <c r="AG65" s="244" t="str">
        <f t="shared" si="11"/>
        <v>EC</v>
      </c>
      <c r="AH65" s="236" t="str">
        <f t="shared" si="17"/>
        <v>"%USERPROFILE%\Documents\GitHub\eaglep3\Utilities\RefineRTDCRunTimes.py" --tripid 152-17 --locoid 4031 --swversion DE.1.0.9.0 --startMP 204:233000 --initTime 2017-12-17T10:38:41 --startdatetime 2017-12-17T10:57:15 --delay 54 --endMP 204:207 --enddatetime 2017-12-17T11:33:19 --enforcementcount 0 &gt;&gt;%USERPROFILE%\Documents\GitHub\eaglep3-reporting\EC\2017-12-17-refined-times.txt</v>
      </c>
      <c r="AI6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{"issue":{"subject":"","project_id":79,"tracker_id":40,"status_id":1,"priority_id":2,"assigned_to_id":338,"start_date":"2017-12-17","description":"","custom_fields":[{"id":1,"name":"Subdivision","value":"EC"},{"id":4,"name":"Milepost","value":"0.0207"},{"id":17,"name":"Train ID","value":"152-17"},{"id":16,"name":"Locomotive ID","value":"4031"},{"id":130,"name":"Impact","value":""},{"id":150,"name":"Time of Event (Mountain Time)","value":"11:33:19"},{"id":151,"name":"Denver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19"/>
        <v>start /low /b %USERPROFILE%\Documents\GitHub\eaglep3\Utilities\DownloadLogsFromS3.py --loco 4031 --day 2017-12-17</v>
      </c>
      <c r="AN6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1"/>
        <v>https://d0f6bd738d7f1b3e5a7ca70fe4ff75f0.us-east-1.aws.found.io/app/kibana#/discover/Steve-Slow-Train-Analysis-(2080s-and-2083s)?_g=(refreshInterval:(display:Off,pause:!f,section:0,value:0),time:(from:'2017-12-17T09:38:41-0700',mode:absolute,to:'2017-12-17T12:33:19-0700'))&amp;_a=(columns:!('Message%20ID',Summary),filters:!(),index:'emp_*',interval:auto,query:(query_string:(analyze_wildcard:!t,query:'%22rtdc.l.rtdc.4031%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788</v>
      </c>
      <c r="B66" s="225">
        <v>4054</v>
      </c>
      <c r="C66" s="227" t="s">
        <v>192</v>
      </c>
      <c r="D66" s="227" t="s">
        <v>941</v>
      </c>
      <c r="E66" s="226">
        <v>43086.423020833332</v>
      </c>
      <c r="F66" s="226">
        <v>43086.427349537036</v>
      </c>
      <c r="G66" s="225">
        <v>137</v>
      </c>
      <c r="H66" s="227" t="s">
        <v>556</v>
      </c>
      <c r="I66" s="226">
        <v>43086.451909722222</v>
      </c>
      <c r="J66" s="225">
        <v>0</v>
      </c>
      <c r="K66" s="237" t="str">
        <f t="shared" si="0"/>
        <v>4053/4054</v>
      </c>
      <c r="L66" s="245" t="str">
        <f>VLOOKUP(A66,'Trips&amp;Operators'!$C$1:$G$99911,5,FALSE)</f>
        <v>BADERTSCHER DIANE</v>
      </c>
      <c r="M66" s="224">
        <f t="shared" si="1"/>
        <v>2.4560185185691807E-2</v>
      </c>
      <c r="N66" s="225">
        <f t="shared" si="35"/>
        <v>35.366666667396203</v>
      </c>
      <c r="O66" s="225"/>
      <c r="P66" s="225"/>
      <c r="Q66" s="228"/>
      <c r="R66" s="242"/>
      <c r="S66" s="249">
        <f t="shared" si="22"/>
        <v>1</v>
      </c>
      <c r="T66" s="242" t="str">
        <f t="shared" si="2"/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3"/>
        <v>https://d0f6bd738d7f1b3e5a7ca70fe4ff75f0.us-east-1.aws.found.io/app/kibana#/discover/Steve-Slow-Train-Analysis-(2080s-and-2083s)?_g=(refreshInterval:(display:Off,pause:!f,section:0,value:0),time:(from:'2017-12-17T09:09:09-0700',mode:absolute,to:'2017-12-17T11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247" t="str">
        <f>IF(AA66&lt;VLOOKUP(AG66,Variables!$AC$3:$AD$8,2,FALSE),"Y","N")</f>
        <v>N</v>
      </c>
      <c r="X66" s="247">
        <f t="shared" si="36"/>
        <v>1</v>
      </c>
      <c r="Y66" s="247">
        <f t="shared" si="32"/>
        <v>6.0600000000000001E-2</v>
      </c>
      <c r="Z66" s="247">
        <f t="shared" si="33"/>
        <v>23.325900000000001</v>
      </c>
      <c r="AA66" s="247">
        <f t="shared" si="7"/>
        <v>23.2653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8"/>
        <v>153</v>
      </c>
      <c r="AE66" s="235" t="str">
        <f t="shared" si="9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66" s="234" t="str">
        <f t="shared" si="10"/>
        <v>"C:\Program Files (x86)\AstroGrep\AstroGrep.exe" /e /r /s /spath="%USERPROFILE%\AppData\Local\Temp\OnboardLogs" /stypes="app*4054*20171217*" /stext=" 17:.+((SYSTEM_STATE.+slice.+state.+changed )|(ment ac)|(multiple cpu faults)|(system.+state.+changed )|(\[timeout)|(PRM\|1\|D)|(kpr)|(kdp)|(train st.+moving)|(\|lc)|(penalty))"</v>
      </c>
      <c r="AG66" s="244" t="str">
        <f t="shared" si="11"/>
        <v>EC</v>
      </c>
      <c r="AH66" s="236" t="str">
        <f t="shared" si="17"/>
        <v>"%USERPROFILE%\Documents\GitHub\eaglep3\Utilities\RefineRTDCRunTimes.py" --tripid 153-17 --locoid 4054 --swversion DE.1.0.9.0 --startMP 204:606 --initTime 2017-12-17T10:09:09 --startdatetime 2017-12-17T10:15:23 --delay 137 --endMP 204:233259 --enddatetime 2017-12-17T10:50:45 --enforcementcount 0 &gt;&gt;%USERPROFILE%\Documents\GitHub\eaglep3-reporting\EC\2017-12-17-refined-times.txt</v>
      </c>
      <c r="AI6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{"issue":{"subject":"","project_id":79,"tracker_id":40,"status_id":1,"priority_id":2,"assigned_to_id":338,"start_date":"2017-12-17","description":"","custom_fields":[{"id":1,"name":"Subdivision","value":"EC"},{"id":4,"name":"Milepost","value":"23.3259"},{"id":17,"name":"Train ID","value":"153-17"},{"id":16,"name":"Locomotive ID","value":"4054"},{"id":130,"name":"Impact","value":""},{"id":150,"name":"Time of Event (Mountain Time)","value":"10:50:45"},{"id":151,"name":"Denver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19"/>
        <v>start /low /b %USERPROFILE%\Documents\GitHub\eaglep3\Utilities\DownloadLogsFromS3.py --loco 4054 --day 2017-12-17</v>
      </c>
      <c r="AN6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1"/>
        <v>https://d0f6bd738d7f1b3e5a7ca70fe4ff75f0.us-east-1.aws.found.io/app/kibana#/discover/Steve-Slow-Train-Analysis-(2080s-and-2083s)?_g=(refreshInterval:(display:Off,pause:!f,section:0,value:0),time:(from:'2017-12-17T09:09:09-0700',mode:absolute,to:'2017-12-17T11:50:45-0700'))&amp;_a=(columns:!('Message%20ID',Summary),filters:!(),index:'emp_*',interval:auto,query:(query_string:(analyze_wildcard:!t,query:'%22rtdc.l.rtdc.4054%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798</v>
      </c>
      <c r="B67" s="225">
        <v>4053</v>
      </c>
      <c r="C67" s="227" t="s">
        <v>192</v>
      </c>
      <c r="D67" s="227" t="s">
        <v>942</v>
      </c>
      <c r="E67" s="226">
        <v>43086.464016203703</v>
      </c>
      <c r="F67" s="226">
        <v>43086.467453703706</v>
      </c>
      <c r="G67" s="225">
        <v>88</v>
      </c>
      <c r="H67" s="227" t="s">
        <v>943</v>
      </c>
      <c r="I67" s="226">
        <v>43086.494432870371</v>
      </c>
      <c r="J67" s="225">
        <v>0</v>
      </c>
      <c r="K67" s="237" t="str">
        <f t="shared" si="0"/>
        <v>4053/4054</v>
      </c>
      <c r="L67" s="245" t="str">
        <f>VLOOKUP(A67,'Trips&amp;Operators'!$C$1:$G$99911,5,FALSE)</f>
        <v>BADERTSCHER DIANE</v>
      </c>
      <c r="M67" s="224">
        <f t="shared" si="1"/>
        <v>2.6979166665114462E-2</v>
      </c>
      <c r="N67" s="225">
        <f t="shared" si="35"/>
        <v>38.849999997764826</v>
      </c>
      <c r="O67" s="225"/>
      <c r="P67" s="225"/>
      <c r="Q67" s="228"/>
      <c r="R67" s="242"/>
      <c r="S67" s="249">
        <f t="shared" si="22"/>
        <v>1</v>
      </c>
      <c r="T67" s="242" t="str">
        <f t="shared" si="2"/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3"/>
        <v>https://d0f6bd738d7f1b3e5a7ca70fe4ff75f0.us-east-1.aws.found.io/app/kibana#/discover/Steve-Slow-Train-Analysis-(2080s-and-2083s)?_g=(refreshInterval:(display:Off,pause:!f,section:0,value:0),time:(from:'2017-12-17T10:08:11-0700',mode:absolute,to:'2017-12-17T12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247" t="str">
        <f>IF(AA67&lt;VLOOKUP(AG67,Variables!$AC$3:$AD$8,2,FALSE),"Y","N")</f>
        <v>N</v>
      </c>
      <c r="X67" s="247">
        <f t="shared" si="36"/>
        <v>1</v>
      </c>
      <c r="Y67" s="247">
        <f t="shared" si="32"/>
        <v>23.295000000000002</v>
      </c>
      <c r="Z67" s="247">
        <f t="shared" si="33"/>
        <v>0.02</v>
      </c>
      <c r="AA67" s="247">
        <f t="shared" si="7"/>
        <v>23.275000000000002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8"/>
        <v>154</v>
      </c>
      <c r="AE67" s="235" t="str">
        <f t="shared" si="9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67" s="234" t="str">
        <f t="shared" si="10"/>
        <v>"C:\Program Files (x86)\AstroGrep\AstroGrep.exe" /e /r /s /spath="%USERPROFILE%\AppData\Local\Temp\OnboardLogs" /stypes="app*4053*20171217*" /stext=" 18:.+((SYSTEM_STATE.+slice.+state.+changed )|(ment ac)|(multiple cpu faults)|(system.+state.+changed )|(\[timeout)|(PRM\|1\|D)|(kpr)|(kdp)|(train st.+moving)|(\|lc)|(penalty))"</v>
      </c>
      <c r="AG67" s="244" t="str">
        <f t="shared" si="11"/>
        <v>EC</v>
      </c>
      <c r="AH67" s="236" t="str">
        <f t="shared" si="17"/>
        <v>"%USERPROFILE%\Documents\GitHub\eaglep3\Utilities\RefineRTDCRunTimes.py" --tripid 154-17 --locoid 4053 --swversion DE.1.0.9.0 --startMP 204:232950 --initTime 2017-12-17T11:08:11 --startdatetime 2017-12-17T11:13:08 --delay 88 --endMP 204:200 --enddatetime 2017-12-17T11:51:59 --enforcementcount 0 &gt;&gt;%USERPROFILE%\Documents\GitHub\eaglep3-reporting\EC\2017-12-17-refined-times.txt</v>
      </c>
      <c r="AI6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{"issue":{"subject":"","project_id":79,"tracker_id":40,"status_id":1,"priority_id":2,"assigned_to_id":338,"start_date":"2017-12-17","description":"","custom_fields":[{"id":1,"name":"Subdivision","value":"EC"},{"id":4,"name":"Milepost","value":"0.02"},{"id":17,"name":"Train ID","value":"154-17"},{"id":16,"name":"Locomotive ID","value":"4053"},{"id":130,"name":"Impact","value":""},{"id":150,"name":"Time of Event (Mountain Time)","value":"11:51:59"},{"id":151,"name":"Denver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19"/>
        <v>start /low /b %USERPROFILE%\Documents\GitHub\eaglep3\Utilities\DownloadLogsFromS3.py --loco 4053 --day 2017-12-17</v>
      </c>
      <c r="AN6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1"/>
        <v>https://d0f6bd738d7f1b3e5a7ca70fe4ff75f0.us-east-1.aws.found.io/app/kibana#/discover/Steve-Slow-Train-Analysis-(2080s-and-2083s)?_g=(refreshInterval:(display:Off,pause:!f,section:0,value:0),time:(from:'2017-12-17T10:08:11-0700',mode:absolute,to:'2017-12-17T12:51:59-0700'))&amp;_a=(columns:!('Message%20ID',Summary),filters:!(),index:'emp_*',interval:auto,query:(query_string:(analyze_wildcard:!t,query:'%22rtdc.l.rtdc.4053%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790</v>
      </c>
      <c r="B68" s="225">
        <v>4040</v>
      </c>
      <c r="C68" s="227" t="s">
        <v>192</v>
      </c>
      <c r="D68" s="227" t="s">
        <v>533</v>
      </c>
      <c r="E68" s="226">
        <v>43086.432685185187</v>
      </c>
      <c r="F68" s="226">
        <v>43086.437777777777</v>
      </c>
      <c r="G68" s="225">
        <v>81</v>
      </c>
      <c r="H68" s="227" t="s">
        <v>534</v>
      </c>
      <c r="I68" s="226">
        <v>43086.462685185186</v>
      </c>
      <c r="J68" s="225">
        <v>0</v>
      </c>
      <c r="K68" s="237" t="str">
        <f t="shared" si="0"/>
        <v>4039/4040</v>
      </c>
      <c r="L68" s="245" t="str">
        <f>VLOOKUP(A68,'Trips&amp;Operators'!$C$1:$G$99911,5,FALSE)</f>
        <v>WILLIAMS DONTE</v>
      </c>
      <c r="M68" s="224">
        <f t="shared" si="1"/>
        <v>2.4907407409045845E-2</v>
      </c>
      <c r="N68" s="225">
        <f t="shared" si="35"/>
        <v>35.866666669026017</v>
      </c>
      <c r="O68" s="225"/>
      <c r="P68" s="225"/>
      <c r="Q68" s="228"/>
      <c r="R68" s="242"/>
      <c r="S68" s="249">
        <f t="shared" si="22"/>
        <v>1</v>
      </c>
      <c r="T68" s="242" t="str">
        <f t="shared" si="2"/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3"/>
        <v>https://d0f6bd738d7f1b3e5a7ca70fe4ff75f0.us-east-1.aws.found.io/app/kibana#/discover/Steve-Slow-Train-Analysis-(2080s-and-2083s)?_g=(refreshInterval:(display:Off,pause:!f,section:0,value:0),time:(from:'2017-12-17T09:23:04-0700',mode:absolute,to:'2017-12-17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8" s="247" t="str">
        <f>IF(AA68&lt;VLOOKUP(AG68,Variables!$AC$3:$AD$8,2,FALSE),"Y","N")</f>
        <v>N</v>
      </c>
      <c r="X68" s="247">
        <f t="shared" si="36"/>
        <v>1</v>
      </c>
      <c r="Y68" s="247">
        <f t="shared" si="32"/>
        <v>5.1999999999999998E-2</v>
      </c>
      <c r="Z68" s="247">
        <f t="shared" si="33"/>
        <v>23.325299999999999</v>
      </c>
      <c r="AA68" s="247">
        <f t="shared" si="7"/>
        <v>23.273299999999999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8"/>
        <v>155</v>
      </c>
      <c r="AE68" s="235" t="str">
        <f t="shared" si="9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68" s="234" t="str">
        <f t="shared" si="10"/>
        <v>"C:\Program Files (x86)\AstroGrep\AstroGrep.exe" /e /r /s /spath="%USERPROFILE%\AppData\Local\Temp\OnboardLogs" /stypes="app*4040*20171217*" /stext=" 18:.+((SYSTEM_STATE.+slice.+state.+changed )|(ment ac)|(multiple cpu faults)|(system.+state.+changed )|(\[timeout)|(PRM\|1\|D)|(kpr)|(kdp)|(train st.+moving)|(\|lc)|(penalty))"</v>
      </c>
      <c r="AG68" s="244" t="str">
        <f t="shared" si="11"/>
        <v>EC</v>
      </c>
      <c r="AH68" s="236" t="str">
        <f t="shared" si="17"/>
        <v>"%USERPROFILE%\Documents\GitHub\eaglep3\Utilities\RefineRTDCRunTimes.py" --tripid 155-17 --locoid 4040 --swversion DE.1.0.9.0 --startMP 204:520 --initTime 2017-12-17T10:23:04 --startdatetime 2017-12-17T10:30:24 --delay 81 --endMP 204:233253 --enddatetime 2017-12-17T11:06:16 --enforcementcount 0 &gt;&gt;%USERPROFILE%\Documents\GitHub\eaglep3-reporting\EC\2017-12-17-refined-times.txt</v>
      </c>
      <c r="AI6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{"issue":{"subject":"","project_id":79,"tracker_id":40,"status_id":1,"priority_id":2,"assigned_to_id":338,"start_date":"2017-12-17","description":"","custom_fields":[{"id":1,"name":"Subdivision","value":"EC"},{"id":4,"name":"Milepost","value":"23.3253"},{"id":17,"name":"Train ID","value":"155-17"},{"id":16,"name":"Locomotive ID","value":"4040"},{"id":130,"name":"Impact","value":""},{"id":150,"name":"Time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19"/>
        <v>start /low /b %USERPROFILE%\Documents\GitHub\eaglep3\Utilities\DownloadLogsFromS3.py --loco 4040 --day 2017-12-17</v>
      </c>
      <c r="AN6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1"/>
        <v>https://d0f6bd738d7f1b3e5a7ca70fe4ff75f0.us-east-1.aws.found.io/app/kibana#/discover/Steve-Slow-Train-Analysis-(2080s-and-2083s)?_g=(refreshInterval:(display:Off,pause:!f,section:0,value:0),time:(from:'2017-12-17T09:23:04-0700',mode:absolute,to:'2017-12-17T12:06:16-0700'))&amp;_a=(columns:!('Message%20ID',Summary),filters:!(),index:'emp_*',interval:auto,query:(query_string:(analyze_wildcard:!t,query:'%22rtdc.l.rtdc.4040%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799</v>
      </c>
      <c r="B69" s="225">
        <v>4039</v>
      </c>
      <c r="C69" s="227" t="s">
        <v>192</v>
      </c>
      <c r="D69" s="227" t="s">
        <v>683</v>
      </c>
      <c r="E69" s="226">
        <v>43086.472048611111</v>
      </c>
      <c r="F69" s="226">
        <v>43086.477349537039</v>
      </c>
      <c r="G69" s="225">
        <v>62</v>
      </c>
      <c r="H69" s="227" t="s">
        <v>551</v>
      </c>
      <c r="I69" s="226">
        <v>43086.503055555557</v>
      </c>
      <c r="J69" s="225">
        <v>0</v>
      </c>
      <c r="K69" s="237" t="str">
        <f t="shared" si="0"/>
        <v>4039/4040</v>
      </c>
      <c r="L69" s="245" t="str">
        <f>VLOOKUP(A69,'Trips&amp;Operators'!$C$1:$G$99911,5,FALSE)</f>
        <v>WILLIAMS DONTE</v>
      </c>
      <c r="M69" s="224">
        <f t="shared" si="1"/>
        <v>2.5706018517666962E-2</v>
      </c>
      <c r="N69" s="225">
        <f t="shared" si="35"/>
        <v>37.016666665440425</v>
      </c>
      <c r="O69" s="225"/>
      <c r="P69" s="225"/>
      <c r="Q69" s="228"/>
      <c r="R69" s="242"/>
      <c r="S69" s="249">
        <f t="shared" si="22"/>
        <v>1</v>
      </c>
      <c r="T69" s="242" t="str">
        <f t="shared" si="2"/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3"/>
        <v>https://d0f6bd738d7f1b3e5a7ca70fe4ff75f0.us-east-1.aws.found.io/app/kibana#/discover/Steve-Slow-Train-Analysis-(2080s-and-2083s)?_g=(refreshInterval:(display:Off,pause:!f,section:0,value:0),time:(from:'2017-12-17T10:19:45-0700',mode:absolute,to:'2017-12-17T13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9" s="247" t="str">
        <f>IF(AA69&lt;VLOOKUP(AG69,Variables!$AC$3:$AD$8,2,FALSE),"Y","N")</f>
        <v>N</v>
      </c>
      <c r="X69" s="247">
        <f t="shared" si="36"/>
        <v>1</v>
      </c>
      <c r="Y69" s="247">
        <f t="shared" si="32"/>
        <v>23.291699999999999</v>
      </c>
      <c r="Z69" s="247">
        <f t="shared" si="33"/>
        <v>2.18E-2</v>
      </c>
      <c r="AA69" s="247">
        <f t="shared" si="7"/>
        <v>23.2699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8"/>
        <v>156</v>
      </c>
      <c r="AE69" s="235" t="str">
        <f t="shared" si="9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69" s="234" t="str">
        <f t="shared" si="10"/>
        <v>"C:\Program Files (x86)\AstroGrep\AstroGrep.exe" /e /r /s /spath="%USERPROFILE%\AppData\Local\Temp\OnboardLogs" /stypes="app*4039*20171217*" /stext=" 19:.+((SYSTEM_STATE.+slice.+state.+changed )|(ment ac)|(multiple cpu faults)|(system.+state.+changed )|(\[timeout)|(PRM\|1\|D)|(kpr)|(kdp)|(train st.+moving)|(\|lc)|(penalty))"</v>
      </c>
      <c r="AG69" s="244" t="str">
        <f t="shared" si="11"/>
        <v>EC</v>
      </c>
      <c r="AH69" s="236" t="str">
        <f t="shared" si="17"/>
        <v>"%USERPROFILE%\Documents\GitHub\eaglep3\Utilities\RefineRTDCRunTimes.py" --tripid 156-17 --locoid 4039 --swversion DE.1.0.9.0 --startMP 204:232917 --initTime 2017-12-17T11:19:45 --startdatetime 2017-12-17T11:27:23 --delay 62 --endMP 204:218 --enddatetime 2017-12-17T12:04:24 --enforcementcount 0 &gt;&gt;%USERPROFILE%\Documents\GitHub\eaglep3-reporting\EC\2017-12-17-refined-times.txt</v>
      </c>
      <c r="AI69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ID","value":"156-17"},{"id":16,"name":"Locomotive ID","value":"4039"},{"id":130,"name":"Impact","value":""},{"id":150,"name":"Time of Event (Mountain Time)","value":"12:04:24"},{"id":151,"name":"Denver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19"/>
        <v>start /low /b %USERPROFILE%\Documents\GitHub\eaglep3\Utilities\DownloadLogsFromS3.py --loco 4039 --day 2017-12-17</v>
      </c>
      <c r="AN6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1"/>
        <v>https://d0f6bd738d7f1b3e5a7ca70fe4ff75f0.us-east-1.aws.found.io/app/kibana#/discover/Steve-Slow-Train-Analysis-(2080s-and-2083s)?_g=(refreshInterval:(display:Off,pause:!f,section:0,value:0),time:(from:'2017-12-17T10:19:45-0700',mode:absolute,to:'2017-12-17T13:04:24-0700'))&amp;_a=(columns:!('Message%20ID',Summary),filters:!(),index:'emp_*',interval:auto,query:(query_string:(analyze_wildcard:!t,query:'%22rtdc.l.rtdc.4039%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699</v>
      </c>
      <c r="B70" s="225">
        <v>4058</v>
      </c>
      <c r="C70" s="227" t="s">
        <v>192</v>
      </c>
      <c r="D70" s="227" t="s">
        <v>644</v>
      </c>
      <c r="E70" s="226">
        <v>43086.442245370374</v>
      </c>
      <c r="F70" s="226">
        <v>43086.448125000003</v>
      </c>
      <c r="G70" s="225">
        <v>83</v>
      </c>
      <c r="H70" s="227" t="s">
        <v>652</v>
      </c>
      <c r="I70" s="226">
        <v>43086.472708333335</v>
      </c>
      <c r="J70" s="225">
        <v>0</v>
      </c>
      <c r="K70" s="237" t="str">
        <f t="shared" si="0"/>
        <v>4057/4058</v>
      </c>
      <c r="L70" s="245" t="str">
        <f>VLOOKUP(A70,'Trips&amp;Operators'!$C$1:$G$99911,5,FALSE)</f>
        <v>STEWART MICHAEL</v>
      </c>
      <c r="M70" s="224">
        <f t="shared" si="1"/>
        <v>2.4583333331975155E-2</v>
      </c>
      <c r="N70" s="225">
        <f t="shared" si="35"/>
        <v>35.399999998044223</v>
      </c>
      <c r="O70" s="225"/>
      <c r="P70" s="225"/>
      <c r="Q70" s="228"/>
      <c r="R70" s="242"/>
      <c r="S70" s="249">
        <f t="shared" si="22"/>
        <v>1</v>
      </c>
      <c r="T70" s="242" t="str">
        <f t="shared" si="2"/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3"/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0" s="247" t="str">
        <f>IF(AA70&lt;VLOOKUP(AG70,Variables!$AC$3:$AD$8,2,FALSE),"Y","N")</f>
        <v>N</v>
      </c>
      <c r="X70" s="247">
        <f t="shared" si="36"/>
        <v>1</v>
      </c>
      <c r="Y70" s="247">
        <f t="shared" si="32"/>
        <v>5.04E-2</v>
      </c>
      <c r="Z70" s="247">
        <f t="shared" si="33"/>
        <v>23.322199999999999</v>
      </c>
      <c r="AA70" s="247">
        <f t="shared" si="7"/>
        <v>23.271799999999999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8"/>
        <v>157</v>
      </c>
      <c r="AE70" s="235" t="str">
        <f t="shared" si="9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70" s="234" t="str">
        <f t="shared" si="10"/>
        <v>"C:\Program Files (x86)\AstroGrep\AstroGrep.exe" /e /r /s /spath="%USERPROFILE%\AppData\Local\Temp\OnboardLogs" /stypes="app*4058*20171217*" /stext=" 18:.+((SYSTEM_STATE.+slice.+state.+changed )|(ment ac)|(multiple cpu faults)|(system.+state.+changed )|(\[timeout)|(PRM\|1\|D)|(kpr)|(kdp)|(train st.+moving)|(\|lc)|(penalty))"</v>
      </c>
      <c r="AG70" s="244" t="str">
        <f t="shared" si="11"/>
        <v>EC</v>
      </c>
      <c r="AH70" s="236" t="str">
        <f t="shared" si="17"/>
        <v>"%USERPROFILE%\Documents\GitHub\eaglep3\Utilities\RefineRTDCRunTimes.py" --tripid 157-17 --locoid 4058 --swversion DE.1.0.9.0 --startMP 204:504 --initTime 2017-12-17T10:36:50 --startdatetime 2017-12-17T10:45:18 --delay 83 --endMP 204:233222 --enddatetime 2017-12-17T11:20:42 --enforcementcount 0 &gt;&gt;%USERPROFILE%\Documents\GitHub\eaglep3-reporting\EC\2017-12-17-refined-times.txt</v>
      </c>
      <c r="AI7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{"issue":{"subject":"","project_id":79,"tracker_id":40,"status_id":1,"priority_id":2,"assigned_to_id":338,"start_date":"2017-12-17","description":"","custom_fields":[{"id":1,"name":"Subdivision","value":"EC"},{"id":4,"name":"Milepost","value":"23.3222"},{"id":17,"name":"Train ID","value":"157-17"},{"id":16,"name":"Locomotive ID","value":"4058"},{"id":130,"name":"Impact","value":""},{"id":150,"name":"Time of Event (Mountain Time)","value":"11:20:42"},{"id":151,"name":"Denver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19"/>
        <v>start /low /b %USERPROFILE%\Documents\GitHub\eaglep3\Utilities\DownloadLogsFromS3.py --loco 4058 --day 2017-12-17</v>
      </c>
      <c r="AN7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1"/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Message%20ID',Summary),filters:!(),index:'emp_*',interval:auto,query:(query_string:(analyze_wildcard:!t,query:'%22rtdc.l.rtdc.4058%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802</v>
      </c>
      <c r="B71" s="225">
        <v>4057</v>
      </c>
      <c r="C71" s="227" t="s">
        <v>192</v>
      </c>
      <c r="D71" s="227" t="s">
        <v>676</v>
      </c>
      <c r="E71" s="226">
        <v>43086.482060185182</v>
      </c>
      <c r="F71" s="226">
        <v>43086.487800925926</v>
      </c>
      <c r="G71" s="225">
        <v>70</v>
      </c>
      <c r="H71" s="227" t="s">
        <v>532</v>
      </c>
      <c r="I71" s="226">
        <v>43086.514606481483</v>
      </c>
      <c r="J71" s="225">
        <v>0</v>
      </c>
      <c r="K71" s="237" t="str">
        <f t="shared" si="0"/>
        <v>4057/4058</v>
      </c>
      <c r="L71" s="245" t="str">
        <f>VLOOKUP(A71,'Trips&amp;Operators'!$C$1:$G$99911,5,FALSE)</f>
        <v>STEWART MICHAEL</v>
      </c>
      <c r="M71" s="224">
        <f t="shared" si="1"/>
        <v>2.6805555557075422E-2</v>
      </c>
      <c r="N71" s="225">
        <f t="shared" si="35"/>
        <v>38.600000002188608</v>
      </c>
      <c r="O71" s="225"/>
      <c r="P71" s="225"/>
      <c r="Q71" s="228"/>
      <c r="R71" s="242"/>
      <c r="S71" s="249">
        <f t="shared" si="22"/>
        <v>1</v>
      </c>
      <c r="T71" s="242" t="str">
        <f t="shared" si="2"/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3"/>
        <v>https://d0f6bd738d7f1b3e5a7ca70fe4ff75f0.us-east-1.aws.found.io/app/kibana#/discover/Steve-Slow-Train-Analysis-(2080s-and-2083s)?_g=(refreshInterval:(display:Off,pause:!f,section:0,value:0),time:(from:'2017-12-17T10:34:10-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1" s="247" t="str">
        <f>IF(AA71&lt;VLOOKUP(AG71,Variables!$AC$3:$AD$8,2,FALSE),"Y","N")</f>
        <v>N</v>
      </c>
      <c r="X71" s="247">
        <f t="shared" si="36"/>
        <v>1</v>
      </c>
      <c r="Y71" s="247">
        <f t="shared" si="32"/>
        <v>23.2898</v>
      </c>
      <c r="Z71" s="247">
        <f t="shared" si="33"/>
        <v>1.9099999999999999E-2</v>
      </c>
      <c r="AA71" s="247">
        <f t="shared" si="7"/>
        <v>23.270699999999998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8"/>
        <v>158</v>
      </c>
      <c r="AE71" s="235" t="str">
        <f t="shared" si="9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71" s="234" t="str">
        <f t="shared" si="10"/>
        <v>"C:\Program Files (x86)\AstroGrep\AstroGrep.exe" /e /r /s /spath="%USERPROFILE%\AppData\Local\Temp\OnboardLogs" /stypes="app*4057*20171217*" /stext=" 19:.+((SYSTEM_STATE.+slice.+state.+changed )|(ment ac)|(multiple cpu faults)|(system.+state.+changed )|(\[timeout)|(PRM\|1\|D)|(kpr)|(kdp)|(train st.+moving)|(\|lc)|(penalty))"</v>
      </c>
      <c r="AG71" s="244" t="str">
        <f t="shared" si="11"/>
        <v>EC</v>
      </c>
      <c r="AH71" s="236" t="str">
        <f t="shared" si="17"/>
        <v>"%USERPROFILE%\Documents\GitHub\eaglep3\Utilities\RefineRTDCRunTimes.py" --tripid 158-17 --locoid 4057 --swversion DE.1.0.9.0 --startMP 204:232898 --initTime 2017-12-17T11:34:10 --startdatetime 2017-12-17T11:42:26 --delay 70 --endMP 204:191 --enddatetime 2017-12-17T12:21:02 --enforcementcount 0 &gt;&gt;%USERPROFILE%\Documents\GitHub\eaglep3-reporting\EC\2017-12-17-refined-times.txt</v>
      </c>
      <c r="AI7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{"issue":{"subject":"","project_id":79,"tracker_id":40,"status_id":1,"priority_id":2,"assigned_to_id":338,"start_date":"2017-12-17","description":"","custom_fields":[{"id":1,"name":"Subdivision","value":"EC"},{"id":4,"name":"Milepost","value":"0.0191"},{"id":17,"name":"Train ID","value":"158-17"},{"id":16,"name":"Locomotive ID","value":"4057"},{"id":130,"name":"Impact","value":""},{"id":150,"name":"Time of Event (Mountain Time)","value":"12:21:02"},{"id":151,"name":"Denver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19"/>
        <v>start /low /b %USERPROFILE%\Documents\GitHub\eaglep3\Utilities\DownloadLogsFromS3.py --loco 4057 --day 2017-12-17</v>
      </c>
      <c r="AN7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1"/>
        <v>https://d0f6bd738d7f1b3e5a7ca70fe4ff75f0.us-east-1.aws.found.io/app/kibana#/discover/Steve-Slow-Train-Analysis-(2080s-and-2083s)?_g=(refreshInterval:(display:Off,pause:!f,section:0,value:0),time:(from:'2017-12-17T10:34:10-0700',mode:absolute,to:'2017-12-17T13:21:02-0700'))&amp;_a=(columns:!('Message%20ID',Summary),filters:!(),index:'emp_*',interval:auto,query:(query_string:(analyze_wildcard:!t,query:'%22rtdc.l.rtdc.4057%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795</v>
      </c>
      <c r="B72" s="225">
        <v>4008</v>
      </c>
      <c r="C72" s="227" t="s">
        <v>192</v>
      </c>
      <c r="D72" s="227" t="s">
        <v>469</v>
      </c>
      <c r="E72" s="226">
        <v>43086.455995370372</v>
      </c>
      <c r="F72" s="226">
        <v>43086.45857638889</v>
      </c>
      <c r="G72" s="225">
        <v>46</v>
      </c>
      <c r="H72" s="227" t="s">
        <v>529</v>
      </c>
      <c r="I72" s="226">
        <v>43086.482986111114</v>
      </c>
      <c r="J72" s="225">
        <v>0</v>
      </c>
      <c r="K72" s="237" t="str">
        <f t="shared" si="0"/>
        <v>4007/4008</v>
      </c>
      <c r="L72" s="245" t="str">
        <f>VLOOKUP(A72,'Trips&amp;Operators'!$C$1:$G$99911,5,FALSE)</f>
        <v>LAMAR NEKESHA</v>
      </c>
      <c r="M72" s="224">
        <f t="shared" si="1"/>
        <v>2.4409722223936114E-2</v>
      </c>
      <c r="N72" s="225">
        <f t="shared" si="35"/>
        <v>35.150000002468005</v>
      </c>
      <c r="O72" s="225"/>
      <c r="P72" s="225"/>
      <c r="Q72" s="228"/>
      <c r="R72" s="242"/>
      <c r="S72" s="249">
        <f t="shared" si="22"/>
        <v>1</v>
      </c>
      <c r="T72" s="242" t="str">
        <f t="shared" si="2"/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3"/>
        <v>https://d0f6bd738d7f1b3e5a7ca70fe4ff75f0.us-east-1.aws.found.io/app/kibana#/discover/Steve-Slow-Train-Analysis-(2080s-and-2083s)?_g=(refreshInterval:(display:Off,pause:!f,section:0,value:0),time:(from:'2017-12-17T09:56:38-0700',mode:absolute,to:'2017-12-17T12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247" t="str">
        <f>IF(AA72&lt;VLOOKUP(AG72,Variables!$AC$3:$AD$8,2,FALSE),"Y","N")</f>
        <v>N</v>
      </c>
      <c r="X72" s="247">
        <f t="shared" si="36"/>
        <v>1</v>
      </c>
      <c r="Y72" s="247">
        <f t="shared" si="32"/>
        <v>5.0200000000000002E-2</v>
      </c>
      <c r="Z72" s="247">
        <f t="shared" si="33"/>
        <v>23.3276</v>
      </c>
      <c r="AA72" s="247">
        <f t="shared" si="7"/>
        <v>23.2774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8"/>
        <v>159</v>
      </c>
      <c r="AE72" s="235" t="str">
        <f t="shared" si="9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72" s="234" t="str">
        <f t="shared" si="10"/>
        <v>"C:\Program Files (x86)\AstroGrep\AstroGrep.exe" /e /r /s /spath="%USERPROFILE%\AppData\Local\Temp\OnboardLogs" /stypes="app*4008*20171217*" /stext=" 18:.+((SYSTEM_STATE.+slice.+state.+changed )|(ment ac)|(multiple cpu faults)|(system.+state.+changed )|(\[timeout)|(PRM\|1\|D)|(kpr)|(kdp)|(train st.+moving)|(\|lc)|(penalty))"</v>
      </c>
      <c r="AG72" s="244" t="str">
        <f t="shared" si="11"/>
        <v>EC</v>
      </c>
      <c r="AH72" s="236" t="str">
        <f t="shared" si="17"/>
        <v>"%USERPROFILE%\Documents\GitHub\eaglep3\Utilities\RefineRTDCRunTimes.py" --tripid 159-17 --locoid 4008 --swversion DE.1.0.9.0 --startMP 204:502 --initTime 2017-12-17T10:56:38 --startdatetime 2017-12-17T11:00:21 --delay 46 --endMP 204:233276 --enddatetime 2017-12-17T11:35:30 --enforcementcount 0 &gt;&gt;%USERPROFILE%\Documents\GitHub\eaglep3-reporting\EC\2017-12-17-refined-times.txt</v>
      </c>
      <c r="AI7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{"issue":{"subject":"","project_id":79,"tracker_id":40,"status_id":1,"priority_id":2,"assigned_to_id":338,"start_date":"2017-12-17","description":"","custom_fields":[{"id":1,"name":"Subdivision","value":"EC"},{"id":4,"name":"Milepost","value":"23.3276"},{"id":17,"name":"Train ID","value":"159-17"},{"id":16,"name":"Locomotive ID","value":"4008"},{"id":130,"name":"Impact","value":""},{"id":150,"name":"Time of Event (Mountain Time)","value":"11:35:30"},{"id":151,"name":"Denver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19"/>
        <v>start /low /b %USERPROFILE%\Documents\GitHub\eaglep3\Utilities\DownloadLogsFromS3.py --loco 4008 --day 2017-12-17</v>
      </c>
      <c r="AN7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1"/>
        <v>https://d0f6bd738d7f1b3e5a7ca70fe4ff75f0.us-east-1.aws.found.io/app/kibana#/discover/Steve-Slow-Train-Analysis-(2080s-and-2083s)?_g=(refreshInterval:(display:Off,pause:!f,section:0,value:0),time:(from:'2017-12-17T09:56:38-0700',mode:absolute,to:'2017-12-17T12:35:30-0700'))&amp;_a=(columns:!('Message%20ID',Summary),filters:!(),index:'emp_*',interval:auto,query:(query_string:(analyze_wildcard:!t,query:'%22rtdc.l.rtdc.4008%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803</v>
      </c>
      <c r="B73" s="225">
        <v>4007</v>
      </c>
      <c r="C73" s="227" t="s">
        <v>192</v>
      </c>
      <c r="D73" s="227" t="s">
        <v>584</v>
      </c>
      <c r="E73" s="226">
        <v>43086.495057870372</v>
      </c>
      <c r="F73" s="226">
        <v>43086.498090277775</v>
      </c>
      <c r="G73" s="225">
        <v>52</v>
      </c>
      <c r="H73" s="227" t="s">
        <v>916</v>
      </c>
      <c r="I73" s="226">
        <v>43086.523472222223</v>
      </c>
      <c r="J73" s="225">
        <v>0</v>
      </c>
      <c r="K73" s="237" t="str">
        <f t="shared" si="0"/>
        <v>4007/4008</v>
      </c>
      <c r="L73" s="245" t="str">
        <f>VLOOKUP(A73,'Trips&amp;Operators'!$C$1:$G$99911,5,FALSE)</f>
        <v>LAMAR NEKESHA</v>
      </c>
      <c r="M73" s="224">
        <f t="shared" si="1"/>
        <v>2.5381944447872229E-2</v>
      </c>
      <c r="N73" s="225">
        <f t="shared" si="35"/>
        <v>36.55000000493601</v>
      </c>
      <c r="O73" s="225"/>
      <c r="P73" s="225"/>
      <c r="Q73" s="228"/>
      <c r="R73" s="242"/>
      <c r="S73" s="249">
        <f t="shared" si="22"/>
        <v>1</v>
      </c>
      <c r="T73" s="242" t="str">
        <f t="shared" si="2"/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3"/>
        <v>https://d0f6bd738d7f1b3e5a7ca70fe4ff75f0.us-east-1.aws.found.io/app/kibana#/discover/Steve-Slow-Train-Analysis-(2080s-and-2083s)?_g=(refreshInterval:(display:Off,pause:!f,section:0,value:0),time:(from:'2017-12-17T10:52:53-0700',mode:absolute,to:'2017-12-17T13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247" t="str">
        <f>IF(AA73&lt;VLOOKUP(AG73,Variables!$AC$3:$AD$8,2,FALSE),"Y","N")</f>
        <v>N</v>
      </c>
      <c r="X73" s="247">
        <f t="shared" si="36"/>
        <v>1</v>
      </c>
      <c r="Y73" s="247">
        <f t="shared" si="32"/>
        <v>23.297000000000001</v>
      </c>
      <c r="Z73" s="247">
        <f t="shared" si="33"/>
        <v>1.4500000000000001E-2</v>
      </c>
      <c r="AA73" s="247">
        <f t="shared" si="7"/>
        <v>23.282499999999999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8"/>
        <v>160</v>
      </c>
      <c r="AE73" s="235" t="str">
        <f t="shared" si="9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73" s="234" t="str">
        <f t="shared" si="10"/>
        <v>"C:\Program Files (x86)\AstroGrep\AstroGrep.exe" /e /r /s /spath="%USERPROFILE%\AppData\Local\Temp\OnboardLogs" /stypes="app*4007*20171217*" /stext=" 19:.+((SYSTEM_STATE.+slice.+state.+changed )|(ment ac)|(multiple cpu faults)|(system.+state.+changed )|(\[timeout)|(PRM\|1\|D)|(kpr)|(kdp)|(train st.+moving)|(\|lc)|(penalty))"</v>
      </c>
      <c r="AG73" s="244" t="str">
        <f t="shared" si="11"/>
        <v>EC</v>
      </c>
      <c r="AH73" s="236" t="str">
        <f t="shared" si="17"/>
        <v>"%USERPROFILE%\Documents\GitHub\eaglep3\Utilities\RefineRTDCRunTimes.py" --tripid 160-17 --locoid 4007 --swversion DE.1.0.9.0 --startMP 204:232970 --initTime 2017-12-17T11:52:53 --startdatetime 2017-12-17T11:57:15 --delay 52 --endMP 204:145 --enddatetime 2017-12-17T12:33:48 --enforcementcount 0 &gt;&gt;%USERPROFILE%\Documents\GitHub\eaglep3-reporting\EC\2017-12-17-refined-times.txt</v>
      </c>
      <c r="AI7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{"issue":{"subject":"","project_id":79,"tracker_id":40,"status_id":1,"priority_id":2,"assigned_to_id":338,"start_date":"2017-12-17","description":"","custom_fields":[{"id":1,"name":"Subdivision","value":"EC"},{"id":4,"name":"Milepost","value":"0.0145"},{"id":17,"name":"Train ID","value":"160-17"},{"id":16,"name":"Locomotive ID","value":"4007"},{"id":130,"name":"Impact","value":""},{"id":150,"name":"Time of Event (Mountain Time)","value":"12:33:48"},{"id":151,"name":"Denver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19"/>
        <v>start /low /b %USERPROFILE%\Documents\GitHub\eaglep3\Utilities\DownloadLogsFromS3.py --loco 4007 --day 2017-12-17</v>
      </c>
      <c r="AN7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1"/>
        <v>https://d0f6bd738d7f1b3e5a7ca70fe4ff75f0.us-east-1.aws.found.io/app/kibana#/discover/Steve-Slow-Train-Analysis-(2080s-and-2083s)?_g=(refreshInterval:(display:Off,pause:!f,section:0,value:0),time:(from:'2017-12-17T10:52:53-0700',mode:absolute,to:'2017-12-17T13:33:48-0700'))&amp;_a=(columns:!('Message%20ID',Summary),filters:!(),index:'emp_*',interval:auto,query:(query_string:(analyze_wildcard:!t,query:'%22rtdc.l.rtdc.4007%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797</v>
      </c>
      <c r="B74" s="225">
        <v>4030</v>
      </c>
      <c r="C74" s="227" t="s">
        <v>192</v>
      </c>
      <c r="D74" s="227" t="s">
        <v>481</v>
      </c>
      <c r="E74" s="226">
        <v>43086.463888888888</v>
      </c>
      <c r="F74" s="226">
        <v>43086.468993055554</v>
      </c>
      <c r="G74" s="225">
        <v>68</v>
      </c>
      <c r="H74" s="227" t="s">
        <v>944</v>
      </c>
      <c r="I74" s="226">
        <v>43086.492800925924</v>
      </c>
      <c r="J74" s="225">
        <v>0</v>
      </c>
      <c r="K74" s="237" t="str">
        <f t="shared" si="0"/>
        <v>4029/4030</v>
      </c>
      <c r="L74" s="245" t="str">
        <f>VLOOKUP(A74,'Trips&amp;Operators'!$C$1:$G$99911,5,FALSE)</f>
        <v>GONZALEZ ARMANDO</v>
      </c>
      <c r="M74" s="224">
        <f t="shared" si="1"/>
        <v>2.3807870369637385E-2</v>
      </c>
      <c r="N74" s="225">
        <f t="shared" si="35"/>
        <v>34.283333332277834</v>
      </c>
      <c r="O74" s="225"/>
      <c r="P74" s="225"/>
      <c r="Q74" s="228"/>
      <c r="R74" s="242"/>
      <c r="S74" s="249">
        <f t="shared" si="22"/>
        <v>1</v>
      </c>
      <c r="T74" s="242" t="str">
        <f t="shared" si="2"/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3"/>
        <v>https://d0f6bd738d7f1b3e5a7ca70fe4ff75f0.us-east-1.aws.found.io/app/kibana#/discover/Steve-Slow-Train-Analysis-(2080s-and-2083s)?_g=(refreshInterval:(display:Off,pause:!f,section:0,value:0),time:(from:'2017-12-17T10:08:00-0700',mode:absolute,to:'2017-12-17T12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247" t="str">
        <f>IF(AA74&lt;VLOOKUP(AG74,Variables!$AC$3:$AD$8,2,FALSE),"Y","N")</f>
        <v>N</v>
      </c>
      <c r="X74" s="247">
        <f t="shared" si="36"/>
        <v>1</v>
      </c>
      <c r="Y74" s="247">
        <f t="shared" si="32"/>
        <v>5.1499999999999997E-2</v>
      </c>
      <c r="Z74" s="247">
        <f t="shared" si="33"/>
        <v>23.3307</v>
      </c>
      <c r="AA74" s="247">
        <f t="shared" si="7"/>
        <v>23.279199999999999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8"/>
        <v>161</v>
      </c>
      <c r="AE74" s="235" t="str">
        <f t="shared" si="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74" s="234" t="str">
        <f t="shared" si="10"/>
        <v>"C:\Program Files (x86)\AstroGrep\AstroGrep.exe" /e /r /s /spath="%USERPROFILE%\AppData\Local\Temp\OnboardLogs" /stypes="app*4030*20171217*" /stext=" 18:.+((SYSTEM_STATE.+slice.+state.+changed )|(ment ac)|(multiple cpu faults)|(system.+state.+changed )|(\[timeout)|(PRM\|1\|D)|(kpr)|(kdp)|(train st.+moving)|(\|lc)|(penalty))"</v>
      </c>
      <c r="AG74" s="244" t="str">
        <f t="shared" si="11"/>
        <v>EC</v>
      </c>
      <c r="AH74" s="236" t="str">
        <f t="shared" si="17"/>
        <v>"%USERPROFILE%\Documents\GitHub\eaglep3\Utilities\RefineRTDCRunTimes.py" --tripid 161-17 --locoid 4030 --swversion DE.1.0.9.0 --startMP 204:515 --initTime 2017-12-17T11:08:00 --startdatetime 2017-12-17T11:15:21 --delay 68 --endMP 204:233307 --enddatetime 2017-12-17T11:49:38 --enforcementcount 0 &gt;&gt;%USERPROFILE%\Documents\GitHub\eaglep3-reporting\EC\2017-12-17-refined-times.txt</v>
      </c>
      <c r="AI7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{"issue":{"subject":"","project_id":79,"tracker_id":40,"status_id":1,"priority_id":2,"assigned_to_id":338,"start_date":"2017-12-17","description":"","custom_fields":[{"id":1,"name":"Subdivision","value":"EC"},{"id":4,"name":"Milepost","value":"23.3307"},{"id":17,"name":"Train ID","value":"161-17"},{"id":16,"name":"Locomotive ID","value":"4030"},{"id":130,"name":"Impact","value":""},{"id":150,"name":"Time of Event (Mountain Time)","value":"11:49:38"},{"id":151,"name":"Denver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19"/>
        <v>start /low /b %USERPROFILE%\Documents\GitHub\eaglep3\Utilities\DownloadLogsFromS3.py --loco 4030 --day 2017-12-17</v>
      </c>
      <c r="AN7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1"/>
        <v>https://d0f6bd738d7f1b3e5a7ca70fe4ff75f0.us-east-1.aws.found.io/app/kibana#/discover/Steve-Slow-Train-Analysis-(2080s-and-2083s)?_g=(refreshInterval:(display:Off,pause:!f,section:0,value:0),time:(from:'2017-12-17T10:08:00-0700',mode:absolute,to:'2017-12-17T12:49:38-0700'))&amp;_a=(columns:!('Message%20ID',Summary),filters:!(),index:'emp_*',interval:auto,query:(query_string:(analyze_wildcard:!t,query:'%22rtdc.l.rtdc.4030%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805</v>
      </c>
      <c r="B75" s="225">
        <v>4029</v>
      </c>
      <c r="C75" s="227" t="s">
        <v>192</v>
      </c>
      <c r="D75" s="227" t="s">
        <v>945</v>
      </c>
      <c r="E75" s="226">
        <v>43086.503240740742</v>
      </c>
      <c r="F75" s="226">
        <v>43086.508576388886</v>
      </c>
      <c r="G75" s="225">
        <v>63</v>
      </c>
      <c r="H75" s="227" t="s">
        <v>593</v>
      </c>
      <c r="I75" s="226">
        <v>43086.534467592595</v>
      </c>
      <c r="J75" s="225">
        <v>0</v>
      </c>
      <c r="K75" s="237" t="str">
        <f t="shared" si="0"/>
        <v>4029/4030</v>
      </c>
      <c r="L75" s="245" t="str">
        <f>VLOOKUP(A75,'Trips&amp;Operators'!$C$1:$G$99911,5,FALSE)</f>
        <v>GONZALEZ ARMANDO</v>
      </c>
      <c r="M75" s="224">
        <f t="shared" si="1"/>
        <v>2.5891203709761612E-2</v>
      </c>
      <c r="N75" s="225">
        <f t="shared" si="35"/>
        <v>37.283333342056721</v>
      </c>
      <c r="O75" s="225"/>
      <c r="P75" s="225"/>
      <c r="Q75" s="228"/>
      <c r="R75" s="242"/>
      <c r="S75" s="249">
        <f t="shared" si="22"/>
        <v>1</v>
      </c>
      <c r="T75" s="242" t="str">
        <f t="shared" si="2"/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3"/>
        <v>https://d0f6bd738d7f1b3e5a7ca70fe4ff75f0.us-east-1.aws.found.io/app/kibana#/discover/Steve-Slow-Train-Analysis-(2080s-and-2083s)?_g=(refreshInterval:(display:Off,pause:!f,section:0,value:0),time:(from:'2017-12-17T11:04:40-0700',mode:absolute,to:'2017-12-17T13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247" t="str">
        <f>IF(AA75&lt;VLOOKUP(AG75,Variables!$AC$3:$AD$8,2,FALSE),"Y","N")</f>
        <v>N</v>
      </c>
      <c r="X75" s="247">
        <f t="shared" si="36"/>
        <v>1</v>
      </c>
      <c r="Y75" s="247">
        <f t="shared" si="32"/>
        <v>23.298999999999999</v>
      </c>
      <c r="Z75" s="247">
        <f t="shared" si="33"/>
        <v>1.78E-2</v>
      </c>
      <c r="AA75" s="247">
        <f t="shared" si="7"/>
        <v>23.281199999999998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8"/>
        <v>162</v>
      </c>
      <c r="AE75" s="235" t="str">
        <f t="shared" si="9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75" s="234" t="str">
        <f t="shared" si="10"/>
        <v>"C:\Program Files (x86)\AstroGrep\AstroGrep.exe" /e /r /s /spath="%USERPROFILE%\AppData\Local\Temp\OnboardLogs" /stypes="app*4029*20171217*" /stext=" 19:.+((SYSTEM_STATE.+slice.+state.+changed )|(ment ac)|(multiple cpu faults)|(system.+state.+changed )|(\[timeout)|(PRM\|1\|D)|(kpr)|(kdp)|(train st.+moving)|(\|lc)|(penalty))"</v>
      </c>
      <c r="AG75" s="244" t="str">
        <f t="shared" si="11"/>
        <v>EC</v>
      </c>
      <c r="AH75" s="236" t="str">
        <f t="shared" si="17"/>
        <v>"%USERPROFILE%\Documents\GitHub\eaglep3\Utilities\RefineRTDCRunTimes.py" --tripid 162-17 --locoid 4029 --swversion DE.1.0.9.0 --startMP 204:232990 --initTime 2017-12-17T12:04:40 --startdatetime 2017-12-17T12:12:21 --delay 63 --endMP 204:178 --enddatetime 2017-12-17T12:49:38 --enforcementcount 0 &gt;&gt;%USERPROFILE%\Documents\GitHub\eaglep3-reporting\EC\2017-12-17-refined-times.txt</v>
      </c>
      <c r="AI7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{"issue":{"subject":"","project_id":79,"tracker_id":40,"status_id":1,"priority_id":2,"assigned_to_id":338,"start_date":"2017-12-17","description":"","custom_fields":[{"id":1,"name":"Subdivision","value":"EC"},{"id":4,"name":"Milepost","value":"0.0178"},{"id":17,"name":"Train ID","value":"162-17"},{"id":16,"name":"Locomotive ID","value":"4029"},{"id":130,"name":"Impact","value":""},{"id":150,"name":"Time of Event (Mountain Time)","value":"12:49:38"},{"id":151,"name":"Denver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19"/>
        <v>start /low /b %USERPROFILE%\Documents\GitHub\eaglep3\Utilities\DownloadLogsFromS3.py --loco 4029 --day 2017-12-17</v>
      </c>
      <c r="AN7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1"/>
        <v>https://d0f6bd738d7f1b3e5a7ca70fe4ff75f0.us-east-1.aws.found.io/app/kibana#/discover/Steve-Slow-Train-Analysis-(2080s-and-2083s)?_g=(refreshInterval:(display:Off,pause:!f,section:0,value:0),time:(from:'2017-12-17T11:04:40-0700',mode:absolute,to:'2017-12-17T13:49:38-0700'))&amp;_a=(columns:!('Message%20ID',Summary),filters:!(),index:'emp_*',interval:auto,query:(query_string:(analyze_wildcard:!t,query:'%22rtdc.l.rtdc.4029%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800</v>
      </c>
      <c r="B76" s="225">
        <v>4018</v>
      </c>
      <c r="C76" s="227" t="s">
        <v>192</v>
      </c>
      <c r="D76" s="227" t="s">
        <v>553</v>
      </c>
      <c r="E76" s="226">
        <v>43086.475034722222</v>
      </c>
      <c r="F76" s="226">
        <v>43086.479351851849</v>
      </c>
      <c r="G76" s="225">
        <v>134</v>
      </c>
      <c r="H76" s="227" t="s">
        <v>531</v>
      </c>
      <c r="I76" s="226">
        <v>43086.504236111112</v>
      </c>
      <c r="J76" s="225">
        <v>0</v>
      </c>
      <c r="K76" s="237" t="str">
        <f t="shared" si="0"/>
        <v>4017/4018</v>
      </c>
      <c r="L76" s="245" t="str">
        <f>VLOOKUP(A76,'Trips&amp;Operators'!$C$1:$G$99911,5,FALSE)</f>
        <v>SAFIEF AEIMEN</v>
      </c>
      <c r="M76" s="224">
        <f t="shared" si="1"/>
        <v>2.4884259262762498E-2</v>
      </c>
      <c r="N76" s="225">
        <f t="shared" si="35"/>
        <v>35.833333338377997</v>
      </c>
      <c r="O76" s="225"/>
      <c r="P76" s="225"/>
      <c r="Q76" s="228"/>
      <c r="R76" s="242"/>
      <c r="S76" s="249">
        <f t="shared" si="22"/>
        <v>1</v>
      </c>
      <c r="T76" s="242" t="str">
        <f t="shared" si="2"/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3"/>
        <v>https://d0f6bd738d7f1b3e5a7ca70fe4ff75f0.us-east-1.aws.found.io/app/kibana#/discover/Steve-Slow-Train-Analysis-(2080s-and-2083s)?_g=(refreshInterval:(display:Off,pause:!f,section:0,value:0),time:(from:'2017-12-17T10:24:03-0700',mode:absolute,to:'2017-12-17T13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247" t="str">
        <f>IF(AA76&lt;VLOOKUP(AG76,Variables!$AC$3:$AD$8,2,FALSE),"Y","N")</f>
        <v>N</v>
      </c>
      <c r="X76" s="247">
        <f t="shared" si="36"/>
        <v>1</v>
      </c>
      <c r="Y76" s="247">
        <f t="shared" si="32"/>
        <v>4.58E-2</v>
      </c>
      <c r="Z76" s="247">
        <f t="shared" si="33"/>
        <v>23.327000000000002</v>
      </c>
      <c r="AA76" s="247">
        <f t="shared" si="7"/>
        <v>23.281200000000002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8"/>
        <v>163</v>
      </c>
      <c r="AE76" s="235" t="str">
        <f t="shared" si="9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76" s="234" t="str">
        <f t="shared" si="10"/>
        <v>"C:\Program Files (x86)\AstroGrep\AstroGrep.exe" /e /r /s /spath="%USERPROFILE%\AppData\Local\Temp\OnboardLogs" /stypes="app*4018*20171217*" /stext=" 19:.+((SYSTEM_STATE.+slice.+state.+changed )|(ment ac)|(multiple cpu faults)|(system.+state.+changed )|(\[timeout)|(PRM\|1\|D)|(kpr)|(kdp)|(train st.+moving)|(\|lc)|(penalty))"</v>
      </c>
      <c r="AG76" s="244" t="str">
        <f t="shared" si="11"/>
        <v>EC</v>
      </c>
      <c r="AH76" s="236" t="str">
        <f t="shared" si="17"/>
        <v>"%USERPROFILE%\Documents\GitHub\eaglep3\Utilities\RefineRTDCRunTimes.py" --tripid 163-17 --locoid 4018 --swversion DE.1.0.9.0 --startMP 204:458 --initTime 2017-12-17T11:24:03 --startdatetime 2017-12-17T11:30:16 --delay 134 --endMP 204:233270 --enddatetime 2017-12-17T12:06:06 --enforcementcount 0 &gt;&gt;%USERPROFILE%\Documents\GitHub\eaglep3-reporting\EC\2017-12-17-refined-times.txt</v>
      </c>
      <c r="AI7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ID","value":"163-17"},{"id":16,"name":"Locomotive ID","value":"4018"},{"id":130,"name":"Impact","value":""},{"id":150,"name":"Time of Event (Mountain Time)","value":"12:06:06"},{"id":151,"name":"Denver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19"/>
        <v>start /low /b %USERPROFILE%\Documents\GitHub\eaglep3\Utilities\DownloadLogsFromS3.py --loco 4018 --day 2017-12-17</v>
      </c>
      <c r="AN7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1"/>
        <v>https://d0f6bd738d7f1b3e5a7ca70fe4ff75f0.us-east-1.aws.found.io/app/kibana#/discover/Steve-Slow-Train-Analysis-(2080s-and-2083s)?_g=(refreshInterval:(display:Off,pause:!f,section:0,value:0),time:(from:'2017-12-17T10:24:03-0700',mode:absolute,to:'2017-12-17T13:06:06-0700'))&amp;_a=(columns:!('Message%20ID',Summary),filters:!(),index:'emp_*',interval:auto,query:(query_string:(analyze_wildcard:!t,query:'%22rtdc.l.rtdc.4018%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701</v>
      </c>
      <c r="B77" s="225">
        <v>4017</v>
      </c>
      <c r="C77" s="227" t="s">
        <v>192</v>
      </c>
      <c r="D77" s="227" t="s">
        <v>682</v>
      </c>
      <c r="E77" s="226">
        <v>43086.517650462964</v>
      </c>
      <c r="F77" s="226">
        <v>43086.51939814815</v>
      </c>
      <c r="G77" s="225">
        <v>75</v>
      </c>
      <c r="H77" s="227" t="s">
        <v>611</v>
      </c>
      <c r="I77" s="226">
        <v>43086.5465625</v>
      </c>
      <c r="J77" s="225">
        <v>0</v>
      </c>
      <c r="K77" s="237" t="str">
        <f t="shared" ref="K77:K140" si="37">IF(ISEVEN(B77),(B77-1)&amp;"/"&amp;B77,B77&amp;"/"&amp;(B77+1))</f>
        <v>4017/4018</v>
      </c>
      <c r="L77" s="245" t="str">
        <f>VLOOKUP(A77,'Trips&amp;Operators'!$C$1:$G$99911,5,FALSE)</f>
        <v>SAFIEF AEIMEN</v>
      </c>
      <c r="M77" s="224">
        <f t="shared" ref="M77:M140" si="38">I77-F77</f>
        <v>2.7164351849933155E-2</v>
      </c>
      <c r="N77" s="225">
        <f t="shared" si="35"/>
        <v>39.116666663903743</v>
      </c>
      <c r="O77" s="225"/>
      <c r="P77" s="225"/>
      <c r="Q77" s="228"/>
      <c r="R77" s="242" t="s">
        <v>620</v>
      </c>
      <c r="S77" s="249">
        <f t="shared" si="22"/>
        <v>1</v>
      </c>
      <c r="T77" s="242" t="str">
        <f t="shared" ref="T77:T140" si="39"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247" t="str">
        <f>IF(AA77&lt;VLOOKUP(AG77,Variables!$AC$3:$AD$8,2,FALSE),"Y","N")</f>
        <v>N</v>
      </c>
      <c r="X77" s="247">
        <f t="shared" si="36"/>
        <v>1</v>
      </c>
      <c r="Y77" s="247">
        <f t="shared" ref="Y77:Y108" si="41">RIGHT(D77,LEN(D77)-4)/10000</f>
        <v>23.2959</v>
      </c>
      <c r="Z77" s="247">
        <f t="shared" ref="Z77:Z108" si="42">RIGHT(H77,LEN(H77)-4)/10000</f>
        <v>1.83E-2</v>
      </c>
      <c r="AA77" s="247">
        <f t="shared" ref="AA77:AA140" si="43">ABS(Z77-Y77)</f>
        <v>23.2776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44">VALUE(LEFT(A77,LEN(A77)-3))</f>
        <v>164</v>
      </c>
      <c r="AE77" s="235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77" s="234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/stypes="app*4017*20171217*" /stext=" 20:.+((SYSTEM_STATE.+slice.+state.+changed )|(ment ac)|(multiple cpu faults)|(system.+state.+changed )|(\[timeout)|(PRM\|1\|D)|(kpr)|(kdp)|(train st.+moving)|(\|lc)|(penalty))"</v>
      </c>
      <c r="AG77" s="244" t="str">
        <f t="shared" ref="AG77:AG140" si="47">DetSubdiv(A77)</f>
        <v>EC</v>
      </c>
      <c r="AH77" s="236" t="str">
        <f t="shared" si="17"/>
        <v>"%USERPROFILE%\Documents\GitHub\eaglep3\Utilities\RefineRTDCRunTimes.py" --tripid 164-17 --locoid 4017 --swversion DE.1.0.9.0 --startMP 204:232959 --initTime 2017-12-17T12:25:25 --startdatetime 2017-12-17T12:27:56 --delay 75 --endMP 204:183 --enddatetime 2017-12-17T13:07:03 --enforcementcount 0 &gt;&gt;%USERPROFILE%\Documents\GitHub\eaglep3-reporting\EC\2017-12-17-refined-times.txt</v>
      </c>
      <c r="AI77" s="238" t="str">
        <f t="shared" si="18"/>
        <v>echo {"issue":{"subject":"Observed unhealthy xing banner at Chambers due to station stop","project_id":79,"tracker_id":40,"status_id":1,"priority_id":2,"assigned_to_id":338,"start_date":"2017-12-17","description":"","custom_fields":[{"id":1,"name":"Subdivision","value":"EC"},{"id":4,"name":"Milepost","value":"0.0183"},{"id":17,"name":"Train ID","value":"164-17"},{"id":16,"name":"Locomotive ID","value":"4017"},{"id":130,"name":"Impact","value":""},{"id":150,"name":"Time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19"/>
        <v>start /low /b %USERPROFILE%\Documents\GitHub\eaglep3\Utilities\DownloadLogsFromS3.py --loco 4017 --day 2017-12-17</v>
      </c>
      <c r="AN77" s="241" t="str">
        <f t="shared" si="20"/>
        <v>echo {"issue":{"subject":"Observed unhealthy xing banner at Chambers due to station stop","project_id":30,"tracker_id":4,"status_id":1,"priority_id":1,"assigned_to_id":10,"start_date":"2017-12-17","description":"","custom_fields":[{"id":30,"name":"Category","value":"Issue"},{"id":3,"name":"Functional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1"/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Message%20ID',Summary),filters:!(),index:'emp_*',interval:auto,query:(query_string:(analyze_wildcard:!t,query:'%22rtdc.l.rtdc.4017%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700</v>
      </c>
      <c r="B78" s="225">
        <v>4032</v>
      </c>
      <c r="C78" s="227" t="s">
        <v>192</v>
      </c>
      <c r="D78" s="227" t="s">
        <v>656</v>
      </c>
      <c r="E78" s="226">
        <v>43086.483055555553</v>
      </c>
      <c r="F78" s="226">
        <v>43086.489768518521</v>
      </c>
      <c r="G78" s="225">
        <v>65</v>
      </c>
      <c r="H78" s="227" t="s">
        <v>918</v>
      </c>
      <c r="I78" s="226">
        <v>43086.514606481483</v>
      </c>
      <c r="J78" s="225">
        <v>0</v>
      </c>
      <c r="K78" s="237" t="str">
        <f t="shared" si="37"/>
        <v>4031/4032</v>
      </c>
      <c r="L78" s="245" t="str">
        <f>VLOOKUP(A78,'Trips&amp;Operators'!$C$1:$G$99911,5,FALSE)</f>
        <v>GUZMAN DANNY</v>
      </c>
      <c r="M78" s="224">
        <f t="shared" si="38"/>
        <v>2.4837962962919846E-2</v>
      </c>
      <c r="N78" s="225">
        <f t="shared" si="35"/>
        <v>35.766666666604578</v>
      </c>
      <c r="O78" s="225"/>
      <c r="P78" s="225"/>
      <c r="Q78" s="228"/>
      <c r="R78" s="242"/>
      <c r="S78" s="249">
        <f t="shared" si="22"/>
        <v>1</v>
      </c>
      <c r="T78" s="242" t="str">
        <f t="shared" si="39"/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0"/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247" t="str">
        <f>IF(AA78&lt;VLOOKUP(AG78,Variables!$AC$3:$AD$8,2,FALSE),"Y","N")</f>
        <v>N</v>
      </c>
      <c r="X78" s="247">
        <f t="shared" si="36"/>
        <v>1</v>
      </c>
      <c r="Y78" s="247">
        <f t="shared" si="41"/>
        <v>4.7800000000000002E-2</v>
      </c>
      <c r="Z78" s="247">
        <f t="shared" si="42"/>
        <v>23.3232</v>
      </c>
      <c r="AA78" s="247">
        <f t="shared" si="43"/>
        <v>23.275400000000001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44"/>
        <v>165</v>
      </c>
      <c r="AE78" s="235" t="str">
        <f t="shared" si="45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78" s="234" t="str">
        <f t="shared" si="46"/>
        <v>"C:\Program Files (x86)\AstroGrep\AstroGrep.exe" /e /r /s /spath="%USERPROFILE%\AppData\Local\Temp\OnboardLogs" /stypes="app*4032*20171217*" /stext=" 19:.+((SYSTEM_STATE.+slice.+state.+changed )|(ment ac)|(multiple cpu faults)|(system.+state.+changed )|(\[timeout)|(PRM\|1\|D)|(kpr)|(kdp)|(train st.+moving)|(\|lc)|(penalty))"</v>
      </c>
      <c r="AG78" s="244" t="str">
        <f t="shared" si="47"/>
        <v>EC</v>
      </c>
      <c r="AH78" s="236" t="str">
        <f t="shared" ref="AH78:AH145" si="4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165-17 --locoid 4032 --swversion DE.1.0.9.0 --startMP 204:478 --initTime 2017-12-17T11:35:36 --startdatetime 2017-12-17T11:45:16 --delay 65 --endMP 204:233232 --enddatetime 2017-12-17T12:21:02 --enforcementcount 0 &gt;&gt;%USERPROFILE%\Documents\GitHub\eaglep3-reporting\EC\2017-12-17-refined-times.txt</v>
      </c>
      <c r="AI78" s="238" t="str">
        <f t="shared" ref="AI78:AI145" si="4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{"issue":{"subject":"","project_id":79,"tracker_id":40,"status_id":1,"priority_id":2,"assigned_to_id":338,"start_date":"2017-12-17","description":"","custom_fields":[{"id":1,"name":"Subdivision","value":"EC"},{"id":4,"name":"Milepost","value":"23.3232"},{"id":17,"name":"Train ID","value":"165-17"},{"id":16,"name":"Locomotive ID","value":"4032"},{"id":130,"name":"Impact","value":""},{"id":150,"name":"Time of Event (Mountain Time)","value":"12:21:02"},{"id":151,"name":"Denver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5" si="50">"start /low /b "&amp;dls3logs&amp;" --loco "&amp;B78&amp;" --day "&amp;TEXT(F78,"YYYY-MM-DD")</f>
        <v>start /low /b %USERPROFILE%\Documents\GitHub\eaglep3\Utilities\DownloadLogsFromS3.py --loco 4032 --day 2017-12-17</v>
      </c>
      <c r="AN78" s="241" t="str">
        <f t="shared" ref="AN78:AN145" si="5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5" si="52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Message%20ID',Summary),filters:!(),index:'emp_*',interval:auto,query:(query_string:(analyze_wildcard:!t,query:'%22rtdc.l.rtdc.4032%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806</v>
      </c>
      <c r="B79" s="225">
        <v>4031</v>
      </c>
      <c r="C79" s="227" t="s">
        <v>192</v>
      </c>
      <c r="D79" s="227" t="s">
        <v>946</v>
      </c>
      <c r="E79" s="226">
        <v>43086.516446759262</v>
      </c>
      <c r="F79" s="226">
        <v>43086.529328703706</v>
      </c>
      <c r="G79" s="225">
        <v>125</v>
      </c>
      <c r="H79" s="227" t="s">
        <v>575</v>
      </c>
      <c r="I79" s="226">
        <v>43086.555902777778</v>
      </c>
      <c r="J79" s="225">
        <v>0</v>
      </c>
      <c r="K79" s="237" t="str">
        <f t="shared" si="37"/>
        <v>4031/4032</v>
      </c>
      <c r="L79" s="245" t="str">
        <f>VLOOKUP(A79,'Trips&amp;Operators'!$C$1:$G$99911,5,FALSE)</f>
        <v>GUZMAN DANNY</v>
      </c>
      <c r="M79" s="224">
        <f t="shared" si="38"/>
        <v>2.6574074072414078E-2</v>
      </c>
      <c r="N79" s="225">
        <f t="shared" si="35"/>
        <v>38.266666664276272</v>
      </c>
      <c r="O79" s="225"/>
      <c r="P79" s="225"/>
      <c r="Q79" s="228"/>
      <c r="R79" s="242"/>
      <c r="S79" s="249">
        <f t="shared" si="22"/>
        <v>1</v>
      </c>
      <c r="T79" s="242" t="str">
        <f t="shared" si="39"/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0"/>
        <v>https://d0f6bd738d7f1b3e5a7ca70fe4ff75f0.us-east-1.aws.found.io/app/kibana#/discover/Steve-Slow-Train-Analysis-(2080s-and-2083s)?_g=(refreshInterval:(display:Off,pause:!f,section:0,value:0),time:(from:'2017-12-17T11:23:41-0700',mode:absolute,to:'2017-12-17T14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247" t="str">
        <f>IF(AA79&lt;VLOOKUP(AG79,Variables!$AC$3:$AD$8,2,FALSE),"Y","N")</f>
        <v>N</v>
      </c>
      <c r="X79" s="247">
        <f t="shared" si="36"/>
        <v>1</v>
      </c>
      <c r="Y79" s="247">
        <f t="shared" si="41"/>
        <v>23.293600000000001</v>
      </c>
      <c r="Z79" s="247">
        <f t="shared" si="42"/>
        <v>1.9400000000000001E-2</v>
      </c>
      <c r="AA79" s="247">
        <f t="shared" si="43"/>
        <v>23.2742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44"/>
        <v>166</v>
      </c>
      <c r="AE79" s="235" t="str">
        <f t="shared" si="45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79" s="234" t="str">
        <f t="shared" si="46"/>
        <v>"C:\Program Files (x86)\AstroGrep\AstroGrep.exe" /e /r /s /spath="%USERPROFILE%\AppData\Local\Temp\OnboardLogs" /stypes="app*4031*20171217*" /stext=" 20:.+((SYSTEM_STATE.+slice.+state.+changed )|(ment ac)|(multiple cpu faults)|(system.+state.+changed )|(\[timeout)|(PRM\|1\|D)|(kpr)|(kdp)|(train st.+moving)|(\|lc)|(penalty))"</v>
      </c>
      <c r="AG79" s="244" t="str">
        <f t="shared" si="47"/>
        <v>EC</v>
      </c>
      <c r="AH79" s="236" t="str">
        <f t="shared" si="48"/>
        <v>"%USERPROFILE%\Documents\GitHub\eaglep3\Utilities\RefineRTDCRunTimes.py" --tripid 166-17 --locoid 4031 --swversion DE.1.0.9.0 --startMP 204:232936 --initTime 2017-12-17T12:23:41 --startdatetime 2017-12-17T12:42:14 --delay 125 --endMP 204:194 --enddatetime 2017-12-17T13:20:30 --enforcementcount 0 &gt;&gt;%USERPROFILE%\Documents\GitHub\eaglep3-reporting\EC\2017-12-17-refined-times.txt</v>
      </c>
      <c r="AI7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{"issue":{"subject":"","project_id":79,"tracker_id":40,"status_id":1,"priority_id":2,"assigned_to_id":338,"start_date":"2017-12-17","description":"","custom_fields":[{"id":1,"name":"Subdivision","value":"EC"},{"id":4,"name":"Milepost","value":"0.0194"},{"id":17,"name":"Train ID","value":"166-17"},{"id":16,"name":"Locomotive ID","value":"4031"},{"id":130,"name":"Impact","value":""},{"id":150,"name":"Time of Event (Mountain Time)","value":"13:20:30"},{"id":151,"name":"Denver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50"/>
        <v>start /low /b %USERPROFILE%\Documents\GitHub\eaglep3\Utilities\DownloadLogsFromS3.py --loco 4031 --day 2017-12-17</v>
      </c>
      <c r="AN79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52"/>
        <v>https://d0f6bd738d7f1b3e5a7ca70fe4ff75f0.us-east-1.aws.found.io/app/kibana#/discover/Steve-Slow-Train-Analysis-(2080s-and-2083s)?_g=(refreshInterval:(display:Off,pause:!f,section:0,value:0),time:(from:'2017-12-17T11:23:41-0700',mode:absolute,to:'2017-12-17T14:20:30-0700'))&amp;_a=(columns:!('Message%20ID',Summary),filters:!(),index:'emp_*',interval:auto,query:(query_string:(analyze_wildcard:!t,query:'%22rtdc.l.rtdc.4031%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804</v>
      </c>
      <c r="B80" s="225">
        <v>4054</v>
      </c>
      <c r="C80" s="227" t="s">
        <v>192</v>
      </c>
      <c r="D80" s="227" t="s">
        <v>655</v>
      </c>
      <c r="E80" s="226">
        <v>43086.496608796297</v>
      </c>
      <c r="F80" s="226">
        <v>43086.500300925924</v>
      </c>
      <c r="G80" s="225">
        <v>82</v>
      </c>
      <c r="H80" s="227" t="s">
        <v>947</v>
      </c>
      <c r="I80" s="226">
        <v>43086.526180555556</v>
      </c>
      <c r="J80" s="225">
        <v>0</v>
      </c>
      <c r="K80" s="237" t="str">
        <f t="shared" si="37"/>
        <v>4053/4054</v>
      </c>
      <c r="L80" s="245" t="str">
        <f>VLOOKUP(A80,'Trips&amp;Operators'!$C$1:$G$99911,5,FALSE)</f>
        <v>BADERTSCHER DIANE</v>
      </c>
      <c r="M80" s="224">
        <f t="shared" si="38"/>
        <v>2.587962963298196E-2</v>
      </c>
      <c r="N80" s="225">
        <f t="shared" si="35"/>
        <v>37.266666671494022</v>
      </c>
      <c r="O80" s="225"/>
      <c r="P80" s="225"/>
      <c r="Q80" s="228"/>
      <c r="R80" s="242"/>
      <c r="S80" s="249">
        <f t="shared" si="22"/>
        <v>1</v>
      </c>
      <c r="T80" s="242" t="str">
        <f t="shared" si="39"/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0"/>
        <v>https://d0f6bd738d7f1b3e5a7ca70fe4ff75f0.us-east-1.aws.found.io/app/kibana#/discover/Steve-Slow-Train-Analysis-(2080s-and-2083s)?_g=(refreshInterval:(display:Off,pause:!f,section:0,value:0),time:(from:'2017-12-17T10:55:07-0700',mode:absolute,to:'2017-12-17T13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247" t="str">
        <f>IF(AA80&lt;VLOOKUP(AG80,Variables!$AC$3:$AD$8,2,FALSE),"Y","N")</f>
        <v>N</v>
      </c>
      <c r="X80" s="247">
        <f t="shared" si="36"/>
        <v>1</v>
      </c>
      <c r="Y80" s="247">
        <f t="shared" si="41"/>
        <v>4.82E-2</v>
      </c>
      <c r="Z80" s="247">
        <f t="shared" si="42"/>
        <v>23.322700000000001</v>
      </c>
      <c r="AA80" s="247">
        <f t="shared" si="43"/>
        <v>23.2745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44"/>
        <v>167</v>
      </c>
      <c r="AE80" s="235" t="str">
        <f t="shared" si="45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80" s="234" t="str">
        <f t="shared" si="46"/>
        <v>"C:\Program Files (x86)\AstroGrep\AstroGrep.exe" /e /r /s /spath="%USERPROFILE%\AppData\Local\Temp\OnboardLogs" /stypes="app*4054*20171217*" /stext=" 19:.+((SYSTEM_STATE.+slice.+state.+changed )|(ment ac)|(multiple cpu faults)|(system.+state.+changed )|(\[timeout)|(PRM\|1\|D)|(kpr)|(kdp)|(train st.+moving)|(\|lc)|(penalty))"</v>
      </c>
      <c r="AG80" s="244" t="str">
        <f t="shared" si="47"/>
        <v>EC</v>
      </c>
      <c r="AH80" s="236" t="str">
        <f t="shared" si="48"/>
        <v>"%USERPROFILE%\Documents\GitHub\eaglep3\Utilities\RefineRTDCRunTimes.py" --tripid 167-17 --locoid 4054 --swversion DE.1.0.9.0 --startMP 204:482 --initTime 2017-12-17T11:55:07 --startdatetime 2017-12-17T12:00:26 --delay 82 --endMP 204:233227 --enddatetime 2017-12-17T12:37:42 --enforcementcount 0 &gt;&gt;%USERPROFILE%\Documents\GitHub\eaglep3-reporting\EC\2017-12-17-refined-times.txt</v>
      </c>
      <c r="AI8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{"issue":{"subject":"","project_id":79,"tracker_id":40,"status_id":1,"priority_id":2,"assigned_to_id":338,"start_date":"2017-12-17","description":"","custom_fields":[{"id":1,"name":"Subdivision","value":"EC"},{"id":4,"name":"Milepost","value":"23.3227"},{"id":17,"name":"Train ID","value":"167-17"},{"id":16,"name":"Locomotive ID","value":"4054"},{"id":130,"name":"Impact","value":""},{"id":150,"name":"Time of Event (Mountain Time)","value":"12:37:42"},{"id":151,"name":"Denver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50"/>
        <v>start /low /b %USERPROFILE%\Documents\GitHub\eaglep3\Utilities\DownloadLogsFromS3.py --loco 4054 --day 2017-12-17</v>
      </c>
      <c r="AN80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52"/>
        <v>https://d0f6bd738d7f1b3e5a7ca70fe4ff75f0.us-east-1.aws.found.io/app/kibana#/discover/Steve-Slow-Train-Analysis-(2080s-and-2083s)?_g=(refreshInterval:(display:Off,pause:!f,section:0,value:0),time:(from:'2017-12-17T10:55:07-0700',mode:absolute,to:'2017-12-17T13:37:42-0700'))&amp;_a=(columns:!('Message%20ID',Summary),filters:!(),index:'emp_*',interval:auto,query:(query_string:(analyze_wildcard:!t,query:'%22rtdc.l.rtdc.4054%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810</v>
      </c>
      <c r="B81" s="225">
        <v>4053</v>
      </c>
      <c r="C81" s="227" t="s">
        <v>192</v>
      </c>
      <c r="D81" s="227" t="s">
        <v>948</v>
      </c>
      <c r="E81" s="226">
        <v>43086.534872685188</v>
      </c>
      <c r="F81" s="226">
        <v>43086.539756944447</v>
      </c>
      <c r="G81" s="225">
        <v>64</v>
      </c>
      <c r="H81" s="227" t="s">
        <v>532</v>
      </c>
      <c r="I81" s="226">
        <v>43086.567407407405</v>
      </c>
      <c r="J81" s="225">
        <v>0</v>
      </c>
      <c r="K81" s="237" t="str">
        <f t="shared" si="37"/>
        <v>4053/4054</v>
      </c>
      <c r="L81" s="245" t="str">
        <f>VLOOKUP(A81,'Trips&amp;Operators'!$C$1:$G$99911,5,FALSE)</f>
        <v>BADERTSCHER DIANE</v>
      </c>
      <c r="M81" s="224">
        <f t="shared" si="38"/>
        <v>2.7650462958263233E-2</v>
      </c>
      <c r="N81" s="225">
        <f t="shared" si="35"/>
        <v>39.816666659899056</v>
      </c>
      <c r="O81" s="225"/>
      <c r="P81" s="225"/>
      <c r="Q81" s="228"/>
      <c r="R81" s="242"/>
      <c r="S81" s="249">
        <f t="shared" si="22"/>
        <v>1</v>
      </c>
      <c r="T81" s="242" t="str">
        <f t="shared" si="39"/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0"/>
        <v>https://d0f6bd738d7f1b3e5a7ca70fe4ff75f0.us-east-1.aws.found.io/app/kibana#/discover/Steve-Slow-Train-Analysis-(2080s-and-2083s)?_g=(refreshInterval:(display:Off,pause:!f,section:0,value:0),time:(from:'2017-12-17T11:50:13-0700',mode:absolute,to:'2017-12-17T14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247" t="str">
        <f>IF(AA81&lt;VLOOKUP(AG81,Variables!$AC$3:$AD$8,2,FALSE),"Y","N")</f>
        <v>N</v>
      </c>
      <c r="X81" s="247">
        <f t="shared" si="36"/>
        <v>1</v>
      </c>
      <c r="Y81" s="247">
        <f t="shared" si="41"/>
        <v>23.292100000000001</v>
      </c>
      <c r="Z81" s="247">
        <f t="shared" si="42"/>
        <v>1.9099999999999999E-2</v>
      </c>
      <c r="AA81" s="247">
        <f t="shared" si="43"/>
        <v>23.273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44"/>
        <v>168</v>
      </c>
      <c r="AE81" s="235" t="str">
        <f t="shared" si="45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81" s="234" t="str">
        <f t="shared" si="46"/>
        <v>"C:\Program Files (x86)\AstroGrep\AstroGrep.exe" /e /r /s /spath="%USERPROFILE%\AppData\Local\Temp\OnboardLogs" /stypes="app*4053*20171217*" /stext=" 20:.+((SYSTEM_STATE.+slice.+state.+changed )|(ment ac)|(multiple cpu faults)|(system.+state.+changed )|(\[timeout)|(PRM\|1\|D)|(kpr)|(kdp)|(train st.+moving)|(\|lc)|(penalty))"</v>
      </c>
      <c r="AG81" s="244" t="str">
        <f t="shared" si="47"/>
        <v>EC</v>
      </c>
      <c r="AH81" s="236" t="str">
        <f t="shared" si="48"/>
        <v>"%USERPROFILE%\Documents\GitHub\eaglep3\Utilities\RefineRTDCRunTimes.py" --tripid 168-17 --locoid 4053 --swversion DE.1.0.9.0 --startMP 204:232921 --initTime 2017-12-17T12:50:13 --startdatetime 2017-12-17T12:57:15 --delay 64 --endMP 204:191 --enddatetime 2017-12-17T13:37:04 --enforcementcount 0 &gt;&gt;%USERPROFILE%\Documents\GitHub\eaglep3-reporting\EC\2017-12-17-refined-times.txt</v>
      </c>
      <c r="AI8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{"issue":{"subject":"","project_id":79,"tracker_id":40,"status_id":1,"priority_id":2,"assigned_to_id":338,"start_date":"2017-12-17","description":"","custom_fields":[{"id":1,"name":"Subdivision","value":"EC"},{"id":4,"name":"Milepost","value":"0.0191"},{"id":17,"name":"Train ID","value":"168-17"},{"id":16,"name":"Locomotive ID","value":"4053"},{"id":130,"name":"Impact","value":""},{"id":150,"name":"Time of Event (Mountain Time)","value":"13:37:04"},{"id":151,"name":"Denver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0"/>
        <v>start /low /b %USERPROFILE%\Documents\GitHub\eaglep3\Utilities\DownloadLogsFromS3.py --loco 4053 --day 2017-12-17</v>
      </c>
      <c r="AN81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2"/>
        <v>https://d0f6bd738d7f1b3e5a7ca70fe4ff75f0.us-east-1.aws.found.io/app/kibana#/discover/Steve-Slow-Train-Analysis-(2080s-and-2083s)?_g=(refreshInterval:(display:Off,pause:!f,section:0,value:0),time:(from:'2017-12-17T11:50:13-0700',mode:absolute,to:'2017-12-17T14:37:04-0700'))&amp;_a=(columns:!('Message%20ID',Summary),filters:!(),index:'emp_*',interval:auto,query:(query_string:(analyze_wildcard:!t,query:'%22rtdc.l.rtdc.4053%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703</v>
      </c>
      <c r="B82" s="225">
        <v>4040</v>
      </c>
      <c r="C82" s="227" t="s">
        <v>192</v>
      </c>
      <c r="D82" s="227" t="s">
        <v>518</v>
      </c>
      <c r="E82" s="226">
        <v>43086.504814814813</v>
      </c>
      <c r="F82" s="226">
        <v>43086.510752314818</v>
      </c>
      <c r="G82" s="225">
        <v>64</v>
      </c>
      <c r="H82" s="227" t="s">
        <v>949</v>
      </c>
      <c r="I82" s="226">
        <v>43086.534490740742</v>
      </c>
      <c r="J82" s="225">
        <v>0</v>
      </c>
      <c r="K82" s="237" t="str">
        <f t="shared" si="37"/>
        <v>4039/4040</v>
      </c>
      <c r="L82" s="245" t="str">
        <f>VLOOKUP(A82,'Trips&amp;Operators'!$C$1:$G$99911,5,FALSE)</f>
        <v>MAGEE KENYA</v>
      </c>
      <c r="M82" s="224">
        <f t="shared" si="38"/>
        <v>2.3738425923511386E-2</v>
      </c>
      <c r="N82" s="225">
        <f t="shared" si="35"/>
        <v>34.183333329856396</v>
      </c>
      <c r="O82" s="225"/>
      <c r="P82" s="225"/>
      <c r="Q82" s="228"/>
      <c r="R82" s="242"/>
      <c r="S82" s="249">
        <f t="shared" ref="S82:S145" si="53">1/IF(AG82="EC",12,1)*SUM(U82:U82)</f>
        <v>1</v>
      </c>
      <c r="T82" s="242" t="str">
        <f t="shared" si="39"/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0"/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2" s="247" t="str">
        <f>IF(AA82&lt;VLOOKUP(AG82,Variables!$AC$3:$AD$8,2,FALSE),"Y","N")</f>
        <v>N</v>
      </c>
      <c r="X82" s="247">
        <f t="shared" si="36"/>
        <v>1</v>
      </c>
      <c r="Y82" s="247">
        <f t="shared" si="41"/>
        <v>5.1299999999999998E-2</v>
      </c>
      <c r="Z82" s="247">
        <f t="shared" si="42"/>
        <v>23.3291</v>
      </c>
      <c r="AA82" s="247">
        <f t="shared" si="43"/>
        <v>23.277799999999999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44"/>
        <v>169</v>
      </c>
      <c r="AE82" s="235" t="str">
        <f t="shared" si="45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82" s="234" t="str">
        <f t="shared" si="46"/>
        <v>"C:\Program Files (x86)\AstroGrep\AstroGrep.exe" /e /r /s /spath="%USERPROFILE%\AppData\Local\Temp\OnboardLogs" /stypes="app*4040*20171217*" /stext=" 19:.+((SYSTEM_STATE.+slice.+state.+changed )|(ment ac)|(multiple cpu faults)|(system.+state.+changed )|(\[timeout)|(PRM\|1\|D)|(kpr)|(kdp)|(train st.+moving)|(\|lc)|(penalty))"</v>
      </c>
      <c r="AG82" s="244" t="str">
        <f t="shared" si="47"/>
        <v>EC</v>
      </c>
      <c r="AH82" s="236" t="str">
        <f t="shared" si="48"/>
        <v>"%USERPROFILE%\Documents\GitHub\eaglep3\Utilities\RefineRTDCRunTimes.py" --tripid 169-17 --locoid 4040 --swversion DE.1.0.9.0 --startMP 204:513 --initTime 2017-12-17T12:06:56 --startdatetime 2017-12-17T12:15:29 --delay 64 --endMP 204:233291 --enddatetime 2017-12-17T12:49:40 --enforcementcount 0 &gt;&gt;%USERPROFILE%\Documents\GitHub\eaglep3-reporting\EC\2017-12-17-refined-times.txt</v>
      </c>
      <c r="AI8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{"issue":{"subject":"","project_id":79,"tracker_id":40,"status_id":1,"priority_id":2,"assigned_to_id":338,"start_date":"2017-12-17","description":"","custom_fields":[{"id":1,"name":"Subdivision","value":"EC"},{"id":4,"name":"Milepost","value":"23.3291"},{"id":17,"name":"Train ID","value":"169-17"},{"id":16,"name":"Locomotive ID","value":"4040"},{"id":130,"name":"Impact","value":""},{"id":150,"name":"Time of Event (Mountain Time)","value":"12:49:40"},{"id":151,"name":"Denver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0"/>
        <v>start /low /b %USERPROFILE%\Documents\GitHub\eaglep3\Utilities\DownloadLogsFromS3.py --loco 4040 --day 2017-12-17</v>
      </c>
      <c r="AN82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2"/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Message%20ID',Summary),filters:!(),index:'emp_*',interval:auto,query:(query_string:(analyze_wildcard:!t,query:'%22rtdc.l.rtdc.4040%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812</v>
      </c>
      <c r="B83" s="225">
        <v>4039</v>
      </c>
      <c r="C83" s="227" t="s">
        <v>192</v>
      </c>
      <c r="D83" s="227" t="s">
        <v>929</v>
      </c>
      <c r="E83" s="226">
        <v>43086.537523148145</v>
      </c>
      <c r="F83" s="226">
        <v>43086.550520833334</v>
      </c>
      <c r="G83" s="225">
        <v>1075</v>
      </c>
      <c r="H83" s="227" t="s">
        <v>950</v>
      </c>
      <c r="I83" s="226">
        <v>43086.576261574075</v>
      </c>
      <c r="J83" s="225">
        <v>0</v>
      </c>
      <c r="K83" s="237" t="str">
        <f t="shared" si="37"/>
        <v>4039/4040</v>
      </c>
      <c r="L83" s="245" t="str">
        <f>VLOOKUP(A83,'Trips&amp;Operators'!$C$1:$G$99911,5,FALSE)</f>
        <v>MAGEE KENYA</v>
      </c>
      <c r="M83" s="224">
        <f t="shared" si="38"/>
        <v>2.5740740740729962E-2</v>
      </c>
      <c r="N83" s="225">
        <f t="shared" si="35"/>
        <v>37.066666666651145</v>
      </c>
      <c r="O83" s="225"/>
      <c r="P83" s="225"/>
      <c r="Q83" s="228"/>
      <c r="R83" s="242"/>
      <c r="S83" s="249">
        <f t="shared" si="53"/>
        <v>1</v>
      </c>
      <c r="T83" s="242" t="str">
        <f t="shared" si="39"/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0"/>
        <v>https://d0f6bd738d7f1b3e5a7ca70fe4ff75f0.us-east-1.aws.found.io/app/kibana#/discover/Steve-Slow-Train-Analysis-(2080s-and-2083s)?_g=(refreshInterval:(display:Off,pause:!f,section:0,value:0),time:(from:'2017-12-17T11:54:02-0700',mode:absolute,to:'2017-12-17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3" s="247" t="str">
        <f>IF(AA83&lt;VLOOKUP(AG83,Variables!$AC$3:$AD$8,2,FALSE),"Y","N")</f>
        <v>N</v>
      </c>
      <c r="X83" s="247">
        <f t="shared" si="36"/>
        <v>1</v>
      </c>
      <c r="Y83" s="247">
        <f t="shared" si="41"/>
        <v>23.2973</v>
      </c>
      <c r="Z83" s="247">
        <f t="shared" si="42"/>
        <v>2.58E-2</v>
      </c>
      <c r="AA83" s="247">
        <f t="shared" si="43"/>
        <v>23.2715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44"/>
        <v>170</v>
      </c>
      <c r="AE83" s="235" t="str">
        <f t="shared" si="45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83" s="234" t="str">
        <f t="shared" si="46"/>
        <v>"C:\Program Files (x86)\AstroGrep\AstroGrep.exe" /e /r /s /spath="%USERPROFILE%\AppData\Local\Temp\OnboardLogs" /stypes="app*4039*20171217*" /stext=" 20:.+((SYSTEM_STATE.+slice.+state.+changed )|(ment ac)|(multiple cpu faults)|(system.+state.+changed )|(\[timeout)|(PRM\|1\|D)|(kpr)|(kdp)|(train st.+moving)|(\|lc)|(penalty))"</v>
      </c>
      <c r="AG83" s="244" t="str">
        <f t="shared" si="47"/>
        <v>EC</v>
      </c>
      <c r="AH83" s="236" t="str">
        <f t="shared" si="48"/>
        <v>"%USERPROFILE%\Documents\GitHub\eaglep3\Utilities\RefineRTDCRunTimes.py" --tripid 170-17 --locoid 4039 --swversion DE.1.0.9.0 --startMP 204:232973 --initTime 2017-12-17T12:54:02 --startdatetime 2017-12-17T13:12:45 --delay 1075 --endMP 204:258 --enddatetime 2017-12-17T13:49:49 --enforcementcount 0 &gt;&gt;%USERPROFILE%\Documents\GitHub\eaglep3-reporting\EC\2017-12-17-refined-times.txt</v>
      </c>
      <c r="AI8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{"issue":{"subject":"","project_id":79,"tracker_id":40,"status_id":1,"priority_id":2,"assigned_to_id":338,"start_date":"2017-12-17","description":"","custom_fields":[{"id":1,"name":"Subdivision","value":"EC"},{"id":4,"name":"Milepost","value":"0.0258"},{"id":17,"name":"Train ID","value":"170-17"},{"id":16,"name":"Locomotive ID","value":"4039"},{"id":130,"name":"Impact","value":""},{"id":150,"name":"Time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0"/>
        <v>start /low /b %USERPROFILE%\Documents\GitHub\eaglep3\Utilities\DownloadLogsFromS3.py --loco 4039 --day 2017-12-17</v>
      </c>
      <c r="AN83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2"/>
        <v>https://d0f6bd738d7f1b3e5a7ca70fe4ff75f0.us-east-1.aws.found.io/app/kibana#/discover/Steve-Slow-Train-Analysis-(2080s-and-2083s)?_g=(refreshInterval:(display:Off,pause:!f,section:0,value:0),time:(from:'2017-12-17T11:54:02-0700',mode:absolute,to:'2017-12-17T14:49:49-0700'))&amp;_a=(columns:!('Message%20ID',Summary),filters:!(),index:'emp_*',interval:auto,query:(query_string:(analyze_wildcard:!t,query:'%22rtdc.l.rtdc.4039%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807</v>
      </c>
      <c r="B84" s="225">
        <v>4058</v>
      </c>
      <c r="C84" s="227" t="s">
        <v>192</v>
      </c>
      <c r="D84" s="227" t="s">
        <v>653</v>
      </c>
      <c r="E84" s="226">
        <v>43086.517442129632</v>
      </c>
      <c r="F84" s="226">
        <v>43086.521168981482</v>
      </c>
      <c r="G84" s="225">
        <v>70</v>
      </c>
      <c r="H84" s="227" t="s">
        <v>951</v>
      </c>
      <c r="I84" s="226">
        <v>43086.546122685184</v>
      </c>
      <c r="J84" s="225">
        <v>0</v>
      </c>
      <c r="K84" s="237" t="str">
        <f t="shared" si="37"/>
        <v>4057/4058</v>
      </c>
      <c r="L84" s="245" t="str">
        <f>VLOOKUP(A84,'Trips&amp;Operators'!$C$1:$G$99911,5,FALSE)</f>
        <v>STEWART MICHAEL</v>
      </c>
      <c r="M84" s="224">
        <f t="shared" si="38"/>
        <v>2.495370370161254E-2</v>
      </c>
      <c r="N84" s="225">
        <f t="shared" si="35"/>
        <v>35.933333330322057</v>
      </c>
      <c r="O84" s="225"/>
      <c r="P84" s="225"/>
      <c r="Q84" s="228"/>
      <c r="R84" s="242"/>
      <c r="S84" s="249">
        <f t="shared" si="53"/>
        <v>1</v>
      </c>
      <c r="T84" s="242" t="str">
        <f t="shared" si="39"/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0"/>
        <v>https://d0f6bd738d7f1b3e5a7ca70fe4ff75f0.us-east-1.aws.found.io/app/kibana#/discover/Steve-Slow-Train-Analysis-(2080s-and-2083s)?_g=(refreshInterval:(display:Off,pause:!f,section:0,value:0),time:(from:'2017-12-17T11:25:07-0700',mode:absolute,to:'2017-12-17T14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4" s="247" t="str">
        <f>IF(AA84&lt;VLOOKUP(AG84,Variables!$AC$3:$AD$8,2,FALSE),"Y","N")</f>
        <v>N</v>
      </c>
      <c r="X84" s="247">
        <f t="shared" si="36"/>
        <v>1</v>
      </c>
      <c r="Y84" s="247">
        <f t="shared" si="41"/>
        <v>4.7500000000000001E-2</v>
      </c>
      <c r="Z84" s="247">
        <f t="shared" si="42"/>
        <v>23.327400000000001</v>
      </c>
      <c r="AA84" s="247">
        <f t="shared" si="43"/>
        <v>23.279900000000001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44"/>
        <v>171</v>
      </c>
      <c r="AE84" s="235" t="str">
        <f t="shared" si="45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84" s="234" t="str">
        <f t="shared" si="46"/>
        <v>"C:\Program Files (x86)\AstroGrep\AstroGrep.exe" /e /r /s /spath="%USERPROFILE%\AppData\Local\Temp\OnboardLogs" /stypes="app*4058*20171217*" /stext=" 20:.+((SYSTEM_STATE.+slice.+state.+changed )|(ment ac)|(multiple cpu faults)|(system.+state.+changed )|(\[timeout)|(PRM\|1\|D)|(kpr)|(kdp)|(train st.+moving)|(\|lc)|(penalty))"</v>
      </c>
      <c r="AG84" s="244" t="str">
        <f t="shared" si="47"/>
        <v>EC</v>
      </c>
      <c r="AH84" s="236" t="str">
        <f t="shared" si="48"/>
        <v>"%USERPROFILE%\Documents\GitHub\eaglep3\Utilities\RefineRTDCRunTimes.py" --tripid 171-17 --locoid 4058 --swversion DE.1.0.9.0 --startMP 204:475 --initTime 2017-12-17T12:25:07 --startdatetime 2017-12-17T12:30:29 --delay 70 --endMP 204:233274 --enddatetime 2017-12-17T13:06:25 --enforcementcount 0 &gt;&gt;%USERPROFILE%\Documents\GitHub\eaglep3-reporting\EC\2017-12-17-refined-times.txt</v>
      </c>
      <c r="AI8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{"issue":{"subject":"","project_id":79,"tracker_id":40,"status_id":1,"priority_id":2,"assigned_to_id":338,"start_date":"2017-12-17","description":"","custom_fields":[{"id":1,"name":"Subdivision","value":"EC"},{"id":4,"name":"Milepost","value":"23.3274"},{"id":17,"name":"Train ID","value":"171-17"},{"id":16,"name":"Locomotive ID","value":"4058"},{"id":130,"name":"Impact","value":""},{"id":150,"name":"Time of Event (Mountain Time)","value":"13:06:25"},{"id":151,"name":"Denver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0"/>
        <v>start /low /b %USERPROFILE%\Documents\GitHub\eaglep3\Utilities\DownloadLogsFromS3.py --loco 4058 --day 2017-12-17</v>
      </c>
      <c r="AN84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2"/>
        <v>https://d0f6bd738d7f1b3e5a7ca70fe4ff75f0.us-east-1.aws.found.io/app/kibana#/discover/Steve-Slow-Train-Analysis-(2080s-and-2083s)?_g=(refreshInterval:(display:Off,pause:!f,section:0,value:0),time:(from:'2017-12-17T11:25:07-0700',mode:absolute,to:'2017-12-17T14:06:25-0700'))&amp;_a=(columns:!('Message%20ID',Summary),filters:!(),index:'emp_*',interval:auto,query:(query_string:(analyze_wildcard:!t,query:'%22rtdc.l.rtdc.4058%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814</v>
      </c>
      <c r="B85" s="225">
        <v>4057</v>
      </c>
      <c r="C85" s="227" t="s">
        <v>192</v>
      </c>
      <c r="D85" s="227" t="s">
        <v>952</v>
      </c>
      <c r="E85" s="226">
        <v>43086.556203703702</v>
      </c>
      <c r="F85" s="226">
        <v>43086.560810185183</v>
      </c>
      <c r="G85" s="225">
        <v>60</v>
      </c>
      <c r="H85" s="227" t="s">
        <v>684</v>
      </c>
      <c r="I85" s="226">
        <v>43086.587245370371</v>
      </c>
      <c r="J85" s="225">
        <v>0</v>
      </c>
      <c r="K85" s="237" t="str">
        <f t="shared" si="37"/>
        <v>4057/4058</v>
      </c>
      <c r="L85" s="245" t="str">
        <f>VLOOKUP(A85,'Trips&amp;Operators'!$C$1:$G$99911,5,FALSE)</f>
        <v>STEWART MICHAEL</v>
      </c>
      <c r="M85" s="224">
        <f t="shared" si="38"/>
        <v>2.6435185187438037E-2</v>
      </c>
      <c r="N85" s="225">
        <f t="shared" si="35"/>
        <v>38.066666669910774</v>
      </c>
      <c r="O85" s="225"/>
      <c r="P85" s="225"/>
      <c r="Q85" s="228"/>
      <c r="R85" s="242"/>
      <c r="S85" s="249">
        <f t="shared" si="53"/>
        <v>1</v>
      </c>
      <c r="T85" s="242" t="str">
        <f t="shared" si="39"/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0"/>
        <v>https://d0f6bd738d7f1b3e5a7ca70fe4ff75f0.us-east-1.aws.found.io/app/kibana#/discover/Steve-Slow-Train-Analysis-(2080s-and-2083s)?_g=(refreshInterval:(display:Off,pause:!f,section:0,value:0),time:(from:'2017-12-17T12:20:56-0700',mode:absolute,to:'2017-12-17T15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5" s="247" t="str">
        <f>IF(AA85&lt;VLOOKUP(AG85,Variables!$AC$3:$AD$8,2,FALSE),"Y","N")</f>
        <v>N</v>
      </c>
      <c r="X85" s="247">
        <f t="shared" si="36"/>
        <v>1</v>
      </c>
      <c r="Y85" s="247">
        <f t="shared" si="41"/>
        <v>23.296399999999998</v>
      </c>
      <c r="Z85" s="247">
        <f t="shared" si="42"/>
        <v>1.6500000000000001E-2</v>
      </c>
      <c r="AA85" s="247">
        <f t="shared" si="43"/>
        <v>23.279899999999998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44"/>
        <v>172</v>
      </c>
      <c r="AE85" s="235" t="str">
        <f t="shared" si="45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85" s="234" t="str">
        <f t="shared" si="46"/>
        <v>"C:\Program Files (x86)\AstroGrep\AstroGrep.exe" /e /r /s /spath="%USERPROFILE%\AppData\Local\Temp\OnboardLogs" /stypes="app*4057*20171217*" /stext=" 21:.+((SYSTEM_STATE.+slice.+state.+changed )|(ment ac)|(multiple cpu faults)|(system.+state.+changed )|(\[timeout)|(PRM\|1\|D)|(kpr)|(kdp)|(train st.+moving)|(\|lc)|(penalty))"</v>
      </c>
      <c r="AG85" s="244" t="str">
        <f t="shared" si="47"/>
        <v>EC</v>
      </c>
      <c r="AH85" s="236" t="str">
        <f t="shared" si="48"/>
        <v>"%USERPROFILE%\Documents\GitHub\eaglep3\Utilities\RefineRTDCRunTimes.py" --tripid 172-17 --locoid 4057 --swversion DE.1.0.9.0 --startMP 204:232964 --initTime 2017-12-17T13:20:56 --startdatetime 2017-12-17T13:27:34 --delay 60 --endMP 204:165 --enddatetime 2017-12-17T14:05:38 --enforcementcount 0 &gt;&gt;%USERPROFILE%\Documents\GitHub\eaglep3-reporting\EC\2017-12-17-refined-times.txt</v>
      </c>
      <c r="AI8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{"issue":{"subject":"","project_id":79,"tracker_id":40,"status_id":1,"priority_id":2,"assigned_to_id":338,"start_date":"2017-12-17","description":"","custom_fields":[{"id":1,"name":"Subdivision","value":"EC"},{"id":4,"name":"Milepost","value":"0.0165"},{"id":17,"name":"Train ID","value":"172-17"},{"id":16,"name":"Locomotive ID","value":"4057"},{"id":130,"name":"Impact","value":""},{"id":150,"name":"Time of Event (Mountain Time)","value":"14:05:38"},{"id":151,"name":"Denver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0"/>
        <v>start /low /b %USERPROFILE%\Documents\GitHub\eaglep3\Utilities\DownloadLogsFromS3.py --loco 4057 --day 2017-12-17</v>
      </c>
      <c r="AN85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2"/>
        <v>https://d0f6bd738d7f1b3e5a7ca70fe4ff75f0.us-east-1.aws.found.io/app/kibana#/discover/Steve-Slow-Train-Analysis-(2080s-and-2083s)?_g=(refreshInterval:(display:Off,pause:!f,section:0,value:0),time:(from:'2017-12-17T12:20:56-0700',mode:absolute,to:'2017-12-17T15:05:38-0700'))&amp;_a=(columns:!('Message%20ID',Summary),filters:!(),index:'emp_*',interval:auto,query:(query_string:(analyze_wildcard:!t,query:'%22rtdc.l.rtdc.4057%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809</v>
      </c>
      <c r="B86" s="225">
        <v>4008</v>
      </c>
      <c r="C86" s="227" t="s">
        <v>192</v>
      </c>
      <c r="D86" s="227" t="s">
        <v>589</v>
      </c>
      <c r="E86" s="226">
        <v>43086.527280092596</v>
      </c>
      <c r="F86" s="226">
        <v>43086.531469907408</v>
      </c>
      <c r="G86" s="225">
        <v>75</v>
      </c>
      <c r="H86" s="227" t="s">
        <v>953</v>
      </c>
      <c r="I86" s="226">
        <v>43086.555914351855</v>
      </c>
      <c r="J86" s="225">
        <v>0</v>
      </c>
      <c r="K86" s="237" t="str">
        <f t="shared" si="37"/>
        <v>4007/4008</v>
      </c>
      <c r="L86" s="245" t="str">
        <f>VLOOKUP(A86,'Trips&amp;Operators'!$C$1:$G$99911,5,FALSE)</f>
        <v>SMITH MICHAEL</v>
      </c>
      <c r="M86" s="224">
        <f t="shared" si="38"/>
        <v>2.4444444446999114E-2</v>
      </c>
      <c r="N86" s="225">
        <f t="shared" si="35"/>
        <v>35.200000003678724</v>
      </c>
      <c r="O86" s="225"/>
      <c r="P86" s="225"/>
      <c r="Q86" s="228"/>
      <c r="R86" s="242"/>
      <c r="S86" s="249">
        <f t="shared" si="53"/>
        <v>1</v>
      </c>
      <c r="T86" s="242" t="str">
        <f t="shared" si="39"/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0"/>
        <v>https://d0f6bd738d7f1b3e5a7ca70fe4ff75f0.us-east-1.aws.found.io/app/kibana#/discover/Steve-Slow-Train-Analysis-(2080s-and-2083s)?_g=(refreshInterval:(display:Off,pause:!f,section:0,value:0),time:(from:'2017-12-17T11:39:17-0700',mode:absolute,to:'2017-12-17T14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247" t="str">
        <f>IF(AA86&lt;VLOOKUP(AG86,Variables!$AC$3:$AD$8,2,FALSE),"Y","N")</f>
        <v>N</v>
      </c>
      <c r="X86" s="247">
        <f t="shared" si="36"/>
        <v>1</v>
      </c>
      <c r="Y86" s="247">
        <f t="shared" si="41"/>
        <v>4.5699999999999998E-2</v>
      </c>
      <c r="Z86" s="247">
        <f t="shared" si="42"/>
        <v>23.320699999999999</v>
      </c>
      <c r="AA86" s="247">
        <f t="shared" si="43"/>
        <v>23.274999999999999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44"/>
        <v>173</v>
      </c>
      <c r="AE86" s="235" t="str">
        <f t="shared" si="45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86" s="234" t="str">
        <f t="shared" si="46"/>
        <v>"C:\Program Files (x86)\AstroGrep\AstroGrep.exe" /e /r /s /spath="%USERPROFILE%\AppData\Local\Temp\OnboardLogs" /stypes="app*4008*20171217*" /stext=" 20:.+((SYSTEM_STATE.+slice.+state.+changed )|(ment ac)|(multiple cpu faults)|(system.+state.+changed )|(\[timeout)|(PRM\|1\|D)|(kpr)|(kdp)|(train st.+moving)|(\|lc)|(penalty))"</v>
      </c>
      <c r="AG86" s="244" t="str">
        <f t="shared" si="47"/>
        <v>EC</v>
      </c>
      <c r="AH86" s="236" t="str">
        <f t="shared" si="48"/>
        <v>"%USERPROFILE%\Documents\GitHub\eaglep3\Utilities\RefineRTDCRunTimes.py" --tripid 173-17 --locoid 4008 --swversion DE.1.0.9.0 --startMP 204:457 --initTime 2017-12-17T12:39:17 --startdatetime 2017-12-17T12:45:19 --delay 75 --endMP 204:233207 --enddatetime 2017-12-17T13:20:31 --enforcementcount 0 &gt;&gt;%USERPROFILE%\Documents\GitHub\eaglep3-reporting\EC\2017-12-17-refined-times.txt</v>
      </c>
      <c r="AI86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{"issue":{"subject":"","project_id":79,"tracker_id":40,"status_id":1,"priority_id":2,"assigned_to_id":338,"start_date":"2017-12-17","description":"","custom_fields":[{"id":1,"name":"Subdivision","value":"EC"},{"id":4,"name":"Milepost","value":"23.3207"},{"id":17,"name":"Train ID","value":"173-17"},{"id":16,"name":"Locomotive ID","value":"4008"},{"id":130,"name":"Impact","value":""},{"id":150,"name":"Time of Event (Mountain Time)","value":"13:20:31"},{"id":151,"name":"Denver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0"/>
        <v>start /low /b %USERPROFILE%\Documents\GitHub\eaglep3\Utilities\DownloadLogsFromS3.py --loco 4008 --day 2017-12-17</v>
      </c>
      <c r="AN86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2"/>
        <v>https://d0f6bd738d7f1b3e5a7ca70fe4ff75f0.us-east-1.aws.found.io/app/kibana#/discover/Steve-Slow-Train-Analysis-(2080s-and-2083s)?_g=(refreshInterval:(display:Off,pause:!f,section:0,value:0),time:(from:'2017-12-17T11:39:17-0700',mode:absolute,to:'2017-12-17T14:20:31-0700'))&amp;_a=(columns:!('Message%20ID',Summary),filters:!(),index:'emp_*',interval:auto,query:(query_string:(analyze_wildcard:!t,query:'%22rtdc.l.rtdc.4008%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817</v>
      </c>
      <c r="B87" s="225">
        <v>4007</v>
      </c>
      <c r="C87" s="227" t="s">
        <v>192</v>
      </c>
      <c r="D87" s="227" t="s">
        <v>954</v>
      </c>
      <c r="E87" s="226">
        <v>43086.564930555556</v>
      </c>
      <c r="F87" s="226">
        <v>43086.571192129632</v>
      </c>
      <c r="G87" s="225">
        <v>61</v>
      </c>
      <c r="H87" s="227" t="s">
        <v>955</v>
      </c>
      <c r="I87" s="226">
        <v>43086.597002314818</v>
      </c>
      <c r="J87" s="225">
        <v>0</v>
      </c>
      <c r="K87" s="237" t="str">
        <f t="shared" si="37"/>
        <v>4007/4008</v>
      </c>
      <c r="L87" s="245" t="str">
        <f>VLOOKUP(A87,'Trips&amp;Operators'!$C$1:$G$99911,5,FALSE)</f>
        <v>SMITH MICHAEL</v>
      </c>
      <c r="M87" s="224">
        <f t="shared" si="38"/>
        <v>2.5810185186855961E-2</v>
      </c>
      <c r="N87" s="225">
        <f t="shared" si="35"/>
        <v>37.166666669072583</v>
      </c>
      <c r="O87" s="225"/>
      <c r="P87" s="225"/>
      <c r="Q87" s="228"/>
      <c r="R87" s="242"/>
      <c r="S87" s="249">
        <f t="shared" si="53"/>
        <v>1</v>
      </c>
      <c r="T87" s="242" t="str">
        <f t="shared" si="39"/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0"/>
        <v>https://d0f6bd738d7f1b3e5a7ca70fe4ff75f0.us-east-1.aws.found.io/app/kibana#/discover/Steve-Slow-Train-Analysis-(2080s-and-2083s)?_g=(refreshInterval:(display:Off,pause:!f,section:0,value:0),time:(from:'2017-12-17T12:33:30-0700',mode:absolute,to:'2017-12-17T15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247" t="str">
        <f>IF(AA87&lt;VLOOKUP(AG87,Variables!$AC$3:$AD$8,2,FALSE),"Y","N")</f>
        <v>N</v>
      </c>
      <c r="X87" s="247">
        <f t="shared" si="36"/>
        <v>1</v>
      </c>
      <c r="Y87" s="247">
        <f t="shared" si="41"/>
        <v>23.287700000000001</v>
      </c>
      <c r="Z87" s="247">
        <f t="shared" si="42"/>
        <v>2.4199999999999999E-2</v>
      </c>
      <c r="AA87" s="247">
        <f t="shared" si="43"/>
        <v>23.263500000000001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44"/>
        <v>174</v>
      </c>
      <c r="AE87" s="235" t="str">
        <f t="shared" si="45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87" s="234" t="str">
        <f t="shared" si="46"/>
        <v>"C:\Program Files (x86)\AstroGrep\AstroGrep.exe" /e /r /s /spath="%USERPROFILE%\AppData\Local\Temp\OnboardLogs" /stypes="app*4007*20171217*" /stext=" 21:.+((SYSTEM_STATE.+slice.+state.+changed )|(ment ac)|(multiple cpu faults)|(system.+state.+changed )|(\[timeout)|(PRM\|1\|D)|(kpr)|(kdp)|(train st.+moving)|(\|lc)|(penalty))"</v>
      </c>
      <c r="AG87" s="244" t="str">
        <f t="shared" si="47"/>
        <v>EC</v>
      </c>
      <c r="AH87" s="236" t="str">
        <f t="shared" si="48"/>
        <v>"%USERPROFILE%\Documents\GitHub\eaglep3\Utilities\RefineRTDCRunTimes.py" --tripid 174-17 --locoid 4007 --swversion DE.1.0.9.0 --startMP 204:232877 --initTime 2017-12-17T13:33:30 --startdatetime 2017-12-17T13:42:31 --delay 61 --endMP 204:242 --enddatetime 2017-12-17T14:19:41 --enforcementcount 0 &gt;&gt;%USERPROFILE%\Documents\GitHub\eaglep3-reporting\EC\2017-12-17-refined-times.txt</v>
      </c>
      <c r="AI87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{"issue":{"subject":"","project_id":79,"tracker_id":40,"status_id":1,"priority_id":2,"assigned_to_id":338,"start_date":"2017-12-17","description":"","custom_fields":[{"id":1,"name":"Subdivision","value":"EC"},{"id":4,"name":"Milepost","value":"0.0242"},{"id":17,"name":"Train ID","value":"174-17"},{"id":16,"name":"Locomotive ID","value":"4007"},{"id":130,"name":"Impact","value":""},{"id":150,"name":"Time of Event (Mountain Time)","value":"14:19:41"},{"id":151,"name":"Denver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0"/>
        <v>start /low /b %USERPROFILE%\Documents\GitHub\eaglep3\Utilities\DownloadLogsFromS3.py --loco 4007 --day 2017-12-17</v>
      </c>
      <c r="AN87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2"/>
        <v>https://d0f6bd738d7f1b3e5a7ca70fe4ff75f0.us-east-1.aws.found.io/app/kibana#/discover/Steve-Slow-Train-Analysis-(2080s-and-2083s)?_g=(refreshInterval:(display:Off,pause:!f,section:0,value:0),time:(from:'2017-12-17T12:33:30-0700',mode:absolute,to:'2017-12-17T15:19:41-0700'))&amp;_a=(columns:!('Message%20ID',Summary),filters:!(),index:'emp_*',interval:auto,query:(query_string:(analyze_wildcard:!t,query:'%22rtdc.l.rtdc.4007%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811</v>
      </c>
      <c r="B88" s="225">
        <v>4030</v>
      </c>
      <c r="C88" s="227" t="s">
        <v>192</v>
      </c>
      <c r="D88" s="227" t="s">
        <v>591</v>
      </c>
      <c r="E88" s="226">
        <v>43086.536932870367</v>
      </c>
      <c r="F88" s="226">
        <v>43086.542083333334</v>
      </c>
      <c r="G88" s="225">
        <v>96</v>
      </c>
      <c r="H88" s="227" t="s">
        <v>643</v>
      </c>
      <c r="I88" s="226">
        <v>43086.568171296298</v>
      </c>
      <c r="J88" s="225">
        <v>0</v>
      </c>
      <c r="K88" s="237" t="str">
        <f t="shared" si="37"/>
        <v>4029/4030</v>
      </c>
      <c r="L88" s="245" t="str">
        <f>VLOOKUP(A88,'Trips&amp;Operators'!$C$1:$G$99911,5,FALSE)</f>
        <v>DAVIS MICHAEL</v>
      </c>
      <c r="M88" s="224">
        <f t="shared" si="38"/>
        <v>2.6087962964083999E-2</v>
      </c>
      <c r="N88" s="225">
        <f t="shared" si="35"/>
        <v>37.566666668280959</v>
      </c>
      <c r="O88" s="225"/>
      <c r="P88" s="225"/>
      <c r="Q88" s="228"/>
      <c r="R88" s="242"/>
      <c r="S88" s="249">
        <f t="shared" si="53"/>
        <v>1</v>
      </c>
      <c r="T88" s="242" t="str">
        <f t="shared" si="39"/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0"/>
        <v>https://d0f6bd738d7f1b3e5a7ca70fe4ff75f0.us-east-1.aws.found.io/app/kibana#/discover/Steve-Slow-Train-Analysis-(2080s-and-2083s)?_g=(refreshInterval:(display:Off,pause:!f,section:0,value:0),time:(from:'2017-12-17T11:53:11-0700',mode:absolute,to:'2017-12-17T14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247" t="str">
        <f>IF(AA88&lt;VLOOKUP(AG88,Variables!$AC$3:$AD$8,2,FALSE),"Y","N")</f>
        <v>N</v>
      </c>
      <c r="X88" s="247">
        <f t="shared" si="36"/>
        <v>1</v>
      </c>
      <c r="Y88" s="247">
        <f t="shared" si="41"/>
        <v>4.6199999999999998E-2</v>
      </c>
      <c r="Z88" s="247">
        <f t="shared" si="42"/>
        <v>23.331499999999998</v>
      </c>
      <c r="AA88" s="247">
        <f t="shared" si="43"/>
        <v>23.285299999999999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44"/>
        <v>175</v>
      </c>
      <c r="AE88" s="235" t="str">
        <f t="shared" si="45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88" s="234" t="str">
        <f t="shared" si="46"/>
        <v>"C:\Program Files (x86)\AstroGrep\AstroGrep.exe" /e /r /s /spath="%USERPROFILE%\AppData\Local\Temp\OnboardLogs" /stypes="app*4030*20171217*" /stext=" 20:.+((SYSTEM_STATE.+slice.+state.+changed )|(ment ac)|(multiple cpu faults)|(system.+state.+changed )|(\[timeout)|(PRM\|1\|D)|(kpr)|(kdp)|(train st.+moving)|(\|lc)|(penalty))"</v>
      </c>
      <c r="AG88" s="244" t="str">
        <f t="shared" si="47"/>
        <v>EC</v>
      </c>
      <c r="AH88" s="236" t="str">
        <f t="shared" si="48"/>
        <v>"%USERPROFILE%\Documents\GitHub\eaglep3\Utilities\RefineRTDCRunTimes.py" --tripid 175-17 --locoid 4030 --swversion DE.1.0.9.0 --startMP 204:462 --initTime 2017-12-17T12:53:11 --startdatetime 2017-12-17T13:00:36 --delay 96 --endMP 204:233315 --enddatetime 2017-12-17T13:38:10 --enforcementcount 0 &gt;&gt;%USERPROFILE%\Documents\GitHub\eaglep3-reporting\EC\2017-12-17-refined-times.txt</v>
      </c>
      <c r="AI88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{"issue":{"subject":"","project_id":79,"tracker_id":40,"status_id":1,"priority_id":2,"assigned_to_id":338,"start_date":"2017-12-17","description":"","custom_fields":[{"id":1,"name":"Subdivision","value":"EC"},{"id":4,"name":"Milepost","value":"23.3315"},{"id":17,"name":"Train ID","value":"175-17"},{"id":16,"name":"Locomotive ID","value":"4030"},{"id":130,"name":"Impact","value":""},{"id":150,"name":"Time of Event (Mountain Time)","value":"13:38:10"},{"id":151,"name":"Denver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0"/>
        <v>start /low /b %USERPROFILE%\Documents\GitHub\eaglep3\Utilities\DownloadLogsFromS3.py --loco 4030 --day 2017-12-17</v>
      </c>
      <c r="AN88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2"/>
        <v>https://d0f6bd738d7f1b3e5a7ca70fe4ff75f0.us-east-1.aws.found.io/app/kibana#/discover/Steve-Slow-Train-Analysis-(2080s-and-2083s)?_g=(refreshInterval:(display:Off,pause:!f,section:0,value:0),time:(from:'2017-12-17T11:53:11-0700',mode:absolute,to:'2017-12-17T14:38:10-0700'))&amp;_a=(columns:!('Message%20ID',Summary),filters:!(),index:'emp_*',interval:auto,query:(query_string:(analyze_wildcard:!t,query:'%22rtdc.l.rtdc.4030%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819</v>
      </c>
      <c r="B89" s="225">
        <v>4029</v>
      </c>
      <c r="C89" s="227" t="s">
        <v>192</v>
      </c>
      <c r="D89" s="227" t="s">
        <v>614</v>
      </c>
      <c r="E89" s="226">
        <v>43086.579699074071</v>
      </c>
      <c r="F89" s="226">
        <v>43086.581990740742</v>
      </c>
      <c r="G89" s="225">
        <v>98</v>
      </c>
      <c r="H89" s="227" t="s">
        <v>592</v>
      </c>
      <c r="I89" s="226">
        <v>43086.609212962961</v>
      </c>
      <c r="J89" s="225">
        <v>0</v>
      </c>
      <c r="K89" s="237" t="str">
        <f t="shared" si="37"/>
        <v>4029/4030</v>
      </c>
      <c r="L89" s="245" t="str">
        <f>VLOOKUP(A89,'Trips&amp;Operators'!$C$1:$G$99911,5,FALSE)</f>
        <v>DAVIS MICHAEL</v>
      </c>
      <c r="M89" s="224">
        <f t="shared" si="38"/>
        <v>2.7222222219279502E-2</v>
      </c>
      <c r="N89" s="225">
        <f t="shared" ref="N89:N115" si="54">24*60*SUM($M89:$M89)</f>
        <v>39.199999995762482</v>
      </c>
      <c r="O89" s="225"/>
      <c r="P89" s="225"/>
      <c r="Q89" s="228"/>
      <c r="R89" s="242"/>
      <c r="S89" s="249">
        <f t="shared" si="53"/>
        <v>1</v>
      </c>
      <c r="T89" s="242" t="str">
        <f t="shared" si="39"/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0"/>
        <v>https://d0f6bd738d7f1b3e5a7ca70fe4ff75f0.us-east-1.aws.found.io/app/kibana#/discover/Steve-Slow-Train-Analysis-(2080s-and-2083s)?_g=(refreshInterval:(display:Off,pause:!f,section:0,value:0),time:(from:'2017-12-17T12:54:46-0700',mode:absolute,to:'2017-12-17T15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247" t="str">
        <f>IF(AA89&lt;VLOOKUP(AG89,Variables!$AC$3:$AD$8,2,FALSE),"Y","N")</f>
        <v>N</v>
      </c>
      <c r="X89" s="247">
        <f t="shared" si="36"/>
        <v>1</v>
      </c>
      <c r="Y89" s="247">
        <f t="shared" si="41"/>
        <v>23.299099999999999</v>
      </c>
      <c r="Z89" s="247">
        <f t="shared" si="42"/>
        <v>2.2100000000000002E-2</v>
      </c>
      <c r="AA89" s="247">
        <f t="shared" si="43"/>
        <v>23.277000000000001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44"/>
        <v>176</v>
      </c>
      <c r="AE89" s="235" t="str">
        <f t="shared" si="45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89" s="234" t="str">
        <f t="shared" si="46"/>
        <v>"C:\Program Files (x86)\AstroGrep\AstroGrep.exe" /e /r /s /spath="%USERPROFILE%\AppData\Local\Temp\OnboardLogs" /stypes="app*4029*20171217*" /stext=" 21:.+((SYSTEM_STATE.+slice.+state.+changed )|(ment ac)|(multiple cpu faults)|(system.+state.+changed )|(\[timeout)|(PRM\|1\|D)|(kpr)|(kdp)|(train st.+moving)|(\|lc)|(penalty))"</v>
      </c>
      <c r="AG89" s="244" t="str">
        <f t="shared" si="47"/>
        <v>EC</v>
      </c>
      <c r="AH89" s="236" t="str">
        <f t="shared" si="48"/>
        <v>"%USERPROFILE%\Documents\GitHub\eaglep3\Utilities\RefineRTDCRunTimes.py" --tripid 176-17 --locoid 4029 --swversion DE.1.0.9.0 --startMP 204:232991 --initTime 2017-12-17T13:54:46 --startdatetime 2017-12-17T13:58:04 --delay 98 --endMP 204:221 --enddatetime 2017-12-17T14:37:16 --enforcementcount 0 &gt;&gt;%USERPROFILE%\Documents\GitHub\eaglep3-reporting\EC\2017-12-17-refined-times.txt</v>
      </c>
      <c r="AI8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{"issue":{"subject":"","project_id":79,"tracker_id":40,"status_id":1,"priority_id":2,"assigned_to_id":338,"start_date":"2017-12-17","description":"","custom_fields":[{"id":1,"name":"Subdivision","value":"EC"},{"id":4,"name":"Milepost","value":"0.0221"},{"id":17,"name":"Train ID","value":"176-17"},{"id":16,"name":"Locomotive ID","value":"4029"},{"id":130,"name":"Impact","value":""},{"id":150,"name":"Time of Event (Mountain Time)","value":"14:37:16"},{"id":151,"name":"Denver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0"/>
        <v>start /low /b %USERPROFILE%\Documents\GitHub\eaglep3\Utilities\DownloadLogsFromS3.py --loco 4029 --day 2017-12-17</v>
      </c>
      <c r="AN89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2"/>
        <v>https://d0f6bd738d7f1b3e5a7ca70fe4ff75f0.us-east-1.aws.found.io/app/kibana#/discover/Steve-Slow-Train-Analysis-(2080s-and-2083s)?_g=(refreshInterval:(display:Off,pause:!f,section:0,value:0),time:(from:'2017-12-17T12:54:46-0700',mode:absolute,to:'2017-12-17T15:37:16-0700'))&amp;_a=(columns:!('Message%20ID',Summary),filters:!(),index:'emp_*',interval:auto,query:(query_string:(analyze_wildcard:!t,query:'%22rtdc.l.rtdc.4029%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813</v>
      </c>
      <c r="B90" s="225">
        <v>4018</v>
      </c>
      <c r="C90" s="227" t="s">
        <v>192</v>
      </c>
      <c r="D90" s="227" t="s">
        <v>586</v>
      </c>
      <c r="E90" s="226">
        <v>43086.548946759256</v>
      </c>
      <c r="F90" s="226">
        <v>43086.552395833336</v>
      </c>
      <c r="G90" s="225">
        <v>76</v>
      </c>
      <c r="H90" s="227" t="s">
        <v>595</v>
      </c>
      <c r="I90" s="226">
        <v>43086.576504629629</v>
      </c>
      <c r="J90" s="225">
        <v>0</v>
      </c>
      <c r="K90" s="237" t="str">
        <f t="shared" si="37"/>
        <v>4017/4018</v>
      </c>
      <c r="L90" s="245" t="str">
        <f>VLOOKUP(A90,'Trips&amp;Operators'!$C$1:$G$99911,5,FALSE)</f>
        <v>SAFIEF AEIMEN</v>
      </c>
      <c r="M90" s="224">
        <f t="shared" si="38"/>
        <v>2.4108796293148771E-2</v>
      </c>
      <c r="N90" s="225">
        <f t="shared" si="54"/>
        <v>34.71666666213423</v>
      </c>
      <c r="O90" s="225"/>
      <c r="P90" s="225"/>
      <c r="Q90" s="228"/>
      <c r="R90" s="242"/>
      <c r="S90" s="249">
        <f t="shared" si="53"/>
        <v>1</v>
      </c>
      <c r="T90" s="242" t="str">
        <f t="shared" si="39"/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0"/>
        <v>https://d0f6bd738d7f1b3e5a7ca70fe4ff75f0.us-east-1.aws.found.io/app/kibana#/discover/Steve-Slow-Train-Analysis-(2080s-and-2083s)?_g=(refreshInterval:(display:Off,pause:!f,section:0,value:0),time:(from:'2017-12-17T12:10:29-0700',mode:absolute,to:'2017-12-17T14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247" t="str">
        <f>IF(AA90&lt;VLOOKUP(AG90,Variables!$AC$3:$AD$8,2,FALSE),"Y","N")</f>
        <v>N</v>
      </c>
      <c r="X90" s="247">
        <f t="shared" si="36"/>
        <v>1</v>
      </c>
      <c r="Y90" s="247">
        <f t="shared" si="41"/>
        <v>4.6399999999999997E-2</v>
      </c>
      <c r="Z90" s="247">
        <f t="shared" si="42"/>
        <v>23.3263</v>
      </c>
      <c r="AA90" s="247">
        <f t="shared" si="43"/>
        <v>23.279900000000001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44"/>
        <v>177</v>
      </c>
      <c r="AE90" s="235" t="str">
        <f t="shared" si="45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90" s="234" t="str">
        <f t="shared" si="46"/>
        <v>"C:\Program Files (x86)\AstroGrep\AstroGrep.exe" /e /r /s /spath="%USERPROFILE%\AppData\Local\Temp\OnboardLogs" /stypes="app*4018*20171217*" /stext=" 20:.+((SYSTEM_STATE.+slice.+state.+changed )|(ment ac)|(multiple cpu faults)|(system.+state.+changed )|(\[timeout)|(PRM\|1\|D)|(kpr)|(kdp)|(train st.+moving)|(\|lc)|(penalty))"</v>
      </c>
      <c r="AG90" s="244" t="str">
        <f t="shared" si="47"/>
        <v>EC</v>
      </c>
      <c r="AH90" s="236" t="str">
        <f t="shared" si="48"/>
        <v>"%USERPROFILE%\Documents\GitHub\eaglep3\Utilities\RefineRTDCRunTimes.py" --tripid 177-17 --locoid 4018 --swversion DE.1.0.9.0 --startMP 204:464 --initTime 2017-12-17T13:10:29 --startdatetime 2017-12-17T13:15:27 --delay 76 --endMP 204:233263 --enddatetime 2017-12-17T13:50:10 --enforcementcount 0 &gt;&gt;%USERPROFILE%\Documents\GitHub\eaglep3-reporting\EC\2017-12-17-refined-times.txt</v>
      </c>
      <c r="AI9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{"issue":{"subject":"","project_id":79,"tracker_id":40,"status_id":1,"priority_id":2,"assigned_to_id":338,"start_date":"2017-12-17","description":"","custom_fields":[{"id":1,"name":"Subdivision","value":"EC"},{"id":4,"name":"Milepost","value":"23.3263"},{"id":17,"name":"Train ID","value":"177-17"},{"id":16,"name":"Locomotive ID","value":"4018"},{"id":130,"name":"Impact","value":""},{"id":150,"name":"Time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0"/>
        <v>start /low /b %USERPROFILE%\Documents\GitHub\eaglep3\Utilities\DownloadLogsFromS3.py --loco 4018 --day 2017-12-17</v>
      </c>
      <c r="AN90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2"/>
        <v>https://d0f6bd738d7f1b3e5a7ca70fe4ff75f0.us-east-1.aws.found.io/app/kibana#/discover/Steve-Slow-Train-Analysis-(2080s-and-2083s)?_g=(refreshInterval:(display:Off,pause:!f,section:0,value:0),time:(from:'2017-12-17T12:10:29-0700',mode:absolute,to:'2017-12-17T14:50:10-0700'))&amp;_a=(columns:!('Message%20ID',Summary),filters:!(),index:'emp_*',interval:auto,query:(query_string:(analyze_wildcard:!t,query:'%22rtdc.l.rtdc.4018%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820</v>
      </c>
      <c r="B91" s="225">
        <v>4017</v>
      </c>
      <c r="C91" s="227" t="s">
        <v>192</v>
      </c>
      <c r="D91" s="227" t="s">
        <v>680</v>
      </c>
      <c r="E91" s="226">
        <v>43086.580358796295</v>
      </c>
      <c r="F91" s="226">
        <v>43086.591898148145</v>
      </c>
      <c r="G91" s="225">
        <v>76</v>
      </c>
      <c r="H91" s="227" t="s">
        <v>549</v>
      </c>
      <c r="I91" s="226">
        <v>43086.617303240739</v>
      </c>
      <c r="J91" s="225">
        <v>0</v>
      </c>
      <c r="K91" s="237" t="str">
        <f t="shared" si="37"/>
        <v>4017/4018</v>
      </c>
      <c r="L91" s="245" t="str">
        <f>VLOOKUP(A91,'Trips&amp;Operators'!$C$1:$G$99911,5,FALSE)</f>
        <v>SAFIEF AEIMEN</v>
      </c>
      <c r="M91" s="224">
        <f t="shared" si="38"/>
        <v>2.5405092594155576E-2</v>
      </c>
      <c r="N91" s="225">
        <f t="shared" si="54"/>
        <v>36.58333333558403</v>
      </c>
      <c r="O91" s="225"/>
      <c r="P91" s="225"/>
      <c r="Q91" s="228"/>
      <c r="R91" s="242"/>
      <c r="S91" s="249">
        <f t="shared" si="53"/>
        <v>1</v>
      </c>
      <c r="T91" s="242" t="str">
        <f t="shared" si="39"/>
        <v>Southbound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0"/>
        <v>https://d0f6bd738d7f1b3e5a7ca70fe4ff75f0.us-east-1.aws.found.io/app/kibana#/discover/Steve-Slow-Train-Analysis-(2080s-and-2083s)?_g=(refreshInterval:(display:Off,pause:!f,section:0,value:0),time:(from:'2017-12-17T12:55:43-0700',mode:absolute,to:'2017-12-17T15:48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247" t="str">
        <f>IF(AA91&lt;VLOOKUP(AG91,Variables!$AC$3:$AD$8,2,FALSE),"Y","N")</f>
        <v>N</v>
      </c>
      <c r="X91" s="247">
        <f t="shared" si="36"/>
        <v>1</v>
      </c>
      <c r="Y91" s="247">
        <f t="shared" si="41"/>
        <v>23.295200000000001</v>
      </c>
      <c r="Z91" s="247">
        <f t="shared" si="42"/>
        <v>1.8499999999999999E-2</v>
      </c>
      <c r="AA91" s="247">
        <f t="shared" si="43"/>
        <v>23.276700000000002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44"/>
        <v>178</v>
      </c>
      <c r="AE91" s="235" t="str">
        <f t="shared" si="45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91" s="234" t="str">
        <f t="shared" si="46"/>
        <v>"C:\Program Files (x86)\AstroGrep\AstroGrep.exe" /e /r /s /spath="%USERPROFILE%\AppData\Local\Temp\OnboardLogs" /stypes="app*4017*20171217*" /stext=" 21:.+((SYSTEM_STATE.+slice.+state.+changed )|(ment ac)|(multiple cpu faults)|(system.+state.+changed )|(\[timeout)|(PRM\|1\|D)|(kpr)|(kdp)|(train st.+moving)|(\|lc)|(penalty))"</v>
      </c>
      <c r="AG91" s="244" t="str">
        <f t="shared" si="47"/>
        <v>EC</v>
      </c>
      <c r="AH91" s="236" t="str">
        <f t="shared" si="48"/>
        <v>"%USERPROFILE%\Documents\GitHub\eaglep3\Utilities\RefineRTDCRunTimes.py" --tripid 178-17 --locoid 4017 --swversion DE.1.0.9.0 --startMP 204:232952 --initTime 2017-12-17T13:55:43 --startdatetime 2017-12-17T14:12:20 --delay 76 --endMP 204:185 --enddatetime 2017-12-17T14:48:55 --enforcementcount 0 &gt;&gt;%USERPROFILE%\Documents\GitHub\eaglep3-reporting\EC\2017-12-17-refined-times.txt</v>
      </c>
      <c r="AI9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{"issue":{"subject":"","project_id":79,"tracker_id":40,"status_id":1,"priority_id":2,"assigned_to_id":338,"start_date":"2017-12-17","description":"","custom_fields":[{"id":1,"name":"Subdivision","value":"EC"},{"id":4,"name":"Milepost","value":"0.0185"},{"id":17,"name":"Train ID","value":"178-17"},{"id":16,"name":"Locomotive ID","value":"4017"},{"id":130,"name":"Impact","value":""},{"id":150,"name":"Time of Event (Mountain Time)","value":"14:48:55"},{"id":151,"name":"Denver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0"/>
        <v>start /low /b %USERPROFILE%\Documents\GitHub\eaglep3\Utilities\DownloadLogsFromS3.py --loco 4017 --day 2017-12-17</v>
      </c>
      <c r="AN91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2"/>
        <v>https://d0f6bd738d7f1b3e5a7ca70fe4ff75f0.us-east-1.aws.found.io/app/kibana#/discover/Steve-Slow-Train-Analysis-(2080s-and-2083s)?_g=(refreshInterval:(display:Off,pause:!f,section:0,value:0),time:(from:'2017-12-17T12:55:43-0700',mode:absolute,to:'2017-12-17T15:48:55-0700'))&amp;_a=(columns:!('Message%20ID',Summary),filters:!(),index:'emp_*',interval:auto,query:(query_string:(analyze_wildcard:!t,query:'%22rtdc.l.rtdc.4017%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815</v>
      </c>
      <c r="B92" s="225">
        <v>4032</v>
      </c>
      <c r="C92" s="227" t="s">
        <v>192</v>
      </c>
      <c r="D92" s="227" t="s">
        <v>583</v>
      </c>
      <c r="E92" s="226">
        <v>43086.559062499997</v>
      </c>
      <c r="F92" s="226">
        <v>43086.562673611108</v>
      </c>
      <c r="G92" s="225">
        <v>54</v>
      </c>
      <c r="H92" s="227" t="s">
        <v>938</v>
      </c>
      <c r="I92" s="226">
        <v>43086.587696759256</v>
      </c>
      <c r="J92" s="225">
        <v>0</v>
      </c>
      <c r="K92" s="237" t="str">
        <f t="shared" si="37"/>
        <v>4031/4032</v>
      </c>
      <c r="L92" s="245" t="str">
        <f>VLOOKUP(A92,'Trips&amp;Operators'!$C$1:$G$99911,5,FALSE)</f>
        <v>GUZMAN DANNY</v>
      </c>
      <c r="M92" s="224">
        <f t="shared" si="38"/>
        <v>2.5023148147738539E-2</v>
      </c>
      <c r="N92" s="225">
        <f t="shared" si="54"/>
        <v>36.033333332743496</v>
      </c>
      <c r="O92" s="225"/>
      <c r="P92" s="225"/>
      <c r="Q92" s="228"/>
      <c r="R92" s="242"/>
      <c r="S92" s="249">
        <f t="shared" si="53"/>
        <v>1</v>
      </c>
      <c r="T92" s="242" t="str">
        <f t="shared" si="39"/>
        <v>NorthBound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0"/>
        <v>https://d0f6bd738d7f1b3e5a7ca70fe4ff75f0.us-east-1.aws.found.io/app/kibana#/discover/Steve-Slow-Train-Analysis-(2080s-and-2083s)?_g=(refreshInterval:(display:Off,pause:!f,section:0,value:0),time:(from:'2017-12-17T12:25:03-0700',mode:absolute,to:'2017-12-17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247" t="str">
        <f>IF(AA92&lt;VLOOKUP(AG92,Variables!$AC$3:$AD$8,2,FALSE),"Y","N")</f>
        <v>N</v>
      </c>
      <c r="X92" s="247">
        <f t="shared" ref="X92:X117" si="55">VALUE(LEFT(AD92,4))-VALUE(LEFT(AD91,4))</f>
        <v>1</v>
      </c>
      <c r="Y92" s="247">
        <f t="shared" si="41"/>
        <v>5.1700000000000003E-2</v>
      </c>
      <c r="Z92" s="247">
        <f t="shared" si="42"/>
        <v>23.331700000000001</v>
      </c>
      <c r="AA92" s="247">
        <f t="shared" si="43"/>
        <v>23.28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44"/>
        <v>179</v>
      </c>
      <c r="AE92" s="235" t="str">
        <f t="shared" si="45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92" s="234" t="str">
        <f t="shared" si="46"/>
        <v>"C:\Program Files (x86)\AstroGrep\AstroGrep.exe" /e /r /s /spath="%USERPROFILE%\AppData\Local\Temp\OnboardLogs" /stypes="app*4032*20171217*" /stext=" 21:.+((SYSTEM_STATE.+slice.+state.+changed )|(ment ac)|(multiple cpu faults)|(system.+state.+changed )|(\[timeout)|(PRM\|1\|D)|(kpr)|(kdp)|(train st.+moving)|(\|lc)|(penalty))"</v>
      </c>
      <c r="AG92" s="244" t="str">
        <f t="shared" si="47"/>
        <v>EC</v>
      </c>
      <c r="AH92" s="236" t="str">
        <f t="shared" si="48"/>
        <v>"%USERPROFILE%\Documents\GitHub\eaglep3\Utilities\RefineRTDCRunTimes.py" --tripid 179-17 --locoid 4032 --swversion DE.1.0.9.0 --startMP 204:517 --initTime 2017-12-17T13:25:03 --startdatetime 2017-12-17T13:30:15 --delay 54 --endMP 204:233317 --enddatetime 2017-12-17T14:06:17 --enforcementcount 0 &gt;&gt;%USERPROFILE%\Documents\GitHub\eaglep3-reporting\EC\2017-12-17-refined-times.txt</v>
      </c>
      <c r="AI9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{"issue":{"subject":"","project_id":79,"tracker_id":40,"status_id":1,"priority_id":2,"assigned_to_id":338,"start_date":"2017-12-17","description":"","custom_fields":[{"id":1,"name":"Subdivision","value":"EC"},{"id":4,"name":"Milepost","value":"23.3317"},{"id":17,"name":"Train ID","value":"179-17"},{"id":16,"name":"Locomotive ID","value":"4032"},{"id":130,"name":"Impact","value":""},{"id":150,"name":"Time of Event (Mountain Time)","value":"14:06:17"},{"id":151,"name":"Denver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0"/>
        <v>start /low /b %USERPROFILE%\Documents\GitHub\eaglep3\Utilities\DownloadLogsFromS3.py --loco 4032 --day 2017-12-17</v>
      </c>
      <c r="AN92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2"/>
        <v>https://d0f6bd738d7f1b3e5a7ca70fe4ff75f0.us-east-1.aws.found.io/app/kibana#/discover/Steve-Slow-Train-Analysis-(2080s-and-2083s)?_g=(refreshInterval:(display:Off,pause:!f,section:0,value:0),time:(from:'2017-12-17T12:25:03-0700',mode:absolute,to:'2017-12-17T15:06:17-0700'))&amp;_a=(columns:!('Message%20ID',Summary),filters:!(),index:'emp_*',interval:auto,query:(query_string:(analyze_wildcard:!t,query:'%22rtdc.l.rtdc.4032%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824</v>
      </c>
      <c r="B93" s="225">
        <v>4031</v>
      </c>
      <c r="C93" s="227" t="s">
        <v>192</v>
      </c>
      <c r="D93" s="227" t="s">
        <v>616</v>
      </c>
      <c r="E93" s="226">
        <v>43086.591886574075</v>
      </c>
      <c r="F93" s="226">
        <v>43086.602233796293</v>
      </c>
      <c r="G93" s="225">
        <v>58</v>
      </c>
      <c r="H93" s="227" t="s">
        <v>482</v>
      </c>
      <c r="I93" s="226">
        <v>43086.627800925926</v>
      </c>
      <c r="J93" s="225">
        <v>0</v>
      </c>
      <c r="K93" s="237" t="str">
        <f t="shared" si="37"/>
        <v>4031/4032</v>
      </c>
      <c r="L93" s="245" t="str">
        <f>VLOOKUP(A93,'Trips&amp;Operators'!$C$1:$G$99911,5,FALSE)</f>
        <v>GUZMAN DANNY</v>
      </c>
      <c r="M93" s="224">
        <f t="shared" si="38"/>
        <v>2.5567129632690921E-2</v>
      </c>
      <c r="N93" s="225">
        <f t="shared" si="54"/>
        <v>36.816666671074927</v>
      </c>
      <c r="O93" s="225"/>
      <c r="P93" s="225"/>
      <c r="Q93" s="228"/>
      <c r="R93" s="242"/>
      <c r="S93" s="249">
        <f t="shared" si="53"/>
        <v>1</v>
      </c>
      <c r="T93" s="242" t="str">
        <f t="shared" si="39"/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40"/>
        <v>https://d0f6bd738d7f1b3e5a7ca70fe4ff75f0.us-east-1.aws.found.io/app/kibana#/discover/Steve-Slow-Train-Analysis-(2080s-and-2083s)?_g=(refreshInterval:(display:Off,pause:!f,section:0,value:0),time:(from:'2017-12-17T13:12:19-0700',mode:absolute,to:'2017-12-17T16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247" t="str">
        <f>IF(AA93&lt;VLOOKUP(AG93,Variables!$AC$3:$AD$8,2,FALSE),"Y","N")</f>
        <v>N</v>
      </c>
      <c r="X93" s="247">
        <f t="shared" si="55"/>
        <v>1</v>
      </c>
      <c r="Y93" s="247">
        <f t="shared" si="41"/>
        <v>23.2987</v>
      </c>
      <c r="Z93" s="247">
        <f t="shared" si="42"/>
        <v>2.4E-2</v>
      </c>
      <c r="AA93" s="247">
        <f t="shared" si="43"/>
        <v>23.274699999999999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44"/>
        <v>180</v>
      </c>
      <c r="AE93" s="235" t="str">
        <f t="shared" si="45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93" s="234" t="str">
        <f t="shared" si="46"/>
        <v>"C:\Program Files (x86)\AstroGrep\AstroGrep.exe" /e /r /s /spath="%USERPROFILE%\AppData\Local\Temp\OnboardLogs" /stypes="app*4031*20171217*" /stext=" 22:.+((SYSTEM_STATE.+slice.+state.+changed )|(ment ac)|(multiple cpu faults)|(system.+state.+changed )|(\[timeout)|(PRM\|1\|D)|(kpr)|(kdp)|(train st.+moving)|(\|lc)|(penalty))"</v>
      </c>
      <c r="AG93" s="244" t="str">
        <f t="shared" si="47"/>
        <v>EC</v>
      </c>
      <c r="AH93" s="236" t="str">
        <f t="shared" si="48"/>
        <v>"%USERPROFILE%\Documents\GitHub\eaglep3\Utilities\RefineRTDCRunTimes.py" --tripid 180-17 --locoid 4031 --swversion DE.1.0.9.0 --startMP 204:232987 --initTime 2017-12-17T14:12:19 --startdatetime 2017-12-17T14:27:13 --delay 58 --endMP 204:240 --enddatetime 2017-12-17T15:04:02 --enforcementcount 0 &gt;&gt;%USERPROFILE%\Documents\GitHub\eaglep3-reporting\EC\2017-12-17-refined-times.txt</v>
      </c>
      <c r="AI9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{"issue":{"subject":"","project_id":79,"tracker_id":40,"status_id":1,"priority_id":2,"assigned_to_id":338,"start_date":"2017-12-17","description":"","custom_fields":[{"id":1,"name":"Subdivision","value":"EC"},{"id":4,"name":"Milepost","value":"0.024"},{"id":17,"name":"Train ID","value":"180-17"},{"id":16,"name":"Locomotive ID","value":"4031"},{"id":130,"name":"Impact","value":""},{"id":150,"name":"Time of Event (Mountain Time)","value":"15:04:02"},{"id":151,"name":"Denver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0"/>
        <v>start /low /b %USERPROFILE%\Documents\GitHub\eaglep3\Utilities\DownloadLogsFromS3.py --loco 4031 --day 2017-12-17</v>
      </c>
      <c r="AN93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2"/>
        <v>https://d0f6bd738d7f1b3e5a7ca70fe4ff75f0.us-east-1.aws.found.io/app/kibana#/discover/Steve-Slow-Train-Analysis-(2080s-and-2083s)?_g=(refreshInterval:(display:Off,pause:!f,section:0,value:0),time:(from:'2017-12-17T13:12:19-0700',mode:absolute,to:'2017-12-17T16:04:02-0700'))&amp;_a=(columns:!('Message%20ID',Summary),filters:!(),index:'emp_*',interval:auto,query:(query_string:(analyze_wildcard:!t,query:'%22rtdc.l.rtdc.4031%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818</v>
      </c>
      <c r="B94" s="225">
        <v>4054</v>
      </c>
      <c r="C94" s="227" t="s">
        <v>192</v>
      </c>
      <c r="D94" s="227" t="s">
        <v>469</v>
      </c>
      <c r="E94" s="226">
        <v>43086.569675925923</v>
      </c>
      <c r="F94" s="226">
        <v>43086.57309027778</v>
      </c>
      <c r="G94" s="225">
        <v>74</v>
      </c>
      <c r="H94" s="227" t="s">
        <v>965</v>
      </c>
      <c r="I94" s="226">
        <v>43086.598530092589</v>
      </c>
      <c r="J94" s="225">
        <v>0</v>
      </c>
      <c r="K94" s="237" t="str">
        <f t="shared" si="37"/>
        <v>4053/4054</v>
      </c>
      <c r="L94" s="245" t="str">
        <f>VLOOKUP(A94,'Trips&amp;Operators'!$C$1:$G$99911,5,FALSE)</f>
        <v>BADERTSCHER DIANE</v>
      </c>
      <c r="M94" s="224">
        <f t="shared" si="38"/>
        <v>2.5439814809942618E-2</v>
      </c>
      <c r="N94" s="225">
        <f t="shared" si="54"/>
        <v>36.63333332631737</v>
      </c>
      <c r="O94" s="225"/>
      <c r="P94" s="225"/>
      <c r="Q94" s="228"/>
      <c r="R94" s="242"/>
      <c r="S94" s="249">
        <f t="shared" si="53"/>
        <v>1</v>
      </c>
      <c r="T94" s="242" t="str">
        <f t="shared" si="39"/>
        <v>NorthBound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0"/>
        <v>https://d0f6bd738d7f1b3e5a7ca70fe4ff75f0.us-east-1.aws.found.io/app/kibana#/discover/Steve-Slow-Train-Analysis-(2080s-and-2083s)?_g=(refreshInterval:(display:Off,pause:!f,section:0,value:0),time:(from:'2017-12-17T12:40:20-0700',mode:absolute,to:'2017-12-17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4" s="247" t="str">
        <f>IF(AA94&lt;VLOOKUP(AG94,Variables!$AC$3:$AD$8,2,FALSE),"Y","N")</f>
        <v>N</v>
      </c>
      <c r="X94" s="247">
        <f t="shared" si="55"/>
        <v>1</v>
      </c>
      <c r="Y94" s="247">
        <f t="shared" si="41"/>
        <v>5.0200000000000002E-2</v>
      </c>
      <c r="Z94" s="247">
        <f t="shared" si="42"/>
        <v>23.330100000000002</v>
      </c>
      <c r="AA94" s="247">
        <f t="shared" si="43"/>
        <v>23.279900000000001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44"/>
        <v>181</v>
      </c>
      <c r="AE94" s="235" t="str">
        <f t="shared" si="45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94" s="234" t="str">
        <f t="shared" si="46"/>
        <v>"C:\Program Files (x86)\AstroGrep\AstroGrep.exe" /e /r /s /spath="%USERPROFILE%\AppData\Local\Temp\OnboardLogs" /stypes="app*4054*20171217*" /stext=" 21:.+((SYSTEM_STATE.+slice.+state.+changed )|(ment ac)|(multiple cpu faults)|(system.+state.+changed )|(\[timeout)|(PRM\|1\|D)|(kpr)|(kdp)|(train st.+moving)|(\|lc)|(penalty))"</v>
      </c>
      <c r="AG94" s="244" t="str">
        <f t="shared" si="47"/>
        <v>EC</v>
      </c>
      <c r="AH94" s="236" t="str">
        <f t="shared" si="48"/>
        <v>"%USERPROFILE%\Documents\GitHub\eaglep3\Utilities\RefineRTDCRunTimes.py" --tripid 181-17 --locoid 4054 --swversion DE.1.0.9.0 --startMP 204:502 --initTime 2017-12-17T13:40:20 --startdatetime 2017-12-17T13:45:15 --delay 74 --endMP 204:233301 --enddatetime 2017-12-17T14:21:53 --enforcementcount 0 &gt;&gt;%USERPROFILE%\Documents\GitHub\eaglep3-reporting\EC\2017-12-17-refined-times.txt</v>
      </c>
      <c r="AI9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{"issue":{"subject":"","project_id":79,"tracker_id":40,"status_id":1,"priority_id":2,"assigned_to_id":338,"start_date":"2017-12-17","description":"","custom_fields":[{"id":1,"name":"Subdivision","value":"EC"},{"id":4,"name":"Milepost","value":"23.3301"},{"id":17,"name":"Train ID","value":"181-17"},{"id":16,"name":"Locomotive ID","value":"4054"},{"id":130,"name":"Impact","value":""},{"id":150,"name":"Time of Event (Mountain Time)","value":"14:21:53"},{"id":151,"name":"Denver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0"/>
        <v>start /low /b %USERPROFILE%\Documents\GitHub\eaglep3\Utilities\DownloadLogsFromS3.py --loco 4054 --day 2017-12-17</v>
      </c>
      <c r="AN94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2"/>
        <v>https://d0f6bd738d7f1b3e5a7ca70fe4ff75f0.us-east-1.aws.found.io/app/kibana#/discover/Steve-Slow-Train-Analysis-(2080s-and-2083s)?_g=(refreshInterval:(display:Off,pause:!f,section:0,value:0),time:(from:'2017-12-17T12:40:20-0700',mode:absolute,to:'2017-12-17T15:21:53-0700'))&amp;_a=(columns:!('Message%20ID',Summary),filters:!(),index:'emp_*',interval:auto,query:(query_string:(analyze_wildcard:!t,query:'%22rtdc.l.rtdc.4054%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826</v>
      </c>
      <c r="B95" s="225">
        <v>4053</v>
      </c>
      <c r="C95" s="227" t="s">
        <v>192</v>
      </c>
      <c r="D95" s="227" t="s">
        <v>942</v>
      </c>
      <c r="E95" s="226">
        <v>43086.608263888891</v>
      </c>
      <c r="F95" s="226">
        <v>43086.61273148148</v>
      </c>
      <c r="G95" s="225">
        <v>62</v>
      </c>
      <c r="H95" s="227" t="s">
        <v>498</v>
      </c>
      <c r="I95" s="226">
        <v>43086.63957175926</v>
      </c>
      <c r="J95" s="225">
        <v>0</v>
      </c>
      <c r="K95" s="237" t="str">
        <f t="shared" si="37"/>
        <v>4053/4054</v>
      </c>
      <c r="L95" s="245" t="str">
        <f>VLOOKUP(A95,'Trips&amp;Operators'!$C$1:$G$99911,5,FALSE)</f>
        <v>BADERTSCHER DIANE</v>
      </c>
      <c r="M95" s="224">
        <f t="shared" si="38"/>
        <v>2.6840277780138422E-2</v>
      </c>
      <c r="N95" s="225">
        <f t="shared" si="54"/>
        <v>38.650000003399327</v>
      </c>
      <c r="O95" s="225"/>
      <c r="P95" s="225"/>
      <c r="Q95" s="228"/>
      <c r="R95" s="242"/>
      <c r="S95" s="249">
        <f t="shared" si="53"/>
        <v>1</v>
      </c>
      <c r="T95" s="242" t="str">
        <f t="shared" si="39"/>
        <v>Southbound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0"/>
        <v>https://d0f6bd738d7f1b3e5a7ca70fe4ff75f0.us-east-1.aws.found.io/app/kibana#/discover/Steve-Slow-Train-Analysis-(2080s-and-2083s)?_g=(refreshInterval:(display:Off,pause:!f,section:0,value:0),time:(from:'2017-12-17T13:35:54-0700',mode:absolute,to:'2017-12-17T16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5" s="247" t="str">
        <f>IF(AA95&lt;VLOOKUP(AG95,Variables!$AC$3:$AD$8,2,FALSE),"Y","N")</f>
        <v>N</v>
      </c>
      <c r="X95" s="247">
        <f t="shared" si="55"/>
        <v>1</v>
      </c>
      <c r="Y95" s="247">
        <f t="shared" si="41"/>
        <v>23.295000000000002</v>
      </c>
      <c r="Z95" s="247">
        <f t="shared" si="42"/>
        <v>2.2499999999999999E-2</v>
      </c>
      <c r="AA95" s="247">
        <f t="shared" si="43"/>
        <v>23.272500000000001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44"/>
        <v>182</v>
      </c>
      <c r="AE95" s="235" t="str">
        <f t="shared" si="45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95" s="234" t="str">
        <f t="shared" si="46"/>
        <v>"C:\Program Files (x86)\AstroGrep\AstroGrep.exe" /e /r /s /spath="%USERPROFILE%\AppData\Local\Temp\OnboardLogs" /stypes="app*4053*20171217*" /stext=" 22:.+((SYSTEM_STATE.+slice.+state.+changed )|(ment ac)|(multiple cpu faults)|(system.+state.+changed )|(\[timeout)|(PRM\|1\|D)|(kpr)|(kdp)|(train st.+moving)|(\|lc)|(penalty))"</v>
      </c>
      <c r="AG95" s="244" t="str">
        <f t="shared" si="47"/>
        <v>EC</v>
      </c>
      <c r="AH95" s="236" t="str">
        <f t="shared" si="48"/>
        <v>"%USERPROFILE%\Documents\GitHub\eaglep3\Utilities\RefineRTDCRunTimes.py" --tripid 182-17 --locoid 4053 --swversion DE.1.0.9.0 --startMP 204:232950 --initTime 2017-12-17T14:35:54 --startdatetime 2017-12-17T14:42:20 --delay 62 --endMP 204:225 --enddatetime 2017-12-17T15:20:59 --enforcementcount 0 &gt;&gt;%USERPROFILE%\Documents\GitHub\eaglep3-reporting\EC\2017-12-17-refined-times.txt</v>
      </c>
      <c r="AI9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ID","value":"182-17"},{"id":16,"name":"Locomotive ID","value":"4053"},{"id":130,"name":"Impact","value":""},{"id":150,"name":"Time of Event (Mountain Time)","value":"15:20:59"},{"id":151,"name":"Denver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0"/>
        <v>start /low /b %USERPROFILE%\Documents\GitHub\eaglep3\Utilities\DownloadLogsFromS3.py --loco 4053 --day 2017-12-17</v>
      </c>
      <c r="AN95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2"/>
        <v>https://d0f6bd738d7f1b3e5a7ca70fe4ff75f0.us-east-1.aws.found.io/app/kibana#/discover/Steve-Slow-Train-Analysis-(2080s-and-2083s)?_g=(refreshInterval:(display:Off,pause:!f,section:0,value:0),time:(from:'2017-12-17T13:35:54-0700',mode:absolute,to:'2017-12-17T16:20:59-0700'))&amp;_a=(columns:!('Message%20ID',Summary),filters:!(),index:'emp_*',interval:auto,query:(query_string:(analyze_wildcard:!t,query:'%22rtdc.l.rtdc.4053%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821</v>
      </c>
      <c r="B96" s="225">
        <v>4040</v>
      </c>
      <c r="C96" s="227" t="s">
        <v>192</v>
      </c>
      <c r="D96" s="227" t="s">
        <v>991</v>
      </c>
      <c r="E96" s="226">
        <v>43086.581261574072</v>
      </c>
      <c r="F96" s="226">
        <v>43086.583854166667</v>
      </c>
      <c r="G96" s="225">
        <v>63</v>
      </c>
      <c r="H96" s="227" t="s">
        <v>992</v>
      </c>
      <c r="I96" s="226">
        <v>43086.608101851853</v>
      </c>
      <c r="J96" s="225">
        <v>0</v>
      </c>
      <c r="K96" s="237" t="str">
        <f t="shared" si="37"/>
        <v>4039/4040</v>
      </c>
      <c r="L96" s="245" t="str">
        <f>VLOOKUP(A96,'Trips&amp;Operators'!$C$1:$G$99911,5,FALSE)</f>
        <v>MAGEE KENYA</v>
      </c>
      <c r="M96" s="224">
        <f t="shared" si="38"/>
        <v>2.4247685185400769E-2</v>
      </c>
      <c r="N96" s="225">
        <f t="shared" si="54"/>
        <v>34.916666666977108</v>
      </c>
      <c r="O96" s="225"/>
      <c r="P96" s="225"/>
      <c r="Q96" s="228"/>
      <c r="R96" s="242"/>
      <c r="S96" s="249">
        <f t="shared" si="53"/>
        <v>1</v>
      </c>
      <c r="T96" s="242" t="str">
        <f t="shared" si="39"/>
        <v>NorthBound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0"/>
        <v>https://d0f6bd738d7f1b3e5a7ca70fe4ff75f0.us-east-1.aws.found.io/app/kibana#/discover/Steve-Slow-Train-Analysis-(2080s-and-2083s)?_g=(refreshInterval:(display:Off,pause:!f,section:0,value:0),time:(from:'2017-12-17T12:57:01-0700',mode:absolute,to:'2017-12-17T15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6" s="247" t="str">
        <f>IF(AA96&lt;VLOOKUP(AG96,Variables!$AC$3:$AD$8,2,FALSE),"Y","N")</f>
        <v>N</v>
      </c>
      <c r="X96" s="247">
        <f t="shared" si="55"/>
        <v>1</v>
      </c>
      <c r="Y96" s="247">
        <f t="shared" si="41"/>
        <v>5.3999999999999999E-2</v>
      </c>
      <c r="Z96" s="247">
        <f t="shared" si="42"/>
        <v>23.3415</v>
      </c>
      <c r="AA96" s="247">
        <f t="shared" si="43"/>
        <v>23.287500000000001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44"/>
        <v>183</v>
      </c>
      <c r="AE96" s="235" t="str">
        <f t="shared" si="45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96" s="234" t="str">
        <f t="shared" si="46"/>
        <v>"C:\Program Files (x86)\AstroGrep\AstroGrep.exe" /e /r /s /spath="%USERPROFILE%\AppData\Local\Temp\OnboardLogs" /stypes="app*4040*20171217*" /stext=" 21:.+((SYSTEM_STATE.+slice.+state.+changed )|(ment ac)|(multiple cpu faults)|(system.+state.+changed )|(\[timeout)|(PRM\|1\|D)|(kpr)|(kdp)|(train st.+moving)|(\|lc)|(penalty))"</v>
      </c>
      <c r="AG96" s="244" t="str">
        <f t="shared" si="47"/>
        <v>EC</v>
      </c>
      <c r="AH96" s="236" t="str">
        <f t="shared" si="48"/>
        <v>"%USERPROFILE%\Documents\GitHub\eaglep3\Utilities\RefineRTDCRunTimes.py" --tripid 183-17 --locoid 4040 --swversion DE.1.0.9.0 --startMP 204:540 --initTime 2017-12-17T13:57:01 --startdatetime 2017-12-17T14:00:45 --delay 63 --endMP 204:233415 --enddatetime 2017-12-17T14:35:40 --enforcementcount 0 &gt;&gt;%USERPROFILE%\Documents\GitHub\eaglep3-reporting\EC\2017-12-17-refined-times.txt</v>
      </c>
      <c r="AI96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{"issue":{"subject":"","project_id":79,"tracker_id":40,"status_id":1,"priority_id":2,"assigned_to_id":338,"start_date":"2017-12-17","description":"","custom_fields":[{"id":1,"name":"Subdivision","value":"EC"},{"id":4,"name":"Milepost","value":"23.3415"},{"id":17,"name":"Train ID","value":"183-17"},{"id":16,"name":"Locomotive ID","value":"4040"},{"id":130,"name":"Impact","value":""},{"id":150,"name":"Time of Event (Mountain Time)","value":"14:35:40"},{"id":151,"name":"Denver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0"/>
        <v>start /low /b %USERPROFILE%\Documents\GitHub\eaglep3\Utilities\DownloadLogsFromS3.py --loco 4040 --day 2017-12-17</v>
      </c>
      <c r="AN96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2"/>
        <v>https://d0f6bd738d7f1b3e5a7ca70fe4ff75f0.us-east-1.aws.found.io/app/kibana#/discover/Steve-Slow-Train-Analysis-(2080s-and-2083s)?_g=(refreshInterval:(display:Off,pause:!f,section:0,value:0),time:(from:'2017-12-17T12:57:01-0700',mode:absolute,to:'2017-12-17T15:35:40-0700'))&amp;_a=(columns:!('Message%20ID',Summary),filters:!(),index:'emp_*',interval:auto,query:(query_string:(analyze_wildcard:!t,query:'%22rtdc.l.rtdc.4040%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829</v>
      </c>
      <c r="B97" s="225">
        <v>4039</v>
      </c>
      <c r="C97" s="227" t="s">
        <v>192</v>
      </c>
      <c r="D97" s="227" t="s">
        <v>1000</v>
      </c>
      <c r="E97" s="226">
        <v>43086.621469907404</v>
      </c>
      <c r="F97" s="226">
        <v>43086.623101851852</v>
      </c>
      <c r="G97" s="225">
        <v>67</v>
      </c>
      <c r="H97" s="227" t="s">
        <v>570</v>
      </c>
      <c r="I97" s="226">
        <v>43086.648726851854</v>
      </c>
      <c r="J97" s="225">
        <v>0</v>
      </c>
      <c r="K97" s="237" t="str">
        <f t="shared" si="37"/>
        <v>4039/4040</v>
      </c>
      <c r="L97" s="245" t="str">
        <f>VLOOKUP(A97,'Trips&amp;Operators'!$C$1:$G$99911,5,FALSE)</f>
        <v>MAGEE KENYA</v>
      </c>
      <c r="M97" s="224">
        <f t="shared" si="38"/>
        <v>2.5625000002037268E-2</v>
      </c>
      <c r="N97" s="225">
        <f t="shared" si="54"/>
        <v>36.900000002933666</v>
      </c>
      <c r="O97" s="225"/>
      <c r="P97" s="225"/>
      <c r="Q97" s="228"/>
      <c r="R97" s="242"/>
      <c r="S97" s="249">
        <f t="shared" si="53"/>
        <v>1</v>
      </c>
      <c r="T97" s="242" t="str">
        <f t="shared" si="39"/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0"/>
        <v>https://d0f6bd738d7f1b3e5a7ca70fe4ff75f0.us-east-1.aws.found.io/app/kibana#/discover/Steve-Slow-Train-Analysis-(2080s-and-2083s)?_g=(refreshInterval:(display:Off,pause:!f,section:0,value:0),time:(from:'2017-12-17T13:54:55-0700',mode:absolute,to:'2017-12-17T16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7" s="247" t="str">
        <f>IF(AA97&lt;VLOOKUP(AG97,Variables!$AC$3:$AD$8,2,FALSE),"Y","N")</f>
        <v>N</v>
      </c>
      <c r="X97" s="247">
        <f t="shared" si="55"/>
        <v>1</v>
      </c>
      <c r="Y97" s="247">
        <f t="shared" si="41"/>
        <v>23.302800000000001</v>
      </c>
      <c r="Z97" s="247">
        <f t="shared" si="42"/>
        <v>2.1999999999999999E-2</v>
      </c>
      <c r="AA97" s="247">
        <f t="shared" si="43"/>
        <v>23.280800000000003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44"/>
        <v>184</v>
      </c>
      <c r="AE97" s="235" t="str">
        <f t="shared" si="45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97" s="234" t="str">
        <f t="shared" si="46"/>
        <v>"C:\Program Files (x86)\AstroGrep\AstroGrep.exe" /e /r /s /spath="%USERPROFILE%\AppData\Local\Temp\OnboardLogs" /stypes="app*4039*20171217*" /stext=" 22:.+((SYSTEM_STATE.+slice.+state.+changed )|(ment ac)|(multiple cpu faults)|(system.+state.+changed )|(\[timeout)|(PRM\|1\|D)|(kpr)|(kdp)|(train st.+moving)|(\|lc)|(penalty))"</v>
      </c>
      <c r="AG97" s="244" t="str">
        <f t="shared" si="47"/>
        <v>EC</v>
      </c>
      <c r="AH97" s="236" t="str">
        <f t="shared" si="48"/>
        <v>"%USERPROFILE%\Documents\GitHub\eaglep3\Utilities\RefineRTDCRunTimes.py" --tripid 184-17 --locoid 4039 --swversion DE.1.0.9.0 --startMP 204:233028 --initTime 2017-12-17T14:54:55 --startdatetime 2017-12-17T14:57:16 --delay 67 --endMP 204:220 --enddatetime 2017-12-17T15:34:10 --enforcementcount 0 &gt;&gt;%USERPROFILE%\Documents\GitHub\eaglep3-reporting\EC\2017-12-17-refined-times.txt</v>
      </c>
      <c r="AI97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{"issue":{"subject":"","project_id":79,"tracker_id":40,"status_id":1,"priority_id":2,"assigned_to_id":338,"start_date":"2017-12-17","description":"","custom_fields":[{"id":1,"name":"Subdivision","value":"EC"},{"id":4,"name":"Milepost","value":"0.022"},{"id":17,"name":"Train ID","value":"184-17"},{"id":16,"name":"Locomotive ID","value":"4039"},{"id":130,"name":"Impact","value":""},{"id":150,"name":"Time of Event (Mountain Time)","value":"15:34:10"},{"id":151,"name":"Denver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0"/>
        <v>start /low /b %USERPROFILE%\Documents\GitHub\eaglep3\Utilities\DownloadLogsFromS3.py --loco 4039 --day 2017-12-17</v>
      </c>
      <c r="AN97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2"/>
        <v>https://d0f6bd738d7f1b3e5a7ca70fe4ff75f0.us-east-1.aws.found.io/app/kibana#/discover/Steve-Slow-Train-Analysis-(2080s-and-2083s)?_g=(refreshInterval:(display:Off,pause:!f,section:0,value:0),time:(from:'2017-12-17T13:54:55-0700',mode:absolute,to:'2017-12-17T16:34:10-0700'))&amp;_a=(columns:!('Message%20ID',Summary),filters:!(),index:'emp_*',interval:auto,query:(query_string:(analyze_wildcard:!t,query:'%22rtdc.l.rtdc.4039%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823</v>
      </c>
      <c r="B98" s="225">
        <v>4058</v>
      </c>
      <c r="C98" s="227" t="s">
        <v>192</v>
      </c>
      <c r="D98" s="227" t="s">
        <v>906</v>
      </c>
      <c r="E98" s="226">
        <v>43086.590717592589</v>
      </c>
      <c r="F98" s="226">
        <v>43086.593969907408</v>
      </c>
      <c r="G98" s="225">
        <v>62</v>
      </c>
      <c r="H98" s="227" t="s">
        <v>1001</v>
      </c>
      <c r="I98" s="226">
        <v>43086.618935185186</v>
      </c>
      <c r="J98" s="225">
        <v>0</v>
      </c>
      <c r="K98" s="237" t="str">
        <f t="shared" si="37"/>
        <v>4057/4058</v>
      </c>
      <c r="L98" s="245" t="str">
        <f>VLOOKUP(A98,'Trips&amp;Operators'!$C$1:$G$99911,5,FALSE)</f>
        <v>STEWART MICHAEL</v>
      </c>
      <c r="M98" s="224">
        <f t="shared" si="38"/>
        <v>2.4965277778392192E-2</v>
      </c>
      <c r="N98" s="225">
        <f t="shared" si="54"/>
        <v>35.950000000884756</v>
      </c>
      <c r="O98" s="225"/>
      <c r="P98" s="225"/>
      <c r="Q98" s="228"/>
      <c r="R98" s="242"/>
      <c r="S98" s="249">
        <f t="shared" si="53"/>
        <v>1</v>
      </c>
      <c r="T98" s="242" t="str">
        <f t="shared" si="39"/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0"/>
        <v>https://d0f6bd738d7f1b3e5a7ca70fe4ff75f0.us-east-1.aws.found.io/app/kibana#/discover/Steve-Slow-Train-Analysis-(2080s-and-2083s)?_g=(refreshInterval:(display:Off,pause:!f,section:0,value:0),time:(from:'2017-12-17T13:10:38-0700',mode:absolute,to:'2017-12-17T15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8" s="247" t="str">
        <f>IF(AA98&lt;VLOOKUP(AG98,Variables!$AC$3:$AD$8,2,FALSE),"Y","N")</f>
        <v>N</v>
      </c>
      <c r="X98" s="247">
        <f t="shared" si="55"/>
        <v>1</v>
      </c>
      <c r="Y98" s="247">
        <f t="shared" si="41"/>
        <v>4.9299999999999997E-2</v>
      </c>
      <c r="Z98" s="247">
        <f t="shared" si="42"/>
        <v>23.331099999999999</v>
      </c>
      <c r="AA98" s="247">
        <f t="shared" si="43"/>
        <v>23.2818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44"/>
        <v>185</v>
      </c>
      <c r="AE98" s="235" t="str">
        <f t="shared" si="45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98" s="234" t="str">
        <f t="shared" si="46"/>
        <v>"C:\Program Files (x86)\AstroGrep\AstroGrep.exe" /e /r /s /spath="%USERPROFILE%\AppData\Local\Temp\OnboardLogs" /stypes="app*4058*20171217*" /stext=" 21:.+((SYSTEM_STATE.+slice.+state.+changed )|(ment ac)|(multiple cpu faults)|(system.+state.+changed )|(\[timeout)|(PRM\|1\|D)|(kpr)|(kdp)|(train st.+moving)|(\|lc)|(penalty))"</v>
      </c>
      <c r="AG98" s="244" t="str">
        <f t="shared" si="47"/>
        <v>EC</v>
      </c>
      <c r="AH98" s="236" t="str">
        <f t="shared" si="48"/>
        <v>"%USERPROFILE%\Documents\GitHub\eaglep3\Utilities\RefineRTDCRunTimes.py" --tripid 185-17 --locoid 4058 --swversion DE.1.0.9.0 --startMP 204:493 --initTime 2017-12-17T14:10:38 --startdatetime 2017-12-17T14:15:19 --delay 62 --endMP 204:233311 --enddatetime 2017-12-17T14:51:16 --enforcementcount 0 &gt;&gt;%USERPROFILE%\Documents\GitHub\eaglep3-reporting\EC\2017-12-17-refined-times.txt</v>
      </c>
      <c r="AI98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{"issue":{"subject":"","project_id":79,"tracker_id":40,"status_id":1,"priority_id":2,"assigned_to_id":338,"start_date":"2017-12-17","description":"","custom_fields":[{"id":1,"name":"Subdivision","value":"EC"},{"id":4,"name":"Milepost","value":"23.3311"},{"id":17,"name":"Train ID","value":"185-17"},{"id":16,"name":"Locomotive ID","value":"4058"},{"id":130,"name":"Impact","value":""},{"id":150,"name":"Time of Event (Mountain Time)","value":"14:51:16"},{"id":151,"name":"Denver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0"/>
        <v>start /low /b %USERPROFILE%\Documents\GitHub\eaglep3\Utilities\DownloadLogsFromS3.py --loco 4058 --day 2017-12-17</v>
      </c>
      <c r="AN98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2"/>
        <v>https://d0f6bd738d7f1b3e5a7ca70fe4ff75f0.us-east-1.aws.found.io/app/kibana#/discover/Steve-Slow-Train-Analysis-(2080s-and-2083s)?_g=(refreshInterval:(display:Off,pause:!f,section:0,value:0),time:(from:'2017-12-17T13:10:38-0700',mode:absolute,to:'2017-12-17T15:51:16-0700'))&amp;_a=(columns:!('Message%20ID',Summary),filters:!(),index:'emp_*',interval:auto,query:(query_string:(analyze_wildcard:!t,query:'%22rtdc.l.rtdc.4058%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831</v>
      </c>
      <c r="B99" s="225">
        <v>4057</v>
      </c>
      <c r="C99" s="227" t="s">
        <v>192</v>
      </c>
      <c r="D99" s="227" t="s">
        <v>929</v>
      </c>
      <c r="E99" s="226">
        <v>43086.630057870374</v>
      </c>
      <c r="F99" s="226">
        <v>43086.633564814816</v>
      </c>
      <c r="G99" s="225">
        <v>57</v>
      </c>
      <c r="H99" s="227" t="s">
        <v>471</v>
      </c>
      <c r="I99" s="226">
        <v>43086.661215277774</v>
      </c>
      <c r="J99" s="225">
        <v>0</v>
      </c>
      <c r="K99" s="237" t="str">
        <f t="shared" si="37"/>
        <v>4057/4058</v>
      </c>
      <c r="L99" s="245" t="str">
        <f>VLOOKUP(A99,'Trips&amp;Operators'!$C$1:$G$99911,5,FALSE)</f>
        <v>STEWART MICHAEL</v>
      </c>
      <c r="M99" s="224">
        <f t="shared" si="38"/>
        <v>2.7650462958263233E-2</v>
      </c>
      <c r="N99" s="225">
        <f t="shared" si="54"/>
        <v>39.816666659899056</v>
      </c>
      <c r="O99" s="225"/>
      <c r="P99" s="225"/>
      <c r="Q99" s="228"/>
      <c r="R99" s="242"/>
      <c r="S99" s="249">
        <f t="shared" si="53"/>
        <v>1</v>
      </c>
      <c r="T99" s="242" t="str">
        <f t="shared" si="39"/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0"/>
        <v>https://d0f6bd738d7f1b3e5a7ca70fe4ff75f0.us-east-1.aws.found.io/app/kibana#/discover/Steve-Slow-Train-Analysis-(2080s-and-2083s)?_g=(refreshInterval:(display:Off,pause:!f,section:0,value:0),time:(from:'2017-12-17T14:07:17-0700',mode:absolute,to:'2017-12-17T16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9" s="247" t="str">
        <f>IF(AA99&lt;VLOOKUP(AG99,Variables!$AC$3:$AD$8,2,FALSE),"Y","N")</f>
        <v>N</v>
      </c>
      <c r="X99" s="247">
        <f t="shared" si="55"/>
        <v>1</v>
      </c>
      <c r="Y99" s="247">
        <f t="shared" si="41"/>
        <v>23.2973</v>
      </c>
      <c r="Z99" s="247">
        <f t="shared" si="42"/>
        <v>1.9599999999999999E-2</v>
      </c>
      <c r="AA99" s="247">
        <f t="shared" si="43"/>
        <v>23.277699999999999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44"/>
        <v>186</v>
      </c>
      <c r="AE99" s="235" t="str">
        <f t="shared" si="45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99" s="234" t="str">
        <f t="shared" si="46"/>
        <v>"C:\Program Files (x86)\AstroGrep\AstroGrep.exe" /e /r /s /spath="%USERPROFILE%\AppData\Local\Temp\OnboardLogs" /stypes="app*4057*20171217*" /stext=" 22:.+((SYSTEM_STATE.+slice.+state.+changed )|(ment ac)|(multiple cpu faults)|(system.+state.+changed )|(\[timeout)|(PRM\|1\|D)|(kpr)|(kdp)|(train st.+moving)|(\|lc)|(penalty))"</v>
      </c>
      <c r="AG99" s="244" t="str">
        <f t="shared" si="47"/>
        <v>EC</v>
      </c>
      <c r="AH99" s="236" t="str">
        <f t="shared" si="48"/>
        <v>"%USERPROFILE%\Documents\GitHub\eaglep3\Utilities\RefineRTDCRunTimes.py" --tripid 186-17 --locoid 4057 --swversion DE.1.0.9.0 --startMP 204:232973 --initTime 2017-12-17T15:07:17 --startdatetime 2017-12-17T15:12:20 --delay 57 --endMP 204:196 --enddatetime 2017-12-17T15:52:09 --enforcementcount 0 &gt;&gt;%USERPROFILE%\Documents\GitHub\eaglep3-reporting\EC\2017-12-17-refined-times.txt</v>
      </c>
      <c r="AI9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{"issue":{"subject":"","project_id":79,"tracker_id":40,"status_id":1,"priority_id":2,"assigned_to_id":338,"start_date":"2017-12-17","description":"","custom_fields":[{"id":1,"name":"Subdivision","value":"EC"},{"id":4,"name":"Milepost","value":"0.0196"},{"id":17,"name":"Train ID","value":"186-17"},{"id":16,"name":"Locomotive ID","value":"4057"},{"id":130,"name":"Impact","value":""},{"id":150,"name":"Time of Event (Mountain Time)","value":"15:52:09"},{"id":151,"name":"Denver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0"/>
        <v>start /low /b %USERPROFILE%\Documents\GitHub\eaglep3\Utilities\DownloadLogsFromS3.py --loco 4057 --day 2017-12-17</v>
      </c>
      <c r="AN99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2"/>
        <v>https://d0f6bd738d7f1b3e5a7ca70fe4ff75f0.us-east-1.aws.found.io/app/kibana#/discover/Steve-Slow-Train-Analysis-(2080s-and-2083s)?_g=(refreshInterval:(display:Off,pause:!f,section:0,value:0),time:(from:'2017-12-17T14:07:17-0700',mode:absolute,to:'2017-12-17T16:52:09-0700'))&amp;_a=(columns:!('Message%20ID',Summary),filters:!(),index:'emp_*',interval:auto,query:(query_string:(analyze_wildcard:!t,query:'%22rtdc.l.rtdc.4057%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825</v>
      </c>
      <c r="B100" s="225">
        <v>4008</v>
      </c>
      <c r="C100" s="227" t="s">
        <v>192</v>
      </c>
      <c r="D100" s="227" t="s">
        <v>673</v>
      </c>
      <c r="E100" s="226">
        <v>43086.599502314813</v>
      </c>
      <c r="F100" s="226">
        <v>43086.604375000003</v>
      </c>
      <c r="G100" s="225">
        <v>59</v>
      </c>
      <c r="H100" s="227" t="s">
        <v>1002</v>
      </c>
      <c r="I100" s="226">
        <v>43086.628993055558</v>
      </c>
      <c r="J100" s="225">
        <v>0</v>
      </c>
      <c r="K100" s="237" t="str">
        <f t="shared" si="37"/>
        <v>4007/4008</v>
      </c>
      <c r="L100" s="245" t="str">
        <f>VLOOKUP(A100,'Trips&amp;Operators'!$C$1:$G$99911,5,FALSE)</f>
        <v>SMITH MICHAEL</v>
      </c>
      <c r="M100" s="224">
        <f t="shared" si="38"/>
        <v>2.4618055555038154E-2</v>
      </c>
      <c r="N100" s="225">
        <f t="shared" si="54"/>
        <v>35.449999999254942</v>
      </c>
      <c r="O100" s="225"/>
      <c r="P100" s="225"/>
      <c r="Q100" s="228"/>
      <c r="R100" s="242"/>
      <c r="S100" s="249">
        <f t="shared" si="53"/>
        <v>1</v>
      </c>
      <c r="T100" s="242" t="str">
        <f t="shared" si="39"/>
        <v>NorthBound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0"/>
        <v>https://d0f6bd738d7f1b3e5a7ca70fe4ff75f0.us-east-1.aws.found.io/app/kibana#/discover/Steve-Slow-Train-Analysis-(2080s-and-2083s)?_g=(refreshInterval:(display:Off,pause:!f,section:0,value:0),time:(from:'2017-12-17T13:23:17-0700',mode:absolute,to:'2017-12-17T16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247" t="str">
        <f>IF(AA100&lt;VLOOKUP(AG100,Variables!$AC$3:$AD$8,2,FALSE),"Y","N")</f>
        <v>N</v>
      </c>
      <c r="X100" s="247">
        <f t="shared" si="55"/>
        <v>1</v>
      </c>
      <c r="Y100" s="247">
        <f t="shared" si="41"/>
        <v>5.4800000000000001E-2</v>
      </c>
      <c r="Z100" s="247">
        <f t="shared" si="42"/>
        <v>23.322500000000002</v>
      </c>
      <c r="AA100" s="247">
        <f t="shared" si="43"/>
        <v>23.267700000000001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44"/>
        <v>187</v>
      </c>
      <c r="AE100" s="235" t="str">
        <f t="shared" si="45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00" s="234" t="str">
        <f t="shared" si="46"/>
        <v>"C:\Program Files (x86)\AstroGrep\AstroGrep.exe" /e /r /s /spath="%USERPROFILE%\AppData\Local\Temp\OnboardLogs" /stypes="app*4008*20171217*" /stext=" 22:.+((SYSTEM_STATE.+slice.+state.+changed )|(ment ac)|(multiple cpu faults)|(system.+state.+changed )|(\[timeout)|(PRM\|1\|D)|(kpr)|(kdp)|(train st.+moving)|(\|lc)|(penalty))"</v>
      </c>
      <c r="AG100" s="244" t="str">
        <f t="shared" si="47"/>
        <v>EC</v>
      </c>
      <c r="AH100" s="236" t="str">
        <f t="shared" si="48"/>
        <v>"%USERPROFILE%\Documents\GitHub\eaglep3\Utilities\RefineRTDCRunTimes.py" --tripid 187-17 --locoid 4008 --swversion DE.1.0.9.0 --startMP 204:548 --initTime 2017-12-17T14:23:17 --startdatetime 2017-12-17T14:30:18 --delay 59 --endMP 204:233225 --enddatetime 2017-12-17T15:05:45 --enforcementcount 0 &gt;&gt;%USERPROFILE%\Documents\GitHub\eaglep3-reporting\EC\2017-12-17-refined-times.txt</v>
      </c>
      <c r="AI10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{"issue":{"subject":"","project_id":79,"tracker_id":40,"status_id":1,"priority_id":2,"assigned_to_id":338,"start_date":"2017-12-17","description":"","custom_fields":[{"id":1,"name":"Subdivision","value":"EC"},{"id":4,"name":"Milepost","value":"23.3225"},{"id":17,"name":"Train ID","value":"187-17"},{"id":16,"name":"Locomotive ID","value":"4008"},{"id":130,"name":"Impact","value":""},{"id":150,"name":"Time of Event (Mountain Time)","value":"15:05:45"},{"id":151,"name":"Denver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0"/>
        <v>start /low /b %USERPROFILE%\Documents\GitHub\eaglep3\Utilities\DownloadLogsFromS3.py --loco 4008 --day 2017-12-17</v>
      </c>
      <c r="AN100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2"/>
        <v>https://d0f6bd738d7f1b3e5a7ca70fe4ff75f0.us-east-1.aws.found.io/app/kibana#/discover/Steve-Slow-Train-Analysis-(2080s-and-2083s)?_g=(refreshInterval:(display:Off,pause:!f,section:0,value:0),time:(from:'2017-12-17T13:23:17-0700',mode:absolute,to:'2017-12-17T16:05:45-0700'))&amp;_a=(columns:!('Message%20ID',Summary),filters:!(),index:'emp_*',interval:auto,query:(query_string:(analyze_wildcard:!t,query:'%22rtdc.l.rtdc.4008%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229" t="s">
        <v>832</v>
      </c>
      <c r="B101" s="225">
        <v>4007</v>
      </c>
      <c r="C101" s="227" t="s">
        <v>192</v>
      </c>
      <c r="D101" s="227" t="s">
        <v>666</v>
      </c>
      <c r="E101" s="226">
        <v>43086.633518518516</v>
      </c>
      <c r="F101" s="226">
        <v>43086.643958333334</v>
      </c>
      <c r="G101" s="225">
        <v>77</v>
      </c>
      <c r="H101" s="227" t="s">
        <v>1003</v>
      </c>
      <c r="I101" s="226">
        <v>43086.669768518521</v>
      </c>
      <c r="J101" s="225">
        <v>0</v>
      </c>
      <c r="K101" s="237" t="str">
        <f t="shared" si="37"/>
        <v>4007/4008</v>
      </c>
      <c r="L101" s="245" t="str">
        <f>VLOOKUP(A101,'Trips&amp;Operators'!$C$1:$G$99911,5,FALSE)</f>
        <v>SMITH MICHAEL</v>
      </c>
      <c r="M101" s="224">
        <f t="shared" si="38"/>
        <v>2.5810185186855961E-2</v>
      </c>
      <c r="N101" s="225">
        <f t="shared" si="54"/>
        <v>37.166666669072583</v>
      </c>
      <c r="O101" s="225"/>
      <c r="P101" s="225"/>
      <c r="Q101" s="228"/>
      <c r="R101" s="242"/>
      <c r="S101" s="249">
        <f t="shared" si="53"/>
        <v>1</v>
      </c>
      <c r="T101" s="242" t="str">
        <f t="shared" si="39"/>
        <v>Southbound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0"/>
        <v>https://d0f6bd738d7f1b3e5a7ca70fe4ff75f0.us-east-1.aws.found.io/app/kibana#/discover/Steve-Slow-Train-Analysis-(2080s-and-2083s)?_g=(refreshInterval:(display:Off,pause:!f,section:0,value:0),time:(from:'2017-12-17T14:12:16-0700',mode:absolute,to:'2017-12-17T17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247" t="str">
        <f>IF(AA101&lt;VLOOKUP(AG101,Variables!$AC$3:$AD$8,2,FALSE),"Y","N")</f>
        <v>N</v>
      </c>
      <c r="X101" s="247">
        <f t="shared" si="55"/>
        <v>1</v>
      </c>
      <c r="Y101" s="247">
        <f t="shared" si="41"/>
        <v>23.289200000000001</v>
      </c>
      <c r="Z101" s="247">
        <f t="shared" si="42"/>
        <v>2.3199999999999998E-2</v>
      </c>
      <c r="AA101" s="247">
        <f t="shared" si="43"/>
        <v>23.266000000000002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44"/>
        <v>188</v>
      </c>
      <c r="AE101" s="235" t="str">
        <f t="shared" si="45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01" s="234" t="str">
        <f t="shared" si="46"/>
        <v>"C:\Program Files (x86)\AstroGrep\AstroGrep.exe" /e /r /s /spath="%USERPROFILE%\AppData\Local\Temp\OnboardLogs" /stypes="app*4007*20171217*" /stext=" 23:.+((SYSTEM_STATE.+slice.+state.+changed )|(ment ac)|(multiple cpu faults)|(system.+state.+changed )|(\[timeout)|(PRM\|1\|D)|(kpr)|(kdp)|(train st.+moving)|(\|lc)|(penalty))"</v>
      </c>
      <c r="AG101" s="244" t="str">
        <f t="shared" si="47"/>
        <v>EC</v>
      </c>
      <c r="AH101" s="236" t="str">
        <f t="shared" si="48"/>
        <v>"%USERPROFILE%\Documents\GitHub\eaglep3\Utilities\RefineRTDCRunTimes.py" --tripid 188-17 --locoid 4007 --swversion DE.1.0.9.0 --startMP 204:232892 --initTime 2017-12-17T15:12:16 --startdatetime 2017-12-17T15:27:18 --delay 77 --endMP 204:232 --enddatetime 2017-12-17T16:04:28 --enforcementcount 0 &gt;&gt;%USERPROFILE%\Documents\GitHub\eaglep3-reporting\EC\2017-12-17-refined-times.txt</v>
      </c>
      <c r="AI10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{"issue":{"subject":"","project_id":79,"tracker_id":40,"status_id":1,"priority_id":2,"assigned_to_id":338,"start_date":"2017-12-17","description":"","custom_fields":[{"id":1,"name":"Subdivision","value":"EC"},{"id":4,"name":"Milepost","value":"0.0232"},{"id":17,"name":"Train ID","value":"188-17"},{"id":16,"name":"Locomotive ID","value":"4007"},{"id":130,"name":"Impact","value":""},{"id":150,"name":"Time of Event (Mountain Time)","value":"16:04:28"},{"id":151,"name":"Denver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0"/>
        <v>start /low /b %USERPROFILE%\Documents\GitHub\eaglep3\Utilities\DownloadLogsFromS3.py --loco 4007 --day 2017-12-17</v>
      </c>
      <c r="AN101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2"/>
        <v>https://d0f6bd738d7f1b3e5a7ca70fe4ff75f0.us-east-1.aws.found.io/app/kibana#/discover/Steve-Slow-Train-Analysis-(2080s-and-2083s)?_g=(refreshInterval:(display:Off,pause:!f,section:0,value:0),time:(from:'2017-12-17T14:12:16-0700',mode:absolute,to:'2017-12-17T17:04:28-0700'))&amp;_a=(columns:!('Message%20ID',Summary),filters:!(),index:'emp_*',interval:auto,query:(query_string:(analyze_wildcard:!t,query:'%22rtdc.l.rtdc.4007%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229" t="s">
        <v>827</v>
      </c>
      <c r="B102" s="225">
        <v>4030</v>
      </c>
      <c r="C102" s="227" t="s">
        <v>192</v>
      </c>
      <c r="D102" s="227" t="s">
        <v>576</v>
      </c>
      <c r="E102" s="226">
        <v>43086.612974537034</v>
      </c>
      <c r="F102" s="226">
        <v>43086.614907407406</v>
      </c>
      <c r="G102" s="225">
        <v>68</v>
      </c>
      <c r="H102" s="227" t="s">
        <v>1004</v>
      </c>
      <c r="I102" s="226">
        <v>43086.641030092593</v>
      </c>
      <c r="J102" s="225">
        <v>0</v>
      </c>
      <c r="K102" s="237" t="str">
        <f t="shared" si="37"/>
        <v>4029/4030</v>
      </c>
      <c r="L102" s="245" t="str">
        <f>VLOOKUP(A102,'Trips&amp;Operators'!$C$1:$G$99911,5,FALSE)</f>
        <v>DAVIS MICHAEL</v>
      </c>
      <c r="M102" s="224">
        <f t="shared" si="38"/>
        <v>2.6122685187146999E-2</v>
      </c>
      <c r="N102" s="225">
        <f t="shared" si="54"/>
        <v>37.616666669491678</v>
      </c>
      <c r="O102" s="225"/>
      <c r="P102" s="225"/>
      <c r="Q102" s="228"/>
      <c r="R102" s="242"/>
      <c r="S102" s="249">
        <f t="shared" si="53"/>
        <v>1</v>
      </c>
      <c r="T102" s="242" t="str">
        <f t="shared" si="39"/>
        <v>NorthBound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0"/>
        <v>https://d0f6bd738d7f1b3e5a7ca70fe4ff75f0.us-east-1.aws.found.io/app/kibana#/discover/Steve-Slow-Train-Analysis-(2080s-and-2083s)?_g=(refreshInterval:(display:Off,pause:!f,section:0,value:0),time:(from:'2017-12-17T13:42:41-0700',mode:absolute,to:'2017-12-17T16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247" t="str">
        <f>IF(AA102&lt;VLOOKUP(AG102,Variables!$AC$3:$AD$8,2,FALSE),"Y","N")</f>
        <v>N</v>
      </c>
      <c r="X102" s="247">
        <f t="shared" si="55"/>
        <v>1</v>
      </c>
      <c r="Y102" s="247">
        <f t="shared" si="41"/>
        <v>5.2900000000000003E-2</v>
      </c>
      <c r="Z102" s="247">
        <f t="shared" si="42"/>
        <v>23.333600000000001</v>
      </c>
      <c r="AA102" s="247">
        <f t="shared" si="43"/>
        <v>23.2807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44"/>
        <v>189</v>
      </c>
      <c r="AE102" s="235" t="str">
        <f t="shared" si="45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102" s="234" t="str">
        <f t="shared" si="46"/>
        <v>"C:\Program Files (x86)\AstroGrep\AstroGrep.exe" /e /r /s /spath="%USERPROFILE%\AppData\Local\Temp\OnboardLogs" /stypes="app*4030*20171217*" /stext=" 22:.+((SYSTEM_STATE.+slice.+state.+changed )|(ment ac)|(multiple cpu faults)|(system.+state.+changed )|(\[timeout)|(PRM\|1\|D)|(kpr)|(kdp)|(train st.+moving)|(\|lc)|(penalty))"</v>
      </c>
      <c r="AG102" s="244" t="str">
        <f t="shared" si="47"/>
        <v>EC</v>
      </c>
      <c r="AH102" s="236" t="str">
        <f t="shared" si="48"/>
        <v>"%USERPROFILE%\Documents\GitHub\eaglep3\Utilities\RefineRTDCRunTimes.py" --tripid 189-17 --locoid 4030 --swversion DE.1.0.9.0 --startMP 204:529 --initTime 2017-12-17T14:42:41 --startdatetime 2017-12-17T14:45:28 --delay 68 --endMP 204:233336 --enddatetime 2017-12-17T15:23:05 --enforcementcount 0 &gt;&gt;%USERPROFILE%\Documents\GitHub\eaglep3-reporting\EC\2017-12-17-refined-times.txt</v>
      </c>
      <c r="AI10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{"issue":{"subject":"","project_id":79,"tracker_id":40,"status_id":1,"priority_id":2,"assigned_to_id":338,"start_date":"2017-12-17","description":"","custom_fields":[{"id":1,"name":"Subdivision","value":"EC"},{"id":4,"name":"Milepost","value":"23.3336"},{"id":17,"name":"Train ID","value":"189-17"},{"id":16,"name":"Locomotive ID","value":"4030"},{"id":130,"name":"Impact","value":""},{"id":150,"name":"Time of Event (Mountain Time)","value":"15:23:05"},{"id":151,"name":"Denver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0"/>
        <v>start /low /b %USERPROFILE%\Documents\GitHub\eaglep3\Utilities\DownloadLogsFromS3.py --loco 4030 --day 2017-12-17</v>
      </c>
      <c r="AN102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2"/>
        <v>https://d0f6bd738d7f1b3e5a7ca70fe4ff75f0.us-east-1.aws.found.io/app/kibana#/discover/Steve-Slow-Train-Analysis-(2080s-and-2083s)?_g=(refreshInterval:(display:Off,pause:!f,section:0,value:0),time:(from:'2017-12-17T13:42:41-0700',mode:absolute,to:'2017-12-17T16:23:05-0700'))&amp;_a=(columns:!('Message%20ID',Summary),filters:!(),index:'emp_*',interval:auto,query:(query_string:(analyze_wildcard:!t,query:'%22rtdc.l.rtdc.4030%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835</v>
      </c>
      <c r="B103" s="225">
        <v>4029</v>
      </c>
      <c r="C103" s="227" t="s">
        <v>192</v>
      </c>
      <c r="D103" s="227" t="s">
        <v>908</v>
      </c>
      <c r="E103" s="226">
        <v>43086.651585648149</v>
      </c>
      <c r="F103" s="226">
        <v>43086.654537037037</v>
      </c>
      <c r="G103" s="225">
        <v>80</v>
      </c>
      <c r="H103" s="227" t="s">
        <v>1005</v>
      </c>
      <c r="I103" s="226">
        <v>43086.680902777778</v>
      </c>
      <c r="J103" s="225">
        <v>0</v>
      </c>
      <c r="K103" s="237" t="str">
        <f t="shared" si="37"/>
        <v>4029/4030</v>
      </c>
      <c r="L103" s="245" t="str">
        <f>VLOOKUP(A103,'Trips&amp;Operators'!$C$1:$G$99911,5,FALSE)</f>
        <v>DAVIS MICHAEL</v>
      </c>
      <c r="M103" s="224">
        <f t="shared" si="38"/>
        <v>2.6365740741312038E-2</v>
      </c>
      <c r="N103" s="225">
        <f t="shared" si="54"/>
        <v>37.966666667489335</v>
      </c>
      <c r="O103" s="225"/>
      <c r="P103" s="225"/>
      <c r="Q103" s="228"/>
      <c r="R103" s="242" t="s">
        <v>620</v>
      </c>
      <c r="S103" s="249">
        <f t="shared" si="53"/>
        <v>1</v>
      </c>
      <c r="T103" s="242" t="str">
        <f t="shared" si="39"/>
        <v>Southbound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0"/>
        <v>https://d0f6bd738d7f1b3e5a7ca70fe4ff75f0.us-east-1.aws.found.io/app/kibana#/discover/Steve-Slow-Train-Analysis-(2080s-and-2083s)?_g=(refreshInterval:(display:Off,pause:!f,section:0,value:0),time:(from:'2017-12-17T14:38:17-0700',mode:absolute,to:'2017-12-17T17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247" t="str">
        <f>IF(AA103&lt;VLOOKUP(AG103,Variables!$AC$3:$AD$8,2,FALSE),"Y","N")</f>
        <v>N</v>
      </c>
      <c r="X103" s="247">
        <f t="shared" si="55"/>
        <v>1</v>
      </c>
      <c r="Y103" s="247">
        <f t="shared" si="41"/>
        <v>23.2986</v>
      </c>
      <c r="Z103" s="247">
        <f t="shared" si="42"/>
        <v>0.19359999999999999</v>
      </c>
      <c r="AA103" s="247">
        <f t="shared" si="43"/>
        <v>23.105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44"/>
        <v>190</v>
      </c>
      <c r="AE103" s="235" t="str">
        <f t="shared" si="45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03" s="234" t="str">
        <f t="shared" si="46"/>
        <v>"C:\Program Files (x86)\AstroGrep\AstroGrep.exe" /e /r /s /spath="%USERPROFILE%\AppData\Local\Temp\OnboardLogs" /stypes="app*4029*20171217*" /stext=" 23:.+((SYSTEM_STATE.+slice.+state.+changed )|(ment ac)|(multiple cpu faults)|(system.+state.+changed )|(\[timeout)|(PRM\|1\|D)|(kpr)|(kdp)|(train st.+moving)|(\|lc)|(penalty))"</v>
      </c>
      <c r="AG103" s="244" t="str">
        <f t="shared" si="47"/>
        <v>EC</v>
      </c>
      <c r="AH103" s="236" t="str">
        <f t="shared" si="48"/>
        <v>"%USERPROFILE%\Documents\GitHub\eaglep3\Utilities\RefineRTDCRunTimes.py" --tripid 190-17 --locoid 4029 --swversion DE.1.0.9.0 --startMP 204:232986 --initTime 2017-12-17T15:38:17 --startdatetime 2017-12-17T15:42:32 --delay 80 --endMP 204:1936 --enddatetime 2017-12-17T16:20:30 --enforcementcount 0 &gt;&gt;%USERPROFILE%\Documents\GitHub\eaglep3-reporting\EC\2017-12-17-refined-times.txt</v>
      </c>
      <c r="AI103" s="238" t="str">
        <f t="shared" si="49"/>
        <v>echo {"issue":{"subject":"Observed unhealthy xing banner at Chambers due to station stop","project_id":79,"tracker_id":40,"status_id":1,"priority_id":2,"assigned_to_id":338,"start_date":"2017-12-17","description":"","custom_fields":[{"id":1,"name":"Subdivision","value":"EC"},{"id":4,"name":"Milepost","value":"0.1936"},{"id":17,"name":"Train ID","value":"190-17"},{"id":16,"name":"Locomotive ID","value":"4029"},{"id":130,"name":"Impact","value":""},{"id":150,"name":"Time of Event (Mountain Time)","value":"16:20:30"},{"id":151,"name":"Denver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0"/>
        <v>start /low /b %USERPROFILE%\Documents\GitHub\eaglep3\Utilities\DownloadLogsFromS3.py --loco 4029 --day 2017-12-17</v>
      </c>
      <c r="AN103" s="241" t="str">
        <f t="shared" si="51"/>
        <v>echo {"issue":{"subject":"Observed unhealthy xing banner at Chambers due to station stop","project_id":30,"tracker_id":4,"status_id":1,"priority_id":1,"assigned_to_id":10,"start_date":"2017-12-17","description":"","custom_fields":[{"id":30,"name":"Category","value":"Issue"},{"id":3,"name":"Functional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2"/>
        <v>https://d0f6bd738d7f1b3e5a7ca70fe4ff75f0.us-east-1.aws.found.io/app/kibana#/discover/Steve-Slow-Train-Analysis-(2080s-and-2083s)?_g=(refreshInterval:(display:Off,pause:!f,section:0,value:0),time:(from:'2017-12-17T14:38:17-0700',mode:absolute,to:'2017-12-17T17:20:30-0700'))&amp;_a=(columns:!('Message%20ID',Summary),filters:!(),index:'emp_*',interval:auto,query:(query_string:(analyze_wildcard:!t,query:'%22rtdc.l.rtdc.4029%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828</v>
      </c>
      <c r="B104" s="225">
        <v>4018</v>
      </c>
      <c r="C104" s="227" t="s">
        <v>192</v>
      </c>
      <c r="D104" s="227" t="s">
        <v>1010</v>
      </c>
      <c r="E104" s="226">
        <v>43086.620717592596</v>
      </c>
      <c r="F104" s="226">
        <v>43086.625219907408</v>
      </c>
      <c r="G104" s="225">
        <v>102</v>
      </c>
      <c r="H104" s="227" t="s">
        <v>1011</v>
      </c>
      <c r="I104" s="226">
        <v>43086.649571759262</v>
      </c>
      <c r="J104" s="225">
        <v>0</v>
      </c>
      <c r="K104" s="237" t="str">
        <f t="shared" si="37"/>
        <v>4017/4018</v>
      </c>
      <c r="L104" s="245" t="str">
        <f>VLOOKUP(A104,'Trips&amp;Operators'!$C$1:$G$99911,5,FALSE)</f>
        <v>SAFIEF AEIMEN</v>
      </c>
      <c r="M104" s="224">
        <f t="shared" si="38"/>
        <v>2.4351851854589768E-2</v>
      </c>
      <c r="N104" s="225">
        <f t="shared" si="54"/>
        <v>35.066666670609266</v>
      </c>
      <c r="O104" s="225"/>
      <c r="P104" s="225"/>
      <c r="Q104" s="228"/>
      <c r="R104" s="242"/>
      <c r="S104" s="249">
        <f t="shared" si="53"/>
        <v>1</v>
      </c>
      <c r="T104" s="242" t="str">
        <f t="shared" si="39"/>
        <v>NorthBound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0"/>
        <v>https://d0f6bd738d7f1b3e5a7ca70fe4ff75f0.us-east-1.aws.found.io/app/kibana#/discover/Steve-Slow-Train-Analysis-(2080s-and-2083s)?_g=(refreshInterval:(display:Off,pause:!f,section:0,value:0),time:(from:'2017-12-17T13:53:50-0700',mode:absolute,to:'2017-12-17T16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247" t="str">
        <f>IF(AA104&lt;VLOOKUP(AG104,Variables!$AC$3:$AD$8,2,FALSE),"Y","N")</f>
        <v>N</v>
      </c>
      <c r="X104" s="247">
        <f t="shared" si="55"/>
        <v>1</v>
      </c>
      <c r="Y104" s="247">
        <f t="shared" si="41"/>
        <v>4.8399999999999999E-2</v>
      </c>
      <c r="Z104" s="247">
        <f t="shared" si="42"/>
        <v>23.3278</v>
      </c>
      <c r="AA104" s="247">
        <f t="shared" si="43"/>
        <v>23.279399999999999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44"/>
        <v>191</v>
      </c>
      <c r="AE104" s="235" t="str">
        <f t="shared" si="45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04" s="234" t="str">
        <f t="shared" si="46"/>
        <v>"C:\Program Files (x86)\AstroGrep\AstroGrep.exe" /e /r /s /spath="%USERPROFILE%\AppData\Local\Temp\OnboardLogs" /stypes="app*4018*20171217*" /stext=" 22:.+((SYSTEM_STATE.+slice.+state.+changed )|(ment ac)|(multiple cpu faults)|(system.+state.+changed )|(\[timeout)|(PRM\|1\|D)|(kpr)|(kdp)|(train st.+moving)|(\|lc)|(penalty))"</v>
      </c>
      <c r="AG104" s="244" t="str">
        <f t="shared" si="47"/>
        <v>EC</v>
      </c>
      <c r="AH104" s="236" t="str">
        <f t="shared" si="48"/>
        <v>"%USERPROFILE%\Documents\GitHub\eaglep3\Utilities\RefineRTDCRunTimes.py" --tripid 191-17 --locoid 4018 --swversion DE.1.0.9.0 --startMP 204:484 --initTime 2017-12-17T14:53:50 --startdatetime 2017-12-17T15:00:19 --delay 102 --endMP 204:233278 --enddatetime 2017-12-17T15:35:23 --enforcementcount 0 &gt;&gt;%USERPROFILE%\Documents\GitHub\eaglep3-reporting\EC\2017-12-17-refined-times.txt</v>
      </c>
      <c r="AI10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{"issue":{"subject":"","project_id":79,"tracker_id":40,"status_id":1,"priority_id":2,"assigned_to_id":338,"start_date":"2017-12-17","description":"","custom_fields":[{"id":1,"name":"Subdivision","value":"EC"},{"id":4,"name":"Milepost","value":"23.3278"},{"id":17,"name":"Train ID","value":"191-17"},{"id":16,"name":"Locomotive ID","value":"4018"},{"id":130,"name":"Impact","value":""},{"id":150,"name":"Time of Event (Mountain Time)","value":"15:35:23"},{"id":151,"name":"Denver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0"/>
        <v>start /low /b %USERPROFILE%\Documents\GitHub\eaglep3\Utilities\DownloadLogsFromS3.py --loco 4018 --day 2017-12-17</v>
      </c>
      <c r="AN104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2"/>
        <v>https://d0f6bd738d7f1b3e5a7ca70fe4ff75f0.us-east-1.aws.found.io/app/kibana#/discover/Steve-Slow-Train-Analysis-(2080s-and-2083s)?_g=(refreshInterval:(display:Off,pause:!f,section:0,value:0),time:(from:'2017-12-17T13:53:50-0700',mode:absolute,to:'2017-12-17T16:35:23-0700'))&amp;_a=(columns:!('Message%20ID',Summary),filters:!(),index:'emp_*',interval:auto,query:(query_string:(analyze_wildcard:!t,query:'%22rtdc.l.rtdc.4018%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836</v>
      </c>
      <c r="B105" s="225">
        <v>4017</v>
      </c>
      <c r="C105" s="227" t="s">
        <v>192</v>
      </c>
      <c r="D105" s="227" t="s">
        <v>1012</v>
      </c>
      <c r="E105" s="226">
        <v>43086.651574074072</v>
      </c>
      <c r="F105" s="226">
        <v>43086.665138888886</v>
      </c>
      <c r="G105" s="225">
        <v>88</v>
      </c>
      <c r="H105" s="227" t="s">
        <v>1013</v>
      </c>
      <c r="I105" s="226">
        <v>43086.690937500003</v>
      </c>
      <c r="J105" s="225">
        <v>0</v>
      </c>
      <c r="K105" s="237" t="str">
        <f t="shared" si="37"/>
        <v>4017/4018</v>
      </c>
      <c r="L105" s="245" t="str">
        <f>VLOOKUP(A105,'Trips&amp;Operators'!$C$1:$G$99911,5,FALSE)</f>
        <v>SAFIEF AEIMEN</v>
      </c>
      <c r="M105" s="224">
        <f t="shared" si="38"/>
        <v>2.5798611117352266E-2</v>
      </c>
      <c r="N105" s="225">
        <f t="shared" si="54"/>
        <v>37.150000008987263</v>
      </c>
      <c r="O105" s="225"/>
      <c r="P105" s="225"/>
      <c r="Q105" s="228"/>
      <c r="R105" s="242"/>
      <c r="S105" s="249">
        <f t="shared" si="53"/>
        <v>1</v>
      </c>
      <c r="T105" s="242" t="str">
        <f t="shared" si="39"/>
        <v>Southbound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40"/>
        <v>https://d0f6bd738d7f1b3e5a7ca70fe4ff75f0.us-east-1.aws.found.io/app/kibana#/discover/Steve-Slow-Train-Analysis-(2080s-and-2083s)?_g=(refreshInterval:(display:Off,pause:!f,section:0,value:0),time:(from:'2017-12-17T14:38:16-0700',mode:absolute,to:'2017-12-17T17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247" t="str">
        <f>IF(AA105&lt;VLOOKUP(AG105,Variables!$AC$3:$AD$8,2,FALSE),"Y","N")</f>
        <v>N</v>
      </c>
      <c r="X105" s="247">
        <f t="shared" si="55"/>
        <v>1</v>
      </c>
      <c r="Y105" s="247">
        <f t="shared" si="41"/>
        <v>23.295999999999999</v>
      </c>
      <c r="Z105" s="247">
        <f t="shared" si="42"/>
        <v>1.7999999999999999E-2</v>
      </c>
      <c r="AA105" s="247">
        <f t="shared" si="43"/>
        <v>23.277999999999999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44"/>
        <v>192</v>
      </c>
      <c r="AE105" s="235" t="str">
        <f t="shared" si="45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05" s="234" t="str">
        <f t="shared" si="46"/>
        <v>"C:\Program Files (x86)\AstroGrep\AstroGrep.exe" /e /r /s /spath="%USERPROFILE%\AppData\Local\Temp\OnboardLogs" /stypes="app*4017*20171217*" /stext=" 23:.+((SYSTEM_STATE.+slice.+state.+changed )|(ment ac)|(multiple cpu faults)|(system.+state.+changed )|(\[timeout)|(PRM\|1\|D)|(kpr)|(kdp)|(train st.+moving)|(\|lc)|(penalty))"</v>
      </c>
      <c r="AG105" s="244" t="str">
        <f t="shared" si="47"/>
        <v>EC</v>
      </c>
      <c r="AH105" s="236" t="str">
        <f t="shared" si="48"/>
        <v>"%USERPROFILE%\Documents\GitHub\eaglep3\Utilities\RefineRTDCRunTimes.py" --tripid 192-17 --locoid 4017 --swversion DE.1.0.9.0 --startMP 204:232960 --initTime 2017-12-17T15:38:16 --startdatetime 2017-12-17T15:57:48 --delay 88 --endMP 204:180 --enddatetime 2017-12-17T16:34:57 --enforcementcount 0 &gt;&gt;%USERPROFILE%\Documents\GitHub\eaglep3-reporting\EC\2017-12-17-refined-times.txt</v>
      </c>
      <c r="AI10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{"issue":{"subject":"","project_id":79,"tracker_id":40,"status_id":1,"priority_id":2,"assigned_to_id":338,"start_date":"2017-12-17","description":"","custom_fields":[{"id":1,"name":"Subdivision","value":"EC"},{"id":4,"name":"Milepost","value":"0.018"},{"id":17,"name":"Train ID","value":"192-17"},{"id":16,"name":"Locomotive ID","value":"4017"},{"id":130,"name":"Impact","value":""},{"id":150,"name":"Time of Event (Mountain Time)","value":"16:34:57"},{"id":151,"name":"Denver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0"/>
        <v>start /low /b %USERPROFILE%\Documents\GitHub\eaglep3\Utilities\DownloadLogsFromS3.py --loco 4017 --day 2017-12-17</v>
      </c>
      <c r="AN105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2"/>
        <v>https://d0f6bd738d7f1b3e5a7ca70fe4ff75f0.us-east-1.aws.found.io/app/kibana#/discover/Steve-Slow-Train-Analysis-(2080s-and-2083s)?_g=(refreshInterval:(display:Off,pause:!f,section:0,value:0),time:(from:'2017-12-17T14:38:16-0700',mode:absolute,to:'2017-12-17T17:34:57-0700'))&amp;_a=(columns:!('Message%20ID',Summary),filters:!(),index:'emp_*',interval:auto,query:(query_string:(analyze_wildcard:!t,query:'%22rtdc.l.rtdc.4017%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706</v>
      </c>
      <c r="B106" s="225">
        <v>4032</v>
      </c>
      <c r="C106" s="227" t="s">
        <v>192</v>
      </c>
      <c r="D106" s="227" t="s">
        <v>1014</v>
      </c>
      <c r="E106" s="226">
        <v>43086.631076388891</v>
      </c>
      <c r="F106" s="226">
        <v>43086.63559027778</v>
      </c>
      <c r="G106" s="225">
        <v>53</v>
      </c>
      <c r="H106" s="227" t="s">
        <v>1011</v>
      </c>
      <c r="I106" s="226">
        <v>43086.66097222222</v>
      </c>
      <c r="J106" s="225">
        <v>0</v>
      </c>
      <c r="K106" s="237" t="str">
        <f t="shared" si="37"/>
        <v>4031/4032</v>
      </c>
      <c r="L106" s="245" t="str">
        <f>VLOOKUP(A106,'Trips&amp;Operators'!$C$1:$G$99911,5,FALSE)</f>
        <v>GUZMAN DANNY</v>
      </c>
      <c r="M106" s="224">
        <f t="shared" si="38"/>
        <v>2.5381944440596271E-2</v>
      </c>
      <c r="N106" s="225">
        <f t="shared" si="54"/>
        <v>36.549999994458631</v>
      </c>
      <c r="O106" s="225"/>
      <c r="P106" s="225"/>
      <c r="Q106" s="228"/>
      <c r="R106" s="242"/>
      <c r="S106" s="249">
        <f t="shared" si="53"/>
        <v>1</v>
      </c>
      <c r="T106" s="242" t="str">
        <f t="shared" si="39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40"/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47" t="str">
        <f>IF(AA106&lt;VLOOKUP(AG106,Variables!$AC$3:$AD$8,2,FALSE),"Y","N")</f>
        <v>N</v>
      </c>
      <c r="X106" s="247">
        <f t="shared" si="55"/>
        <v>1</v>
      </c>
      <c r="Y106" s="247">
        <f t="shared" si="41"/>
        <v>5.5500000000000001E-2</v>
      </c>
      <c r="Z106" s="247">
        <f t="shared" si="42"/>
        <v>23.3278</v>
      </c>
      <c r="AA106" s="247">
        <f t="shared" si="43"/>
        <v>23.272300000000001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44"/>
        <v>193</v>
      </c>
      <c r="AE106" s="235" t="str">
        <f t="shared" si="45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06" s="234" t="str">
        <f t="shared" si="46"/>
        <v>"C:\Program Files (x86)\AstroGrep\AstroGrep.exe" /e /r /s /spath="%USERPROFILE%\AppData\Local\Temp\OnboardLogs" /stypes="app*4032*20171217*" /stext=" 22:.+((SYSTEM_STATE.+slice.+state.+changed )|(ment ac)|(multiple cpu faults)|(system.+state.+changed )|(\[timeout)|(PRM\|1\|D)|(kpr)|(kdp)|(train st.+moving)|(\|lc)|(penalty))"</v>
      </c>
      <c r="AG106" s="244" t="str">
        <f t="shared" si="47"/>
        <v>EC</v>
      </c>
      <c r="AH106" s="236" t="str">
        <f t="shared" si="48"/>
        <v>"%USERPROFILE%\Documents\GitHub\eaglep3\Utilities\RefineRTDCRunTimes.py" --tripid 193-17 --locoid 4032 --swversion DE.1.0.9.0 --startMP 204:555 --initTime 2017-12-17T15:08:45 --startdatetime 2017-12-17T15:15:15 --delay 53 --endMP 204:233278 --enddatetime 2017-12-17T15:51:48 --enforcementcount 0 &gt;&gt;%USERPROFILE%\Documents\GitHub\eaglep3-reporting\EC\2017-12-17-refined-times.txt</v>
      </c>
      <c r="AI106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{"issue":{"subject":"","project_id":79,"tracker_id":40,"status_id":1,"priority_id":2,"assigned_to_id":338,"start_date":"2017-12-17","description":"","custom_fields":[{"id":1,"name":"Subdivision","value":"EC"},{"id":4,"name":"Milepost","value":"23.3278"},{"id":17,"name":"Train ID","value":"193-17"},{"id":16,"name":"Locomotive ID","value":"4032"},{"id":130,"name":"Impact","value":""},{"id":150,"name":"Time of Event (Mountain Time)","value":"15:51:48"},{"id":151,"name":"Denver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0"/>
        <v>start /low /b %USERPROFILE%\Documents\GitHub\eaglep3\Utilities\DownloadLogsFromS3.py --loco 4032 --day 2017-12-17</v>
      </c>
      <c r="AN106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2"/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Message%20ID',Summary),filters:!(),index:'emp_*',interval:auto,query:(query_string:(analyze_wildcard:!t,query:'%22rtdc.l.rtdc.4032%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839</v>
      </c>
      <c r="B107" s="225">
        <v>4031</v>
      </c>
      <c r="C107" s="227" t="s">
        <v>192</v>
      </c>
      <c r="D107" s="227" t="s">
        <v>929</v>
      </c>
      <c r="E107" s="226">
        <v>43086.664872685185</v>
      </c>
      <c r="F107" s="226">
        <v>43086.675162037034</v>
      </c>
      <c r="G107" s="225">
        <v>53</v>
      </c>
      <c r="H107" s="227" t="s">
        <v>1015</v>
      </c>
      <c r="I107" s="226">
        <v>43086.701122685183</v>
      </c>
      <c r="J107" s="225">
        <v>0</v>
      </c>
      <c r="K107" s="237" t="str">
        <f t="shared" si="37"/>
        <v>4031/4032</v>
      </c>
      <c r="L107" s="245" t="str">
        <f>VLOOKUP(A107,'Trips&amp;Operators'!$C$1:$G$99911,5,FALSE)</f>
        <v>GUZMAN DANNY</v>
      </c>
      <c r="M107" s="224">
        <f t="shared" si="38"/>
        <v>2.5960648148611654E-2</v>
      </c>
      <c r="N107" s="225">
        <f t="shared" si="54"/>
        <v>37.383333334000781</v>
      </c>
      <c r="O107" s="225"/>
      <c r="P107" s="225"/>
      <c r="Q107" s="228"/>
      <c r="R107" s="242"/>
      <c r="S107" s="249">
        <f t="shared" si="53"/>
        <v>1</v>
      </c>
      <c r="T107" s="242" t="str">
        <f t="shared" si="39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0"/>
        <v>https://d0f6bd738d7f1b3e5a7ca70fe4ff75f0.us-east-1.aws.found.io/app/kibana#/discover/Steve-Slow-Train-Analysis-(2080s-and-2083s)?_g=(refreshInterval:(display:Off,pause:!f,section:0,value:0),time:(from:'2017-12-17T14:57:25-0700',mode:absolute,to:'2017-12-17T17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47" t="str">
        <f>IF(AA107&lt;VLOOKUP(AG107,Variables!$AC$3:$AD$8,2,FALSE),"Y","N")</f>
        <v>N</v>
      </c>
      <c r="X107" s="247">
        <f t="shared" si="55"/>
        <v>1</v>
      </c>
      <c r="Y107" s="247">
        <f t="shared" si="41"/>
        <v>23.2973</v>
      </c>
      <c r="Z107" s="247">
        <f t="shared" si="42"/>
        <v>2.6200000000000001E-2</v>
      </c>
      <c r="AA107" s="247">
        <f t="shared" si="43"/>
        <v>23.271100000000001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44"/>
        <v>194</v>
      </c>
      <c r="AE107" s="235" t="str">
        <f t="shared" si="45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107" s="234" t="str">
        <f t="shared" si="46"/>
        <v>"C:\Program Files (x86)\AstroGrep\AstroGrep.exe" /e /r /s /spath="%USERPROFILE%\AppData\Local\Temp\OnboardLogs" /stypes="app*4031*20171217*" /stext=" 23:.+((SYSTEM_STATE.+slice.+state.+changed )|(ment ac)|(multiple cpu faults)|(system.+state.+changed )|(\[timeout)|(PRM\|1\|D)|(kpr)|(kdp)|(train st.+moving)|(\|lc)|(penalty))"</v>
      </c>
      <c r="AG107" s="244" t="str">
        <f t="shared" si="47"/>
        <v>EC</v>
      </c>
      <c r="AH107" s="236" t="str">
        <f t="shared" si="48"/>
        <v>"%USERPROFILE%\Documents\GitHub\eaglep3\Utilities\RefineRTDCRunTimes.py" --tripid 194-17 --locoid 4031 --swversion DE.1.0.9.0 --startMP 204:232973 --initTime 2017-12-17T15:57:25 --startdatetime 2017-12-17T16:12:14 --delay 53 --endMP 204:262 --enddatetime 2017-12-17T16:49:37 --enforcementcount 0 &gt;&gt;%USERPROFILE%\Documents\GitHub\eaglep3-reporting\EC\2017-12-17-refined-times.txt</v>
      </c>
      <c r="AI107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{"issue":{"subject":"","project_id":79,"tracker_id":40,"status_id":1,"priority_id":2,"assigned_to_id":338,"start_date":"2017-12-17","description":"","custom_fields":[{"id":1,"name":"Subdivision","value":"EC"},{"id":4,"name":"Milepost","value":"0.0262"},{"id":17,"name":"Train ID","value":"194-17"},{"id":16,"name":"Locomotive ID","value":"4031"},{"id":130,"name":"Impact","value":""},{"id":150,"name":"Time of Event (Mountain Time)","value":"16:49:37"},{"id":151,"name":"Denver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0"/>
        <v>start /low /b %USERPROFILE%\Documents\GitHub\eaglep3\Utilities\DownloadLogsFromS3.py --loco 4031 --day 2017-12-17</v>
      </c>
      <c r="AN107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2"/>
        <v>https://d0f6bd738d7f1b3e5a7ca70fe4ff75f0.us-east-1.aws.found.io/app/kibana#/discover/Steve-Slow-Train-Analysis-(2080s-and-2083s)?_g=(refreshInterval:(display:Off,pause:!f,section:0,value:0),time:(from:'2017-12-17T14:57:25-0700',mode:absolute,to:'2017-12-17T17:49:37-0700'))&amp;_a=(columns:!('Message%20ID',Summary),filters:!(),index:'emp_*',interval:auto,query:(query_string:(analyze_wildcard:!t,query:'%22rtdc.l.rtdc.4031%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833</v>
      </c>
      <c r="B108" s="225">
        <v>4054</v>
      </c>
      <c r="C108" s="227" t="s">
        <v>192</v>
      </c>
      <c r="D108" s="227" t="s">
        <v>448</v>
      </c>
      <c r="E108" s="226">
        <v>43086.64166666667</v>
      </c>
      <c r="F108" s="226">
        <v>43086.646273148152</v>
      </c>
      <c r="G108" s="225">
        <v>57</v>
      </c>
      <c r="H108" s="227" t="s">
        <v>615</v>
      </c>
      <c r="I108" s="226">
        <v>43086.67150462963</v>
      </c>
      <c r="J108" s="225">
        <v>0</v>
      </c>
      <c r="K108" s="237" t="str">
        <f t="shared" si="37"/>
        <v>4053/4054</v>
      </c>
      <c r="L108" s="245" t="str">
        <f>VLOOKUP(A108,'Trips&amp;Operators'!$C$1:$G$99911,5,FALSE)</f>
        <v>BADERTSCHER DIANE</v>
      </c>
      <c r="M108" s="224">
        <f t="shared" si="38"/>
        <v>2.5231481478840578E-2</v>
      </c>
      <c r="N108" s="225">
        <f t="shared" si="54"/>
        <v>36.333333329530433</v>
      </c>
      <c r="O108" s="225"/>
      <c r="P108" s="225"/>
      <c r="Q108" s="228"/>
      <c r="R108" s="242"/>
      <c r="S108" s="249">
        <f t="shared" si="53"/>
        <v>1</v>
      </c>
      <c r="T108" s="242" t="str">
        <f t="shared" si="39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0"/>
        <v>https://d0f6bd738d7f1b3e5a7ca70fe4ff75f0.us-east-1.aws.found.io/app/kibana#/discover/Steve-Slow-Train-Analysis-(2080s-and-2083s)?_g=(refreshInterval:(display:Off,pause:!f,section:0,value:0),time:(from:'2017-12-17T14:24:00-0700',mode:absolute,to:'2017-12-17T17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8" s="247" t="str">
        <f>IF(AA108&lt;VLOOKUP(AG108,Variables!$AC$3:$AD$8,2,FALSE),"Y","N")</f>
        <v>N</v>
      </c>
      <c r="X108" s="247">
        <f t="shared" si="55"/>
        <v>1</v>
      </c>
      <c r="Y108" s="247">
        <f t="shared" si="41"/>
        <v>5.33E-2</v>
      </c>
      <c r="Z108" s="247">
        <f t="shared" si="42"/>
        <v>23.3261</v>
      </c>
      <c r="AA108" s="247">
        <f t="shared" si="43"/>
        <v>23.2728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44"/>
        <v>195</v>
      </c>
      <c r="AE108" s="235" t="str">
        <f t="shared" si="45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08" s="234" t="str">
        <f t="shared" si="46"/>
        <v>"C:\Program Files (x86)\AstroGrep\AstroGrep.exe" /e /r /s /spath="%USERPROFILE%\AppData\Local\Temp\OnboardLogs" /stypes="app*4054*20171217*" /stext=" 23:.+((SYSTEM_STATE.+slice.+state.+changed )|(ment ac)|(multiple cpu faults)|(system.+state.+changed )|(\[timeout)|(PRM\|1\|D)|(kpr)|(kdp)|(train st.+moving)|(\|lc)|(penalty))"</v>
      </c>
      <c r="AG108" s="244" t="str">
        <f t="shared" si="47"/>
        <v>EC</v>
      </c>
      <c r="AH108" s="236" t="str">
        <f t="shared" si="48"/>
        <v>"%USERPROFILE%\Documents\GitHub\eaglep3\Utilities\RefineRTDCRunTimes.py" --tripid 195-17 --locoid 4054 --swversion DE.1.0.9.0 --startMP 204:533 --initTime 2017-12-17T15:24:00 --startdatetime 2017-12-17T15:30:38 --delay 57 --endMP 204:233261 --enddatetime 2017-12-17T16:06:58 --enforcementcount 0 &gt;&gt;%USERPROFILE%\Documents\GitHub\eaglep3-reporting\EC\2017-12-17-refined-times.txt</v>
      </c>
      <c r="AI108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{"issue":{"subject":"","project_id":79,"tracker_id":40,"status_id":1,"priority_id":2,"assigned_to_id":338,"start_date":"2017-12-17","description":"","custom_fields":[{"id":1,"name":"Subdivision","value":"EC"},{"id":4,"name":"Milepost","value":"23.3261"},{"id":17,"name":"Train ID","value":"195-17"},{"id":16,"name":"Locomotive ID","value":"4054"},{"id":130,"name":"Impact","value":""},{"id":150,"name":"Time of Event (Mountain Time)","value":"16:06:58"},{"id":151,"name":"Denver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0"/>
        <v>start /low /b %USERPROFILE%\Documents\GitHub\eaglep3\Utilities\DownloadLogsFromS3.py --loco 4054 --day 2017-12-17</v>
      </c>
      <c r="AN108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2"/>
        <v>https://d0f6bd738d7f1b3e5a7ca70fe4ff75f0.us-east-1.aws.found.io/app/kibana#/discover/Steve-Slow-Train-Analysis-(2080s-and-2083s)?_g=(refreshInterval:(display:Off,pause:!f,section:0,value:0),time:(from:'2017-12-17T14:24:00-0700',mode:absolute,to:'2017-12-17T17:06:58-0700'))&amp;_a=(columns:!('Message%20ID',Summary),filters:!(),index:'emp_*',interval:auto,query:(query_string:(analyze_wildcard:!t,query:'%22rtdc.l.rtdc.4054%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841</v>
      </c>
      <c r="B109" s="225">
        <v>4053</v>
      </c>
      <c r="C109" s="227" t="s">
        <v>192</v>
      </c>
      <c r="D109" s="227" t="s">
        <v>660</v>
      </c>
      <c r="E109" s="226">
        <v>43086.680219907408</v>
      </c>
      <c r="F109" s="226">
        <v>43086.685601851852</v>
      </c>
      <c r="G109" s="225">
        <v>66</v>
      </c>
      <c r="H109" s="227" t="s">
        <v>642</v>
      </c>
      <c r="I109" s="226">
        <v>43086.713553240741</v>
      </c>
      <c r="J109" s="225">
        <v>0</v>
      </c>
      <c r="K109" s="237" t="str">
        <f t="shared" si="37"/>
        <v>4053/4054</v>
      </c>
      <c r="L109" s="245" t="str">
        <f>VLOOKUP(A109,'Trips&amp;Operators'!$C$1:$G$99911,5,FALSE)</f>
        <v>BADERTSCHER DIANE</v>
      </c>
      <c r="M109" s="224">
        <f t="shared" si="38"/>
        <v>2.7951388889050577E-2</v>
      </c>
      <c r="N109" s="225">
        <f t="shared" si="54"/>
        <v>40.250000000232831</v>
      </c>
      <c r="O109" s="225"/>
      <c r="P109" s="225"/>
      <c r="Q109" s="228"/>
      <c r="R109" s="242"/>
      <c r="S109" s="249">
        <f t="shared" si="53"/>
        <v>1</v>
      </c>
      <c r="T109" s="242" t="str">
        <f t="shared" si="39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0"/>
        <v>https://d0f6bd738d7f1b3e5a7ca70fe4ff75f0.us-east-1.aws.found.io/app/kibana#/discover/Steve-Slow-Train-Analysis-(2080s-and-2083s)?_g=(refreshInterval:(display:Off,pause:!f,section:0,value:0),time:(from:'2017-12-17T15:19:31-0700',mode:absolute,to:'2017-12-17T18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9" s="247" t="str">
        <f>IF(AA109&lt;VLOOKUP(AG109,Variables!$AC$3:$AD$8,2,FALSE),"Y","N")</f>
        <v>N</v>
      </c>
      <c r="X109" s="247">
        <f t="shared" si="55"/>
        <v>1</v>
      </c>
      <c r="Y109" s="247">
        <f t="shared" ref="Y109:Y115" si="56">RIGHT(D109,LEN(D109)-4)/10000</f>
        <v>23.293800000000001</v>
      </c>
      <c r="Z109" s="247">
        <f t="shared" ref="Z109:Z115" si="57">RIGHT(H109,LEN(H109)-4)/10000</f>
        <v>1.5800000000000002E-2</v>
      </c>
      <c r="AA109" s="247">
        <f t="shared" si="43"/>
        <v>23.278000000000002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44"/>
        <v>196</v>
      </c>
      <c r="AE109" s="235" t="str">
        <f t="shared" si="45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09" s="234" t="str">
        <f t="shared" si="46"/>
        <v>"C:\Program Files (x86)\AstroGrep\AstroGrep.exe" /e /r /s /spath="%USERPROFILE%\AppData\Local\Temp\OnboardLogs" /stypes="app*4053*20171218*" /stext=" 00:.+((SYSTEM_STATE.+slice.+state.+changed )|(ment ac)|(multiple cpu faults)|(system.+state.+changed )|(\[timeout)|(PRM\|1\|D)|(kpr)|(kdp)|(train st.+moving)|(\|lc)|(penalty))"</v>
      </c>
      <c r="AG109" s="244" t="str">
        <f t="shared" si="47"/>
        <v>EC</v>
      </c>
      <c r="AH109" s="236" t="str">
        <f t="shared" si="48"/>
        <v>"%USERPROFILE%\Documents\GitHub\eaglep3\Utilities\RefineRTDCRunTimes.py" --tripid 196-17 --locoid 4053 --swversion DE.1.0.9.0 --startMP 204:232938 --initTime 2017-12-17T16:19:31 --startdatetime 2017-12-17T16:27:16 --delay 66 --endMP 204:158 --enddatetime 2017-12-17T17:07:31 --enforcementcount 0 &gt;&gt;%USERPROFILE%\Documents\GitHub\eaglep3-reporting\EC\2017-12-17-refined-times.txt</v>
      </c>
      <c r="AI10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{"issue":{"subject":"","project_id":79,"tracker_id":40,"status_id":1,"priority_id":2,"assigned_to_id":338,"start_date":"2017-12-17","description":"","custom_fields":[{"id":1,"name":"Subdivision","value":"EC"},{"id":4,"name":"Milepost","value":"0.0158"},{"id":17,"name":"Train ID","value":"196-17"},{"id":16,"name":"Locomotive ID","value":"4053"},{"id":130,"name":"Impact","value":""},{"id":150,"name":"Time of Event (Mountain Time)","value":"17:07:31"},{"id":151,"name":"Denver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0"/>
        <v>start /low /b %USERPROFILE%\Documents\GitHub\eaglep3\Utilities\DownloadLogsFromS3.py --loco 4053 --day 2017-12-17</v>
      </c>
      <c r="AN109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2"/>
        <v>https://d0f6bd738d7f1b3e5a7ca70fe4ff75f0.us-east-1.aws.found.io/app/kibana#/discover/Steve-Slow-Train-Analysis-(2080s-and-2083s)?_g=(refreshInterval:(display:Off,pause:!f,section:0,value:0),time:(from:'2017-12-17T15:19:31-0700',mode:absolute,to:'2017-12-17T18:07:31-0700'))&amp;_a=(columns:!('Message%20ID',Summary),filters:!(),index:'emp_*',interval:auto,query:(query_string:(analyze_wildcard:!t,query:'%22rtdc.l.rtdc.4053%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707</v>
      </c>
      <c r="B110" s="225">
        <v>4040</v>
      </c>
      <c r="C110" s="227" t="s">
        <v>192</v>
      </c>
      <c r="D110" s="227" t="s">
        <v>925</v>
      </c>
      <c r="E110" s="226">
        <v>43086.651342592595</v>
      </c>
      <c r="F110" s="226">
        <v>43086.656527777777</v>
      </c>
      <c r="G110" s="225">
        <v>53</v>
      </c>
      <c r="H110" s="227" t="s">
        <v>531</v>
      </c>
      <c r="I110" s="226">
        <v>43086.681423611109</v>
      </c>
      <c r="J110" s="225">
        <v>0</v>
      </c>
      <c r="K110" s="237" t="str">
        <f t="shared" si="37"/>
        <v>4039/4040</v>
      </c>
      <c r="L110" s="245" t="str">
        <f>VLOOKUP(A110,'Trips&amp;Operators'!$C$1:$G$99911,5,FALSE)</f>
        <v>MAGEE KENYA</v>
      </c>
      <c r="M110" s="224">
        <f t="shared" si="38"/>
        <v>2.4895833332266193E-2</v>
      </c>
      <c r="N110" s="225">
        <f t="shared" si="54"/>
        <v>35.849999998463318</v>
      </c>
      <c r="O110" s="225"/>
      <c r="P110" s="225"/>
      <c r="Q110" s="228"/>
      <c r="R110" s="242"/>
      <c r="S110" s="249">
        <f t="shared" si="53"/>
        <v>1</v>
      </c>
      <c r="T110" s="242" t="str">
        <f t="shared" si="39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0"/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0" s="247" t="str">
        <f>IF(AA110&lt;VLOOKUP(AG110,Variables!$AC$3:$AD$8,2,FALSE),"Y","N")</f>
        <v>N</v>
      </c>
      <c r="X110" s="247">
        <f t="shared" si="55"/>
        <v>1</v>
      </c>
      <c r="Y110" s="247">
        <f t="shared" si="56"/>
        <v>5.2200000000000003E-2</v>
      </c>
      <c r="Z110" s="247">
        <f t="shared" si="57"/>
        <v>23.327000000000002</v>
      </c>
      <c r="AA110" s="247">
        <f t="shared" si="43"/>
        <v>23.274800000000003</v>
      </c>
      <c r="AB110" s="233" t="str">
        <f>VLOOKUP(A110,Enforcements!$C$7:$K$9,8,0)</f>
        <v>Bulletin (2)</v>
      </c>
      <c r="AC110" s="232" t="str">
        <f>VLOOKUP(A110,Enforcements!$C$7:$E$9,3,0)</f>
        <v>GRADE CROSSING</v>
      </c>
      <c r="AD110" s="243">
        <f t="shared" si="44"/>
        <v>197</v>
      </c>
      <c r="AE110" s="235" t="str">
        <f t="shared" si="45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10" s="234" t="str">
        <f t="shared" si="46"/>
        <v>"C:\Program Files (x86)\AstroGrep\AstroGrep.exe" /e /r /s /spath="%USERPROFILE%\AppData\Local\Temp\OnboardLogs" /stypes="app*4040*20171217*" /stext=" 23:.+((SYSTEM_STATE.+slice.+state.+changed )|(ment ac)|(multiple cpu faults)|(system.+state.+changed )|(\[timeout)|(PRM\|1\|D)|(kpr)|(kdp)|(train st.+moving)|(\|lc)|(penalty))"</v>
      </c>
      <c r="AG110" s="244" t="str">
        <f t="shared" si="47"/>
        <v>EC</v>
      </c>
      <c r="AH110" s="236" t="str">
        <f t="shared" si="48"/>
        <v>"%USERPROFILE%\Documents\GitHub\eaglep3\Utilities\RefineRTDCRunTimes.py" --tripid 197-17 --locoid 4040 --swversion DE.1.0.9.0 --startMP 204:522 --initTime 2017-12-17T15:37:56 --startdatetime 2017-12-17T15:45:24 --delay 53 --endMP 204:233270 --enddatetime 2017-12-17T16:21:15 --enforcementcount 0 &gt;&gt;%USERPROFILE%\Documents\GitHub\eaglep3-reporting\EC\2017-12-17-refined-times.txt</v>
      </c>
      <c r="AI11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{"issue":{"subject":"","project_id":79,"tracker_id":40,"status_id":1,"priority_id":2,"assigned_to_id":338,"start_date":"2017-12-17","description":"","custom_fields":[{"id":1,"name":"Subdivision","value":"EC"},{"id":4,"name":"Milepost","value":"23.327"},{"id":17,"name":"Train ID","value":"197-17"},{"id":16,"name":"Locomotive ID","value":"4040"},{"id":130,"name":"Impact","value":""},{"id":150,"name":"Time of Event (Mountain Time)","value":"16:21:15"},{"id":151,"name":"Denver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0"/>
        <v>start /low /b %USERPROFILE%\Documents\GitHub\eaglep3\Utilities\DownloadLogsFromS3.py --loco 4040 --day 2017-12-17</v>
      </c>
      <c r="AN110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2"/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Message%20ID',Summary),filters:!(),index:'emp_*',interval:auto,query:(query_string:(analyze_wildcard:!t,query:'%22rtdc.l.rtdc.4040%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844</v>
      </c>
      <c r="B111" s="225">
        <v>4039</v>
      </c>
      <c r="C111" s="227" t="s">
        <v>192</v>
      </c>
      <c r="D111" s="227" t="s">
        <v>1016</v>
      </c>
      <c r="E111" s="226">
        <v>43086.693958333337</v>
      </c>
      <c r="F111" s="226">
        <v>43086.696087962962</v>
      </c>
      <c r="G111" s="225">
        <v>56</v>
      </c>
      <c r="H111" s="227" t="s">
        <v>551</v>
      </c>
      <c r="I111" s="226">
        <v>43086.722129629627</v>
      </c>
      <c r="J111" s="225">
        <v>0</v>
      </c>
      <c r="K111" s="237" t="str">
        <f t="shared" si="37"/>
        <v>4039/4040</v>
      </c>
      <c r="L111" s="245" t="str">
        <f>VLOOKUP(A111,'Trips&amp;Operators'!$C$1:$G$99911,5,FALSE)</f>
        <v>MAGEE KENYA</v>
      </c>
      <c r="M111" s="224">
        <f t="shared" si="38"/>
        <v>2.6041666664241347E-2</v>
      </c>
      <c r="N111" s="225">
        <f t="shared" si="54"/>
        <v>37.49999999650754</v>
      </c>
      <c r="O111" s="225"/>
      <c r="P111" s="225"/>
      <c r="Q111" s="228"/>
      <c r="R111" s="242"/>
      <c r="S111" s="249">
        <f t="shared" si="53"/>
        <v>1</v>
      </c>
      <c r="T111" s="242" t="str">
        <f t="shared" si="39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0"/>
        <v>https://d0f6bd738d7f1b3e5a7ca70fe4ff75f0.us-east-1.aws.found.io/app/kibana#/discover/Steve-Slow-Train-Analysis-(2080s-and-2083s)?_g=(refreshInterval:(display:Off,pause:!f,section:0,value:0),time:(from:'2017-12-17T15:39:18-0700',mode:absolute,to:'2017-12-17T18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1" s="247" t="str">
        <f>IF(AA111&lt;VLOOKUP(AG111,Variables!$AC$3:$AD$8,2,FALSE),"Y","N")</f>
        <v>N</v>
      </c>
      <c r="X111" s="247">
        <f t="shared" si="55"/>
        <v>1</v>
      </c>
      <c r="Y111" s="247">
        <f t="shared" si="56"/>
        <v>23.294799999999999</v>
      </c>
      <c r="Z111" s="247">
        <f t="shared" si="57"/>
        <v>2.18E-2</v>
      </c>
      <c r="AA111" s="247">
        <f t="shared" si="43"/>
        <v>23.273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44"/>
        <v>198</v>
      </c>
      <c r="AE111" s="235" t="str">
        <f t="shared" si="45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111" s="234" t="str">
        <f t="shared" si="46"/>
        <v>"C:\Program Files (x86)\AstroGrep\AstroGrep.exe" /e /r /s /spath="%USERPROFILE%\AppData\Local\Temp\OnboardLogs" /stypes="app*4039*20171218*" /stext=" 00:.+((SYSTEM_STATE.+slice.+state.+changed )|(ment ac)|(multiple cpu faults)|(system.+state.+changed )|(\[timeout)|(PRM\|1\|D)|(kpr)|(kdp)|(train st.+moving)|(\|lc)|(penalty))"</v>
      </c>
      <c r="AG111" s="244" t="str">
        <f t="shared" si="47"/>
        <v>EC</v>
      </c>
      <c r="AH111" s="236" t="str">
        <f t="shared" si="48"/>
        <v>"%USERPROFILE%\Documents\GitHub\eaglep3\Utilities\RefineRTDCRunTimes.py" --tripid 198-17 --locoid 4039 --swversion DE.1.0.9.0 --startMP 204:232948 --initTime 2017-12-17T16:39:18 --startdatetime 2017-12-17T16:42:22 --delay 56 --endMP 204:218 --enddatetime 2017-12-17T17:19:52 --enforcementcount 0 &gt;&gt;%USERPROFILE%\Documents\GitHub\eaglep3-reporting\EC\2017-12-17-refined-times.txt</v>
      </c>
      <c r="AI11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ID","value":"198-17"},{"id":16,"name":"Locomotive ID","value":"4039"},{"id":130,"name":"Impact","value":""},{"id":150,"name":"Time of Event (Mountain Time)","value":"17:19:52"},{"id":151,"name":"Denver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0"/>
        <v>start /low /b %USERPROFILE%\Documents\GitHub\eaglep3\Utilities\DownloadLogsFromS3.py --loco 4039 --day 2017-12-17</v>
      </c>
      <c r="AN111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2"/>
        <v>https://d0f6bd738d7f1b3e5a7ca70fe4ff75f0.us-east-1.aws.found.io/app/kibana#/discover/Steve-Slow-Train-Analysis-(2080s-and-2083s)?_g=(refreshInterval:(display:Off,pause:!f,section:0,value:0),time:(from:'2017-12-17T15:39:18-0700',mode:absolute,to:'2017-12-17T18:19:52-0700'))&amp;_a=(columns:!('Message%20ID',Summary),filters:!(),index:'emp_*',interval:auto,query:(query_string:(analyze_wildcard:!t,query:'%22rtdc.l.rtdc.4039%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838</v>
      </c>
      <c r="B112" s="225">
        <v>4058</v>
      </c>
      <c r="C112" s="227" t="s">
        <v>192</v>
      </c>
      <c r="D112" s="227" t="s">
        <v>552</v>
      </c>
      <c r="E112" s="226">
        <v>43086.663738425923</v>
      </c>
      <c r="F112" s="226">
        <v>43086.666921296295</v>
      </c>
      <c r="G112" s="225">
        <v>58</v>
      </c>
      <c r="H112" s="227" t="s">
        <v>1017</v>
      </c>
      <c r="I112" s="226">
        <v>43086.691863425927</v>
      </c>
      <c r="J112" s="225">
        <v>0</v>
      </c>
      <c r="K112" s="237" t="str">
        <f t="shared" si="37"/>
        <v>4057/4058</v>
      </c>
      <c r="L112" s="245" t="str">
        <f>VLOOKUP(A112,'Trips&amp;Operators'!$C$1:$G$99911,5,FALSE)</f>
        <v>STEWART MICHAEL</v>
      </c>
      <c r="M112" s="224">
        <f t="shared" si="38"/>
        <v>2.4942129632108845E-2</v>
      </c>
      <c r="N112" s="225">
        <f t="shared" si="54"/>
        <v>35.916666670236737</v>
      </c>
      <c r="O112" s="225"/>
      <c r="P112" s="225"/>
      <c r="Q112" s="228"/>
      <c r="R112" s="242"/>
      <c r="S112" s="249">
        <f t="shared" si="53"/>
        <v>1</v>
      </c>
      <c r="T112" s="242" t="str">
        <f t="shared" si="39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0"/>
        <v>https://d0f6bd738d7f1b3e5a7ca70fe4ff75f0.us-east-1.aws.found.io/app/kibana#/discover/Steve-Slow-Train-Analysis-(2080s-and-2083s)?_g=(refreshInterval:(display:Off,pause:!f,section:0,value:0),time:(from:'2017-12-17T14:55:47-0700',mode:absolute,to:'2017-12-17T17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2" s="247" t="str">
        <f>IF(AA112&lt;VLOOKUP(AG112,Variables!$AC$3:$AD$8,2,FALSE),"Y","N")</f>
        <v>N</v>
      </c>
      <c r="X112" s="247">
        <f t="shared" si="55"/>
        <v>1</v>
      </c>
      <c r="Y112" s="247">
        <f t="shared" si="56"/>
        <v>0.05</v>
      </c>
      <c r="Z112" s="247">
        <f t="shared" si="57"/>
        <v>23.3264</v>
      </c>
      <c r="AA112" s="247">
        <f t="shared" si="43"/>
        <v>23.276399999999999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44"/>
        <v>199</v>
      </c>
      <c r="AE112" s="235" t="str">
        <f t="shared" si="45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12" s="234" t="str">
        <f t="shared" si="46"/>
        <v>"C:\Program Files (x86)\AstroGrep\AstroGrep.exe" /e /r /s /spath="%USERPROFILE%\AppData\Local\Temp\OnboardLogs" /stypes="app*4058*20171217*" /stext=" 23:.+((SYSTEM_STATE.+slice.+state.+changed )|(ment ac)|(multiple cpu faults)|(system.+state.+changed )|(\[timeout)|(PRM\|1\|D)|(kpr)|(kdp)|(train st.+moving)|(\|lc)|(penalty))"</v>
      </c>
      <c r="AG112" s="244" t="str">
        <f t="shared" si="47"/>
        <v>EC</v>
      </c>
      <c r="AH112" s="236" t="str">
        <f t="shared" si="48"/>
        <v>"%USERPROFILE%\Documents\GitHub\eaglep3\Utilities\RefineRTDCRunTimes.py" --tripid 199-17 --locoid 4058 --swversion DE.1.0.9.0 --startMP 204:500 --initTime 2017-12-17T15:55:47 --startdatetime 2017-12-17T16:00:22 --delay 58 --endMP 204:233264 --enddatetime 2017-12-17T16:36:17 --enforcementcount 0 &gt;&gt;%USERPROFILE%\Documents\GitHub\eaglep3-reporting\EC\2017-12-17-refined-times.txt</v>
      </c>
      <c r="AI11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{"issue":{"subject":"","project_id":79,"tracker_id":40,"status_id":1,"priority_id":2,"assigned_to_id":338,"start_date":"2017-12-17","description":"","custom_fields":[{"id":1,"name":"Subdivision","value":"EC"},{"id":4,"name":"Milepost","value":"23.3264"},{"id":17,"name":"Train ID","value":"199-17"},{"id":16,"name":"Locomotive ID","value":"4058"},{"id":130,"name":"Impact","value":""},{"id":150,"name":"Time of Event (Mountain Time)","value":"16:36:17"},{"id":151,"name":"Denver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50"/>
        <v>start /low /b %USERPROFILE%\Documents\GitHub\eaglep3\Utilities\DownloadLogsFromS3.py --loco 4058 --day 2017-12-17</v>
      </c>
      <c r="AN112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52"/>
        <v>https://d0f6bd738d7f1b3e5a7ca70fe4ff75f0.us-east-1.aws.found.io/app/kibana#/discover/Steve-Slow-Train-Analysis-(2080s-and-2083s)?_g=(refreshInterval:(display:Off,pause:!f,section:0,value:0),time:(from:'2017-12-17T14:55:47-0700',mode:absolute,to:'2017-12-17T17:36:17-0700'))&amp;_a=(columns:!('Message%20ID',Summary),filters:!(),index:'emp_*',interval:auto,query:(query_string:(analyze_wildcard:!t,query:'%22rtdc.l.rtdc.4058%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25">
      <c r="A113" s="229" t="s">
        <v>846</v>
      </c>
      <c r="B113" s="225">
        <v>4057</v>
      </c>
      <c r="C113" s="227" t="s">
        <v>192</v>
      </c>
      <c r="D113" s="227" t="s">
        <v>1018</v>
      </c>
      <c r="E113" s="226">
        <v>43086.702303240738</v>
      </c>
      <c r="F113" s="226">
        <v>43086.706516203703</v>
      </c>
      <c r="G113" s="225">
        <v>53</v>
      </c>
      <c r="H113" s="227" t="s">
        <v>498</v>
      </c>
      <c r="I113" s="226">
        <v>43086.734918981485</v>
      </c>
      <c r="J113" s="225">
        <v>0</v>
      </c>
      <c r="K113" s="237" t="str">
        <f t="shared" si="37"/>
        <v>4057/4058</v>
      </c>
      <c r="L113" s="245" t="str">
        <f>VLOOKUP(A113,'Trips&amp;Operators'!$C$1:$G$99911,5,FALSE)</f>
        <v>STEWART MICHAEL</v>
      </c>
      <c r="M113" s="224">
        <f t="shared" si="38"/>
        <v>2.8402777781593613E-2</v>
      </c>
      <c r="N113" s="225">
        <f t="shared" si="54"/>
        <v>40.900000005494803</v>
      </c>
      <c r="O113" s="225"/>
      <c r="P113" s="225"/>
      <c r="Q113" s="228"/>
      <c r="R113" s="242"/>
      <c r="S113" s="249">
        <f t="shared" si="53"/>
        <v>1</v>
      </c>
      <c r="T113" s="242" t="str">
        <f t="shared" si="39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0"/>
        <v>https://d0f6bd738d7f1b3e5a7ca70fe4ff75f0.us-east-1.aws.found.io/app/kibana#/discover/Steve-Slow-Train-Analysis-(2080s-and-2083s)?_g=(refreshInterval:(display:Off,pause:!f,section:0,value:0),time:(from:'2017-12-17T15:51:19-0700',mode:absolute,to:'2017-12-17T18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3" s="247" t="str">
        <f>IF(AA113&lt;VLOOKUP(AG113,Variables!$AC$3:$AD$8,2,FALSE),"Y","N")</f>
        <v>N</v>
      </c>
      <c r="X113" s="247">
        <f t="shared" si="55"/>
        <v>1</v>
      </c>
      <c r="Y113" s="247">
        <f t="shared" si="56"/>
        <v>23.294699999999999</v>
      </c>
      <c r="Z113" s="247">
        <f t="shared" si="57"/>
        <v>2.2499999999999999E-2</v>
      </c>
      <c r="AA113" s="247">
        <f t="shared" si="43"/>
        <v>23.272199999999998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44"/>
        <v>200</v>
      </c>
      <c r="AE113" s="235" t="str">
        <f t="shared" si="45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13" s="234" t="str">
        <f t="shared" si="46"/>
        <v>"C:\Program Files (x86)\AstroGrep\AstroGrep.exe" /e /r /s /spath="%USERPROFILE%\AppData\Local\Temp\OnboardLogs" /stypes="app*4057*20171218*" /stext=" 00:.+((SYSTEM_STATE.+slice.+state.+changed )|(ment ac)|(multiple cpu faults)|(system.+state.+changed )|(\[timeout)|(PRM\|1\|D)|(kpr)|(kdp)|(train st.+moving)|(\|lc)|(penalty))"</v>
      </c>
      <c r="AG113" s="244" t="str">
        <f t="shared" si="47"/>
        <v>EC</v>
      </c>
      <c r="AH113" s="236" t="str">
        <f t="shared" si="48"/>
        <v>"%USERPROFILE%\Documents\GitHub\eaglep3\Utilities\RefineRTDCRunTimes.py" --tripid 200-17 --locoid 4057 --swversion DE.1.0.9.0 --startMP 204:232947 --initTime 2017-12-17T16:51:19 --startdatetime 2017-12-17T16:57:23 --delay 53 --endMP 204:225 --enddatetime 2017-12-17T17:38:17 --enforcementcount 0 &gt;&gt;%USERPROFILE%\Documents\GitHub\eaglep3-reporting\EC\2017-12-17-refined-times.txt</v>
      </c>
      <c r="AI11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ID","value":"200-17"},{"id":16,"name":"Locomotive ID","value":"4057"},{"id":130,"name":"Impact","value":""},{"id":150,"name":"Time of Event (Mountain Time)","value":"17:38:17"},{"id":151,"name":"Denver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50"/>
        <v>start /low /b %USERPROFILE%\Documents\GitHub\eaglep3\Utilities\DownloadLogsFromS3.py --loco 4057 --day 2017-12-17</v>
      </c>
      <c r="AN113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52"/>
        <v>https://d0f6bd738d7f1b3e5a7ca70fe4ff75f0.us-east-1.aws.found.io/app/kibana#/discover/Steve-Slow-Train-Analysis-(2080s-and-2083s)?_g=(refreshInterval:(display:Off,pause:!f,section:0,value:0),time:(from:'2017-12-17T15:51:19-0700',mode:absolute,to:'2017-12-17T18:38:17-0700'))&amp;_a=(columns:!('Message%20ID',Summary),filters:!(),index:'emp_*',interval:auto,query:(query_string:(analyze_wildcard:!t,query:'%22rtdc.l.rtdc.4057%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25">
      <c r="A114" s="229" t="s">
        <v>840</v>
      </c>
      <c r="B114" s="225">
        <v>4008</v>
      </c>
      <c r="C114" s="227" t="s">
        <v>192</v>
      </c>
      <c r="D114" s="227" t="s">
        <v>678</v>
      </c>
      <c r="E114" s="226">
        <v>43086.671875</v>
      </c>
      <c r="F114" s="226">
        <v>43086.677361111113</v>
      </c>
      <c r="G114" s="225">
        <v>62</v>
      </c>
      <c r="H114" s="227" t="s">
        <v>1019</v>
      </c>
      <c r="I114" s="226">
        <v>43086.702222222222</v>
      </c>
      <c r="J114" s="225">
        <v>0</v>
      </c>
      <c r="K114" s="237" t="str">
        <f t="shared" si="37"/>
        <v>4007/4008</v>
      </c>
      <c r="L114" s="245" t="str">
        <f>VLOOKUP(A114,'Trips&amp;Operators'!$C$1:$G$99911,5,FALSE)</f>
        <v>SMITH MICHAEL</v>
      </c>
      <c r="M114" s="224">
        <f t="shared" si="38"/>
        <v>2.4861111109203193E-2</v>
      </c>
      <c r="N114" s="225">
        <f t="shared" si="54"/>
        <v>35.799999997252598</v>
      </c>
      <c r="O114" s="225"/>
      <c r="P114" s="225"/>
      <c r="Q114" s="228"/>
      <c r="R114" s="242"/>
      <c r="S114" s="249">
        <f t="shared" si="53"/>
        <v>1</v>
      </c>
      <c r="T114" s="242" t="str">
        <f t="shared" si="39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0"/>
        <v>https://d0f6bd738d7f1b3e5a7ca70fe4ff75f0.us-east-1.aws.found.io/app/kibana#/discover/Steve-Slow-Train-Analysis-(2080s-and-2083s)?_g=(refreshInterval:(display:Off,pause:!f,section:0,value:0),time:(from:'2017-12-17T15:07:30-0700',mode:absolute,to:'2017-12-17T17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247" t="str">
        <f>IF(AA114&lt;VLOOKUP(AG114,Variables!$AC$3:$AD$8,2,FALSE),"Y","N")</f>
        <v>N</v>
      </c>
      <c r="X114" s="247">
        <f t="shared" si="55"/>
        <v>1</v>
      </c>
      <c r="Y114" s="247">
        <f t="shared" si="56"/>
        <v>5.3499999999999999E-2</v>
      </c>
      <c r="Z114" s="247">
        <f t="shared" si="57"/>
        <v>23.3215</v>
      </c>
      <c r="AA114" s="247">
        <f t="shared" si="43"/>
        <v>23.268000000000001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44"/>
        <v>201</v>
      </c>
      <c r="AE114" s="235" t="str">
        <f t="shared" si="45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14" s="234" t="str">
        <f t="shared" si="46"/>
        <v>"C:\Program Files (x86)\AstroGrep\AstroGrep.exe" /e /r /s /spath="%USERPROFILE%\AppData\Local\Temp\OnboardLogs" /stypes="app*4008*20171217*" /stext=" 23:.+((SYSTEM_STATE.+slice.+state.+changed )|(ment ac)|(multiple cpu faults)|(system.+state.+changed )|(\[timeout)|(PRM\|1\|D)|(kpr)|(kdp)|(train st.+moving)|(\|lc)|(penalty))"</v>
      </c>
      <c r="AG114" s="244" t="str">
        <f t="shared" si="47"/>
        <v>EC</v>
      </c>
      <c r="AH114" s="236" t="str">
        <f t="shared" si="48"/>
        <v>"%USERPROFILE%\Documents\GitHub\eaglep3\Utilities\RefineRTDCRunTimes.py" --tripid 201-17 --locoid 4008 --swversion DE.1.0.9.0 --startMP 204:535 --initTime 2017-12-17T16:07:30 --startdatetime 2017-12-17T16:15:24 --delay 62 --endMP 204:233215 --enddatetime 2017-12-17T16:51:12 --enforcementcount 0 &gt;&gt;%USERPROFILE%\Documents\GitHub\eaglep3-reporting\EC\2017-12-17-refined-times.txt</v>
      </c>
      <c r="AI11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{"issue":{"subject":"","project_id":79,"tracker_id":40,"status_id":1,"priority_id":2,"assigned_to_id":338,"start_date":"2017-12-17","description":"","custom_fields":[{"id":1,"name":"Subdivision","value":"EC"},{"id":4,"name":"Milepost","value":"23.3215"},{"id":17,"name":"Train ID","value":"201-17"},{"id":16,"name":"Locomotive ID","value":"4008"},{"id":130,"name":"Impact","value":""},{"id":150,"name":"Time of Event (Mountain Time)","value":"16:51:12"},{"id":151,"name":"Denver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50"/>
        <v>start /low /b %USERPROFILE%\Documents\GitHub\eaglep3\Utilities\DownloadLogsFromS3.py --loco 4008 --day 2017-12-17</v>
      </c>
      <c r="AN114" s="241" t="str">
        <f t="shared" si="51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2"/>
        <v>https://d0f6bd738d7f1b3e5a7ca70fe4ff75f0.us-east-1.aws.found.io/app/kibana#/discover/Steve-Slow-Train-Analysis-(2080s-and-2083s)?_g=(refreshInterval:(display:Off,pause:!f,section:0,value:0),time:(from:'2017-12-17T15:07:30-0700',mode:absolute,to:'2017-12-17T17:51:12-0700'))&amp;_a=(columns:!('Message%20ID',Summary),filters:!(),index:'emp_*',interval:auto,query:(query_string:(analyze_wildcard:!t,query:'%22rtdc.l.rtdc.4008%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848</v>
      </c>
      <c r="B115" s="225">
        <v>4007</v>
      </c>
      <c r="C115" s="227" t="s">
        <v>192</v>
      </c>
      <c r="D115" s="227" t="s">
        <v>1020</v>
      </c>
      <c r="E115" s="226">
        <v>43086.705868055556</v>
      </c>
      <c r="F115" s="226">
        <v>43086.716979166667</v>
      </c>
      <c r="G115" s="225">
        <v>73</v>
      </c>
      <c r="H115" s="227" t="s">
        <v>519</v>
      </c>
      <c r="I115" s="226">
        <v>43086.743784722225</v>
      </c>
      <c r="J115" s="225">
        <v>0</v>
      </c>
      <c r="K115" s="237" t="str">
        <f t="shared" si="37"/>
        <v>4007/4008</v>
      </c>
      <c r="L115" s="245" t="str">
        <f>VLOOKUP(A115,'Trips&amp;Operators'!$C$1:$G$99911,5,FALSE)</f>
        <v>SMITH MICHAEL</v>
      </c>
      <c r="M115" s="224">
        <f t="shared" si="38"/>
        <v>2.6805555557075422E-2</v>
      </c>
      <c r="N115" s="225">
        <f t="shared" si="54"/>
        <v>38.600000002188608</v>
      </c>
      <c r="O115" s="225"/>
      <c r="P115" s="225"/>
      <c r="Q115" s="228"/>
      <c r="R115" s="242"/>
      <c r="S115" s="249">
        <f t="shared" si="53"/>
        <v>1</v>
      </c>
      <c r="T115" s="242" t="str">
        <f t="shared" si="39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0"/>
        <v>https://d0f6bd738d7f1b3e5a7ca70fe4ff75f0.us-east-1.aws.found.io/app/kibana#/discover/Steve-Slow-Train-Analysis-(2080s-and-2083s)?_g=(refreshInterval:(display:Off,pause:!f,section:0,value:0),time:(from:'2017-12-17T15:56:27-0700',mode:absolute,to:'2017-12-17T18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247" t="str">
        <f>IF(AA115&lt;VLOOKUP(AG115,Variables!$AC$3:$AD$8,2,FALSE),"Y","N")</f>
        <v>N</v>
      </c>
      <c r="X115" s="247">
        <f t="shared" si="55"/>
        <v>1</v>
      </c>
      <c r="Y115" s="247">
        <f t="shared" si="56"/>
        <v>23.288399999999999</v>
      </c>
      <c r="Z115" s="247">
        <f t="shared" si="57"/>
        <v>2.6499999999999999E-2</v>
      </c>
      <c r="AA115" s="247">
        <f t="shared" si="43"/>
        <v>23.261900000000001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44"/>
        <v>202</v>
      </c>
      <c r="AE115" s="235" t="str">
        <f t="shared" si="45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15" s="234" t="str">
        <f t="shared" si="46"/>
        <v>"C:\Program Files (x86)\AstroGrep\AstroGrep.exe" /e /r /s /spath="%USERPROFILE%\AppData\Local\Temp\OnboardLogs" /stypes="app*4007*20171218*" /stext=" 00:.+((SYSTEM_STATE.+slice.+state.+changed )|(ment ac)|(multiple cpu faults)|(system.+state.+changed )|(\[timeout)|(PRM\|1\|D)|(kpr)|(kdp)|(train st.+moving)|(\|lc)|(penalty))"</v>
      </c>
      <c r="AG115" s="244" t="str">
        <f t="shared" si="47"/>
        <v>EC</v>
      </c>
      <c r="AH115" s="236" t="str">
        <f t="shared" si="48"/>
        <v>"%USERPROFILE%\Documents\GitHub\eaglep3\Utilities\RefineRTDCRunTimes.py" --tripid 202-17 --locoid 4007 --swversion DE.1.0.9.0 --startMP 204:232884 --initTime 2017-12-17T16:56:27 --startdatetime 2017-12-17T17:12:27 --delay 73 --endMP 204:265 --enddatetime 2017-12-17T17:51:03 --enforcementcount 0 &gt;&gt;%USERPROFILE%\Documents\GitHub\eaglep3-reporting\EC\2017-12-17-refined-times.txt</v>
      </c>
      <c r="AI11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ID","value":"202-17"},{"id":16,"name":"Locomotive ID","value":"4007"},{"id":130,"name":"Impact","value":""},{"id":150,"name":"Time of Event (Mountain Time)","value":"17:51:03"},{"id":151,"name":"Denver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50"/>
        <v>start /low /b %USERPROFILE%\Documents\GitHub\eaglep3\Utilities\DownloadLogsFromS3.py --loco 4007 --day 2017-12-17</v>
      </c>
      <c r="AN115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2"/>
        <v>https://d0f6bd738d7f1b3e5a7ca70fe4ff75f0.us-east-1.aws.found.io/app/kibana#/discover/Steve-Slow-Train-Analysis-(2080s-and-2083s)?_g=(refreshInterval:(display:Off,pause:!f,section:0,value:0),time:(from:'2017-12-17T15:56:27-0700',mode:absolute,to:'2017-12-17T18:51:03-0700'))&amp;_a=(columns:!('Message%20ID',Summary),filters:!(),index:'emp_*',interval:auto,query:(query_string:(analyze_wildcard:!t,query:'%22rtdc.l.rtdc.4007%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709</v>
      </c>
      <c r="B116" s="225">
        <v>4004</v>
      </c>
      <c r="C116" s="227" t="s">
        <v>192</v>
      </c>
      <c r="D116" s="227" t="s">
        <v>1020</v>
      </c>
      <c r="E116" s="226">
        <v>43086.705868055556</v>
      </c>
      <c r="F116" s="226">
        <v>43086.687881944446</v>
      </c>
      <c r="G116" s="225">
        <v>73</v>
      </c>
      <c r="H116" s="227" t="s">
        <v>519</v>
      </c>
      <c r="I116" s="226">
        <v>43086.706886574073</v>
      </c>
      <c r="J116" s="225">
        <v>0</v>
      </c>
      <c r="K116" s="237" t="str">
        <f t="shared" si="37"/>
        <v>4003/4004</v>
      </c>
      <c r="L116" s="245" t="str">
        <f>VLOOKUP(A116,'Trips&amp;Operators'!$C$1:$G$99911,5,FALSE)</f>
        <v>DAVIS MICHAEL</v>
      </c>
      <c r="M116" s="224">
        <f t="shared" si="38"/>
        <v>1.9004629626579117E-2</v>
      </c>
      <c r="N116" s="225"/>
      <c r="O116" s="225"/>
      <c r="P116" s="225">
        <f>24*60*SUM($M116:$M116)</f>
        <v>27.366666662273929</v>
      </c>
      <c r="Q116" s="228"/>
      <c r="R116" s="242" t="s">
        <v>472</v>
      </c>
      <c r="S116" s="249">
        <f t="shared" si="53"/>
        <v>1</v>
      </c>
      <c r="T116" s="242" t="str">
        <f t="shared" si="39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0"/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247" t="str">
        <f>IF(AA116&lt;VLOOKUP(AG116,Variables!$AC$3:$AD$8,2,FALSE),"Y","N")</f>
        <v>Y</v>
      </c>
      <c r="X116" s="247">
        <f t="shared" si="55"/>
        <v>1</v>
      </c>
      <c r="Y116" s="247">
        <v>7.5700000000000003E-2</v>
      </c>
      <c r="Z116" s="247">
        <v>15.1431</v>
      </c>
      <c r="AA116" s="247">
        <f t="shared" si="43"/>
        <v>15.067400000000001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44"/>
        <v>203</v>
      </c>
      <c r="AE116" s="235" t="str">
        <f t="shared" si="45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16" s="234" t="str">
        <f t="shared" si="46"/>
        <v>"C:\Program Files (x86)\AstroGrep\AstroGrep.exe" /e /r /s /spath="%USERPROFILE%\AppData\Local\Temp\OnboardLogs" /stypes="app*4004*20171217*" /stext=" 23:.+((SYSTEM_STATE.+slice.+state.+changed )|(ment ac)|(multiple cpu faults)|(system.+state.+changed )|(\[timeout)|(PRM\|1\|D)|(kpr)|(kdp)|(train st.+moving)|(\|lc)|(penalty))"</v>
      </c>
      <c r="AG116" s="244" t="str">
        <f t="shared" si="47"/>
        <v>EC</v>
      </c>
      <c r="AH116" s="236" t="str">
        <f t="shared" ref="AH116" si="58"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203-17 --locoid 4004 --swversion DE.1.0.9.0 --startMP 204:232884 --initTime 2017-12-17T16:56:27 --startdatetime 2017-12-17T16:30:33 --delay 73 --endMP 204:265 --enddatetime 2017-12-17T16:57:55 --enforcementcount 0 &gt;&gt;%USERPROFILE%\Documents\GitHub\eaglep3-reporting\EC\2017-12-17-refined-times.txt</v>
      </c>
      <c r="AI116" s="238" t="str">
        <f t="shared" ref="AI116" si="59"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drop","project_id":79,"tracker_id":40,"status_id":1,"priority_id":2,"assigned_to_id":338,"start_date":"2017-12-17","description":"","custom_fields":[{"id":1,"name":"Subdivision","value":"EC"},{"id":4,"name":"Milepost","value":"15.1431"},{"id":17,"name":"Train ID","value":"203-17"},{"id":16,"name":"Locomotive ID","value":"4004"},{"id":130,"name":"Impact","value":""},{"id":150,"name":"Time of Event (Mountain Time)","value":"16:57:55"},{"id":151,"name":"Denver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ref="AM116" si="60">"start /low /b "&amp;dls3logs&amp;" --loco "&amp;B116&amp;" --day "&amp;TEXT(F116,"YYYY-MM-DD")</f>
        <v>start /low /b %USERPROFILE%\Documents\GitHub\eaglep3\Utilities\DownloadLogsFromS3.py --loco 4004 --day 2017-12-17</v>
      </c>
      <c r="AN116" s="241" t="str">
        <f t="shared" ref="AN116" si="61"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ref="AO116" si="62"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Message%20ID',Summary),filters:!(),index:'emp_*',interval:auto,query:(query_string:(analyze_wildcard:!t,query:'%22rtdc.l.rtdc.4004%22')),sort:!(Time.ISO8601,asc))</v>
      </c>
    </row>
    <row r="117" spans="1:91" s="223" customFormat="1" x14ac:dyDescent="0.25">
      <c r="A117" s="229" t="s">
        <v>710</v>
      </c>
      <c r="B117" s="225">
        <v>4003</v>
      </c>
      <c r="C117" s="227" t="s">
        <v>192</v>
      </c>
      <c r="D117" s="227" t="s">
        <v>1020</v>
      </c>
      <c r="E117" s="226">
        <v>43086.705868055556</v>
      </c>
      <c r="F117" s="226">
        <v>43086.727638888886</v>
      </c>
      <c r="G117" s="225">
        <v>73</v>
      </c>
      <c r="H117" s="227" t="s">
        <v>519</v>
      </c>
      <c r="I117" s="226">
        <v>43086.758159722223</v>
      </c>
      <c r="J117" s="225">
        <v>0</v>
      </c>
      <c r="K117" s="237" t="str">
        <f t="shared" si="37"/>
        <v>4003/4004</v>
      </c>
      <c r="L117" s="245" t="str">
        <f>VLOOKUP(A117,'Trips&amp;Operators'!$C$1:$G$99911,5,FALSE)</f>
        <v>DAVIS MICHAEL</v>
      </c>
      <c r="M117" s="224">
        <f t="shared" si="38"/>
        <v>3.0520833337504882E-2</v>
      </c>
      <c r="N117" s="225">
        <f t="shared" ref="N117:N153" si="63">24*60*SUM($M117:$M117)</f>
        <v>43.950000006007031</v>
      </c>
      <c r="O117" s="225"/>
      <c r="P117" s="225"/>
      <c r="Q117" s="228"/>
      <c r="R117" s="242"/>
      <c r="S117" s="249">
        <f t="shared" si="53"/>
        <v>1</v>
      </c>
      <c r="T117" s="242" t="str">
        <f t="shared" si="39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0"/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247" t="str">
        <f>IF(AA117&lt;VLOOKUP(AG117,Variables!$AC$3:$AD$8,2,FALSE),"Y","N")</f>
        <v>N</v>
      </c>
      <c r="X117" s="247">
        <f t="shared" si="55"/>
        <v>1</v>
      </c>
      <c r="Y117" s="247">
        <v>23.2773</v>
      </c>
      <c r="Z117" s="247">
        <v>2.3599999999999999E-2</v>
      </c>
      <c r="AA117" s="247">
        <f t="shared" si="43"/>
        <v>23.253700000000002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44"/>
        <v>204</v>
      </c>
      <c r="AE117" s="235" t="str">
        <f t="shared" si="45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17" s="234" t="str">
        <f t="shared" si="46"/>
        <v>"C:\Program Files (x86)\AstroGrep\AstroGrep.exe" /e /r /s /spath="%USERPROFILE%\AppData\Local\Temp\OnboardLogs" /stypes="app*4003*20171218*" /stext=" 01:.+((SYSTEM_STATE.+slice.+state.+changed )|(ment ac)|(multiple cpu faults)|(system.+state.+changed )|(\[timeout)|(PRM\|1\|D)|(kpr)|(kdp)|(train st.+moving)|(\|lc)|(penalty))"</v>
      </c>
      <c r="AG117" s="244" t="str">
        <f t="shared" si="47"/>
        <v>EC</v>
      </c>
      <c r="AH117" s="236" t="str">
        <f t="shared" ref="AH117" si="64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204-17 --locoid 4003 --swversion DE.1.0.9.0 --startMP 204:232884 --initTime 2017-12-17T16:56:27 --startdatetime 2017-12-17T17:27:48 --delay 73 --endMP 204:265 --enddatetime 2017-12-17T18:11:45 --enforcementcount 0 &gt;&gt;%USERPROFILE%\Documents\GitHub\eaglep3-reporting\EC\2017-12-17-refined-times.txt</v>
      </c>
      <c r="AI117" s="238" t="str">
        <f t="shared" ref="AI117" si="65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{"issue":{"subject":"","project_id":79,"tracker_id":40,"status_id":1,"priority_id":2,"assigned_to_id":338,"start_date":"2017-12-17","description":"","custom_fields":[{"id":1,"name":"Subdivision","value":"EC"},{"id":4,"name":"Milepost","value":"0.0236"},{"id":17,"name":"Train ID","value":"204-17"},{"id":16,"name":"Locomotive ID","value":"4003"},{"id":130,"name":"Impact","value":""},{"id":150,"name":"Time of Event (Mountain Time)","value":"18:11:45"},{"id":151,"name":"Denver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ref="AM117" si="66">"start /low /b "&amp;dls3logs&amp;" --loco "&amp;B117&amp;" --day "&amp;TEXT(F117,"YYYY-MM-DD")</f>
        <v>start /low /b %USERPROFILE%\Documents\GitHub\eaglep3\Utilities\DownloadLogsFromS3.py --loco 4003 --day 2017-12-17</v>
      </c>
      <c r="AN117" s="241" t="str">
        <f t="shared" ref="AN117" si="67"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ref="AO117" si="68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Message%20ID',Summary),filters:!(),index:'emp_*',interval:auto,query:(query_string:(analyze_wildcard:!t,query:'%22rtdc.l.rtdc.4003%22')),sort:!(Time.ISO8601,asc))</v>
      </c>
    </row>
    <row r="118" spans="1:91" s="20" customFormat="1" x14ac:dyDescent="0.25">
      <c r="A118" s="229" t="s">
        <v>845</v>
      </c>
      <c r="B118" s="225">
        <v>4018</v>
      </c>
      <c r="C118" s="227" t="s">
        <v>192</v>
      </c>
      <c r="D118" s="227" t="s">
        <v>906</v>
      </c>
      <c r="E118" s="226">
        <v>43086.695324074077</v>
      </c>
      <c r="F118" s="226">
        <v>43086.698113425926</v>
      </c>
      <c r="G118" s="225">
        <v>89</v>
      </c>
      <c r="H118" s="227" t="s">
        <v>923</v>
      </c>
      <c r="I118" s="226">
        <v>43086.723611111112</v>
      </c>
      <c r="J118" s="225">
        <v>0</v>
      </c>
      <c r="K118" s="237" t="str">
        <f t="shared" si="37"/>
        <v>4017/4018</v>
      </c>
      <c r="L118" s="245" t="str">
        <f>VLOOKUP(A118,'Trips&amp;Operators'!$C$1:$G$99911,5,FALSE)</f>
        <v>SAFIEF AEIMEN</v>
      </c>
      <c r="M118" s="224">
        <f t="shared" si="38"/>
        <v>2.5497685186564922E-2</v>
      </c>
      <c r="N118" s="225">
        <f t="shared" si="63"/>
        <v>36.716666668653488</v>
      </c>
      <c r="O118" s="225"/>
      <c r="P118" s="225"/>
      <c r="Q118" s="228"/>
      <c r="R118" s="242"/>
      <c r="S118" s="249">
        <f t="shared" si="53"/>
        <v>1</v>
      </c>
      <c r="T118" s="242" t="str">
        <f t="shared" si="39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0"/>
        <v>https://d0f6bd738d7f1b3e5a7ca70fe4ff75f0.us-east-1.aws.found.io/app/kibana#/discover/Steve-Slow-Train-Analysis-(2080s-and-2083s)?_g=(refreshInterval:(display:Off,pause:!f,section:0,value:0),time:(from:'2017-12-17T15:41:16-0700',mode:absolute,to:'2017-12-17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247" t="str">
        <f>IF(AA118&lt;VLOOKUP(AG118,Variables!$AC$3:$AD$8,2,FALSE),"Y","N")</f>
        <v>N</v>
      </c>
      <c r="X118" s="247">
        <f t="shared" ref="X118:X121" si="69">VALUE(LEFT(AD118,4))-VALUE(LEFT(AD117,4))</f>
        <v>1</v>
      </c>
      <c r="Y118" s="247">
        <f t="shared" ref="Y118:Y137" si="70">RIGHT(D118,LEN(D118)-4)/10000</f>
        <v>4.9299999999999997E-2</v>
      </c>
      <c r="Z118" s="247">
        <f t="shared" ref="Z118:Z137" si="71">RIGHT(H118,LEN(H118)-4)/10000</f>
        <v>23.326599999999999</v>
      </c>
      <c r="AA118" s="247">
        <f t="shared" si="43"/>
        <v>23.2773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44"/>
        <v>205</v>
      </c>
      <c r="AE118" s="235" t="str">
        <f t="shared" si="45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18" s="234" t="str">
        <f t="shared" si="46"/>
        <v>"C:\Program Files (x86)\AstroGrep\AstroGrep.exe" /e /r /s /spath="%USERPROFILE%\AppData\Local\Temp\OnboardLogs" /stypes="app*4018*20171218*" /stext=" 00:.+((SYSTEM_STATE.+slice.+state.+changed )|(ment ac)|(multiple cpu faults)|(system.+state.+changed )|(\[timeout)|(PRM\|1\|D)|(kpr)|(kdp)|(train st.+moving)|(\|lc)|(penalty))"</v>
      </c>
      <c r="AG118" s="244" t="str">
        <f t="shared" si="47"/>
        <v>EC</v>
      </c>
      <c r="AH118" s="236" t="str">
        <f t="shared" si="48"/>
        <v>"%USERPROFILE%\Documents\GitHub\eaglep3\Utilities\RefineRTDCRunTimes.py" --tripid 205-17 --locoid 4018 --swversion DE.1.0.9.0 --startMP 204:493 --initTime 2017-12-17T16:41:16 --startdatetime 2017-12-17T16:45:17 --delay 89 --endMP 204:233266 --enddatetime 2017-12-17T17:22:00 --enforcementcount 0 &gt;&gt;%USERPROFILE%\Documents\GitHub\eaglep3-reporting\EC\2017-12-17-refined-times.txt</v>
      </c>
      <c r="AI118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{"issue":{"subject":"","project_id":79,"tracker_id":40,"status_id":1,"priority_id":2,"assigned_to_id":338,"start_date":"2017-12-17","description":"","custom_fields":[{"id":1,"name":"Subdivision","value":"EC"},{"id":4,"name":"Milepost","value":"23.3266"},{"id":17,"name":"Train ID","value":"205-17"},{"id":16,"name":"Locomotive ID","value":"4018"},{"id":130,"name":"Impact","value":""},{"id":150,"name":"Time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50"/>
        <v>start /low /b %USERPROFILE%\Documents\GitHub\eaglep3\Utilities\DownloadLogsFromS3.py --loco 4018 --day 2017-12-17</v>
      </c>
      <c r="AN118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2"/>
        <v>https://d0f6bd738d7f1b3e5a7ca70fe4ff75f0.us-east-1.aws.found.io/app/kibana#/discover/Steve-Slow-Train-Analysis-(2080s-and-2083s)?_g=(refreshInterval:(display:Off,pause:!f,section:0,value:0),time:(from:'2017-12-17T15:41:16-0700',mode:absolute,to:'2017-12-17T18:22:00-0700'))&amp;_a=(columns:!('Message%20ID',Summary),filters:!(),index:'emp_*',interval:auto,query:(query_string:(analyze_wildcard:!t,query:'%22rtdc.l.rtdc.4018%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9" t="s">
        <v>853</v>
      </c>
      <c r="B119" s="225">
        <v>4017</v>
      </c>
      <c r="C119" s="227" t="s">
        <v>192</v>
      </c>
      <c r="D119" s="227" t="s">
        <v>942</v>
      </c>
      <c r="E119" s="226">
        <v>43086.726145833331</v>
      </c>
      <c r="F119" s="226">
        <v>43086.737673611111</v>
      </c>
      <c r="G119" s="225">
        <v>64</v>
      </c>
      <c r="H119" s="227" t="s">
        <v>566</v>
      </c>
      <c r="I119" s="226">
        <v>43086.76326388889</v>
      </c>
      <c r="J119" s="225">
        <v>0</v>
      </c>
      <c r="K119" s="237" t="str">
        <f t="shared" si="37"/>
        <v>4017/4018</v>
      </c>
      <c r="L119" s="245" t="str">
        <f>VLOOKUP(A119,'Trips&amp;Operators'!$C$1:$G$99911,5,FALSE)</f>
        <v>SAFIEF AEIMEN</v>
      </c>
      <c r="M119" s="224">
        <f t="shared" si="38"/>
        <v>2.5590277778974269E-2</v>
      </c>
      <c r="N119" s="225">
        <f t="shared" si="63"/>
        <v>36.850000001722947</v>
      </c>
      <c r="O119" s="225"/>
      <c r="P119" s="225"/>
      <c r="Q119" s="228"/>
      <c r="R119" s="242"/>
      <c r="S119" s="249">
        <f t="shared" si="53"/>
        <v>1</v>
      </c>
      <c r="T119" s="242" t="str">
        <f t="shared" si="39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0"/>
        <v>https://d0f6bd738d7f1b3e5a7ca70fe4ff75f0.us-east-1.aws.found.io/app/kibana#/discover/Steve-Slow-Train-Analysis-(2080s-and-2083s)?_g=(refreshInterval:(display:Off,pause:!f,section:0,value:0),time:(from:'2017-12-17T16:25:39-0700',mode:absolute,to:'2017-12-17T19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247" t="str">
        <f>IF(AA119&lt;VLOOKUP(AG119,Variables!$AC$3:$AD$8,2,FALSE),"Y","N")</f>
        <v>N</v>
      </c>
      <c r="X119" s="247">
        <f t="shared" si="69"/>
        <v>1</v>
      </c>
      <c r="Y119" s="247">
        <f t="shared" si="70"/>
        <v>23.295000000000002</v>
      </c>
      <c r="Z119" s="247">
        <f t="shared" si="71"/>
        <v>2.0500000000000001E-2</v>
      </c>
      <c r="AA119" s="247">
        <f t="shared" si="43"/>
        <v>23.274500000000003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44"/>
        <v>206</v>
      </c>
      <c r="AE119" s="235" t="str">
        <f t="shared" si="45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19" s="234" t="str">
        <f t="shared" si="46"/>
        <v>"C:\Program Files (x86)\AstroGrep\AstroGrep.exe" /e /r /s /spath="%USERPROFILE%\AppData\Local\Temp\OnboardLogs" /stypes="app*4017*20171218*" /stext=" 01:.+((SYSTEM_STATE.+slice.+state.+changed )|(ment ac)|(multiple cpu faults)|(system.+state.+changed )|(\[timeout)|(PRM\|1\|D)|(kpr)|(kdp)|(train st.+moving)|(\|lc)|(penalty))"</v>
      </c>
      <c r="AG119" s="244" t="str">
        <f t="shared" si="47"/>
        <v>EC</v>
      </c>
      <c r="AH119" s="236" t="str">
        <f t="shared" si="48"/>
        <v>"%USERPROFILE%\Documents\GitHub\eaglep3\Utilities\RefineRTDCRunTimes.py" --tripid 206-17 --locoid 4017 --swversion DE.1.0.9.0 --startMP 204:232950 --initTime 2017-12-17T17:25:39 --startdatetime 2017-12-17T17:42:15 --delay 64 --endMP 204:205 --enddatetime 2017-12-17T18:19:06 --enforcementcount 0 &gt;&gt;%USERPROFILE%\Documents\GitHub\eaglep3-reporting\EC\2017-12-17-refined-times.txt</v>
      </c>
      <c r="AI11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ID","value":"206-17"},{"id":16,"name":"Locomotive ID","value":"4017"},{"id":130,"name":"Impact","value":""},{"id":150,"name":"Time of Event (Mountain Time)","value":"18:19:06"},{"id":151,"name":"Denver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50"/>
        <v>start /low /b %USERPROFILE%\Documents\GitHub\eaglep3\Utilities\DownloadLogsFromS3.py --loco 4017 --day 2017-12-17</v>
      </c>
      <c r="AN119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2"/>
        <v>https://d0f6bd738d7f1b3e5a7ca70fe4ff75f0.us-east-1.aws.found.io/app/kibana#/discover/Steve-Slow-Train-Analysis-(2080s-and-2083s)?_g=(refreshInterval:(display:Off,pause:!f,section:0,value:0),time:(from:'2017-12-17T16:25:39-0700',mode:absolute,to:'2017-12-17T19:19:06-0700'))&amp;_a=(columns:!('Message%20ID',Summary),filters:!(),index:'emp_*',interval:auto,query:(query_string:(analyze_wildcard:!t,query:'%22rtdc.l.rtdc.4017%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25">
      <c r="A120" s="229" t="s">
        <v>847</v>
      </c>
      <c r="B120" s="225">
        <v>4032</v>
      </c>
      <c r="C120" s="227" t="s">
        <v>192</v>
      </c>
      <c r="D120" s="227" t="s">
        <v>685</v>
      </c>
      <c r="E120" s="226">
        <v>43086.70511574074</v>
      </c>
      <c r="F120" s="226">
        <v>43086.708506944444</v>
      </c>
      <c r="G120" s="225">
        <v>66</v>
      </c>
      <c r="H120" s="227" t="s">
        <v>1021</v>
      </c>
      <c r="I120" s="226">
        <v>43086.733738425923</v>
      </c>
      <c r="J120" s="225">
        <v>0</v>
      </c>
      <c r="K120" s="237" t="str">
        <f t="shared" si="37"/>
        <v>4031/4032</v>
      </c>
      <c r="L120" s="245" t="str">
        <f>VLOOKUP(A120,'Trips&amp;Operators'!$C$1:$G$99911,5,FALSE)</f>
        <v>GUZMAN DANNY</v>
      </c>
      <c r="M120" s="224">
        <f t="shared" si="38"/>
        <v>2.5231481478840578E-2</v>
      </c>
      <c r="N120" s="225">
        <f t="shared" si="63"/>
        <v>36.333333329530433</v>
      </c>
      <c r="O120" s="225"/>
      <c r="P120" s="225"/>
      <c r="Q120" s="228"/>
      <c r="R120" s="242"/>
      <c r="S120" s="249">
        <f t="shared" si="53"/>
        <v>1</v>
      </c>
      <c r="T120" s="242" t="str">
        <f t="shared" si="39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0"/>
        <v>https://d0f6bd738d7f1b3e5a7ca70fe4ff75f0.us-east-1.aws.found.io/app/kibana#/discover/Steve-Slow-Train-Analysis-(2080s-and-2083s)?_g=(refreshInterval:(display:Off,pause:!f,section:0,value:0),time:(from:'2017-12-17T15:55:22-0700',mode:absolute,to:'2017-12-17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47" t="str">
        <f>IF(AA120&lt;VLOOKUP(AG120,Variables!$AC$3:$AD$8,2,FALSE),"Y","N")</f>
        <v>N</v>
      </c>
      <c r="X120" s="247">
        <f t="shared" si="69"/>
        <v>1</v>
      </c>
      <c r="Y120" s="247">
        <f t="shared" si="70"/>
        <v>5.5100000000000003E-2</v>
      </c>
      <c r="Z120" s="247">
        <f t="shared" si="71"/>
        <v>23.33</v>
      </c>
      <c r="AA120" s="247">
        <f t="shared" si="43"/>
        <v>23.274899999999999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44"/>
        <v>207</v>
      </c>
      <c r="AE120" s="235" t="str">
        <f t="shared" si="45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20" s="234" t="str">
        <f t="shared" si="46"/>
        <v>"C:\Program Files (x86)\AstroGrep\AstroGrep.exe" /e /r /s /spath="%USERPROFILE%\AppData\Local\Temp\OnboardLogs" /stypes="app*4032*20171218*" /stext=" 00:.+((SYSTEM_STATE.+slice.+state.+changed )|(ment ac)|(multiple cpu faults)|(system.+state.+changed )|(\[timeout)|(PRM\|1\|D)|(kpr)|(kdp)|(train st.+moving)|(\|lc)|(penalty))"</v>
      </c>
      <c r="AG120" s="244" t="str">
        <f t="shared" si="47"/>
        <v>EC</v>
      </c>
      <c r="AH120" s="236" t="str">
        <f t="shared" si="48"/>
        <v>"%USERPROFILE%\Documents\GitHub\eaglep3\Utilities\RefineRTDCRunTimes.py" --tripid 207-17 --locoid 4032 --swversion DE.1.0.9.0 --startMP 204:551 --initTime 2017-12-17T16:55:22 --startdatetime 2017-12-17T17:00:15 --delay 66 --endMP 204:233300 --enddatetime 2017-12-17T17:36:35 --enforcementcount 0 &gt;&gt;%USERPROFILE%\Documents\GitHub\eaglep3-reporting\EC\2017-12-17-refined-times.txt</v>
      </c>
      <c r="AI12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{"issue":{"subject":"","project_id":79,"tracker_id":40,"status_id":1,"priority_id":2,"assigned_to_id":338,"start_date":"2017-12-17","description":"","custom_fields":[{"id":1,"name":"Subdivision","value":"EC"},{"id":4,"name":"Milepost","value":"23.33"},{"id":17,"name":"Train ID","value":"207-17"},{"id":16,"name":"Locomotive ID","value":"4032"},{"id":130,"name":"Impact","value":""},{"id":150,"name":"Time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50"/>
        <v>start /low /b %USERPROFILE%\Documents\GitHub\eaglep3\Utilities\DownloadLogsFromS3.py --loco 4032 --day 2017-12-17</v>
      </c>
      <c r="AN120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2"/>
        <v>https://d0f6bd738d7f1b3e5a7ca70fe4ff75f0.us-east-1.aws.found.io/app/kibana#/discover/Steve-Slow-Train-Analysis-(2080s-and-2083s)?_g=(refreshInterval:(display:Off,pause:!f,section:0,value:0),time:(from:'2017-12-17T15:55:22-0700',mode:absolute,to:'2017-12-17T18:36:35-0700'))&amp;_a=(columns:!('Message%20ID',Summary),filters:!(),index:'emp_*',interval:auto,query:(query_string:(analyze_wildcard:!t,query:'%22rtdc.l.rtdc.4032%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858</v>
      </c>
      <c r="B121" s="225">
        <v>4031</v>
      </c>
      <c r="C121" s="227" t="s">
        <v>192</v>
      </c>
      <c r="D121" s="227" t="s">
        <v>616</v>
      </c>
      <c r="E121" s="226">
        <v>43086.744733796295</v>
      </c>
      <c r="F121" s="226">
        <v>43086.748078703706</v>
      </c>
      <c r="G121" s="225">
        <v>61</v>
      </c>
      <c r="H121" s="227" t="s">
        <v>1022</v>
      </c>
      <c r="I121" s="226">
        <v>43086.77380787037</v>
      </c>
      <c r="J121" s="225">
        <v>0</v>
      </c>
      <c r="K121" s="237" t="str">
        <f t="shared" si="37"/>
        <v>4031/4032</v>
      </c>
      <c r="L121" s="245" t="str">
        <f>VLOOKUP(A121,'Trips&amp;Operators'!$C$1:$G$99911,5,FALSE)</f>
        <v>GUZMAN DANNY</v>
      </c>
      <c r="M121" s="224">
        <f t="shared" si="38"/>
        <v>2.5729166663950309E-2</v>
      </c>
      <c r="N121" s="225">
        <f t="shared" si="63"/>
        <v>37.049999996088445</v>
      </c>
      <c r="O121" s="225"/>
      <c r="P121" s="225"/>
      <c r="Q121" s="228"/>
      <c r="R121" s="242"/>
      <c r="S121" s="249">
        <f t="shared" si="53"/>
        <v>1</v>
      </c>
      <c r="T121" s="242" t="str">
        <f t="shared" si="39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0"/>
        <v>https://d0f6bd738d7f1b3e5a7ca70fe4ff75f0.us-east-1.aws.found.io/app/kibana#/discover/Steve-Slow-Train-Analysis-(2080s-and-2083s)?_g=(refreshInterval:(display:Off,pause:!f,section:0,value:0),time:(from:'2017-12-17T16:52:25-0700',mode:absolute,to:'2017-12-17T19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47" t="str">
        <f>IF(AA121&lt;VLOOKUP(AG121,Variables!$AC$3:$AD$8,2,FALSE),"Y","N")</f>
        <v>N</v>
      </c>
      <c r="X121" s="247">
        <f t="shared" si="69"/>
        <v>1</v>
      </c>
      <c r="Y121" s="247">
        <f t="shared" si="70"/>
        <v>23.2987</v>
      </c>
      <c r="Z121" s="247">
        <f t="shared" si="71"/>
        <v>2.7099999999999999E-2</v>
      </c>
      <c r="AA121" s="247">
        <f t="shared" si="43"/>
        <v>23.271599999999999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44"/>
        <v>208</v>
      </c>
      <c r="AE121" s="235" t="str">
        <f t="shared" si="45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121" s="234" t="str">
        <f t="shared" si="46"/>
        <v>"C:\Program Files (x86)\AstroGrep\AstroGrep.exe" /e /r /s /spath="%USERPROFILE%\AppData\Local\Temp\OnboardLogs" /stypes="app*4031*20171218*" /stext=" 01:.+((SYSTEM_STATE.+slice.+state.+changed )|(ment ac)|(multiple cpu faults)|(system.+state.+changed )|(\[timeout)|(PRM\|1\|D)|(kpr)|(kdp)|(train st.+moving)|(\|lc)|(penalty))"</v>
      </c>
      <c r="AG121" s="244" t="str">
        <f t="shared" si="47"/>
        <v>EC</v>
      </c>
      <c r="AH121" s="236" t="str">
        <f t="shared" si="48"/>
        <v>"%USERPROFILE%\Documents\GitHub\eaglep3\Utilities\RefineRTDCRunTimes.py" --tripid 208-17 --locoid 4031 --swversion DE.1.0.9.0 --startMP 204:232987 --initTime 2017-12-17T17:52:25 --startdatetime 2017-12-17T17:57:14 --delay 61 --endMP 204:271 --enddatetime 2017-12-17T18:34:17 --enforcementcount 0 &gt;&gt;%USERPROFILE%\Documents\GitHub\eaglep3-reporting\EC\2017-12-17-refined-times.txt</v>
      </c>
      <c r="AI12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{"issue":{"subject":"","project_id":79,"tracker_id":40,"status_id":1,"priority_id":2,"assigned_to_id":338,"start_date":"2017-12-17","description":"","custom_fields":[{"id":1,"name":"Subdivision","value":"EC"},{"id":4,"name":"Milepost","value":"0.0271"},{"id":17,"name":"Train ID","value":"208-17"},{"id":16,"name":"Locomotive ID","value":"4031"},{"id":130,"name":"Impact","value":""},{"id":150,"name":"Time of Event (Mountain Time)","value":"18:34:17"},{"id":151,"name":"Denver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50"/>
        <v>start /low /b %USERPROFILE%\Documents\GitHub\eaglep3\Utilities\DownloadLogsFromS3.py --loco 4031 --day 2017-12-17</v>
      </c>
      <c r="AN121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2"/>
        <v>https://d0f6bd738d7f1b3e5a7ca70fe4ff75f0.us-east-1.aws.found.io/app/kibana#/discover/Steve-Slow-Train-Analysis-(2080s-and-2083s)?_g=(refreshInterval:(display:Off,pause:!f,section:0,value:0),time:(from:'2017-12-17T16:52:25-0700',mode:absolute,to:'2017-12-17T19:34:17-0700'))&amp;_a=(columns:!('Message%20ID',Summary),filters:!(),index:'emp_*',interval:auto,query:(query_string:(analyze_wildcard:!t,query:'%22rtdc.l.rtdc.4031%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852</v>
      </c>
      <c r="B122" s="225">
        <v>4054</v>
      </c>
      <c r="C122" s="227" t="s">
        <v>192</v>
      </c>
      <c r="D122" s="227" t="s">
        <v>939</v>
      </c>
      <c r="E122" s="226">
        <v>43086.715381944443</v>
      </c>
      <c r="F122" s="226">
        <v>43086.7190625</v>
      </c>
      <c r="G122" s="225">
        <v>101</v>
      </c>
      <c r="H122" s="227" t="s">
        <v>585</v>
      </c>
      <c r="I122" s="226">
        <v>43086.743715277778</v>
      </c>
      <c r="J122" s="225">
        <v>0</v>
      </c>
      <c r="K122" s="237" t="str">
        <f t="shared" si="37"/>
        <v>4053/4054</v>
      </c>
      <c r="L122" s="245" t="str">
        <f>VLOOKUP(A122,'Trips&amp;Operators'!$C$1:$G$99911,5,FALSE)</f>
        <v>STAMBAUGH JAMES</v>
      </c>
      <c r="M122" s="224">
        <f t="shared" si="38"/>
        <v>2.4652777778101154E-2</v>
      </c>
      <c r="N122" s="225">
        <f t="shared" si="63"/>
        <v>35.500000000465661</v>
      </c>
      <c r="O122" s="225"/>
      <c r="P122" s="225"/>
      <c r="Q122" s="228"/>
      <c r="R122" s="242"/>
      <c r="S122" s="249">
        <f t="shared" si="53"/>
        <v>1</v>
      </c>
      <c r="T122" s="242" t="str">
        <f t="shared" si="39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0"/>
        <v>https://d0f6bd738d7f1b3e5a7ca70fe4ff75f0.us-east-1.aws.found.io/app/kibana#/discover/Steve-Slow-Train-Analysis-(2080s-and-2083s)?_g=(refreshInterval:(display:Off,pause:!f,section:0,value:0),time:(from:'2017-12-17T16:10:09-0700',mode:absolute,to:'2017-12-17T18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2" s="247" t="str">
        <f>IF(AA122&lt;VLOOKUP(AG122,Variables!$AC$3:$AD$8,2,FALSE),"Y","N")</f>
        <v>N</v>
      </c>
      <c r="X122" s="247">
        <f t="shared" ref="X122:X138" si="72">VALUE(LEFT(AD122,4))-VALUE(LEFT(AD121,4))</f>
        <v>1</v>
      </c>
      <c r="Y122" s="247">
        <f t="shared" si="70"/>
        <v>4.4900000000000002E-2</v>
      </c>
      <c r="Z122" s="247">
        <f t="shared" si="71"/>
        <v>23.330500000000001</v>
      </c>
      <c r="AA122" s="247">
        <f t="shared" si="43"/>
        <v>23.285600000000002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44"/>
        <v>209</v>
      </c>
      <c r="AE122" s="235" t="str">
        <f t="shared" si="45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22" s="234" t="str">
        <f t="shared" si="46"/>
        <v>"C:\Program Files (x86)\AstroGrep\AstroGrep.exe" /e /r /s /spath="%USERPROFILE%\AppData\Local\Temp\OnboardLogs" /stypes="app*4054*20171218*" /stext=" 00:.+((SYSTEM_STATE.+slice.+state.+changed )|(ment ac)|(multiple cpu faults)|(system.+state.+changed )|(\[timeout)|(PRM\|1\|D)|(kpr)|(kdp)|(train st.+moving)|(\|lc)|(penalty))"</v>
      </c>
      <c r="AG122" s="244" t="str">
        <f t="shared" si="47"/>
        <v>EC</v>
      </c>
      <c r="AH122" s="236" t="str">
        <f t="shared" si="48"/>
        <v>"%USERPROFILE%\Documents\GitHub\eaglep3\Utilities\RefineRTDCRunTimes.py" --tripid 209-17 --locoid 4054 --swversion DE.1.0.9.0 --startMP 204:449 --initTime 2017-12-17T17:10:09 --startdatetime 2017-12-17T17:15:27 --delay 101 --endMP 204:233305 --enddatetime 2017-12-17T17:50:57 --enforcementcount 0 &gt;&gt;%USERPROFILE%\Documents\GitHub\eaglep3-reporting\EC\2017-12-17-refined-times.txt</v>
      </c>
      <c r="AI12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{"issue":{"subject":"","project_id":79,"tracker_id":40,"status_id":1,"priority_id":2,"assigned_to_id":338,"start_date":"2017-12-17","description":"","custom_fields":[{"id":1,"name":"Subdivision","value":"EC"},{"id":4,"name":"Milepost","value":"23.3305"},{"id":17,"name":"Train ID","value":"209-17"},{"id":16,"name":"Locomotive ID","value":"4054"},{"id":130,"name":"Impact","value":""},{"id":150,"name":"Time of Event (Mountain Time)","value":"17:50:57"},{"id":151,"name":"Denver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50"/>
        <v>start /low /b %USERPROFILE%\Documents\GitHub\eaglep3\Utilities\DownloadLogsFromS3.py --loco 4054 --day 2017-12-17</v>
      </c>
      <c r="AN122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2"/>
        <v>https://d0f6bd738d7f1b3e5a7ca70fe4ff75f0.us-east-1.aws.found.io/app/kibana#/discover/Steve-Slow-Train-Analysis-(2080s-and-2083s)?_g=(refreshInterval:(display:Off,pause:!f,section:0,value:0),time:(from:'2017-12-17T16:10:09-0700',mode:absolute,to:'2017-12-17T18:50:57-0700'))&amp;_a=(columns:!('Message%20ID',Summary),filters:!(),index:'emp_*',interval:auto,query:(query_string:(analyze_wildcard:!t,query:'%22rtdc.l.rtdc.4054%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861</v>
      </c>
      <c r="B123" s="225">
        <v>4053</v>
      </c>
      <c r="C123" s="227" t="s">
        <v>192</v>
      </c>
      <c r="D123" s="227" t="s">
        <v>1023</v>
      </c>
      <c r="E123" s="226">
        <v>43086.753668981481</v>
      </c>
      <c r="F123" s="226">
        <v>43086.758599537039</v>
      </c>
      <c r="G123" s="225">
        <v>76</v>
      </c>
      <c r="H123" s="227" t="s">
        <v>681</v>
      </c>
      <c r="I123" s="226">
        <v>43086.783541666664</v>
      </c>
      <c r="J123" s="225">
        <v>0</v>
      </c>
      <c r="K123" s="237" t="str">
        <f t="shared" si="37"/>
        <v>4053/4054</v>
      </c>
      <c r="L123" s="245" t="str">
        <f>VLOOKUP(A123,'Trips&amp;Operators'!$C$1:$G$99911,5,FALSE)</f>
        <v>STAMBAUGH JAMES</v>
      </c>
      <c r="M123" s="224">
        <f t="shared" si="38"/>
        <v>2.4942129624832887E-2</v>
      </c>
      <c r="N123" s="225">
        <f t="shared" si="63"/>
        <v>35.916666659759358</v>
      </c>
      <c r="O123" s="225"/>
      <c r="P123" s="225"/>
      <c r="Q123" s="228"/>
      <c r="R123" s="242"/>
      <c r="S123" s="249">
        <f t="shared" si="53"/>
        <v>1</v>
      </c>
      <c r="T123" s="242" t="str">
        <f t="shared" si="39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0"/>
        <v>https://d0f6bd738d7f1b3e5a7ca70fe4ff75f0.us-east-1.aws.found.io/app/kibana#/discover/Steve-Slow-Train-Analysis-(2080s-and-2083s)?_g=(refreshInterval:(display:Off,pause:!f,section:0,value:0),time:(from:'2017-12-17T17:05:17-0700',mode:absolute,to:'2017-12-17T19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3" s="247" t="str">
        <f>IF(AA123&lt;VLOOKUP(AG123,Variables!$AC$3:$AD$8,2,FALSE),"Y","N")</f>
        <v>N</v>
      </c>
      <c r="X123" s="247">
        <f t="shared" si="72"/>
        <v>1</v>
      </c>
      <c r="Y123" s="247">
        <f t="shared" si="70"/>
        <v>23.2988</v>
      </c>
      <c r="Z123" s="247">
        <f t="shared" si="71"/>
        <v>2.23E-2</v>
      </c>
      <c r="AA123" s="247">
        <f t="shared" si="43"/>
        <v>23.276499999999999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44"/>
        <v>210</v>
      </c>
      <c r="AE123" s="235" t="str">
        <f t="shared" si="45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23" s="234" t="str">
        <f t="shared" si="46"/>
        <v>"C:\Program Files (x86)\AstroGrep\AstroGrep.exe" /e /r /s /spath="%USERPROFILE%\AppData\Local\Temp\OnboardLogs" /stypes="app*4053*20171218*" /stext=" 01:.+((SYSTEM_STATE.+slice.+state.+changed )|(ment ac)|(multiple cpu faults)|(system.+state.+changed )|(\[timeout)|(PRM\|1\|D)|(kpr)|(kdp)|(train st.+moving)|(\|lc)|(penalty))"</v>
      </c>
      <c r="AG123" s="244" t="str">
        <f t="shared" si="47"/>
        <v>EC</v>
      </c>
      <c r="AH123" s="236" t="str">
        <f t="shared" si="48"/>
        <v>"%USERPROFILE%\Documents\GitHub\eaglep3\Utilities\RefineRTDCRunTimes.py" --tripid 210-17 --locoid 4053 --swversion DE.1.0.9.0 --startMP 204:232988 --initTime 2017-12-17T18:05:17 --startdatetime 2017-12-17T18:12:23 --delay 76 --endMP 204:223 --enddatetime 2017-12-17T18:48:18 --enforcementcount 0 &gt;&gt;%USERPROFILE%\Documents\GitHub\eaglep3-reporting\EC\2017-12-17-refined-times.txt</v>
      </c>
      <c r="AI12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{"issue":{"subject":"","project_id":79,"tracker_id":40,"status_id":1,"priority_id":2,"assigned_to_id":338,"start_date":"2017-12-17","description":"","custom_fields":[{"id":1,"name":"Subdivision","value":"EC"},{"id":4,"name":"Milepost","value":"0.0223"},{"id":17,"name":"Train ID","value":"210-17"},{"id":16,"name":"Locomotive ID","value":"4053"},{"id":130,"name":"Impact","value":""},{"id":150,"name":"Time of Event (Mountain Time)","value":"18:48:18"},{"id":151,"name":"Denver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50"/>
        <v>start /low /b %USERPROFILE%\Documents\GitHub\eaglep3\Utilities\DownloadLogsFromS3.py --loco 4053 --day 2017-12-17</v>
      </c>
      <c r="AN123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2"/>
        <v>https://d0f6bd738d7f1b3e5a7ca70fe4ff75f0.us-east-1.aws.found.io/app/kibana#/discover/Steve-Slow-Train-Analysis-(2080s-and-2083s)?_g=(refreshInterval:(display:Off,pause:!f,section:0,value:0),time:(from:'2017-12-17T17:05:17-0700',mode:absolute,to:'2017-12-17T19:48:18-0700'))&amp;_a=(columns:!('Message%20ID',Summary),filters:!(),index:'emp_*',interval:auto,query:(query_string:(analyze_wildcard:!t,query:'%22rtdc.l.rtdc.4053%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855</v>
      </c>
      <c r="B124" s="225">
        <v>4040</v>
      </c>
      <c r="C124" s="227" t="s">
        <v>192</v>
      </c>
      <c r="D124" s="227" t="s">
        <v>576</v>
      </c>
      <c r="E124" s="226">
        <v>43086.726342592592</v>
      </c>
      <c r="F124" s="226">
        <v>43086.729513888888</v>
      </c>
      <c r="G124" s="225">
        <v>87</v>
      </c>
      <c r="H124" s="227" t="s">
        <v>920</v>
      </c>
      <c r="I124" s="226">
        <v>43086.754317129627</v>
      </c>
      <c r="J124" s="225">
        <v>0</v>
      </c>
      <c r="K124" s="237" t="str">
        <f t="shared" si="37"/>
        <v>4039/4040</v>
      </c>
      <c r="L124" s="245" t="str">
        <f>VLOOKUP(A124,'Trips&amp;Operators'!$C$1:$G$99911,5,FALSE)</f>
        <v>MAGEE KENYA</v>
      </c>
      <c r="M124" s="224">
        <f t="shared" si="38"/>
        <v>2.4803240739856847E-2</v>
      </c>
      <c r="N124" s="225">
        <f t="shared" si="63"/>
        <v>35.716666665393859</v>
      </c>
      <c r="O124" s="225"/>
      <c r="P124" s="225"/>
      <c r="Q124" s="228"/>
      <c r="R124" s="242"/>
      <c r="S124" s="249">
        <f t="shared" si="53"/>
        <v>1</v>
      </c>
      <c r="T124" s="242" t="str">
        <f t="shared" si="39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0"/>
        <v>https://d0f6bd738d7f1b3e5a7ca70fe4ff75f0.us-east-1.aws.found.io/app/kibana#/discover/Steve-Slow-Train-Analysis-(2080s-and-2083s)?_g=(refreshInterval:(display:Off,pause:!f,section:0,value:0),time:(from:'2017-12-17T16:25:56-0700',mode:absolute,to:'2017-12-17T19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4" s="247" t="str">
        <f>IF(AA124&lt;VLOOKUP(AG124,Variables!$AC$3:$AD$8,2,FALSE),"Y","N")</f>
        <v>N</v>
      </c>
      <c r="X124" s="247">
        <f t="shared" si="72"/>
        <v>1</v>
      </c>
      <c r="Y124" s="247">
        <f t="shared" si="70"/>
        <v>5.2900000000000003E-2</v>
      </c>
      <c r="Z124" s="247">
        <f t="shared" si="71"/>
        <v>23.328900000000001</v>
      </c>
      <c r="AA124" s="247">
        <f t="shared" si="43"/>
        <v>23.276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44"/>
        <v>211</v>
      </c>
      <c r="AE124" s="235" t="str">
        <f t="shared" si="45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24" s="234" t="str">
        <f t="shared" si="46"/>
        <v>"C:\Program Files (x86)\AstroGrep\AstroGrep.exe" /e /r /s /spath="%USERPROFILE%\AppData\Local\Temp\OnboardLogs" /stypes="app*4040*20171218*" /stext=" 01:.+((SYSTEM_STATE.+slice.+state.+changed )|(ment ac)|(multiple cpu faults)|(system.+state.+changed )|(\[timeout)|(PRM\|1\|D)|(kpr)|(kdp)|(train st.+moving)|(\|lc)|(penalty))"</v>
      </c>
      <c r="AG124" s="244" t="str">
        <f t="shared" si="47"/>
        <v>EC</v>
      </c>
      <c r="AH124" s="236" t="str">
        <f t="shared" si="48"/>
        <v>"%USERPROFILE%\Documents\GitHub\eaglep3\Utilities\RefineRTDCRunTimes.py" --tripid 211-17 --locoid 4040 --swversion DE.1.0.9.0 --startMP 204:529 --initTime 2017-12-17T17:25:56 --startdatetime 2017-12-17T17:30:30 --delay 87 --endMP 204:233289 --enddatetime 2017-12-17T18:06:13 --enforcementcount 0 &gt;&gt;%USERPROFILE%\Documents\GitHub\eaglep3-reporting\EC\2017-12-17-refined-times.txt</v>
      </c>
      <c r="AI12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{"issue":{"subject":"","project_id":79,"tracker_id":40,"status_id":1,"priority_id":2,"assigned_to_id":338,"start_date":"2017-12-17","description":"","custom_fields":[{"id":1,"name":"Subdivision","value":"EC"},{"id":4,"name":"Milepost","value":"23.3289"},{"id":17,"name":"Train ID","value":"211-17"},{"id":16,"name":"Locomotive ID","value":"4040"},{"id":130,"name":"Impact","value":""},{"id":150,"name":"Time of Event (Mountain Time)","value":"18:06:13"},{"id":151,"name":"Denver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50"/>
        <v>start /low /b %USERPROFILE%\Documents\GitHub\eaglep3\Utilities\DownloadLogsFromS3.py --loco 4040 --day 2017-12-17</v>
      </c>
      <c r="AN124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2"/>
        <v>https://d0f6bd738d7f1b3e5a7ca70fe4ff75f0.us-east-1.aws.found.io/app/kibana#/discover/Steve-Slow-Train-Analysis-(2080s-and-2083s)?_g=(refreshInterval:(display:Off,pause:!f,section:0,value:0),time:(from:'2017-12-17T16:25:56-0700',mode:absolute,to:'2017-12-17T19:06:13-0700'))&amp;_a=(columns:!('Message%20ID',Summary),filters:!(),index:'emp_*',interval:auto,query:(query_string:(analyze_wildcard:!t,query:'%22rtdc.l.rtdc.4040%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863</v>
      </c>
      <c r="B125" s="225">
        <v>4039</v>
      </c>
      <c r="C125" s="227" t="s">
        <v>192</v>
      </c>
      <c r="D125" s="227" t="s">
        <v>1024</v>
      </c>
      <c r="E125" s="226">
        <v>43086.766134259262</v>
      </c>
      <c r="F125" s="226">
        <v>43086.768958333334</v>
      </c>
      <c r="G125" s="225">
        <v>65</v>
      </c>
      <c r="H125" s="227" t="s">
        <v>619</v>
      </c>
      <c r="I125" s="226">
        <v>43086.795312499999</v>
      </c>
      <c r="J125" s="225">
        <v>0</v>
      </c>
      <c r="K125" s="237" t="str">
        <f t="shared" si="37"/>
        <v>4039/4040</v>
      </c>
      <c r="L125" s="245" t="str">
        <f>VLOOKUP(A125,'Trips&amp;Operators'!$C$1:$G$99911,5,FALSE)</f>
        <v>MAGEE KENYA</v>
      </c>
      <c r="M125" s="224">
        <f t="shared" si="38"/>
        <v>2.6354166664532386E-2</v>
      </c>
      <c r="N125" s="225">
        <f t="shared" si="63"/>
        <v>37.949999996926636</v>
      </c>
      <c r="O125" s="225"/>
      <c r="P125" s="225"/>
      <c r="Q125" s="228"/>
      <c r="R125" s="242"/>
      <c r="S125" s="249">
        <f t="shared" si="53"/>
        <v>1</v>
      </c>
      <c r="T125" s="242" t="str">
        <f t="shared" si="39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0"/>
        <v>https://d0f6bd738d7f1b3e5a7ca70fe4ff75f0.us-east-1.aws.found.io/app/kibana#/discover/Steve-Slow-Train-Analysis-(2080s-and-2083s)?_g=(refreshInterval:(display:Off,pause:!f,section:0,value:0),time:(from:'2017-12-17T17:23:14-0700',mode:absolute,to:'2017-12-17T20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5" s="247" t="str">
        <f>IF(AA125&lt;VLOOKUP(AG125,Variables!$AC$3:$AD$8,2,FALSE),"Y","N")</f>
        <v>N</v>
      </c>
      <c r="X125" s="247">
        <f t="shared" si="72"/>
        <v>1</v>
      </c>
      <c r="Y125" s="247">
        <f t="shared" si="70"/>
        <v>23.305499999999999</v>
      </c>
      <c r="Z125" s="247">
        <f t="shared" si="71"/>
        <v>2.3599999999999999E-2</v>
      </c>
      <c r="AA125" s="247">
        <f t="shared" si="43"/>
        <v>23.2819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44"/>
        <v>212</v>
      </c>
      <c r="AE125" s="235" t="str">
        <f t="shared" si="45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125" s="234" t="str">
        <f t="shared" si="46"/>
        <v>"C:\Program Files (x86)\AstroGrep\AstroGrep.exe" /e /r /s /spath="%USERPROFILE%\AppData\Local\Temp\OnboardLogs" /stypes="app*4039*20171218*" /stext=" 02:.+((SYSTEM_STATE.+slice.+state.+changed )|(ment ac)|(multiple cpu faults)|(system.+state.+changed )|(\[timeout)|(PRM\|1\|D)|(kpr)|(kdp)|(train st.+moving)|(\|lc)|(penalty))"</v>
      </c>
      <c r="AG125" s="244" t="str">
        <f t="shared" si="47"/>
        <v>EC</v>
      </c>
      <c r="AH125" s="236" t="str">
        <f t="shared" si="48"/>
        <v>"%USERPROFILE%\Documents\GitHub\eaglep3\Utilities\RefineRTDCRunTimes.py" --tripid 212-17 --locoid 4039 --swversion DE.1.0.9.0 --startMP 204:233055 --initTime 2017-12-17T18:23:14 --startdatetime 2017-12-17T18:27:18 --delay 65 --endMP 204:236 --enddatetime 2017-12-17T19:05:15 --enforcementcount 0 &gt;&gt;%USERPROFILE%\Documents\GitHub\eaglep3-reporting\EC\2017-12-17-refined-times.txt</v>
      </c>
      <c r="AI12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{"issue":{"subject":"","project_id":79,"tracker_id":40,"status_id":1,"priority_id":2,"assigned_to_id":338,"start_date":"2017-12-17","description":"","custom_fields":[{"id":1,"name":"Subdivision","value":"EC"},{"id":4,"name":"Milepost","value":"0.0236"},{"id":17,"name":"Train ID","value":"212-17"},{"id":16,"name":"Locomotive ID","value":"4039"},{"id":130,"name":"Impact","value":""},{"id":150,"name":"Time of Event (Mountain Time)","value":"19:05:15"},{"id":151,"name":"Denver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50"/>
        <v>start /low /b %USERPROFILE%\Documents\GitHub\eaglep3\Utilities\DownloadLogsFromS3.py --loco 4039 --day 2017-12-17</v>
      </c>
      <c r="AN125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52"/>
        <v>https://d0f6bd738d7f1b3e5a7ca70fe4ff75f0.us-east-1.aws.found.io/app/kibana#/discover/Steve-Slow-Train-Analysis-(2080s-and-2083s)?_g=(refreshInterval:(display:Off,pause:!f,section:0,value:0),time:(from:'2017-12-17T17:23:14-0700',mode:absolute,to:'2017-12-17T20:05:15-0700'))&amp;_a=(columns:!('Message%20ID',Summary),filters:!(),index:'emp_*',interval:auto,query:(query_string:(analyze_wildcard:!t,query:'%22rtdc.l.rtdc.4039%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857</v>
      </c>
      <c r="B126" s="225">
        <v>4058</v>
      </c>
      <c r="C126" s="227" t="s">
        <v>192</v>
      </c>
      <c r="D126" s="227" t="s">
        <v>1025</v>
      </c>
      <c r="E126" s="226">
        <v>43086.737766203703</v>
      </c>
      <c r="F126" s="226">
        <v>43086.739814814813</v>
      </c>
      <c r="G126" s="225">
        <v>95</v>
      </c>
      <c r="H126" s="227" t="s">
        <v>598</v>
      </c>
      <c r="I126" s="226">
        <v>43086.764386574076</v>
      </c>
      <c r="J126" s="225">
        <v>0</v>
      </c>
      <c r="K126" s="237" t="str">
        <f t="shared" si="37"/>
        <v>4057/4058</v>
      </c>
      <c r="L126" s="245" t="str">
        <f>VLOOKUP(A126,'Trips&amp;Operators'!$C$1:$G$99911,5,FALSE)</f>
        <v>LOZA FIDEL</v>
      </c>
      <c r="M126" s="224">
        <f t="shared" si="38"/>
        <v>2.457175926247146E-2</v>
      </c>
      <c r="N126" s="225">
        <f t="shared" si="63"/>
        <v>35.383333337958902</v>
      </c>
      <c r="O126" s="225"/>
      <c r="P126" s="225"/>
      <c r="Q126" s="228"/>
      <c r="R126" s="242"/>
      <c r="S126" s="249">
        <f t="shared" si="53"/>
        <v>1</v>
      </c>
      <c r="T126" s="242" t="str">
        <f t="shared" si="39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0"/>
        <v>https://d0f6bd738d7f1b3e5a7ca70fe4ff75f0.us-east-1.aws.found.io/app/kibana#/discover/Steve-Slow-Train-Analysis-(2080s-and-2083s)?_g=(refreshInterval:(display:Off,pause:!f,section:0,value:0),time:(from:'2017-12-17T16:42:23-0700',mode:absolute,to:'2017-12-17T19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6" s="247" t="str">
        <f>IF(AA126&lt;VLOOKUP(AG126,Variables!$AC$3:$AD$8,2,FALSE),"Y","N")</f>
        <v>N</v>
      </c>
      <c r="X126" s="247">
        <f t="shared" si="72"/>
        <v>1</v>
      </c>
      <c r="Y126" s="247">
        <f t="shared" si="70"/>
        <v>5.3699999999999998E-2</v>
      </c>
      <c r="Z126" s="247">
        <f t="shared" si="71"/>
        <v>23.328600000000002</v>
      </c>
      <c r="AA126" s="247">
        <f t="shared" si="43"/>
        <v>23.274900000000002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44"/>
        <v>213</v>
      </c>
      <c r="AE126" s="235" t="str">
        <f t="shared" si="45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26" s="234" t="str">
        <f t="shared" si="46"/>
        <v>"C:\Program Files (x86)\AstroGrep\AstroGrep.exe" /e /r /s /spath="%USERPROFILE%\AppData\Local\Temp\OnboardLogs" /stypes="app*4058*20171218*" /stext=" 01:.+((SYSTEM_STATE.+slice.+state.+changed )|(ment ac)|(multiple cpu faults)|(system.+state.+changed )|(\[timeout)|(PRM\|1\|D)|(kpr)|(kdp)|(train st.+moving)|(\|lc)|(penalty))"</v>
      </c>
      <c r="AG126" s="244" t="str">
        <f t="shared" si="47"/>
        <v>EC</v>
      </c>
      <c r="AH126" s="236" t="str">
        <f t="shared" si="48"/>
        <v>"%USERPROFILE%\Documents\GitHub\eaglep3\Utilities\RefineRTDCRunTimes.py" --tripid 213-17 --locoid 4058 --swversion DE.1.0.9.0 --startMP 204:537 --initTime 2017-12-17T17:42:23 --startdatetime 2017-12-17T17:45:20 --delay 95 --endMP 204:233286 --enddatetime 2017-12-17T18:20:43 --enforcementcount 0 &gt;&gt;%USERPROFILE%\Documents\GitHub\eaglep3-reporting\EC\2017-12-17-refined-times.txt</v>
      </c>
      <c r="AI126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{"issue":{"subject":"","project_id":79,"tracker_id":40,"status_id":1,"priority_id":2,"assigned_to_id":338,"start_date":"2017-12-17","description":"","custom_fields":[{"id":1,"name":"Subdivision","value":"EC"},{"id":4,"name":"Milepost","value":"23.3286"},{"id":17,"name":"Train ID","value":"213-17"},{"id":16,"name":"Locomotive ID","value":"4058"},{"id":130,"name":"Impact","value":""},{"id":150,"name":"Time of Event (Mountain Time)","value":"18:20:43"},{"id":151,"name":"Denver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50"/>
        <v>start /low /b %USERPROFILE%\Documents\GitHub\eaglep3\Utilities\DownloadLogsFromS3.py --loco 4058 --day 2017-12-17</v>
      </c>
      <c r="AN126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2"/>
        <v>https://d0f6bd738d7f1b3e5a7ca70fe4ff75f0.us-east-1.aws.found.io/app/kibana#/discover/Steve-Slow-Train-Analysis-(2080s-and-2083s)?_g=(refreshInterval:(display:Off,pause:!f,section:0,value:0),time:(from:'2017-12-17T16:42:23-0700',mode:absolute,to:'2017-12-17T19:20:43-0700'))&amp;_a=(columns:!('Message%20ID',Summary),filters:!(),index:'emp_*',interval:auto,query:(query_string:(analyze_wildcard:!t,query:'%22rtdc.l.rtdc.4058%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867</v>
      </c>
      <c r="B127" s="225">
        <v>4057</v>
      </c>
      <c r="C127" s="227" t="s">
        <v>192</v>
      </c>
      <c r="D127" s="227" t="s">
        <v>682</v>
      </c>
      <c r="E127" s="226">
        <v>43086.777013888888</v>
      </c>
      <c r="F127" s="226">
        <v>43086.779409722221</v>
      </c>
      <c r="G127" s="225">
        <v>102</v>
      </c>
      <c r="H127" s="227" t="s">
        <v>498</v>
      </c>
      <c r="I127" s="226">
        <v>43086.804259259261</v>
      </c>
      <c r="J127" s="225">
        <v>0</v>
      </c>
      <c r="K127" s="237" t="str">
        <f t="shared" si="37"/>
        <v>4057/4058</v>
      </c>
      <c r="L127" s="245" t="str">
        <f>VLOOKUP(A127,'Trips&amp;Operators'!$C$1:$G$99911,5,FALSE)</f>
        <v>LOZA FIDEL</v>
      </c>
      <c r="M127" s="224">
        <f t="shared" si="38"/>
        <v>2.4849537039699499E-2</v>
      </c>
      <c r="N127" s="225">
        <f t="shared" si="63"/>
        <v>35.783333337167278</v>
      </c>
      <c r="O127" s="225"/>
      <c r="P127" s="225"/>
      <c r="Q127" s="228"/>
      <c r="R127" s="242"/>
      <c r="S127" s="249">
        <f t="shared" si="53"/>
        <v>1</v>
      </c>
      <c r="T127" s="242" t="str">
        <f t="shared" si="39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0"/>
        <v>https://d0f6bd738d7f1b3e5a7ca70fe4ff75f0.us-east-1.aws.found.io/app/kibana#/discover/Steve-Slow-Train-Analysis-(2080s-and-2083s)?_g=(refreshInterval:(display:Off,pause:!f,section:0,value:0),time:(from:'2017-12-17T17:38:54-0700',mode:absolute,to:'2017-12-17T20:18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7" s="247" t="str">
        <f>IF(AA127&lt;VLOOKUP(AG127,Variables!$AC$3:$AD$8,2,FALSE),"Y","N")</f>
        <v>N</v>
      </c>
      <c r="X127" s="247">
        <f t="shared" si="72"/>
        <v>1</v>
      </c>
      <c r="Y127" s="247">
        <f t="shared" si="70"/>
        <v>23.2959</v>
      </c>
      <c r="Z127" s="247">
        <f t="shared" si="71"/>
        <v>2.2499999999999999E-2</v>
      </c>
      <c r="AA127" s="247">
        <f t="shared" si="43"/>
        <v>23.273399999999999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44"/>
        <v>214</v>
      </c>
      <c r="AE127" s="235" t="str">
        <f t="shared" si="45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27" s="234" t="str">
        <f t="shared" si="46"/>
        <v>"C:\Program Files (x86)\AstroGrep\AstroGrep.exe" /e /r /s /spath="%USERPROFILE%\AppData\Local\Temp\OnboardLogs" /stypes="app*4057*20171218*" /stext=" 02:.+((SYSTEM_STATE.+slice.+state.+changed )|(ment ac)|(multiple cpu faults)|(system.+state.+changed )|(\[timeout)|(PRM\|1\|D)|(kpr)|(kdp)|(train st.+moving)|(\|lc)|(penalty))"</v>
      </c>
      <c r="AG127" s="244" t="str">
        <f t="shared" si="47"/>
        <v>EC</v>
      </c>
      <c r="AH127" s="236" t="str">
        <f t="shared" si="48"/>
        <v>"%USERPROFILE%\Documents\GitHub\eaglep3\Utilities\RefineRTDCRunTimes.py" --tripid 214-17 --locoid 4057 --swversion DE.1.0.9.0 --startMP 204:232959 --initTime 2017-12-17T18:38:54 --startdatetime 2017-12-17T18:42:21 --delay 102 --endMP 204:225 --enddatetime 2017-12-17T19:18:08 --enforcementcount 0 &gt;&gt;%USERPROFILE%\Documents\GitHub\eaglep3-reporting\EC\2017-12-17-refined-times.txt</v>
      </c>
      <c r="AI127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ID","value":"214-17"},{"id":16,"name":"Locomotive ID","value":"4057"},{"id":130,"name":"Impact","value":""},{"id":150,"name":"Time of Event (Mountain Time)","value":"19:18:08"},{"id":151,"name":"Denver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50"/>
        <v>start /low /b %USERPROFILE%\Documents\GitHub\eaglep3\Utilities\DownloadLogsFromS3.py --loco 4057 --day 2017-12-17</v>
      </c>
      <c r="AN127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02:18:08"},{"id":29,"name":"Sharepoint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2"/>
        <v>https://d0f6bd738d7f1b3e5a7ca70fe4ff75f0.us-east-1.aws.found.io/app/kibana#/discover/Steve-Slow-Train-Analysis-(2080s-and-2083s)?_g=(refreshInterval:(display:Off,pause:!f,section:0,value:0),time:(from:'2017-12-17T17:38:54-0700',mode:absolute,to:'2017-12-17T20:18:08-0700'))&amp;_a=(columns:!('Message%20ID',Summary),filters:!(),index:'emp_*',interval:auto,query:(query_string:(analyze_wildcard:!t,query:'%22rtdc.l.rtdc.4057%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859</v>
      </c>
      <c r="B128" s="225">
        <v>4008</v>
      </c>
      <c r="C128" s="227" t="s">
        <v>192</v>
      </c>
      <c r="D128" s="227" t="s">
        <v>1026</v>
      </c>
      <c r="E128" s="226">
        <v>43086.747418981482</v>
      </c>
      <c r="F128" s="226">
        <v>43086.750416666669</v>
      </c>
      <c r="G128" s="225">
        <v>57</v>
      </c>
      <c r="H128" s="227" t="s">
        <v>657</v>
      </c>
      <c r="I128" s="226">
        <v>43086.775324074071</v>
      </c>
      <c r="J128" s="225">
        <v>0</v>
      </c>
      <c r="K128" s="237" t="str">
        <f t="shared" si="37"/>
        <v>4007/4008</v>
      </c>
      <c r="L128" s="245" t="str">
        <f>VLOOKUP(A128,'Trips&amp;Operators'!$C$1:$G$99911,5,FALSE)</f>
        <v>SMITH MICHAEL</v>
      </c>
      <c r="M128" s="224">
        <f t="shared" si="38"/>
        <v>2.4907407401769888E-2</v>
      </c>
      <c r="N128" s="225">
        <f t="shared" si="63"/>
        <v>35.866666658548638</v>
      </c>
      <c r="O128" s="225"/>
      <c r="P128" s="225"/>
      <c r="Q128" s="228"/>
      <c r="R128" s="242"/>
      <c r="S128" s="249">
        <f t="shared" si="53"/>
        <v>1</v>
      </c>
      <c r="T128" s="242" t="str">
        <f t="shared" si="39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0"/>
        <v>https://d0f6bd738d7f1b3e5a7ca70fe4ff75f0.us-east-1.aws.found.io/app/kibana#/discover/Steve-Slow-Train-Analysis-(2080s-and-2083s)?_g=(refreshInterval:(display:Off,pause:!f,section:0,value:0),time:(from:'2017-12-17T16:56:17-0700',mode:absolute,to:'2017-12-17T19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247" t="str">
        <f>IF(AA128&lt;VLOOKUP(AG128,Variables!$AC$3:$AD$8,2,FALSE),"Y","N")</f>
        <v>N</v>
      </c>
      <c r="X128" s="247">
        <f t="shared" si="72"/>
        <v>1</v>
      </c>
      <c r="Y128" s="247">
        <f t="shared" si="70"/>
        <v>5.57E-2</v>
      </c>
      <c r="Z128" s="247">
        <f t="shared" si="71"/>
        <v>23.322099999999999</v>
      </c>
      <c r="AA128" s="247">
        <f t="shared" si="43"/>
        <v>23.266399999999997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44"/>
        <v>215</v>
      </c>
      <c r="AE128" s="235" t="str">
        <f t="shared" si="45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28" s="234" t="str">
        <f t="shared" si="46"/>
        <v>"C:\Program Files (x86)\AstroGrep\AstroGrep.exe" /e /r /s /spath="%USERPROFILE%\AppData\Local\Temp\OnboardLogs" /stypes="app*4008*20171218*" /stext=" 01:.+((SYSTEM_STATE.+slice.+state.+changed )|(ment ac)|(multiple cpu faults)|(system.+state.+changed )|(\[timeout)|(PRM\|1\|D)|(kpr)|(kdp)|(train st.+moving)|(\|lc)|(penalty))"</v>
      </c>
      <c r="AG128" s="244" t="str">
        <f t="shared" si="47"/>
        <v>EC</v>
      </c>
      <c r="AH128" s="236" t="str">
        <f t="shared" si="48"/>
        <v>"%USERPROFILE%\Documents\GitHub\eaglep3\Utilities\RefineRTDCRunTimes.py" --tripid 215-17 --locoid 4008 --swversion DE.1.0.9.0 --startMP 204:557 --initTime 2017-12-17T17:56:17 --startdatetime 2017-12-17T18:00:36 --delay 57 --endMP 204:233221 --enddatetime 2017-12-17T18:36:28 --enforcementcount 0 &gt;&gt;%USERPROFILE%\Documents\GitHub\eaglep3-reporting\EC\2017-12-17-refined-times.txt</v>
      </c>
      <c r="AI128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{"issue":{"subject":"","project_id":79,"tracker_id":40,"status_id":1,"priority_id":2,"assigned_to_id":338,"start_date":"2017-12-17","description":"","custom_fields":[{"id":1,"name":"Subdivision","value":"EC"},{"id":4,"name":"Milepost","value":"23.3221"},{"id":17,"name":"Train ID","value":"215-17"},{"id":16,"name":"Locomotive ID","value":"4008"},{"id":130,"name":"Impact","value":""},{"id":150,"name":"Time of Event (Mountain Time)","value":"18:36:28"},{"id":151,"name":"Denver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50"/>
        <v>start /low /b %USERPROFILE%\Documents\GitHub\eaglep3\Utilities\DownloadLogsFromS3.py --loco 4008 --day 2017-12-17</v>
      </c>
      <c r="AN128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2"/>
        <v>https://d0f6bd738d7f1b3e5a7ca70fe4ff75f0.us-east-1.aws.found.io/app/kibana#/discover/Steve-Slow-Train-Analysis-(2080s-and-2083s)?_g=(refreshInterval:(display:Off,pause:!f,section:0,value:0),time:(from:'2017-12-17T16:56:17-0700',mode:absolute,to:'2017-12-17T19:36:28-0700'))&amp;_a=(columns:!('Message%20ID',Summary),filters:!(),index:'emp_*',interval:auto,query:(query_string:(analyze_wildcard:!t,query:'%22rtdc.l.rtdc.4008%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868</v>
      </c>
      <c r="B129" s="225">
        <v>4007</v>
      </c>
      <c r="C129" s="227" t="s">
        <v>192</v>
      </c>
      <c r="D129" s="227" t="s">
        <v>1027</v>
      </c>
      <c r="E129" s="226">
        <v>43086.784108796295</v>
      </c>
      <c r="F129" s="226">
        <v>43086.789849537039</v>
      </c>
      <c r="G129" s="225">
        <v>52</v>
      </c>
      <c r="H129" s="227" t="s">
        <v>519</v>
      </c>
      <c r="I129" s="226">
        <v>43086.815520833334</v>
      </c>
      <c r="J129" s="225">
        <v>0</v>
      </c>
      <c r="K129" s="237" t="str">
        <f t="shared" si="37"/>
        <v>4007/4008</v>
      </c>
      <c r="L129" s="245" t="str">
        <f>VLOOKUP(A129,'Trips&amp;Operators'!$C$1:$G$99911,5,FALSE)</f>
        <v>SMITH MICHAEL</v>
      </c>
      <c r="M129" s="224">
        <f t="shared" si="38"/>
        <v>2.5671296294603962E-2</v>
      </c>
      <c r="N129" s="225">
        <f t="shared" si="63"/>
        <v>36.966666664229706</v>
      </c>
      <c r="O129" s="225"/>
      <c r="P129" s="225"/>
      <c r="Q129" s="228"/>
      <c r="R129" s="242"/>
      <c r="S129" s="249">
        <f t="shared" si="53"/>
        <v>1</v>
      </c>
      <c r="T129" s="242" t="str">
        <f t="shared" si="39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0"/>
        <v>https://d0f6bd738d7f1b3e5a7ca70fe4ff75f0.us-east-1.aws.found.io/app/kibana#/discover/Steve-Slow-Train-Analysis-(2080s-and-2083s)?_g=(refreshInterval:(display:Off,pause:!f,section:0,value:0),time:(from:'2017-12-17T17:49:07-0700',mode:absolute,to:'2017-12-17T20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247" t="str">
        <f>IF(AA129&lt;VLOOKUP(AG129,Variables!$AC$3:$AD$8,2,FALSE),"Y","N")</f>
        <v>N</v>
      </c>
      <c r="X129" s="247">
        <f t="shared" si="72"/>
        <v>1</v>
      </c>
      <c r="Y129" s="247">
        <f t="shared" si="70"/>
        <v>23.29</v>
      </c>
      <c r="Z129" s="247">
        <f t="shared" si="71"/>
        <v>2.6499999999999999E-2</v>
      </c>
      <c r="AA129" s="247">
        <f t="shared" si="43"/>
        <v>23.263500000000001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44"/>
        <v>216</v>
      </c>
      <c r="AE129" s="235" t="str">
        <f t="shared" si="45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129" s="234" t="str">
        <f t="shared" si="46"/>
        <v>"C:\Program Files (x86)\AstroGrep\AstroGrep.exe" /e /r /s /spath="%USERPROFILE%\AppData\Local\Temp\OnboardLogs" /stypes="app*4007*20171218*" /stext=" 02:.+((SYSTEM_STATE.+slice.+state.+changed )|(ment ac)|(multiple cpu faults)|(system.+state.+changed )|(\[timeout)|(PRM\|1\|D)|(kpr)|(kdp)|(train st.+moving)|(\|lc)|(penalty))"</v>
      </c>
      <c r="AG129" s="244" t="str">
        <f t="shared" si="47"/>
        <v>EC</v>
      </c>
      <c r="AH129" s="236" t="str">
        <f t="shared" si="48"/>
        <v>"%USERPROFILE%\Documents\GitHub\eaglep3\Utilities\RefineRTDCRunTimes.py" --tripid 216-17 --locoid 4007 --swversion DE.1.0.9.0 --startMP 204:232900 --initTime 2017-12-17T18:49:07 --startdatetime 2017-12-17T18:57:23 --delay 52 --endMP 204:265 --enddatetime 2017-12-17T19:34:21 --enforcementcount 0 &gt;&gt;%USERPROFILE%\Documents\GitHub\eaglep3-reporting\EC\2017-12-17-refined-times.txt</v>
      </c>
      <c r="AI129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ID","value":"216-17"},{"id":16,"name":"Locomotive ID","value":"4007"},{"id":130,"name":"Impact","value":""},{"id":150,"name":"Time of Event (Mountain Time)","value":"19:34:21"},{"id":151,"name":"Denver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50"/>
        <v>start /low /b %USERPROFILE%\Documents\GitHub\eaglep3\Utilities\DownloadLogsFromS3.py --loco 4007 --day 2017-12-17</v>
      </c>
      <c r="AN129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2"/>
        <v>https://d0f6bd738d7f1b3e5a7ca70fe4ff75f0.us-east-1.aws.found.io/app/kibana#/discover/Steve-Slow-Train-Analysis-(2080s-and-2083s)?_g=(refreshInterval:(display:Off,pause:!f,section:0,value:0),time:(from:'2017-12-17T17:49:07-0700',mode:absolute,to:'2017-12-17T20:34:21-0700'))&amp;_a=(columns:!('Message%20ID',Summary),filters:!(),index:'emp_*',interval:auto,query:(query_string:(analyze_wildcard:!t,query:'%22rtdc.l.rtdc.4007%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29" t="s">
        <v>862</v>
      </c>
      <c r="B130" s="225">
        <v>4004</v>
      </c>
      <c r="C130" s="227" t="s">
        <v>192</v>
      </c>
      <c r="D130" s="227" t="s">
        <v>469</v>
      </c>
      <c r="E130" s="226">
        <v>43086.758888888886</v>
      </c>
      <c r="F130" s="226">
        <v>43086.76059027778</v>
      </c>
      <c r="G130" s="225">
        <v>61</v>
      </c>
      <c r="H130" s="227" t="s">
        <v>567</v>
      </c>
      <c r="I130" s="226">
        <v>43086.785127314812</v>
      </c>
      <c r="J130" s="225">
        <v>0</v>
      </c>
      <c r="K130" s="237" t="str">
        <f t="shared" si="37"/>
        <v>4003/4004</v>
      </c>
      <c r="L130" s="245" t="str">
        <f>VLOOKUP(A130,'Trips&amp;Operators'!$C$1:$G$99911,5,FALSE)</f>
        <v>ELBAUM MIKE</v>
      </c>
      <c r="M130" s="224">
        <f t="shared" si="38"/>
        <v>2.4537037032132503E-2</v>
      </c>
      <c r="N130" s="225">
        <f t="shared" si="63"/>
        <v>35.333333326270804</v>
      </c>
      <c r="O130" s="225"/>
      <c r="P130" s="225"/>
      <c r="Q130" s="228"/>
      <c r="R130" s="242"/>
      <c r="S130" s="249">
        <f t="shared" si="53"/>
        <v>1</v>
      </c>
      <c r="T130" s="242" t="str">
        <f t="shared" si="39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0"/>
        <v>https://d0f6bd738d7f1b3e5a7ca70fe4ff75f0.us-east-1.aws.found.io/app/kibana#/discover/Steve-Slow-Train-Analysis-(2080s-and-2083s)?_g=(refreshInterval:(display:Off,pause:!f,section:0,value:0),time:(from:'2017-12-17T17:12:48-0700',mode:absolute,to:'2017-12-17T19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247" t="str">
        <f>IF(AA130&lt;VLOOKUP(AG130,Variables!$AC$3:$AD$8,2,FALSE),"Y","N")</f>
        <v>N</v>
      </c>
      <c r="X130" s="247">
        <f t="shared" si="72"/>
        <v>1</v>
      </c>
      <c r="Y130" s="247">
        <f t="shared" si="70"/>
        <v>5.0200000000000002E-2</v>
      </c>
      <c r="Z130" s="247">
        <f t="shared" si="71"/>
        <v>23.325700000000001</v>
      </c>
      <c r="AA130" s="247">
        <f t="shared" si="43"/>
        <v>23.275500000000001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44"/>
        <v>217</v>
      </c>
      <c r="AE130" s="235" t="str">
        <f t="shared" si="45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30" s="234" t="str">
        <f t="shared" si="46"/>
        <v>"C:\Program Files (x86)\AstroGrep\AstroGrep.exe" /e /r /s /spath="%USERPROFILE%\AppData\Local\Temp\OnboardLogs" /stypes="app*4004*20171218*" /stext=" 01:.+((SYSTEM_STATE.+slice.+state.+changed )|(ment ac)|(multiple cpu faults)|(system.+state.+changed )|(\[timeout)|(PRM\|1\|D)|(kpr)|(kdp)|(train st.+moving)|(\|lc)|(penalty))"</v>
      </c>
      <c r="AG130" s="244" t="str">
        <f t="shared" si="47"/>
        <v>EC</v>
      </c>
      <c r="AH130" s="236" t="str">
        <f t="shared" si="48"/>
        <v>"%USERPROFILE%\Documents\GitHub\eaglep3\Utilities\RefineRTDCRunTimes.py" --tripid 217-17 --locoid 4004 --swversion DE.1.0.9.0 --startMP 204:502 --initTime 2017-12-17T18:12:48 --startdatetime 2017-12-17T18:15:15 --delay 61 --endMP 204:233257 --enddatetime 2017-12-17T18:50:35 --enforcementcount 0 &gt;&gt;%USERPROFILE%\Documents\GitHub\eaglep3-reporting\EC\2017-12-17-refined-times.txt</v>
      </c>
      <c r="AI13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{"issue":{"subject":"","project_id":79,"tracker_id":40,"status_id":1,"priority_id":2,"assigned_to_id":338,"start_date":"2017-12-17","description":"","custom_fields":[{"id":1,"name":"Subdivision","value":"EC"},{"id":4,"name":"Milepost","value":"23.3257"},{"id":17,"name":"Train ID","value":"217-17"},{"id":16,"name":"Locomotive ID","value":"4004"},{"id":130,"name":"Impact","value":""},{"id":150,"name":"Time of Event (Mountain Time)","value":"18:50:35"},{"id":151,"name":"Denver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50"/>
        <v>start /low /b %USERPROFILE%\Documents\GitHub\eaglep3\Utilities\DownloadLogsFromS3.py --loco 4004 --day 2017-12-17</v>
      </c>
      <c r="AN130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2"/>
        <v>https://d0f6bd738d7f1b3e5a7ca70fe4ff75f0.us-east-1.aws.found.io/app/kibana#/discover/Steve-Slow-Train-Analysis-(2080s-and-2083s)?_g=(refreshInterval:(display:Off,pause:!f,section:0,value:0),time:(from:'2017-12-17T17:12:48-0700',mode:absolute,to:'2017-12-17T19:50:35-0700'))&amp;_a=(columns:!('Message%20ID',Summary),filters:!(),index:'emp_*',interval:auto,query:(query_string:(analyze_wildcard:!t,query:'%22rtdc.l.rtdc.4004%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25">
      <c r="A131" s="229" t="s">
        <v>712</v>
      </c>
      <c r="B131" s="225">
        <v>4003</v>
      </c>
      <c r="C131" s="227" t="s">
        <v>192</v>
      </c>
      <c r="D131" s="227" t="s">
        <v>640</v>
      </c>
      <c r="E131" s="226">
        <v>43086.786712962959</v>
      </c>
      <c r="F131" s="226">
        <v>43086.800312500003</v>
      </c>
      <c r="G131" s="225">
        <v>63</v>
      </c>
      <c r="H131" s="227" t="s">
        <v>519</v>
      </c>
      <c r="I131" s="226">
        <v>43086.825335648151</v>
      </c>
      <c r="J131" s="225">
        <v>0</v>
      </c>
      <c r="K131" s="237" t="str">
        <f t="shared" si="37"/>
        <v>4003/4004</v>
      </c>
      <c r="L131" s="245" t="str">
        <f>VLOOKUP(A131,'Trips&amp;Operators'!$C$1:$G$99911,5,FALSE)</f>
        <v>ELBAUM MIKE</v>
      </c>
      <c r="M131" s="224">
        <f t="shared" si="38"/>
        <v>2.5023148147738539E-2</v>
      </c>
      <c r="N131" s="225">
        <f t="shared" si="63"/>
        <v>36.033333332743496</v>
      </c>
      <c r="O131" s="225"/>
      <c r="P131" s="225"/>
      <c r="Q131" s="228"/>
      <c r="R131" s="242"/>
      <c r="S131" s="249">
        <f t="shared" si="53"/>
        <v>1</v>
      </c>
      <c r="T131" s="242" t="str">
        <f t="shared" si="39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0"/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247" t="str">
        <f>IF(AA131&lt;VLOOKUP(AG131,Variables!$AC$3:$AD$8,2,FALSE),"Y","N")</f>
        <v>N</v>
      </c>
      <c r="X131" s="247">
        <f t="shared" si="72"/>
        <v>1</v>
      </c>
      <c r="Y131" s="247">
        <f t="shared" si="70"/>
        <v>23.292999999999999</v>
      </c>
      <c r="Z131" s="247">
        <f t="shared" si="71"/>
        <v>2.6499999999999999E-2</v>
      </c>
      <c r="AA131" s="247">
        <f t="shared" si="43"/>
        <v>23.266500000000001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44"/>
        <v>218</v>
      </c>
      <c r="AE131" s="235" t="str">
        <f t="shared" si="45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31" s="234" t="str">
        <f t="shared" si="46"/>
        <v>"C:\Program Files (x86)\AstroGrep\AstroGrep.exe" /e /r /s /spath="%USERPROFILE%\AppData\Local\Temp\OnboardLogs" /stypes="app*4003*20171218*" /stext=" 02:.+((SYSTEM_STATE.+slice.+state.+changed )|(ment ac)|(multiple cpu faults)|(system.+state.+changed )|(\[timeout)|(PRM\|1\|D)|(kpr)|(kdp)|(train st.+moving)|(\|lc)|(penalty))"</v>
      </c>
      <c r="AG131" s="244" t="str">
        <f t="shared" si="47"/>
        <v>EC</v>
      </c>
      <c r="AH131" s="236" t="str">
        <f t="shared" si="48"/>
        <v>"%USERPROFILE%\Documents\GitHub\eaglep3\Utilities\RefineRTDCRunTimes.py" --tripid 218-17 --locoid 4003 --swversion DE.1.0.9.0 --startMP 204:232930 --initTime 2017-12-17T18:52:52 --startdatetime 2017-12-17T19:12:27 --delay 63 --endMP 204:265 --enddatetime 2017-12-17T19:48:29 --enforcementcount 0 &gt;&gt;%USERPROFILE%\Documents\GitHub\eaglep3-reporting\EC\2017-12-17-refined-times.txt</v>
      </c>
      <c r="AI13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ID","value":"218-17"},{"id":16,"name":"Locomotive ID","value":"4003"},{"id":130,"name":"Impact","value":""},{"id":150,"name":"Time of Event (Mountain Time)","value":"19:48:29"},{"id":151,"name":"Denver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50"/>
        <v>start /low /b %USERPROFILE%\Documents\GitHub\eaglep3\Utilities\DownloadLogsFromS3.py --loco 4003 --day 2017-12-17</v>
      </c>
      <c r="AN131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2"/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Message%20ID',Summary),filters:!(),index:'emp_*',interval:auto,query:(query_string:(analyze_wildcard:!t,query:'%22rtdc.l.rtdc.4003%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25">
      <c r="A132" s="229" t="s">
        <v>864</v>
      </c>
      <c r="B132" s="225">
        <v>4018</v>
      </c>
      <c r="C132" s="227" t="s">
        <v>192</v>
      </c>
      <c r="D132" s="227" t="s">
        <v>486</v>
      </c>
      <c r="E132" s="226">
        <v>43086.766168981485</v>
      </c>
      <c r="F132" s="226">
        <v>43086.771041666667</v>
      </c>
      <c r="G132" s="225">
        <v>78</v>
      </c>
      <c r="H132" s="227" t="s">
        <v>1028</v>
      </c>
      <c r="I132" s="226">
        <v>43086.795335648145</v>
      </c>
      <c r="J132" s="225">
        <v>0</v>
      </c>
      <c r="K132" s="237" t="str">
        <f t="shared" si="37"/>
        <v>4017/4018</v>
      </c>
      <c r="L132" s="245" t="str">
        <f>VLOOKUP(A132,'Trips&amp;Operators'!$C$1:$G$99911,5,FALSE)</f>
        <v>RESPASS AARON</v>
      </c>
      <c r="M132" s="224">
        <f t="shared" si="38"/>
        <v>2.4293981477967463E-2</v>
      </c>
      <c r="N132" s="225">
        <f t="shared" si="63"/>
        <v>34.983333328273147</v>
      </c>
      <c r="O132" s="225"/>
      <c r="P132" s="225"/>
      <c r="Q132" s="228"/>
      <c r="R132" s="242"/>
      <c r="S132" s="249">
        <f t="shared" si="53"/>
        <v>1</v>
      </c>
      <c r="T132" s="242" t="str">
        <f t="shared" si="39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0"/>
        <v>https://d0f6bd738d7f1b3e5a7ca70fe4ff75f0.us-east-1.aws.found.io/app/kibana#/discover/Steve-Slow-Train-Analysis-(2080s-and-2083s)?_g=(refreshInterval:(display:Off,pause:!f,section:0,value:0),time:(from:'2017-12-17T17:23:17-0700',mode:absolute,to:'2017-12-17T20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247" t="str">
        <f>IF(AA132&lt;VLOOKUP(AG132,Variables!$AC$3:$AD$8,2,FALSE),"Y","N")</f>
        <v>N</v>
      </c>
      <c r="X132" s="247">
        <f t="shared" si="72"/>
        <v>1</v>
      </c>
      <c r="Y132" s="247">
        <f t="shared" si="70"/>
        <v>5.0900000000000001E-2</v>
      </c>
      <c r="Z132" s="247">
        <f t="shared" si="71"/>
        <v>23.324400000000001</v>
      </c>
      <c r="AA132" s="247">
        <f t="shared" si="43"/>
        <v>23.273500000000002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44"/>
        <v>219</v>
      </c>
      <c r="AE132" s="235" t="str">
        <f t="shared" si="45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32" s="234" t="str">
        <f t="shared" si="46"/>
        <v>"C:\Program Files (x86)\AstroGrep\AstroGrep.exe" /e /r /s /spath="%USERPROFILE%\AppData\Local\Temp\OnboardLogs" /stypes="app*4018*20171218*" /stext=" 02:.+((SYSTEM_STATE.+slice.+state.+changed )|(ment ac)|(multiple cpu faults)|(system.+state.+changed )|(\[timeout)|(PRM\|1\|D)|(kpr)|(kdp)|(train st.+moving)|(\|lc)|(penalty))"</v>
      </c>
      <c r="AG132" s="244" t="str">
        <f t="shared" si="47"/>
        <v>EC</v>
      </c>
      <c r="AH132" s="236" t="str">
        <f t="shared" si="48"/>
        <v>"%USERPROFILE%\Documents\GitHub\eaglep3\Utilities\RefineRTDCRunTimes.py" --tripid 219-17 --locoid 4018 --swversion DE.1.0.9.0 --startMP 204:509 --initTime 2017-12-17T18:23:17 --startdatetime 2017-12-17T18:30:18 --delay 78 --endMP 204:233244 --enddatetime 2017-12-17T19:05:17 --enforcementcount 0 &gt;&gt;%USERPROFILE%\Documents\GitHub\eaglep3-reporting\EC\2017-12-17-refined-times.txt</v>
      </c>
      <c r="AI13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{"issue":{"subject":"","project_id":79,"tracker_id":40,"status_id":1,"priority_id":2,"assigned_to_id":338,"start_date":"2017-12-17","description":"","custom_fields":[{"id":1,"name":"Subdivision","value":"EC"},{"id":4,"name":"Milepost","value":"23.3244"},{"id":17,"name":"Train ID","value":"219-17"},{"id":16,"name":"Locomotive ID","value":"4018"},{"id":130,"name":"Impact","value":""},{"id":150,"name":"Time of Event (Mountain Time)","value":"19:05:17"},{"id":151,"name":"Denver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50"/>
        <v>start /low /b %USERPROFILE%\Documents\GitHub\eaglep3\Utilities\DownloadLogsFromS3.py --loco 4018 --day 2017-12-17</v>
      </c>
      <c r="AN132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2"/>
        <v>https://d0f6bd738d7f1b3e5a7ca70fe4ff75f0.us-east-1.aws.found.io/app/kibana#/discover/Steve-Slow-Train-Analysis-(2080s-and-2083s)?_g=(refreshInterval:(display:Off,pause:!f,section:0,value:0),time:(from:'2017-12-17T17:23:17-0700',mode:absolute,to:'2017-12-17T20:05:17-0700'))&amp;_a=(columns:!('Message%20ID',Summary),filters:!(),index:'emp_*',interval:auto,query:(query_string:(analyze_wildcard:!t,query:'%22rtdc.l.rtdc.4018%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871</v>
      </c>
      <c r="B133" s="225">
        <v>4017</v>
      </c>
      <c r="C133" s="227" t="s">
        <v>192</v>
      </c>
      <c r="D133" s="227" t="s">
        <v>555</v>
      </c>
      <c r="E133" s="226">
        <v>43086.80541666667</v>
      </c>
      <c r="F133" s="226">
        <v>43086.810590277775</v>
      </c>
      <c r="G133" s="225">
        <v>157</v>
      </c>
      <c r="H133" s="227" t="s">
        <v>1029</v>
      </c>
      <c r="I133" s="226">
        <v>43086.835960648146</v>
      </c>
      <c r="J133" s="225">
        <v>0</v>
      </c>
      <c r="K133" s="237" t="str">
        <f t="shared" si="37"/>
        <v>4017/4018</v>
      </c>
      <c r="L133" s="245" t="str">
        <f>VLOOKUP(A133,'Trips&amp;Operators'!$C$1:$G$99911,5,FALSE)</f>
        <v>RESPASS AARON</v>
      </c>
      <c r="M133" s="224">
        <f t="shared" si="38"/>
        <v>2.5370370371092577E-2</v>
      </c>
      <c r="N133" s="225">
        <f t="shared" si="63"/>
        <v>36.53333333437331</v>
      </c>
      <c r="O133" s="225"/>
      <c r="P133" s="225"/>
      <c r="Q133" s="228"/>
      <c r="R133" s="242"/>
      <c r="S133" s="249">
        <f t="shared" si="53"/>
        <v>1</v>
      </c>
      <c r="T133" s="242" t="str">
        <f t="shared" si="39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0"/>
        <v>https://d0f6bd738d7f1b3e5a7ca70fe4ff75f0.us-east-1.aws.found.io/app/kibana#/discover/Steve-Slow-Train-Analysis-(2080s-and-2083s)?_g=(refreshInterval:(display:Off,pause:!f,section:0,value:0),time:(from:'2017-12-17T18:19:48-0700',mode:absolute,to:'2017-12-17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247" t="str">
        <f>IF(AA133&lt;VLOOKUP(AG133,Variables!$AC$3:$AD$8,2,FALSE),"Y","N")</f>
        <v>N</v>
      </c>
      <c r="X133" s="247">
        <f t="shared" si="72"/>
        <v>1</v>
      </c>
      <c r="Y133" s="247">
        <f t="shared" si="70"/>
        <v>23.2925</v>
      </c>
      <c r="Z133" s="247">
        <f t="shared" si="71"/>
        <v>2.8299999999999999E-2</v>
      </c>
      <c r="AA133" s="247">
        <f t="shared" si="43"/>
        <v>23.264199999999999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44"/>
        <v>220</v>
      </c>
      <c r="AE133" s="235" t="str">
        <f t="shared" si="45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33" s="234" t="str">
        <f t="shared" si="46"/>
        <v>"C:\Program Files (x86)\AstroGrep\AstroGrep.exe" /e /r /s /spath="%USERPROFILE%\AppData\Local\Temp\OnboardLogs" /stypes="app*4017*20171218*" /stext=" 03:.+((SYSTEM_STATE.+slice.+state.+changed )|(ment ac)|(multiple cpu faults)|(system.+state.+changed )|(\[timeout)|(PRM\|1\|D)|(kpr)|(kdp)|(train st.+moving)|(\|lc)|(penalty))"</v>
      </c>
      <c r="AG133" s="244" t="str">
        <f t="shared" si="47"/>
        <v>EC</v>
      </c>
      <c r="AH133" s="236" t="str">
        <f t="shared" si="48"/>
        <v>"%USERPROFILE%\Documents\GitHub\eaglep3\Utilities\RefineRTDCRunTimes.py" --tripid 220-17 --locoid 4017 --swversion DE.1.0.9.0 --startMP 204:232925 --initTime 2017-12-17T19:19:48 --startdatetime 2017-12-17T19:27:15 --delay 157 --endMP 204:283 --enddatetime 2017-12-17T20:03:47 --enforcementcount 0 &gt;&gt;%USERPROFILE%\Documents\GitHub\eaglep3-reporting\EC\2017-12-17-refined-times.txt</v>
      </c>
      <c r="AI13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{"issue":{"subject":"","project_id":79,"tracker_id":40,"status_id":1,"priority_id":2,"assigned_to_id":338,"start_date":"2017-12-17","description":"","custom_fields":[{"id":1,"name":"Subdivision","value":"EC"},{"id":4,"name":"Milepost","value":"0.0283"},{"id":17,"name":"Train ID","value":"220-17"},{"id":16,"name":"Locomotive ID","value":"4017"},{"id":130,"name":"Impact","value":""},{"id":150,"name":"Time of Event (Mountain Time)","value":"20:03:47"},{"id":151,"name":"Denver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0"/>
        <v>start /low /b %USERPROFILE%\Documents\GitHub\eaglep3\Utilities\DownloadLogsFromS3.py --loco 4017 --day 2017-12-17</v>
      </c>
      <c r="AN133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2"/>
        <v>https://d0f6bd738d7f1b3e5a7ca70fe4ff75f0.us-east-1.aws.found.io/app/kibana#/discover/Steve-Slow-Train-Analysis-(2080s-and-2083s)?_g=(refreshInterval:(display:Off,pause:!f,section:0,value:0),time:(from:'2017-12-17T18:19:48-0700',mode:absolute,to:'2017-12-17T21:03:47-0700'))&amp;_a=(columns:!('Message%20ID',Summary),filters:!(),index:'emp_*',interval:auto,query:(query_string:(analyze_wildcard:!t,query:'%22rtdc.l.rtdc.4017%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869</v>
      </c>
      <c r="B134" s="225">
        <v>4054</v>
      </c>
      <c r="C134" s="227" t="s">
        <v>192</v>
      </c>
      <c r="D134" s="227" t="s">
        <v>554</v>
      </c>
      <c r="E134" s="226">
        <v>43086.788090277776</v>
      </c>
      <c r="F134" s="226">
        <v>43086.791921296295</v>
      </c>
      <c r="G134" s="225">
        <v>66</v>
      </c>
      <c r="H134" s="227" t="s">
        <v>1030</v>
      </c>
      <c r="I134" s="226">
        <v>43086.816250000003</v>
      </c>
      <c r="J134" s="225">
        <v>0</v>
      </c>
      <c r="K134" s="237" t="str">
        <f t="shared" si="37"/>
        <v>4053/4054</v>
      </c>
      <c r="L134" s="245" t="str">
        <f>VLOOKUP(A134,'Trips&amp;Operators'!$C$1:$G$99911,5,FALSE)</f>
        <v>STAMBAUGH JAMES</v>
      </c>
      <c r="M134" s="224">
        <f t="shared" si="38"/>
        <v>2.4328703708306421E-2</v>
      </c>
      <c r="N134" s="225">
        <f t="shared" si="63"/>
        <v>35.033333339961246</v>
      </c>
      <c r="O134" s="225"/>
      <c r="P134" s="225"/>
      <c r="Q134" s="228"/>
      <c r="R134" s="242"/>
      <c r="S134" s="249">
        <f t="shared" si="53"/>
        <v>1</v>
      </c>
      <c r="T134" s="242" t="str">
        <f t="shared" si="39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0"/>
        <v>https://d0f6bd738d7f1b3e5a7ca70fe4ff75f0.us-east-1.aws.found.io/app/kibana#/discover/Steve-Slow-Train-Analysis-(2080s-and-2083s)?_g=(refreshInterval:(display:Off,pause:!f,section:0,value:0),time:(from:'2017-12-17T17:54:51-0700',mode:absolute,to:'2017-12-17T20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247" t="str">
        <f>IF(AA134&lt;VLOOKUP(AG134,Variables!$AC$3:$AD$8,2,FALSE),"Y","N")</f>
        <v>N</v>
      </c>
      <c r="X134" s="247">
        <f t="shared" si="72"/>
        <v>1</v>
      </c>
      <c r="Y134" s="247">
        <f t="shared" si="70"/>
        <v>5.11E-2</v>
      </c>
      <c r="Z134" s="247">
        <f t="shared" si="71"/>
        <v>23.332699999999999</v>
      </c>
      <c r="AA134" s="247">
        <f t="shared" si="43"/>
        <v>23.281599999999997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44"/>
        <v>221</v>
      </c>
      <c r="AE134" s="235" t="str">
        <f t="shared" si="45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34" s="234" t="str">
        <f t="shared" si="46"/>
        <v>"C:\Program Files (x86)\AstroGrep\AstroGrep.exe" /e /r /s /spath="%USERPROFILE%\AppData\Local\Temp\OnboardLogs" /stypes="app*4054*20171218*" /stext=" 02:.+((SYSTEM_STATE.+slice.+state.+changed )|(ment ac)|(multiple cpu faults)|(system.+state.+changed )|(\[timeout)|(PRM\|1\|D)|(kpr)|(kdp)|(train st.+moving)|(\|lc)|(penalty))"</v>
      </c>
      <c r="AG134" s="244" t="str">
        <f t="shared" si="47"/>
        <v>EC</v>
      </c>
      <c r="AH134" s="236" t="str">
        <f t="shared" si="48"/>
        <v>"%USERPROFILE%\Documents\GitHub\eaglep3\Utilities\RefineRTDCRunTimes.py" --tripid 221-17 --locoid 4054 --swversion DE.1.0.9.0 --startMP 204:511 --initTime 2017-12-17T18:54:51 --startdatetime 2017-12-17T19:00:22 --delay 66 --endMP 204:233327 --enddatetime 2017-12-17T19:35:24 --enforcementcount 0 &gt;&gt;%USERPROFILE%\Documents\GitHub\eaglep3-reporting\EC\2017-12-17-refined-times.txt</v>
      </c>
      <c r="AI13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{"issue":{"subject":"","project_id":79,"tracker_id":40,"status_id":1,"priority_id":2,"assigned_to_id":338,"start_date":"2017-12-17","description":"","custom_fields":[{"id":1,"name":"Subdivision","value":"EC"},{"id":4,"name":"Milepost","value":"23.3327"},{"id":17,"name":"Train ID","value":"221-17"},{"id":16,"name":"Locomotive ID","value":"4054"},{"id":130,"name":"Impact","value":""},{"id":150,"name":"Time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0"/>
        <v>start /low /b %USERPROFILE%\Documents\GitHub\eaglep3\Utilities\DownloadLogsFromS3.py --loco 4054 --day 2017-12-17</v>
      </c>
      <c r="AN134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2"/>
        <v>https://d0f6bd738d7f1b3e5a7ca70fe4ff75f0.us-east-1.aws.found.io/app/kibana#/discover/Steve-Slow-Train-Analysis-(2080s-and-2083s)?_g=(refreshInterval:(display:Off,pause:!f,section:0,value:0),time:(from:'2017-12-17T17:54:51-0700',mode:absolute,to:'2017-12-17T20:35:24-0700'))&amp;_a=(columns:!('Message%20ID',Summary),filters:!(),index:'emp_*',interval:auto,query:(query_string:(analyze_wildcard:!t,query:'%22rtdc.l.rtdc.4054%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876</v>
      </c>
      <c r="B135" s="225">
        <v>4053</v>
      </c>
      <c r="C135" s="227" t="s">
        <v>192</v>
      </c>
      <c r="D135" s="227" t="s">
        <v>1031</v>
      </c>
      <c r="E135" s="226">
        <v>43086.828101851854</v>
      </c>
      <c r="F135" s="226">
        <v>43086.831631944442</v>
      </c>
      <c r="G135" s="225">
        <v>67</v>
      </c>
      <c r="H135" s="227" t="s">
        <v>566</v>
      </c>
      <c r="I135" s="226">
        <v>43086.856828703705</v>
      </c>
      <c r="J135" s="225">
        <v>0</v>
      </c>
      <c r="K135" s="237" t="str">
        <f t="shared" si="37"/>
        <v>4053/4054</v>
      </c>
      <c r="L135" s="245" t="str">
        <f>VLOOKUP(A135,'Trips&amp;Operators'!$C$1:$G$99911,5,FALSE)</f>
        <v>STAMBAUGH JAMES</v>
      </c>
      <c r="M135" s="224">
        <f t="shared" si="38"/>
        <v>2.5196759263053536E-2</v>
      </c>
      <c r="N135" s="225">
        <f t="shared" si="63"/>
        <v>36.283333338797092</v>
      </c>
      <c r="O135" s="225"/>
      <c r="P135" s="225"/>
      <c r="Q135" s="228"/>
      <c r="R135" s="242"/>
      <c r="S135" s="249">
        <f t="shared" si="53"/>
        <v>1</v>
      </c>
      <c r="T135" s="242" t="str">
        <f t="shared" si="39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0"/>
        <v>https://d0f6bd738d7f1b3e5a7ca70fe4ff75f0.us-east-1.aws.found.io/app/kibana#/discover/Steve-Slow-Train-Analysis-(2080s-and-2083s)?_g=(refreshInterval:(display:Off,pause:!f,section:0,value:0),time:(from:'2017-12-17T18:52:28-0700',mode:absolute,to:'2017-12-17T21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5" s="247" t="str">
        <f>IF(AA135&lt;VLOOKUP(AG135,Variables!$AC$3:$AD$8,2,FALSE),"Y","N")</f>
        <v>N</v>
      </c>
      <c r="X135" s="247">
        <f t="shared" si="72"/>
        <v>1</v>
      </c>
      <c r="Y135" s="247">
        <f t="shared" si="70"/>
        <v>23.301300000000001</v>
      </c>
      <c r="Z135" s="247">
        <f t="shared" si="71"/>
        <v>2.0500000000000001E-2</v>
      </c>
      <c r="AA135" s="247">
        <f t="shared" si="43"/>
        <v>23.280800000000003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44"/>
        <v>222</v>
      </c>
      <c r="AE135" s="235" t="str">
        <f t="shared" si="45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35" s="234" t="str">
        <f t="shared" si="46"/>
        <v>"C:\Program Files (x86)\AstroGrep\AstroGrep.exe" /e /r /s /spath="%USERPROFILE%\AppData\Local\Temp\OnboardLogs" /stypes="app*4053*20171218*" /stext=" 03:.+((SYSTEM_STATE.+slice.+state.+changed )|(ment ac)|(multiple cpu faults)|(system.+state.+changed )|(\[timeout)|(PRM\|1\|D)|(kpr)|(kdp)|(train st.+moving)|(\|lc)|(penalty))"</v>
      </c>
      <c r="AG135" s="244" t="str">
        <f t="shared" si="47"/>
        <v>EC</v>
      </c>
      <c r="AH135" s="236" t="str">
        <f t="shared" si="48"/>
        <v>"%USERPROFILE%\Documents\GitHub\eaglep3\Utilities\RefineRTDCRunTimes.py" --tripid 222-17 --locoid 4053 --swversion DE.1.0.9.0 --startMP 204:233013 --initTime 2017-12-17T19:52:28 --startdatetime 2017-12-17T19:57:33 --delay 67 --endMP 204:205 --enddatetime 2017-12-17T20:33:50 --enforcementcount 0 &gt;&gt;%USERPROFILE%\Documents\GitHub\eaglep3-reporting\EC\2017-12-17-refined-times.txt</v>
      </c>
      <c r="AI13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{"issue":{"subject":"","project_id":79,"tracker_id":40,"status_id":1,"priority_id":2,"assigned_to_id":338,"start_date":"2017-12-17","description":"","custom_fields":[{"id":1,"name":"Subdivision","value":"EC"},{"id":4,"name":"Milepost","value":"0.0205"},{"id":17,"name":"Train ID","value":"222-17"},{"id":16,"name":"Locomotive ID","value":"4053"},{"id":130,"name":"Impact","value":""},{"id":150,"name":"Time of Event (Mountain Time)","value":"20:33:50"},{"id":151,"name":"Denver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50"/>
        <v>start /low /b %USERPROFILE%\Documents\GitHub\eaglep3\Utilities\DownloadLogsFromS3.py --loco 4053 --day 2017-12-17</v>
      </c>
      <c r="AN135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2"/>
        <v>https://d0f6bd738d7f1b3e5a7ca70fe4ff75f0.us-east-1.aws.found.io/app/kibana#/discover/Steve-Slow-Train-Analysis-(2080s-and-2083s)?_g=(refreshInterval:(display:Off,pause:!f,section:0,value:0),time:(from:'2017-12-17T18:52:28-0700',mode:absolute,to:'2017-12-17T21:33:50-0700'))&amp;_a=(columns:!('Message%20ID',Summary),filters:!(),index:'emp_*',interval:auto,query:(query_string:(analyze_wildcard:!t,query:'%22rtdc.l.rtdc.4053%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873</v>
      </c>
      <c r="B136" s="225">
        <v>4058</v>
      </c>
      <c r="C136" s="227" t="s">
        <v>192</v>
      </c>
      <c r="D136" s="227" t="s">
        <v>577</v>
      </c>
      <c r="E136" s="226">
        <v>43086.809756944444</v>
      </c>
      <c r="F136" s="226">
        <v>43086.812696759262</v>
      </c>
      <c r="G136" s="225">
        <v>66</v>
      </c>
      <c r="H136" s="227" t="s">
        <v>1021</v>
      </c>
      <c r="I136" s="226">
        <v>43086.837083333332</v>
      </c>
      <c r="J136" s="225">
        <v>0</v>
      </c>
      <c r="K136" s="237" t="str">
        <f t="shared" si="37"/>
        <v>4057/4058</v>
      </c>
      <c r="L136" s="245" t="str">
        <f>VLOOKUP(A136,'Trips&amp;Operators'!$C$1:$G$99911,5,FALSE)</f>
        <v>LOZA FIDEL</v>
      </c>
      <c r="M136" s="224">
        <f t="shared" si="38"/>
        <v>2.438657407037681E-2</v>
      </c>
      <c r="N136" s="225">
        <f t="shared" si="63"/>
        <v>35.116666661342606</v>
      </c>
      <c r="O136" s="225"/>
      <c r="P136" s="225"/>
      <c r="Q136" s="228"/>
      <c r="R136" s="242"/>
      <c r="S136" s="249">
        <f t="shared" si="53"/>
        <v>1</v>
      </c>
      <c r="T136" s="242" t="str">
        <f t="shared" si="39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0"/>
        <v>https://d0f6bd738d7f1b3e5a7ca70fe4ff75f0.us-east-1.aws.found.io/app/kibana#/discover/Steve-Slow-Train-Analysis-(2080s-and-2083s)?_g=(refreshInterval:(display:Off,pause:!f,section:0,value:0),time:(from:'2017-12-17T18:26:03-0700',mode:absolute,to:'2017-12-17T21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6" s="247" t="str">
        <f>IF(AA136&lt;VLOOKUP(AG136,Variables!$AC$3:$AD$8,2,FALSE),"Y","N")</f>
        <v>N</v>
      </c>
      <c r="X136" s="247">
        <f t="shared" si="72"/>
        <v>1</v>
      </c>
      <c r="Y136" s="247">
        <f t="shared" si="70"/>
        <v>5.2600000000000001E-2</v>
      </c>
      <c r="Z136" s="247">
        <f t="shared" si="71"/>
        <v>23.33</v>
      </c>
      <c r="AA136" s="247">
        <f t="shared" si="43"/>
        <v>23.277399999999997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44"/>
        <v>223</v>
      </c>
      <c r="AE136" s="235" t="str">
        <f t="shared" si="45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36" s="234" t="str">
        <f t="shared" si="46"/>
        <v>"C:\Program Files (x86)\AstroGrep\AstroGrep.exe" /e /r /s /spath="%USERPROFILE%\AppData\Local\Temp\OnboardLogs" /stypes="app*4058*20171218*" /stext=" 03:.+((SYSTEM_STATE.+slice.+state.+changed )|(ment ac)|(multiple cpu faults)|(system.+state.+changed )|(\[timeout)|(PRM\|1\|D)|(kpr)|(kdp)|(train st.+moving)|(\|lc)|(penalty))"</v>
      </c>
      <c r="AG136" s="244" t="str">
        <f t="shared" si="47"/>
        <v>EC</v>
      </c>
      <c r="AH136" s="236" t="str">
        <f t="shared" si="48"/>
        <v>"%USERPROFILE%\Documents\GitHub\eaglep3\Utilities\RefineRTDCRunTimes.py" --tripid 223-17 --locoid 4058 --swversion DE.1.0.9.0 --startMP 204:526 --initTime 2017-12-17T19:26:03 --startdatetime 2017-12-17T19:30:17 --delay 66 --endMP 204:233300 --enddatetime 2017-12-17T20:05:24 --enforcementcount 0 &gt;&gt;%USERPROFILE%\Documents\GitHub\eaglep3-reporting\EC\2017-12-17-refined-times.txt</v>
      </c>
      <c r="AI136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{"issue":{"subject":"","project_id":79,"tracker_id":40,"status_id":1,"priority_id":2,"assigned_to_id":338,"start_date":"2017-12-17","description":"","custom_fields":[{"id":1,"name":"Subdivision","value":"EC"},{"id":4,"name":"Milepost","value":"23.33"},{"id":17,"name":"Train ID","value":"223-17"},{"id":16,"name":"Locomotive ID","value":"4058"},{"id":130,"name":"Impact","value":""},{"id":150,"name":"Time of Event (Mountain Time)","value":"20:05:24"},{"id":151,"name":"Denver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50"/>
        <v>start /low /b %USERPROFILE%\Documents\GitHub\eaglep3\Utilities\DownloadLogsFromS3.py --loco 4058 --day 2017-12-17</v>
      </c>
      <c r="AN136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2"/>
        <v>https://d0f6bd738d7f1b3e5a7ca70fe4ff75f0.us-east-1.aws.found.io/app/kibana#/discover/Steve-Slow-Train-Analysis-(2080s-and-2083s)?_g=(refreshInterval:(display:Off,pause:!f,section:0,value:0),time:(from:'2017-12-17T18:26:03-0700',mode:absolute,to:'2017-12-17T21:05:24-0700'))&amp;_a=(columns:!('Message%20ID',Summary),filters:!(),index:'emp_*',interval:auto,query:(query_string:(analyze_wildcard:!t,query:'%22rtdc.l.rtdc.4058%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877</v>
      </c>
      <c r="B137" s="225">
        <v>4057</v>
      </c>
      <c r="C137" s="227" t="s">
        <v>192</v>
      </c>
      <c r="D137" s="227" t="s">
        <v>1032</v>
      </c>
      <c r="E137" s="226">
        <v>43086.848738425928</v>
      </c>
      <c r="F137" s="226">
        <v>43086.852372685185</v>
      </c>
      <c r="G137" s="225">
        <v>78</v>
      </c>
      <c r="H137" s="227" t="s">
        <v>480</v>
      </c>
      <c r="I137" s="226">
        <v>43086.877384259256</v>
      </c>
      <c r="J137" s="225">
        <v>0</v>
      </c>
      <c r="K137" s="237" t="str">
        <f t="shared" si="37"/>
        <v>4057/4058</v>
      </c>
      <c r="L137" s="245" t="str">
        <f>VLOOKUP(A137,'Trips&amp;Operators'!$C$1:$G$99911,5,FALSE)</f>
        <v>LOZA FIDEL</v>
      </c>
      <c r="M137" s="224">
        <f t="shared" si="38"/>
        <v>2.5011574070958886E-2</v>
      </c>
      <c r="N137" s="225">
        <f t="shared" si="63"/>
        <v>36.016666662180796</v>
      </c>
      <c r="O137" s="225"/>
      <c r="P137" s="225"/>
      <c r="Q137" s="228"/>
      <c r="R137" s="242"/>
      <c r="S137" s="249">
        <f t="shared" si="53"/>
        <v>1</v>
      </c>
      <c r="T137" s="242" t="str">
        <f t="shared" si="39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0"/>
        <v>https://d0f6bd738d7f1b3e5a7ca70fe4ff75f0.us-east-1.aws.found.io/app/kibana#/discover/Steve-Slow-Train-Analysis-(2080s-and-2083s)?_g=(refreshInterval:(display:Off,pause:!f,section:0,value:0),time:(from:'2017-12-17T19:22:11-0700',mode:absolute,to:'2017-12-17T22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7" s="247" t="str">
        <f>IF(AA137&lt;VLOOKUP(AG137,Variables!$AC$3:$AD$8,2,FALSE),"Y","N")</f>
        <v>N</v>
      </c>
      <c r="X137" s="247">
        <f t="shared" si="72"/>
        <v>1</v>
      </c>
      <c r="Y137" s="247">
        <f t="shared" si="70"/>
        <v>23.296600000000002</v>
      </c>
      <c r="Z137" s="247">
        <f t="shared" si="71"/>
        <v>2.0299999999999999E-2</v>
      </c>
      <c r="AA137" s="247">
        <f t="shared" si="43"/>
        <v>23.276300000000003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44"/>
        <v>224</v>
      </c>
      <c r="AE137" s="235" t="str">
        <f t="shared" si="45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37" s="234" t="str">
        <f t="shared" si="46"/>
        <v>"C:\Program Files (x86)\AstroGrep\AstroGrep.exe" /e /r /s /spath="%USERPROFILE%\AppData\Local\Temp\OnboardLogs" /stypes="app*4057*20171218*" /stext=" 04:.+((SYSTEM_STATE.+slice.+state.+changed )|(ment ac)|(multiple cpu faults)|(system.+state.+changed )|(\[timeout)|(PRM\|1\|D)|(kpr)|(kdp)|(train st.+moving)|(\|lc)|(penalty))"</v>
      </c>
      <c r="AG137" s="244" t="str">
        <f t="shared" si="47"/>
        <v>EC</v>
      </c>
      <c r="AH137" s="236" t="str">
        <f t="shared" si="48"/>
        <v>"%USERPROFILE%\Documents\GitHub\eaglep3\Utilities\RefineRTDCRunTimes.py" --tripid 224-17 --locoid 4057 --swversion DE.1.0.9.0 --startMP 204:232966 --initTime 2017-12-17T20:22:11 --startdatetime 2017-12-17T20:27:25 --delay 78 --endMP 204:203 --enddatetime 2017-12-17T21:03:26 --enforcementcount 0 &gt;&gt;%USERPROFILE%\Documents\GitHub\eaglep3-reporting\EC\2017-12-17-refined-times.txt</v>
      </c>
      <c r="AI137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{"issue":{"subject":"","project_id":79,"tracker_id":40,"status_id":1,"priority_id":2,"assigned_to_id":338,"start_date":"2017-12-17","description":"","custom_fields":[{"id":1,"name":"Subdivision","value":"EC"},{"id":4,"name":"Milepost","value":"0.0203"},{"id":17,"name":"Train ID","value":"224-17"},{"id":16,"name":"Locomotive ID","value":"4057"},{"id":130,"name":"Impact","value":""},{"id":150,"name":"Time of Event (Mountain Time)","value":"21:03:26"},{"id":151,"name":"Denver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50"/>
        <v>start /low /b %USERPROFILE%\Documents\GitHub\eaglep3\Utilities\DownloadLogsFromS3.py --loco 4057 --day 2017-12-17</v>
      </c>
      <c r="AN137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52"/>
        <v>https://d0f6bd738d7f1b3e5a7ca70fe4ff75f0.us-east-1.aws.found.io/app/kibana#/discover/Steve-Slow-Train-Analysis-(2080s-and-2083s)?_g=(refreshInterval:(display:Off,pause:!f,section:0,value:0),time:(from:'2017-12-17T19:22:11-0700',mode:absolute,to:'2017-12-17T22:03:26-0700'))&amp;_a=(columns:!('Message%20ID',Summary),filters:!(),index:'emp_*',interval:auto,query:(query_string:(analyze_wildcard:!t,query:'%22rtdc.l.rtdc.4057%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25">
      <c r="A138" s="229" t="s">
        <v>875</v>
      </c>
      <c r="B138" s="225">
        <v>4004</v>
      </c>
      <c r="C138" s="227" t="s">
        <v>192</v>
      </c>
      <c r="D138" s="227" t="s">
        <v>1032</v>
      </c>
      <c r="E138" s="226">
        <v>43086.848738425928</v>
      </c>
      <c r="F138" s="226">
        <v>43086.833460648151</v>
      </c>
      <c r="G138" s="225">
        <v>78</v>
      </c>
      <c r="H138" s="227" t="s">
        <v>480</v>
      </c>
      <c r="I138" s="226">
        <v>43086.857916666668</v>
      </c>
      <c r="J138" s="225">
        <v>0</v>
      </c>
      <c r="K138" s="237" t="str">
        <f t="shared" si="37"/>
        <v>4003/4004</v>
      </c>
      <c r="L138" s="245" t="str">
        <f>VLOOKUP(A138,'Trips&amp;Operators'!$C$1:$G$99911,5,FALSE)</f>
        <v>ELBAUM MIKE</v>
      </c>
      <c r="M138" s="224">
        <f t="shared" si="38"/>
        <v>2.4456018516502809E-2</v>
      </c>
      <c r="N138" s="225">
        <f t="shared" si="63"/>
        <v>35.216666663764045</v>
      </c>
      <c r="O138" s="225"/>
      <c r="P138" s="225"/>
      <c r="Q138" s="228"/>
      <c r="R138" s="242"/>
      <c r="S138" s="249">
        <f t="shared" si="53"/>
        <v>1</v>
      </c>
      <c r="T138" s="242" t="str">
        <f t="shared" si="39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0"/>
        <v>https://d0f6bd738d7f1b3e5a7ca70fe4ff75f0.us-east-1.aws.found.io/app/kibana#/discover/Steve-Slow-Train-Analysis-(2080s-and-2083s)?_g=(refreshInterval:(display:Off,pause:!f,section:0,value:0),time:(from:'2017-12-17T19:22:11-0700',mode:absolute,to:'2017-12-17T21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47" t="str">
        <f>IF(AA138&lt;VLOOKUP(AG138,Variables!$AC$3:$AD$8,2,FALSE),"Y","N")</f>
        <v>N</v>
      </c>
      <c r="X138" s="247">
        <f t="shared" si="72"/>
        <v>1</v>
      </c>
      <c r="Y138" s="247">
        <v>7.9699999999999993E-2</v>
      </c>
      <c r="Z138" s="247">
        <v>23.327999999999999</v>
      </c>
      <c r="AA138" s="247">
        <f t="shared" si="43"/>
        <v>23.2483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44"/>
        <v>225</v>
      </c>
      <c r="AE138" s="235" t="str">
        <f t="shared" si="45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38" s="234" t="str">
        <f t="shared" si="46"/>
        <v>"C:\Program Files (x86)\AstroGrep\AstroGrep.exe" /e /r /s /spath="%USERPROFILE%\AppData\Local\Temp\OnboardLogs" /stypes="app*4004*20171218*" /stext=" 03:.+((SYSTEM_STATE.+slice.+state.+changed )|(ment ac)|(multiple cpu faults)|(system.+state.+changed )|(\[timeout)|(PRM\|1\|D)|(kpr)|(kdp)|(train st.+moving)|(\|lc)|(penalty))"</v>
      </c>
      <c r="AG138" s="244" t="str">
        <f t="shared" si="47"/>
        <v>EC</v>
      </c>
      <c r="AH138" s="236" t="str">
        <f t="shared" ref="AH138" si="73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225-17 --locoid 4004 --swversion DE.1.0.9.0 --startMP 204:232966 --initTime 2017-12-17T20:22:11 --startdatetime 2017-12-17T20:00:11 --delay 78 --endMP 204:203 --enddatetime 2017-12-17T20:35:24 --enforcementcount 0 &gt;&gt;%USERPROFILE%\Documents\GitHub\eaglep3-reporting\EC\2017-12-17-refined-times.txt</v>
      </c>
      <c r="AI138" s="238" t="str">
        <f t="shared" ref="AI138" si="74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{"issue":{"subject":"","project_id":79,"tracker_id":40,"status_id":1,"priority_id":2,"assigned_to_id":338,"start_date":"2017-12-17","description":"","custom_fields":[{"id":1,"name":"Subdivision","value":"EC"},{"id":4,"name":"Milepost","value":"23.328"},{"id":17,"name":"Train ID","value":"225-17"},{"id":16,"name":"Locomotive ID","value":"4004"},{"id":130,"name":"Impact","value":""},{"id":150,"name":"Time of Event (Mountain Time)","value":"20:35:24"},{"id":151,"name":"Denver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ref="AM138" si="75">"start /low /b "&amp;dls3logs&amp;" --loco "&amp;B138&amp;" --day "&amp;TEXT(F138,"YYYY-MM-DD")</f>
        <v>start /low /b %USERPROFILE%\Documents\GitHub\eaglep3\Utilities\DownloadLogsFromS3.py --loco 4004 --day 2017-12-17</v>
      </c>
      <c r="AN138" s="241" t="str">
        <f t="shared" ref="AN138" si="76"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ref="AO138" si="77"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21:35:24-0700'))&amp;_a=(columns:!('Message%20ID',Summary),filters:!(),index:'emp_*',interval:auto,query:(query_string:(analyze_wildcard:!t,query:'%22rtdc.l.rtdc.4004%22')),sort:!(Time.ISO8601,asc))</v>
      </c>
    </row>
    <row r="139" spans="1:91" s="223" customFormat="1" x14ac:dyDescent="0.25">
      <c r="A139" s="229" t="s">
        <v>714</v>
      </c>
      <c r="B139" s="225">
        <v>4003</v>
      </c>
      <c r="C139" s="227" t="s">
        <v>192</v>
      </c>
      <c r="D139" s="227" t="s">
        <v>1032</v>
      </c>
      <c r="E139" s="226">
        <v>43086.848738425928</v>
      </c>
      <c r="F139" s="226">
        <v>43086.873090277775</v>
      </c>
      <c r="G139" s="225">
        <v>78</v>
      </c>
      <c r="H139" s="227" t="s">
        <v>480</v>
      </c>
      <c r="I139" s="226">
        <v>43086.898611111108</v>
      </c>
      <c r="J139" s="225">
        <v>0</v>
      </c>
      <c r="K139" s="237" t="str">
        <f t="shared" si="37"/>
        <v>4003/4004</v>
      </c>
      <c r="L139" s="245" t="str">
        <f>VLOOKUP(A139,'Trips&amp;Operators'!$C$1:$G$99911,5,FALSE)</f>
        <v>ELBAUM MIKE</v>
      </c>
      <c r="M139" s="224">
        <f t="shared" si="38"/>
        <v>2.5520833332848269E-2</v>
      </c>
      <c r="N139" s="225">
        <f t="shared" si="63"/>
        <v>36.749999999301508</v>
      </c>
      <c r="O139" s="225"/>
      <c r="P139" s="225"/>
      <c r="Q139" s="228"/>
      <c r="R139" s="242"/>
      <c r="S139" s="249">
        <f t="shared" si="53"/>
        <v>1</v>
      </c>
      <c r="T139" s="242" t="str">
        <f t="shared" si="39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0"/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47" t="str">
        <f>IF(AA139&lt;VLOOKUP(AG139,Variables!$AC$3:$AD$8,2,FALSE),"Y","N")</f>
        <v>N</v>
      </c>
      <c r="X139" s="247">
        <f t="shared" ref="X139:X143" si="78">VALUE(LEFT(AD139,4))-VALUE(LEFT(AD138,4))</f>
        <v>1</v>
      </c>
      <c r="Y139" s="247">
        <v>23.264500000000002</v>
      </c>
      <c r="Z139" s="247">
        <v>2.8500000000000001E-2</v>
      </c>
      <c r="AA139" s="247">
        <f t="shared" si="43"/>
        <v>23.236000000000001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44"/>
        <v>226</v>
      </c>
      <c r="AE139" s="235" t="str">
        <f t="shared" si="45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39" s="234" t="str">
        <f t="shared" si="46"/>
        <v>"C:\Program Files (x86)\AstroGrep\AstroGrep.exe" /e /r /s /spath="%USERPROFILE%\AppData\Local\Temp\OnboardLogs" /stypes="app*4003*20171218*" /stext=" 04:.+((SYSTEM_STATE.+slice.+state.+changed )|(ment ac)|(multiple cpu faults)|(system.+state.+changed )|(\[timeout)|(PRM\|1\|D)|(kpr)|(kdp)|(train st.+moving)|(\|lc)|(penalty))"</v>
      </c>
      <c r="AG139" s="244" t="str">
        <f t="shared" si="47"/>
        <v>EC</v>
      </c>
      <c r="AH139" s="236" t="str">
        <f t="shared" ref="AH139" si="79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226-17 --locoid 4003 --swversion DE.1.0.9.0 --startMP 204:232966 --initTime 2017-12-17T20:22:11 --startdatetime 2017-12-17T20:57:15 --delay 78 --endMP 204:203 --enddatetime 2017-12-17T21:34:00 --enforcementcount 0 &gt;&gt;%USERPROFILE%\Documents\GitHub\eaglep3-reporting\EC\2017-12-17-refined-times.txt</v>
      </c>
      <c r="AI139" s="238" t="str">
        <f t="shared" ref="AI139" si="80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{"issue":{"subject":"","project_id":79,"tracker_id":40,"status_id":1,"priority_id":2,"assigned_to_id":338,"start_date":"2017-12-17","description":"","custom_fields":[{"id":1,"name":"Subdivision","value":"EC"},{"id":4,"name":"Milepost","value":"0.0285"},{"id":17,"name":"Train ID","value":"226-17"},{"id":16,"name":"Locomotive ID","value":"4003"},{"id":130,"name":"Impact","value":""},{"id":150,"name":"Time of Event (Mountain Time)","value":"21:34:00"},{"id":151,"name":"Denver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ref="AM139" si="81">"start /low /b "&amp;dls3logs&amp;" --loco "&amp;B139&amp;" --day "&amp;TEXT(F139,"YYYY-MM-DD")</f>
        <v>start /low /b %USERPROFILE%\Documents\GitHub\eaglep3\Utilities\DownloadLogsFromS3.py --loco 4003 --day 2017-12-17</v>
      </c>
      <c r="AN139" s="241" t="str">
        <f t="shared" ref="AN139" si="82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" si="83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Message%20ID',Summary),filters:!(),index:'emp_*',interval:auto,query:(query_string:(analyze_wildcard:!t,query:'%22rtdc.l.rtdc.4003%22')),sort:!(Time.ISO8601,asc))</v>
      </c>
    </row>
    <row r="140" spans="1:91" s="20" customFormat="1" x14ac:dyDescent="0.25">
      <c r="A140" s="229" t="s">
        <v>878</v>
      </c>
      <c r="B140" s="225">
        <v>4018</v>
      </c>
      <c r="C140" s="227" t="s">
        <v>192</v>
      </c>
      <c r="D140" s="227" t="s">
        <v>601</v>
      </c>
      <c r="E140" s="226">
        <v>43086.849270833336</v>
      </c>
      <c r="F140" s="226">
        <v>43086.854317129626</v>
      </c>
      <c r="G140" s="225">
        <v>118</v>
      </c>
      <c r="H140" s="227" t="s">
        <v>1033</v>
      </c>
      <c r="I140" s="226">
        <v>43086.87877314815</v>
      </c>
      <c r="J140" s="225">
        <v>0</v>
      </c>
      <c r="K140" s="237" t="str">
        <f t="shared" si="37"/>
        <v>4017/4018</v>
      </c>
      <c r="L140" s="245" t="str">
        <f>VLOOKUP(A140,'Trips&amp;Operators'!$C$1:$G$99911,5,FALSE)</f>
        <v>RESPASS AARON</v>
      </c>
      <c r="M140" s="224">
        <f t="shared" si="38"/>
        <v>2.4456018523778766E-2</v>
      </c>
      <c r="N140" s="225">
        <f t="shared" si="63"/>
        <v>35.216666674241424</v>
      </c>
      <c r="O140" s="225"/>
      <c r="P140" s="225"/>
      <c r="Q140" s="228"/>
      <c r="R140" s="242"/>
      <c r="S140" s="249">
        <f t="shared" si="53"/>
        <v>1</v>
      </c>
      <c r="T140" s="242" t="str">
        <f t="shared" si="39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0"/>
        <v>https://d0f6bd738d7f1b3e5a7ca70fe4ff75f0.us-east-1.aws.found.io/app/kibana#/discover/Steve-Slow-Train-Analysis-(2080s-and-2083s)?_g=(refreshInterval:(display:Off,pause:!f,section:0,value:0),time:(from:'2017-12-17T19:22:57-0700',mode:absolute,to:'2017-12-17T22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247" t="str">
        <f>IF(AA140&lt;VLOOKUP(AG140,Variables!$AC$3:$AD$8,2,FALSE),"Y","N")</f>
        <v>N</v>
      </c>
      <c r="X140" s="247">
        <f t="shared" si="78"/>
        <v>1</v>
      </c>
      <c r="Y140" s="247">
        <f t="shared" ref="Y140:Y153" si="84">RIGHT(D140,LEN(D140)-4)/10000</f>
        <v>5.8400000000000001E-2</v>
      </c>
      <c r="Z140" s="247">
        <f t="shared" ref="Z140:Z153" si="85">RIGHT(H140,LEN(H140)-4)/10000</f>
        <v>23.3249</v>
      </c>
      <c r="AA140" s="247">
        <f t="shared" si="43"/>
        <v>23.266500000000001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44"/>
        <v>227</v>
      </c>
      <c r="AE140" s="235" t="str">
        <f t="shared" si="45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40" s="234" t="str">
        <f t="shared" si="46"/>
        <v>"C:\Program Files (x86)\AstroGrep\AstroGrep.exe" /e /r /s /spath="%USERPROFILE%\AppData\Local\Temp\OnboardLogs" /stypes="app*4018*20171218*" /stext=" 04:.+((SYSTEM_STATE.+slice.+state.+changed )|(ment ac)|(multiple cpu faults)|(system.+state.+changed )|(\[timeout)|(PRM\|1\|D)|(kpr)|(kdp)|(train st.+moving)|(\|lc)|(penalty))"</v>
      </c>
      <c r="AG140" s="244" t="str">
        <f t="shared" si="47"/>
        <v>EC</v>
      </c>
      <c r="AH140" s="236" t="str">
        <f t="shared" si="48"/>
        <v>"%USERPROFILE%\Documents\GitHub\eaglep3\Utilities\RefineRTDCRunTimes.py" --tripid 227-17 --locoid 4018 --swversion DE.1.0.9.0 --startMP 204:584 --initTime 2017-12-17T20:22:57 --startdatetime 2017-12-17T20:30:13 --delay 118 --endMP 204:233249 --enddatetime 2017-12-17T21:05:26 --enforcementcount 0 &gt;&gt;%USERPROFILE%\Documents\GitHub\eaglep3-reporting\EC\2017-12-17-refined-times.txt</v>
      </c>
      <c r="AI140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{"issue":{"subject":"","project_id":79,"tracker_id":40,"status_id":1,"priority_id":2,"assigned_to_id":338,"start_date":"2017-12-17","description":"","custom_fields":[{"id":1,"name":"Subdivision","value":"EC"},{"id":4,"name":"Milepost","value":"23.3249"},{"id":17,"name":"Train ID","value":"227-17"},{"id":16,"name":"Locomotive ID","value":"4018"},{"id":130,"name":"Impact","value":""},{"id":150,"name":"Time of Event (Mountain Time)","value":"21:05:26"},{"id":151,"name":"Denver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0"/>
        <v>start /low /b %USERPROFILE%\Documents\GitHub\eaglep3\Utilities\DownloadLogsFromS3.py --loco 4018 --day 2017-12-17</v>
      </c>
      <c r="AN140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2"/>
        <v>https://d0f6bd738d7f1b3e5a7ca70fe4ff75f0.us-east-1.aws.found.io/app/kibana#/discover/Steve-Slow-Train-Analysis-(2080s-and-2083s)?_g=(refreshInterval:(display:Off,pause:!f,section:0,value:0),time:(from:'2017-12-17T19:22:57-0700',mode:absolute,to:'2017-12-17T22:05:26-0700'))&amp;_a=(columns:!('Message%20ID',Summary),filters:!(),index:'emp_*',interval:auto,query:(query_string:(analyze_wildcard:!t,query:'%22rtdc.l.rtdc.4018%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884</v>
      </c>
      <c r="B141" s="225">
        <v>4017</v>
      </c>
      <c r="C141" s="227" t="s">
        <v>192</v>
      </c>
      <c r="D141" s="227" t="s">
        <v>1034</v>
      </c>
      <c r="E141" s="226">
        <v>43086.891770833332</v>
      </c>
      <c r="F141" s="226">
        <v>43086.893912037034</v>
      </c>
      <c r="G141" s="225">
        <v>48</v>
      </c>
      <c r="H141" s="227" t="s">
        <v>1035</v>
      </c>
      <c r="I141" s="226">
        <v>43086.91909722222</v>
      </c>
      <c r="J141" s="225">
        <v>0</v>
      </c>
      <c r="K141" s="237" t="str">
        <f t="shared" ref="K141:K204" si="86">IF(ISEVEN(B141),(B141-1)&amp;"/"&amp;B141,B141&amp;"/"&amp;(B141+1))</f>
        <v>4017/4018</v>
      </c>
      <c r="L141" s="245" t="str">
        <f>VLOOKUP(A141,'Trips&amp;Operators'!$C$1:$G$99911,5,FALSE)</f>
        <v>RESPASS AARON</v>
      </c>
      <c r="M141" s="224">
        <f t="shared" ref="M141:M204" si="87">I141-F141</f>
        <v>2.5185185186273884E-2</v>
      </c>
      <c r="N141" s="225">
        <f t="shared" si="63"/>
        <v>36.266666668234393</v>
      </c>
      <c r="O141" s="225"/>
      <c r="P141" s="225"/>
      <c r="Q141" s="228"/>
      <c r="R141" s="242"/>
      <c r="S141" s="249">
        <f t="shared" si="53"/>
        <v>1</v>
      </c>
      <c r="T141" s="242" t="str">
        <f t="shared" ref="T141:T204" si="88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8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-17T20:24:09-0700',mode:absolute,to:'2017-12-17T23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247" t="str">
        <f>IF(AA141&lt;VLOOKUP(AG141,Variables!$AC$3:$AD$8,2,FALSE),"Y","N")</f>
        <v>N</v>
      </c>
      <c r="X141" s="247">
        <f t="shared" si="78"/>
        <v>1</v>
      </c>
      <c r="Y141" s="247">
        <f t="shared" si="84"/>
        <v>23.2943</v>
      </c>
      <c r="Z141" s="247">
        <f t="shared" si="85"/>
        <v>2.76E-2</v>
      </c>
      <c r="AA141" s="247">
        <f t="shared" ref="AA141:AA204" si="90">ABS(Z141-Y141)</f>
        <v>23.2667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91">VALUE(LEFT(A141,LEN(A141)-3))</f>
        <v>228</v>
      </c>
      <c r="AE141" s="235" t="str">
        <f t="shared" ref="AE141:AE204" si="9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41" s="234" t="str">
        <f t="shared" ref="AF141:AF204" si="9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/stypes="app*4017*20171218*" /stext=" 05:.+((SYSTEM_STATE.+slice.+state.+changed )|(ment ac)|(multiple cpu faults)|(system.+state.+changed )|(\[timeout)|(PRM\|1\|D)|(kpr)|(kdp)|(train st.+moving)|(\|lc)|(penalty))"</v>
      </c>
      <c r="AG141" s="244" t="str">
        <f t="shared" ref="AG141:AG204" si="94">DetSubdiv(A141)</f>
        <v>EC</v>
      </c>
      <c r="AH141" s="236" t="str">
        <f t="shared" si="48"/>
        <v>"%USERPROFILE%\Documents\GitHub\eaglep3\Utilities\RefineRTDCRunTimes.py" --tripid 228-17 --locoid 4017 --swversion DE.1.0.9.0 --startMP 204:232943 --initTime 2017-12-17T21:24:09 --startdatetime 2017-12-17T21:27:14 --delay 48 --endMP 204:276 --enddatetime 2017-12-17T22:03:30 --enforcementcount 0 &gt;&gt;%USERPROFILE%\Documents\GitHub\eaglep3-reporting\EC\2017-12-17-refined-times.txt</v>
      </c>
      <c r="AI141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{"issue":{"subject":"","project_id":79,"tracker_id":40,"status_id":1,"priority_id":2,"assigned_to_id":338,"start_date":"2017-12-17","description":"","custom_fields":[{"id":1,"name":"Subdivision","value":"EC"},{"id":4,"name":"Milepost","value":"0.0276"},{"id":17,"name":"Train ID","value":"228-17"},{"id":16,"name":"Locomotive ID","value":"4017"},{"id":130,"name":"Impact","value":""},{"id":150,"name":"Time of Event (Mountain Time)","value":"22:03:30"},{"id":151,"name":"Denver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0"/>
        <v>start /low /b %USERPROFILE%\Documents\GitHub\eaglep3\Utilities\DownloadLogsFromS3.py --loco 4017 --day 2017-12-17</v>
      </c>
      <c r="AN141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2"/>
        <v>https://d0f6bd738d7f1b3e5a7ca70fe4ff75f0.us-east-1.aws.found.io/app/kibana#/discover/Steve-Slow-Train-Analysis-(2080s-and-2083s)?_g=(refreshInterval:(display:Off,pause:!f,section:0,value:0),time:(from:'2017-12-17T20:24:09-0700',mode:absolute,to:'2017-12-17T23:03:30-0700'))&amp;_a=(columns:!('Message%20ID',Summary),filters:!(),index:'emp_*',interval:auto,query:(query_string:(analyze_wildcard:!t,query:'%22rtdc.l.rtdc.4017%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880</v>
      </c>
      <c r="B142" s="225">
        <v>4054</v>
      </c>
      <c r="C142" s="227" t="s">
        <v>192</v>
      </c>
      <c r="D142" s="227" t="s">
        <v>546</v>
      </c>
      <c r="E142" s="226">
        <v>43086.860601851855</v>
      </c>
      <c r="F142" s="226">
        <v>43086.875185185185</v>
      </c>
      <c r="G142" s="225">
        <v>68</v>
      </c>
      <c r="H142" s="227" t="s">
        <v>671</v>
      </c>
      <c r="I142" s="226">
        <v>43086.900150462963</v>
      </c>
      <c r="J142" s="225">
        <v>0</v>
      </c>
      <c r="K142" s="237" t="str">
        <f t="shared" si="86"/>
        <v>4053/4054</v>
      </c>
      <c r="L142" s="245" t="str">
        <f>VLOOKUP(A142,'Trips&amp;Operators'!$C$1:$G$99911,5,FALSE)</f>
        <v>KILLION DAVID</v>
      </c>
      <c r="M142" s="224">
        <f t="shared" si="87"/>
        <v>2.4965277778392192E-2</v>
      </c>
      <c r="N142" s="225">
        <f t="shared" si="63"/>
        <v>35.950000000884756</v>
      </c>
      <c r="O142" s="225"/>
      <c r="P142" s="225"/>
      <c r="Q142" s="228"/>
      <c r="R142" s="242"/>
      <c r="S142" s="249">
        <f t="shared" si="53"/>
        <v>1</v>
      </c>
      <c r="T142" s="242" t="str">
        <f t="shared" si="88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89"/>
        <v>https://d0f6bd738d7f1b3e5a7ca70fe4ff75f0.us-east-1.aws.found.io/app/kibana#/discover/Steve-Slow-Train-Analysis-(2080s-and-2083s)?_g=(refreshInterval:(display:Off,pause:!f,section:0,value:0),time:(from:'2017-12-17T19:39:16-0700',mode:absolute,to:'2017-12-17T22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247" t="str">
        <f>IF(AA142&lt;VLOOKUP(AG142,Variables!$AC$3:$AD$8,2,FALSE),"Y","N")</f>
        <v>N</v>
      </c>
      <c r="X142" s="247">
        <f t="shared" si="78"/>
        <v>1</v>
      </c>
      <c r="Y142" s="247">
        <f t="shared" si="84"/>
        <v>5.0599999999999999E-2</v>
      </c>
      <c r="Z142" s="247">
        <f t="shared" si="85"/>
        <v>23.3293</v>
      </c>
      <c r="AA142" s="247">
        <f t="shared" si="90"/>
        <v>23.278700000000001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91"/>
        <v>229</v>
      </c>
      <c r="AE142" s="235" t="str">
        <f t="shared" si="92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42" s="234" t="str">
        <f t="shared" si="93"/>
        <v>"C:\Program Files (x86)\AstroGrep\AstroGrep.exe" /e /r /s /spath="%USERPROFILE%\AppData\Local\Temp\OnboardLogs" /stypes="app*4054*20171218*" /stext=" 04:.+((SYSTEM_STATE.+slice.+state.+changed )|(ment ac)|(multiple cpu faults)|(system.+state.+changed )|(\[timeout)|(PRM\|1\|D)|(kpr)|(kdp)|(train st.+moving)|(\|lc)|(penalty))"</v>
      </c>
      <c r="AG142" s="244" t="str">
        <f t="shared" si="94"/>
        <v>EC</v>
      </c>
      <c r="AH142" s="236" t="str">
        <f t="shared" si="48"/>
        <v>"%USERPROFILE%\Documents\GitHub\eaglep3\Utilities\RefineRTDCRunTimes.py" --tripid 229-17 --locoid 4054 --swversion DE.1.0.9.0 --startMP 204:506 --initTime 2017-12-17T20:39:16 --startdatetime 2017-12-17T21:00:16 --delay 68 --endMP 204:233293 --enddatetime 2017-12-17T21:36:13 --enforcementcount 0 &gt;&gt;%USERPROFILE%\Documents\GitHub\eaglep3-reporting\EC\2017-12-17-refined-times.txt</v>
      </c>
      <c r="AI142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{"issue":{"subject":"","project_id":79,"tracker_id":40,"status_id":1,"priority_id":2,"assigned_to_id":338,"start_date":"2017-12-17","description":"","custom_fields":[{"id":1,"name":"Subdivision","value":"EC"},{"id":4,"name":"Milepost","value":"23.3293"},{"id":17,"name":"Train ID","value":"229-17"},{"id":16,"name":"Locomotive ID","value":"4054"},{"id":130,"name":"Impact","value":""},{"id":150,"name":"Time of Event (Mountain Time)","value":"21:36:13"},{"id":151,"name":"Denver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50"/>
        <v>start /low /b %USERPROFILE%\Documents\GitHub\eaglep3\Utilities\DownloadLogsFromS3.py --loco 4054 --day 2017-12-17</v>
      </c>
      <c r="AN142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2"/>
        <v>https://d0f6bd738d7f1b3e5a7ca70fe4ff75f0.us-east-1.aws.found.io/app/kibana#/discover/Steve-Slow-Train-Analysis-(2080s-and-2083s)?_g=(refreshInterval:(display:Off,pause:!f,section:0,value:0),time:(from:'2017-12-17T19:39:16-0700',mode:absolute,to:'2017-12-17T22:36:13-0700'))&amp;_a=(columns:!('Message%20ID',Summary),filters:!(),index:'emp_*',interval:auto,query:(query_string:(analyze_wildcard:!t,query:'%22rtdc.l.rtdc.4054%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885</v>
      </c>
      <c r="B143" s="225">
        <v>4053</v>
      </c>
      <c r="C143" s="227" t="s">
        <v>192</v>
      </c>
      <c r="D143" s="227" t="s">
        <v>1036</v>
      </c>
      <c r="E143" s="226">
        <v>43086.905069444445</v>
      </c>
      <c r="F143" s="226">
        <v>43086.914768518516</v>
      </c>
      <c r="G143" s="225">
        <v>68</v>
      </c>
      <c r="H143" s="227" t="s">
        <v>551</v>
      </c>
      <c r="I143" s="226">
        <v>43086.940995370373</v>
      </c>
      <c r="J143" s="225">
        <v>0</v>
      </c>
      <c r="K143" s="237" t="str">
        <f t="shared" si="86"/>
        <v>4053/4054</v>
      </c>
      <c r="L143" s="245" t="str">
        <f>VLOOKUP(A143,'Trips&amp;Operators'!$C$1:$G$99911,5,FALSE)</f>
        <v>KILLION DAVID</v>
      </c>
      <c r="M143" s="224">
        <f t="shared" si="87"/>
        <v>2.6226851856335998E-2</v>
      </c>
      <c r="N143" s="225">
        <f t="shared" si="63"/>
        <v>37.766666673123837</v>
      </c>
      <c r="O143" s="225"/>
      <c r="P143" s="225"/>
      <c r="Q143" s="228"/>
      <c r="R143" s="242"/>
      <c r="S143" s="249">
        <f t="shared" si="53"/>
        <v>1</v>
      </c>
      <c r="T143" s="242" t="str">
        <f t="shared" si="88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89"/>
        <v>https://d0f6bd738d7f1b3e5a7ca70fe4ff75f0.us-east-1.aws.found.io/app/kibana#/discover/Steve-Slow-Train-Analysis-(2080s-and-2083s)?_g=(refreshInterval:(display:Off,pause:!f,section:0,value:0),time:(from:'2017-12-17T20:43:18-0700',mode:absolute,to:'2017-12-17T23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3" s="247" t="str">
        <f>IF(AA143&lt;VLOOKUP(AG143,Variables!$AC$3:$AD$8,2,FALSE),"Y","N")</f>
        <v>N</v>
      </c>
      <c r="X143" s="247">
        <f t="shared" si="78"/>
        <v>1</v>
      </c>
      <c r="Y143" s="247">
        <f t="shared" si="84"/>
        <v>23.2972</v>
      </c>
      <c r="Z143" s="247">
        <f t="shared" si="85"/>
        <v>2.18E-2</v>
      </c>
      <c r="AA143" s="247">
        <f t="shared" si="90"/>
        <v>23.275400000000001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91"/>
        <v>230</v>
      </c>
      <c r="AE143" s="235" t="str">
        <f t="shared" si="92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43" s="234" t="str">
        <f t="shared" si="93"/>
        <v>"C:\Program Files (x86)\AstroGrep\AstroGrep.exe" /e /r /s /spath="%USERPROFILE%\AppData\Local\Temp\OnboardLogs" /stypes="app*4053*20171218*" /stext=" 05:.+((SYSTEM_STATE.+slice.+state.+changed )|(ment ac)|(multiple cpu faults)|(system.+state.+changed )|(\[timeout)|(PRM\|1\|D)|(kpr)|(kdp)|(train st.+moving)|(\|lc)|(penalty))"</v>
      </c>
      <c r="AG143" s="244" t="str">
        <f t="shared" si="94"/>
        <v>EC</v>
      </c>
      <c r="AH143" s="236" t="str">
        <f t="shared" si="48"/>
        <v>"%USERPROFILE%\Documents\GitHub\eaglep3\Utilities\RefineRTDCRunTimes.py" --tripid 230-17 --locoid 4053 --swversion DE.1.0.9.0 --startMP 204:232972 --initTime 2017-12-17T21:43:18 --startdatetime 2017-12-17T21:57:16 --delay 68 --endMP 204:218 --enddatetime 2017-12-17T22:35:02 --enforcementcount 0 &gt;&gt;%USERPROFILE%\Documents\GitHub\eaglep3-reporting\EC\2017-12-17-refined-times.txt</v>
      </c>
      <c r="AI143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ID","value":"230-17"},{"id":16,"name":"Locomotive ID","value":"4053"},{"id":130,"name":"Impact","value":""},{"id":150,"name":"Time of Event (Mountain Time)","value":"22:35:02"},{"id":151,"name":"Denver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0"/>
        <v>start /low /b %USERPROFILE%\Documents\GitHub\eaglep3\Utilities\DownloadLogsFromS3.py --loco 4053 --day 2017-12-17</v>
      </c>
      <c r="AN143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2"/>
        <v>https://d0f6bd738d7f1b3e5a7ca70fe4ff75f0.us-east-1.aws.found.io/app/kibana#/discover/Steve-Slow-Train-Analysis-(2080s-and-2083s)?_g=(refreshInterval:(display:Off,pause:!f,section:0,value:0),time:(from:'2017-12-17T20:43:18-0700',mode:absolute,to:'2017-12-17T23:35:02-0700'))&amp;_a=(columns:!('Message%20ID',Summary),filters:!(),index:'emp_*',interval:auto,query:(query_string:(analyze_wildcard:!t,query:'%22rtdc.l.rtdc.4053%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881</v>
      </c>
      <c r="B144" s="225">
        <v>4058</v>
      </c>
      <c r="C144" s="227" t="s">
        <v>192</v>
      </c>
      <c r="D144" s="227" t="s">
        <v>577</v>
      </c>
      <c r="E144" s="226">
        <v>43086.878900462965</v>
      </c>
      <c r="F144" s="226">
        <v>43086.89638888889</v>
      </c>
      <c r="G144" s="225">
        <v>187</v>
      </c>
      <c r="H144" s="227" t="s">
        <v>949</v>
      </c>
      <c r="I144" s="226">
        <v>43086.920486111114</v>
      </c>
      <c r="J144" s="225">
        <v>0</v>
      </c>
      <c r="K144" s="237" t="str">
        <f t="shared" si="86"/>
        <v>4057/4058</v>
      </c>
      <c r="L144" s="245" t="str">
        <f>VLOOKUP(A144,'Trips&amp;Operators'!$C$1:$G$99911,5,FALSE)</f>
        <v>LOZA FIDEL</v>
      </c>
      <c r="M144" s="224">
        <f t="shared" si="87"/>
        <v>2.4097222223645076E-2</v>
      </c>
      <c r="N144" s="225">
        <f t="shared" si="63"/>
        <v>34.70000000204891</v>
      </c>
      <c r="O144" s="225"/>
      <c r="P144" s="225"/>
      <c r="Q144" s="228"/>
      <c r="R144" s="242"/>
      <c r="S144" s="249">
        <f t="shared" si="53"/>
        <v>1</v>
      </c>
      <c r="T144" s="242" t="str">
        <f t="shared" si="88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89"/>
        <v>https://d0f6bd738d7f1b3e5a7ca70fe4ff75f0.us-east-1.aws.found.io/app/kibana#/discover/Steve-Slow-Train-Analysis-(2080s-and-2083s)?_g=(refreshInterval:(display:Off,pause:!f,section:0,value:0),time:(from:'2017-12-17T20:05:37-0700',mode:absolute,to:'2017-12-17T23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4" s="247" t="str">
        <f>IF(AA144&lt;VLOOKUP(AG144,Variables!$AC$3:$AD$8,2,FALSE),"Y","N")</f>
        <v>N</v>
      </c>
      <c r="X144" s="247">
        <f t="shared" ref="X144:X153" si="95">VALUE(LEFT(AD144,4))-VALUE(LEFT(AD143,4))</f>
        <v>1</v>
      </c>
      <c r="Y144" s="247">
        <f t="shared" si="84"/>
        <v>5.2600000000000001E-2</v>
      </c>
      <c r="Z144" s="247">
        <f t="shared" si="85"/>
        <v>23.3291</v>
      </c>
      <c r="AA144" s="247">
        <f t="shared" si="90"/>
        <v>23.276499999999999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91"/>
        <v>231</v>
      </c>
      <c r="AE144" s="235" t="str">
        <f t="shared" si="92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44" s="234" t="str">
        <f t="shared" si="93"/>
        <v>"C:\Program Files (x86)\AstroGrep\AstroGrep.exe" /e /r /s /spath="%USERPROFILE%\AppData\Local\Temp\OnboardLogs" /stypes="app*4058*20171218*" /stext=" 05:.+((SYSTEM_STATE.+slice.+state.+changed )|(ment ac)|(multiple cpu faults)|(system.+state.+changed )|(\[timeout)|(PRM\|1\|D)|(kpr)|(kdp)|(train st.+moving)|(\|lc)|(penalty))"</v>
      </c>
      <c r="AG144" s="244" t="str">
        <f t="shared" si="94"/>
        <v>EC</v>
      </c>
      <c r="AH144" s="236" t="str">
        <f t="shared" si="48"/>
        <v>"%USERPROFILE%\Documents\GitHub\eaglep3\Utilities\RefineRTDCRunTimes.py" --tripid 231-17 --locoid 4058 --swversion DE.1.0.9.0 --startMP 204:526 --initTime 2017-12-17T21:05:37 --startdatetime 2017-12-17T21:30:48 --delay 187 --endMP 204:233291 --enddatetime 2017-12-17T22:05:30 --enforcementcount 0 &gt;&gt;%USERPROFILE%\Documents\GitHub\eaglep3-reporting\EC\2017-12-17-refined-times.txt</v>
      </c>
      <c r="AI144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{"issue":{"subject":"","project_id":79,"tracker_id":40,"status_id":1,"priority_id":2,"assigned_to_id":338,"start_date":"2017-12-17","description":"","custom_fields":[{"id":1,"name":"Subdivision","value":"EC"},{"id":4,"name":"Milepost","value":"23.3291"},{"id":17,"name":"Train ID","value":"231-17"},{"id":16,"name":"Locomotive ID","value":"4058"},{"id":130,"name":"Impact","value":""},{"id":150,"name":"Time of Event (Mountain Time)","value":"22:05:30"},{"id":151,"name":"Denver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50"/>
        <v>start /low /b %USERPROFILE%\Documents\GitHub\eaglep3\Utilities\DownloadLogsFromS3.py --loco 4058 --day 2017-12-17</v>
      </c>
      <c r="AN144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52"/>
        <v>https://d0f6bd738d7f1b3e5a7ca70fe4ff75f0.us-east-1.aws.found.io/app/kibana#/discover/Steve-Slow-Train-Analysis-(2080s-and-2083s)?_g=(refreshInterval:(display:Off,pause:!f,section:0,value:0),time:(from:'2017-12-17T20:05:37-0700',mode:absolute,to:'2017-12-17T23:05:30-0700'))&amp;_a=(columns:!('Message%20ID',Summary),filters:!(),index:'emp_*',interval:auto,query:(query_string:(analyze_wildcard:!t,query:'%22rtdc.l.rtdc.4058%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25">
      <c r="A145" s="229" t="s">
        <v>888</v>
      </c>
      <c r="B145" s="225">
        <v>4057</v>
      </c>
      <c r="C145" s="227" t="s">
        <v>192</v>
      </c>
      <c r="D145" s="227" t="s">
        <v>1036</v>
      </c>
      <c r="E145" s="226">
        <v>43086.933611111112</v>
      </c>
      <c r="F145" s="226">
        <v>43086.935925925929</v>
      </c>
      <c r="G145" s="225">
        <v>53</v>
      </c>
      <c r="H145" s="227" t="s">
        <v>551</v>
      </c>
      <c r="I145" s="226">
        <v>43086.961099537039</v>
      </c>
      <c r="J145" s="225">
        <v>0</v>
      </c>
      <c r="K145" s="237" t="str">
        <f t="shared" si="86"/>
        <v>4057/4058</v>
      </c>
      <c r="L145" s="245" t="str">
        <f>VLOOKUP(A145,'Trips&amp;Operators'!$C$1:$G$99911,5,FALSE)</f>
        <v>LOZA FIDEL</v>
      </c>
      <c r="M145" s="224">
        <f t="shared" si="87"/>
        <v>2.5173611109494232E-2</v>
      </c>
      <c r="N145" s="225">
        <f t="shared" si="63"/>
        <v>36.249999997671694</v>
      </c>
      <c r="O145" s="225"/>
      <c r="P145" s="225"/>
      <c r="Q145" s="228"/>
      <c r="R145" s="242"/>
      <c r="S145" s="249">
        <f t="shared" si="53"/>
        <v>1</v>
      </c>
      <c r="T145" s="242" t="str">
        <f t="shared" si="88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89"/>
        <v>https://d0f6bd738d7f1b3e5a7ca70fe4ff75f0.us-east-1.aws.found.io/app/kibana#/discover/Steve-Slow-Train-Analysis-(2080s-and-2083s)?_g=(refreshInterval:(display:Off,pause:!f,section:0,value:0),time:(from:'2017-12-17T21:24:24-0700',mode:absolute,to:'2017-12-18T00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5" s="247" t="str">
        <f>IF(AA145&lt;VLOOKUP(AG145,Variables!$AC$3:$AD$8,2,FALSE),"Y","N")</f>
        <v>N</v>
      </c>
      <c r="X145" s="247">
        <f t="shared" si="95"/>
        <v>1</v>
      </c>
      <c r="Y145" s="247">
        <f t="shared" si="84"/>
        <v>23.2972</v>
      </c>
      <c r="Z145" s="247">
        <f t="shared" si="85"/>
        <v>2.18E-2</v>
      </c>
      <c r="AA145" s="247">
        <f t="shared" si="90"/>
        <v>23.275400000000001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91"/>
        <v>232</v>
      </c>
      <c r="AE145" s="235" t="str">
        <f t="shared" si="92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45" s="234" t="str">
        <f t="shared" si="93"/>
        <v>"C:\Program Files (x86)\AstroGrep\AstroGrep.exe" /e /r /s /spath="%USERPROFILE%\AppData\Local\Temp\OnboardLogs" /stypes="app*4057*20171218*" /stext=" 06:.+((SYSTEM_STATE.+slice.+state.+changed )|(ment ac)|(multiple cpu faults)|(system.+state.+changed )|(\[timeout)|(PRM\|1\|D)|(kpr)|(kdp)|(train st.+moving)|(\|lc)|(penalty))"</v>
      </c>
      <c r="AG145" s="244" t="str">
        <f t="shared" si="94"/>
        <v>EC</v>
      </c>
      <c r="AH145" s="236" t="str">
        <f t="shared" si="48"/>
        <v>"%USERPROFILE%\Documents\GitHub\eaglep3\Utilities\RefineRTDCRunTimes.py" --tripid 232-17 --locoid 4057 --swversion DE.1.0.9.0 --startMP 204:232972 --initTime 2017-12-17T22:24:24 --startdatetime 2017-12-17T22:27:44 --delay 53 --endMP 204:218 --enddatetime 2017-12-17T23:03:59 --enforcementcount 0 &gt;&gt;%USERPROFILE%\Documents\GitHub\eaglep3-reporting\EC\2017-12-17-refined-times.txt</v>
      </c>
      <c r="AI145" s="238" t="str">
        <f t="shared" si="49"/>
        <v>echo {"issue":{"subject":"","project_id":79,"tracker_id":40,"status_id":1,"priority_id":2,"assigned_to_id":338,"start_date":"2017-12-17","description":"","custom_fields":[{"id":1,"name":"Subdivision","value":"EC"},{"id":4,"name":"Milepost","value":"0.0218"},{"id":17,"name":"Train ID","value":"232-17"},{"id":16,"name":"Locomotive ID","value":"4057"},{"id":130,"name":"Impact","value":""},{"id":150,"name":"Time of Event (Mountain Time)","value":"23:03:59"},{"id":151,"name":"Denver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50"/>
        <v>start /low /b %USERPROFILE%\Documents\GitHub\eaglep3\Utilities\DownloadLogsFromS3.py --loco 4057 --day 2017-12-17</v>
      </c>
      <c r="AN145" s="241" t="str">
        <f t="shared" si="51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52"/>
        <v>https://d0f6bd738d7f1b3e5a7ca70fe4ff75f0.us-east-1.aws.found.io/app/kibana#/discover/Steve-Slow-Train-Analysis-(2080s-and-2083s)?_g=(refreshInterval:(display:Off,pause:!f,section:0,value:0),time:(from:'2017-12-17T21:24:24-0700',mode:absolute,to:'2017-12-18T00:03:59-0700'))&amp;_a=(columns:!('Message%20ID',Summary),filters:!(),index:'emp_*',interval:auto,query:(query_string:(analyze_wildcard:!t,query:'%22rtdc.l.rtdc.4057%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886</v>
      </c>
      <c r="B146" s="225">
        <v>4004</v>
      </c>
      <c r="C146" s="227" t="s">
        <v>192</v>
      </c>
      <c r="D146" s="227" t="s">
        <v>1037</v>
      </c>
      <c r="E146" s="226">
        <v>43086.902488425927</v>
      </c>
      <c r="F146" s="226">
        <v>43086.91684027778</v>
      </c>
      <c r="G146" s="225">
        <v>816</v>
      </c>
      <c r="H146" s="227" t="s">
        <v>565</v>
      </c>
      <c r="I146" s="226">
        <v>43086.940925925926</v>
      </c>
      <c r="J146" s="225">
        <v>0</v>
      </c>
      <c r="K146" s="237" t="str">
        <f t="shared" si="86"/>
        <v>4003/4004</v>
      </c>
      <c r="L146" s="245" t="str">
        <f>VLOOKUP(A146,'Trips&amp;Operators'!$C$1:$G$99911,5,FALSE)</f>
        <v>GUNTHIER ERIC</v>
      </c>
      <c r="M146" s="224">
        <f t="shared" si="87"/>
        <v>2.4085648146865424E-2</v>
      </c>
      <c r="N146" s="225">
        <f t="shared" si="63"/>
        <v>34.68333333148621</v>
      </c>
      <c r="O146" s="225"/>
      <c r="P146" s="225"/>
      <c r="Q146" s="228"/>
      <c r="R146" s="242"/>
      <c r="S146" s="249">
        <f t="shared" ref="S146:S209" si="96">1/IF(AG146="EC",12,1)*SUM(U146:U146)</f>
        <v>1</v>
      </c>
      <c r="T146" s="242" t="str">
        <f t="shared" si="88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89"/>
        <v>https://d0f6bd738d7f1b3e5a7ca70fe4ff75f0.us-east-1.aws.found.io/app/kibana#/discover/Steve-Slow-Train-Analysis-(2080s-and-2083s)?_g=(refreshInterval:(display:Off,pause:!f,section:0,value:0),time:(from:'2017-12-17T20:39:35-0700',mode:absolute,to:'2017-12-17T23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247" t="str">
        <f>IF(AA146&lt;VLOOKUP(AG146,Variables!$AC$3:$AD$8,2,FALSE),"Y","N")</f>
        <v>N</v>
      </c>
      <c r="X146" s="247">
        <f t="shared" si="95"/>
        <v>1</v>
      </c>
      <c r="Y146" s="247">
        <f t="shared" si="84"/>
        <v>5.8000000000000003E-2</v>
      </c>
      <c r="Z146" s="247">
        <f t="shared" si="85"/>
        <v>23.323399999999999</v>
      </c>
      <c r="AA146" s="247">
        <f t="shared" si="90"/>
        <v>23.2654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91"/>
        <v>233</v>
      </c>
      <c r="AE146" s="235" t="str">
        <f t="shared" si="92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146" s="234" t="str">
        <f t="shared" si="93"/>
        <v>"C:\Program Files (x86)\AstroGrep\AstroGrep.exe" /e /r /s /spath="%USERPROFILE%\AppData\Local\Temp\OnboardLogs" /stypes="app*4004*20171218*" /stext=" 05:.+((SYSTEM_STATE.+slice.+state.+changed )|(ment ac)|(multiple cpu faults)|(system.+state.+changed )|(\[timeout)|(PRM\|1\|D)|(kpr)|(kdp)|(train st.+moving)|(\|lc)|(penalty))"</v>
      </c>
      <c r="AG146" s="244" t="str">
        <f t="shared" si="94"/>
        <v>EC</v>
      </c>
      <c r="AH146" s="236" t="str">
        <f t="shared" ref="AH146:AH212" si="97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233-17 --locoid 4004 --swversion DE.1.0.9.0 --startMP 204:580 --initTime 2017-12-17T21:39:35 --startdatetime 2017-12-17T22:00:15 --delay 816 --endMP 204:233234 --enddatetime 2017-12-17T22:34:56 --enforcementcount 0 &gt;&gt;%USERPROFILE%\Documents\GitHub\eaglep3-reporting\EC\2017-12-17-refined-times.txt</v>
      </c>
      <c r="AI146" s="238" t="str">
        <f t="shared" ref="AI146:AI212" si="98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{"issue":{"subject":"","project_id":79,"tracker_id":40,"status_id":1,"priority_id":2,"assigned_to_id":338,"start_date":"2017-12-17","description":"","custom_fields":[{"id":1,"name":"Subdivision","value":"EC"},{"id":4,"name":"Milepost","value":"23.3234"},{"id":17,"name":"Train ID","value":"233-17"},{"id":16,"name":"Locomotive ID","value":"4004"},{"id":130,"name":"Impact","value":""},{"id":150,"name":"Time of Event (Mountain Time)","value":"22:34:56"},{"id":151,"name":"Denver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ref="AM146:AM212" si="99">"start /low /b "&amp;dls3logs&amp;" --loco "&amp;B146&amp;" --day "&amp;TEXT(F146,"YYYY-MM-DD")</f>
        <v>start /low /b %USERPROFILE%\Documents\GitHub\eaglep3\Utilities\DownloadLogsFromS3.py --loco 4004 --day 2017-12-17</v>
      </c>
      <c r="AN146" s="241" t="str">
        <f t="shared" ref="AN146:AN212" si="100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ref="AO146:AO212" si="101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-17T20:39:35-0700',mode:absolute,to:'2017-12-17T23:34:56-0700'))&amp;_a=(columns:!('Message%20ID',Summary),filters:!(),index:'emp_*',interval:auto,query:(query_string:(analyze_wildcard:!t,query:'%22rtdc.l.rtdc.4004%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715</v>
      </c>
      <c r="B147" s="225">
        <v>4003</v>
      </c>
      <c r="C147" s="227" t="s">
        <v>192</v>
      </c>
      <c r="D147" s="227" t="s">
        <v>946</v>
      </c>
      <c r="E147" s="226">
        <v>43086.945300925923</v>
      </c>
      <c r="F147" s="226">
        <v>43086.956446759257</v>
      </c>
      <c r="G147" s="225">
        <v>227</v>
      </c>
      <c r="H147" s="227" t="s">
        <v>569</v>
      </c>
      <c r="I147" s="226">
        <v>43086.984039351853</v>
      </c>
      <c r="J147" s="225">
        <v>0</v>
      </c>
      <c r="K147" s="237" t="str">
        <f t="shared" si="86"/>
        <v>4003/4004</v>
      </c>
      <c r="L147" s="245" t="str">
        <f>VLOOKUP(A147,'Trips&amp;Operators'!$C$1:$G$99911,5,FALSE)</f>
        <v>GUNTHIER ERIC</v>
      </c>
      <c r="M147" s="224">
        <f t="shared" si="87"/>
        <v>2.7592592596192844E-2</v>
      </c>
      <c r="N147" s="225">
        <f t="shared" si="63"/>
        <v>39.733333338517696</v>
      </c>
      <c r="O147" s="225"/>
      <c r="P147" s="225"/>
      <c r="Q147" s="228"/>
      <c r="R147" s="242"/>
      <c r="S147" s="249">
        <f t="shared" si="96"/>
        <v>1</v>
      </c>
      <c r="T147" s="242" t="str">
        <f t="shared" si="88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89"/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247" t="str">
        <f>IF(AA147&lt;VLOOKUP(AG147,Variables!$AC$3:$AD$8,2,FALSE),"Y","N")</f>
        <v>N</v>
      </c>
      <c r="X147" s="247">
        <f t="shared" si="95"/>
        <v>1</v>
      </c>
      <c r="Y147" s="247">
        <f t="shared" si="84"/>
        <v>23.293600000000001</v>
      </c>
      <c r="Z147" s="247">
        <f t="shared" si="85"/>
        <v>2.3800000000000002E-2</v>
      </c>
      <c r="AA147" s="247">
        <f t="shared" si="90"/>
        <v>23.2698</v>
      </c>
      <c r="AB147" s="233" t="str">
        <f>VLOOKUP(A147,Enforcements!$C$7:$K$9,8,0)</f>
        <v>Bulletin (2)</v>
      </c>
      <c r="AC147" s="232" t="str">
        <f>VLOOKUP(A147,Enforcements!$C$7:$E$9,3,0)</f>
        <v>GRADE CROSSING</v>
      </c>
      <c r="AD147" s="243">
        <f t="shared" si="91"/>
        <v>234</v>
      </c>
      <c r="AE147" s="235" t="str">
        <f t="shared" si="92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147" s="234" t="str">
        <f t="shared" si="93"/>
        <v>"C:\Program Files (x86)\AstroGrep\AstroGrep.exe" /e /r /s /spath="%USERPROFILE%\AppData\Local\Temp\OnboardLogs" /stypes="app*4003*20171218*" /stext=" 06:.+((SYSTEM_STATE.+slice.+state.+changed )|(ment ac)|(multiple cpu faults)|(system.+state.+changed )|(\[timeout)|(PRM\|1\|D)|(kpr)|(kdp)|(train st.+moving)|(\|lc)|(penalty))"</v>
      </c>
      <c r="AG147" s="244" t="str">
        <f t="shared" si="94"/>
        <v>EC</v>
      </c>
      <c r="AH147" s="236" t="str">
        <f t="shared" si="97"/>
        <v>"%USERPROFILE%\Documents\GitHub\eaglep3\Utilities\RefineRTDCRunTimes.py" --tripid 234-17 --locoid 4003 --swversion DE.1.0.9.0 --startMP 204:232936 --initTime 2017-12-17T22:41:14 --startdatetime 2017-12-17T22:57:17 --delay 227 --endMP 204:238 --enddatetime 2017-12-17T23:37:01 --enforcementcount 0 &gt;&gt;%USERPROFILE%\Documents\GitHub\eaglep3-reporting\EC\2017-12-17-refined-times.txt</v>
      </c>
      <c r="AI147" s="238" t="str">
        <f t="shared" si="98"/>
        <v>echo {"issue":{"subject":"","project_id":79,"tracker_id":40,"status_id":1,"priority_id":2,"assigned_to_id":338,"start_date":"2017-12-17","description":"","custom_fields":[{"id":1,"name":"Subdivision","value":"EC"},{"id":4,"name":"Milepost","value":"0.0238"},{"id":17,"name":"Train ID","value":"234-17"},{"id":16,"name":"Locomotive ID","value":"4003"},{"id":130,"name":"Impact","value":""},{"id":150,"name":"Time of Event (Mountain Time)","value":"23:37:01"},{"id":151,"name":"Denver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99"/>
        <v>start /low /b %USERPROFILE%\Documents\GitHub\eaglep3\Utilities\DownloadLogsFromS3.py --loco 4003 --day 2017-12-17</v>
      </c>
      <c r="AN147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101"/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Message%20ID',Summary),filters:!(),index:'emp_*',interval:auto,query:(query_string:(analyze_wildcard:!t,query:'%22rtdc.l.rtdc.4003%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890</v>
      </c>
      <c r="B148" s="225">
        <v>4018</v>
      </c>
      <c r="C148" s="227" t="s">
        <v>192</v>
      </c>
      <c r="D148" s="227" t="s">
        <v>1038</v>
      </c>
      <c r="E148" s="226">
        <v>43086.935335648152</v>
      </c>
      <c r="F148" s="226">
        <v>43086.937881944446</v>
      </c>
      <c r="G148" s="225">
        <v>74</v>
      </c>
      <c r="H148" s="227" t="s">
        <v>1039</v>
      </c>
      <c r="I148" s="226">
        <v>43086.961956018517</v>
      </c>
      <c r="J148" s="225">
        <v>0</v>
      </c>
      <c r="K148" s="237" t="str">
        <f t="shared" si="86"/>
        <v>4017/4018</v>
      </c>
      <c r="L148" s="245" t="str">
        <f>VLOOKUP(A148,'Trips&amp;Operators'!$C$1:$G$99911,5,FALSE)</f>
        <v>RESPASS AARON</v>
      </c>
      <c r="M148" s="224">
        <f t="shared" si="87"/>
        <v>2.4074074070085771E-2</v>
      </c>
      <c r="N148" s="225">
        <f t="shared" si="63"/>
        <v>34.666666660923511</v>
      </c>
      <c r="O148" s="225"/>
      <c r="P148" s="225"/>
      <c r="Q148" s="228"/>
      <c r="R148" s="242"/>
      <c r="S148" s="249">
        <f t="shared" si="96"/>
        <v>1</v>
      </c>
      <c r="T148" s="242" t="str">
        <f t="shared" si="88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89"/>
        <v>https://d0f6bd738d7f1b3e5a7ca70fe4ff75f0.us-east-1.aws.found.io/app/kibana#/discover/Steve-Slow-Train-Analysis-(2080s-and-2083s)?_g=(refreshInterval:(display:Off,pause:!f,section:0,value:0),time:(from:'2017-12-17T21:26:53-0700',mode:absolute,to:'2017-12-18T00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247" t="str">
        <f>IF(AA148&lt;VLOOKUP(AG148,Variables!$AC$3:$AD$8,2,FALSE),"Y","N")</f>
        <v>N</v>
      </c>
      <c r="X148" s="247">
        <f t="shared" si="95"/>
        <v>1</v>
      </c>
      <c r="Y148" s="247">
        <f t="shared" si="84"/>
        <v>5.7000000000000002E-2</v>
      </c>
      <c r="Z148" s="247">
        <f t="shared" si="85"/>
        <v>23.323599999999999</v>
      </c>
      <c r="AA148" s="247">
        <f t="shared" si="90"/>
        <v>23.2666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91"/>
        <v>235</v>
      </c>
      <c r="AE148" s="235" t="str">
        <f t="shared" si="92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148" s="234" t="str">
        <f t="shared" si="93"/>
        <v>"C:\Program Files (x86)\AstroGrep\AstroGrep.exe" /e /r /s /spath="%USERPROFILE%\AppData\Local\Temp\OnboardLogs" /stypes="app*4018*20171218*" /stext=" 06:.+((SYSTEM_STATE.+slice.+state.+changed )|(ment ac)|(multiple cpu faults)|(system.+state.+changed )|(\[timeout)|(PRM\|1\|D)|(kpr)|(kdp)|(train st.+moving)|(\|lc)|(penalty))"</v>
      </c>
      <c r="AG148" s="244" t="str">
        <f t="shared" si="94"/>
        <v>EC</v>
      </c>
      <c r="AH148" s="236" t="str">
        <f t="shared" si="97"/>
        <v>"%USERPROFILE%\Documents\GitHub\eaglep3\Utilities\RefineRTDCRunTimes.py" --tripid 235-17 --locoid 4018 --swversion DE.1.0.9.0 --startMP 204:570 --initTime 2017-12-17T22:26:53 --startdatetime 2017-12-17T22:30:33 --delay 74 --endMP 204:233236 --enddatetime 2017-12-17T23:05:13 --enforcementcount 0 &gt;&gt;%USERPROFILE%\Documents\GitHub\eaglep3-reporting\EC\2017-12-17-refined-times.txt</v>
      </c>
      <c r="AI148" s="238" t="str">
        <f t="shared" si="98"/>
        <v>echo {"issue":{"subject":"","project_id":79,"tracker_id":40,"status_id":1,"priority_id":2,"assigned_to_id":338,"start_date":"2017-12-17","description":"","custom_fields":[{"id":1,"name":"Subdivision","value":"EC"},{"id":4,"name":"Milepost","value":"23.3236"},{"id":17,"name":"Train ID","value":"235-17"},{"id":16,"name":"Locomotive ID","value":"4018"},{"id":130,"name":"Impact","value":""},{"id":150,"name":"Time of Event (Mountain Time)","value":"23:05:13"},{"id":151,"name":"Denver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99"/>
        <v>start /low /b %USERPROFILE%\Documents\GitHub\eaglep3\Utilities\DownloadLogsFromS3.py --loco 4018 --day 2017-12-17</v>
      </c>
      <c r="AN148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101"/>
        <v>https://d0f6bd738d7f1b3e5a7ca70fe4ff75f0.us-east-1.aws.found.io/app/kibana#/discover/Steve-Slow-Train-Analysis-(2080s-and-2083s)?_g=(refreshInterval:(display:Off,pause:!f,section:0,value:0),time:(from:'2017-12-17T21:26:53-0700',mode:absolute,to:'2017-12-18T00:05:13-0700'))&amp;_a=(columns:!('Message%20ID',Summary),filters:!(),index:'emp_*',interval:auto,query:(query_string:(analyze_wildcard:!t,query:'%22rtdc.l.rtdc.4018%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9" t="s">
        <v>893</v>
      </c>
      <c r="B149" s="225">
        <v>4017</v>
      </c>
      <c r="C149" s="227" t="s">
        <v>192</v>
      </c>
      <c r="D149" s="227" t="s">
        <v>946</v>
      </c>
      <c r="E149" s="226">
        <v>43086.974398148152</v>
      </c>
      <c r="F149" s="226">
        <v>43086.977372685185</v>
      </c>
      <c r="G149" s="225">
        <v>56</v>
      </c>
      <c r="H149" s="227" t="s">
        <v>1040</v>
      </c>
      <c r="I149" s="226">
        <v>43087.00271990741</v>
      </c>
      <c r="J149" s="225">
        <v>0</v>
      </c>
      <c r="K149" s="237" t="str">
        <f t="shared" si="86"/>
        <v>4017/4018</v>
      </c>
      <c r="L149" s="245" t="str">
        <f>VLOOKUP(A149,'Trips&amp;Operators'!$C$1:$G$99911,5,FALSE)</f>
        <v>RESPASS AARON</v>
      </c>
      <c r="M149" s="224">
        <f t="shared" si="87"/>
        <v>2.5347222224809229E-2</v>
      </c>
      <c r="N149" s="225">
        <f t="shared" si="63"/>
        <v>36.50000000372529</v>
      </c>
      <c r="O149" s="225"/>
      <c r="P149" s="225"/>
      <c r="Q149" s="228"/>
      <c r="R149" s="242"/>
      <c r="S149" s="249">
        <f t="shared" si="96"/>
        <v>1</v>
      </c>
      <c r="T149" s="242" t="str">
        <f t="shared" si="88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89"/>
        <v>https://d0f6bd738d7f1b3e5a7ca70fe4ff75f0.us-east-1.aws.found.io/app/kibana#/discover/Steve-Slow-Train-Analysis-(2080s-and-2083s)?_g=(refreshInterval:(display:Off,pause:!f,section:0,value:0),time:(from:'2017-12-17T22:23:08-0700',mode:absolute,to:'2017-12-18T01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247" t="str">
        <f>IF(AA149&lt;VLOOKUP(AG149,Variables!$AC$3:$AD$8,2,FALSE),"Y","N")</f>
        <v>N</v>
      </c>
      <c r="X149" s="247">
        <f t="shared" si="95"/>
        <v>1</v>
      </c>
      <c r="Y149" s="247">
        <f t="shared" si="84"/>
        <v>23.293600000000001</v>
      </c>
      <c r="Z149" s="247">
        <f t="shared" si="85"/>
        <v>2.63E-2</v>
      </c>
      <c r="AA149" s="247">
        <f t="shared" si="90"/>
        <v>23.267300000000002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91"/>
        <v>236</v>
      </c>
      <c r="AE149" s="235" t="str">
        <f t="shared" si="92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149" s="234" t="str">
        <f t="shared" si="93"/>
        <v>"C:\Program Files (x86)\AstroGrep\AstroGrep.exe" /e /r /s /spath="%USERPROFILE%\AppData\Local\Temp\OnboardLogs" /stypes="app*4017*20171218*" /stext=" 07:.+((SYSTEM_STATE.+slice.+state.+changed )|(ment ac)|(multiple cpu faults)|(system.+state.+changed )|(\[timeout)|(PRM\|1\|D)|(kpr)|(kdp)|(train st.+moving)|(\|lc)|(penalty))"</v>
      </c>
      <c r="AG149" s="244" t="str">
        <f t="shared" si="94"/>
        <v>EC</v>
      </c>
      <c r="AH149" s="236" t="str">
        <f t="shared" si="97"/>
        <v>"%USERPROFILE%\Documents\GitHub\eaglep3\Utilities\RefineRTDCRunTimes.py" --tripid 236-17 --locoid 4017 --swversion DE.1.0.9.0 --startMP 204:232936 --initTime 2017-12-17T23:23:08 --startdatetime 2017-12-17T23:27:25 --delay 56 --endMP 204:263 --enddatetime 2017-12-18T00:03:55 --enforcementcount 0 &gt;&gt;%USERPROFILE%\Documents\GitHub\eaglep3-reporting\EC\2017-12-17-refined-times.txt</v>
      </c>
      <c r="AI149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{"issue":{"subject":"","project_id":79,"tracker_id":40,"status_id":1,"priority_id":2,"assigned_to_id":338,"start_date":"2017-12-18","description":"","custom_fields":[{"id":1,"name":"Subdivision","value":"EC"},{"id":4,"name":"Milepost","value":"0.0263"},{"id":17,"name":"Train ID","value":"236-17"},{"id":16,"name":"Locomotive ID","value":"4017"},{"id":130,"name":"Impact","value":""},{"id":150,"name":"Time of Event (Mountain Time)","value":"00:03:55"},{"id":151,"name":"Denver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3"/>
      <c r="AK149" s="231"/>
      <c r="AL149" s="231"/>
      <c r="AM149" s="240" t="str">
        <f t="shared" si="99"/>
        <v>start /low /b %USERPROFILE%\Documents\GitHub\eaglep3\Utilities\DownloadLogsFromS3.py --loco 4017 --day 2017-12-17</v>
      </c>
      <c r="AN149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101"/>
        <v>https://d0f6bd738d7f1b3e5a7ca70fe4ff75f0.us-east-1.aws.found.io/app/kibana#/discover/Steve-Slow-Train-Analysis-(2080s-and-2083s)?_g=(refreshInterval:(display:Off,pause:!f,section:0,value:0),time:(from:'2017-12-17T22:23:08-0700',mode:absolute,to:'2017-12-18T01:03:55-0700'))&amp;_a=(columns:!('Message%20ID',Summary),filters:!(),index:'emp_*',interval:auto,query:(query_string:(analyze_wildcard:!t,query:'%22rtdc.l.rtdc.4017%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3" customFormat="1" x14ac:dyDescent="0.25">
      <c r="A150" s="229" t="s">
        <v>891</v>
      </c>
      <c r="B150" s="225">
        <v>4054</v>
      </c>
      <c r="C150" s="227" t="s">
        <v>192</v>
      </c>
      <c r="D150" s="227" t="s">
        <v>557</v>
      </c>
      <c r="E150" s="226">
        <v>43086.943854166668</v>
      </c>
      <c r="F150" s="226">
        <v>43086.958518518521</v>
      </c>
      <c r="G150" s="225">
        <v>66</v>
      </c>
      <c r="H150" s="227" t="s">
        <v>928</v>
      </c>
      <c r="I150" s="226">
        <v>43086.982187499998</v>
      </c>
      <c r="J150" s="225">
        <v>0</v>
      </c>
      <c r="K150" s="237" t="str">
        <f t="shared" si="86"/>
        <v>4053/4054</v>
      </c>
      <c r="L150" s="245" t="str">
        <f>VLOOKUP(A150,'Trips&amp;Operators'!$C$1:$G$99911,5,FALSE)</f>
        <v>STAMBAUGH JAMES</v>
      </c>
      <c r="M150" s="224">
        <f t="shared" si="87"/>
        <v>2.3668981477385387E-2</v>
      </c>
      <c r="N150" s="225">
        <f t="shared" si="63"/>
        <v>34.083333327434957</v>
      </c>
      <c r="O150" s="225"/>
      <c r="P150" s="225"/>
      <c r="Q150" s="228"/>
      <c r="R150" s="242"/>
      <c r="S150" s="249">
        <f t="shared" si="96"/>
        <v>1</v>
      </c>
      <c r="T150" s="242" t="str">
        <f t="shared" si="88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89"/>
        <v>https://d0f6bd738d7f1b3e5a7ca70fe4ff75f0.us-east-1.aws.found.io/app/kibana#/discover/Steve-Slow-Train-Analysis-(2080s-and-2083s)?_g=(refreshInterval:(display:Off,pause:!f,section:0,value:0),time:(from:'2017-12-17T21:39:09-0700',mode:absolute,to:'2017-12-18T00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247" t="str">
        <f>IF(AA150&lt;VLOOKUP(AG150,Variables!$AC$3:$AD$8,2,FALSE),"Y","N")</f>
        <v>N</v>
      </c>
      <c r="X150" s="247">
        <f t="shared" si="95"/>
        <v>1</v>
      </c>
      <c r="Y150" s="247">
        <f t="shared" si="84"/>
        <v>5.0799999999999998E-2</v>
      </c>
      <c r="Z150" s="247">
        <f t="shared" si="85"/>
        <v>23.330300000000001</v>
      </c>
      <c r="AA150" s="247">
        <f t="shared" si="90"/>
        <v>23.279500000000002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91"/>
        <v>237</v>
      </c>
      <c r="AE150" s="235" t="str">
        <f t="shared" si="92"/>
        <v>aws s3 cp s3://rtdc.mdm.uploadarchive.raw/RTDC4054/ "%USERPROFILE%\AppData\Local\Temp\OnboardLogs"\RTDC4054\2017-12-17 --exclude "*" --recursive --include "*20171217*" &amp; "%USERPROFILE%\Documents\GitHub\mrs-test-scripts\Headless Mode &amp; Sideloading\WalkAndUnGZ.bat" "%USERPROFILE%\AppData\Local\Temp\OnboardLogs"\RTDC4054\2017-12-17 &amp; 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</v>
      </c>
      <c r="AF150" s="234" t="str">
        <f t="shared" si="93"/>
        <v>"C:\Program Files (x86)\AstroGrep\AstroGrep.exe" /e /r /s /spath="%USERPROFILE%\AppData\Local\Temp\OnboardLogs" /stypes="app*4054*20171218*" /stext=" 06:.+((SYSTEM_STATE.+slice.+state.+changed )|(ment ac)|(multiple cpu faults)|(system.+state.+changed )|(\[timeout)|(PRM\|1\|D)|(kpr)|(kdp)|(train st.+moving)|(\|lc)|(penalty))"</v>
      </c>
      <c r="AG150" s="244" t="str">
        <f t="shared" si="94"/>
        <v>EC</v>
      </c>
      <c r="AH150" s="236" t="str">
        <f t="shared" si="97"/>
        <v>"%USERPROFILE%\Documents\GitHub\eaglep3\Utilities\RefineRTDCRunTimes.py" --tripid 237-17 --locoid 4054 --swversion DE.1.0.9.0 --startMP 204:508 --initTime 2017-12-17T22:39:09 --startdatetime 2017-12-17T23:00:16 --delay 66 --endMP 204:233303 --enddatetime 2017-12-17T23:34:21 --enforcementcount 0 &gt;&gt;%USERPROFILE%\Documents\GitHub\eaglep3-reporting\EC\2017-12-17-refined-times.txt</v>
      </c>
      <c r="AI150" s="238" t="str">
        <f t="shared" si="98"/>
        <v>echo {"issue":{"subject":"","project_id":79,"tracker_id":40,"status_id":1,"priority_id":2,"assigned_to_id":338,"start_date":"2017-12-17","description":"","custom_fields":[{"id":1,"name":"Subdivision","value":"EC"},{"id":4,"name":"Milepost","value":"23.3303"},{"id":17,"name":"Train ID","value":"237-17"},{"id":16,"name":"Locomotive ID","value":"4054"},{"id":130,"name":"Impact","value":""},{"id":150,"name":"Time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99"/>
        <v>start /low /b %USERPROFILE%\Documents\GitHub\eaglep3\Utilities\DownloadLogsFromS3.py --loco 4054 --day 2017-12-17</v>
      </c>
      <c r="AN150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101"/>
        <v>https://d0f6bd738d7f1b3e5a7ca70fe4ff75f0.us-east-1.aws.found.io/app/kibana#/discover/Steve-Slow-Train-Analysis-(2080s-and-2083s)?_g=(refreshInterval:(display:Off,pause:!f,section:0,value:0),time:(from:'2017-12-17T21:39:09-0700',mode:absolute,to:'2017-12-18T00:34:21-0700'))&amp;_a=(columns:!('Message%20ID',Summary),filters:!(),index:'emp_*',interval:auto,query:(query_string:(analyze_wildcard:!t,query:'%22rtdc.l.rtdc.4054%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895</v>
      </c>
      <c r="B151" s="225">
        <v>4053</v>
      </c>
      <c r="C151" s="227" t="s">
        <v>192</v>
      </c>
      <c r="D151" s="227" t="s">
        <v>600</v>
      </c>
      <c r="E151" s="226">
        <v>43086.991307870368</v>
      </c>
      <c r="F151" s="226">
        <v>43086.998310185183</v>
      </c>
      <c r="G151" s="225">
        <v>81</v>
      </c>
      <c r="H151" s="227" t="s">
        <v>498</v>
      </c>
      <c r="I151" s="226">
        <v>43087.024189814816</v>
      </c>
      <c r="J151" s="225">
        <v>0</v>
      </c>
      <c r="K151" s="237" t="str">
        <f t="shared" si="86"/>
        <v>4053/4054</v>
      </c>
      <c r="L151" s="245" t="str">
        <f>VLOOKUP(A151,'Trips&amp;Operators'!$C$1:$G$99911,5,FALSE)</f>
        <v>STAMBAUGH JAMES</v>
      </c>
      <c r="M151" s="224">
        <f t="shared" si="87"/>
        <v>2.587962963298196E-2</v>
      </c>
      <c r="N151" s="225">
        <f t="shared" si="63"/>
        <v>37.266666671494022</v>
      </c>
      <c r="O151" s="225"/>
      <c r="P151" s="225"/>
      <c r="Q151" s="228"/>
      <c r="R151" s="242"/>
      <c r="S151" s="249">
        <f t="shared" si="96"/>
        <v>1</v>
      </c>
      <c r="T151" s="242" t="str">
        <f t="shared" si="88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89"/>
        <v>https://d0f6bd738d7f1b3e5a7ca70fe4ff75f0.us-east-1.aws.found.io/app/kibana#/discover/Steve-Slow-Train-Analysis-(2080s-and-2083s)?_g=(refreshInterval:(display:Off,pause:!f,section:0,value:0),time:(from:'2017-12-17T22:47:29-0700',mode:absolute,to:'2017-12-18T01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1" s="247" t="str">
        <f>IF(AA151&lt;VLOOKUP(AG151,Variables!$AC$3:$AD$8,2,FALSE),"Y","N")</f>
        <v>N</v>
      </c>
      <c r="X151" s="247">
        <f t="shared" si="95"/>
        <v>1</v>
      </c>
      <c r="Y151" s="247">
        <f t="shared" si="84"/>
        <v>23.297499999999999</v>
      </c>
      <c r="Z151" s="247">
        <f t="shared" si="85"/>
        <v>2.2499999999999999E-2</v>
      </c>
      <c r="AA151" s="247">
        <f t="shared" si="90"/>
        <v>23.274999999999999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91"/>
        <v>238</v>
      </c>
      <c r="AE151" s="235" t="str">
        <f t="shared" si="92"/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AF151" s="234" t="str">
        <f t="shared" si="93"/>
        <v>"C:\Program Files (x86)\AstroGrep\AstroGrep.exe" /e /r /s /spath="%USERPROFILE%\AppData\Local\Temp\OnboardLogs" /stypes="app*4053*20171218*" /stext=" 07:.+((SYSTEM_STATE.+slice.+state.+changed )|(ment ac)|(multiple cpu faults)|(system.+state.+changed )|(\[timeout)|(PRM\|1\|D)|(kpr)|(kdp)|(train st.+moving)|(\|lc)|(penalty))"</v>
      </c>
      <c r="AG151" s="244" t="str">
        <f t="shared" si="94"/>
        <v>EC</v>
      </c>
      <c r="AH151" s="236" t="str">
        <f t="shared" si="97"/>
        <v>"%USERPROFILE%\Documents\GitHub\eaglep3\Utilities\RefineRTDCRunTimes.py" --tripid 238-17 --locoid 4053 --swversion DE.1.0.9.0 --startMP 204:232975 --initTime 2017-12-17T23:47:29 --startdatetime 2017-12-17T23:57:34 --delay 81 --endMP 204:225 --enddatetime 2017-12-18T00:34:50 --enforcementcount 0 &gt;&gt;%USERPROFILE%\Documents\GitHub\eaglep3-reporting\EC\2017-12-17-refined-times.txt</v>
      </c>
      <c r="AI151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{"issue":{"subject":"","project_id":79,"tracker_id":40,"status_id":1,"priority_id":2,"assigned_to_id":338,"start_date":"2017-12-18","description":"","custom_fields":[{"id":1,"name":"Subdivision","value":"EC"},{"id":4,"name":"Milepost","value":"0.0225"},{"id":17,"name":"Train ID","value":"238-17"},{"id":16,"name":"Locomotive ID","value":"4053"},{"id":130,"name":"Impact","value":""},{"id":150,"name":"Time of Event (Mountain Time)","value":"00:34:50"},{"id":151,"name":"Denver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99"/>
        <v>start /low /b %USERPROFILE%\Documents\GitHub\eaglep3\Utilities\DownloadLogsFromS3.py --loco 4053 --day 2017-12-17</v>
      </c>
      <c r="AN151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101"/>
        <v>https://d0f6bd738d7f1b3e5a7ca70fe4ff75f0.us-east-1.aws.found.io/app/kibana#/discover/Steve-Slow-Train-Analysis-(2080s-and-2083s)?_g=(refreshInterval:(display:Off,pause:!f,section:0,value:0),time:(from:'2017-12-17T22:47:29-0700',mode:absolute,to:'2017-12-18T01:34:50-0700'))&amp;_a=(columns:!('Message%20ID',Summary),filters:!(),index:'emp_*',interval:auto,query:(query_string:(analyze_wildcard:!t,query:'%22rtdc.l.rtdc.4053%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894</v>
      </c>
      <c r="B152" s="225">
        <v>4058</v>
      </c>
      <c r="C152" s="227" t="s">
        <v>192</v>
      </c>
      <c r="D152" s="227" t="s">
        <v>518</v>
      </c>
      <c r="E152" s="226">
        <v>43086.977141203701</v>
      </c>
      <c r="F152" s="226">
        <v>43086.979386574072</v>
      </c>
      <c r="G152" s="225">
        <v>57</v>
      </c>
      <c r="H152" s="227" t="s">
        <v>531</v>
      </c>
      <c r="I152" s="226">
        <v>43087.004641203705</v>
      </c>
      <c r="J152" s="225">
        <v>0</v>
      </c>
      <c r="K152" s="237" t="str">
        <f t="shared" si="86"/>
        <v>4057/4058</v>
      </c>
      <c r="L152" s="245" t="str">
        <f>VLOOKUP(A152,'Trips&amp;Operators'!$C$1:$G$99911,5,FALSE)</f>
        <v>LOZA FIDEL</v>
      </c>
      <c r="M152" s="224">
        <f t="shared" si="87"/>
        <v>2.5254629632399883E-2</v>
      </c>
      <c r="N152" s="225">
        <f t="shared" si="63"/>
        <v>36.366666670655832</v>
      </c>
      <c r="O152" s="225"/>
      <c r="P152" s="225"/>
      <c r="Q152" s="228"/>
      <c r="R152" s="242"/>
      <c r="S152" s="249">
        <f t="shared" si="96"/>
        <v>1</v>
      </c>
      <c r="T152" s="242" t="str">
        <f t="shared" si="88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89"/>
        <v>https://d0f6bd738d7f1b3e5a7ca70fe4ff75f0.us-east-1.aws.found.io/app/kibana#/discover/Steve-Slow-Train-Analysis-(2080s-and-2083s)?_g=(refreshInterval:(display:Off,pause:!f,section:0,value:0),time:(from:'2017-12-17T22:27:05-0700',mode:absolute,to:'2017-12-18T01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2" s="247" t="str">
        <f>IF(AA152&lt;VLOOKUP(AG152,Variables!$AC$3:$AD$8,2,FALSE),"Y","N")</f>
        <v>N</v>
      </c>
      <c r="X152" s="247">
        <f t="shared" si="95"/>
        <v>1</v>
      </c>
      <c r="Y152" s="247">
        <f t="shared" si="84"/>
        <v>5.1299999999999998E-2</v>
      </c>
      <c r="Z152" s="247">
        <f t="shared" si="85"/>
        <v>23.327000000000002</v>
      </c>
      <c r="AA152" s="247">
        <f t="shared" si="90"/>
        <v>23.275700000000001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91"/>
        <v>239</v>
      </c>
      <c r="AE152" s="235" t="str">
        <f t="shared" si="92"/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AF152" s="234" t="str">
        <f t="shared" si="93"/>
        <v>"C:\Program Files (x86)\AstroGrep\AstroGrep.exe" /e /r /s /spath="%USERPROFILE%\AppData\Local\Temp\OnboardLogs" /stypes="app*4058*20171218*" /stext=" 07:.+((SYSTEM_STATE.+slice.+state.+changed )|(ment ac)|(multiple cpu faults)|(system.+state.+changed )|(\[timeout)|(PRM\|1\|D)|(kpr)|(kdp)|(train st.+moving)|(\|lc)|(penalty))"</v>
      </c>
      <c r="AG152" s="244" t="str">
        <f t="shared" si="94"/>
        <v>EC</v>
      </c>
      <c r="AH152" s="236" t="str">
        <f t="shared" si="97"/>
        <v>"%USERPROFILE%\Documents\GitHub\eaglep3\Utilities\RefineRTDCRunTimes.py" --tripid 239-17 --locoid 4058 --swversion DE.1.0.9.0 --startMP 204:513 --initTime 2017-12-17T23:27:05 --startdatetime 2017-12-17T23:30:19 --delay 57 --endMP 204:233270 --enddatetime 2017-12-18T00:06:41 --enforcementcount 0 &gt;&gt;%USERPROFILE%\Documents\GitHub\eaglep3-reporting\EC\2017-12-17-refined-times.txt</v>
      </c>
      <c r="AI152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{"issue":{"subject":"","project_id":79,"tracker_id":40,"status_id":1,"priority_id":2,"assigned_to_id":338,"start_date":"2017-12-18","description":"","custom_fields":[{"id":1,"name":"Subdivision","value":"EC"},{"id":4,"name":"Milepost","value":"23.327"},{"id":17,"name":"Train ID","value":"239-17"},{"id":16,"name":"Locomotive ID","value":"4058"},{"id":130,"name":"Impact","value":""},{"id":150,"name":"Time of Event (Mountain Time)","value":"00:06:41"},{"id":151,"name":"Denver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99"/>
        <v>start /low /b %USERPROFILE%\Documents\GitHub\eaglep3\Utilities\DownloadLogsFromS3.py --loco 4058 --day 2017-12-17</v>
      </c>
      <c r="AN152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101"/>
        <v>https://d0f6bd738d7f1b3e5a7ca70fe4ff75f0.us-east-1.aws.found.io/app/kibana#/discover/Steve-Slow-Train-Analysis-(2080s-and-2083s)?_g=(refreshInterval:(display:Off,pause:!f,section:0,value:0),time:(from:'2017-12-17T22:27:05-0700',mode:absolute,to:'2017-12-18T01:06:41-0700'))&amp;_a=(columns:!('Message%20ID',Summary),filters:!(),index:'emp_*',interval:auto,query:(query_string:(analyze_wildcard:!t,query:'%22rtdc.l.rtdc.4058%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897</v>
      </c>
      <c r="B153" s="225">
        <v>4057</v>
      </c>
      <c r="C153" s="227" t="s">
        <v>192</v>
      </c>
      <c r="D153" s="227" t="s">
        <v>658</v>
      </c>
      <c r="E153" s="226">
        <v>43087.015370370369</v>
      </c>
      <c r="F153" s="226">
        <v>43087.018946759257</v>
      </c>
      <c r="G153" s="225">
        <v>143</v>
      </c>
      <c r="H153" s="227" t="s">
        <v>482</v>
      </c>
      <c r="I153" s="226">
        <v>43087.043912037036</v>
      </c>
      <c r="J153" s="225">
        <v>0</v>
      </c>
      <c r="K153" s="237" t="str">
        <f t="shared" si="86"/>
        <v>4057/4058</v>
      </c>
      <c r="L153" s="245" t="str">
        <f>VLOOKUP(A153,'Trips&amp;Operators'!$C$1:$G$99911,5,FALSE)</f>
        <v>LOZA FIDEL</v>
      </c>
      <c r="M153" s="224">
        <f t="shared" si="87"/>
        <v>2.4965277778392192E-2</v>
      </c>
      <c r="N153" s="225">
        <f t="shared" si="63"/>
        <v>35.950000000884756</v>
      </c>
      <c r="O153" s="225"/>
      <c r="P153" s="225"/>
      <c r="Q153" s="228"/>
      <c r="R153" s="242"/>
      <c r="S153" s="249">
        <f t="shared" si="96"/>
        <v>1</v>
      </c>
      <c r="T153" s="242" t="str">
        <f t="shared" si="88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89"/>
        <v>https://d0f6bd738d7f1b3e5a7ca70fe4ff75f0.us-east-1.aws.found.io/app/kibana#/discover/Steve-Slow-Train-Analysis-(2080s-and-2083s)?_g=(refreshInterval:(display:Off,pause:!f,section:0,value:0),time:(from:'2017-12-17T23:22:08-0700',mode:absolute,to:'2017-12-18T02:03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3" s="247" t="str">
        <f>IF(AA153&lt;VLOOKUP(AG153,Variables!$AC$3:$AD$8,2,FALSE),"Y","N")</f>
        <v>N</v>
      </c>
      <c r="X153" s="247">
        <f t="shared" si="95"/>
        <v>1</v>
      </c>
      <c r="Y153" s="247">
        <f t="shared" si="84"/>
        <v>23.294499999999999</v>
      </c>
      <c r="Z153" s="247">
        <f t="shared" si="85"/>
        <v>2.4E-2</v>
      </c>
      <c r="AA153" s="247">
        <f t="shared" si="90"/>
        <v>23.270499999999998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91"/>
        <v>240</v>
      </c>
      <c r="AE153" s="235" t="str">
        <f t="shared" si="92"/>
        <v>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 &amp; aws s3 cp s3://rtdc.mdm.uploadarchive.raw/RTDC4057/ "%USERPROFILE%\AppData\Local\Temp\OnboardLogs"\RTDC4057\2017-12-19 --exclude "*" --recursive --include "*20171219*" &amp; "%USERPROFILE%\Documents\GitHub\mrs-test-scripts\Headless Mode &amp; Sideloading\WalkAndUnGZ.bat" "%USERPROFILE%\AppData\Local\Temp\OnboardLogs"\RTDC4057\2017-12-19</v>
      </c>
      <c r="AF153" s="234" t="str">
        <f t="shared" si="93"/>
        <v>"C:\Program Files (x86)\AstroGrep\AstroGrep.exe" /e /r /s /spath="%USERPROFILE%\AppData\Local\Temp\OnboardLogs" /stypes="app*4057*20171218*" /stext=" 08:.+((SYSTEM_STATE.+slice.+state.+changed )|(ment ac)|(multiple cpu faults)|(system.+state.+changed )|(\[timeout)|(PRM\|1\|D)|(kpr)|(kdp)|(train st.+moving)|(\|lc)|(penalty))"</v>
      </c>
      <c r="AG153" s="244" t="str">
        <f t="shared" si="94"/>
        <v>EC</v>
      </c>
      <c r="AH153" s="236" t="str">
        <f t="shared" si="97"/>
        <v>"%USERPROFILE%\Documents\GitHub\eaglep3\Utilities\RefineRTDCRunTimes.py" --tripid 240-17 --locoid 4057 --swversion DE.1.0.9.0 --startMP 204:232945 --initTime 2017-12-18T00:22:08 --startdatetime 2017-12-18T00:27:17 --delay 143 --endMP 204:240 --enddatetime 2017-12-18T01:03:14 --enforcementcount 0 &gt;&gt;%USERPROFILE%\Documents\GitHub\eaglep3-reporting\EC\2017-12-17-refined-times.txt</v>
      </c>
      <c r="AI153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{"issue":{"subject":"","project_id":79,"tracker_id":40,"status_id":1,"priority_id":2,"assigned_to_id":338,"start_date":"2017-12-18","description":"","custom_fields":[{"id":1,"name":"Subdivision","value":"EC"},{"id":4,"name":"Milepost","value":"0.024"},{"id":17,"name":"Train ID","value":"240-17"},{"id":16,"name":"Locomotive ID","value":"4057"},{"id":130,"name":"Impact","value":""},{"id":150,"name":"Time of Event (Mountain Time)","value":"01:03:14"},{"id":151,"name":"Denver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99"/>
        <v>start /low /b %USERPROFILE%\Documents\GitHub\eaglep3\Utilities\DownloadLogsFromS3.py --loco 4057 --day 2017-12-18</v>
      </c>
      <c r="AN153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101"/>
        <v>https://d0f6bd738d7f1b3e5a7ca70fe4ff75f0.us-east-1.aws.found.io/app/kibana#/discover/Steve-Slow-Train-Analysis-(2080s-and-2083s)?_g=(refreshInterval:(display:Off,pause:!f,section:0,value:0),time:(from:'2017-12-17T23:22:08-0700',mode:absolute,to:'2017-12-18T02:03:14-0700'))&amp;_a=(columns:!('Message%20ID',Summary),filters:!(),index:'emp_*',interval:auto,query:(query_string:(analyze_wildcard:!t,query:'%22rtdc.l.rtdc.4057%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25">
      <c r="A154" s="229" t="s">
        <v>718</v>
      </c>
      <c r="B154" s="225">
        <v>4004</v>
      </c>
      <c r="C154" s="227" t="s">
        <v>192</v>
      </c>
      <c r="D154" s="227" t="s">
        <v>658</v>
      </c>
      <c r="E154" s="226">
        <v>43087.015370370369</v>
      </c>
      <c r="F154" s="226">
        <v>43087.000162037039</v>
      </c>
      <c r="G154" s="225">
        <v>143</v>
      </c>
      <c r="H154" s="227" t="s">
        <v>482</v>
      </c>
      <c r="I154" s="226">
        <v>43087.014930555553</v>
      </c>
      <c r="J154" s="225">
        <v>0</v>
      </c>
      <c r="K154" s="237" t="str">
        <f t="shared" si="86"/>
        <v>4003/4004</v>
      </c>
      <c r="L154" s="245" t="str">
        <f>VLOOKUP(A154,'Trips&amp;Operators'!$C$1:$G$99911,5,FALSE)</f>
        <v>ELBAUM MIKE</v>
      </c>
      <c r="M154" s="224">
        <f t="shared" si="87"/>
        <v>1.4768518514756579E-2</v>
      </c>
      <c r="N154" s="225"/>
      <c r="O154" s="225"/>
      <c r="P154" s="225">
        <f>24*60*SUM($M154:$M154)</f>
        <v>21.266666661249474</v>
      </c>
      <c r="Q154" s="228"/>
      <c r="R154" s="242" t="s">
        <v>472</v>
      </c>
      <c r="S154" s="249">
        <f t="shared" si="96"/>
        <v>1</v>
      </c>
      <c r="T154" s="242" t="str">
        <f t="shared" si="88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89"/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247" t="str">
        <f>IF(AA154&lt;VLOOKUP(AG154,Variables!$AC$3:$AD$8,2,FALSE),"Y","N")</f>
        <v>Y</v>
      </c>
      <c r="X154" s="247">
        <f t="shared" ref="X154:X156" si="102">VALUE(LEFT(AD154,4))-VALUE(LEFT(AD153,4))</f>
        <v>1</v>
      </c>
      <c r="Y154" s="247">
        <v>8.6800000000000002E-2</v>
      </c>
      <c r="Z154" s="247">
        <v>12.7837</v>
      </c>
      <c r="AA154" s="247">
        <f t="shared" si="90"/>
        <v>12.696899999999999</v>
      </c>
      <c r="AB154" s="233" t="str">
        <f>VLOOKUP(A154,Enforcements!$C$7:$K$9,8,0)</f>
        <v>Signal based authority (5)</v>
      </c>
      <c r="AC154" s="232" t="str">
        <f>VLOOKUP(A154,Enforcements!$C$7:$E$9,3,0)</f>
        <v>SIGNAL</v>
      </c>
      <c r="AD154" s="243">
        <f t="shared" si="91"/>
        <v>241</v>
      </c>
      <c r="AE154" s="235" t="str">
        <f t="shared" si="92"/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AF154" s="234" t="str">
        <f t="shared" si="93"/>
        <v>"C:\Program Files (x86)\AstroGrep\AstroGrep.exe" /e /r /s /spath="%USERPROFILE%\AppData\Local\Temp\OnboardLogs" /stypes="app*4004*20171218*" /stext=" 07:.+((SYSTEM_STATE.+slice.+state.+changed )|(ment ac)|(multiple cpu faults)|(system.+state.+changed )|(\[timeout)|(PRM\|1\|D)|(kpr)|(kdp)|(train st.+moving)|(\|lc)|(penalty))"</v>
      </c>
      <c r="AG154" s="244" t="str">
        <f t="shared" si="94"/>
        <v>EC</v>
      </c>
      <c r="AH154" s="236" t="str">
        <f t="shared" ref="AH154" si="103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241-17 --locoid 4004 --swversion DE.1.0.9.0 --startMP 204:232945 --initTime 2017-12-18T00:22:08 --startdatetime 2017-12-18T00:00:14 --delay 143 --endMP 204:240 --enddatetime 2017-12-18T00:21:30 --enforcementcount 0 &gt;&gt;%USERPROFILE%\Documents\GitHub\eaglep3-reporting\EC\2017-12-17-refined-times.txt</v>
      </c>
      <c r="AI154" s="238" t="str">
        <f t="shared" ref="AI154" si="104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drop","project_id":79,"tracker_id":40,"status_id":1,"priority_id":2,"assigned_to_id":338,"start_date":"2017-12-18","description":"","custom_fields":[{"id":1,"name":"Subdivision","value":"EC"},{"id":4,"name":"Milepost","value":"12.7837"},{"id":17,"name":"Train ID","value":"241-17"},{"id":16,"name":"Locomotive ID","value":"4004"},{"id":130,"name":"Impact","value":""},{"id":150,"name":"Time of Event (Mountain Time)","value":"00:21:30"},{"id":151,"name":"Denver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ref="AM154" si="105">"start /low /b "&amp;dls3logs&amp;" --loco "&amp;B154&amp;" --day "&amp;TEXT(F154,"YYYY-MM-DD")</f>
        <v>start /low /b %USERPROFILE%\Documents\GitHub\eaglep3\Utilities\DownloadLogsFromS3.py --loco 4004 --day 2017-12-18</v>
      </c>
      <c r="AN154" s="241" t="str">
        <f t="shared" ref="AN154" si="106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ref="AO154" si="107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Message%20ID',Summary),filters:!(),index:'emp_*',interval:auto,query:(query_string:(analyze_wildcard:!t,query:'%22rtdc.l.rtdc.4004%22')),sort:!(Time.ISO8601,asc))</v>
      </c>
    </row>
    <row r="155" spans="1:91" s="20" customFormat="1" x14ac:dyDescent="0.25">
      <c r="A155" s="229" t="s">
        <v>719</v>
      </c>
      <c r="B155" s="225">
        <v>4003</v>
      </c>
      <c r="C155" s="227" t="s">
        <v>192</v>
      </c>
      <c r="D155" s="227" t="s">
        <v>1041</v>
      </c>
      <c r="E155" s="226">
        <v>43087.056585648148</v>
      </c>
      <c r="F155" s="226">
        <v>43087.057893518519</v>
      </c>
      <c r="G155" s="225">
        <v>56</v>
      </c>
      <c r="H155" s="227" t="s">
        <v>1042</v>
      </c>
      <c r="I155" s="226">
        <v>43087.067777777775</v>
      </c>
      <c r="J155" s="225">
        <v>0</v>
      </c>
      <c r="K155" s="237" t="str">
        <f t="shared" si="86"/>
        <v>4003/4004</v>
      </c>
      <c r="L155" s="245" t="str">
        <f>VLOOKUP(A155,'Trips&amp;Operators'!$C$1:$G$99911,5,FALSE)</f>
        <v>ELBAUM MIKE</v>
      </c>
      <c r="M155" s="224">
        <f t="shared" si="87"/>
        <v>9.8842592560686171E-3</v>
      </c>
      <c r="N155" s="225"/>
      <c r="O155" s="225"/>
      <c r="P155" s="225">
        <f>24*60*SUM($M155:$M155)</f>
        <v>14.233333328738809</v>
      </c>
      <c r="Q155" s="228"/>
      <c r="R155" s="242" t="s">
        <v>1098</v>
      </c>
      <c r="S155" s="249">
        <f t="shared" si="96"/>
        <v>0.75</v>
      </c>
      <c r="T155" s="242" t="str">
        <f t="shared" si="88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9</v>
      </c>
      <c r="V155" s="248" t="str">
        <f t="shared" si="89"/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247" t="str">
        <f>IF(AA155&lt;VLOOKUP(AG155,Variables!$AC$3:$AD$8,2,FALSE),"Y","N")</f>
        <v>Y</v>
      </c>
      <c r="X155" s="247">
        <f t="shared" si="102"/>
        <v>1</v>
      </c>
      <c r="Y155" s="247">
        <f>RIGHT(D155,LEN(D155)-4)/10000</f>
        <v>6.4145000000000003</v>
      </c>
      <c r="Z155" s="247">
        <f>RIGHT(H155,LEN(H155)-4)/10000</f>
        <v>0.03</v>
      </c>
      <c r="AA155" s="247">
        <f t="shared" si="90"/>
        <v>6.3845000000000001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91"/>
        <v>242</v>
      </c>
      <c r="AE155" s="235" t="str">
        <f t="shared" si="92"/>
        <v>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 &amp; aws s3 cp s3://rtdc.mdm.uploadarchive.raw/RTDC4003/ "%USERPROFILE%\AppData\Local\Temp\OnboardLogs"\RTDC4003\2017-12-19 --exclude "*" --recursive --include "*20171219*" &amp; "%USERPROFILE%\Documents\GitHub\mrs-test-scripts\Headless Mode &amp; Sideloading\WalkAndUnGZ.bat" "%USERPROFILE%\AppData\Local\Temp\OnboardLogs"\RTDC4003\2017-12-19</v>
      </c>
      <c r="AF155" s="234" t="str">
        <f t="shared" si="93"/>
        <v>"C:\Program Files (x86)\AstroGrep\AstroGrep.exe" /e /r /s /spath="%USERPROFILE%\AppData\Local\Temp\OnboardLogs" /stypes="app*4003*20171218*" /stext=" 08:.+((SYSTEM_STATE.+slice.+state.+changed )|(ment ac)|(multiple cpu faults)|(system.+state.+changed )|(\[timeout)|(PRM\|1\|D)|(kpr)|(kdp)|(train st.+moving)|(\|lc)|(penalty))"</v>
      </c>
      <c r="AG155" s="244" t="str">
        <f t="shared" si="94"/>
        <v>EC</v>
      </c>
      <c r="AH155" s="236" t="str">
        <f t="shared" si="97"/>
        <v>"%USERPROFILE%\Documents\GitHub\eaglep3\Utilities\RefineRTDCRunTimes.py" --tripid 242-17 --locoid 4003 --swversion DE.1.0.9.0 --startMP 204:64145 --initTime 2017-12-18T01:21:29 --startdatetime 2017-12-18T01:23:22 --delay 56 --endMP 204:300 --enddatetime 2017-12-18T01:37:36 --enforcementcount 0 &gt;&gt;%USERPROFILE%\Documents\GitHub\eaglep3-reporting\EC\2017-12-17-refined-times.txt</v>
      </c>
      <c r="AI155" s="238" t="str">
        <f t="shared" si="98"/>
        <v>echo {"issue":{"subject":"Extended Wi-MAX data drop","project_id":79,"tracker_id":40,"status_id":1,"priority_id":2,"assigned_to_id":338,"start_date":"2017-12-18","description":"","custom_fields":[{"id":1,"name":"Subdivision","value":"EC"},{"id":4,"name":"Milepost","value":"0.03"},{"id":17,"name":"Train ID","value":"242-17"},{"id":16,"name":"Locomotive ID","value":"4003"},{"id":130,"name":"Impact","value":""},{"id":150,"name":"Time of Event (Mountain Time)","value":"01:37:36"},{"id":151,"name":"Denver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99"/>
        <v>start /low /b %USERPROFILE%\Documents\GitHub\eaglep3\Utilities\DownloadLogsFromS3.py --loco 4003 --day 2017-12-18</v>
      </c>
      <c r="AN155" s="241" t="str">
        <f t="shared" si="100"/>
        <v>echo {"issue":{"subject":"Extended Wi-MAX data drop","project_id":30,"tracker_id":4,"status_id":1,"priority_id":1,"assigned_to_id":10,"start_date":"2017-12-18","description":"","custom_fields":[{"id":30,"name":"Category","value":"Issue"},{"id":3,"name":"Functional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101"/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Message%20ID',Summary),filters:!(),index:'emp_*',interval:auto,query:(query_string:(analyze_wildcard:!t,query:'%22rtdc.l.rtdc.4003%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896</v>
      </c>
      <c r="B156" s="225">
        <v>4018</v>
      </c>
      <c r="C156" s="227" t="s">
        <v>192</v>
      </c>
      <c r="D156" s="227" t="s">
        <v>1043</v>
      </c>
      <c r="E156" s="226">
        <v>43087.009571759256</v>
      </c>
      <c r="F156" s="226">
        <v>43087.02140046296</v>
      </c>
      <c r="G156" s="225">
        <v>76</v>
      </c>
      <c r="H156" s="227" t="s">
        <v>1044</v>
      </c>
      <c r="I156" s="226">
        <v>43087.046724537038</v>
      </c>
      <c r="J156" s="225">
        <v>0</v>
      </c>
      <c r="K156" s="237" t="str">
        <f t="shared" si="86"/>
        <v>4017/4018</v>
      </c>
      <c r="L156" s="245" t="str">
        <f>VLOOKUP(A156,'Trips&amp;Operators'!$C$1:$G$99911,5,FALSE)</f>
        <v>RESPASS AARON</v>
      </c>
      <c r="M156" s="224">
        <f t="shared" si="87"/>
        <v>2.5324074078525882E-2</v>
      </c>
      <c r="N156" s="225">
        <f>24*60*SUM($M156:$M156)</f>
        <v>36.46666667307727</v>
      </c>
      <c r="O156" s="225"/>
      <c r="P156" s="225"/>
      <c r="Q156" s="228"/>
      <c r="R156" s="242"/>
      <c r="S156" s="249">
        <f t="shared" si="96"/>
        <v>1</v>
      </c>
      <c r="T156" s="242" t="str">
        <f t="shared" si="88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89"/>
        <v>https://d0f6bd738d7f1b3e5a7ca70fe4ff75f0.us-east-1.aws.found.io/app/kibana#/discover/Steve-Slow-Train-Analysis-(2080s-and-2083s)?_g=(refreshInterval:(display:Off,pause:!f,section:0,value:0),time:(from:'2017-12-17T23:13:47-0700',mode:absolute,to:'2017-12-18T02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247" t="str">
        <f>IF(AA156&lt;VLOOKUP(AG156,Variables!$AC$3:$AD$8,2,FALSE),"Y","N")</f>
        <v>N</v>
      </c>
      <c r="X156" s="247">
        <f t="shared" si="102"/>
        <v>1</v>
      </c>
      <c r="Y156" s="247">
        <f>RIGHT(D156,LEN(D156)-4)/10000</f>
        <v>5.8599999999999999E-2</v>
      </c>
      <c r="Z156" s="247">
        <f>RIGHT(H156,LEN(H156)-4)/10000</f>
        <v>23.324300000000001</v>
      </c>
      <c r="AA156" s="247">
        <f t="shared" si="90"/>
        <v>23.265700000000002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91"/>
        <v>243</v>
      </c>
      <c r="AE156" s="235" t="str">
        <f t="shared" si="92"/>
        <v>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 &amp; 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</v>
      </c>
      <c r="AF156" s="234" t="str">
        <f t="shared" si="93"/>
        <v>"C:\Program Files (x86)\AstroGrep\AstroGrep.exe" /e /r /s /spath="%USERPROFILE%\AppData\Local\Temp\OnboardLogs" /stypes="app*4018*20171218*" /stext=" 08:.+((SYSTEM_STATE.+slice.+state.+changed )|(ment ac)|(multiple cpu faults)|(system.+state.+changed )|(\[timeout)|(PRM\|1\|D)|(kpr)|(kdp)|(train st.+moving)|(\|lc)|(penalty))"</v>
      </c>
      <c r="AG156" s="244" t="str">
        <f t="shared" si="94"/>
        <v>EC</v>
      </c>
      <c r="AH156" s="236" t="str">
        <f t="shared" si="97"/>
        <v>"%USERPROFILE%\Documents\GitHub\eaglep3\Utilities\RefineRTDCRunTimes.py" --tripid 243-17 --locoid 4018 --swversion DE.1.0.9.0 --startMP 204:586 --initTime 2017-12-18T00:13:47 --startdatetime 2017-12-18T00:30:49 --delay 76 --endMP 204:233243 --enddatetime 2017-12-18T01:07:17 --enforcementcount 0 &gt;&gt;%USERPROFILE%\Documents\GitHub\eaglep3-reporting\EC\2017-12-17-refined-times.txt</v>
      </c>
      <c r="AI156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{"issue":{"subject":"","project_id":79,"tracker_id":40,"status_id":1,"priority_id":2,"assigned_to_id":338,"start_date":"2017-12-18","description":"","custom_fields":[{"id":1,"name":"Subdivision","value":"EC"},{"id":4,"name":"Milepost","value":"23.3243"},{"id":17,"name":"Train ID","value":"243-17"},{"id":16,"name":"Locomotive ID","value":"4018"},{"id":130,"name":"Impact","value":""},{"id":150,"name":"Time of Event (Mountain Time)","value":"01:07:17"},{"id":151,"name":"Denver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99"/>
        <v>start /low /b %USERPROFILE%\Documents\GitHub\eaglep3\Utilities\DownloadLogsFromS3.py --loco 4018 --day 2017-12-18</v>
      </c>
      <c r="AN156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101"/>
        <v>https://d0f6bd738d7f1b3e5a7ca70fe4ff75f0.us-east-1.aws.found.io/app/kibana#/discover/Steve-Slow-Train-Analysis-(2080s-and-2083s)?_g=(refreshInterval:(display:Off,pause:!f,section:0,value:0),time:(from:'2017-12-17T23:13:47-0700',mode:absolute,to:'2017-12-18T02:07:17-0700'))&amp;_a=(columns:!('Message%20ID',Summary),filters:!(),index:'emp_*',interval:auto,query:(query_string:(analyze_wildcard:!t,query:'%22rtdc.l.rtdc.4018%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899</v>
      </c>
      <c r="B157" s="225">
        <v>4017</v>
      </c>
      <c r="C157" s="227" t="s">
        <v>192</v>
      </c>
      <c r="D157" s="227" t="s">
        <v>1045</v>
      </c>
      <c r="E157" s="226">
        <v>43087.057789351849</v>
      </c>
      <c r="F157" s="226">
        <v>43087.060567129629</v>
      </c>
      <c r="G157" s="225">
        <v>53</v>
      </c>
      <c r="H157" s="227" t="s">
        <v>1022</v>
      </c>
      <c r="I157" s="226">
        <v>43087.085810185185</v>
      </c>
      <c r="J157" s="225">
        <v>0</v>
      </c>
      <c r="K157" s="237" t="str">
        <f t="shared" si="86"/>
        <v>4017/4018</v>
      </c>
      <c r="L157" s="245" t="str">
        <f>VLOOKUP(A157,'Trips&amp;Operators'!$C$1:$G$99911,5,FALSE)</f>
        <v>RESPASS AARON</v>
      </c>
      <c r="M157" s="224">
        <f t="shared" si="87"/>
        <v>2.5243055555620231E-2</v>
      </c>
      <c r="N157" s="225">
        <f>24*60*SUM($M157:$M157)</f>
        <v>36.350000000093132</v>
      </c>
      <c r="O157" s="225"/>
      <c r="P157" s="225"/>
      <c r="Q157" s="228"/>
      <c r="R157" s="242"/>
      <c r="S157" s="249">
        <f t="shared" si="96"/>
        <v>1</v>
      </c>
      <c r="T157" s="242" t="str">
        <f t="shared" si="88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89"/>
        <v>https://d0f6bd738d7f1b3e5a7ca70fe4ff75f0.us-east-1.aws.found.io/app/kibana#/discover/Steve-Slow-Train-Analysis-(2080s-and-2083s)?_g=(refreshInterval:(display:Off,pause:!f,section:0,value:0),time:(from:'2017-12-18T00:23:13-0700',mode:absolute,to:'2017-12-18T03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23.290900000000001</v>
      </c>
      <c r="Z157" s="247">
        <f>RIGHT(H157,LEN(H157)-4)/10000</f>
        <v>2.7099999999999999E-2</v>
      </c>
      <c r="AA157" s="247">
        <f t="shared" si="90"/>
        <v>23.2638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91"/>
        <v>244</v>
      </c>
      <c r="AE157" s="235" t="str">
        <f t="shared" si="92"/>
        <v>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 &amp; aws s3 cp s3://rtdc.mdm.uploadarchive.raw/RTDC4017/ "%USERPROFILE%\AppData\Local\Temp\OnboardLogs"\RTDC4017\2017-12-19 --exclude "*" --recursive --include "*20171219*" &amp; "%USERPROFILE%\Documents\GitHub\mrs-test-scripts\Headless Mode &amp; Sideloading\WalkAndUnGZ.bat" "%USERPROFILE%\AppData\Local\Temp\OnboardLogs"\RTDC4017\2017-12-19</v>
      </c>
      <c r="AF157" s="234" t="str">
        <f t="shared" si="93"/>
        <v>"C:\Program Files (x86)\AstroGrep\AstroGrep.exe" /e /r /s /spath="%USERPROFILE%\AppData\Local\Temp\OnboardLogs" /stypes="app*4017*20171218*" /stext=" 09:.+((SYSTEM_STATE.+slice.+state.+changed )|(ment ac)|(multiple cpu faults)|(system.+state.+changed )|(\[timeout)|(PRM\|1\|D)|(kpr)|(kdp)|(train st.+moving)|(\|lc)|(penalty))"</v>
      </c>
      <c r="AG157" s="244" t="str">
        <f t="shared" si="94"/>
        <v>EC</v>
      </c>
      <c r="AH157" s="236" t="str">
        <f t="shared" si="97"/>
        <v>"%USERPROFILE%\Documents\GitHub\eaglep3\Utilities\RefineRTDCRunTimes.py" --tripid 244-17 --locoid 4017 --swversion DE.1.0.9.0 --startMP 204:232909 --initTime 2017-12-18T01:23:13 --startdatetime 2017-12-18T01:27:13 --delay 53 --endMP 204:271 --enddatetime 2017-12-18T02:03:34 --enforcementcount 0 &gt;&gt;%USERPROFILE%\Documents\GitHub\eaglep3-reporting\EC\2017-12-17-refined-times.txt</v>
      </c>
      <c r="AI157" s="238" t="str">
        <f t="shared" si="98"/>
        <v>echo {"issue":{"subject":"","project_id":79,"tracker_id":40,"status_id":1,"priority_id":2,"assigned_to_id":338,"start_date":"2017-12-18","description":"","custom_fields":[{"id":1,"name":"Subdivision","value":"EC"},{"id":4,"name":"Milepost","value":"0.0271"},{"id":17,"name":"Train ID","value":"244-17"},{"id":16,"name":"Locomotive ID","value":"4017"},{"id":130,"name":"Impact","value":""},{"id":150,"name":"Time of Event (Mountain Time)","value":"02:03:34"},{"id":151,"name":"Denver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99"/>
        <v>start /low /b %USERPROFILE%\Documents\GitHub\eaglep3\Utilities\DownloadLogsFromS3.py --loco 4017 --day 2017-12-18</v>
      </c>
      <c r="AN157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09:03:34"},{"id":29,"name":"Sharepoint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101"/>
        <v>https://d0f6bd738d7f1b3e5a7ca70fe4ff75f0.us-east-1.aws.found.io/app/kibana#/discover/Steve-Slow-Train-Analysis-(2080s-and-2083s)?_g=(refreshInterval:(display:Off,pause:!f,section:0,value:0),time:(from:'2017-12-18T00:23:13-0700',mode:absolute,to:'2017-12-18T03:03:34-0700'))&amp;_a=(columns:!('Message%20ID',Summary),filters:!(),index:'emp_*',interval:auto,query:(query_string:(analyze_wildcard:!t,query:'%22rtdc.l.rtdc.4017%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25">
      <c r="A158" s="229" t="s">
        <v>1099</v>
      </c>
      <c r="B158" s="225">
        <v>4059</v>
      </c>
      <c r="C158" s="227" t="s">
        <v>192</v>
      </c>
      <c r="D158" s="227" t="s">
        <v>1045</v>
      </c>
      <c r="E158" s="226">
        <v>43087.057789351849</v>
      </c>
      <c r="F158" s="226">
        <v>43086.229560185187</v>
      </c>
      <c r="G158" s="225">
        <v>53</v>
      </c>
      <c r="H158" s="227" t="s">
        <v>662</v>
      </c>
      <c r="I158" s="226">
        <v>43086.230254629627</v>
      </c>
      <c r="J158" s="225">
        <v>0</v>
      </c>
      <c r="K158" s="237" t="str">
        <f t="shared" si="86"/>
        <v>4059/4060</v>
      </c>
      <c r="L158" s="245" t="s">
        <v>1102</v>
      </c>
      <c r="M158" s="224">
        <f t="shared" si="87"/>
        <v>6.9444443943211809E-4</v>
      </c>
      <c r="N158" s="225"/>
      <c r="O158" s="225"/>
      <c r="P158" s="225">
        <f>24*60*SUM($M158:$M158)</f>
        <v>0.99999999278225005</v>
      </c>
      <c r="Q158" s="228"/>
      <c r="R158" s="242" t="s">
        <v>1101</v>
      </c>
      <c r="S158" s="249">
        <f t="shared" si="96"/>
        <v>0</v>
      </c>
      <c r="T158" s="242" t="str">
        <f t="shared" si="88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48" t="str">
        <f t="shared" si="89"/>
        <v>https://d0f6bd738d7f1b3e5a7ca70fe4ff75f0.us-east-1.aws.found.io/app/kibana#/discover/Steve-Slow-Train-Analysis-(2080s-and-2083s)?_g=(refreshInterval:(display:Off,pause:!f,section:0,value:0),time:(from:'2017-12-18T00:23:13-0700',mode:absolute,to:'2017-12-17T06:31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47" t="str">
        <f>IF(AA158&lt;VLOOKUP(AG158,Variables!$AC$3:$AD$8,2,FALSE),"Y","N")</f>
        <v>Y</v>
      </c>
      <c r="X158" s="247">
        <f t="shared" ref="X158:X159" si="108">VALUE(LEFT(AD158,4))-VALUE(LEFT(AD157,4))</f>
        <v>1556</v>
      </c>
      <c r="Y158" s="247">
        <v>5.8647</v>
      </c>
      <c r="Z158" s="247">
        <v>5.8647</v>
      </c>
      <c r="AA158" s="247">
        <f t="shared" si="90"/>
        <v>0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91"/>
        <v>1800</v>
      </c>
      <c r="AE158" s="235" t="str">
        <f t="shared" si="92"/>
        <v>aws s3 cp s3://rtdc.mdm.uploadarchive.raw/RTDC4059/ "%USERPROFILE%\AppData\Local\Temp\OnboardLogs"\RTDC4059\2017-12-17 --exclude "*" --recursive --include "*20171217*" &amp; "%USERPROFILE%\Documents\GitHub\mrs-test-scripts\Headless Mode &amp; Sideloading\WalkAndUnGZ.bat" "%USERPROFILE%\AppData\Local\Temp\OnboardLogs"\RTDC4059\2017-12-17 &amp; 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</v>
      </c>
      <c r="AF158" s="234" t="str">
        <f t="shared" si="93"/>
        <v>"C:\Program Files (x86)\AstroGrep\AstroGrep.exe" /e /r /s /spath="%USERPROFILE%\AppData\Local\Temp\OnboardLogs" /stypes="app*4059*20171217*" /stext=" 12:.+((SYSTEM_STATE.+slice.+state.+changed )|(ment ac)|(multiple cpu faults)|(system.+state.+changed )|(\[timeout)|(PRM\|1\|D)|(kpr)|(kdp)|(train st.+moving)|(\|lc)|(penalty))"</v>
      </c>
      <c r="AG158" s="244" t="str">
        <f t="shared" si="94"/>
        <v>NW</v>
      </c>
      <c r="AH158" s="236" t="str">
        <f t="shared" ref="AH158" si="109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1800-17 --locoid 4059 --swversion DE.1.0.9.0 --startMP 204:232909 --initTime 2017-12-18T01:23:13 --startdatetime 2017-12-17T05:30:34 --delay 53 --endMP 204:157 --enddatetime 2017-12-17T05:31:34 --enforcementcount 0 &gt;&gt;%USERPROFILE%\Documents\GitHub\eaglep3-reporting\EC\2017-12-17-refined-times.txt</v>
      </c>
      <c r="AI158" s="238" t="str">
        <f t="shared" ref="AI158" si="110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{"issue":{"subject":"Did not init due to extended s/w download","project_id":79,"tracker_id":40,"status_id":1,"priority_id":2,"assigned_to_id":338,"start_date":"2017-12-17","description":"","custom_fields":[{"id":1,"name":"Subdivision","value":"NW"},{"id":4,"name":"Milepost","value":"5.8647"},{"id":17,"name":"Train ID","value":"1800-17"},{"id":16,"name":"Locomotive ID","value":"4059"},{"id":130,"name":"Impact","value":""},{"id":150,"name":"Time of Event (Mountain Time)","value":"05:31:34"},{"id":151,"name":"Denver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111">"start /low /b "&amp;dls3logs&amp;" --loco "&amp;B158&amp;" --day "&amp;TEXT(F158,"YYYY-MM-DD")</f>
        <v>start /low /b %USERPROFILE%\Documents\GitHub\eaglep3\Utilities\DownloadLogsFromS3.py --loco 4059 --day 2017-12-17</v>
      </c>
      <c r="AN158" s="241" t="str">
        <f t="shared" ref="AN158" si="112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extended s/w download","project_id":30,"tracker_id":4,"status_id":1,"priority_id":1,"assigned_to_id":10,"start_date":"2017-12-17","description":"","custom_fields":[{"id":30,"name":"Category","value":"Issue"},{"id":3,"name":"Functional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113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-18T00:23:13-0700',mode:absolute,to:'2017-12-17T06:31:34-0700'))&amp;_a=(columns:!('Message%20ID',Summary),filters:!(),index:'emp_*',interval:auto,query:(query_string:(analyze_wildcard:!t,query:'%22rtdc.l.rtdc.4059%22')),sort:!(Time.ISO8601,asc))</v>
      </c>
    </row>
    <row r="159" spans="1:91" s="223" customFormat="1" x14ac:dyDescent="0.25">
      <c r="A159" s="229" t="s">
        <v>745</v>
      </c>
      <c r="B159" s="225">
        <v>4060</v>
      </c>
      <c r="C159" s="227" t="s">
        <v>192</v>
      </c>
      <c r="D159" s="227" t="s">
        <v>956</v>
      </c>
      <c r="E159" s="226">
        <v>43086.254027777781</v>
      </c>
      <c r="F159" s="226">
        <v>43086.257719907408</v>
      </c>
      <c r="G159" s="225">
        <v>63</v>
      </c>
      <c r="H159" s="227" t="s">
        <v>957</v>
      </c>
      <c r="I159" s="226">
        <v>43086.26734953704</v>
      </c>
      <c r="J159" s="225">
        <v>0</v>
      </c>
      <c r="K159" s="237" t="str">
        <f t="shared" si="86"/>
        <v>4059/4060</v>
      </c>
      <c r="L159" s="245" t="str">
        <f>VLOOKUP(A159,'Trips&amp;Operators'!$C$1:$G$99911,5,FALSE)</f>
        <v>BROWN JACOB</v>
      </c>
      <c r="M159" s="224">
        <f t="shared" si="87"/>
        <v>9.6296296323998831E-3</v>
      </c>
      <c r="N159" s="225">
        <f>24*60*SUM($M159:$M159)</f>
        <v>13.866666670655832</v>
      </c>
      <c r="O159" s="225"/>
      <c r="P159" s="225"/>
      <c r="Q159" s="228"/>
      <c r="R159" s="242"/>
      <c r="S159" s="249">
        <f t="shared" si="96"/>
        <v>1</v>
      </c>
      <c r="T159" s="242" t="str">
        <f t="shared" si="88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89"/>
        <v>https://d0f6bd738d7f1b3e5a7ca70fe4ff75f0.us-east-1.aws.found.io/app/kibana#/discover/Steve-Slow-Train-Analysis-(2080s-and-2083s)?_g=(refreshInterval:(display:Off,pause:!f,section:0,value:0),time:(from:'2017-12-17T05:05:48-0700',mode:absolute,to:'2017-12-17T07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47" t="str">
        <f>IF(AA159&lt;VLOOKUP(AG159,Variables!$AC$3:$AD$8,2,FALSE),"Y","N")</f>
        <v>N</v>
      </c>
      <c r="X159" s="247">
        <f t="shared" si="108"/>
        <v>1</v>
      </c>
      <c r="Y159" s="247">
        <f>RIGHT(D159,LEN(D159)-4)/10000</f>
        <v>4.48E-2</v>
      </c>
      <c r="Z159" s="247">
        <f>RIGHT(H159,LEN(H159)-4)/10000</f>
        <v>5.8949999999999996</v>
      </c>
      <c r="AA159" s="247">
        <f t="shared" si="90"/>
        <v>5.8501999999999992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91"/>
        <v>1801</v>
      </c>
      <c r="AE159" s="235" t="str">
        <f t="shared" si="92"/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159" s="234" t="str">
        <f t="shared" si="93"/>
        <v>"C:\Program Files (x86)\AstroGrep\AstroGrep.exe" /e /r /s /spath="%USERPROFILE%\AppData\Local\Temp\OnboardLogs" /stypes="app*4060*20171217*" /stext=" 13:.+((SYSTEM_STATE.+slice.+state.+changed )|(ment ac)|(multiple cpu faults)|(system.+state.+changed )|(\[timeout)|(PRM\|1\|D)|(kpr)|(kdp)|(train st.+moving)|(\|lc)|(penalty))"</v>
      </c>
      <c r="AG159" s="244" t="str">
        <f t="shared" si="94"/>
        <v>NW</v>
      </c>
      <c r="AH159" s="236" t="str">
        <f t="shared" si="97"/>
        <v>"%USERPROFILE%\Documents\GitHub\eaglep3\Utilities\RefineRTDCRunTimes.py" --tripid 1801-17 --locoid 4060 --swversion DE.1.0.9.0 --startMP 204:448 --initTime 2017-12-17T06:05:48 --startdatetime 2017-12-17T06:11:07 --delay 63 --endMP 300:58950 --enddatetime 2017-12-17T06:24:59 --enforcementcount 0 &gt;&gt;%USERPROFILE%\Documents\GitHub\eaglep3-reporting\EC\2017-12-17-refined-times.txt</v>
      </c>
      <c r="AI159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{"issue":{"subject":"","project_id":79,"tracker_id":40,"status_id":1,"priority_id":2,"assigned_to_id":338,"start_date":"2017-12-17","description":"","custom_fields":[{"id":1,"name":"Subdivision","value":"NW"},{"id":4,"name":"Milepost","value":"5.895"},{"id":17,"name":"Train ID","value":"1801-17"},{"id":16,"name":"Locomotive ID","value":"4060"},{"id":130,"name":"Impact","value":""},{"id":150,"name":"Time of Event (Mountain Time)","value":"06:24:59"},{"id":151,"name":"Denver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99"/>
        <v>start /low /b %USERPROFILE%\Documents\GitHub\eaglep3\Utilities\DownloadLogsFromS3.py --loco 4060 --day 2017-12-17</v>
      </c>
      <c r="AN159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101"/>
        <v>https://d0f6bd738d7f1b3e5a7ca70fe4ff75f0.us-east-1.aws.found.io/app/kibana#/discover/Steve-Slow-Train-Analysis-(2080s-and-2083s)?_g=(refreshInterval:(display:Off,pause:!f,section:0,value:0),time:(from:'2017-12-17T05:05:48-0700',mode:absolute,to:'2017-12-17T07:24:59-0700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1100</v>
      </c>
      <c r="B160" s="225">
        <v>4059</v>
      </c>
      <c r="C160" s="227" t="s">
        <v>192</v>
      </c>
      <c r="D160" s="227" t="s">
        <v>956</v>
      </c>
      <c r="E160" s="226">
        <v>43086.254027777781</v>
      </c>
      <c r="F160" s="226">
        <v>43086.270914351851</v>
      </c>
      <c r="G160" s="225">
        <v>63</v>
      </c>
      <c r="H160" s="227" t="s">
        <v>957</v>
      </c>
      <c r="I160" s="226">
        <v>43086.271608796298</v>
      </c>
      <c r="J160" s="225">
        <v>0</v>
      </c>
      <c r="K160" s="237" t="str">
        <f t="shared" si="86"/>
        <v>4059/4060</v>
      </c>
      <c r="L160" s="245" t="s">
        <v>1102</v>
      </c>
      <c r="M160" s="224">
        <f t="shared" si="87"/>
        <v>6.944444467080757E-4</v>
      </c>
      <c r="N160" s="225"/>
      <c r="O160" s="225"/>
      <c r="P160" s="225">
        <f>24*60*SUM($M160:$M160)</f>
        <v>1.000000003259629</v>
      </c>
      <c r="Q160" s="228"/>
      <c r="R160" s="242" t="s">
        <v>1103</v>
      </c>
      <c r="S160" s="249">
        <f t="shared" si="96"/>
        <v>0</v>
      </c>
      <c r="T160" s="242" t="str">
        <f t="shared" si="88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48" t="str">
        <f t="shared" si="89"/>
        <v>https://d0f6bd738d7f1b3e5a7ca70fe4ff75f0.us-east-1.aws.found.io/app/kibana#/discover/Steve-Slow-Train-Analysis-(2080s-and-2083s)?_g=(refreshInterval:(display:Off,pause:!f,section:0,value:0),time:(from:'2017-12-17T05:05:48-0700',mode:absolute,to:'2017-12-17T07:31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47" t="str">
        <f>IF(AA160&lt;VLOOKUP(AG160,Variables!$AC$3:$AD$8,2,FALSE),"Y","N")</f>
        <v>Y</v>
      </c>
      <c r="X160" s="247">
        <f t="shared" ref="X160:X162" si="114">VALUE(LEFT(AD160,4))-VALUE(LEFT(AD159,4))</f>
        <v>1</v>
      </c>
      <c r="Y160" s="247">
        <v>5.8647</v>
      </c>
      <c r="Z160" s="247">
        <v>5.8647</v>
      </c>
      <c r="AA160" s="247">
        <f t="shared" si="90"/>
        <v>0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91"/>
        <v>1802</v>
      </c>
      <c r="AE160" s="235" t="str">
        <f t="shared" si="92"/>
        <v>aws s3 cp s3://rtdc.mdm.uploadarchive.raw/RTDC4059/ "%USERPROFILE%\AppData\Local\Temp\OnboardLogs"\RTDC4059\2017-12-17 --exclude "*" --recursive --include "*20171217*" &amp; "%USERPROFILE%\Documents\GitHub\mrs-test-scripts\Headless Mode &amp; Sideloading\WalkAndUnGZ.bat" "%USERPROFILE%\AppData\Local\Temp\OnboardLogs"\RTDC4059\2017-12-17 &amp; aws s3 cp s3://rtdc.mdm.uploadarchive.raw/RTDC4059/ "%USERPROFILE%\AppData\Local\Temp\OnboardLogs"\RTDC4059\2017-12-18 --exclude "*" --recursive --include "*20171218*" &amp; "%USERPROFILE%\Documents\GitHub\mrs-test-scripts\Headless Mode &amp; Sideloading\WalkAndUnGZ.bat" "%USERPROFILE%\AppData\Local\Temp\OnboardLogs"\RTDC4059\2017-12-18</v>
      </c>
      <c r="AF160" s="234" t="str">
        <f t="shared" si="93"/>
        <v>"C:\Program Files (x86)\AstroGrep\AstroGrep.exe" /e /r /s /spath="%USERPROFILE%\AppData\Local\Temp\OnboardLogs" /stypes="app*4059*20171217*" /stext=" 13:.+((SYSTEM_STATE.+slice.+state.+changed )|(ment ac)|(multiple cpu faults)|(system.+state.+changed )|(\[timeout)|(PRM\|1\|D)|(kpr)|(kdp)|(train st.+moving)|(\|lc)|(penalty))"</v>
      </c>
      <c r="AG160" s="244" t="str">
        <f t="shared" si="94"/>
        <v>NW</v>
      </c>
      <c r="AH160" s="236" t="str">
        <f t="shared" ref="AH160" si="115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1802-17 --locoid 4059 --swversion DE.1.0.9.0 --startMP 204:448 --initTime 2017-12-17T06:05:48 --startdatetime 2017-12-17T06:30:07 --delay 63 --endMP 300:58950 --enddatetime 2017-12-17T06:31:07 --enforcementcount 0 &gt;&gt;%USERPROFILE%\Documents\GitHub\eaglep3-reporting\EC\2017-12-17-refined-times.txt</v>
      </c>
      <c r="AI160" s="238" t="str">
        <f t="shared" ref="AI160" si="116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{"issue":{"subject":"Cascade from 1800-17","project_id":79,"tracker_id":40,"status_id":1,"priority_id":2,"assigned_to_id":338,"start_date":"2017-12-17","description":"","custom_fields":[{"id":1,"name":"Subdivision","value":"NW"},{"id":4,"name":"Milepost","value":"5.8647"},{"id":17,"name":"Train ID","value":"1802-17"},{"id":16,"name":"Locomotive ID","value":"4059"},{"id":130,"name":"Impact","value":""},{"id":150,"name":"Time of Event (Mountain Time)","value":"06:31:07"},{"id":151,"name":"Denver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117">"start /low /b "&amp;dls3logs&amp;" --loco "&amp;B160&amp;" --day "&amp;TEXT(F160,"YYYY-MM-DD")</f>
        <v>start /low /b %USERPROFILE%\Documents\GitHub\eaglep3\Utilities\DownloadLogsFromS3.py --loco 4059 --day 2017-12-17</v>
      </c>
      <c r="AN160" s="241" t="str">
        <f t="shared" ref="AN160" si="118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{"issue":{"subject":"Cascade from 1800-17","project_id":30,"tracker_id":4,"status_id":1,"priority_id":1,"assigned_to_id":10,"start_date":"2017-12-17","description":"","custom_fields":[{"id":30,"name":"Category","value":"Issue"},{"id":3,"name":"Functional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13:31:07"},{"id":29,"name":"Sharepoint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119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-17T05:05:48-0700',mode:absolute,to:'2017-12-17T07:31:07-0700'))&amp;_a=(columns:!('Message%20ID',Summary),filters:!(),index:'emp_*',interval:auto,query:(query_string:(analyze_wildcard:!t,query:'%22rtdc.l.rtdc.4059%22')),sort:!(Time.ISO8601,asc))</v>
      </c>
    </row>
    <row r="161" spans="1:91" s="20" customFormat="1" x14ac:dyDescent="0.25">
      <c r="A161" s="229" t="s">
        <v>755</v>
      </c>
      <c r="B161" s="225">
        <v>4044</v>
      </c>
      <c r="C161" s="227" t="s">
        <v>192</v>
      </c>
      <c r="D161" s="227" t="s">
        <v>958</v>
      </c>
      <c r="E161" s="226">
        <v>43086.29178240741</v>
      </c>
      <c r="F161" s="226">
        <v>43086.298125000001</v>
      </c>
      <c r="G161" s="225">
        <v>79</v>
      </c>
      <c r="H161" s="227" t="s">
        <v>959</v>
      </c>
      <c r="I161" s="226">
        <v>43086.308368055557</v>
      </c>
      <c r="J161" s="225">
        <v>0</v>
      </c>
      <c r="K161" s="237" t="str">
        <f t="shared" si="86"/>
        <v>4043/4044</v>
      </c>
      <c r="L161" s="245" t="str">
        <f>VLOOKUP(A161,'Trips&amp;Operators'!$C$1:$G$99911,5,FALSE)</f>
        <v>BROWN JACOB</v>
      </c>
      <c r="M161" s="224">
        <f t="shared" si="87"/>
        <v>1.0243055556202307E-2</v>
      </c>
      <c r="N161" s="225">
        <f t="shared" ref="N161:N207" si="120">24*60*SUM($M161:$M161)</f>
        <v>14.750000000931323</v>
      </c>
      <c r="O161" s="225"/>
      <c r="P161" s="225"/>
      <c r="Q161" s="228"/>
      <c r="R161" s="242"/>
      <c r="S161" s="249">
        <f t="shared" si="96"/>
        <v>1</v>
      </c>
      <c r="T161" s="242" t="str">
        <f t="shared" si="88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89"/>
        <v>https://d0f6bd738d7f1b3e5a7ca70fe4ff75f0.us-east-1.aws.found.io/app/kibana#/discover/Steve-Slow-Train-Analysis-(2080s-and-2083s)?_g=(refreshInterval:(display:Off,pause:!f,section:0,value:0),time:(from:'2017-12-17T06:00:10-0700',mode:absolute,to:'2017-12-17T08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247" t="str">
        <f>IF(AA161&lt;VLOOKUP(AG161,Variables!$AC$3:$AD$8,2,FALSE),"Y","N")</f>
        <v>N</v>
      </c>
      <c r="X161" s="247">
        <f t="shared" si="114"/>
        <v>1</v>
      </c>
      <c r="Y161" s="247">
        <f t="shared" ref="Y161:Y192" si="121">RIGHT(D161,LEN(D161)-4)/10000</f>
        <v>4.3299999999999998E-2</v>
      </c>
      <c r="Z161" s="247">
        <f t="shared" ref="Z161:Z192" si="122">RIGHT(H161,LEN(H161)-4)/10000</f>
        <v>5.8954000000000004</v>
      </c>
      <c r="AA161" s="247">
        <f t="shared" si="90"/>
        <v>5.8521000000000001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91"/>
        <v>1803</v>
      </c>
      <c r="AE161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1" s="234" t="str">
        <f t="shared" si="93"/>
        <v>"C:\Program Files (x86)\AstroGrep\AstroGrep.exe" /e /r /s /spath="%USERPROFILE%\AppData\Local\Temp\OnboardLogs" /stypes="app*4044*20171217*" /stext=" 14:.+((SYSTEM_STATE.+slice.+state.+changed )|(ment ac)|(multiple cpu faults)|(system.+state.+changed )|(\[timeout)|(PRM\|1\|D)|(kpr)|(kdp)|(train st.+moving)|(\|lc)|(penalty))"</v>
      </c>
      <c r="AG161" s="244" t="str">
        <f t="shared" si="94"/>
        <v>NW</v>
      </c>
      <c r="AH161" s="236" t="str">
        <f t="shared" si="97"/>
        <v>"%USERPROFILE%\Documents\GitHub\eaglep3\Utilities\RefineRTDCRunTimes.py" --tripid 1803-17 --locoid 4044 --swversion DE.1.0.9.0 --startMP 204:433 --initTime 2017-12-17T07:00:10 --startdatetime 2017-12-17T07:09:18 --delay 79 --endMP 300:58954 --enddatetime 2017-12-17T07:24:03 --enforcementcount 0 &gt;&gt;%USERPROFILE%\Documents\GitHub\eaglep3-reporting\EC\2017-12-17-refined-times.txt</v>
      </c>
      <c r="AI161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{"issue":{"subject":"","project_id":79,"tracker_id":40,"status_id":1,"priority_id":2,"assigned_to_id":338,"start_date":"2017-12-17","description":"","custom_fields":[{"id":1,"name":"Subdivision","value":"NW"},{"id":4,"name":"Milepost","value":"5.8954"},{"id":17,"name":"Train ID","value":"1803-17"},{"id":16,"name":"Locomotive ID","value":"4044"},{"id":130,"name":"Impact","value":""},{"id":150,"name":"Time of Event (Mountain Time)","value":"07:24:03"},{"id":151,"name":"Denver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3"/>
      <c r="AK161" s="231"/>
      <c r="AL161" s="231"/>
      <c r="AM161" s="240" t="str">
        <f t="shared" si="99"/>
        <v>start /low /b %USERPROFILE%\Documents\GitHub\eaglep3\Utilities\DownloadLogsFromS3.py --loco 4044 --day 2017-12-17</v>
      </c>
      <c r="AN161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101"/>
        <v>https://d0f6bd738d7f1b3e5a7ca70fe4ff75f0.us-east-1.aws.found.io/app/kibana#/discover/Steve-Slow-Train-Analysis-(2080s-and-2083s)?_g=(refreshInterval:(display:Off,pause:!f,section:0,value:0),time:(from:'2017-12-17T06:00:10-0700',mode:absolute,to:'2017-12-17T08:24:03-0700'))&amp;_a=(columns:!('Message%20ID',Summary),filters:!(),index:'emp_*',interval:auto,query:(query_string:(analyze_wildcard:!t,query:'%22rtdc.l.rtdc.4044%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758</v>
      </c>
      <c r="B162" s="225">
        <v>4043</v>
      </c>
      <c r="C162" s="227" t="s">
        <v>192</v>
      </c>
      <c r="D162" s="227" t="s">
        <v>573</v>
      </c>
      <c r="E162" s="226">
        <v>43086.311689814815</v>
      </c>
      <c r="F162" s="226">
        <v>43086.321574074071</v>
      </c>
      <c r="G162" s="225">
        <v>53</v>
      </c>
      <c r="H162" s="227" t="s">
        <v>662</v>
      </c>
      <c r="I162" s="226">
        <v>43086.329895833333</v>
      </c>
      <c r="J162" s="225">
        <v>0</v>
      </c>
      <c r="K162" s="237" t="str">
        <f t="shared" si="86"/>
        <v>4043/4044</v>
      </c>
      <c r="L162" s="245" t="str">
        <f>VLOOKUP(A162,'Trips&amp;Operators'!$C$1:$G$99911,5,FALSE)</f>
        <v>BROWN JACOB</v>
      </c>
      <c r="M162" s="224">
        <f t="shared" si="87"/>
        <v>8.3217592618893832E-3</v>
      </c>
      <c r="N162" s="225">
        <f t="shared" si="120"/>
        <v>11.983333337120712</v>
      </c>
      <c r="O162" s="225"/>
      <c r="P162" s="225"/>
      <c r="Q162" s="228"/>
      <c r="R162" s="242"/>
      <c r="S162" s="249">
        <f t="shared" si="96"/>
        <v>1</v>
      </c>
      <c r="T162" s="242" t="str">
        <f t="shared" si="88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89"/>
        <v>https://d0f6bd738d7f1b3e5a7ca70fe4ff75f0.us-east-1.aws.found.io/app/kibana#/discover/Steve-Slow-Train-Analysis-(2080s-and-2083s)?_g=(refreshInterval:(display:Off,pause:!f,section:0,value:0),time:(from:'2017-12-17T06:28:50-0700',mode:absolute,to:'2017-12-17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247" t="str">
        <f>IF(AA162&lt;VLOOKUP(AG162,Variables!$AC$3:$AD$8,2,FALSE),"Y","N")</f>
        <v>N</v>
      </c>
      <c r="X162" s="247">
        <f t="shared" si="114"/>
        <v>1</v>
      </c>
      <c r="Y162" s="247">
        <f t="shared" si="121"/>
        <v>5.8647</v>
      </c>
      <c r="Z162" s="247">
        <f t="shared" si="122"/>
        <v>1.5699999999999999E-2</v>
      </c>
      <c r="AA162" s="247">
        <f t="shared" si="90"/>
        <v>5.8490000000000002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91"/>
        <v>1804</v>
      </c>
      <c r="AE162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2" s="234" t="str">
        <f t="shared" si="93"/>
        <v>"C:\Program Files (x86)\AstroGrep\AstroGrep.exe" /e /r /s /spath="%USERPROFILE%\AppData\Local\Temp\OnboardLogs" /stypes="app*4043*20171217*" /stext=" 14:.+((SYSTEM_STATE.+slice.+state.+changed )|(ment ac)|(multiple cpu faults)|(system.+state.+changed )|(\[timeout)|(PRM\|1\|D)|(kpr)|(kdp)|(train st.+moving)|(\|lc)|(penalty))"</v>
      </c>
      <c r="AG162" s="244" t="str">
        <f t="shared" si="94"/>
        <v>NW</v>
      </c>
      <c r="AH162" s="236" t="str">
        <f t="shared" si="97"/>
        <v>"%USERPROFILE%\Documents\GitHub\eaglep3\Utilities\RefineRTDCRunTimes.py" --tripid 1804-17 --locoid 4043 --swversion DE.1.0.9.0 --startMP 300:58647 --initTime 2017-12-17T07:28:50 --startdatetime 2017-12-17T07:43:04 --delay 53 --endMP 204:157 --enddatetime 2017-12-17T07:55:03 --enforcementcount 0 &gt;&gt;%USERPROFILE%\Documents\GitHub\eaglep3-reporting\EC\2017-12-17-refined-times.txt</v>
      </c>
      <c r="AI162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{"issue":{"subject":"","project_id":79,"tracker_id":40,"status_id":1,"priority_id":2,"assigned_to_id":338,"start_date":"2017-12-17","description":"","custom_fields":[{"id":1,"name":"Subdivision","value":"NW"},{"id":4,"name":"Milepost","value":"0.0157"},{"id":17,"name":"Train ID","value":"1804-17"},{"id":16,"name":"Locomotive ID","value":"4043"},{"id":130,"name":"Impact","value":""},{"id":150,"name":"Time of Event (Mountain Time)","value":"07:55:03"},{"id":151,"name":"Denver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99"/>
        <v>start /low /b %USERPROFILE%\Documents\GitHub\eaglep3\Utilities\DownloadLogsFromS3.py --loco 4043 --day 2017-12-17</v>
      </c>
      <c r="AN162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101"/>
        <v>https://d0f6bd738d7f1b3e5a7ca70fe4ff75f0.us-east-1.aws.found.io/app/kibana#/discover/Steve-Slow-Train-Analysis-(2080s-and-2083s)?_g=(refreshInterval:(display:Off,pause:!f,section:0,value:0),time:(from:'2017-12-17T06:28:50-0700',mode:absolute,to:'2017-12-17T08:55:03-0700'))&amp;_a=(columns:!('Message%20ID',Summary),filters:!(),index:'emp_*',interval:auto,query:(query_string:(analyze_wildcard:!t,query:'%22rtdc.l.rtdc.4043%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25">
      <c r="A163" s="229" t="s">
        <v>765</v>
      </c>
      <c r="B163" s="225">
        <v>4044</v>
      </c>
      <c r="C163" s="227" t="s">
        <v>192</v>
      </c>
      <c r="D163" s="227" t="s">
        <v>960</v>
      </c>
      <c r="E163" s="226">
        <v>43086.334444444445</v>
      </c>
      <c r="F163" s="226">
        <v>43086.339768518519</v>
      </c>
      <c r="G163" s="225">
        <v>56</v>
      </c>
      <c r="H163" s="227" t="s">
        <v>961</v>
      </c>
      <c r="I163" s="226">
        <v>43086.350023148145</v>
      </c>
      <c r="J163" s="225">
        <v>0</v>
      </c>
      <c r="K163" s="237" t="str">
        <f t="shared" si="86"/>
        <v>4043/4044</v>
      </c>
      <c r="L163" s="245" t="str">
        <f>VLOOKUP(A163,'Trips&amp;Operators'!$C$1:$G$99911,5,FALSE)</f>
        <v>BROWN JACOB</v>
      </c>
      <c r="M163" s="224">
        <f t="shared" si="87"/>
        <v>1.0254629625706002E-2</v>
      </c>
      <c r="N163" s="225">
        <f t="shared" si="120"/>
        <v>14.766666661016643</v>
      </c>
      <c r="O163" s="225"/>
      <c r="P163" s="225"/>
      <c r="Q163" s="228"/>
      <c r="R163" s="242"/>
      <c r="S163" s="249">
        <f t="shared" si="96"/>
        <v>1</v>
      </c>
      <c r="T163" s="242" t="str">
        <f t="shared" si="88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89"/>
        <v>https://d0f6bd738d7f1b3e5a7ca70fe4ff75f0.us-east-1.aws.found.io/app/kibana#/discover/Steve-Slow-Train-Analysis-(2080s-and-2083s)?_g=(refreshInterval:(display:Off,pause:!f,section:0,value:0),time:(from:'2017-12-17T07:01:36-0700',mode:absolute,to:'2017-12-17T09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247" t="str">
        <f>IF(AA163&lt;VLOOKUP(AG163,Variables!$AC$3:$AD$8,2,FALSE),"Y","N")</f>
        <v>N</v>
      </c>
      <c r="X163" s="247">
        <f t="shared" ref="X163:X169" si="123">VALUE(LEFT(AD163,4))-VALUE(LEFT(AD162,4))</f>
        <v>1</v>
      </c>
      <c r="Y163" s="247">
        <f t="shared" si="121"/>
        <v>4.41E-2</v>
      </c>
      <c r="Z163" s="247">
        <f t="shared" si="122"/>
        <v>5.8936999999999999</v>
      </c>
      <c r="AA163" s="247">
        <f t="shared" si="90"/>
        <v>5.8495999999999997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91"/>
        <v>1805</v>
      </c>
      <c r="AE163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3" s="234" t="str">
        <f t="shared" si="93"/>
        <v>"C:\Program Files (x86)\AstroGrep\AstroGrep.exe" /e /r /s /spath="%USERPROFILE%\AppData\Local\Temp\OnboardLogs" /stypes="app*4044*20171217*" /stext=" 15:.+((SYSTEM_STATE.+slice.+state.+changed )|(ment ac)|(multiple cpu faults)|(system.+state.+changed )|(\[timeout)|(PRM\|1\|D)|(kpr)|(kdp)|(train st.+moving)|(\|lc)|(penalty))"</v>
      </c>
      <c r="AG163" s="244" t="str">
        <f t="shared" si="94"/>
        <v>NW</v>
      </c>
      <c r="AH163" s="236" t="str">
        <f t="shared" si="97"/>
        <v>"%USERPROFILE%\Documents\GitHub\eaglep3\Utilities\RefineRTDCRunTimes.py" --tripid 1805-17 --locoid 4044 --swversion DE.1.0.9.0 --startMP 204:441 --initTime 2017-12-17T08:01:36 --startdatetime 2017-12-17T08:09:16 --delay 56 --endMP 300:58937 --enddatetime 2017-12-17T08:24:02 --enforcementcount 0 &gt;&gt;%USERPROFILE%\Documents\GitHub\eaglep3-reporting\EC\2017-12-17-refined-times.txt</v>
      </c>
      <c r="AI163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{"issue":{"subject":"","project_id":79,"tracker_id":40,"status_id":1,"priority_id":2,"assigned_to_id":338,"start_date":"2017-12-17","description":"","custom_fields":[{"id":1,"name":"Subdivision","value":"NW"},{"id":4,"name":"Milepost","value":"5.8937"},{"id":17,"name":"Train ID","value":"1805-17"},{"id":16,"name":"Locomotive ID","value":"4044"},{"id":130,"name":"Impact","value":""},{"id":150,"name":"Time of Event (Mountain Time)","value":"08:24:02"},{"id":151,"name":"Denver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99"/>
        <v>start /low /b %USERPROFILE%\Documents\GitHub\eaglep3\Utilities\DownloadLogsFromS3.py --loco 4044 --day 2017-12-17</v>
      </c>
      <c r="AN163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101"/>
        <v>https://d0f6bd738d7f1b3e5a7ca70fe4ff75f0.us-east-1.aws.found.io/app/kibana#/discover/Steve-Slow-Train-Analysis-(2080s-and-2083s)?_g=(refreshInterval:(display:Off,pause:!f,section:0,value:0),time:(from:'2017-12-17T07:01:36-0700',mode:absolute,to:'2017-12-17T09:24:02-0700'))&amp;_a=(columns:!('Message%20ID',Summary),filters:!(),index:'emp_*',interval:auto,query:(query_string:(analyze_wildcard:!t,query:'%22rtdc.l.rtdc.4044%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9" t="s">
        <v>769</v>
      </c>
      <c r="B164" s="225">
        <v>4043</v>
      </c>
      <c r="C164" s="227" t="s">
        <v>192</v>
      </c>
      <c r="D164" s="227" t="s">
        <v>664</v>
      </c>
      <c r="E164" s="226">
        <v>43086.350983796299</v>
      </c>
      <c r="F164" s="226">
        <v>43086.363229166665</v>
      </c>
      <c r="G164" s="225">
        <v>59</v>
      </c>
      <c r="H164" s="227" t="s">
        <v>668</v>
      </c>
      <c r="I164" s="226">
        <v>43086.371412037035</v>
      </c>
      <c r="J164" s="225">
        <v>0</v>
      </c>
      <c r="K164" s="237" t="str">
        <f t="shared" si="86"/>
        <v>4043/4044</v>
      </c>
      <c r="L164" s="245" t="str">
        <f>VLOOKUP(A164,'Trips&amp;Operators'!$C$1:$G$99911,5,FALSE)</f>
        <v>BROWN JACOB</v>
      </c>
      <c r="M164" s="224">
        <f t="shared" si="87"/>
        <v>8.182870369637385E-3</v>
      </c>
      <c r="N164" s="225">
        <f t="shared" si="120"/>
        <v>11.783333332277834</v>
      </c>
      <c r="O164" s="225"/>
      <c r="P164" s="225"/>
      <c r="Q164" s="228"/>
      <c r="R164" s="242"/>
      <c r="S164" s="249">
        <f t="shared" si="96"/>
        <v>1</v>
      </c>
      <c r="T164" s="242" t="str">
        <f t="shared" si="88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89"/>
        <v>https://d0f6bd738d7f1b3e5a7ca70fe4ff75f0.us-east-1.aws.found.io/app/kibana#/discover/Steve-Slow-Train-Analysis-(2080s-and-2083s)?_g=(refreshInterval:(display:Off,pause:!f,section:0,value:0),time:(from:'2017-12-17T07:25:25-0700',mode:absolute,to:'2017-12-17T09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247" t="str">
        <f>IF(AA164&lt;VLOOKUP(AG164,Variables!$AC$3:$AD$8,2,FALSE),"Y","N")</f>
        <v>N</v>
      </c>
      <c r="X164" s="247">
        <f t="shared" si="123"/>
        <v>1</v>
      </c>
      <c r="Y164" s="247">
        <f t="shared" si="121"/>
        <v>5.8625999999999996</v>
      </c>
      <c r="Z164" s="247">
        <f t="shared" si="122"/>
        <v>1.55E-2</v>
      </c>
      <c r="AA164" s="247">
        <f t="shared" si="90"/>
        <v>5.8470999999999993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91"/>
        <v>1806</v>
      </c>
      <c r="AE164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4" s="234" t="str">
        <f t="shared" si="93"/>
        <v>"C:\Program Files (x86)\AstroGrep\AstroGrep.exe" /e /r /s /spath="%USERPROFILE%\AppData\Local\Temp\OnboardLogs" /stypes="app*4043*20171217*" /stext=" 15:.+((SYSTEM_STATE.+slice.+state.+changed )|(ment ac)|(multiple cpu faults)|(system.+state.+changed )|(\[timeout)|(PRM\|1\|D)|(kpr)|(kdp)|(train st.+moving)|(\|lc)|(penalty))"</v>
      </c>
      <c r="AG164" s="244" t="str">
        <f t="shared" si="94"/>
        <v>NW</v>
      </c>
      <c r="AH164" s="236" t="str">
        <f t="shared" si="97"/>
        <v>"%USERPROFILE%\Documents\GitHub\eaglep3\Utilities\RefineRTDCRunTimes.py" --tripid 1806-17 --locoid 4043 --swversion DE.1.0.9.0 --startMP 300:58626 --initTime 2017-12-17T08:25:25 --startdatetime 2017-12-17T08:43:03 --delay 59 --endMP 204:155 --enddatetime 2017-12-17T08:54:50 --enforcementcount 0 &gt;&gt;%USERPROFILE%\Documents\GitHub\eaglep3-reporting\EC\2017-12-17-refined-times.txt</v>
      </c>
      <c r="AI164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{"issue":{"subject":"","project_id":79,"tracker_id":40,"status_id":1,"priority_id":2,"assigned_to_id":338,"start_date":"2017-12-17","description":"","custom_fields":[{"id":1,"name":"Subdivision","value":"NW"},{"id":4,"name":"Milepost","value":"0.0155"},{"id":17,"name":"Train ID","value":"1806-17"},{"id":16,"name":"Locomotive ID","value":"4043"},{"id":130,"name":"Impact","value":""},{"id":150,"name":"Time of Event (Mountain Time)","value":"08:54:50"},{"id":151,"name":"Denver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3"/>
      <c r="AK164" s="231"/>
      <c r="AL164" s="231"/>
      <c r="AM164" s="240" t="str">
        <f t="shared" si="99"/>
        <v>start /low /b %USERPROFILE%\Documents\GitHub\eaglep3\Utilities\DownloadLogsFromS3.py --loco 4043 --day 2017-12-17</v>
      </c>
      <c r="AN164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15:54:50"},{"id":29,"name":"Sharepoint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101"/>
        <v>https://d0f6bd738d7f1b3e5a7ca70fe4ff75f0.us-east-1.aws.found.io/app/kibana#/discover/Steve-Slow-Train-Analysis-(2080s-and-2083s)?_g=(refreshInterval:(display:Off,pause:!f,section:0,value:0),time:(from:'2017-12-17T07:25:25-0700',mode:absolute,to:'2017-12-17T09:54:50-0700'))&amp;_a=(columns:!('Message%20ID',Summary),filters:!(),index:'emp_*',interval:auto,query:(query_string:(analyze_wildcard:!t,query:'%22rtdc.l.rtdc.4043%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775</v>
      </c>
      <c r="B165" s="225">
        <v>4044</v>
      </c>
      <c r="C165" s="227" t="s">
        <v>192</v>
      </c>
      <c r="D165" s="227" t="s">
        <v>962</v>
      </c>
      <c r="E165" s="226">
        <v>43086.377476851849</v>
      </c>
      <c r="F165" s="226">
        <v>43086.38140046296</v>
      </c>
      <c r="G165" s="225">
        <v>61</v>
      </c>
      <c r="H165" s="227" t="s">
        <v>665</v>
      </c>
      <c r="I165" s="226">
        <v>43086.391793981478</v>
      </c>
      <c r="J165" s="225">
        <v>0</v>
      </c>
      <c r="K165" s="237" t="str">
        <f t="shared" si="86"/>
        <v>4043/4044</v>
      </c>
      <c r="L165" s="245" t="str">
        <f>VLOOKUP(A165,'Trips&amp;Operators'!$C$1:$G$99911,5,FALSE)</f>
        <v>BROWN JACOB</v>
      </c>
      <c r="M165" s="224">
        <f t="shared" si="87"/>
        <v>1.0393518517958E-2</v>
      </c>
      <c r="N165" s="225">
        <f t="shared" si="120"/>
        <v>14.96666666585952</v>
      </c>
      <c r="O165" s="225"/>
      <c r="P165" s="225"/>
      <c r="Q165" s="228"/>
      <c r="R165" s="242"/>
      <c r="S165" s="249">
        <f t="shared" si="96"/>
        <v>1</v>
      </c>
      <c r="T165" s="242" t="str">
        <f t="shared" si="88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89"/>
        <v>https://d0f6bd738d7f1b3e5a7ca70fe4ff75f0.us-east-1.aws.found.io/app/kibana#/discover/Steve-Slow-Train-Analysis-(2080s-and-2083s)?_g=(refreshInterval:(display:Off,pause:!f,section:0,value:0),time:(from:'2017-12-17T08:03:34-0700',mode:absolute,to:'2017-12-17T10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247" t="str">
        <f>IF(AA165&lt;VLOOKUP(AG165,Variables!$AC$3:$AD$8,2,FALSE),"Y","N")</f>
        <v>N</v>
      </c>
      <c r="X165" s="247">
        <f t="shared" si="123"/>
        <v>1</v>
      </c>
      <c r="Y165" s="247">
        <f t="shared" si="121"/>
        <v>4.6800000000000001E-2</v>
      </c>
      <c r="Z165" s="247">
        <f t="shared" si="122"/>
        <v>5.8956</v>
      </c>
      <c r="AA165" s="247">
        <f t="shared" si="90"/>
        <v>5.8487999999999998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91"/>
        <v>1807</v>
      </c>
      <c r="AE165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5" s="234" t="str">
        <f t="shared" si="93"/>
        <v>"C:\Program Files (x86)\AstroGrep\AstroGrep.exe" /e /r /s /spath="%USERPROFILE%\AppData\Local\Temp\OnboardLogs" /stypes="app*4044*20171217*" /stext=" 16:.+((SYSTEM_STATE.+slice.+state.+changed )|(ment ac)|(multiple cpu faults)|(system.+state.+changed )|(\[timeout)|(PRM\|1\|D)|(kpr)|(kdp)|(train st.+moving)|(\|lc)|(penalty))"</v>
      </c>
      <c r="AG165" s="244" t="str">
        <f t="shared" si="94"/>
        <v>NW</v>
      </c>
      <c r="AH165" s="236" t="str">
        <f t="shared" si="97"/>
        <v>"%USERPROFILE%\Documents\GitHub\eaglep3\Utilities\RefineRTDCRunTimes.py" --tripid 1807-17 --locoid 4044 --swversion DE.1.0.9.0 --startMP 204:468 --initTime 2017-12-17T09:03:34 --startdatetime 2017-12-17T09:09:13 --delay 61 --endMP 300:58956 --enddatetime 2017-12-17T09:24:11 --enforcementcount 0 &gt;&gt;%USERPROFILE%\Documents\GitHub\eaglep3-reporting\EC\2017-12-17-refined-times.txt</v>
      </c>
      <c r="AI165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ID","value":"1807-17"},{"id":16,"name":"Locomotive ID","value":"4044"},{"id":130,"name":"Impact","value":""},{"id":150,"name":"Time of Event (Mountain Time)","value":"09:24:11"},{"id":151,"name":"Denver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99"/>
        <v>start /low /b %USERPROFILE%\Documents\GitHub\eaglep3\Utilities\DownloadLogsFromS3.py --loco 4044 --day 2017-12-17</v>
      </c>
      <c r="AN165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101"/>
        <v>https://d0f6bd738d7f1b3e5a7ca70fe4ff75f0.us-east-1.aws.found.io/app/kibana#/discover/Steve-Slow-Train-Analysis-(2080s-and-2083s)?_g=(refreshInterval:(display:Off,pause:!f,section:0,value:0),time:(from:'2017-12-17T08:03:34-0700',mode:absolute,to:'2017-12-17T10:24:11-0700'))&amp;_a=(columns:!('Message%20ID',Summary),filters:!(),index:'emp_*',interval:auto,query:(query_string:(analyze_wildcard:!t,query:'%22rtdc.l.rtdc.4044%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781</v>
      </c>
      <c r="B166" s="225">
        <v>4043</v>
      </c>
      <c r="C166" s="227" t="s">
        <v>192</v>
      </c>
      <c r="D166" s="227" t="s">
        <v>963</v>
      </c>
      <c r="E166" s="226">
        <v>43086.392696759256</v>
      </c>
      <c r="F166" s="226">
        <v>43086.404236111113</v>
      </c>
      <c r="G166" s="225">
        <v>59</v>
      </c>
      <c r="H166" s="227" t="s">
        <v>964</v>
      </c>
      <c r="I166" s="226">
        <v>43086.413206018522</v>
      </c>
      <c r="J166" s="225">
        <v>0</v>
      </c>
      <c r="K166" s="237" t="str">
        <f t="shared" si="86"/>
        <v>4043/4044</v>
      </c>
      <c r="L166" s="245" t="str">
        <f>VLOOKUP(A166,'Trips&amp;Operators'!$C$1:$G$99911,5,FALSE)</f>
        <v>BROWN JACOB</v>
      </c>
      <c r="M166" s="224">
        <f t="shared" si="87"/>
        <v>8.969907408754807E-3</v>
      </c>
      <c r="N166" s="225">
        <f t="shared" si="120"/>
        <v>12.916666668606922</v>
      </c>
      <c r="O166" s="225"/>
      <c r="P166" s="225"/>
      <c r="Q166" s="228"/>
      <c r="R166" s="242"/>
      <c r="S166" s="249">
        <f t="shared" si="96"/>
        <v>1</v>
      </c>
      <c r="T166" s="242" t="str">
        <f t="shared" si="88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89"/>
        <v>https://d0f6bd738d7f1b3e5a7ca70fe4ff75f0.us-east-1.aws.found.io/app/kibana#/discover/Steve-Slow-Train-Analysis-(2080s-and-2083s)?_g=(refreshInterval:(display:Off,pause:!f,section:0,value:0),time:(from:'2017-12-17T08:25:29-0700',mode:absolute,to:'2017-12-17T10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247" t="str">
        <f>IF(AA166&lt;VLOOKUP(AG166,Variables!$AC$3:$AD$8,2,FALSE),"Y","N")</f>
        <v>N</v>
      </c>
      <c r="X166" s="247">
        <f t="shared" si="123"/>
        <v>1</v>
      </c>
      <c r="Y166" s="247">
        <f t="shared" si="121"/>
        <v>5.8640999999999996</v>
      </c>
      <c r="Z166" s="247">
        <f t="shared" si="122"/>
        <v>1.38E-2</v>
      </c>
      <c r="AA166" s="247">
        <f t="shared" si="90"/>
        <v>5.8502999999999998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91"/>
        <v>1808</v>
      </c>
      <c r="AE166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6" s="234" t="str">
        <f t="shared" si="93"/>
        <v>"C:\Program Files (x86)\AstroGrep\AstroGrep.exe" /e /r /s /spath="%USERPROFILE%\AppData\Local\Temp\OnboardLogs" /stypes="app*4043*20171217*" /stext=" 16:.+((SYSTEM_STATE.+slice.+state.+changed )|(ment ac)|(multiple cpu faults)|(system.+state.+changed )|(\[timeout)|(PRM\|1\|D)|(kpr)|(kdp)|(train st.+moving)|(\|lc)|(penalty))"</v>
      </c>
      <c r="AG166" s="244" t="str">
        <f t="shared" si="94"/>
        <v>NW</v>
      </c>
      <c r="AH166" s="236" t="str">
        <f t="shared" si="97"/>
        <v>"%USERPROFILE%\Documents\GitHub\eaglep3\Utilities\RefineRTDCRunTimes.py" --tripid 1808-17 --locoid 4043 --swversion DE.1.0.9.0 --startMP 300:58641 --initTime 2017-12-17T09:25:29 --startdatetime 2017-12-17T09:42:06 --delay 59 --endMP 204:138 --enddatetime 2017-12-17T09:55:01 --enforcementcount 0 &gt;&gt;%USERPROFILE%\Documents\GitHub\eaglep3-reporting\EC\2017-12-17-refined-times.txt</v>
      </c>
      <c r="AI166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{"issue":{"subject":"","project_id":79,"tracker_id":40,"status_id":1,"priority_id":2,"assigned_to_id":338,"start_date":"2017-12-17","description":"","custom_fields":[{"id":1,"name":"Subdivision","value":"NW"},{"id":4,"name":"Milepost","value":"0.0138"},{"id":17,"name":"Train ID","value":"1808-17"},{"id":16,"name":"Locomotive ID","value":"4043"},{"id":130,"name":"Impact","value":""},{"id":150,"name":"Time of Event (Mountain Time)","value":"09:55:01"},{"id":151,"name":"Denver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99"/>
        <v>start /low /b %USERPROFILE%\Documents\GitHub\eaglep3\Utilities\DownloadLogsFromS3.py --loco 4043 --day 2017-12-17</v>
      </c>
      <c r="AN166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16:55:01"},{"id":29,"name":"Sharepoint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101"/>
        <v>https://d0f6bd738d7f1b3e5a7ca70fe4ff75f0.us-east-1.aws.found.io/app/kibana#/discover/Steve-Slow-Train-Analysis-(2080s-and-2083s)?_g=(refreshInterval:(display:Off,pause:!f,section:0,value:0),time:(from:'2017-12-17T08:25:29-0700',mode:absolute,to:'2017-12-17T10:55:01-0700'))&amp;_a=(columns:!('Message%20ID',Summary),filters:!(),index:'emp_*',interval:auto,query:(query_string:(analyze_wildcard:!t,query:'%22rtdc.l.rtdc.4043%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786</v>
      </c>
      <c r="B167" s="225">
        <v>4044</v>
      </c>
      <c r="C167" s="227" t="s">
        <v>192</v>
      </c>
      <c r="D167" s="227" t="s">
        <v>530</v>
      </c>
      <c r="E167" s="226">
        <v>43086.417951388888</v>
      </c>
      <c r="F167" s="226">
        <v>43086.423078703701</v>
      </c>
      <c r="G167" s="225">
        <v>63</v>
      </c>
      <c r="H167" s="227" t="s">
        <v>665</v>
      </c>
      <c r="I167" s="226">
        <v>43086.434120370373</v>
      </c>
      <c r="J167" s="225">
        <v>0</v>
      </c>
      <c r="K167" s="237" t="str">
        <f t="shared" si="86"/>
        <v>4043/4044</v>
      </c>
      <c r="L167" s="245" t="str">
        <f>VLOOKUP(A167,'Trips&amp;Operators'!$C$1:$G$99911,5,FALSE)</f>
        <v>BROWN JACOB</v>
      </c>
      <c r="M167" s="224">
        <f t="shared" si="87"/>
        <v>1.1041666672099382E-2</v>
      </c>
      <c r="N167" s="225">
        <f t="shared" si="120"/>
        <v>15.90000000782311</v>
      </c>
      <c r="O167" s="225"/>
      <c r="P167" s="225"/>
      <c r="Q167" s="228"/>
      <c r="R167" s="242"/>
      <c r="S167" s="249">
        <f t="shared" si="96"/>
        <v>1</v>
      </c>
      <c r="T167" s="242" t="str">
        <f t="shared" si="88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89"/>
        <v>https://d0f6bd738d7f1b3e5a7ca70fe4ff75f0.us-east-1.aws.found.io/app/kibana#/discover/Steve-Slow-Train-Analysis-(2080s-and-2083s)?_g=(refreshInterval:(display:Off,pause:!f,section:0,value:0),time:(from:'2017-12-17T09:01:51-0700',mode:absolute,to:'2017-12-17T11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247" t="str">
        <f>IF(AA167&lt;VLOOKUP(AG167,Variables!$AC$3:$AD$8,2,FALSE),"Y","N")</f>
        <v>N</v>
      </c>
      <c r="X167" s="247">
        <f t="shared" si="123"/>
        <v>1</v>
      </c>
      <c r="Y167" s="247">
        <f t="shared" si="121"/>
        <v>4.4200000000000003E-2</v>
      </c>
      <c r="Z167" s="247">
        <f t="shared" si="122"/>
        <v>5.8956</v>
      </c>
      <c r="AA167" s="247">
        <f t="shared" si="90"/>
        <v>5.8513999999999999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91"/>
        <v>1809</v>
      </c>
      <c r="AE167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7" s="234" t="str">
        <f t="shared" si="93"/>
        <v>"C:\Program Files (x86)\AstroGrep\AstroGrep.exe" /e /r /s /spath="%USERPROFILE%\AppData\Local\Temp\OnboardLogs" /stypes="app*4044*20171217*" /stext=" 17:.+((SYSTEM_STATE.+slice.+state.+changed )|(ment ac)|(multiple cpu faults)|(system.+state.+changed )|(\[timeout)|(PRM\|1\|D)|(kpr)|(kdp)|(train st.+moving)|(\|lc)|(penalty))"</v>
      </c>
      <c r="AG167" s="244" t="str">
        <f t="shared" si="94"/>
        <v>NW</v>
      </c>
      <c r="AH167" s="236" t="str">
        <f t="shared" si="97"/>
        <v>"%USERPROFILE%\Documents\GitHub\eaglep3\Utilities\RefineRTDCRunTimes.py" --tripid 1809-17 --locoid 4044 --swversion DE.1.0.9.0 --startMP 204:442 --initTime 2017-12-17T10:01:51 --startdatetime 2017-12-17T10:09:14 --delay 63 --endMP 300:58956 --enddatetime 2017-12-17T10:25:08 --enforcementcount 0 &gt;&gt;%USERPROFILE%\Documents\GitHub\eaglep3-reporting\EC\2017-12-17-refined-times.txt</v>
      </c>
      <c r="AI167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ID","value":"1809-17"},{"id":16,"name":"Locomotive ID","value":"4044"},{"id":130,"name":"Impact","value":""},{"id":150,"name":"Time of Event (Mountain Time)","value":"10:25:08"},{"id":151,"name":"Denver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99"/>
        <v>start /low /b %USERPROFILE%\Documents\GitHub\eaglep3\Utilities\DownloadLogsFromS3.py --loco 4044 --day 2017-12-17</v>
      </c>
      <c r="AN167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101"/>
        <v>https://d0f6bd738d7f1b3e5a7ca70fe4ff75f0.us-east-1.aws.found.io/app/kibana#/discover/Steve-Slow-Train-Analysis-(2080s-and-2083s)?_g=(refreshInterval:(display:Off,pause:!f,section:0,value:0),time:(from:'2017-12-17T09:01:51-0700',mode:absolute,to:'2017-12-17T11:25:08-0700'))&amp;_a=(columns:!('Message%20ID',Summary),filters:!(),index:'emp_*',interval:auto,query:(query_string:(analyze_wildcard:!t,query:'%22rtdc.l.rtdc.4044%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791</v>
      </c>
      <c r="B168" s="225">
        <v>4043</v>
      </c>
      <c r="C168" s="227" t="s">
        <v>192</v>
      </c>
      <c r="D168" s="227" t="s">
        <v>963</v>
      </c>
      <c r="E168" s="226">
        <v>43086.434999999998</v>
      </c>
      <c r="F168" s="226">
        <v>43086.446562500001</v>
      </c>
      <c r="G168" s="225">
        <v>69</v>
      </c>
      <c r="H168" s="227" t="s">
        <v>669</v>
      </c>
      <c r="I168" s="226">
        <v>43086.45484953704</v>
      </c>
      <c r="J168" s="225">
        <v>0</v>
      </c>
      <c r="K168" s="237" t="str">
        <f t="shared" si="86"/>
        <v>4043/4044</v>
      </c>
      <c r="L168" s="245" t="str">
        <f>VLOOKUP(A168,'Trips&amp;Operators'!$C$1:$G$99911,5,FALSE)</f>
        <v>BROWN JACOB</v>
      </c>
      <c r="M168" s="224">
        <f t="shared" si="87"/>
        <v>8.2870370388263837E-3</v>
      </c>
      <c r="N168" s="225">
        <f t="shared" si="120"/>
        <v>11.933333335909992</v>
      </c>
      <c r="O168" s="225"/>
      <c r="P168" s="225"/>
      <c r="Q168" s="228"/>
      <c r="R168" s="242"/>
      <c r="S168" s="249">
        <f t="shared" si="96"/>
        <v>1</v>
      </c>
      <c r="T168" s="242" t="str">
        <f t="shared" si="88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89"/>
        <v>https://d0f6bd738d7f1b3e5a7ca70fe4ff75f0.us-east-1.aws.found.io/app/kibana#/discover/Steve-Slow-Train-Analysis-(2080s-and-2083s)?_g=(refreshInterval:(display:Off,pause:!f,section:0,value:0),time:(from:'2017-12-17T09:26:24-0700',mode:absolute,to:'2017-12-17T11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247" t="str">
        <f>IF(AA168&lt;VLOOKUP(AG168,Variables!$AC$3:$AD$8,2,FALSE),"Y","N")</f>
        <v>N</v>
      </c>
      <c r="X168" s="247">
        <f t="shared" si="123"/>
        <v>1</v>
      </c>
      <c r="Y168" s="247">
        <f t="shared" si="121"/>
        <v>5.8640999999999996</v>
      </c>
      <c r="Z168" s="247">
        <f t="shared" si="122"/>
        <v>1.46E-2</v>
      </c>
      <c r="AA168" s="247">
        <f t="shared" si="90"/>
        <v>5.8494999999999999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91"/>
        <v>1810</v>
      </c>
      <c r="AE168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68" s="234" t="str">
        <f t="shared" si="93"/>
        <v>"C:\Program Files (x86)\AstroGrep\AstroGrep.exe" /e /r /s /spath="%USERPROFILE%\AppData\Local\Temp\OnboardLogs" /stypes="app*4043*20171217*" /stext=" 17:.+((SYSTEM_STATE.+slice.+state.+changed )|(ment ac)|(multiple cpu faults)|(system.+state.+changed )|(\[timeout)|(PRM\|1\|D)|(kpr)|(kdp)|(train st.+moving)|(\|lc)|(penalty))"</v>
      </c>
      <c r="AG168" s="244" t="str">
        <f t="shared" si="94"/>
        <v>NW</v>
      </c>
      <c r="AH168" s="236" t="str">
        <f t="shared" si="97"/>
        <v>"%USERPROFILE%\Documents\GitHub\eaglep3\Utilities\RefineRTDCRunTimes.py" --tripid 1810-17 --locoid 4043 --swversion DE.1.0.9.0 --startMP 300:58641 --initTime 2017-12-17T10:26:24 --startdatetime 2017-12-17T10:43:03 --delay 69 --endMP 204:146 --enddatetime 2017-12-17T10:54:59 --enforcementcount 0 &gt;&gt;%USERPROFILE%\Documents\GitHub\eaglep3-reporting\EC\2017-12-17-refined-times.txt</v>
      </c>
      <c r="AI168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{"issue":{"subject":"","project_id":79,"tracker_id":40,"status_id":1,"priority_id":2,"assigned_to_id":338,"start_date":"2017-12-17","description":"","custom_fields":[{"id":1,"name":"Subdivision","value":"NW"},{"id":4,"name":"Milepost","value":"0.0146"},{"id":17,"name":"Train ID","value":"1810-17"},{"id":16,"name":"Locomotive ID","value":"4043"},{"id":130,"name":"Impact","value":""},{"id":150,"name":"Time of Event (Mountain Time)","value":"10:54:59"},{"id":151,"name":"Denver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99"/>
        <v>start /low /b %USERPROFILE%\Documents\GitHub\eaglep3\Utilities\DownloadLogsFromS3.py --loco 4043 --day 2017-12-17</v>
      </c>
      <c r="AN168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17:54:59"},{"id":29,"name":"Sharepoint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101"/>
        <v>https://d0f6bd738d7f1b3e5a7ca70fe4ff75f0.us-east-1.aws.found.io/app/kibana#/discover/Steve-Slow-Train-Analysis-(2080s-and-2083s)?_g=(refreshInterval:(display:Off,pause:!f,section:0,value:0),time:(from:'2017-12-17T09:26:24-0700',mode:absolute,to:'2017-12-17T11:54:59-0700'))&amp;_a=(columns:!('Message%20ID',Summary),filters:!(),index:'emp_*',interval:auto,query:(query_string:(analyze_wildcard:!t,query:'%22rtdc.l.rtdc.4043%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796</v>
      </c>
      <c r="B169" s="225">
        <v>4044</v>
      </c>
      <c r="C169" s="227" t="s">
        <v>192</v>
      </c>
      <c r="D169" s="227" t="s">
        <v>966</v>
      </c>
      <c r="E169" s="226">
        <v>43086.456354166665</v>
      </c>
      <c r="F169" s="226">
        <v>43086.464745370373</v>
      </c>
      <c r="G169" s="225">
        <v>78</v>
      </c>
      <c r="H169" s="227" t="s">
        <v>967</v>
      </c>
      <c r="I169" s="226">
        <v>43086.475960648146</v>
      </c>
      <c r="J169" s="225">
        <v>0</v>
      </c>
      <c r="K169" s="237" t="str">
        <f t="shared" si="86"/>
        <v>4043/4044</v>
      </c>
      <c r="L169" s="245" t="str">
        <f>VLOOKUP(A169,'Trips&amp;Operators'!$C$1:$G$99911,5,FALSE)</f>
        <v>BROWN JACOB</v>
      </c>
      <c r="M169" s="224">
        <f t="shared" si="87"/>
        <v>1.1215277772862464E-2</v>
      </c>
      <c r="N169" s="225">
        <f t="shared" si="120"/>
        <v>16.149999992921948</v>
      </c>
      <c r="O169" s="225"/>
      <c r="P169" s="225"/>
      <c r="Q169" s="228"/>
      <c r="R169" s="242"/>
      <c r="S169" s="249">
        <f t="shared" si="96"/>
        <v>1</v>
      </c>
      <c r="T169" s="242" t="str">
        <f t="shared" si="88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89"/>
        <v>https://d0f6bd738d7f1b3e5a7ca70fe4ff75f0.us-east-1.aws.found.io/app/kibana#/discover/Steve-Slow-Train-Analysis-(2080s-and-2083s)?_g=(refreshInterval:(display:Off,pause:!f,section:0,value:0),time:(from:'2017-12-17T09:57:09-0700',mode:absolute,to:'2017-12-17T12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247" t="str">
        <f>IF(AA169&lt;VLOOKUP(AG169,Variables!$AC$3:$AD$8,2,FALSE),"Y","N")</f>
        <v>N</v>
      </c>
      <c r="X169" s="247">
        <f t="shared" si="123"/>
        <v>1</v>
      </c>
      <c r="Y169" s="247">
        <f t="shared" si="121"/>
        <v>4.3499999999999997E-2</v>
      </c>
      <c r="Z169" s="247">
        <f t="shared" si="122"/>
        <v>5.8959999999999999</v>
      </c>
      <c r="AA169" s="247">
        <f t="shared" si="90"/>
        <v>5.8525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91"/>
        <v>1811</v>
      </c>
      <c r="AE169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69" s="234" t="str">
        <f t="shared" si="93"/>
        <v>"C:\Program Files (x86)\AstroGrep\AstroGrep.exe" /e /r /s /spath="%USERPROFILE%\AppData\Local\Temp\OnboardLogs" /stypes="app*4044*20171217*" /stext=" 18:.+((SYSTEM_STATE.+slice.+state.+changed )|(ment ac)|(multiple cpu faults)|(system.+state.+changed )|(\[timeout)|(PRM\|1\|D)|(kpr)|(kdp)|(train st.+moving)|(\|lc)|(penalty))"</v>
      </c>
      <c r="AG169" s="244" t="str">
        <f t="shared" si="94"/>
        <v>NW</v>
      </c>
      <c r="AH169" s="236" t="str">
        <f t="shared" si="97"/>
        <v>"%USERPROFILE%\Documents\GitHub\eaglep3\Utilities\RefineRTDCRunTimes.py" --tripid 1811-17 --locoid 4044 --swversion DE.1.0.9.0 --startMP 204:435 --initTime 2017-12-17T10:57:09 --startdatetime 2017-12-17T11:09:14 --delay 78 --endMP 300:58960 --enddatetime 2017-12-17T11:25:23 --enforcementcount 0 &gt;&gt;%USERPROFILE%\Documents\GitHub\eaglep3-reporting\EC\2017-12-17-refined-times.txt</v>
      </c>
      <c r="AI169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{"issue":{"subject":"","project_id":79,"tracker_id":40,"status_id":1,"priority_id":2,"assigned_to_id":338,"start_date":"2017-12-17","description":"","custom_fields":[{"id":1,"name":"Subdivision","value":"NW"},{"id":4,"name":"Milepost","value":"5.896"},{"id":17,"name":"Train ID","value":"1811-17"},{"id":16,"name":"Locomotive ID","value":"4044"},{"id":130,"name":"Impact","value":""},{"id":150,"name":"Time of Event (Mountain Time)","value":"11:25:23"},{"id":151,"name":"Denver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99"/>
        <v>start /low /b %USERPROFILE%\Documents\GitHub\eaglep3\Utilities\DownloadLogsFromS3.py --loco 4044 --day 2017-12-17</v>
      </c>
      <c r="AN169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101"/>
        <v>https://d0f6bd738d7f1b3e5a7ca70fe4ff75f0.us-east-1.aws.found.io/app/kibana#/discover/Steve-Slow-Train-Analysis-(2080s-and-2083s)?_g=(refreshInterval:(display:Off,pause:!f,section:0,value:0),time:(from:'2017-12-17T09:57:09-0700',mode:absolute,to:'2017-12-17T12:25:23-0700'))&amp;_a=(columns:!('Message%20ID',Summary),filters:!(),index:'emp_*',interval:auto,query:(query_string:(analyze_wildcard:!t,query:'%22rtdc.l.rtdc.4044%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801</v>
      </c>
      <c r="B170" s="225">
        <v>4043</v>
      </c>
      <c r="C170" s="227" t="s">
        <v>192</v>
      </c>
      <c r="D170" s="227" t="s">
        <v>969</v>
      </c>
      <c r="E170" s="226">
        <v>43086.477233796293</v>
      </c>
      <c r="F170" s="226">
        <v>43086.487708333334</v>
      </c>
      <c r="G170" s="225">
        <v>80</v>
      </c>
      <c r="H170" s="227" t="s">
        <v>669</v>
      </c>
      <c r="I170" s="226">
        <v>43086.496539351851</v>
      </c>
      <c r="J170" s="225">
        <v>0</v>
      </c>
      <c r="K170" s="237" t="str">
        <f t="shared" si="86"/>
        <v>4043/4044</v>
      </c>
      <c r="L170" s="245" t="str">
        <f>VLOOKUP(A170,'Trips&amp;Operators'!$C$1:$G$99911,5,FALSE)</f>
        <v>BROWN JACOB</v>
      </c>
      <c r="M170" s="224">
        <f t="shared" si="87"/>
        <v>8.8310185165028088E-3</v>
      </c>
      <c r="N170" s="225">
        <f t="shared" si="120"/>
        <v>12.716666663764045</v>
      </c>
      <c r="O170" s="225"/>
      <c r="P170" s="225"/>
      <c r="Q170" s="228"/>
      <c r="R170" s="242"/>
      <c r="S170" s="249">
        <f t="shared" si="96"/>
        <v>1</v>
      </c>
      <c r="T170" s="242" t="str">
        <f t="shared" si="88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89"/>
        <v>https://d0f6bd738d7f1b3e5a7ca70fe4ff75f0.us-east-1.aws.found.io/app/kibana#/discover/Steve-Slow-Train-Analysis-(2080s-and-2083s)?_g=(refreshInterval:(display:Off,pause:!f,section:0,value:0),time:(from:'2017-12-17T10:27:13-0700',mode:absolute,to:'2017-12-17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247" t="str">
        <f>IF(AA170&lt;VLOOKUP(AG170,Variables!$AC$3:$AD$8,2,FALSE),"Y","N")</f>
        <v>N</v>
      </c>
      <c r="X170" s="247">
        <f t="shared" ref="X170:X174" si="124">VALUE(LEFT(AD170,4))-VALUE(LEFT(AD169,4))</f>
        <v>1</v>
      </c>
      <c r="Y170" s="247">
        <f t="shared" si="121"/>
        <v>5.8644999999999996</v>
      </c>
      <c r="Z170" s="247">
        <f t="shared" si="122"/>
        <v>1.46E-2</v>
      </c>
      <c r="AA170" s="247">
        <f t="shared" si="90"/>
        <v>5.8498999999999999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91"/>
        <v>1812</v>
      </c>
      <c r="AE170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0" s="234" t="str">
        <f t="shared" si="93"/>
        <v>"C:\Program Files (x86)\AstroGrep\AstroGrep.exe" /e /r /s /spath="%USERPROFILE%\AppData\Local\Temp\OnboardLogs" /stypes="app*4043*20171217*" /stext=" 18:.+((SYSTEM_STATE.+slice.+state.+changed )|(ment ac)|(multiple cpu faults)|(system.+state.+changed )|(\[timeout)|(PRM\|1\|D)|(kpr)|(kdp)|(train st.+moving)|(\|lc)|(penalty))"</v>
      </c>
      <c r="AG170" s="244" t="str">
        <f t="shared" si="94"/>
        <v>NW</v>
      </c>
      <c r="AH170" s="236" t="str">
        <f t="shared" si="97"/>
        <v>"%USERPROFILE%\Documents\GitHub\eaglep3\Utilities\RefineRTDCRunTimes.py" --tripid 1812-17 --locoid 4043 --swversion DE.1.0.9.0 --startMP 300:58645 --initTime 2017-12-17T11:27:13 --startdatetime 2017-12-17T11:42:18 --delay 80 --endMP 204:146 --enddatetime 2017-12-17T11:55:01 --enforcementcount 0 &gt;&gt;%USERPROFILE%\Documents\GitHub\eaglep3-reporting\EC\2017-12-17-refined-times.txt</v>
      </c>
      <c r="AI170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{"issue":{"subject":"","project_id":79,"tracker_id":40,"status_id":1,"priority_id":2,"assigned_to_id":338,"start_date":"2017-12-17","description":"","custom_fields":[{"id":1,"name":"Subdivision","value":"NW"},{"id":4,"name":"Milepost","value":"0.0146"},{"id":17,"name":"Train ID","value":"1812-17"},{"id":16,"name":"Locomotive ID","value":"4043"},{"id":130,"name":"Impact","value":""},{"id":150,"name":"Time of Event (Mountain Time)","value":"11:55:01"},{"id":151,"name":"Denver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99"/>
        <v>start /low /b %USERPROFILE%\Documents\GitHub\eaglep3\Utilities\DownloadLogsFromS3.py --loco 4043 --day 2017-12-17</v>
      </c>
      <c r="AN170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18:55:01"},{"id":29,"name":"Sharepoint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101"/>
        <v>https://d0f6bd738d7f1b3e5a7ca70fe4ff75f0.us-east-1.aws.found.io/app/kibana#/discover/Steve-Slow-Train-Analysis-(2080s-and-2083s)?_g=(refreshInterval:(display:Off,pause:!f,section:0,value:0),time:(from:'2017-12-17T10:27:13-0700',mode:absolute,to:'2017-12-17T12:55:01-0700'))&amp;_a=(columns:!('Message%20ID',Summary),filters:!(),index:'emp_*',interval:auto,query:(query_string:(analyze_wildcard:!t,query:'%22rtdc.l.rtdc.4043%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796</v>
      </c>
      <c r="B171" s="225">
        <v>4044</v>
      </c>
      <c r="C171" s="227" t="s">
        <v>192</v>
      </c>
      <c r="D171" s="227" t="s">
        <v>968</v>
      </c>
      <c r="E171" s="226">
        <v>43086.501828703702</v>
      </c>
      <c r="F171" s="226">
        <v>43086.506979166668</v>
      </c>
      <c r="G171" s="225">
        <v>63</v>
      </c>
      <c r="H171" s="227" t="s">
        <v>959</v>
      </c>
      <c r="I171" s="226">
        <v>43086.517430555556</v>
      </c>
      <c r="J171" s="225">
        <v>0</v>
      </c>
      <c r="K171" s="237" t="str">
        <f t="shared" si="86"/>
        <v>4043/4044</v>
      </c>
      <c r="L171" s="245" t="str">
        <f>VLOOKUP(A171,'Trips&amp;Operators'!$C$1:$G$99911,5,FALSE)</f>
        <v>BROWN JACOB</v>
      </c>
      <c r="M171" s="224">
        <f t="shared" si="87"/>
        <v>1.0451388887304347E-2</v>
      </c>
      <c r="N171" s="225">
        <f t="shared" si="120"/>
        <v>15.04999999771826</v>
      </c>
      <c r="O171" s="225"/>
      <c r="P171" s="225"/>
      <c r="Q171" s="228"/>
      <c r="R171" s="242" t="s">
        <v>1104</v>
      </c>
      <c r="S171" s="249">
        <f t="shared" si="96"/>
        <v>1</v>
      </c>
      <c r="T171" s="242" t="str">
        <f t="shared" si="88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89"/>
        <v>https://d0f6bd738d7f1b3e5a7ca70fe4ff75f0.us-east-1.aws.found.io/app/kibana#/discover/Steve-Slow-Train-Analysis-(2080s-and-2083s)?_g=(refreshInterval:(display:Off,pause:!f,section:0,value:0),time:(from:'2017-12-17T11:02:38-0700',mode:absolute,to:'2017-12-17T13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47" t="str">
        <f>IF(AA171&lt;VLOOKUP(AG171,Variables!$AC$3:$AD$8,2,FALSE),"Y","N")</f>
        <v>N</v>
      </c>
      <c r="X171" s="247">
        <f t="shared" si="124"/>
        <v>-1</v>
      </c>
      <c r="Y171" s="247">
        <f t="shared" si="121"/>
        <v>4.3200000000000002E-2</v>
      </c>
      <c r="Z171" s="247">
        <f t="shared" si="122"/>
        <v>5.8954000000000004</v>
      </c>
      <c r="AA171" s="247">
        <f t="shared" si="90"/>
        <v>5.8522000000000007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91"/>
        <v>1811</v>
      </c>
      <c r="AE171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1" s="234" t="str">
        <f t="shared" si="93"/>
        <v>"C:\Program Files (x86)\AstroGrep\AstroGrep.exe" /e /r /s /spath="%USERPROFILE%\AppData\Local\Temp\OnboardLogs" /stypes="app*4044*20171217*" /stext=" 19:.+((SYSTEM_STATE.+slice.+state.+changed )|(ment ac)|(multiple cpu faults)|(system.+state.+changed )|(\[timeout)|(PRM\|1\|D)|(kpr)|(kdp)|(train st.+moving)|(\|lc)|(penalty))"</v>
      </c>
      <c r="AG171" s="244" t="str">
        <f t="shared" si="94"/>
        <v>NW</v>
      </c>
      <c r="AH171" s="236" t="str">
        <f t="shared" ref="AH171" si="125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1811-17 --locoid 4044 --swversion DE.1.0.9.0 --startMP 204:432 --initTime 2017-12-17T12:02:38 --startdatetime 2017-12-17T12:10:03 --delay 63 --endMP 300:58954 --enddatetime 2017-12-17T12:25:06 --enforcementcount 0 &gt;&gt;%USERPROFILE%\Documents\GitHub\eaglep3-reporting\EC\2017-12-17-refined-times.txt</v>
      </c>
      <c r="AI171" s="238" t="str">
        <f t="shared" ref="AI171" si="126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{"issue":{"subject":"Operator accidentally selected 1811-17, should have selected 1813-17","project_id":79,"tracker_id":40,"status_id":1,"priority_id":2,"assigned_to_id":338,"start_date":"2017-12-17","description":"","custom_fields":[{"id":1,"name":"Subdivision","value":"NW"},{"id":4,"name":"Milepost","value":"5.8954"},{"id":17,"name":"Train ID","value":"1811-17"},{"id":16,"name":"Locomotive ID","value":"4044"},{"id":130,"name":"Impact","value":""},{"id":150,"name":"Time of Event (Mountain Time)","value":"12:25:06"},{"id":151,"name":"Denver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ref="AM171" si="127">"start /low /b "&amp;dls3logs&amp;" --loco "&amp;B171&amp;" --day "&amp;TEXT(F171,"YYYY-MM-DD")</f>
        <v>start /low /b %USERPROFILE%\Documents\GitHub\eaglep3\Utilities\DownloadLogsFromS3.py --loco 4044 --day 2017-12-17</v>
      </c>
      <c r="AN171" s="241" t="str">
        <f t="shared" ref="AN171" si="128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accidentally selected 1811-17, should have selected 1813-17","project_id":30,"tracker_id":4,"status_id":1,"priority_id":1,"assigned_to_id":10,"start_date":"2017-12-17","description":"","custom_fields":[{"id":30,"name":"Category","value":"Issue"},{"id":3,"name":"Functional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ref="AO171" si="129"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-17T11:02:38-0700',mode:absolute,to:'2017-12-17T13:25:06-0700'))&amp;_a=(columns:!('Message%20ID',Summary),filters:!(),index:'emp_*',interval:auto,query:(query_string:(analyze_wildcard:!t,query:'%22rtdc.l.rtdc.4044%22')),sort:!(Time.ISO8601,asc))</v>
      </c>
    </row>
    <row r="172" spans="1:91" s="20" customFormat="1" x14ac:dyDescent="0.25">
      <c r="A172" s="229" t="s">
        <v>808</v>
      </c>
      <c r="B172" s="225">
        <v>4043</v>
      </c>
      <c r="C172" s="227" t="s">
        <v>192</v>
      </c>
      <c r="D172" s="227" t="s">
        <v>970</v>
      </c>
      <c r="E172" s="226">
        <v>43086.518310185187</v>
      </c>
      <c r="F172" s="226">
        <v>43086.529895833337</v>
      </c>
      <c r="G172" s="225">
        <v>73</v>
      </c>
      <c r="H172" s="227" t="s">
        <v>971</v>
      </c>
      <c r="I172" s="226">
        <v>43086.538124999999</v>
      </c>
      <c r="J172" s="225">
        <v>0</v>
      </c>
      <c r="K172" s="237" t="str">
        <f t="shared" si="86"/>
        <v>4043/4044</v>
      </c>
      <c r="L172" s="245" t="str">
        <f>VLOOKUP(A172,'Trips&amp;Operators'!$C$1:$G$99911,5,FALSE)</f>
        <v>BROWN JACOB</v>
      </c>
      <c r="M172" s="224">
        <f t="shared" si="87"/>
        <v>8.2291666622040793E-3</v>
      </c>
      <c r="N172" s="225">
        <f t="shared" si="120"/>
        <v>11.849999993573874</v>
      </c>
      <c r="O172" s="225"/>
      <c r="P172" s="225"/>
      <c r="Q172" s="228"/>
      <c r="R172" s="242"/>
      <c r="S172" s="249">
        <f t="shared" si="96"/>
        <v>1</v>
      </c>
      <c r="T172" s="242" t="str">
        <f t="shared" si="88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89"/>
        <v>https://d0f6bd738d7f1b3e5a7ca70fe4ff75f0.us-east-1.aws.found.io/app/kibana#/discover/Steve-Slow-Train-Analysis-(2080s-and-2083s)?_g=(refreshInterval:(display:Off,pause:!f,section:0,value:0),time:(from:'2017-12-17T11:26:22-0700',mode:absolute,to:'2017-12-17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47" t="str">
        <f>IF(AA172&lt;VLOOKUP(AG172,Variables!$AC$3:$AD$8,2,FALSE),"Y","N")</f>
        <v>N</v>
      </c>
      <c r="X172" s="247">
        <f t="shared" si="124"/>
        <v>3</v>
      </c>
      <c r="Y172" s="247">
        <f t="shared" si="121"/>
        <v>5.8635999999999999</v>
      </c>
      <c r="Z172" s="247">
        <f t="shared" si="122"/>
        <v>1.44E-2</v>
      </c>
      <c r="AA172" s="247">
        <f t="shared" si="90"/>
        <v>5.8491999999999997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91"/>
        <v>1814</v>
      </c>
      <c r="AE172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2" s="234" t="str">
        <f t="shared" si="93"/>
        <v>"C:\Program Files (x86)\AstroGrep\AstroGrep.exe" /e /r /s /spath="%USERPROFILE%\AppData\Local\Temp\OnboardLogs" /stypes="app*4043*20171217*" /stext=" 19:.+((SYSTEM_STATE.+slice.+state.+changed )|(ment ac)|(multiple cpu faults)|(system.+state.+changed )|(\[timeout)|(PRM\|1\|D)|(kpr)|(kdp)|(train st.+moving)|(\|lc)|(penalty))"</v>
      </c>
      <c r="AG172" s="244" t="str">
        <f t="shared" si="94"/>
        <v>NW</v>
      </c>
      <c r="AH172" s="236" t="str">
        <f t="shared" si="97"/>
        <v>"%USERPROFILE%\Documents\GitHub\eaglep3\Utilities\RefineRTDCRunTimes.py" --tripid 1814-17 --locoid 4043 --swversion DE.1.0.9.0 --startMP 300:58636 --initTime 2017-12-17T12:26:22 --startdatetime 2017-12-17T12:43:03 --delay 73 --endMP 204:144 --enddatetime 2017-12-17T12:54:54 --enforcementcount 0 &gt;&gt;%USERPROFILE%\Documents\GitHub\eaglep3-reporting\EC\2017-12-17-refined-times.txt</v>
      </c>
      <c r="AI172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{"issue":{"subject":"","project_id":79,"tracker_id":40,"status_id":1,"priority_id":2,"assigned_to_id":338,"start_date":"2017-12-17","description":"","custom_fields":[{"id":1,"name":"Subdivision","value":"NW"},{"id":4,"name":"Milepost","value":"0.0144"},{"id":17,"name":"Train ID","value":"1814-17"},{"id":16,"name":"Locomotive ID","value":"4043"},{"id":130,"name":"Impact","value":""},{"id":150,"name":"Time of Event (Mountain Time)","value":"12:54:54"},{"id":151,"name":"Denver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99"/>
        <v>start /low /b %USERPROFILE%\Documents\GitHub\eaglep3\Utilities\DownloadLogsFromS3.py --loco 4043 --day 2017-12-17</v>
      </c>
      <c r="AN172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101"/>
        <v>https://d0f6bd738d7f1b3e5a7ca70fe4ff75f0.us-east-1.aws.found.io/app/kibana#/discover/Steve-Slow-Train-Analysis-(2080s-and-2083s)?_g=(refreshInterval:(display:Off,pause:!f,section:0,value:0),time:(from:'2017-12-17T11:26:22-0700',mode:absolute,to:'2017-12-17T13:54:54-0700'))&amp;_a=(columns:!('Message%20ID',Summary),filters:!(),index:'emp_*',interval:auto,query:(query_string:(analyze_wildcard:!t,query:'%22rtdc.l.rtdc.4043%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704</v>
      </c>
      <c r="B173" s="225">
        <v>4044</v>
      </c>
      <c r="C173" s="227" t="s">
        <v>192</v>
      </c>
      <c r="D173" s="227" t="s">
        <v>530</v>
      </c>
      <c r="E173" s="226">
        <v>43086.54142361111</v>
      </c>
      <c r="F173" s="226">
        <v>43086.548078703701</v>
      </c>
      <c r="G173" s="225">
        <v>68</v>
      </c>
      <c r="H173" s="227" t="s">
        <v>665</v>
      </c>
      <c r="I173" s="226">
        <v>43086.558854166666</v>
      </c>
      <c r="J173" s="225">
        <v>0</v>
      </c>
      <c r="K173" s="237" t="str">
        <f t="shared" si="86"/>
        <v>4043/4044</v>
      </c>
      <c r="L173" s="245" t="str">
        <f>VLOOKUP(A173,'Trips&amp;Operators'!$C$1:$G$99911,5,FALSE)</f>
        <v>BROWN JACOB</v>
      </c>
      <c r="M173" s="224">
        <f t="shared" si="87"/>
        <v>1.0775462964375038E-2</v>
      </c>
      <c r="N173" s="225">
        <f t="shared" si="120"/>
        <v>15.516666668700054</v>
      </c>
      <c r="O173" s="225"/>
      <c r="P173" s="225"/>
      <c r="Q173" s="228"/>
      <c r="R173" s="242"/>
      <c r="S173" s="249">
        <f t="shared" si="96"/>
        <v>1</v>
      </c>
      <c r="T173" s="242" t="str">
        <f t="shared" si="88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89"/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247" t="str">
        <f>IF(AA173&lt;VLOOKUP(AG173,Variables!$AC$3:$AD$8,2,FALSE),"Y","N")</f>
        <v>N</v>
      </c>
      <c r="X173" s="247">
        <f t="shared" si="124"/>
        <v>1</v>
      </c>
      <c r="Y173" s="247">
        <f t="shared" si="121"/>
        <v>4.4200000000000003E-2</v>
      </c>
      <c r="Z173" s="247">
        <f t="shared" si="122"/>
        <v>5.8956</v>
      </c>
      <c r="AA173" s="247">
        <f t="shared" si="90"/>
        <v>5.8513999999999999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91"/>
        <v>1815</v>
      </c>
      <c r="AE173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3" s="234" t="str">
        <f t="shared" si="93"/>
        <v>"C:\Program Files (x86)\AstroGrep\AstroGrep.exe" /e /r /s /spath="%USERPROFILE%\AppData\Local\Temp\OnboardLogs" /stypes="app*4044*20171217*" /stext=" 20:.+((SYSTEM_STATE.+slice.+state.+changed )|(ment ac)|(multiple cpu faults)|(system.+state.+changed )|(\[timeout)|(PRM\|1\|D)|(kpr)|(kdp)|(train st.+moving)|(\|lc)|(penalty))"</v>
      </c>
      <c r="AG173" s="244" t="str">
        <f t="shared" si="94"/>
        <v>NW</v>
      </c>
      <c r="AH173" s="236" t="str">
        <f t="shared" si="97"/>
        <v>"%USERPROFILE%\Documents\GitHub\eaglep3\Utilities\RefineRTDCRunTimes.py" --tripid 1815-17 --locoid 4044 --swversion DE.1.0.9.0 --startMP 204:442 --initTime 2017-12-17T12:59:39 --startdatetime 2017-12-17T13:09:14 --delay 68 --endMP 300:58956 --enddatetime 2017-12-17T13:24:45 --enforcementcount 0 &gt;&gt;%USERPROFILE%\Documents\GitHub\eaglep3-reporting\EC\2017-12-17-refined-times.txt</v>
      </c>
      <c r="AI173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{"issue":{"subject":"","project_id":79,"tracker_id":40,"status_id":1,"priority_id":2,"assigned_to_id":338,"start_date":"2017-12-17","description":"","custom_fields":[{"id":1,"name":"Subdivision","value":"NW"},{"id":4,"name":"Milepost","value":"5.8956"},{"id":17,"name":"Train ID","value":"1815-17"},{"id":16,"name":"Locomotive ID","value":"4044"},{"id":130,"name":"Impact","value":""},{"id":150,"name":"Time of Event (Mountain Time)","value":"13:24:45"},{"id":151,"name":"Denver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99"/>
        <v>start /low /b %USERPROFILE%\Documents\GitHub\eaglep3\Utilities\DownloadLogsFromS3.py --loco 4044 --day 2017-12-17</v>
      </c>
      <c r="AN173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101"/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Message%20ID',Summary),filters:!(),index:'emp_*',interval:auto,query:(query_string:(analyze_wildcard:!t,query:'%22rtdc.l.rtdc.4044%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25">
      <c r="A174" s="229" t="s">
        <v>816</v>
      </c>
      <c r="B174" s="225">
        <v>4043</v>
      </c>
      <c r="C174" s="227" t="s">
        <v>192</v>
      </c>
      <c r="D174" s="227" t="s">
        <v>663</v>
      </c>
      <c r="E174" s="226">
        <v>43086.559710648151</v>
      </c>
      <c r="F174" s="226">
        <v>43086.571574074071</v>
      </c>
      <c r="G174" s="225">
        <v>64</v>
      </c>
      <c r="H174" s="227" t="s">
        <v>674</v>
      </c>
      <c r="I174" s="226">
        <v>43086.579710648148</v>
      </c>
      <c r="J174" s="225">
        <v>0</v>
      </c>
      <c r="K174" s="237" t="str">
        <f t="shared" si="86"/>
        <v>4043/4044</v>
      </c>
      <c r="L174" s="245" t="str">
        <f>VLOOKUP(A174,'Trips&amp;Operators'!$C$1:$G$99911,5,FALSE)</f>
        <v>BROWN JACOB</v>
      </c>
      <c r="M174" s="224">
        <f t="shared" si="87"/>
        <v>8.1365740770706907E-3</v>
      </c>
      <c r="N174" s="225">
        <f t="shared" si="120"/>
        <v>11.716666670981795</v>
      </c>
      <c r="O174" s="225"/>
      <c r="P174" s="225"/>
      <c r="Q174" s="228"/>
      <c r="R174" s="242"/>
      <c r="S174" s="249">
        <f t="shared" si="96"/>
        <v>1</v>
      </c>
      <c r="T174" s="242" t="str">
        <f t="shared" si="88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89"/>
        <v>https://d0f6bd738d7f1b3e5a7ca70fe4ff75f0.us-east-1.aws.found.io/app/kibana#/discover/Steve-Slow-Train-Analysis-(2080s-and-2083s)?_g=(refreshInterval:(display:Off,pause:!f,section:0,value:0),time:(from:'2017-12-17T12:25:59-0700',mode:absolute,to:'2017-12-17T14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247" t="str">
        <f>IF(AA174&lt;VLOOKUP(AG174,Variables!$AC$3:$AD$8,2,FALSE),"Y","N")</f>
        <v>N</v>
      </c>
      <c r="X174" s="247">
        <f t="shared" si="124"/>
        <v>1</v>
      </c>
      <c r="Y174" s="247">
        <f t="shared" si="121"/>
        <v>5.8651</v>
      </c>
      <c r="Z174" s="247">
        <f t="shared" si="122"/>
        <v>1.6E-2</v>
      </c>
      <c r="AA174" s="247">
        <f t="shared" si="90"/>
        <v>5.8491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91"/>
        <v>1816</v>
      </c>
      <c r="AE174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4" s="234" t="str">
        <f t="shared" si="93"/>
        <v>"C:\Program Files (x86)\AstroGrep\AstroGrep.exe" /e /r /s /spath="%USERPROFILE%\AppData\Local\Temp\OnboardLogs" /stypes="app*4043*20171217*" /stext=" 20:.+((SYSTEM_STATE.+slice.+state.+changed )|(ment ac)|(multiple cpu faults)|(system.+state.+changed )|(\[timeout)|(PRM\|1\|D)|(kpr)|(kdp)|(train st.+moving)|(\|lc)|(penalty))"</v>
      </c>
      <c r="AG174" s="244" t="str">
        <f t="shared" si="94"/>
        <v>NW</v>
      </c>
      <c r="AH174" s="236" t="str">
        <f t="shared" si="97"/>
        <v>"%USERPROFILE%\Documents\GitHub\eaglep3\Utilities\RefineRTDCRunTimes.py" --tripid 1816-17 --locoid 4043 --swversion DE.1.0.9.0 --startMP 300:58651 --initTime 2017-12-17T13:25:59 --startdatetime 2017-12-17T13:43:04 --delay 64 --endMP 204:160 --enddatetime 2017-12-17T13:54:47 --enforcementcount 0 &gt;&gt;%USERPROFILE%\Documents\GitHub\eaglep3-reporting\EC\2017-12-17-refined-times.txt</v>
      </c>
      <c r="AI174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{"issue":{"subject":"","project_id":79,"tracker_id":40,"status_id":1,"priority_id":2,"assigned_to_id":338,"start_date":"2017-12-17","description":"","custom_fields":[{"id":1,"name":"Subdivision","value":"NW"},{"id":4,"name":"Milepost","value":"0.016"},{"id":17,"name":"Train ID","value":"1816-17"},{"id":16,"name":"Locomotive ID","value":"4043"},{"id":130,"name":"Impact","value":""},{"id":150,"name":"Time of Event (Mountain Time)","value":"13:54:47"},{"id":151,"name":"Denver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99"/>
        <v>start /low /b %USERPROFILE%\Documents\GitHub\eaglep3\Utilities\DownloadLogsFromS3.py --loco 4043 --day 2017-12-17</v>
      </c>
      <c r="AN174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101"/>
        <v>https://d0f6bd738d7f1b3e5a7ca70fe4ff75f0.us-east-1.aws.found.io/app/kibana#/discover/Steve-Slow-Train-Analysis-(2080s-and-2083s)?_g=(refreshInterval:(display:Off,pause:!f,section:0,value:0),time:(from:'2017-12-17T12:25:59-0700',mode:absolute,to:'2017-12-17T14:54:47-0700'))&amp;_a=(columns:!('Message%20ID',Summary),filters:!(),index:'emp_*',interval:auto,query:(query_string:(analyze_wildcard:!t,query:'%22rtdc.l.rtdc.4043%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822</v>
      </c>
      <c r="B175" s="225">
        <v>4044</v>
      </c>
      <c r="C175" s="227" t="s">
        <v>192</v>
      </c>
      <c r="D175" s="227" t="s">
        <v>597</v>
      </c>
      <c r="E175" s="226">
        <v>43086.58222222222</v>
      </c>
      <c r="F175" s="226">
        <v>43086.589803240742</v>
      </c>
      <c r="G175" s="225">
        <v>77</v>
      </c>
      <c r="H175" s="227" t="s">
        <v>972</v>
      </c>
      <c r="I175" s="226">
        <v>43086.60019675926</v>
      </c>
      <c r="J175" s="225">
        <v>0</v>
      </c>
      <c r="K175" s="237" t="str">
        <f t="shared" si="86"/>
        <v>4043/4044</v>
      </c>
      <c r="L175" s="245" t="str">
        <f>VLOOKUP(A175,'Trips&amp;Operators'!$C$1:$G$99911,5,FALSE)</f>
        <v>HOLCOMB KAMDEN</v>
      </c>
      <c r="M175" s="224">
        <f t="shared" si="87"/>
        <v>1.0393518517958E-2</v>
      </c>
      <c r="N175" s="225">
        <f t="shared" si="120"/>
        <v>14.96666666585952</v>
      </c>
      <c r="O175" s="225"/>
      <c r="P175" s="225"/>
      <c r="Q175" s="228"/>
      <c r="R175" s="242"/>
      <c r="S175" s="249">
        <f t="shared" si="96"/>
        <v>1</v>
      </c>
      <c r="T175" s="242" t="str">
        <f t="shared" si="88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89"/>
        <v>https://d0f6bd738d7f1b3e5a7ca70fe4ff75f0.us-east-1.aws.found.io/app/kibana#/discover/Steve-Slow-Train-Analysis-(2080s-and-2083s)?_g=(refreshInterval:(display:Off,pause:!f,section:0,value:0),time:(from:'2017-12-17T12:58:24-0700',mode:absolute,to:'2017-12-17T15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247" t="str">
        <f>IF(AA175&lt;VLOOKUP(AG175,Variables!$AC$3:$AD$8,2,FALSE),"Y","N")</f>
        <v>N</v>
      </c>
      <c r="X175" s="247">
        <f t="shared" ref="X175:X220" si="130">VALUE(LEFT(AD175,4))-VALUE(LEFT(AD174,4))</f>
        <v>1</v>
      </c>
      <c r="Y175" s="247">
        <f t="shared" si="121"/>
        <v>4.4600000000000001E-2</v>
      </c>
      <c r="Z175" s="247">
        <f t="shared" si="122"/>
        <v>5.9001000000000001</v>
      </c>
      <c r="AA175" s="247">
        <f t="shared" si="90"/>
        <v>5.8555000000000001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91"/>
        <v>1817</v>
      </c>
      <c r="AE175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5" s="234" t="str">
        <f t="shared" si="93"/>
        <v>"C:\Program Files (x86)\AstroGrep\AstroGrep.exe" /e /r /s /spath="%USERPROFILE%\AppData\Local\Temp\OnboardLogs" /stypes="app*4044*20171217*" /stext=" 21:.+((SYSTEM_STATE.+slice.+state.+changed )|(ment ac)|(multiple cpu faults)|(system.+state.+changed )|(\[timeout)|(PRM\|1\|D)|(kpr)|(kdp)|(train st.+moving)|(\|lc)|(penalty))"</v>
      </c>
      <c r="AG175" s="244" t="str">
        <f t="shared" si="94"/>
        <v>NW</v>
      </c>
      <c r="AH175" s="236" t="str">
        <f t="shared" si="97"/>
        <v>"%USERPROFILE%\Documents\GitHub\eaglep3\Utilities\RefineRTDCRunTimes.py" --tripid 1817-17 --locoid 4044 --swversion DE.1.0.9.0 --startMP 204:446 --initTime 2017-12-17T13:58:24 --startdatetime 2017-12-17T14:09:19 --delay 77 --endMP 300:59001 --enddatetime 2017-12-17T14:24:17 --enforcementcount 0 &gt;&gt;%USERPROFILE%\Documents\GitHub\eaglep3-reporting\EC\2017-12-17-refined-times.txt</v>
      </c>
      <c r="AI175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{"issue":{"subject":"","project_id":79,"tracker_id":40,"status_id":1,"priority_id":2,"assigned_to_id":338,"start_date":"2017-12-17","description":"","custom_fields":[{"id":1,"name":"Subdivision","value":"NW"},{"id":4,"name":"Milepost","value":"5.9001"},{"id":17,"name":"Train ID","value":"1817-17"},{"id":16,"name":"Locomotive ID","value":"4044"},{"id":130,"name":"Impact","value":""},{"id":150,"name":"Time of Event (Mountain Time)","value":"14:24:17"},{"id":151,"name":"Denver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99"/>
        <v>start /low /b %USERPROFILE%\Documents\GitHub\eaglep3\Utilities\DownloadLogsFromS3.py --loco 4044 --day 2017-12-17</v>
      </c>
      <c r="AN175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101"/>
        <v>https://d0f6bd738d7f1b3e5a7ca70fe4ff75f0.us-east-1.aws.found.io/app/kibana#/discover/Steve-Slow-Train-Analysis-(2080s-and-2083s)?_g=(refreshInterval:(display:Off,pause:!f,section:0,value:0),time:(from:'2017-12-17T12:58:24-0700',mode:absolute,to:'2017-12-17T15:24:17-0700'))&amp;_a=(columns:!('Message%20ID',Summary),filters:!(),index:'emp_*',interval:auto,query:(query_string:(analyze_wildcard:!t,query:'%22rtdc.l.rtdc.4044%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705</v>
      </c>
      <c r="B176" s="225">
        <v>4043</v>
      </c>
      <c r="C176" s="227" t="s">
        <v>192</v>
      </c>
      <c r="D176" s="227" t="s">
        <v>973</v>
      </c>
      <c r="E176" s="226">
        <v>43086.601134259261</v>
      </c>
      <c r="F176" s="226">
        <v>43086.613344907404</v>
      </c>
      <c r="G176" s="225">
        <v>67</v>
      </c>
      <c r="H176" s="227" t="s">
        <v>974</v>
      </c>
      <c r="I176" s="226">
        <v>43086.621354166666</v>
      </c>
      <c r="J176" s="225">
        <v>0</v>
      </c>
      <c r="K176" s="237" t="str">
        <f t="shared" si="86"/>
        <v>4043/4044</v>
      </c>
      <c r="L176" s="245" t="str">
        <f>VLOOKUP(A176,'Trips&amp;Operators'!$C$1:$G$99911,5,FALSE)</f>
        <v>HOLCOMB KAMDEN</v>
      </c>
      <c r="M176" s="224">
        <f t="shared" si="87"/>
        <v>8.0092592615983449E-3</v>
      </c>
      <c r="N176" s="225">
        <f t="shared" si="120"/>
        <v>11.533333336701617</v>
      </c>
      <c r="O176" s="225"/>
      <c r="P176" s="225"/>
      <c r="Q176" s="228"/>
      <c r="R176" s="242"/>
      <c r="S176" s="249">
        <f t="shared" si="96"/>
        <v>1</v>
      </c>
      <c r="T176" s="242" t="str">
        <f t="shared" si="88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89"/>
        <v>https://d0f6bd738d7f1b3e5a7ca70fe4ff75f0.us-east-1.aws.found.io/app/kibana#/discover/Steve-Slow-Train-Analysis-(2080s-and-2083s)?_g=(refreshInterval:(display:Off,pause:!f,section:0,value:0),time:(from:'2017-12-17T13:25:38-0700',mode:absolute,to:'2017-12-17T15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247" t="str">
        <f>IF(AA176&lt;VLOOKUP(AG176,Variables!$AC$3:$AD$8,2,FALSE),"Y","N")</f>
        <v>N</v>
      </c>
      <c r="X176" s="247">
        <f t="shared" si="130"/>
        <v>1</v>
      </c>
      <c r="Y176" s="247">
        <f t="shared" si="121"/>
        <v>5.8685</v>
      </c>
      <c r="Z176" s="247">
        <f t="shared" si="122"/>
        <v>7.7000000000000002E-3</v>
      </c>
      <c r="AA176" s="247">
        <f t="shared" si="90"/>
        <v>5.8608000000000002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91"/>
        <v>1818</v>
      </c>
      <c r="AE176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6" s="234" t="str">
        <f t="shared" si="93"/>
        <v>"C:\Program Files (x86)\AstroGrep\AstroGrep.exe" /e /r /s /spath="%USERPROFILE%\AppData\Local\Temp\OnboardLogs" /stypes="app*4043*20171217*" /stext=" 21:.+((SYSTEM_STATE.+slice.+state.+changed )|(ment ac)|(multiple cpu faults)|(system.+state.+changed )|(\[timeout)|(PRM\|1\|D)|(kpr)|(kdp)|(train st.+moving)|(\|lc)|(penalty))"</v>
      </c>
      <c r="AG176" s="244" t="str">
        <f t="shared" si="94"/>
        <v>NW</v>
      </c>
      <c r="AH176" s="236" t="str">
        <f t="shared" si="97"/>
        <v>"%USERPROFILE%\Documents\GitHub\eaglep3\Utilities\RefineRTDCRunTimes.py" --tripid 1818-17 --locoid 4043 --swversion DE.1.0.9.0 --startMP 300:58685 --initTime 2017-12-17T14:25:38 --startdatetime 2017-12-17T14:43:13 --delay 67 --endMP 204:77 --enddatetime 2017-12-17T14:54:45 --enforcementcount 0 &gt;&gt;%USERPROFILE%\Documents\GitHub\eaglep3-reporting\EC\2017-12-17-refined-times.txt</v>
      </c>
      <c r="AI176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{"issue":{"subject":"","project_id":79,"tracker_id":40,"status_id":1,"priority_id":2,"assigned_to_id":338,"start_date":"2017-12-17","description":"","custom_fields":[{"id":1,"name":"Subdivision","value":"NW"},{"id":4,"name":"Milepost","value":"0.0077"},{"id":17,"name":"Train ID","value":"1818-17"},{"id":16,"name":"Locomotive ID","value":"4043"},{"id":130,"name":"Impact","value":""},{"id":150,"name":"Time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99"/>
        <v>start /low /b %USERPROFILE%\Documents\GitHub\eaglep3\Utilities\DownloadLogsFromS3.py --loco 4043 --day 2017-12-17</v>
      </c>
      <c r="AN176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101"/>
        <v>https://d0f6bd738d7f1b3e5a7ca70fe4ff75f0.us-east-1.aws.found.io/app/kibana#/discover/Steve-Slow-Train-Analysis-(2080s-and-2083s)?_g=(refreshInterval:(display:Off,pause:!f,section:0,value:0),time:(from:'2017-12-17T13:25:38-0700',mode:absolute,to:'2017-12-17T15:54:45-0700'))&amp;_a=(columns:!('Message%20ID',Summary),filters:!(),index:'emp_*',interval:auto,query:(query_string:(analyze_wildcard:!t,query:'%22rtdc.l.rtdc.4043%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830</v>
      </c>
      <c r="B177" s="225">
        <v>4044</v>
      </c>
      <c r="C177" s="227" t="s">
        <v>192</v>
      </c>
      <c r="D177" s="227" t="s">
        <v>975</v>
      </c>
      <c r="E177" s="226">
        <v>43086.628935185188</v>
      </c>
      <c r="F177" s="226">
        <v>43086.631562499999</v>
      </c>
      <c r="G177" s="225">
        <v>58</v>
      </c>
      <c r="H177" s="227" t="s">
        <v>667</v>
      </c>
      <c r="I177" s="226">
        <v>43086.641400462962</v>
      </c>
      <c r="J177" s="225">
        <v>0</v>
      </c>
      <c r="K177" s="237" t="str">
        <f t="shared" si="86"/>
        <v>4043/4044</v>
      </c>
      <c r="L177" s="245" t="str">
        <f>VLOOKUP(A177,'Trips&amp;Operators'!$C$1:$G$99911,5,FALSE)</f>
        <v>HOLCOMB KAMDEN</v>
      </c>
      <c r="M177" s="224">
        <f t="shared" si="87"/>
        <v>9.8379629635019228E-3</v>
      </c>
      <c r="N177" s="225">
        <f t="shared" si="120"/>
        <v>14.166666667442769</v>
      </c>
      <c r="O177" s="225"/>
      <c r="P177" s="225"/>
      <c r="Q177" s="228"/>
      <c r="R177" s="242"/>
      <c r="S177" s="249">
        <f t="shared" si="96"/>
        <v>1</v>
      </c>
      <c r="T177" s="242" t="str">
        <f t="shared" si="88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89"/>
        <v>https://d0f6bd738d7f1b3e5a7ca70fe4ff75f0.us-east-1.aws.found.io/app/kibana#/discover/Steve-Slow-Train-Analysis-(2080s-and-2083s)?_g=(refreshInterval:(display:Off,pause:!f,section:0,value:0),time:(from:'2017-12-17T14:05:40-0700',mode:absolute,to:'2017-12-17T16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247" t="str">
        <f>IF(AA177&lt;VLOOKUP(AG177,Variables!$AC$3:$AD$8,2,FALSE),"Y","N")</f>
        <v>N</v>
      </c>
      <c r="X177" s="247">
        <f t="shared" si="130"/>
        <v>1</v>
      </c>
      <c r="Y177" s="247">
        <f t="shared" si="121"/>
        <v>3.7199999999999997E-2</v>
      </c>
      <c r="Z177" s="247">
        <f t="shared" si="122"/>
        <v>5.8993000000000002</v>
      </c>
      <c r="AA177" s="247">
        <f t="shared" si="90"/>
        <v>5.8620999999999999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91"/>
        <v>1819</v>
      </c>
      <c r="AE177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7" s="234" t="str">
        <f t="shared" si="93"/>
        <v>"C:\Program Files (x86)\AstroGrep\AstroGrep.exe" /e /r /s /spath="%USERPROFILE%\AppData\Local\Temp\OnboardLogs" /stypes="app*4044*20171217*" /stext=" 22:.+((SYSTEM_STATE.+slice.+state.+changed )|(ment ac)|(multiple cpu faults)|(system.+state.+changed )|(\[timeout)|(PRM\|1\|D)|(kpr)|(kdp)|(train st.+moving)|(\|lc)|(penalty))"</v>
      </c>
      <c r="AG177" s="244" t="str">
        <f t="shared" si="94"/>
        <v>NW</v>
      </c>
      <c r="AH177" s="236" t="str">
        <f t="shared" si="97"/>
        <v>"%USERPROFILE%\Documents\GitHub\eaglep3\Utilities\RefineRTDCRunTimes.py" --tripid 1819-17 --locoid 4044 --swversion DE.1.0.9.0 --startMP 204:372 --initTime 2017-12-17T15:05:40 --startdatetime 2017-12-17T15:09:27 --delay 58 --endMP 300:58993 --enddatetime 2017-12-17T15:23:37 --enforcementcount 0 &gt;&gt;%USERPROFILE%\Documents\GitHub\eaglep3-reporting\EC\2017-12-17-refined-times.txt</v>
      </c>
      <c r="AI177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{"issue":{"subject":"","project_id":79,"tracker_id":40,"status_id":1,"priority_id":2,"assigned_to_id":338,"start_date":"2017-12-17","description":"","custom_fields":[{"id":1,"name":"Subdivision","value":"NW"},{"id":4,"name":"Milepost","value":"5.8993"},{"id":17,"name":"Train ID","value":"1819-17"},{"id":16,"name":"Locomotive ID","value":"4044"},{"id":130,"name":"Impact","value":""},{"id":150,"name":"Time of Event (Mountain Time)","value":"15:23:37"},{"id":151,"name":"Denver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99"/>
        <v>start /low /b %USERPROFILE%\Documents\GitHub\eaglep3\Utilities\DownloadLogsFromS3.py --loco 4044 --day 2017-12-17</v>
      </c>
      <c r="AN177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101"/>
        <v>https://d0f6bd738d7f1b3e5a7ca70fe4ff75f0.us-east-1.aws.found.io/app/kibana#/discover/Steve-Slow-Train-Analysis-(2080s-and-2083s)?_g=(refreshInterval:(display:Off,pause:!f,section:0,value:0),time:(from:'2017-12-17T14:05:40-0700',mode:absolute,to:'2017-12-17T16:23:37-0700'))&amp;_a=(columns:!('Message%20ID',Summary),filters:!(),index:'emp_*',interval:auto,query:(query_string:(analyze_wildcard:!t,query:'%22rtdc.l.rtdc.4044%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834</v>
      </c>
      <c r="B178" s="225">
        <v>4043</v>
      </c>
      <c r="C178" s="227" t="s">
        <v>192</v>
      </c>
      <c r="D178" s="227" t="s">
        <v>976</v>
      </c>
      <c r="E178" s="226">
        <v>43086.642187500001</v>
      </c>
      <c r="F178" s="226">
        <v>43086.655069444445</v>
      </c>
      <c r="G178" s="225">
        <v>58</v>
      </c>
      <c r="H178" s="227" t="s">
        <v>977</v>
      </c>
      <c r="I178" s="226">
        <v>43086.661562499998</v>
      </c>
      <c r="J178" s="225">
        <v>0</v>
      </c>
      <c r="K178" s="237" t="str">
        <f t="shared" si="86"/>
        <v>4043/4044</v>
      </c>
      <c r="L178" s="245" t="str">
        <f>VLOOKUP(A178,'Trips&amp;Operators'!$C$1:$G$99911,5,FALSE)</f>
        <v>HOLCOMB KAMDEN</v>
      </c>
      <c r="M178" s="224">
        <f t="shared" si="87"/>
        <v>6.4930555527098477E-3</v>
      </c>
      <c r="N178" s="225">
        <f t="shared" si="120"/>
        <v>9.3499999959021807</v>
      </c>
      <c r="O178" s="225"/>
      <c r="P178" s="225"/>
      <c r="Q178" s="228"/>
      <c r="R178" s="242" t="s">
        <v>1105</v>
      </c>
      <c r="S178" s="249">
        <f t="shared" si="96"/>
        <v>1</v>
      </c>
      <c r="T178" s="242" t="str">
        <f t="shared" si="88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89"/>
        <v>https://d0f6bd738d7f1b3e5a7ca70fe4ff75f0.us-east-1.aws.found.io/app/kibana#/discover/Steve-Slow-Train-Analysis-(2080s-and-2083s)?_g=(refreshInterval:(display:Off,pause:!f,section:0,value:0),time:(from:'2017-12-17T14:24:45-0700',mode:absolute,to:'2017-12-17T16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247" t="str">
        <f>IF(AA178&lt;VLOOKUP(AG178,Variables!$AC$3:$AD$8,2,FALSE),"Y","N")</f>
        <v>Y</v>
      </c>
      <c r="X178" s="247">
        <f t="shared" si="130"/>
        <v>1</v>
      </c>
      <c r="Y178" s="247">
        <f t="shared" si="121"/>
        <v>5.8673000000000002</v>
      </c>
      <c r="Z178" s="247">
        <f t="shared" si="122"/>
        <v>0.46250000000000002</v>
      </c>
      <c r="AA178" s="247">
        <f t="shared" si="90"/>
        <v>5.4047999999999998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91"/>
        <v>1820</v>
      </c>
      <c r="AE178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78" s="234" t="str">
        <f t="shared" si="93"/>
        <v>"C:\Program Files (x86)\AstroGrep\AstroGrep.exe" /e /r /s /spath="%USERPROFILE%\AppData\Local\Temp\OnboardLogs" /stypes="app*4043*20171217*" /stext=" 22:.+((SYSTEM_STATE.+slice.+state.+changed )|(ment ac)|(multiple cpu faults)|(system.+state.+changed )|(\[timeout)|(PRM\|1\|D)|(kpr)|(kdp)|(train st.+moving)|(\|lc)|(penalty))"</v>
      </c>
      <c r="AG178" s="244" t="str">
        <f t="shared" si="94"/>
        <v>NW</v>
      </c>
      <c r="AH178" s="236" t="str">
        <f t="shared" si="97"/>
        <v>"%USERPROFILE%\Documents\GitHub\eaglep3\Utilities\RefineRTDCRunTimes.py" --tripid 1820-17 --locoid 4043 --swversion DE.1.0.9.0 --startMP 300:58673 --initTime 2017-12-17T15:24:45 --startdatetime 2017-12-17T15:43:18 --delay 58 --endMP 204:4625 --enddatetime 2017-12-17T15:52:39 --enforcementcount 0 &gt;&gt;%USERPROFILE%\Documents\GitHub\eaglep3-reporting\EC\2017-12-17-refined-times.txt</v>
      </c>
      <c r="AI178" s="238" t="str">
        <f t="shared" si="98"/>
        <v>echo {"issue":{"subject":"Observed braking without banner","project_id":79,"tracker_id":40,"status_id":1,"priority_id":2,"assigned_to_id":338,"start_date":"2017-12-17","description":"","custom_fields":[{"id":1,"name":"Subdivision","value":"NW"},{"id":4,"name":"Milepost","value":"0.4625"},{"id":17,"name":"Train ID","value":"1820-17"},{"id":16,"name":"Locomotive ID","value":"4043"},{"id":130,"name":"Impact","value":""},{"id":150,"name":"Time of Event (Mountain Time)","value":"15:52:39"},{"id":151,"name":"Denver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99"/>
        <v>start /low /b %USERPROFILE%\Documents\GitHub\eaglep3\Utilities\DownloadLogsFromS3.py --loco 4043 --day 2017-12-17</v>
      </c>
      <c r="AN178" s="241" t="str">
        <f t="shared" si="100"/>
        <v>echo {"issue":{"subject":"Observed braking without banner","project_id":30,"tracker_id":4,"status_id":1,"priority_id":1,"assigned_to_id":10,"start_date":"2017-12-17","description":"","custom_fields":[{"id":30,"name":"Category","value":"Issue"},{"id":3,"name":"Functional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22:52:39"},{"id":29,"name":"Sharepoint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101"/>
        <v>https://d0f6bd738d7f1b3e5a7ca70fe4ff75f0.us-east-1.aws.found.io/app/kibana#/discover/Steve-Slow-Train-Analysis-(2080s-and-2083s)?_g=(refreshInterval:(display:Off,pause:!f,section:0,value:0),time:(from:'2017-12-17T14:24:45-0700',mode:absolute,to:'2017-12-17T16:52:39-0700'))&amp;_a=(columns:!('Message%20ID',Summary),filters:!(),index:'emp_*',interval:auto,query:(query_string:(analyze_wildcard:!t,query:'%22rtdc.l.rtdc.4043%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708</v>
      </c>
      <c r="B179" s="225">
        <v>4044</v>
      </c>
      <c r="C179" s="227" t="s">
        <v>192</v>
      </c>
      <c r="D179" s="227" t="s">
        <v>978</v>
      </c>
      <c r="E179" s="226">
        <v>43086.670706018522</v>
      </c>
      <c r="F179" s="226">
        <v>43086.673182870371</v>
      </c>
      <c r="G179" s="225">
        <v>48</v>
      </c>
      <c r="H179" s="227" t="s">
        <v>979</v>
      </c>
      <c r="I179" s="226">
        <v>43086.683599537035</v>
      </c>
      <c r="J179" s="225">
        <v>0</v>
      </c>
      <c r="K179" s="237" t="str">
        <f t="shared" si="86"/>
        <v>4043/4044</v>
      </c>
      <c r="L179" s="245" t="str">
        <f>VLOOKUP(A179,'Trips&amp;Operators'!$C$1:$G$99911,5,FALSE)</f>
        <v>HOLCOMB KAMDEN</v>
      </c>
      <c r="M179" s="224">
        <f t="shared" si="87"/>
        <v>1.0416666664241347E-2</v>
      </c>
      <c r="N179" s="225">
        <f t="shared" si="120"/>
        <v>14.99999999650754</v>
      </c>
      <c r="O179" s="225"/>
      <c r="P179" s="225"/>
      <c r="Q179" s="228"/>
      <c r="R179" s="242"/>
      <c r="S179" s="249">
        <f t="shared" si="96"/>
        <v>1</v>
      </c>
      <c r="T179" s="242" t="str">
        <f t="shared" si="88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89"/>
        <v>https://d0f6bd738d7f1b3e5a7ca70fe4ff75f0.us-east-1.aws.found.io/app/kibana#/discover/Steve-Slow-Train-Analysis-(2080s-and-2083s)?_g=(refreshInterval:(display:Off,pause:!f,section:0,value:0),time:(from:'2017-12-17T15:05:49-0700',mode:absolute,to:'2017-12-17T17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247" t="str">
        <f>IF(AA179&lt;VLOOKUP(AG179,Variables!$AC$3:$AD$8,2,FALSE),"Y","N")</f>
        <v>N</v>
      </c>
      <c r="X179" s="247">
        <f t="shared" si="130"/>
        <v>1</v>
      </c>
      <c r="Y179" s="247">
        <f t="shared" si="121"/>
        <v>3.32E-2</v>
      </c>
      <c r="Z179" s="247">
        <f t="shared" si="122"/>
        <v>5.8982000000000001</v>
      </c>
      <c r="AA179" s="247">
        <f t="shared" si="90"/>
        <v>5.8650000000000002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91"/>
        <v>1821</v>
      </c>
      <c r="AE179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79" s="234" t="str">
        <f t="shared" si="93"/>
        <v>"C:\Program Files (x86)\AstroGrep\AstroGrep.exe" /e /r /s /spath="%USERPROFILE%\AppData\Local\Temp\OnboardLogs" /stypes="app*4044*20171217*" /stext=" 23:.+((SYSTEM_STATE.+slice.+state.+changed )|(ment ac)|(multiple cpu faults)|(system.+state.+changed )|(\[timeout)|(PRM\|1\|D)|(kpr)|(kdp)|(train st.+moving)|(\|lc)|(penalty))"</v>
      </c>
      <c r="AG179" s="244" t="str">
        <f t="shared" si="94"/>
        <v>NW</v>
      </c>
      <c r="AH179" s="236" t="str">
        <f t="shared" si="97"/>
        <v>"%USERPROFILE%\Documents\GitHub\eaglep3\Utilities\RefineRTDCRunTimes.py" --tripid 1821-17 --locoid 4044 --swversion DE.1.0.9.0 --startMP 204:332 --initTime 2017-12-17T16:05:49 --startdatetime 2017-12-17T16:09:23 --delay 48 --endMP 300:58982 --enddatetime 2017-12-17T16:24:23 --enforcementcount 0 &gt;&gt;%USERPROFILE%\Documents\GitHub\eaglep3-reporting\EC\2017-12-17-refined-times.txt</v>
      </c>
      <c r="AI179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{"issue":{"subject":"","project_id":79,"tracker_id":40,"status_id":1,"priority_id":2,"assigned_to_id":338,"start_date":"2017-12-17","description":"","custom_fields":[{"id":1,"name":"Subdivision","value":"NW"},{"id":4,"name":"Milepost","value":"5.8982"},{"id":17,"name":"Train ID","value":"1821-17"},{"id":16,"name":"Locomotive ID","value":"4044"},{"id":130,"name":"Impact","value":""},{"id":150,"name":"Time of Event (Mountain Time)","value":"16:24:23"},{"id":151,"name":"Denver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99"/>
        <v>start /low /b %USERPROFILE%\Documents\GitHub\eaglep3\Utilities\DownloadLogsFromS3.py --loco 4044 --day 2017-12-17</v>
      </c>
      <c r="AN179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101"/>
        <v>https://d0f6bd738d7f1b3e5a7ca70fe4ff75f0.us-east-1.aws.found.io/app/kibana#/discover/Steve-Slow-Train-Analysis-(2080s-and-2083s)?_g=(refreshInterval:(display:Off,pause:!f,section:0,value:0),time:(from:'2017-12-17T15:05:49-0700',mode:absolute,to:'2017-12-17T17:24:23-0700'))&amp;_a=(columns:!('Message%20ID',Summary),filters:!(),index:'emp_*',interval:auto,query:(query_string:(analyze_wildcard:!t,query:'%22rtdc.l.rtdc.4044%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842</v>
      </c>
      <c r="B180" s="225">
        <v>4043</v>
      </c>
      <c r="C180" s="227" t="s">
        <v>192</v>
      </c>
      <c r="D180" s="227" t="s">
        <v>661</v>
      </c>
      <c r="E180" s="226">
        <v>43086.684305555558</v>
      </c>
      <c r="F180" s="226">
        <v>43086.695694444446</v>
      </c>
      <c r="G180" s="225">
        <v>48</v>
      </c>
      <c r="H180" s="227" t="s">
        <v>980</v>
      </c>
      <c r="I180" s="226">
        <v>43086.705092592594</v>
      </c>
      <c r="J180" s="225">
        <v>0</v>
      </c>
      <c r="K180" s="237" t="str">
        <f t="shared" si="86"/>
        <v>4043/4044</v>
      </c>
      <c r="L180" s="245" t="str">
        <f>VLOOKUP(A180,'Trips&amp;Operators'!$C$1:$G$99911,5,FALSE)</f>
        <v>HOLCOMB KAMDEN</v>
      </c>
      <c r="M180" s="224">
        <f t="shared" si="87"/>
        <v>9.3981481477385387E-3</v>
      </c>
      <c r="N180" s="225">
        <f t="shared" si="120"/>
        <v>13.533333332743496</v>
      </c>
      <c r="O180" s="225"/>
      <c r="P180" s="225"/>
      <c r="Q180" s="228"/>
      <c r="R180" s="242"/>
      <c r="S180" s="249">
        <f t="shared" si="96"/>
        <v>1</v>
      </c>
      <c r="T180" s="242" t="str">
        <f t="shared" si="88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89"/>
        <v>https://d0f6bd738d7f1b3e5a7ca70fe4ff75f0.us-east-1.aws.found.io/app/kibana#/discover/Steve-Slow-Train-Analysis-(2080s-and-2083s)?_g=(refreshInterval:(display:Off,pause:!f,section:0,value:0),time:(from:'2017-12-17T15:25:24-0700',mode:absolute,to:'2017-12-17T17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247" t="str">
        <f>IF(AA180&lt;VLOOKUP(AG180,Variables!$AC$3:$AD$8,2,FALSE),"Y","N")</f>
        <v>N</v>
      </c>
      <c r="X180" s="247">
        <f t="shared" si="130"/>
        <v>1</v>
      </c>
      <c r="Y180" s="247">
        <f t="shared" si="121"/>
        <v>5.8663999999999996</v>
      </c>
      <c r="Z180" s="247">
        <f t="shared" si="122"/>
        <v>8.9999999999999993E-3</v>
      </c>
      <c r="AA180" s="247">
        <f t="shared" si="90"/>
        <v>5.8573999999999993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91"/>
        <v>1822</v>
      </c>
      <c r="AE180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0" s="234" t="str">
        <f t="shared" si="93"/>
        <v>"C:\Program Files (x86)\AstroGrep\AstroGrep.exe" /e /r /s /spath="%USERPROFILE%\AppData\Local\Temp\OnboardLogs" /stypes="app*4043*20171217*" /stext=" 23:.+((SYSTEM_STATE.+slice.+state.+changed )|(ment ac)|(multiple cpu faults)|(system.+state.+changed )|(\[timeout)|(PRM\|1\|D)|(kpr)|(kdp)|(train st.+moving)|(\|lc)|(penalty))"</v>
      </c>
      <c r="AG180" s="244" t="str">
        <f t="shared" si="94"/>
        <v>NW</v>
      </c>
      <c r="AH180" s="236" t="str">
        <f t="shared" si="97"/>
        <v>"%USERPROFILE%\Documents\GitHub\eaglep3\Utilities\RefineRTDCRunTimes.py" --tripid 1822-17 --locoid 4043 --swversion DE.1.0.9.0 --startMP 300:58664 --initTime 2017-12-17T16:25:24 --startdatetime 2017-12-17T16:41:48 --delay 48 --endMP 204:90 --enddatetime 2017-12-17T16:55:20 --enforcementcount 0 &gt;&gt;%USERPROFILE%\Documents\GitHub\eaglep3-reporting\EC\2017-12-17-refined-times.txt</v>
      </c>
      <c r="AI180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{"issue":{"subject":"","project_id":79,"tracker_id":40,"status_id":1,"priority_id":2,"assigned_to_id":338,"start_date":"2017-12-17","description":"","custom_fields":[{"id":1,"name":"Subdivision","value":"NW"},{"id":4,"name":"Milepost","value":"0.009"},{"id":17,"name":"Train ID","value":"1822-17"},{"id":16,"name":"Locomotive ID","value":"4043"},{"id":130,"name":"Impact","value":""},{"id":150,"name":"Time of Event (Mountain Time)","value":"16:55:20"},{"id":151,"name":"Denver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99"/>
        <v>start /low /b %USERPROFILE%\Documents\GitHub\eaglep3\Utilities\DownloadLogsFromS3.py --loco 4043 --day 2017-12-17</v>
      </c>
      <c r="AN180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101"/>
        <v>https://d0f6bd738d7f1b3e5a7ca70fe4ff75f0.us-east-1.aws.found.io/app/kibana#/discover/Steve-Slow-Train-Analysis-(2080s-and-2083s)?_g=(refreshInterval:(display:Off,pause:!f,section:0,value:0),time:(from:'2017-12-17T15:25:24-0700',mode:absolute,to:'2017-12-17T17:55:20-0700'))&amp;_a=(columns:!('Message%20ID',Summary),filters:!(),index:'emp_*',interval:auto,query:(query_string:(analyze_wildcard:!t,query:'%22rtdc.l.rtdc.4043%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849</v>
      </c>
      <c r="B181" s="225">
        <v>4044</v>
      </c>
      <c r="C181" s="227" t="s">
        <v>192</v>
      </c>
      <c r="D181" s="227" t="s">
        <v>981</v>
      </c>
      <c r="E181" s="226">
        <v>43086.711527777778</v>
      </c>
      <c r="F181" s="226">
        <v>43086.714768518519</v>
      </c>
      <c r="G181" s="225">
        <v>67</v>
      </c>
      <c r="H181" s="227" t="s">
        <v>982</v>
      </c>
      <c r="I181" s="226">
        <v>43086.725092592591</v>
      </c>
      <c r="J181" s="225">
        <v>0</v>
      </c>
      <c r="K181" s="237" t="str">
        <f t="shared" si="86"/>
        <v>4043/4044</v>
      </c>
      <c r="L181" s="245" t="str">
        <f>VLOOKUP(A181,'Trips&amp;Operators'!$C$1:$G$99911,5,FALSE)</f>
        <v>KILLION DAVID</v>
      </c>
      <c r="M181" s="224">
        <f t="shared" si="87"/>
        <v>1.0324074071832001E-2</v>
      </c>
      <c r="N181" s="225">
        <f t="shared" si="120"/>
        <v>14.866666663438082</v>
      </c>
      <c r="O181" s="225"/>
      <c r="P181" s="225"/>
      <c r="Q181" s="228"/>
      <c r="R181" s="242"/>
      <c r="S181" s="249">
        <f t="shared" si="96"/>
        <v>1</v>
      </c>
      <c r="T181" s="242" t="str">
        <f t="shared" si="88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89"/>
        <v>https://d0f6bd738d7f1b3e5a7ca70fe4ff75f0.us-east-1.aws.found.io/app/kibana#/discover/Steve-Slow-Train-Analysis-(2080s-and-2083s)?_g=(refreshInterval:(display:Off,pause:!f,section:0,value:0),time:(from:'2017-12-17T16:04:36-0700',mode:absolute,to:'2017-12-17T18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247" t="str">
        <f>IF(AA181&lt;VLOOKUP(AG181,Variables!$AC$3:$AD$8,2,FALSE),"Y","N")</f>
        <v>N</v>
      </c>
      <c r="X181" s="247">
        <f t="shared" si="130"/>
        <v>1</v>
      </c>
      <c r="Y181" s="247">
        <f t="shared" si="121"/>
        <v>4.0399999999999998E-2</v>
      </c>
      <c r="Z181" s="247">
        <f t="shared" si="122"/>
        <v>5.8987999999999996</v>
      </c>
      <c r="AA181" s="247">
        <f t="shared" si="90"/>
        <v>5.8583999999999996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91"/>
        <v>1823</v>
      </c>
      <c r="AE181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1" s="234" t="str">
        <f t="shared" si="93"/>
        <v>"C:\Program Files (x86)\AstroGrep\AstroGrep.exe" /e /r /s /spath="%USERPROFILE%\AppData\Local\Temp\OnboardLogs" /stypes="app*4044*20171218*" /stext=" 00:.+((SYSTEM_STATE.+slice.+state.+changed )|(ment ac)|(multiple cpu faults)|(system.+state.+changed )|(\[timeout)|(PRM\|1\|D)|(kpr)|(kdp)|(train st.+moving)|(\|lc)|(penalty))"</v>
      </c>
      <c r="AG181" s="244" t="str">
        <f t="shared" si="94"/>
        <v>NW</v>
      </c>
      <c r="AH181" s="236" t="str">
        <f t="shared" si="97"/>
        <v>"%USERPROFILE%\Documents\GitHub\eaglep3\Utilities\RefineRTDCRunTimes.py" --tripid 1823-17 --locoid 4044 --swversion DE.1.0.9.0 --startMP 204:404 --initTime 2017-12-17T17:04:36 --startdatetime 2017-12-17T17:09:16 --delay 67 --endMP 300:58988 --enddatetime 2017-12-17T17:24:08 --enforcementcount 0 &gt;&gt;%USERPROFILE%\Documents\GitHub\eaglep3-reporting\EC\2017-12-17-refined-times.txt</v>
      </c>
      <c r="AI181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{"issue":{"subject":"","project_id":79,"tracker_id":40,"status_id":1,"priority_id":2,"assigned_to_id":338,"start_date":"2017-12-17","description":"","custom_fields":[{"id":1,"name":"Subdivision","value":"NW"},{"id":4,"name":"Milepost","value":"5.8988"},{"id":17,"name":"Train ID","value":"1823-17"},{"id":16,"name":"Locomotive ID","value":"4044"},{"id":130,"name":"Impact","value":""},{"id":150,"name":"Time of Event (Mountain Time)","value":"17:24:08"},{"id":151,"name":"Denver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99"/>
        <v>start /low /b %USERPROFILE%\Documents\GitHub\eaglep3\Utilities\DownloadLogsFromS3.py --loco 4044 --day 2017-12-17</v>
      </c>
      <c r="AN181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101"/>
        <v>https://d0f6bd738d7f1b3e5a7ca70fe4ff75f0.us-east-1.aws.found.io/app/kibana#/discover/Steve-Slow-Train-Analysis-(2080s-and-2083s)?_g=(refreshInterval:(display:Off,pause:!f,section:0,value:0),time:(from:'2017-12-17T16:04:36-0700',mode:absolute,to:'2017-12-17T18:24:08-0700'))&amp;_a=(columns:!('Message%20ID',Summary),filters:!(),index:'emp_*',interval:auto,query:(query_string:(analyze_wildcard:!t,query:'%22rtdc.l.rtdc.4044%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854</v>
      </c>
      <c r="B182" s="225">
        <v>4043</v>
      </c>
      <c r="C182" s="227" t="s">
        <v>192</v>
      </c>
      <c r="D182" s="227" t="s">
        <v>983</v>
      </c>
      <c r="E182" s="226">
        <v>43086.726273148146</v>
      </c>
      <c r="F182" s="226">
        <v>43086.73814814815</v>
      </c>
      <c r="G182" s="225">
        <v>62</v>
      </c>
      <c r="H182" s="227" t="s">
        <v>984</v>
      </c>
      <c r="I182" s="226">
        <v>43086.747048611112</v>
      </c>
      <c r="J182" s="225">
        <v>0</v>
      </c>
      <c r="K182" s="237" t="str">
        <f t="shared" si="86"/>
        <v>4043/4044</v>
      </c>
      <c r="L182" s="245" t="str">
        <f>VLOOKUP(A182,'Trips&amp;Operators'!$C$1:$G$99911,5,FALSE)</f>
        <v>KILLION DAVID</v>
      </c>
      <c r="M182" s="224">
        <f t="shared" si="87"/>
        <v>8.9004629626288079E-3</v>
      </c>
      <c r="N182" s="225">
        <f t="shared" si="120"/>
        <v>12.816666666185483</v>
      </c>
      <c r="O182" s="225"/>
      <c r="P182" s="225"/>
      <c r="Q182" s="228"/>
      <c r="R182" s="242"/>
      <c r="S182" s="249">
        <f t="shared" si="96"/>
        <v>1</v>
      </c>
      <c r="T182" s="242" t="str">
        <f t="shared" si="88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89"/>
        <v>https://d0f6bd738d7f1b3e5a7ca70fe4ff75f0.us-east-1.aws.found.io/app/kibana#/discover/Steve-Slow-Train-Analysis-(2080s-and-2083s)?_g=(refreshInterval:(display:Off,pause:!f,section:0,value:0),time:(from:'2017-12-17T16:25:50-0700',mode:absolute,to:'2017-12-17T18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247" t="str">
        <f>IF(AA182&lt;VLOOKUP(AG182,Variables!$AC$3:$AD$8,2,FALSE),"Y","N")</f>
        <v>N</v>
      </c>
      <c r="X182" s="247">
        <f t="shared" si="130"/>
        <v>1</v>
      </c>
      <c r="Y182" s="247">
        <f t="shared" si="121"/>
        <v>5.8682999999999996</v>
      </c>
      <c r="Z182" s="247">
        <f t="shared" si="122"/>
        <v>9.2999999999999992E-3</v>
      </c>
      <c r="AA182" s="247">
        <f t="shared" si="90"/>
        <v>5.859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91"/>
        <v>1824</v>
      </c>
      <c r="AE182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2" s="234" t="str">
        <f t="shared" si="93"/>
        <v>"C:\Program Files (x86)\AstroGrep\AstroGrep.exe" /e /r /s /spath="%USERPROFILE%\AppData\Local\Temp\OnboardLogs" /stypes="app*4043*20171218*" /stext=" 00:.+((SYSTEM_STATE.+slice.+state.+changed )|(ment ac)|(multiple cpu faults)|(system.+state.+changed )|(\[timeout)|(PRM\|1\|D)|(kpr)|(kdp)|(train st.+moving)|(\|lc)|(penalty))"</v>
      </c>
      <c r="AG182" s="244" t="str">
        <f t="shared" si="94"/>
        <v>NW</v>
      </c>
      <c r="AH182" s="236" t="str">
        <f t="shared" si="97"/>
        <v>"%USERPROFILE%\Documents\GitHub\eaglep3\Utilities\RefineRTDCRunTimes.py" --tripid 1824-17 --locoid 4043 --swversion DE.1.0.9.0 --startMP 300:58683 --initTime 2017-12-17T17:25:50 --startdatetime 2017-12-17T17:42:56 --delay 62 --endMP 204:93 --enddatetime 2017-12-17T17:55:45 --enforcementcount 0 &gt;&gt;%USERPROFILE%\Documents\GitHub\eaglep3-reporting\EC\2017-12-17-refined-times.txt</v>
      </c>
      <c r="AI182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{"issue":{"subject":"","project_id":79,"tracker_id":40,"status_id":1,"priority_id":2,"assigned_to_id":338,"start_date":"2017-12-17","description":"","custom_fields":[{"id":1,"name":"Subdivision","value":"NW"},{"id":4,"name":"Milepost","value":"0.0093"},{"id":17,"name":"Train ID","value":"1824-17"},{"id":16,"name":"Locomotive ID","value":"4043"},{"id":130,"name":"Impact","value":""},{"id":150,"name":"Time of Event (Mountain Time)","value":"17:55:45"},{"id":151,"name":"Denver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99"/>
        <v>start /low /b %USERPROFILE%\Documents\GitHub\eaglep3\Utilities\DownloadLogsFromS3.py --loco 4043 --day 2017-12-17</v>
      </c>
      <c r="AN182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101"/>
        <v>https://d0f6bd738d7f1b3e5a7ca70fe4ff75f0.us-east-1.aws.found.io/app/kibana#/discover/Steve-Slow-Train-Analysis-(2080s-and-2083s)?_g=(refreshInterval:(display:Off,pause:!f,section:0,value:0),time:(from:'2017-12-17T16:25:50-0700',mode:absolute,to:'2017-12-17T18:55:45-0700'))&amp;_a=(columns:!('Message%20ID',Summary),filters:!(),index:'emp_*',interval:auto,query:(query_string:(analyze_wildcard:!t,query:'%22rtdc.l.rtdc.4043%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860</v>
      </c>
      <c r="B183" s="225">
        <v>4044</v>
      </c>
      <c r="C183" s="227" t="s">
        <v>192</v>
      </c>
      <c r="D183" s="227" t="s">
        <v>985</v>
      </c>
      <c r="E183" s="226">
        <v>43086.751643518517</v>
      </c>
      <c r="F183" s="226">
        <v>43086.756550925929</v>
      </c>
      <c r="G183" s="225">
        <v>78</v>
      </c>
      <c r="H183" s="227" t="s">
        <v>982</v>
      </c>
      <c r="I183" s="226">
        <v>43086.766412037039</v>
      </c>
      <c r="J183" s="225">
        <v>0</v>
      </c>
      <c r="K183" s="237" t="str">
        <f t="shared" si="86"/>
        <v>4043/4044</v>
      </c>
      <c r="L183" s="245" t="str">
        <f>VLOOKUP(A183,'Trips&amp;Operators'!$C$1:$G$99911,5,FALSE)</f>
        <v>HOLCOMB KAMDEN</v>
      </c>
      <c r="M183" s="224">
        <f t="shared" si="87"/>
        <v>9.8611111097852699E-3</v>
      </c>
      <c r="N183" s="225">
        <f t="shared" si="120"/>
        <v>14.199999998090789</v>
      </c>
      <c r="O183" s="225"/>
      <c r="P183" s="225"/>
      <c r="Q183" s="228"/>
      <c r="R183" s="242"/>
      <c r="S183" s="249">
        <f t="shared" si="96"/>
        <v>1</v>
      </c>
      <c r="T183" s="242" t="str">
        <f t="shared" si="88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89"/>
        <v>https://d0f6bd738d7f1b3e5a7ca70fe4ff75f0.us-east-1.aws.found.io/app/kibana#/discover/Steve-Slow-Train-Analysis-(2080s-and-2083s)?_g=(refreshInterval:(display:Off,pause:!f,section:0,value:0),time:(from:'2017-12-17T17:02:22-0700',mode:absolute,to:'2017-12-17T19:23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247" t="str">
        <f>IF(AA183&lt;VLOOKUP(AG183,Variables!$AC$3:$AD$8,2,FALSE),"Y","N")</f>
        <v>N</v>
      </c>
      <c r="X183" s="247">
        <f t="shared" si="130"/>
        <v>1</v>
      </c>
      <c r="Y183" s="247">
        <f t="shared" si="121"/>
        <v>3.8800000000000001E-2</v>
      </c>
      <c r="Z183" s="247">
        <f t="shared" si="122"/>
        <v>5.8987999999999996</v>
      </c>
      <c r="AA183" s="247">
        <f t="shared" si="90"/>
        <v>5.8599999999999994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91"/>
        <v>1825</v>
      </c>
      <c r="AE183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3" s="234" t="str">
        <f t="shared" si="93"/>
        <v>"C:\Program Files (x86)\AstroGrep\AstroGrep.exe" /e /r /s /spath="%USERPROFILE%\AppData\Local\Temp\OnboardLogs" /stypes="app*4044*20171218*" /stext=" 01:.+((SYSTEM_STATE.+slice.+state.+changed )|(ment ac)|(multiple cpu faults)|(system.+state.+changed )|(\[timeout)|(PRM\|1\|D)|(kpr)|(kdp)|(train st.+moving)|(\|lc)|(penalty))"</v>
      </c>
      <c r="AG183" s="244" t="str">
        <f t="shared" si="94"/>
        <v>NW</v>
      </c>
      <c r="AH183" s="236" t="str">
        <f t="shared" si="97"/>
        <v>"%USERPROFILE%\Documents\GitHub\eaglep3\Utilities\RefineRTDCRunTimes.py" --tripid 1825-17 --locoid 4044 --swversion DE.1.0.9.0 --startMP 204:388 --initTime 2017-12-17T18:02:22 --startdatetime 2017-12-17T18:09:26 --delay 78 --endMP 300:58988 --enddatetime 2017-12-17T18:23:38 --enforcementcount 0 &gt;&gt;%USERPROFILE%\Documents\GitHub\eaglep3-reporting\EC\2017-12-17-refined-times.txt</v>
      </c>
      <c r="AI183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{"issue":{"subject":"","project_id":79,"tracker_id":40,"status_id":1,"priority_id":2,"assigned_to_id":338,"start_date":"2017-12-17","description":"","custom_fields":[{"id":1,"name":"Subdivision","value":"NW"},{"id":4,"name":"Milepost","value":"5.8988"},{"id":17,"name":"Train ID","value":"1825-17"},{"id":16,"name":"Locomotive ID","value":"4044"},{"id":130,"name":"Impact","value":""},{"id":150,"name":"Time of Event (Mountain Time)","value":"18:23:38"},{"id":151,"name":"Denver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99"/>
        <v>start /low /b %USERPROFILE%\Documents\GitHub\eaglep3\Utilities\DownloadLogsFromS3.py --loco 4044 --day 2017-12-17</v>
      </c>
      <c r="AN183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101"/>
        <v>https://d0f6bd738d7f1b3e5a7ca70fe4ff75f0.us-east-1.aws.found.io/app/kibana#/discover/Steve-Slow-Train-Analysis-(2080s-and-2083s)?_g=(refreshInterval:(display:Off,pause:!f,section:0,value:0),time:(from:'2017-12-17T17:02:22-0700',mode:absolute,to:'2017-12-17T19:23:38-0700'))&amp;_a=(columns:!('Message%20ID',Summary),filters:!(),index:'emp_*',interval:auto,query:(query_string:(analyze_wildcard:!t,query:'%22rtdc.l.rtdc.4044%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865</v>
      </c>
      <c r="B184" s="225">
        <v>4043</v>
      </c>
      <c r="C184" s="227" t="s">
        <v>192</v>
      </c>
      <c r="D184" s="227" t="s">
        <v>596</v>
      </c>
      <c r="E184" s="226">
        <v>43086.767314814817</v>
      </c>
      <c r="F184" s="226">
        <v>43086.780115740738</v>
      </c>
      <c r="G184" s="225">
        <v>65</v>
      </c>
      <c r="H184" s="227" t="s">
        <v>984</v>
      </c>
      <c r="I184" s="226">
        <v>43086.788483796299</v>
      </c>
      <c r="J184" s="225">
        <v>0</v>
      </c>
      <c r="K184" s="237" t="str">
        <f t="shared" si="86"/>
        <v>4043/4044</v>
      </c>
      <c r="L184" s="245" t="str">
        <f>VLOOKUP(A184,'Trips&amp;Operators'!$C$1:$G$99911,5,FALSE)</f>
        <v>HOLCOMB KAMDEN</v>
      </c>
      <c r="M184" s="224">
        <f t="shared" si="87"/>
        <v>8.3680555617320351E-3</v>
      </c>
      <c r="N184" s="225">
        <f t="shared" si="120"/>
        <v>12.050000008894131</v>
      </c>
      <c r="O184" s="225"/>
      <c r="P184" s="225"/>
      <c r="Q184" s="228"/>
      <c r="R184" s="242"/>
      <c r="S184" s="249">
        <f t="shared" si="96"/>
        <v>1</v>
      </c>
      <c r="T184" s="242" t="str">
        <f t="shared" si="88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89"/>
        <v>https://d0f6bd738d7f1b3e5a7ca70fe4ff75f0.us-east-1.aws.found.io/app/kibana#/discover/Steve-Slow-Train-Analysis-(2080s-and-2083s)?_g=(refreshInterval:(display:Off,pause:!f,section:0,value:0),time:(from:'2017-12-17T17:24:56-0700',mode:absolute,to:'2017-12-17T19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247" t="str">
        <f>IF(AA184&lt;VLOOKUP(AG184,Variables!$AC$3:$AD$8,2,FALSE),"Y","N")</f>
        <v>N</v>
      </c>
      <c r="X184" s="247">
        <f t="shared" si="130"/>
        <v>1</v>
      </c>
      <c r="Y184" s="247">
        <f t="shared" si="121"/>
        <v>5.8674999999999997</v>
      </c>
      <c r="Z184" s="247">
        <f t="shared" si="122"/>
        <v>9.2999999999999992E-3</v>
      </c>
      <c r="AA184" s="247">
        <f t="shared" si="90"/>
        <v>5.8582000000000001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91"/>
        <v>1826</v>
      </c>
      <c r="AE184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4" s="234" t="str">
        <f t="shared" si="93"/>
        <v>"C:\Program Files (x86)\AstroGrep\AstroGrep.exe" /e /r /s /spath="%USERPROFILE%\AppData\Local\Temp\OnboardLogs" /stypes="app*4043*20171218*" /stext=" 01:.+((SYSTEM_STATE.+slice.+state.+changed )|(ment ac)|(multiple cpu faults)|(system.+state.+changed )|(\[timeout)|(PRM\|1\|D)|(kpr)|(kdp)|(train st.+moving)|(\|lc)|(penalty))"</v>
      </c>
      <c r="AG184" s="244" t="str">
        <f t="shared" si="94"/>
        <v>NW</v>
      </c>
      <c r="AH184" s="236" t="str">
        <f t="shared" si="97"/>
        <v>"%USERPROFILE%\Documents\GitHub\eaglep3\Utilities\RefineRTDCRunTimes.py" --tripid 1826-17 --locoid 4043 --swversion DE.1.0.9.0 --startMP 300:58675 --initTime 2017-12-17T18:24:56 --startdatetime 2017-12-17T18:43:22 --delay 65 --endMP 204:93 --enddatetime 2017-12-17T18:55:25 --enforcementcount 0 &gt;&gt;%USERPROFILE%\Documents\GitHub\eaglep3-reporting\EC\2017-12-17-refined-times.txt</v>
      </c>
      <c r="AI184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{"issue":{"subject":"","project_id":79,"tracker_id":40,"status_id":1,"priority_id":2,"assigned_to_id":338,"start_date":"2017-12-17","description":"","custom_fields":[{"id":1,"name":"Subdivision","value":"NW"},{"id":4,"name":"Milepost","value":"0.0093"},{"id":17,"name":"Train ID","value":"1826-17"},{"id":16,"name":"Locomotive ID","value":"4043"},{"id":130,"name":"Impact","value":""},{"id":150,"name":"Time of Event (Mountain Time)","value":"18:55:25"},{"id":151,"name":"Denver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99"/>
        <v>start /low /b %USERPROFILE%\Documents\GitHub\eaglep3\Utilities\DownloadLogsFromS3.py --loco 4043 --day 2017-12-17</v>
      </c>
      <c r="AN184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101"/>
        <v>https://d0f6bd738d7f1b3e5a7ca70fe4ff75f0.us-east-1.aws.found.io/app/kibana#/discover/Steve-Slow-Train-Analysis-(2080s-and-2083s)?_g=(refreshInterval:(display:Off,pause:!f,section:0,value:0),time:(from:'2017-12-17T17:24:56-0700',mode:absolute,to:'2017-12-17T19:55:25-0700'))&amp;_a=(columns:!('Message%20ID',Summary),filters:!(),index:'emp_*',interval:auto,query:(query_string:(analyze_wildcard:!t,query:'%22rtdc.l.rtdc.4043%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711</v>
      </c>
      <c r="B185" s="225">
        <v>4044</v>
      </c>
      <c r="C185" s="227" t="s">
        <v>192</v>
      </c>
      <c r="D185" s="227" t="s">
        <v>986</v>
      </c>
      <c r="E185" s="226">
        <v>43086.796678240738</v>
      </c>
      <c r="F185" s="226">
        <v>43086.798125000001</v>
      </c>
      <c r="G185" s="225">
        <v>52</v>
      </c>
      <c r="H185" s="227" t="s">
        <v>987</v>
      </c>
      <c r="I185" s="226">
        <v>43086.807766203703</v>
      </c>
      <c r="J185" s="225">
        <v>0</v>
      </c>
      <c r="K185" s="237" t="str">
        <f t="shared" si="86"/>
        <v>4043/4044</v>
      </c>
      <c r="L185" s="245" t="str">
        <f>VLOOKUP(A185,'Trips&amp;Operators'!$C$1:$G$99911,5,FALSE)</f>
        <v>HOLCOMB KAMDEN</v>
      </c>
      <c r="M185" s="224">
        <f t="shared" si="87"/>
        <v>9.6412037019035779E-3</v>
      </c>
      <c r="N185" s="225">
        <f t="shared" si="120"/>
        <v>13.883333330741152</v>
      </c>
      <c r="O185" s="225"/>
      <c r="P185" s="225"/>
      <c r="Q185" s="228"/>
      <c r="R185" s="242"/>
      <c r="S185" s="249">
        <f t="shared" si="96"/>
        <v>1</v>
      </c>
      <c r="T185" s="242" t="str">
        <f t="shared" si="88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89"/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247" t="str">
        <f>IF(AA185&lt;VLOOKUP(AG185,Variables!$AC$3:$AD$8,2,FALSE),"Y","N")</f>
        <v>N</v>
      </c>
      <c r="X185" s="247">
        <f t="shared" si="130"/>
        <v>1</v>
      </c>
      <c r="Y185" s="247">
        <f t="shared" si="121"/>
        <v>4.1500000000000002E-2</v>
      </c>
      <c r="Z185" s="247">
        <f t="shared" si="122"/>
        <v>5.8998999999999997</v>
      </c>
      <c r="AA185" s="247">
        <f t="shared" si="90"/>
        <v>5.8583999999999996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91"/>
        <v>1827</v>
      </c>
      <c r="AE185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5" s="234" t="str">
        <f t="shared" si="93"/>
        <v>"C:\Program Files (x86)\AstroGrep\AstroGrep.exe" /e /r /s /spath="%USERPROFILE%\AppData\Local\Temp\OnboardLogs" /stypes="app*4044*20171218*" /stext=" 02:.+((SYSTEM_STATE.+slice.+state.+changed )|(ment ac)|(multiple cpu faults)|(system.+state.+changed )|(\[timeout)|(PRM\|1\|D)|(kpr)|(kdp)|(train st.+moving)|(\|lc)|(penalty))"</v>
      </c>
      <c r="AG185" s="244" t="str">
        <f t="shared" si="94"/>
        <v>NW</v>
      </c>
      <c r="AH185" s="236" t="str">
        <f t="shared" si="97"/>
        <v>"%USERPROFILE%\Documents\GitHub\eaglep3\Utilities\RefineRTDCRunTimes.py" --tripid 1827-17 --locoid 4044 --swversion DE.1.0.9.0 --startMP 204:415 --initTime 2017-12-17T19:07:13 --startdatetime 2017-12-17T19:09:18 --delay 52 --endMP 300:58999 --enddatetime 2017-12-17T19:23:11 --enforcementcount 0 &gt;&gt;%USERPROFILE%\Documents\GitHub\eaglep3-reporting\EC\2017-12-17-refined-times.txt</v>
      </c>
      <c r="AI185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{"issue":{"subject":"","project_id":79,"tracker_id":40,"status_id":1,"priority_id":2,"assigned_to_id":338,"start_date":"2017-12-17","description":"","custom_fields":[{"id":1,"name":"Subdivision","value":"NW"},{"id":4,"name":"Milepost","value":"5.8999"},{"id":17,"name":"Train ID","value":"1827-17"},{"id":16,"name":"Locomotive ID","value":"4044"},{"id":130,"name":"Impact","value":""},{"id":150,"name":"Time of Event (Mountain Time)","value":"19:23:11"},{"id":151,"name":"Denver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99"/>
        <v>start /low /b %USERPROFILE%\Documents\GitHub\eaglep3\Utilities\DownloadLogsFromS3.py --loco 4044 --day 2017-12-17</v>
      </c>
      <c r="AN185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101"/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Message%20ID',Summary),filters:!(),index:'emp_*',interval:auto,query:(query_string:(analyze_wildcard:!t,query:'%22rtdc.l.rtdc.4044%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872</v>
      </c>
      <c r="B186" s="225">
        <v>4043</v>
      </c>
      <c r="C186" s="227" t="s">
        <v>192</v>
      </c>
      <c r="D186" s="227" t="s">
        <v>973</v>
      </c>
      <c r="E186" s="226">
        <v>43086.808564814812</v>
      </c>
      <c r="F186" s="226">
        <v>43086.821747685186</v>
      </c>
      <c r="G186" s="225">
        <v>50</v>
      </c>
      <c r="H186" s="227" t="s">
        <v>988</v>
      </c>
      <c r="I186" s="226">
        <v>43086.830787037034</v>
      </c>
      <c r="J186" s="225">
        <v>0</v>
      </c>
      <c r="K186" s="237" t="str">
        <f t="shared" si="86"/>
        <v>4043/4044</v>
      </c>
      <c r="L186" s="245" t="str">
        <f>VLOOKUP(A186,'Trips&amp;Operators'!$C$1:$G$99911,5,FALSE)</f>
        <v>HOLCOMB KAMDEN</v>
      </c>
      <c r="M186" s="224">
        <f t="shared" si="87"/>
        <v>9.0393518476048484E-3</v>
      </c>
      <c r="N186" s="225">
        <f t="shared" si="120"/>
        <v>13.016666660550982</v>
      </c>
      <c r="O186" s="225"/>
      <c r="P186" s="225"/>
      <c r="Q186" s="228"/>
      <c r="R186" s="242"/>
      <c r="S186" s="249">
        <f t="shared" si="96"/>
        <v>1</v>
      </c>
      <c r="T186" s="242" t="str">
        <f t="shared" si="88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89"/>
        <v>https://d0f6bd738d7f1b3e5a7ca70fe4ff75f0.us-east-1.aws.found.io/app/kibana#/discover/Steve-Slow-Train-Analysis-(2080s-and-2083s)?_g=(refreshInterval:(display:Off,pause:!f,section:0,value:0),time:(from:'2017-12-17T18:24:20-0700',mode:absolute,to:'2017-12-17T20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247" t="str">
        <f>IF(AA186&lt;VLOOKUP(AG186,Variables!$AC$3:$AD$8,2,FALSE),"Y","N")</f>
        <v>N</v>
      </c>
      <c r="X186" s="247">
        <f t="shared" si="130"/>
        <v>1</v>
      </c>
      <c r="Y186" s="247">
        <f t="shared" si="121"/>
        <v>5.8685</v>
      </c>
      <c r="Z186" s="247">
        <f t="shared" si="122"/>
        <v>8.2000000000000007E-3</v>
      </c>
      <c r="AA186" s="247">
        <f t="shared" si="90"/>
        <v>5.8602999999999996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91"/>
        <v>1828</v>
      </c>
      <c r="AE186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6" s="234" t="str">
        <f t="shared" si="93"/>
        <v>"C:\Program Files (x86)\AstroGrep\AstroGrep.exe" /e /r /s /spath="%USERPROFILE%\AppData\Local\Temp\OnboardLogs" /stypes="app*4043*20171218*" /stext=" 02:.+((SYSTEM_STATE.+slice.+state.+changed )|(ment ac)|(multiple cpu faults)|(system.+state.+changed )|(\[timeout)|(PRM\|1\|D)|(kpr)|(kdp)|(train st.+moving)|(\|lc)|(penalty))"</v>
      </c>
      <c r="AG186" s="244" t="str">
        <f t="shared" si="94"/>
        <v>NW</v>
      </c>
      <c r="AH186" s="236" t="str">
        <f t="shared" si="97"/>
        <v>"%USERPROFILE%\Documents\GitHub\eaglep3\Utilities\RefineRTDCRunTimes.py" --tripid 1828-17 --locoid 4043 --swversion DE.1.0.9.0 --startMP 300:58685 --initTime 2017-12-17T19:24:20 --startdatetime 2017-12-17T19:43:19 --delay 50 --endMP 204:82 --enddatetime 2017-12-17T19:56:20 --enforcementcount 0 &gt;&gt;%USERPROFILE%\Documents\GitHub\eaglep3-reporting\EC\2017-12-17-refined-times.txt</v>
      </c>
      <c r="AI186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{"issue":{"subject":"","project_id":79,"tracker_id":40,"status_id":1,"priority_id":2,"assigned_to_id":338,"start_date":"2017-12-17","description":"","custom_fields":[{"id":1,"name":"Subdivision","value":"NW"},{"id":4,"name":"Milepost","value":"0.0082"},{"id":17,"name":"Train ID","value":"1828-17"},{"id":16,"name":"Locomotive ID","value":"4043"},{"id":130,"name":"Impact","value":""},{"id":150,"name":"Time of Event (Mountain Time)","value":"19:56:20"},{"id":151,"name":"Denver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99"/>
        <v>start /low /b %USERPROFILE%\Documents\GitHub\eaglep3\Utilities\DownloadLogsFromS3.py --loco 4043 --day 2017-12-17</v>
      </c>
      <c r="AN186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101"/>
        <v>https://d0f6bd738d7f1b3e5a7ca70fe4ff75f0.us-east-1.aws.found.io/app/kibana#/discover/Steve-Slow-Train-Analysis-(2080s-and-2083s)?_g=(refreshInterval:(display:Off,pause:!f,section:0,value:0),time:(from:'2017-12-17T18:24:20-0700',mode:absolute,to:'2017-12-17T20:56:20-0700'))&amp;_a=(columns:!('Message%20ID',Summary),filters:!(),index:'emp_*',interval:auto,query:(query_string:(analyze_wildcard:!t,query:'%22rtdc.l.rtdc.4043%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713</v>
      </c>
      <c r="B187" s="225">
        <v>4044</v>
      </c>
      <c r="C187" s="227" t="s">
        <v>192</v>
      </c>
      <c r="D187" s="227" t="s">
        <v>989</v>
      </c>
      <c r="E187" s="226">
        <v>43086.838287037041</v>
      </c>
      <c r="F187" s="226">
        <v>43086.839814814812</v>
      </c>
      <c r="G187" s="225">
        <v>47</v>
      </c>
      <c r="H187" s="227" t="s">
        <v>990</v>
      </c>
      <c r="I187" s="226">
        <v>43086.847245370373</v>
      </c>
      <c r="J187" s="225">
        <v>0</v>
      </c>
      <c r="K187" s="237" t="str">
        <f t="shared" si="86"/>
        <v>4043/4044</v>
      </c>
      <c r="L187" s="245" t="str">
        <f>VLOOKUP(A187,'Trips&amp;Operators'!$C$1:$G$99911,5,FALSE)</f>
        <v>HOLCOMB KAMDEN</v>
      </c>
      <c r="M187" s="224">
        <f t="shared" si="87"/>
        <v>7.4305555608589202E-3</v>
      </c>
      <c r="N187" s="225">
        <f t="shared" si="120"/>
        <v>10.700000007636845</v>
      </c>
      <c r="O187" s="225"/>
      <c r="P187" s="225"/>
      <c r="Q187" s="228"/>
      <c r="R187" s="242"/>
      <c r="S187" s="249">
        <f t="shared" si="96"/>
        <v>1</v>
      </c>
      <c r="T187" s="242" t="str">
        <f t="shared" si="88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89"/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247" t="str">
        <f>IF(AA187&lt;VLOOKUP(AG187,Variables!$AC$3:$AD$8,2,FALSE),"Y","N")</f>
        <v>N</v>
      </c>
      <c r="X187" s="247">
        <f t="shared" si="130"/>
        <v>1</v>
      </c>
      <c r="Y187" s="247">
        <f t="shared" si="121"/>
        <v>3.8600000000000002E-2</v>
      </c>
      <c r="Z187" s="247">
        <f t="shared" si="122"/>
        <v>5.8041</v>
      </c>
      <c r="AA187" s="247">
        <f t="shared" si="90"/>
        <v>5.7655000000000003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91"/>
        <v>1829</v>
      </c>
      <c r="AE187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7" s="234" t="str">
        <f t="shared" si="93"/>
        <v>"C:\Program Files (x86)\AstroGrep\AstroGrep.exe" /e /r /s /spath="%USERPROFILE%\AppData\Local\Temp\OnboardLogs" /stypes="app*4044*20171218*" /stext=" 03:.+((SYSTEM_STATE.+slice.+state.+changed )|(ment ac)|(multiple cpu faults)|(system.+state.+changed )|(\[timeout)|(PRM\|1\|D)|(kpr)|(kdp)|(train st.+moving)|(\|lc)|(penalty))"</v>
      </c>
      <c r="AG187" s="244" t="str">
        <f t="shared" si="94"/>
        <v>NW</v>
      </c>
      <c r="AH187" s="236" t="str">
        <f t="shared" si="97"/>
        <v>"%USERPROFILE%\Documents\GitHub\eaglep3\Utilities\RefineRTDCRunTimes.py" --tripid 1829-17 --locoid 4044 --swversion DE.1.0.9.0 --startMP 204:386 --initTime 2017-12-17T20:07:08 --startdatetime 2017-12-17T20:09:20 --delay 47 --endMP 300:58041 --enddatetime 2017-12-17T20:20:02 --enforcementcount 0 &gt;&gt;%USERPROFILE%\Documents\GitHub\eaglep3-reporting\EC\2017-12-17-refined-times.txt</v>
      </c>
      <c r="AI187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{"issue":{"subject":"","project_id":79,"tracker_id":40,"status_id":1,"priority_id":2,"assigned_to_id":338,"start_date":"2017-12-17","description":"","custom_fields":[{"id":1,"name":"Subdivision","value":"NW"},{"id":4,"name":"Milepost","value":"5.8041"},{"id":17,"name":"Train ID","value":"1829-17"},{"id":16,"name":"Locomotive ID","value":"4044"},{"id":130,"name":"Impact","value":""},{"id":150,"name":"Time of Event (Mountain Time)","value":"20:20:02"},{"id":151,"name":"Denver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99"/>
        <v>start /low /b %USERPROFILE%\Documents\GitHub\eaglep3\Utilities\DownloadLogsFromS3.py --loco 4044 --day 2017-12-17</v>
      </c>
      <c r="AN187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101"/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Message%20ID',Summary),filters:!(),index:'emp_*',interval:auto,query:(query_string:(analyze_wildcard:!t,query:'%22rtdc.l.rtdc.4044%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879</v>
      </c>
      <c r="B188" s="225">
        <v>4043</v>
      </c>
      <c r="C188" s="227" t="s">
        <v>192</v>
      </c>
      <c r="D188" s="227" t="s">
        <v>993</v>
      </c>
      <c r="E188" s="226">
        <v>43086.851307870369</v>
      </c>
      <c r="F188" s="226">
        <v>43086.86346064815</v>
      </c>
      <c r="G188" s="225">
        <v>52</v>
      </c>
      <c r="H188" s="227" t="s">
        <v>994</v>
      </c>
      <c r="I188" s="226">
        <v>43086.872094907405</v>
      </c>
      <c r="J188" s="225">
        <v>0</v>
      </c>
      <c r="K188" s="237" t="str">
        <f t="shared" si="86"/>
        <v>4043/4044</v>
      </c>
      <c r="L188" s="245" t="str">
        <f>VLOOKUP(A188,'Trips&amp;Operators'!$C$1:$G$99911,5,FALSE)</f>
        <v>HOLCOMB KAMDEN</v>
      </c>
      <c r="M188" s="224">
        <f t="shared" si="87"/>
        <v>8.6342592549044639E-3</v>
      </c>
      <c r="N188" s="225">
        <f t="shared" si="120"/>
        <v>12.433333327062428</v>
      </c>
      <c r="O188" s="225"/>
      <c r="P188" s="225"/>
      <c r="Q188" s="228"/>
      <c r="R188" s="242"/>
      <c r="S188" s="249">
        <f t="shared" si="96"/>
        <v>1</v>
      </c>
      <c r="T188" s="242" t="str">
        <f t="shared" si="88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89"/>
        <v>https://d0f6bd738d7f1b3e5a7ca70fe4ff75f0.us-east-1.aws.found.io/app/kibana#/discover/Steve-Slow-Train-Analysis-(2080s-and-2083s)?_g=(refreshInterval:(display:Off,pause:!f,section:0,value:0),time:(from:'2017-12-17T19:25:53-0700',mode:absolute,to:'2017-12-17T21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247" t="str">
        <f>IF(AA188&lt;VLOOKUP(AG188,Variables!$AC$3:$AD$8,2,FALSE),"Y","N")</f>
        <v>N</v>
      </c>
      <c r="X188" s="247">
        <f t="shared" si="130"/>
        <v>1</v>
      </c>
      <c r="Y188" s="247">
        <f t="shared" si="121"/>
        <v>5.8686999999999996</v>
      </c>
      <c r="Z188" s="247">
        <f t="shared" si="122"/>
        <v>9.9000000000000008E-3</v>
      </c>
      <c r="AA188" s="247">
        <f t="shared" si="90"/>
        <v>5.8587999999999996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91"/>
        <v>1830</v>
      </c>
      <c r="AE188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88" s="234" t="str">
        <f t="shared" si="93"/>
        <v>"C:\Program Files (x86)\AstroGrep\AstroGrep.exe" /e /r /s /spath="%USERPROFILE%\AppData\Local\Temp\OnboardLogs" /stypes="app*4043*20171218*" /stext=" 03:.+((SYSTEM_STATE.+slice.+state.+changed )|(ment ac)|(multiple cpu faults)|(system.+state.+changed )|(\[timeout)|(PRM\|1\|D)|(kpr)|(kdp)|(train st.+moving)|(\|lc)|(penalty))"</v>
      </c>
      <c r="AG188" s="244" t="str">
        <f t="shared" si="94"/>
        <v>NW</v>
      </c>
      <c r="AH188" s="236" t="str">
        <f t="shared" si="97"/>
        <v>"%USERPROFILE%\Documents\GitHub\eaglep3\Utilities\RefineRTDCRunTimes.py" --tripid 1830-17 --locoid 4043 --swversion DE.1.0.9.0 --startMP 300:58687 --initTime 2017-12-17T20:25:53 --startdatetime 2017-12-17T20:43:23 --delay 52 --endMP 204:99 --enddatetime 2017-12-17T20:55:49 --enforcementcount 0 &gt;&gt;%USERPROFILE%\Documents\GitHub\eaglep3-reporting\EC\2017-12-17-refined-times.txt</v>
      </c>
      <c r="AI188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{"issue":{"subject":"","project_id":79,"tracker_id":40,"status_id":1,"priority_id":2,"assigned_to_id":338,"start_date":"2017-12-17","description":"","custom_fields":[{"id":1,"name":"Subdivision","value":"NW"},{"id":4,"name":"Milepost","value":"0.0099"},{"id":17,"name":"Train ID","value":"1830-17"},{"id":16,"name":"Locomotive ID","value":"4043"},{"id":130,"name":"Impact","value":""},{"id":150,"name":"Time of Event (Mountain Time)","value":"20:55:49"},{"id":151,"name":"Denver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99"/>
        <v>start /low /b %USERPROFILE%\Documents\GitHub\eaglep3\Utilities\DownloadLogsFromS3.py --loco 4043 --day 2017-12-17</v>
      </c>
      <c r="AN188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101"/>
        <v>https://d0f6bd738d7f1b3e5a7ca70fe4ff75f0.us-east-1.aws.found.io/app/kibana#/discover/Steve-Slow-Train-Analysis-(2080s-and-2083s)?_g=(refreshInterval:(display:Off,pause:!f,section:0,value:0),time:(from:'2017-12-17T19:25:53-0700',mode:absolute,to:'2017-12-17T21:55:49-0700'))&amp;_a=(columns:!('Message%20ID',Summary),filters:!(),index:'emp_*',interval:auto,query:(query_string:(analyze_wildcard:!t,query:'%22rtdc.l.rtdc.4043%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882</v>
      </c>
      <c r="B189" s="225">
        <v>4044</v>
      </c>
      <c r="C189" s="227" t="s">
        <v>192</v>
      </c>
      <c r="D189" s="227" t="s">
        <v>995</v>
      </c>
      <c r="E189" s="226">
        <v>43086.879837962966</v>
      </c>
      <c r="F189" s="226">
        <v>43086.881481481483</v>
      </c>
      <c r="G189" s="225">
        <v>53</v>
      </c>
      <c r="H189" s="227" t="s">
        <v>996</v>
      </c>
      <c r="I189" s="226">
        <v>43086.890902777777</v>
      </c>
      <c r="J189" s="225">
        <v>0</v>
      </c>
      <c r="K189" s="237" t="str">
        <f t="shared" si="86"/>
        <v>4043/4044</v>
      </c>
      <c r="L189" s="245" t="str">
        <f>VLOOKUP(A189,'Trips&amp;Operators'!$C$1:$G$99911,5,FALSE)</f>
        <v>HOLCOMB KAMDEN</v>
      </c>
      <c r="M189" s="224">
        <f t="shared" si="87"/>
        <v>9.4212962940218858E-3</v>
      </c>
      <c r="N189" s="225">
        <f t="shared" si="120"/>
        <v>13.566666663391516</v>
      </c>
      <c r="O189" s="225"/>
      <c r="P189" s="225"/>
      <c r="Q189" s="228"/>
      <c r="R189" s="242"/>
      <c r="S189" s="249">
        <f t="shared" si="96"/>
        <v>1</v>
      </c>
      <c r="T189" s="242" t="str">
        <f t="shared" si="88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89"/>
        <v>https://d0f6bd738d7f1b3e5a7ca70fe4ff75f0.us-east-1.aws.found.io/app/kibana#/discover/Steve-Slow-Train-Analysis-(2080s-and-2083s)?_g=(refreshInterval:(display:Off,pause:!f,section:0,value:0),time:(from:'2017-12-17T20:06:58-0700',mode:absolute,to:'2017-12-17T22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47" t="str">
        <f>IF(AA189&lt;VLOOKUP(AG189,Variables!$AC$3:$AD$8,2,FALSE),"Y","N")</f>
        <v>N</v>
      </c>
      <c r="X189" s="247">
        <f t="shared" si="130"/>
        <v>1</v>
      </c>
      <c r="Y189" s="247">
        <f t="shared" si="121"/>
        <v>3.7400000000000003E-2</v>
      </c>
      <c r="Z189" s="247">
        <f t="shared" si="122"/>
        <v>5.899</v>
      </c>
      <c r="AA189" s="247">
        <f t="shared" si="90"/>
        <v>5.8616000000000001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91"/>
        <v>1831</v>
      </c>
      <c r="AE189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89" s="234" t="str">
        <f t="shared" si="93"/>
        <v>"C:\Program Files (x86)\AstroGrep\AstroGrep.exe" /e /r /s /spath="%USERPROFILE%\AppData\Local\Temp\OnboardLogs" /stypes="app*4044*20171218*" /stext=" 04:.+((SYSTEM_STATE.+slice.+state.+changed )|(ment ac)|(multiple cpu faults)|(system.+state.+changed )|(\[timeout)|(PRM\|1\|D)|(kpr)|(kdp)|(train st.+moving)|(\|lc)|(penalty))"</v>
      </c>
      <c r="AG189" s="244" t="str">
        <f t="shared" si="94"/>
        <v>NW</v>
      </c>
      <c r="AH189" s="236" t="str">
        <f t="shared" si="97"/>
        <v>"%USERPROFILE%\Documents\GitHub\eaglep3\Utilities\RefineRTDCRunTimes.py" --tripid 1831-17 --locoid 4044 --swversion DE.1.0.9.0 --startMP 204:374 --initTime 2017-12-17T21:06:58 --startdatetime 2017-12-17T21:09:20 --delay 53 --endMP 300:58990 --enddatetime 2017-12-17T21:22:54 --enforcementcount 0 &gt;&gt;%USERPROFILE%\Documents\GitHub\eaglep3-reporting\EC\2017-12-17-refined-times.txt</v>
      </c>
      <c r="AI189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{"issue":{"subject":"","project_id":79,"tracker_id":40,"status_id":1,"priority_id":2,"assigned_to_id":338,"start_date":"2017-12-17","description":"","custom_fields":[{"id":1,"name":"Subdivision","value":"NW"},{"id":4,"name":"Milepost","value":"5.899"},{"id":17,"name":"Train ID","value":"1831-17"},{"id":16,"name":"Locomotive ID","value":"4044"},{"id":130,"name":"Impact","value":""},{"id":150,"name":"Time of Event (Mountain Time)","value":"21:22:54"},{"id":151,"name":"Denver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99"/>
        <v>start /low /b %USERPROFILE%\Documents\GitHub\eaglep3\Utilities\DownloadLogsFromS3.py --loco 4044 --day 2017-12-17</v>
      </c>
      <c r="AN189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101"/>
        <v>https://d0f6bd738d7f1b3e5a7ca70fe4ff75f0.us-east-1.aws.found.io/app/kibana#/discover/Steve-Slow-Train-Analysis-(2080s-and-2083s)?_g=(refreshInterval:(display:Off,pause:!f,section:0,value:0),time:(from:'2017-12-17T20:06:58-0700',mode:absolute,to:'2017-12-17T22:22:54-0700'))&amp;_a=(columns:!('Message%20ID',Summary),filters:!(),index:'emp_*',interval:auto,query:(query_string:(analyze_wildcard:!t,query:'%22rtdc.l.rtdc.4044%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883</v>
      </c>
      <c r="B190" s="225">
        <v>4043</v>
      </c>
      <c r="C190" s="227" t="s">
        <v>192</v>
      </c>
      <c r="D190" s="227" t="s">
        <v>571</v>
      </c>
      <c r="E190" s="226">
        <v>43086.89166666667</v>
      </c>
      <c r="F190" s="226">
        <v>43086.904537037037</v>
      </c>
      <c r="G190" s="225">
        <v>53</v>
      </c>
      <c r="H190" s="227" t="s">
        <v>997</v>
      </c>
      <c r="I190" s="226">
        <v>43086.913842592592</v>
      </c>
      <c r="J190" s="225">
        <v>0</v>
      </c>
      <c r="K190" s="237" t="str">
        <f t="shared" si="86"/>
        <v>4043/4044</v>
      </c>
      <c r="L190" s="245" t="str">
        <f>VLOOKUP(A190,'Trips&amp;Operators'!$C$1:$G$99911,5,FALSE)</f>
        <v>HOLCOMB KAMDEN</v>
      </c>
      <c r="M190" s="224">
        <f t="shared" si="87"/>
        <v>9.3055555553291924E-3</v>
      </c>
      <c r="N190" s="225">
        <f t="shared" si="120"/>
        <v>13.399999999674037</v>
      </c>
      <c r="O190" s="225"/>
      <c r="P190" s="225"/>
      <c r="Q190" s="228"/>
      <c r="R190" s="242"/>
      <c r="S190" s="249">
        <f t="shared" si="96"/>
        <v>1</v>
      </c>
      <c r="T190" s="242" t="str">
        <f t="shared" si="88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89"/>
        <v>https://d0f6bd738d7f1b3e5a7ca70fe4ff75f0.us-east-1.aws.found.io/app/kibana#/discover/Steve-Slow-Train-Analysis-(2080s-and-2083s)?_g=(refreshInterval:(display:Off,pause:!f,section:0,value:0),time:(from:'2017-12-17T20:24:00-0700',mode:absolute,to:'2017-12-17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47" t="str">
        <f>IF(AA190&lt;VLOOKUP(AG190,Variables!$AC$3:$AD$8,2,FALSE),"Y","N")</f>
        <v>N</v>
      </c>
      <c r="X190" s="247">
        <f t="shared" si="130"/>
        <v>1</v>
      </c>
      <c r="Y190" s="247">
        <f t="shared" si="121"/>
        <v>5.867</v>
      </c>
      <c r="Z190" s="247">
        <f t="shared" si="122"/>
        <v>6.7999999999999996E-3</v>
      </c>
      <c r="AA190" s="247">
        <f t="shared" si="90"/>
        <v>5.8601999999999999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91"/>
        <v>1832</v>
      </c>
      <c r="AE190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0" s="234" t="str">
        <f t="shared" si="93"/>
        <v>"C:\Program Files (x86)\AstroGrep\AstroGrep.exe" /e /r /s /spath="%USERPROFILE%\AppData\Local\Temp\OnboardLogs" /stypes="app*4043*20171218*" /stext=" 04:.+((SYSTEM_STATE.+slice.+state.+changed )|(ment ac)|(multiple cpu faults)|(system.+state.+changed )|(\[timeout)|(PRM\|1\|D)|(kpr)|(kdp)|(train st.+moving)|(\|lc)|(penalty))"</v>
      </c>
      <c r="AG190" s="244" t="str">
        <f t="shared" si="94"/>
        <v>NW</v>
      </c>
      <c r="AH190" s="236" t="str">
        <f t="shared" si="97"/>
        <v>"%USERPROFILE%\Documents\GitHub\eaglep3\Utilities\RefineRTDCRunTimes.py" --tripid 1832-17 --locoid 4043 --swversion DE.1.0.9.0 --startMP 300:58670 --initTime 2017-12-17T21:24:00 --startdatetime 2017-12-17T21:42:32 --delay 53 --endMP 204:68 --enddatetime 2017-12-17T21:55:56 --enforcementcount 0 &gt;&gt;%USERPROFILE%\Documents\GitHub\eaglep3-reporting\EC\2017-12-17-refined-times.txt</v>
      </c>
      <c r="AI190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{"issue":{"subject":"","project_id":79,"tracker_id":40,"status_id":1,"priority_id":2,"assigned_to_id":338,"start_date":"2017-12-17","description":"","custom_fields":[{"id":1,"name":"Subdivision","value":"NW"},{"id":4,"name":"Milepost","value":"0.0068"},{"id":17,"name":"Train ID","value":"1832-17"},{"id":16,"name":"Locomotive ID","value":"4043"},{"id":130,"name":"Impact","value":""},{"id":150,"name":"Time of Event (Mountain Time)","value":"21:55:56"},{"id":151,"name":"Denver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99"/>
        <v>start /low /b %USERPROFILE%\Documents\GitHub\eaglep3\Utilities\DownloadLogsFromS3.py --loco 4043 --day 2017-12-17</v>
      </c>
      <c r="AN190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04:55:56"},{"id":29,"name":"Sharepoint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101"/>
        <v>https://d0f6bd738d7f1b3e5a7ca70fe4ff75f0.us-east-1.aws.found.io/app/kibana#/discover/Steve-Slow-Train-Analysis-(2080s-and-2083s)?_g=(refreshInterval:(display:Off,pause:!f,section:0,value:0),time:(from:'2017-12-17T20:24:00-0700',mode:absolute,to:'2017-12-17T22:55:56-0700'))&amp;_a=(columns:!('Message%20ID',Summary),filters:!(),index:'emp_*',interval:auto,query:(query_string:(analyze_wildcard:!t,query:'%22rtdc.l.rtdc.4043%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887</v>
      </c>
      <c r="B191" s="225">
        <v>4044</v>
      </c>
      <c r="C191" s="227" t="s">
        <v>192</v>
      </c>
      <c r="D191" s="227" t="s">
        <v>995</v>
      </c>
      <c r="E191" s="226">
        <v>43086.92046296296</v>
      </c>
      <c r="F191" s="226">
        <v>43086.923275462963</v>
      </c>
      <c r="G191" s="225">
        <v>76</v>
      </c>
      <c r="H191" s="227" t="s">
        <v>996</v>
      </c>
      <c r="I191" s="226">
        <v>43086.932916666665</v>
      </c>
      <c r="J191" s="225">
        <v>0</v>
      </c>
      <c r="K191" s="237" t="str">
        <f t="shared" si="86"/>
        <v>4043/4044</v>
      </c>
      <c r="L191" s="245" t="str">
        <f>VLOOKUP(A191,'Trips&amp;Operators'!$C$1:$G$99911,5,FALSE)</f>
        <v>HOLCOMB KAMDEN</v>
      </c>
      <c r="M191" s="224">
        <f t="shared" si="87"/>
        <v>9.6412037019035779E-3</v>
      </c>
      <c r="N191" s="225">
        <f t="shared" si="120"/>
        <v>13.883333330741152</v>
      </c>
      <c r="O191" s="225"/>
      <c r="P191" s="225"/>
      <c r="Q191" s="228"/>
      <c r="R191" s="242"/>
      <c r="S191" s="249">
        <f t="shared" si="96"/>
        <v>1</v>
      </c>
      <c r="T191" s="242" t="str">
        <f t="shared" si="88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89"/>
        <v>https://d0f6bd738d7f1b3e5a7ca70fe4ff75f0.us-east-1.aws.found.io/app/kibana#/discover/Steve-Slow-Train-Analysis-(2080s-and-2083s)?_g=(refreshInterval:(display:Off,pause:!f,section:0,value:0),time:(from:'2017-12-17T21:05:28-0700',mode:absolute,to:'2017-12-17T23:23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247" t="str">
        <f>IF(AA191&lt;VLOOKUP(AG191,Variables!$AC$3:$AD$8,2,FALSE),"Y","N")</f>
        <v>N</v>
      </c>
      <c r="X191" s="247">
        <f t="shared" si="130"/>
        <v>1</v>
      </c>
      <c r="Y191" s="247">
        <f t="shared" si="121"/>
        <v>3.7400000000000003E-2</v>
      </c>
      <c r="Z191" s="247">
        <f t="shared" si="122"/>
        <v>5.899</v>
      </c>
      <c r="AA191" s="247">
        <f t="shared" si="90"/>
        <v>5.8616000000000001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91"/>
        <v>1833</v>
      </c>
      <c r="AE191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91" s="234" t="str">
        <f t="shared" si="93"/>
        <v>"C:\Program Files (x86)\AstroGrep\AstroGrep.exe" /e /r /s /spath="%USERPROFILE%\AppData\Local\Temp\OnboardLogs" /stypes="app*4044*20171218*" /stext=" 05:.+((SYSTEM_STATE.+slice.+state.+changed )|(ment ac)|(multiple cpu faults)|(system.+state.+changed )|(\[timeout)|(PRM\|1\|D)|(kpr)|(kdp)|(train st.+moving)|(\|lc)|(penalty))"</v>
      </c>
      <c r="AG191" s="244" t="str">
        <f t="shared" si="94"/>
        <v>NW</v>
      </c>
      <c r="AH191" s="236" t="str">
        <f t="shared" si="97"/>
        <v>"%USERPROFILE%\Documents\GitHub\eaglep3\Utilities\RefineRTDCRunTimes.py" --tripid 1833-17 --locoid 4044 --swversion DE.1.0.9.0 --startMP 204:374 --initTime 2017-12-17T22:05:28 --startdatetime 2017-12-17T22:09:31 --delay 76 --endMP 300:58990 --enddatetime 2017-12-17T22:23:24 --enforcementcount 0 &gt;&gt;%USERPROFILE%\Documents\GitHub\eaglep3-reporting\EC\2017-12-17-refined-times.txt</v>
      </c>
      <c r="AI191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{"issue":{"subject":"","project_id":79,"tracker_id":40,"status_id":1,"priority_id":2,"assigned_to_id":338,"start_date":"2017-12-17","description":"","custom_fields":[{"id":1,"name":"Subdivision","value":"NW"},{"id":4,"name":"Milepost","value":"5.899"},{"id":17,"name":"Train ID","value":"1833-17"},{"id":16,"name":"Locomotive ID","value":"4044"},{"id":130,"name":"Impact","value":""},{"id":150,"name":"Time of Event (Mountain Time)","value":"22:23:24"},{"id":151,"name":"Denver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99"/>
        <v>start /low /b %USERPROFILE%\Documents\GitHub\eaglep3\Utilities\DownloadLogsFromS3.py --loco 4044 --day 2017-12-17</v>
      </c>
      <c r="AN191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101"/>
        <v>https://d0f6bd738d7f1b3e5a7ca70fe4ff75f0.us-east-1.aws.found.io/app/kibana#/discover/Steve-Slow-Train-Analysis-(2080s-and-2083s)?_g=(refreshInterval:(display:Off,pause:!f,section:0,value:0),time:(from:'2017-12-17T21:05:28-0700',mode:absolute,to:'2017-12-17T23:23:24-0700'))&amp;_a=(columns:!('Message%20ID',Summary),filters:!(),index:'emp_*',interval:auto,query:(query_string:(analyze_wildcard:!t,query:'%22rtdc.l.rtdc.4044%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889</v>
      </c>
      <c r="B192" s="225">
        <v>4043</v>
      </c>
      <c r="C192" s="227" t="s">
        <v>192</v>
      </c>
      <c r="D192" s="227" t="s">
        <v>998</v>
      </c>
      <c r="E192" s="226">
        <v>43086.933831018519</v>
      </c>
      <c r="F192" s="226">
        <v>43086.946388888886</v>
      </c>
      <c r="G192" s="225">
        <v>126</v>
      </c>
      <c r="H192" s="227" t="s">
        <v>999</v>
      </c>
      <c r="I192" s="226">
        <v>43086.955289351848</v>
      </c>
      <c r="J192" s="225">
        <v>0</v>
      </c>
      <c r="K192" s="237" t="str">
        <f t="shared" si="86"/>
        <v>4043/4044</v>
      </c>
      <c r="L192" s="245" t="str">
        <f>VLOOKUP(A192,'Trips&amp;Operators'!$C$1:$G$99911,5,FALSE)</f>
        <v>HOLCOMB KAMDEN</v>
      </c>
      <c r="M192" s="224">
        <f t="shared" si="87"/>
        <v>8.9004629626288079E-3</v>
      </c>
      <c r="N192" s="225">
        <f t="shared" si="120"/>
        <v>12.816666666185483</v>
      </c>
      <c r="O192" s="225"/>
      <c r="P192" s="225"/>
      <c r="Q192" s="228"/>
      <c r="R192" s="242"/>
      <c r="S192" s="249">
        <f t="shared" si="96"/>
        <v>1</v>
      </c>
      <c r="T192" s="242" t="str">
        <f t="shared" si="88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89"/>
        <v>https://d0f6bd738d7f1b3e5a7ca70fe4ff75f0.us-east-1.aws.found.io/app/kibana#/discover/Steve-Slow-Train-Analysis-(2080s-and-2083s)?_g=(refreshInterval:(display:Off,pause:!f,section:0,value:0),time:(from:'2017-12-17T21:24:43-0700',mode:absolute,to:'2017-12-17T23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247" t="str">
        <f>IF(AA192&lt;VLOOKUP(AG192,Variables!$AC$3:$AD$8,2,FALSE),"Y","N")</f>
        <v>N</v>
      </c>
      <c r="X192" s="247">
        <f t="shared" si="130"/>
        <v>1</v>
      </c>
      <c r="Y192" s="247">
        <f t="shared" si="121"/>
        <v>5.8667999999999996</v>
      </c>
      <c r="Z192" s="247">
        <f t="shared" si="122"/>
        <v>9.7000000000000003E-3</v>
      </c>
      <c r="AA192" s="247">
        <f t="shared" si="90"/>
        <v>5.8571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91"/>
        <v>1834</v>
      </c>
      <c r="AE192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2" s="234" t="str">
        <f t="shared" si="93"/>
        <v>"C:\Program Files (x86)\AstroGrep\AstroGrep.exe" /e /r /s /spath="%USERPROFILE%\AppData\Local\Temp\OnboardLogs" /stypes="app*4043*20171218*" /stext=" 05:.+((SYSTEM_STATE.+slice.+state.+changed )|(ment ac)|(multiple cpu faults)|(system.+state.+changed )|(\[timeout)|(PRM\|1\|D)|(kpr)|(kdp)|(train st.+moving)|(\|lc)|(penalty))"</v>
      </c>
      <c r="AG192" s="244" t="str">
        <f t="shared" si="94"/>
        <v>NW</v>
      </c>
      <c r="AH192" s="236" t="str">
        <f t="shared" si="97"/>
        <v>"%USERPROFILE%\Documents\GitHub\eaglep3\Utilities\RefineRTDCRunTimes.py" --tripid 1834-17 --locoid 4043 --swversion DE.1.0.9.0 --startMP 300:58668 --initTime 2017-12-17T22:24:43 --startdatetime 2017-12-17T22:42:48 --delay 126 --endMP 204:97 --enddatetime 2017-12-17T22:55:37 --enforcementcount 0 &gt;&gt;%USERPROFILE%\Documents\GitHub\eaglep3-reporting\EC\2017-12-17-refined-times.txt</v>
      </c>
      <c r="AI192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{"issue":{"subject":"","project_id":79,"tracker_id":40,"status_id":1,"priority_id":2,"assigned_to_id":338,"start_date":"2017-12-17","description":"","custom_fields":[{"id":1,"name":"Subdivision","value":"NW"},{"id":4,"name":"Milepost","value":"0.0097"},{"id":17,"name":"Train ID","value":"1834-17"},{"id":16,"name":"Locomotive ID","value":"4043"},{"id":130,"name":"Impact","value":""},{"id":150,"name":"Time of Event (Mountain Time)","value":"22:55:37"},{"id":151,"name":"Denver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99"/>
        <v>start /low /b %USERPROFILE%\Documents\GitHub\eaglep3\Utilities\DownloadLogsFromS3.py --loco 4043 --day 2017-12-17</v>
      </c>
      <c r="AN192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05:55:37"},{"id":29,"name":"Sharepoint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101"/>
        <v>https://d0f6bd738d7f1b3e5a7ca70fe4ff75f0.us-east-1.aws.found.io/app/kibana#/discover/Steve-Slow-Train-Analysis-(2080s-and-2083s)?_g=(refreshInterval:(display:Off,pause:!f,section:0,value:0),time:(from:'2017-12-17T21:24:43-0700',mode:absolute,to:'2017-12-17T23:55:37-0700'))&amp;_a=(columns:!('Message%20ID',Summary),filters:!(),index:'emp_*',interval:auto,query:(query_string:(analyze_wildcard:!t,query:'%22rtdc.l.rtdc.4043%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892</v>
      </c>
      <c r="B193" s="225">
        <v>4044</v>
      </c>
      <c r="C193" s="227" t="s">
        <v>192</v>
      </c>
      <c r="D193" s="227" t="s">
        <v>989</v>
      </c>
      <c r="E193" s="226">
        <v>43086.958425925928</v>
      </c>
      <c r="F193" s="226">
        <v>43086.964837962965</v>
      </c>
      <c r="G193" s="225">
        <v>66</v>
      </c>
      <c r="H193" s="227" t="s">
        <v>972</v>
      </c>
      <c r="I193" s="226">
        <v>43086.974675925929</v>
      </c>
      <c r="J193" s="225">
        <v>0</v>
      </c>
      <c r="K193" s="237" t="str">
        <f t="shared" si="86"/>
        <v>4043/4044</v>
      </c>
      <c r="L193" s="245" t="str">
        <f>VLOOKUP(A193,'Trips&amp;Operators'!$C$1:$G$99911,5,FALSE)</f>
        <v>KILLION DAVID</v>
      </c>
      <c r="M193" s="224">
        <f t="shared" si="87"/>
        <v>9.8379629635019228E-3</v>
      </c>
      <c r="N193" s="225">
        <f t="shared" si="120"/>
        <v>14.166666667442769</v>
      </c>
      <c r="O193" s="225"/>
      <c r="P193" s="225"/>
      <c r="Q193" s="228"/>
      <c r="R193" s="242"/>
      <c r="S193" s="249">
        <f t="shared" si="96"/>
        <v>1</v>
      </c>
      <c r="T193" s="242" t="str">
        <f t="shared" si="88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89"/>
        <v>https://d0f6bd738d7f1b3e5a7ca70fe4ff75f0.us-east-1.aws.found.io/app/kibana#/discover/Steve-Slow-Train-Analysis-(2080s-and-2083s)?_g=(refreshInterval:(display:Off,pause:!f,section:0,value:0),time:(from:'2017-12-17T22:00:08-0700',mode:absolute,to:'2017-12-18T00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47" t="str">
        <f>IF(AA193&lt;VLOOKUP(AG193,Variables!$AC$3:$AD$8,2,FALSE),"Y","N")</f>
        <v>N</v>
      </c>
      <c r="X193" s="247">
        <f t="shared" si="130"/>
        <v>1</v>
      </c>
      <c r="Y193" s="247">
        <f t="shared" ref="Y193:Y220" si="131">RIGHT(D193,LEN(D193)-4)/10000</f>
        <v>3.8600000000000002E-2</v>
      </c>
      <c r="Z193" s="247">
        <f t="shared" ref="Z193:Z220" si="132">RIGHT(H193,LEN(H193)-4)/10000</f>
        <v>5.9001000000000001</v>
      </c>
      <c r="AA193" s="247">
        <f t="shared" si="90"/>
        <v>5.8615000000000004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91"/>
        <v>1835</v>
      </c>
      <c r="AE193" s="235" t="str">
        <f t="shared" si="92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193" s="234" t="str">
        <f t="shared" si="93"/>
        <v>"C:\Program Files (x86)\AstroGrep\AstroGrep.exe" /e /r /s /spath="%USERPROFILE%\AppData\Local\Temp\OnboardLogs" /stypes="app*4044*20171218*" /stext=" 06:.+((SYSTEM_STATE.+slice.+state.+changed )|(ment ac)|(multiple cpu faults)|(system.+state.+changed )|(\[timeout)|(PRM\|1\|D)|(kpr)|(kdp)|(train st.+moving)|(\|lc)|(penalty))"</v>
      </c>
      <c r="AG193" s="244" t="str">
        <f t="shared" si="94"/>
        <v>NW</v>
      </c>
      <c r="AH193" s="236" t="str">
        <f t="shared" si="97"/>
        <v>"%USERPROFILE%\Documents\GitHub\eaglep3\Utilities\RefineRTDCRunTimes.py" --tripid 1835-17 --locoid 4044 --swversion DE.1.0.9.0 --startMP 204:386 --initTime 2017-12-17T23:00:08 --startdatetime 2017-12-17T23:09:22 --delay 66 --endMP 300:59001 --enddatetime 2017-12-17T23:23:32 --enforcementcount 0 &gt;&gt;%USERPROFILE%\Documents\GitHub\eaglep3-reporting\EC\2017-12-17-refined-times.txt</v>
      </c>
      <c r="AI193" s="238" t="str">
        <f t="shared" si="98"/>
        <v>echo {"issue":{"subject":"","project_id":79,"tracker_id":40,"status_id":1,"priority_id":2,"assigned_to_id":338,"start_date":"2017-12-17","description":"","custom_fields":[{"id":1,"name":"Subdivision","value":"NW"},{"id":4,"name":"Milepost","value":"5.9001"},{"id":17,"name":"Train ID","value":"1835-17"},{"id":16,"name":"Locomotive ID","value":"4044"},{"id":130,"name":"Impact","value":""},{"id":150,"name":"Time of Event (Mountain Time)","value":"23:23:32"},{"id":151,"name":"Denver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99"/>
        <v>start /low /b %USERPROFILE%\Documents\GitHub\eaglep3\Utilities\DownloadLogsFromS3.py --loco 4044 --day 2017-12-17</v>
      </c>
      <c r="AN193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101"/>
        <v>https://d0f6bd738d7f1b3e5a7ca70fe4ff75f0.us-east-1.aws.found.io/app/kibana#/discover/Steve-Slow-Train-Analysis-(2080s-and-2083s)?_g=(refreshInterval:(display:Off,pause:!f,section:0,value:0),time:(from:'2017-12-17T22:00:08-0700',mode:absolute,to:'2017-12-18T00:23:32-0700'))&amp;_a=(columns:!('Message%20ID',Summary),filters:!(),index:'emp_*',interval:auto,query:(query_string:(analyze_wildcard:!t,query:'%22rtdc.l.rtdc.4044%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633</v>
      </c>
      <c r="B194" s="225">
        <v>4043</v>
      </c>
      <c r="C194" s="227" t="s">
        <v>192</v>
      </c>
      <c r="D194" s="227" t="s">
        <v>1046</v>
      </c>
      <c r="E194" s="226">
        <v>43086.115543981483</v>
      </c>
      <c r="F194" s="226">
        <v>43086.12060185185</v>
      </c>
      <c r="G194" s="225">
        <v>51</v>
      </c>
      <c r="H194" s="227" t="s">
        <v>642</v>
      </c>
      <c r="I194" s="226">
        <v>43086.126712962963</v>
      </c>
      <c r="J194" s="225">
        <v>0</v>
      </c>
      <c r="K194" s="237" t="str">
        <f t="shared" si="86"/>
        <v>4043/4044</v>
      </c>
      <c r="L194" s="245" t="str">
        <f>VLOOKUP(A194,'Trips&amp;Operators'!$C$1:$G$99911,5,FALSE)</f>
        <v>THOMPSON LESTER</v>
      </c>
      <c r="M194" s="224">
        <f t="shared" si="87"/>
        <v>6.1111111135687679E-3</v>
      </c>
      <c r="N194" s="225">
        <f t="shared" si="120"/>
        <v>8.8000000035390258</v>
      </c>
      <c r="O194" s="225"/>
      <c r="P194" s="225"/>
      <c r="Q194" s="228"/>
      <c r="R194" s="242"/>
      <c r="S194" s="249">
        <f t="shared" si="96"/>
        <v>1</v>
      </c>
      <c r="T194" s="242" t="str">
        <f t="shared" si="88"/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89"/>
        <v>https://d0f6bd738d7f1b3e5a7ca70fe4ff75f0.us-east-1.aws.found.io/app/kibana#/discover/Steve-Slow-Train-Analysis-(2080s-and-2083s)?_g=(refreshInterval:(display:Off,pause:!f,section:0,value:0),time:(from:'2017-12-17T01:46:23-0700',mode:absolute,to:'2017-12-17T04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47" t="str">
        <f>IF(AA194&lt;VLOOKUP(AG194,Variables!$AC$3:$AD$8,2,FALSE),"Y","N")</f>
        <v>Y</v>
      </c>
      <c r="X194" s="247">
        <f t="shared" si="130"/>
        <v>-1535</v>
      </c>
      <c r="Y194" s="247">
        <f t="shared" si="131"/>
        <v>2.3527</v>
      </c>
      <c r="Z194" s="247">
        <f t="shared" si="132"/>
        <v>1.5800000000000002E-2</v>
      </c>
      <c r="AA194" s="247">
        <f t="shared" si="90"/>
        <v>2.3369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91"/>
        <v>300</v>
      </c>
      <c r="AE194" s="235" t="str">
        <f t="shared" si="92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194" s="234" t="str">
        <f t="shared" si="93"/>
        <v>"C:\Program Files (x86)\AstroGrep\AstroGrep.exe" /e /r /s /spath="%USERPROFILE%\AppData\Local\Temp\OnboardLogs" /stypes="app*4043*20171217*" /stext=" 10:.+((SYSTEM_STATE.+slice.+state.+changed )|(ment ac)|(multiple cpu faults)|(system.+state.+changed )|(\[timeout)|(PRM\|1\|D)|(kpr)|(kdp)|(train st.+moving)|(\|lc)|(penalty))"</v>
      </c>
      <c r="AG194" s="244" t="str">
        <f t="shared" si="94"/>
        <v>Other</v>
      </c>
      <c r="AH194" s="236" t="str">
        <f t="shared" si="97"/>
        <v>"%USERPROFILE%\Documents\GitHub\eaglep3\Utilities\RefineRTDCRunTimes.py" --tripid 300-17 --locoid 4043 --swversion DE.1.0.9.0 --startMP 300:23527 --initTime 2017-12-17T02:46:23 --startdatetime 2017-12-17T02:53:40 --delay 51 --endMP 204:158 --enddatetime 2017-12-17T03:02:28 --enforcementcount 0 &gt;&gt;%USERPROFILE%\Documents\GitHub\eaglep3-reporting\EC\2017-12-17-refined-times.txt</v>
      </c>
      <c r="AI194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{"issue":{"subject":"","project_id":79,"tracker_id":40,"status_id":1,"priority_id":2,"assigned_to_id":338,"start_date":"2017-12-17","description":"","custom_fields":[{"id":1,"name":"Subdivision","value":"Other"},{"id":4,"name":"Milepost","value":"0.0158"},{"id":17,"name":"Train ID","value":"300-17"},{"id":16,"name":"Locomotive ID","value":"4043"},{"id":130,"name":"Impact","value":""},{"id":150,"name":"Time of Event (Mountain Time)","value":"03:02:28"},{"id":151,"name":"Denver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99"/>
        <v>start /low /b %USERPROFILE%\Documents\GitHub\eaglep3\Utilities\DownloadLogsFromS3.py --loco 4043 --day 2017-12-17</v>
      </c>
      <c r="AN194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101"/>
        <v>https://d0f6bd738d7f1b3e5a7ca70fe4ff75f0.us-east-1.aws.found.io/app/kibana#/discover/Steve-Slow-Train-Analysis-(2080s-and-2083s)?_g=(refreshInterval:(display:Off,pause:!f,section:0,value:0),time:(from:'2017-12-17T01:46:23-0700',mode:absolute,to:'2017-12-17T04:02:28-0700'))&amp;_a=(columns:!('Message%20ID',Summary),filters:!(),index:'emp_*',interval:auto,query:(query_string:(analyze_wildcard:!t,query:'%22rtdc.l.rtdc.4043%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866</v>
      </c>
      <c r="B195" s="225">
        <v>4032</v>
      </c>
      <c r="C195" s="227" t="s">
        <v>192</v>
      </c>
      <c r="D195" s="227" t="s">
        <v>1047</v>
      </c>
      <c r="E195" s="226">
        <v>43086.775682870371</v>
      </c>
      <c r="F195" s="226">
        <v>43086.776956018519</v>
      </c>
      <c r="G195" s="225">
        <v>49</v>
      </c>
      <c r="H195" s="227" t="s">
        <v>1048</v>
      </c>
      <c r="I195" s="226">
        <v>43086.783738425926</v>
      </c>
      <c r="J195" s="225">
        <v>0</v>
      </c>
      <c r="K195" s="237" t="str">
        <f t="shared" si="86"/>
        <v>4031/4032</v>
      </c>
      <c r="L195" s="245" t="str">
        <f>VLOOKUP(A195,'Trips&amp;Operators'!$C$1:$G$99911,5,FALSE)</f>
        <v>GUZMAN DANNY</v>
      </c>
      <c r="M195" s="224">
        <f t="shared" si="87"/>
        <v>6.7824074067175388E-3</v>
      </c>
      <c r="N195" s="225">
        <f t="shared" si="120"/>
        <v>9.7666666656732559</v>
      </c>
      <c r="O195" s="225"/>
      <c r="P195" s="225"/>
      <c r="Q195" s="228"/>
      <c r="R195" s="242"/>
      <c r="S195" s="249">
        <f t="shared" si="96"/>
        <v>1</v>
      </c>
      <c r="T195" s="242" t="str">
        <f t="shared" si="88"/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89"/>
        <v>https://d0f6bd738d7f1b3e5a7ca70fe4ff75f0.us-east-1.aws.found.io/app/kibana#/discover/Steve-Slow-Train-Analysis-(2080s-and-2083s)?_g=(refreshInterval:(display:Off,pause:!f,section:0,value:0),time:(from:'2017-12-17T17:36:59-0700',mode:absolute,to:'2017-12-17T19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47" t="str">
        <f>IF(AA195&lt;VLOOKUP(AG195,Variables!$AC$3:$AD$8,2,FALSE),"Y","N")</f>
        <v>Y</v>
      </c>
      <c r="X195" s="247">
        <f t="shared" si="130"/>
        <v>1</v>
      </c>
      <c r="Y195" s="247">
        <f t="shared" si="131"/>
        <v>5.6800000000000003E-2</v>
      </c>
      <c r="Z195" s="247">
        <f t="shared" si="132"/>
        <v>2.3294999999999999</v>
      </c>
      <c r="AA195" s="247">
        <f t="shared" si="90"/>
        <v>2.2726999999999999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91"/>
        <v>301</v>
      </c>
      <c r="AE195" s="235" t="str">
        <f t="shared" si="92"/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AF195" s="234" t="str">
        <f t="shared" si="93"/>
        <v>"C:\Program Files (x86)\AstroGrep\AstroGrep.exe" /e /r /s /spath="%USERPROFILE%\AppData\Local\Temp\OnboardLogs" /stypes="app*4032*20171218*" /stext=" 01:.+((SYSTEM_STATE.+slice.+state.+changed )|(ment ac)|(multiple cpu faults)|(system.+state.+changed )|(\[timeout)|(PRM\|1\|D)|(kpr)|(kdp)|(train st.+moving)|(\|lc)|(penalty))"</v>
      </c>
      <c r="AG195" s="244" t="str">
        <f t="shared" si="94"/>
        <v>Other</v>
      </c>
      <c r="AH195" s="236" t="str">
        <f t="shared" si="97"/>
        <v>"%USERPROFILE%\Documents\GitHub\eaglep3\Utilities\RefineRTDCRunTimes.py" --tripid 301-17 --locoid 4032 --swversion DE.1.0.9.0 --startMP 204:568 --initTime 2017-12-17T18:36:59 --startdatetime 2017-12-17T18:38:49 --delay 49 --endMP 300:23295 --enddatetime 2017-12-17T18:48:35 --enforcementcount 0 &gt;&gt;%USERPROFILE%\Documents\GitHub\eaglep3-reporting\EC\2017-12-17-refined-times.txt</v>
      </c>
      <c r="AI195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{"issue":{"subject":"","project_id":79,"tracker_id":40,"status_id":1,"priority_id":2,"assigned_to_id":338,"start_date":"2017-12-17","description":"","custom_fields":[{"id":1,"name":"Subdivision","value":"Other"},{"id":4,"name":"Milepost","value":"2.3295"},{"id":17,"name":"Train ID","value":"301-17"},{"id":16,"name":"Locomotive ID","value":"4032"},{"id":130,"name":"Impact","value":""},{"id":150,"name":"Time of Event (Mountain Time)","value":"18:48:35"},{"id":151,"name":"Denver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99"/>
        <v>start /low /b %USERPROFILE%\Documents\GitHub\eaglep3\Utilities\DownloadLogsFromS3.py --loco 4032 --day 2017-12-17</v>
      </c>
      <c r="AN195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101"/>
        <v>https://d0f6bd738d7f1b3e5a7ca70fe4ff75f0.us-east-1.aws.found.io/app/kibana#/discover/Steve-Slow-Train-Analysis-(2080s-and-2083s)?_g=(refreshInterval:(display:Off,pause:!f,section:0,value:0),time:(from:'2017-12-17T17:36:59-0700',mode:absolute,to:'2017-12-17T19:48:35-0700'))&amp;_a=(columns:!('Message%20ID',Summary),filters:!(),index:'emp_*',interval:auto,query:(query_string:(analyze_wildcard:!t,query:'%22rtdc.l.rtdc.4032%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690</v>
      </c>
      <c r="B196" s="225">
        <v>4057</v>
      </c>
      <c r="C196" s="227" t="s">
        <v>192</v>
      </c>
      <c r="D196" s="227" t="s">
        <v>1049</v>
      </c>
      <c r="E196" s="226">
        <v>43086.139444444445</v>
      </c>
      <c r="F196" s="226">
        <v>43086.144178240742</v>
      </c>
      <c r="G196" s="225">
        <v>72</v>
      </c>
      <c r="H196" s="227" t="s">
        <v>548</v>
      </c>
      <c r="I196" s="226">
        <v>43086.149768518517</v>
      </c>
      <c r="J196" s="225">
        <v>0</v>
      </c>
      <c r="K196" s="237" t="str">
        <f t="shared" si="86"/>
        <v>4057/4058</v>
      </c>
      <c r="L196" s="245" t="str">
        <f>VLOOKUP(A196,'Trips&amp;Operators'!$C$1:$G$99911,5,FALSE)</f>
        <v>MAELZER KURT</v>
      </c>
      <c r="M196" s="224">
        <f t="shared" si="87"/>
        <v>5.5902777748997323E-3</v>
      </c>
      <c r="N196" s="225">
        <f t="shared" si="120"/>
        <v>8.0499999958556145</v>
      </c>
      <c r="O196" s="225"/>
      <c r="P196" s="225"/>
      <c r="Q196" s="228"/>
      <c r="R196" s="242"/>
      <c r="S196" s="249">
        <f t="shared" si="96"/>
        <v>1</v>
      </c>
      <c r="T196" s="242" t="str">
        <f t="shared" si="88"/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89"/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6" s="247" t="str">
        <f>IF(AA196&lt;VLOOKUP(AG196,Variables!$AC$3:$AD$8,2,FALSE),"Y","N")</f>
        <v>Y</v>
      </c>
      <c r="X196" s="247">
        <f t="shared" si="130"/>
        <v>1</v>
      </c>
      <c r="Y196" s="247">
        <f t="shared" si="131"/>
        <v>1.9178999999999999</v>
      </c>
      <c r="Z196" s="247">
        <f t="shared" si="132"/>
        <v>2.01E-2</v>
      </c>
      <c r="AA196" s="247">
        <f t="shared" si="90"/>
        <v>1.8977999999999999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91"/>
        <v>302</v>
      </c>
      <c r="AE196" s="235" t="str">
        <f t="shared" si="92"/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AF196" s="234" t="str">
        <f t="shared" si="93"/>
        <v>"C:\Program Files (x86)\AstroGrep\AstroGrep.exe" /e /r /s /spath="%USERPROFILE%\AppData\Local\Temp\OnboardLogs" /stypes="app*4057*20171217*" /stext=" 10:.+((SYSTEM_STATE.+slice.+state.+changed )|(ment ac)|(multiple cpu faults)|(system.+state.+changed )|(\[timeout)|(PRM\|1\|D)|(kpr)|(kdp)|(train st.+moving)|(\|lc)|(penalty))"</v>
      </c>
      <c r="AG196" s="244" t="str">
        <f t="shared" si="94"/>
        <v>Other</v>
      </c>
      <c r="AH196" s="236" t="str">
        <f t="shared" si="97"/>
        <v>"%USERPROFILE%\Documents\GitHub\eaglep3\Utilities\RefineRTDCRunTimes.py" --tripid 302-17 --locoid 4057 --swversion DE.1.0.9.0 --startMP 300:19179 --initTime 2017-12-17T03:20:48 --startdatetime 2017-12-17T03:27:37 --delay 72 --endMP 204:201 --enddatetime 2017-12-17T03:35:40 --enforcementcount 0 &gt;&gt;%USERPROFILE%\Documents\GitHub\eaglep3-reporting\EC\2017-12-17-refined-times.txt</v>
      </c>
      <c r="AI196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{"issue":{"subject":"","project_id":79,"tracker_id":40,"status_id":1,"priority_id":2,"assigned_to_id":338,"start_date":"2017-12-17","description":"","custom_fields":[{"id":1,"name":"Subdivision","value":"Other"},{"id":4,"name":"Milepost","value":"0.0201"},{"id":17,"name":"Train ID","value":"302-17"},{"id":16,"name":"Locomotive ID","value":"4057"},{"id":130,"name":"Impact","value":""},{"id":150,"name":"Time of Event (Mountain Time)","value":"03:35:40"},{"id":151,"name":"Denver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99"/>
        <v>start /low /b %USERPROFILE%\Documents\GitHub\eaglep3\Utilities\DownloadLogsFromS3.py --loco 4057 --day 2017-12-17</v>
      </c>
      <c r="AN196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101"/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Message%20ID',Summary),filters:!(),index:'emp_*',interval:auto,query:(query_string:(analyze_wildcard:!t,query:'%22rtdc.l.rtdc.4057%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870</v>
      </c>
      <c r="B197" s="225">
        <v>4040</v>
      </c>
      <c r="C197" s="227" t="s">
        <v>192</v>
      </c>
      <c r="D197" s="227" t="s">
        <v>576</v>
      </c>
      <c r="E197" s="226">
        <v>43086.796956018516</v>
      </c>
      <c r="F197" s="226">
        <v>43086.800844907404</v>
      </c>
      <c r="G197" s="225">
        <v>68</v>
      </c>
      <c r="H197" s="227" t="s">
        <v>686</v>
      </c>
      <c r="I197" s="226">
        <v>43086.807372685187</v>
      </c>
      <c r="J197" s="225">
        <v>0</v>
      </c>
      <c r="K197" s="237" t="str">
        <f t="shared" si="86"/>
        <v>4039/4040</v>
      </c>
      <c r="L197" s="245" t="str">
        <f>VLOOKUP(A197,'Trips&amp;Operators'!$C$1:$G$99911,5,FALSE)</f>
        <v>MAGEE KENYA</v>
      </c>
      <c r="M197" s="224">
        <f t="shared" si="87"/>
        <v>6.5277777830488048E-3</v>
      </c>
      <c r="N197" s="225">
        <f t="shared" si="120"/>
        <v>9.400000007590279</v>
      </c>
      <c r="O197" s="225"/>
      <c r="P197" s="225"/>
      <c r="Q197" s="228"/>
      <c r="R197" s="242"/>
      <c r="S197" s="249">
        <f t="shared" si="96"/>
        <v>1</v>
      </c>
      <c r="T197" s="242" t="str">
        <f t="shared" si="88"/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89"/>
        <v>https://d0f6bd738d7f1b3e5a7ca70fe4ff75f0.us-east-1.aws.found.io/app/kibana#/discover/Steve-Slow-Train-Analysis-(2080s-and-2083s)?_g=(refreshInterval:(display:Off,pause:!f,section:0,value:0),time:(from:'2017-12-17T18:07:37-0700',mode:absolute,to:'2017-12-17T20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247" t="str">
        <f>IF(AA197&lt;VLOOKUP(AG197,Variables!$AC$3:$AD$8,2,FALSE),"Y","N")</f>
        <v>Y</v>
      </c>
      <c r="X197" s="247">
        <f t="shared" si="130"/>
        <v>1</v>
      </c>
      <c r="Y197" s="247">
        <f t="shared" si="131"/>
        <v>5.2900000000000003E-2</v>
      </c>
      <c r="Z197" s="247">
        <f t="shared" si="132"/>
        <v>2.3311999999999999</v>
      </c>
      <c r="AA197" s="247">
        <f t="shared" si="90"/>
        <v>2.2782999999999998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91"/>
        <v>303</v>
      </c>
      <c r="AE197" s="235" t="str">
        <f t="shared" si="92"/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AF197" s="234" t="str">
        <f t="shared" si="93"/>
        <v>"C:\Program Files (x86)\AstroGrep\AstroGrep.exe" /e /r /s /spath="%USERPROFILE%\AppData\Local\Temp\OnboardLogs" /stypes="app*4040*20171218*" /stext=" 02:.+((SYSTEM_STATE.+slice.+state.+changed )|(ment ac)|(multiple cpu faults)|(system.+state.+changed )|(\[timeout)|(PRM\|1\|D)|(kpr)|(kdp)|(train st.+moving)|(\|lc)|(penalty))"</v>
      </c>
      <c r="AG197" s="244" t="str">
        <f t="shared" si="94"/>
        <v>Other</v>
      </c>
      <c r="AH197" s="236" t="str">
        <f t="shared" si="97"/>
        <v>"%USERPROFILE%\Documents\GitHub\eaglep3\Utilities\RefineRTDCRunTimes.py" --tripid 303-17 --locoid 4040 --swversion DE.1.0.9.0 --startMP 204:529 --initTime 2017-12-17T19:07:37 --startdatetime 2017-12-17T19:13:13 --delay 68 --endMP 300:23312 --enddatetime 2017-12-17T19:22:37 --enforcementcount 0 &gt;&gt;%USERPROFILE%\Documents\GitHub\eaglep3-reporting\EC\2017-12-17-refined-times.txt</v>
      </c>
      <c r="AI197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{"issue":{"subject":"","project_id":79,"tracker_id":40,"status_id":1,"priority_id":2,"assigned_to_id":338,"start_date":"2017-12-17","description":"","custom_fields":[{"id":1,"name":"Subdivision","value":"Other"},{"id":4,"name":"Milepost","value":"2.3312"},{"id":17,"name":"Train ID","value":"303-17"},{"id":16,"name":"Locomotive ID","value":"4040"},{"id":130,"name":"Impact","value":""},{"id":150,"name":"Time of Event (Mountain Time)","value":"19:22:37"},{"id":151,"name":"Denver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99"/>
        <v>start /low /b %USERPROFILE%\Documents\GitHub\eaglep3\Utilities\DownloadLogsFromS3.py --loco 4040 --day 2017-12-17</v>
      </c>
      <c r="AN197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101"/>
        <v>https://d0f6bd738d7f1b3e5a7ca70fe4ff75f0.us-east-1.aws.found.io/app/kibana#/discover/Steve-Slow-Train-Analysis-(2080s-and-2083s)?_g=(refreshInterval:(display:Off,pause:!f,section:0,value:0),time:(from:'2017-12-17T18:07:37-0700',mode:absolute,to:'2017-12-17T20:22:37-0700'))&amp;_a=(columns:!('Message%20ID',Summary),filters:!(),index:'emp_*',interval:auto,query:(query_string:(analyze_wildcard:!t,query:'%22rtdc.l.rtdc.4040%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724</v>
      </c>
      <c r="B198" s="225">
        <v>4029</v>
      </c>
      <c r="C198" s="227" t="s">
        <v>192</v>
      </c>
      <c r="D198" s="227" t="s">
        <v>1050</v>
      </c>
      <c r="E198" s="226">
        <v>43086.15902777778</v>
      </c>
      <c r="F198" s="226">
        <v>43086.163587962961</v>
      </c>
      <c r="G198" s="225">
        <v>73</v>
      </c>
      <c r="H198" s="227" t="s">
        <v>592</v>
      </c>
      <c r="I198" s="226">
        <v>43086.168715277781</v>
      </c>
      <c r="J198" s="225">
        <v>0</v>
      </c>
      <c r="K198" s="237" t="str">
        <f t="shared" si="86"/>
        <v>4029/4030</v>
      </c>
      <c r="L198" s="245" t="str">
        <f>VLOOKUP(A198,'Trips&amp;Operators'!$C$1:$G$99911,5,FALSE)</f>
        <v>LOPES KIMBERLY</v>
      </c>
      <c r="M198" s="224">
        <f t="shared" si="87"/>
        <v>5.1273148201289587E-3</v>
      </c>
      <c r="N198" s="225">
        <f t="shared" si="120"/>
        <v>7.3833333409857005</v>
      </c>
      <c r="O198" s="225"/>
      <c r="P198" s="225"/>
      <c r="Q198" s="228"/>
      <c r="R198" s="242"/>
      <c r="S198" s="249">
        <f t="shared" si="96"/>
        <v>1</v>
      </c>
      <c r="T198" s="242" t="str">
        <f t="shared" si="88"/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89"/>
        <v>https://d0f6bd738d7f1b3e5a7ca70fe4ff75f0.us-east-1.aws.found.io/app/kibana#/discover/Steve-Slow-Train-Analysis-(2080s-and-2083s)?_g=(refreshInterval:(display:Off,pause:!f,section:0,value:0),time:(from:'2017-12-17T02:49:00-0700',mode:absolute,to:'2017-12-17T05:02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247" t="str">
        <f>IF(AA198&lt;VLOOKUP(AG198,Variables!$AC$3:$AD$8,2,FALSE),"Y","N")</f>
        <v>Y</v>
      </c>
      <c r="X198" s="247">
        <f t="shared" si="130"/>
        <v>1</v>
      </c>
      <c r="Y198" s="247">
        <f t="shared" si="131"/>
        <v>2.3391999999999999</v>
      </c>
      <c r="Z198" s="247">
        <f t="shared" si="132"/>
        <v>2.2100000000000002E-2</v>
      </c>
      <c r="AA198" s="247">
        <f t="shared" si="90"/>
        <v>2.3170999999999999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91"/>
        <v>304</v>
      </c>
      <c r="AE198" s="235" t="str">
        <f t="shared" si="92"/>
        <v>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 &amp; aws s3 cp s3://rtdc.mdm.uploadarchive.raw/RTDC4029/ "%USERPROFILE%\AppData\Local\Temp\OnboardLogs"\RTDC4029\2017-12-18 --exclude "*" --recursive --include "*20171218*" &amp; "%USERPROFILE%\Documents\GitHub\mrs-test-scripts\Headless Mode &amp; Sideloading\WalkAndUnGZ.bat" "%USERPROFILE%\AppData\Local\Temp\OnboardLogs"\RTDC4029\2017-12-18</v>
      </c>
      <c r="AF198" s="234" t="str">
        <f t="shared" si="93"/>
        <v>"C:\Program Files (x86)\AstroGrep\AstroGrep.exe" /e /r /s /spath="%USERPROFILE%\AppData\Local\Temp\OnboardLogs" /stypes="app*4029*20171217*" /stext=" 11:.+((SYSTEM_STATE.+slice.+state.+changed )|(ment ac)|(multiple cpu faults)|(system.+state.+changed )|(\[timeout)|(PRM\|1\|D)|(kpr)|(kdp)|(train st.+moving)|(\|lc)|(penalty))"</v>
      </c>
      <c r="AG198" s="244" t="str">
        <f t="shared" si="94"/>
        <v>Other</v>
      </c>
      <c r="AH198" s="236" t="str">
        <f t="shared" si="97"/>
        <v>"%USERPROFILE%\Documents\GitHub\eaglep3\Utilities\RefineRTDCRunTimes.py" --tripid 304-17 --locoid 4029 --swversion DE.1.0.9.0 --startMP 300:23392 --initTime 2017-12-17T03:49:00 --startdatetime 2017-12-17T03:55:34 --delay 73 --endMP 204:221 --enddatetime 2017-12-17T04:02:57 --enforcementcount 0 &gt;&gt;%USERPROFILE%\Documents\GitHub\eaglep3-reporting\EC\2017-12-17-refined-times.txt</v>
      </c>
      <c r="AI198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{"issue":{"subject":"","project_id":79,"tracker_id":40,"status_id":1,"priority_id":2,"assigned_to_id":338,"start_date":"2017-12-17","description":"","custom_fields":[{"id":1,"name":"Subdivision","value":"Other"},{"id":4,"name":"Milepost","value":"0.0221"},{"id":17,"name":"Train ID","value":"304-17"},{"id":16,"name":"Locomotive ID","value":"4029"},{"id":130,"name":"Impact","value":""},{"id":150,"name":"Time of Event (Mountain Time)","value":"04:02:57"},{"id":151,"name":"Denver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99"/>
        <v>start /low /b %USERPROFILE%\Documents\GitHub\eaglep3\Utilities\DownloadLogsFromS3.py --loco 4029 --day 2017-12-17</v>
      </c>
      <c r="AN198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11:02:57"},{"id":29,"name":"Sharepoint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101"/>
        <v>https://d0f6bd738d7f1b3e5a7ca70fe4ff75f0.us-east-1.aws.found.io/app/kibana#/discover/Steve-Slow-Train-Analysis-(2080s-and-2083s)?_g=(refreshInterval:(display:Off,pause:!f,section:0,value:0),time:(from:'2017-12-17T02:49:00-0700',mode:absolute,to:'2017-12-17T05:02:57-0700'))&amp;_a=(columns:!('Message%20ID',Summary),filters:!(),index:'emp_*',interval:auto,query:(query_string:(analyze_wildcard:!t,query:'%22rtdc.l.rtdc.4029%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874</v>
      </c>
      <c r="B199" s="225">
        <v>4008</v>
      </c>
      <c r="C199" s="227" t="s">
        <v>192</v>
      </c>
      <c r="D199" s="227" t="s">
        <v>670</v>
      </c>
      <c r="E199" s="226">
        <v>43086.818553240744</v>
      </c>
      <c r="F199" s="226">
        <v>43086.821921296294</v>
      </c>
      <c r="G199" s="225">
        <v>74</v>
      </c>
      <c r="H199" s="227" t="s">
        <v>1051</v>
      </c>
      <c r="I199" s="226">
        <v>43086.830034722225</v>
      </c>
      <c r="J199" s="225">
        <v>0</v>
      </c>
      <c r="K199" s="237" t="str">
        <f t="shared" si="86"/>
        <v>4007/4008</v>
      </c>
      <c r="L199" s="245" t="str">
        <f>VLOOKUP(A199,'Trips&amp;Operators'!$C$1:$G$99911,5,FALSE)</f>
        <v>SMITH MICHAEL</v>
      </c>
      <c r="M199" s="224">
        <f t="shared" si="87"/>
        <v>8.1134259307873435E-3</v>
      </c>
      <c r="N199" s="225">
        <f t="shared" si="120"/>
        <v>11.683333340333775</v>
      </c>
      <c r="O199" s="225"/>
      <c r="P199" s="225"/>
      <c r="Q199" s="228"/>
      <c r="R199" s="242"/>
      <c r="S199" s="249">
        <f t="shared" si="96"/>
        <v>1</v>
      </c>
      <c r="T199" s="242" t="str">
        <f t="shared" si="88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89"/>
        <v>https://d0f6bd738d7f1b3e5a7ca70fe4ff75f0.us-east-1.aws.found.io/app/kibana#/discover/Steve-Slow-Train-Analysis-(2080s-and-2083s)?_g=(refreshInterval:(display:Off,pause:!f,section:0,value:0),time:(from:'2017-12-17T18:38:43-0700',mode:absolute,to:'2017-12-17T20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9" s="247" t="str">
        <f>IF(AA199&lt;VLOOKUP(AG199,Variables!$AC$3:$AD$8,2,FALSE),"Y","N")</f>
        <v>Y</v>
      </c>
      <c r="X199" s="247">
        <f t="shared" si="130"/>
        <v>1</v>
      </c>
      <c r="Y199" s="247">
        <f t="shared" si="131"/>
        <v>5.6399999999999999E-2</v>
      </c>
      <c r="Z199" s="247">
        <f t="shared" si="132"/>
        <v>2.3298999999999999</v>
      </c>
      <c r="AA199" s="247">
        <f t="shared" si="90"/>
        <v>2.2734999999999999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91"/>
        <v>305</v>
      </c>
      <c r="AE199" s="235" t="str">
        <f t="shared" si="92"/>
        <v>aws s3 cp s3://rtdc.mdm.uploadarchive.raw/RTDC4008/ "%USERPROFILE%\AppData\Local\Temp\OnboardLogs"\RTDC4008\2017-12-17 --exclude "*" --recursive --include "*20171217*" &amp; "%USERPROFILE%\Documents\GitHub\mrs-test-scripts\Headless Mode &amp; Sideloading\WalkAndUnGZ.bat" "%USERPROFILE%\AppData\Local\Temp\OnboardLogs"\RTDC4008\2017-12-17 &amp; aws s3 cp s3://rtdc.mdm.uploadarchive.raw/RTDC4008/ "%USERPROFILE%\AppData\Local\Temp\OnboardLogs"\RTDC4008\2017-12-18 --exclude "*" --recursive --include "*20171218*" &amp; "%USERPROFILE%\Documents\GitHub\mrs-test-scripts\Headless Mode &amp; Sideloading\WalkAndUnGZ.bat" "%USERPROFILE%\AppData\Local\Temp\OnboardLogs"\RTDC4008\2017-12-18</v>
      </c>
      <c r="AF199" s="234" t="str">
        <f t="shared" si="93"/>
        <v>"C:\Program Files (x86)\AstroGrep\AstroGrep.exe" /e /r /s /spath="%USERPROFILE%\AppData\Local\Temp\OnboardLogs" /stypes="app*4008*20171218*" /stext=" 02:.+((SYSTEM_STATE.+slice.+state.+changed )|(ment ac)|(multiple cpu faults)|(system.+state.+changed )|(\[timeout)|(PRM\|1\|D)|(kpr)|(kdp)|(train st.+moving)|(\|lc)|(penalty))"</v>
      </c>
      <c r="AG199" s="244" t="str">
        <f t="shared" si="94"/>
        <v>Other</v>
      </c>
      <c r="AH199" s="236" t="str">
        <f t="shared" si="97"/>
        <v>"%USERPROFILE%\Documents\GitHub\eaglep3\Utilities\RefineRTDCRunTimes.py" --tripid 305-17 --locoid 4008 --swversion DE.1.0.9.0 --startMP 204:564 --initTime 2017-12-17T19:38:43 --startdatetime 2017-12-17T19:43:34 --delay 74 --endMP 300:23299 --enddatetime 2017-12-17T19:55:15 --enforcementcount 0 &gt;&gt;%USERPROFILE%\Documents\GitHub\eaglep3-reporting\EC\2017-12-17-refined-times.txt</v>
      </c>
      <c r="AI199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{"issue":{"subject":"","project_id":79,"tracker_id":40,"status_id":1,"priority_id":2,"assigned_to_id":338,"start_date":"2017-12-17","description":"","custom_fields":[{"id":1,"name":"Subdivision","value":"Other"},{"id":4,"name":"Milepost","value":"2.3299"},{"id":17,"name":"Train ID","value":"305-17"},{"id":16,"name":"Locomotive ID","value":"4008"},{"id":130,"name":"Impact","value":""},{"id":150,"name":"Time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99"/>
        <v>start /low /b %USERPROFILE%\Documents\GitHub\eaglep3\Utilities\DownloadLogsFromS3.py --loco 4008 --day 2017-12-17</v>
      </c>
      <c r="AN199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101"/>
        <v>https://d0f6bd738d7f1b3e5a7ca70fe4ff75f0.us-east-1.aws.found.io/app/kibana#/discover/Steve-Slow-Train-Analysis-(2080s-and-2083s)?_g=(refreshInterval:(display:Off,pause:!f,section:0,value:0),time:(from:'2017-12-17T18:38:43-0700',mode:absolute,to:'2017-12-17T20:55:15-0700'))&amp;_a=(columns:!('Message%20ID',Summary),filters:!(),index:'emp_*',interval:auto,query:(query_string:(analyze_wildcard:!t,query:'%22rtdc.l.rtdc.4008%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25">
      <c r="A200" s="229" t="s">
        <v>691</v>
      </c>
      <c r="B200" s="225">
        <v>4003</v>
      </c>
      <c r="C200" s="227" t="s">
        <v>192</v>
      </c>
      <c r="D200" s="227" t="s">
        <v>1052</v>
      </c>
      <c r="E200" s="226">
        <v>43086.168402777781</v>
      </c>
      <c r="F200" s="226">
        <v>43086.173055555555</v>
      </c>
      <c r="G200" s="225">
        <v>105</v>
      </c>
      <c r="H200" s="227" t="s">
        <v>471</v>
      </c>
      <c r="I200" s="226">
        <v>43086.180462962962</v>
      </c>
      <c r="J200" s="225">
        <v>0</v>
      </c>
      <c r="K200" s="237" t="str">
        <f t="shared" si="86"/>
        <v>4003/4004</v>
      </c>
      <c r="L200" s="245" t="str">
        <f>VLOOKUP(A200,'Trips&amp;Operators'!$C$1:$G$99911,5,FALSE)</f>
        <v>DELGADO DIANAH</v>
      </c>
      <c r="M200" s="224">
        <f t="shared" si="87"/>
        <v>7.4074074072996154E-3</v>
      </c>
      <c r="N200" s="225">
        <f t="shared" si="120"/>
        <v>10.666666666511446</v>
      </c>
      <c r="O200" s="225"/>
      <c r="P200" s="225"/>
      <c r="Q200" s="228"/>
      <c r="R200" s="242"/>
      <c r="S200" s="249">
        <f t="shared" si="96"/>
        <v>1</v>
      </c>
      <c r="T200" s="242" t="str">
        <f t="shared" si="88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89"/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0" s="247" t="str">
        <f>IF(AA200&lt;VLOOKUP(AG200,Variables!$AC$3:$AD$8,2,FALSE),"Y","N")</f>
        <v>Y</v>
      </c>
      <c r="X200" s="247">
        <f t="shared" si="130"/>
        <v>1</v>
      </c>
      <c r="Y200" s="247">
        <f t="shared" si="131"/>
        <v>2.2650000000000001</v>
      </c>
      <c r="Z200" s="247">
        <f t="shared" si="132"/>
        <v>1.9599999999999999E-2</v>
      </c>
      <c r="AA200" s="247">
        <f t="shared" si="90"/>
        <v>2.2454000000000001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91"/>
        <v>306</v>
      </c>
      <c r="AE200" s="235" t="str">
        <f t="shared" si="92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00" s="234" t="str">
        <f t="shared" si="93"/>
        <v>"C:\Program Files (x86)\AstroGrep\AstroGrep.exe" /e /r /s /spath="%USERPROFILE%\AppData\Local\Temp\OnboardLogs" /stypes="app*4003*20171217*" /stext=" 11:.+((SYSTEM_STATE.+slice.+state.+changed )|(ment ac)|(multiple cpu faults)|(system.+state.+changed )|(\[timeout)|(PRM\|1\|D)|(kpr)|(kdp)|(train st.+moving)|(\|lc)|(penalty))"</v>
      </c>
      <c r="AG200" s="244" t="str">
        <f t="shared" si="94"/>
        <v>Other</v>
      </c>
      <c r="AH200" s="236" t="str">
        <f t="shared" si="97"/>
        <v>"%USERPROFILE%\Documents\GitHub\eaglep3\Utilities\RefineRTDCRunTimes.py" --tripid 306-17 --locoid 4003 --swversion DE.1.0.9.0 --startMP 300:22650 --initTime 2017-12-17T04:02:30 --startdatetime 2017-12-17T04:09:12 --delay 105 --endMP 204:196 --enddatetime 2017-12-17T04:19:52 --enforcementcount 0 &gt;&gt;%USERPROFILE%\Documents\GitHub\eaglep3-reporting\EC\2017-12-17-refined-times.txt</v>
      </c>
      <c r="AI200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{"issue":{"subject":"","project_id":79,"tracker_id":40,"status_id":1,"priority_id":2,"assigned_to_id":338,"start_date":"2017-12-17","description":"","custom_fields":[{"id":1,"name":"Subdivision","value":"Other"},{"id":4,"name":"Milepost","value":"0.0196"},{"id":17,"name":"Train ID","value":"306-17"},{"id":16,"name":"Locomotive ID","value":"4003"},{"id":130,"name":"Impact","value":""},{"id":150,"name":"Time of Event (Mountain Time)","value":"04:19:52"},{"id":151,"name":"Denver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99"/>
        <v>start /low /b %USERPROFILE%\Documents\GitHub\eaglep3\Utilities\DownloadLogsFromS3.py --loco 4003 --day 2017-12-17</v>
      </c>
      <c r="AN200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101"/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Message%20ID',Summary),filters:!(),index:'emp_*',interval:auto,query:(query_string:(analyze_wildcard:!t,query:'%22rtdc.l.rtdc.4003%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898</v>
      </c>
      <c r="B201" s="225">
        <v>4058</v>
      </c>
      <c r="C201" s="227" t="s">
        <v>192</v>
      </c>
      <c r="D201" s="227" t="s">
        <v>546</v>
      </c>
      <c r="E201" s="226">
        <v>43087.046284722222</v>
      </c>
      <c r="F201" s="226">
        <v>43087.047766203701</v>
      </c>
      <c r="G201" s="225">
        <v>50</v>
      </c>
      <c r="H201" s="227" t="s">
        <v>1053</v>
      </c>
      <c r="I201" s="226">
        <v>43087.056631944448</v>
      </c>
      <c r="J201" s="225">
        <v>0</v>
      </c>
      <c r="K201" s="237" t="str">
        <f t="shared" si="86"/>
        <v>4057/4058</v>
      </c>
      <c r="L201" s="245" t="str">
        <f>VLOOKUP(A201,'Trips&amp;Operators'!$C$1:$G$99911,5,FALSE)</f>
        <v>LOZA FIDEL</v>
      </c>
      <c r="M201" s="224">
        <f t="shared" si="87"/>
        <v>8.8657407468417659E-3</v>
      </c>
      <c r="N201" s="225">
        <f t="shared" si="120"/>
        <v>12.766666675452143</v>
      </c>
      <c r="O201" s="225"/>
      <c r="P201" s="225"/>
      <c r="Q201" s="228"/>
      <c r="R201" s="242"/>
      <c r="S201" s="249">
        <f t="shared" si="96"/>
        <v>1</v>
      </c>
      <c r="T201" s="242" t="str">
        <f t="shared" si="88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89"/>
        <v>https://d0f6bd738d7f1b3e5a7ca70fe4ff75f0.us-east-1.aws.found.io/app/kibana#/discover/Steve-Slow-Train-Analysis-(2080s-and-2083s)?_g=(refreshInterval:(display:Off,pause:!f,section:0,value:0),time:(from:'2017-12-18T00:06:39-0700',mode:absolute,to:'2017-12-18T02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1" s="247" t="str">
        <f>IF(AA201&lt;VLOOKUP(AG201,Variables!$AC$3:$AD$8,2,FALSE),"Y","N")</f>
        <v>Y</v>
      </c>
      <c r="X201" s="247">
        <f t="shared" si="130"/>
        <v>1</v>
      </c>
      <c r="Y201" s="247">
        <f t="shared" si="131"/>
        <v>5.0599999999999999E-2</v>
      </c>
      <c r="Z201" s="247">
        <f t="shared" si="132"/>
        <v>2.3313999999999999</v>
      </c>
      <c r="AA201" s="247">
        <f t="shared" si="90"/>
        <v>2.2807999999999997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91"/>
        <v>307</v>
      </c>
      <c r="AE201" s="235" t="str">
        <f t="shared" si="92"/>
        <v>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 &amp; aws s3 cp s3://rtdc.mdm.uploadarchive.raw/RTDC4058/ "%USERPROFILE%\AppData\Local\Temp\OnboardLogs"\RTDC4058\2017-12-19 --exclude "*" --recursive --include "*20171219*" &amp; "%USERPROFILE%\Documents\GitHub\mrs-test-scripts\Headless Mode &amp; Sideloading\WalkAndUnGZ.bat" "%USERPROFILE%\AppData\Local\Temp\OnboardLogs"\RTDC4058\2017-12-19</v>
      </c>
      <c r="AF201" s="234" t="str">
        <f t="shared" si="93"/>
        <v>"C:\Program Files (x86)\AstroGrep\AstroGrep.exe" /e /r /s /spath="%USERPROFILE%\AppData\Local\Temp\OnboardLogs" /stypes="app*4058*20171218*" /stext=" 08:.+((SYSTEM_STATE.+slice.+state.+changed )|(ment ac)|(multiple cpu faults)|(system.+state.+changed )|(\[timeout)|(PRM\|1\|D)|(kpr)|(kdp)|(train st.+moving)|(\|lc)|(penalty))"</v>
      </c>
      <c r="AG201" s="244" t="str">
        <f t="shared" si="94"/>
        <v>Other</v>
      </c>
      <c r="AH201" s="236" t="str">
        <f t="shared" si="97"/>
        <v>"%USERPROFILE%\Documents\GitHub\eaglep3\Utilities\RefineRTDCRunTimes.py" --tripid 307-17 --locoid 4058 --swversion DE.1.0.9.0 --startMP 204:506 --initTime 2017-12-18T01:06:39 --startdatetime 2017-12-18T01:08:47 --delay 50 --endMP 300:23314 --enddatetime 2017-12-18T01:21:33 --enforcementcount 0 &gt;&gt;%USERPROFILE%\Documents\GitHub\eaglep3-reporting\EC\2017-12-17-refined-times.txt</v>
      </c>
      <c r="AI201" s="238" t="str">
        <f t="shared" si="98"/>
        <v>echo {"issue":{"subject":"","project_id":79,"tracker_id":40,"status_id":1,"priority_id":2,"assigned_to_id":338,"start_date":"2017-12-18","description":"","custom_fields":[{"id":1,"name":"Subdivision","value":"Other"},{"id":4,"name":"Milepost","value":"2.3314"},{"id":17,"name":"Train ID","value":"307-17"},{"id":16,"name":"Locomotive ID","value":"4058"},{"id":130,"name":"Impact","value":""},{"id":150,"name":"Time of Event (Mountain Time)","value":"01:21:33"},{"id":151,"name":"Denver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99"/>
        <v>start /low /b %USERPROFILE%\Documents\GitHub\eaglep3\Utilities\DownloadLogsFromS3.py --loco 4058 --day 2017-12-18</v>
      </c>
      <c r="AN201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101"/>
        <v>https://d0f6bd738d7f1b3e5a7ca70fe4ff75f0.us-east-1.aws.found.io/app/kibana#/discover/Steve-Slow-Train-Analysis-(2080s-and-2083s)?_g=(refreshInterval:(display:Off,pause:!f,section:0,value:0),time:(from:'2017-12-18T00:06:39-0700',mode:absolute,to:'2017-12-18T02:21:33-0700'))&amp;_a=(columns:!('Message%20ID',Summary),filters:!(),index:'emp_*',interval:auto,query:(query_string:(analyze_wildcard:!t,query:'%22rtdc.l.rtdc.4058%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25">
      <c r="A202" s="229" t="s">
        <v>727</v>
      </c>
      <c r="B202" s="225">
        <v>4031</v>
      </c>
      <c r="C202" s="227" t="s">
        <v>192</v>
      </c>
      <c r="D202" s="227" t="s">
        <v>1054</v>
      </c>
      <c r="E202" s="226">
        <v>43086.182303240741</v>
      </c>
      <c r="F202" s="226">
        <v>43086.185972222222</v>
      </c>
      <c r="G202" s="225">
        <v>59</v>
      </c>
      <c r="H202" s="227" t="s">
        <v>1055</v>
      </c>
      <c r="I202" s="226">
        <v>43086.191377314812</v>
      </c>
      <c r="J202" s="225">
        <v>0</v>
      </c>
      <c r="K202" s="237" t="str">
        <f t="shared" si="86"/>
        <v>4031/4032</v>
      </c>
      <c r="L202" s="245" t="str">
        <f>VLOOKUP(A202,'Trips&amp;Operators'!$C$1:$G$99911,5,FALSE)</f>
        <v>GEBRETEKLE DAGNEW</v>
      </c>
      <c r="M202" s="224">
        <f t="shared" si="87"/>
        <v>5.4050925900810398E-3</v>
      </c>
      <c r="N202" s="225">
        <f t="shared" si="120"/>
        <v>7.7833333297166973</v>
      </c>
      <c r="O202" s="225"/>
      <c r="P202" s="225"/>
      <c r="Q202" s="228"/>
      <c r="R202" s="242"/>
      <c r="S202" s="249">
        <f t="shared" si="96"/>
        <v>1</v>
      </c>
      <c r="T202" s="242" t="str">
        <f t="shared" si="88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89"/>
        <v>https://d0f6bd738d7f1b3e5a7ca70fe4ff75f0.us-east-1.aws.found.io/app/kibana#/discover/Steve-Slow-Train-Analysis-(2080s-and-2083s)?_g=(refreshInterval:(display:Off,pause:!f,section:0,value:0),time:(from:'2017-12-17T03:22:31-0700',mode:absolute,to:'2017-12-17T05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2" s="247" t="str">
        <f>IF(AA202&lt;VLOOKUP(AG202,Variables!$AC$3:$AD$8,2,FALSE),"Y","N")</f>
        <v>Y</v>
      </c>
      <c r="X202" s="247">
        <f t="shared" si="130"/>
        <v>1</v>
      </c>
      <c r="Y202" s="247">
        <f t="shared" si="131"/>
        <v>2.3431999999999999</v>
      </c>
      <c r="Z202" s="247">
        <f t="shared" si="132"/>
        <v>1.54E-2</v>
      </c>
      <c r="AA202" s="247">
        <f t="shared" si="90"/>
        <v>2.3277999999999999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91"/>
        <v>308</v>
      </c>
      <c r="AE202" s="235" t="str">
        <f t="shared" si="92"/>
        <v>aws s3 cp s3://rtdc.mdm.uploadarchive.raw/RTDC4031/ "%USERPROFILE%\AppData\Local\Temp\OnboardLogs"\RTDC4031\2017-12-17 --exclude "*" --recursive --include "*20171217*" &amp; "%USERPROFILE%\Documents\GitHub\mrs-test-scripts\Headless Mode &amp; Sideloading\WalkAndUnGZ.bat" "%USERPROFILE%\AppData\Local\Temp\OnboardLogs"\RTDC4031\2017-12-17 &amp; aws s3 cp s3://rtdc.mdm.uploadarchive.raw/RTDC4031/ "%USERPROFILE%\AppData\Local\Temp\OnboardLogs"\RTDC4031\2017-12-18 --exclude "*" --recursive --include "*20171218*" &amp; "%USERPROFILE%\Documents\GitHub\mrs-test-scripts\Headless Mode &amp; Sideloading\WalkAndUnGZ.bat" "%USERPROFILE%\AppData\Local\Temp\OnboardLogs"\RTDC4031\2017-12-18</v>
      </c>
      <c r="AF202" s="234" t="str">
        <f t="shared" si="93"/>
        <v>"C:\Program Files (x86)\AstroGrep\AstroGrep.exe" /e /r /s /spath="%USERPROFILE%\AppData\Local\Temp\OnboardLogs" /stypes="app*4031*20171217*" /stext=" 11:.+((SYSTEM_STATE.+slice.+state.+changed )|(ment ac)|(multiple cpu faults)|(system.+state.+changed )|(\[timeout)|(PRM\|1\|D)|(kpr)|(kdp)|(train st.+moving)|(\|lc)|(penalty))"</v>
      </c>
      <c r="AG202" s="244" t="str">
        <f t="shared" si="94"/>
        <v>Other</v>
      </c>
      <c r="AH202" s="236" t="str">
        <f t="shared" si="97"/>
        <v>"%USERPROFILE%\Documents\GitHub\eaglep3\Utilities\RefineRTDCRunTimes.py" --tripid 308-17 --locoid 4031 --swversion DE.1.0.9.0 --startMP 300:23432 --initTime 2017-12-17T04:22:31 --startdatetime 2017-12-17T04:27:48 --delay 59 --endMP 204:154 --enddatetime 2017-12-17T04:35:35 --enforcementcount 0 &gt;&gt;%USERPROFILE%\Documents\GitHub\eaglep3-reporting\EC\2017-12-17-refined-times.txt</v>
      </c>
      <c r="AI202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{"issue":{"subject":"","project_id":79,"tracker_id":40,"status_id":1,"priority_id":2,"assigned_to_id":338,"start_date":"2017-12-17","description":"","custom_fields":[{"id":1,"name":"Subdivision","value":"Other"},{"id":4,"name":"Milepost","value":"0.0154"},{"id":17,"name":"Train ID","value":"308-17"},{"id":16,"name":"Locomotive ID","value":"4031"},{"id":130,"name":"Impact","value":""},{"id":150,"name":"Time of Event (Mountain Time)","value":"04:35:35"},{"id":151,"name":"Denver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99"/>
        <v>start /low /b %USERPROFILE%\Documents\GitHub\eaglep3\Utilities\DownloadLogsFromS3.py --loco 4031 --day 2017-12-17</v>
      </c>
      <c r="AN202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101"/>
        <v>https://d0f6bd738d7f1b3e5a7ca70fe4ff75f0.us-east-1.aws.found.io/app/kibana#/discover/Steve-Slow-Train-Analysis-(2080s-and-2083s)?_g=(refreshInterval:(display:Off,pause:!f,section:0,value:0),time:(from:'2017-12-17T03:22:31-0700',mode:absolute,to:'2017-12-17T05:35:35-0700'))&amp;_a=(columns:!('Message%20ID',Summary),filters:!(),index:'emp_*',interval:auto,query:(query_string:(analyze_wildcard:!t,query:'%22rtdc.l.rtdc.4031%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477</v>
      </c>
      <c r="B203" s="225">
        <v>4004</v>
      </c>
      <c r="C203" s="227" t="s">
        <v>192</v>
      </c>
      <c r="D203" s="227" t="s">
        <v>1056</v>
      </c>
      <c r="E203" s="226">
        <v>43087.068680555552</v>
      </c>
      <c r="F203" s="226">
        <v>43087.070023148146</v>
      </c>
      <c r="G203" s="225">
        <v>53</v>
      </c>
      <c r="H203" s="227" t="s">
        <v>1057</v>
      </c>
      <c r="I203" s="226">
        <v>43087.077581018515</v>
      </c>
      <c r="J203" s="225">
        <v>0</v>
      </c>
      <c r="K203" s="237" t="str">
        <f t="shared" si="86"/>
        <v>4003/4004</v>
      </c>
      <c r="L203" s="245" t="str">
        <f>VLOOKUP(A203,'Trips&amp;Operators'!$C$1:$G$99911,5,FALSE)</f>
        <v>ELBAUM MIKE</v>
      </c>
      <c r="M203" s="224">
        <f t="shared" si="87"/>
        <v>7.5578703690553084E-3</v>
      </c>
      <c r="N203" s="225">
        <f t="shared" si="120"/>
        <v>10.883333331439644</v>
      </c>
      <c r="O203" s="225"/>
      <c r="P203" s="225"/>
      <c r="Q203" s="228"/>
      <c r="R203" s="242"/>
      <c r="S203" s="249">
        <f t="shared" si="96"/>
        <v>1</v>
      </c>
      <c r="T203" s="242" t="str">
        <f t="shared" si="88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89"/>
        <v>https://d0f6bd738d7f1b3e5a7ca70fe4ff75f0.us-east-1.aws.found.io/app/kibana#/discover/Steve-Slow-Train-Analysis-(2080s-and-2083s)?_g=(refreshInterval:(display:Off,pause:!f,section:0,value:0),time:(from:'2017-12-18T00:38:54-0700',mode:absolute,to:'2017-12-18T02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3" s="247" t="str">
        <f>IF(AA203&lt;VLOOKUP(AG203,Variables!$AC$3:$AD$8,2,FALSE),"Y","N")</f>
        <v>Y</v>
      </c>
      <c r="X203" s="247">
        <f t="shared" si="130"/>
        <v>1</v>
      </c>
      <c r="Y203" s="247">
        <f t="shared" si="131"/>
        <v>6.0999999999999999E-2</v>
      </c>
      <c r="Z203" s="247">
        <f t="shared" si="132"/>
        <v>2.3302</v>
      </c>
      <c r="AA203" s="247">
        <f t="shared" si="90"/>
        <v>2.2692000000000001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91"/>
        <v>309</v>
      </c>
      <c r="AE203" s="235" t="str">
        <f t="shared" si="92"/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AF203" s="234" t="str">
        <f t="shared" si="93"/>
        <v>"C:\Program Files (x86)\AstroGrep\AstroGrep.exe" /e /r /s /spath="%USERPROFILE%\AppData\Local\Temp\OnboardLogs" /stypes="app*4004*20171218*" /stext=" 08:.+((SYSTEM_STATE.+slice.+state.+changed )|(ment ac)|(multiple cpu faults)|(system.+state.+changed )|(\[timeout)|(PRM\|1\|D)|(kpr)|(kdp)|(train st.+moving)|(\|lc)|(penalty))"</v>
      </c>
      <c r="AG203" s="244" t="str">
        <f t="shared" si="94"/>
        <v>Other</v>
      </c>
      <c r="AH203" s="236" t="str">
        <f t="shared" si="97"/>
        <v>"%USERPROFILE%\Documents\GitHub\eaglep3\Utilities\RefineRTDCRunTimes.py" --tripid 309-17 --locoid 4004 --swversion DE.1.0.9.0 --startMP 204:610 --initTime 2017-12-18T01:38:54 --startdatetime 2017-12-18T01:40:50 --delay 53 --endMP 300:23302 --enddatetime 2017-12-18T01:51:43 --enforcementcount 0 &gt;&gt;%USERPROFILE%\Documents\GitHub\eaglep3-reporting\EC\2017-12-17-refined-times.txt</v>
      </c>
      <c r="AI203" s="238" t="str">
        <f t="shared" si="98"/>
        <v>echo {"issue":{"subject":"","project_id":79,"tracker_id":40,"status_id":1,"priority_id":2,"assigned_to_id":338,"start_date":"2017-12-18","description":"","custom_fields":[{"id":1,"name":"Subdivision","value":"Other"},{"id":4,"name":"Milepost","value":"2.3302"},{"id":17,"name":"Train ID","value":"309-17"},{"id":16,"name":"Locomotive ID","value":"4004"},{"id":130,"name":"Impact","value":""},{"id":150,"name":"Time of Event (Mountain Time)","value":"01:51:43"},{"id":151,"name":"Denver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99"/>
        <v>start /low /b %USERPROFILE%\Documents\GitHub\eaglep3\Utilities\DownloadLogsFromS3.py --loco 4004 --day 2017-12-18</v>
      </c>
      <c r="AN203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08:51:43"},{"id":29,"name":"Sharepoint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101"/>
        <v>https://d0f6bd738d7f1b3e5a7ca70fe4ff75f0.us-east-1.aws.found.io/app/kibana#/discover/Steve-Slow-Train-Analysis-(2080s-and-2083s)?_g=(refreshInterval:(display:Off,pause:!f,section:0,value:0),time:(from:'2017-12-18T00:38:54-0700',mode:absolute,to:'2017-12-18T02:51:43-0700'))&amp;_a=(columns:!('Message%20ID',Summary),filters:!(),index:'emp_*',interval:auto,query:(query_string:(analyze_wildcard:!t,query:'%22rtdc.l.rtdc.4004%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731</v>
      </c>
      <c r="B204" s="225">
        <v>4039</v>
      </c>
      <c r="C204" s="227" t="s">
        <v>192</v>
      </c>
      <c r="D204" s="227" t="s">
        <v>1058</v>
      </c>
      <c r="E204" s="226">
        <v>43086.197048611109</v>
      </c>
      <c r="F204" s="226">
        <v>43086.200752314813</v>
      </c>
      <c r="G204" s="225">
        <v>104</v>
      </c>
      <c r="H204" s="227" t="s">
        <v>566</v>
      </c>
      <c r="I204" s="226">
        <v>43086.206516203703</v>
      </c>
      <c r="J204" s="225">
        <v>0</v>
      </c>
      <c r="K204" s="237" t="str">
        <f t="shared" si="86"/>
        <v>4039/4040</v>
      </c>
      <c r="L204" s="245" t="str">
        <f>VLOOKUP(A204,'Trips&amp;Operators'!$C$1:$G$99911,5,FALSE)</f>
        <v>WILLIAMS DONTE</v>
      </c>
      <c r="M204" s="224">
        <f t="shared" si="87"/>
        <v>5.7638888902147301E-3</v>
      </c>
      <c r="N204" s="225">
        <f t="shared" si="120"/>
        <v>8.3000000019092113</v>
      </c>
      <c r="O204" s="225"/>
      <c r="P204" s="225"/>
      <c r="Q204" s="228"/>
      <c r="R204" s="242"/>
      <c r="S204" s="249">
        <f t="shared" si="96"/>
        <v>1</v>
      </c>
      <c r="T204" s="242" t="str">
        <f t="shared" si="88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89"/>
        <v>https://d0f6bd738d7f1b3e5a7ca70fe4ff75f0.us-east-1.aws.found.io/app/kibana#/discover/Steve-Slow-Train-Analysis-(2080s-and-2083s)?_g=(refreshInterval:(display:Off,pause:!f,section:0,value:0),time:(from:'2017-12-17T03:43:45-0700',mode:absolute,to:'2017-12-17T05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4" s="247" t="str">
        <f>IF(AA204&lt;VLOOKUP(AG204,Variables!$AC$3:$AD$8,2,FALSE),"Y","N")</f>
        <v>Y</v>
      </c>
      <c r="X204" s="247">
        <f t="shared" si="130"/>
        <v>1</v>
      </c>
      <c r="Y204" s="247">
        <f t="shared" si="131"/>
        <v>2.3515999999999999</v>
      </c>
      <c r="Z204" s="247">
        <f t="shared" si="132"/>
        <v>2.0500000000000001E-2</v>
      </c>
      <c r="AA204" s="247">
        <f t="shared" si="90"/>
        <v>2.3310999999999997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91"/>
        <v>310</v>
      </c>
      <c r="AE204" s="235" t="str">
        <f t="shared" si="92"/>
        <v>aws s3 cp s3://rtdc.mdm.uploadarchive.raw/RTDC4039/ "%USERPROFILE%\AppData\Local\Temp\OnboardLogs"\RTDC4039\2017-12-17 --exclude "*" --recursive --include "*20171217*" &amp; "%USERPROFILE%\Documents\GitHub\mrs-test-scripts\Headless Mode &amp; Sideloading\WalkAndUnGZ.bat" "%USERPROFILE%\AppData\Local\Temp\OnboardLogs"\RTDC4039\2017-12-17 &amp; aws s3 cp s3://rtdc.mdm.uploadarchive.raw/RTDC4039/ "%USERPROFILE%\AppData\Local\Temp\OnboardLogs"\RTDC4039\2017-12-18 --exclude "*" --recursive --include "*20171218*" &amp; "%USERPROFILE%\Documents\GitHub\mrs-test-scripts\Headless Mode &amp; Sideloading\WalkAndUnGZ.bat" "%USERPROFILE%\AppData\Local\Temp\OnboardLogs"\RTDC4039\2017-12-18</v>
      </c>
      <c r="AF204" s="234" t="str">
        <f t="shared" si="93"/>
        <v>"C:\Program Files (x86)\AstroGrep\AstroGrep.exe" /e /r /s /spath="%USERPROFILE%\AppData\Local\Temp\OnboardLogs" /stypes="app*4039*20171217*" /stext=" 11:.+((SYSTEM_STATE.+slice.+state.+changed )|(ment ac)|(multiple cpu faults)|(system.+state.+changed )|(\[timeout)|(PRM\|1\|D)|(kpr)|(kdp)|(train st.+moving)|(\|lc)|(penalty))"</v>
      </c>
      <c r="AG204" s="244" t="str">
        <f t="shared" si="94"/>
        <v>Other</v>
      </c>
      <c r="AH204" s="236" t="str">
        <f t="shared" si="97"/>
        <v>"%USERPROFILE%\Documents\GitHub\eaglep3\Utilities\RefineRTDCRunTimes.py" --tripid 310-17 --locoid 4039 --swversion DE.1.0.9.0 --startMP 300:23516 --initTime 2017-12-17T04:43:45 --startdatetime 2017-12-17T04:49:05 --delay 104 --endMP 204:205 --enddatetime 2017-12-17T04:57:23 --enforcementcount 0 &gt;&gt;%USERPROFILE%\Documents\GitHub\eaglep3-reporting\EC\2017-12-17-refined-times.txt</v>
      </c>
      <c r="AI204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{"issue":{"subject":"","project_id":79,"tracker_id":40,"status_id":1,"priority_id":2,"assigned_to_id":338,"start_date":"2017-12-17","description":"","custom_fields":[{"id":1,"name":"Subdivision","value":"Other"},{"id":4,"name":"Milepost","value":"0.0205"},{"id":17,"name":"Train ID","value":"310-17"},{"id":16,"name":"Locomotive ID","value":"4039"},{"id":130,"name":"Impact","value":""},{"id":150,"name":"Time of Event (Mountain Time)","value":"04:57:23"},{"id":151,"name":"Denver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99"/>
        <v>start /low /b %USERPROFILE%\Documents\GitHub\eaglep3\Utilities\DownloadLogsFromS3.py --loco 4039 --day 2017-12-17</v>
      </c>
      <c r="AN204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101"/>
        <v>https://d0f6bd738d7f1b3e5a7ca70fe4ff75f0.us-east-1.aws.found.io/app/kibana#/discover/Steve-Slow-Train-Analysis-(2080s-and-2083s)?_g=(refreshInterval:(display:Off,pause:!f,section:0,value:0),time:(from:'2017-12-17T03:43:45-0700',mode:absolute,to:'2017-12-17T05:57:23-0700'))&amp;_a=(columns:!('Message%20ID',Summary),filters:!(),index:'emp_*',interval:auto,query:(query_string:(analyze_wildcard:!t,query:'%22rtdc.l.rtdc.4039%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478</v>
      </c>
      <c r="B205" s="225">
        <v>4018</v>
      </c>
      <c r="C205" s="227" t="s">
        <v>192</v>
      </c>
      <c r="D205" s="227" t="s">
        <v>1059</v>
      </c>
      <c r="E205" s="226">
        <v>43087.086863425924</v>
      </c>
      <c r="F205" s="226">
        <v>43087.088321759256</v>
      </c>
      <c r="G205" s="225">
        <v>53</v>
      </c>
      <c r="H205" s="227" t="s">
        <v>1060</v>
      </c>
      <c r="I205" s="226">
        <v>43087.102060185185</v>
      </c>
      <c r="J205" s="225">
        <v>0</v>
      </c>
      <c r="K205" s="237" t="str">
        <f t="shared" ref="K205:K220" si="133">IF(ISEVEN(B205),(B205-1)&amp;"/"&amp;B205,B205&amp;"/"&amp;(B205+1))</f>
        <v>4017/4018</v>
      </c>
      <c r="L205" s="245" t="str">
        <f>VLOOKUP(A205,'Trips&amp;Operators'!$C$1:$G$99911,5,FALSE)</f>
        <v>RESPASS AARON</v>
      </c>
      <c r="M205" s="224">
        <f t="shared" ref="M205:M220" si="134">I205-F205</f>
        <v>1.3738425928750075E-2</v>
      </c>
      <c r="N205" s="225">
        <f t="shared" si="120"/>
        <v>19.783333337400109</v>
      </c>
      <c r="O205" s="225"/>
      <c r="P205" s="225"/>
      <c r="Q205" s="228"/>
      <c r="R205" s="242"/>
      <c r="S205" s="249">
        <f t="shared" si="96"/>
        <v>1</v>
      </c>
      <c r="T205" s="242" t="str">
        <f t="shared" ref="T205:T220" si="135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0" si="13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-18T01:05:05-0700',mode:absolute,to:'2017-12-18T03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247" t="str">
        <f>IF(AA205&lt;VLOOKUP(AG205,Variables!$AC$3:$AD$8,2,FALSE),"Y","N")</f>
        <v>Y</v>
      </c>
      <c r="X205" s="247">
        <f t="shared" si="130"/>
        <v>1</v>
      </c>
      <c r="Y205" s="247">
        <f t="shared" si="131"/>
        <v>5.7299999999999997E-2</v>
      </c>
      <c r="Z205" s="247">
        <f t="shared" si="132"/>
        <v>2.3306</v>
      </c>
      <c r="AA205" s="247">
        <f t="shared" ref="AA205:AA220" si="137">ABS(Z205-Y205)</f>
        <v>2.2732999999999999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0" si="138">VALUE(LEFT(A205,LEN(A205)-3))</f>
        <v>311</v>
      </c>
      <c r="AE205" s="235" t="str">
        <f t="shared" ref="AE205:AE220" si="13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 &amp; aws s3 cp s3://rtdc.mdm.uploadarchive.raw/RTDC4018/ "%USERPROFILE%\AppData\Local\Temp\OnboardLogs"\RTDC4018\2017-12-19 --exclude "*" --recursive --include "*20171219*" &amp; "%USERPROFILE%\Documents\GitHub\mrs-test-scripts\Headless Mode &amp; Sideloading\WalkAndUnGZ.bat" "%USERPROFILE%\AppData\Local\Temp\OnboardLogs"\RTDC4018\2017-12-19</v>
      </c>
      <c r="AF205" s="234" t="str">
        <f t="shared" ref="AF205:AF220" si="14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/stypes="app*4018*20171218*" /stext=" 09:.+((SYSTEM_STATE.+slice.+state.+changed )|(ment ac)|(multiple cpu faults)|(system.+state.+changed )|(\[timeout)|(PRM\|1\|D)|(kpr)|(kdp)|(train st.+moving)|(\|lc)|(penalty))"</v>
      </c>
      <c r="AG205" s="244" t="str">
        <f t="shared" ref="AG205:AG220" si="141">DetSubdiv(A205)</f>
        <v>Other</v>
      </c>
      <c r="AH205" s="236" t="str">
        <f t="shared" si="97"/>
        <v>"%USERPROFILE%\Documents\GitHub\eaglep3\Utilities\RefineRTDCRunTimes.py" --tripid 311-17 --locoid 4018 --swversion DE.1.0.9.0 --startMP 204:573 --initTime 2017-12-18T02:05:05 --startdatetime 2017-12-18T02:07:11 --delay 53 --endMP 300:23306 --enddatetime 2017-12-18T02:26:58 --enforcementcount 0 &gt;&gt;%USERPROFILE%\Documents\GitHub\eaglep3-reporting\EC\2017-12-17-refined-times.txt</v>
      </c>
      <c r="AI205" s="238" t="str">
        <f t="shared" si="98"/>
        <v>echo {"issue":{"subject":"","project_id":79,"tracker_id":40,"status_id":1,"priority_id":2,"assigned_to_id":338,"start_date":"2017-12-18","description":"","custom_fields":[{"id":1,"name":"Subdivision","value":"Other"},{"id":4,"name":"Milepost","value":"2.3306"},{"id":17,"name":"Train ID","value":"311-17"},{"id":16,"name":"Locomotive ID","value":"4018"},{"id":130,"name":"Impact","value":""},{"id":150,"name":"Time of Event (Mountain Time)","value":"02:26:58"},{"id":151,"name":"Denver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99"/>
        <v>start /low /b %USERPROFILE%\Documents\GitHub\eaglep3\Utilities\DownloadLogsFromS3.py --loco 4018 --day 2017-12-18</v>
      </c>
      <c r="AN205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09:26:58"},{"id":29,"name":"Sharepoint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101"/>
        <v>https://d0f6bd738d7f1b3e5a7ca70fe4ff75f0.us-east-1.aws.found.io/app/kibana#/discover/Steve-Slow-Train-Analysis-(2080s-and-2083s)?_g=(refreshInterval:(display:Off,pause:!f,section:0,value:0),time:(from:'2017-12-18T01:05:05-0700',mode:absolute,to:'2017-12-18T03:26:58-0700'))&amp;_a=(columns:!('Message%20ID',Summary),filters:!(),index:'emp_*',interval:auto,query:(query_string:(analyze_wildcard:!t,query:'%22rtdc.l.rtdc.4018%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737</v>
      </c>
      <c r="B206" s="225">
        <v>4007</v>
      </c>
      <c r="C206" s="227" t="s">
        <v>192</v>
      </c>
      <c r="D206" s="227" t="s">
        <v>1061</v>
      </c>
      <c r="E206" s="226">
        <v>43086.222083333334</v>
      </c>
      <c r="F206" s="226">
        <v>43086.229502314818</v>
      </c>
      <c r="G206" s="225">
        <v>63</v>
      </c>
      <c r="H206" s="227" t="s">
        <v>1062</v>
      </c>
      <c r="I206" s="226">
        <v>43086.234270833331</v>
      </c>
      <c r="J206" s="225">
        <v>0</v>
      </c>
      <c r="K206" s="237" t="str">
        <f t="shared" si="133"/>
        <v>4007/4008</v>
      </c>
      <c r="L206" s="245" t="str">
        <f>VLOOKUP(A206,'Trips&amp;Operators'!$C$1:$G$99911,5,FALSE)</f>
        <v>LAMAR NEKESHA</v>
      </c>
      <c r="M206" s="224">
        <f t="shared" si="134"/>
        <v>4.7685185127193108E-3</v>
      </c>
      <c r="N206" s="225">
        <f t="shared" si="120"/>
        <v>6.8666666583158076</v>
      </c>
      <c r="O206" s="225"/>
      <c r="P206" s="225"/>
      <c r="Q206" s="228"/>
      <c r="R206" s="242"/>
      <c r="S206" s="249">
        <f t="shared" si="96"/>
        <v>1</v>
      </c>
      <c r="T206" s="242" t="str">
        <f t="shared" si="135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36"/>
        <v>https://d0f6bd738d7f1b3e5a7ca70fe4ff75f0.us-east-1.aws.found.io/app/kibana#/discover/Steve-Slow-Train-Analysis-(2080s-and-2083s)?_g=(refreshInterval:(display:Off,pause:!f,section:0,value:0),time:(from:'2017-12-17T04:19:48-0700',mode:absolute,to:'2017-12-17T06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47" t="str">
        <f>IF(AA206&lt;VLOOKUP(AG206,Variables!$AC$3:$AD$8,2,FALSE),"Y","N")</f>
        <v>Y</v>
      </c>
      <c r="X206" s="247">
        <f t="shared" si="130"/>
        <v>1</v>
      </c>
      <c r="Y206" s="247">
        <f t="shared" si="131"/>
        <v>2.1985000000000001</v>
      </c>
      <c r="Z206" s="247">
        <f t="shared" si="132"/>
        <v>1.6899999999999998E-2</v>
      </c>
      <c r="AA206" s="247">
        <f t="shared" si="137"/>
        <v>2.1816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38"/>
        <v>312</v>
      </c>
      <c r="AE206" s="235" t="str">
        <f t="shared" si="139"/>
        <v>aws s3 cp s3://rtdc.mdm.uploadarchive.raw/RTDC4007/ "%USERPROFILE%\AppData\Local\Temp\OnboardLogs"\RTDC4007\2017-12-17 --exclude "*" --recursive --include "*20171217*" &amp; "%USERPROFILE%\Documents\GitHub\mrs-test-scripts\Headless Mode &amp; Sideloading\WalkAndUnGZ.bat" "%USERPROFILE%\AppData\Local\Temp\OnboardLogs"\RTDC4007\2017-12-17 &amp; aws s3 cp s3://rtdc.mdm.uploadarchive.raw/RTDC4007/ "%USERPROFILE%\AppData\Local\Temp\OnboardLogs"\RTDC4007\2017-12-18 --exclude "*" --recursive --include "*20171218*" &amp; "%USERPROFILE%\Documents\GitHub\mrs-test-scripts\Headless Mode &amp; Sideloading\WalkAndUnGZ.bat" "%USERPROFILE%\AppData\Local\Temp\OnboardLogs"\RTDC4007\2017-12-18</v>
      </c>
      <c r="AF206" s="234" t="str">
        <f t="shared" si="140"/>
        <v>"C:\Program Files (x86)\AstroGrep\AstroGrep.exe" /e /r /s /spath="%USERPROFILE%\AppData\Local\Temp\OnboardLogs" /stypes="app*4007*20171217*" /stext=" 12:.+((SYSTEM_STATE.+slice.+state.+changed )|(ment ac)|(multiple cpu faults)|(system.+state.+changed )|(\[timeout)|(PRM\|1\|D)|(kpr)|(kdp)|(train st.+moving)|(\|lc)|(penalty))"</v>
      </c>
      <c r="AG206" s="244" t="str">
        <f t="shared" si="141"/>
        <v>Other</v>
      </c>
      <c r="AH206" s="236" t="str">
        <f t="shared" si="97"/>
        <v>"%USERPROFILE%\Documents\GitHub\eaglep3\Utilities\RefineRTDCRunTimes.py" --tripid 312-17 --locoid 4007 --swversion DE.1.0.9.0 --startMP 300:21985 --initTime 2017-12-17T05:19:48 --startdatetime 2017-12-17T05:30:29 --delay 63 --endMP 204:169 --enddatetime 2017-12-17T05:37:21 --enforcementcount 0 &gt;&gt;%USERPROFILE%\Documents\GitHub\eaglep3-reporting\EC\2017-12-17-refined-times.txt</v>
      </c>
      <c r="AI206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{"issue":{"subject":"","project_id":79,"tracker_id":40,"status_id":1,"priority_id":2,"assigned_to_id":338,"start_date":"2017-12-17","description":"","custom_fields":[{"id":1,"name":"Subdivision","value":"Other"},{"id":4,"name":"Milepost","value":"0.0169"},{"id":17,"name":"Train ID","value":"312-17"},{"id":16,"name":"Locomotive ID","value":"4007"},{"id":130,"name":"Impact","value":""},{"id":150,"name":"Time of Event (Mountain Time)","value":"05:37:21"},{"id":151,"name":"Denver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99"/>
        <v>start /low /b %USERPROFILE%\Documents\GitHub\eaglep3\Utilities\DownloadLogsFromS3.py --loco 4007 --day 2017-12-17</v>
      </c>
      <c r="AN206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101"/>
        <v>https://d0f6bd738d7f1b3e5a7ca70fe4ff75f0.us-east-1.aws.found.io/app/kibana#/discover/Steve-Slow-Train-Analysis-(2080s-and-2083s)?_g=(refreshInterval:(display:Off,pause:!f,section:0,value:0),time:(from:'2017-12-17T04:19:48-0700',mode:absolute,to:'2017-12-17T06:37:21-0700'))&amp;_a=(columns:!('Message%20ID',Summary),filters:!(),index:'emp_*',interval:auto,query:(query_string:(analyze_wildcard:!t,query:'%22rtdc.l.rtdc.4007%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479</v>
      </c>
      <c r="B207" s="225">
        <v>4054</v>
      </c>
      <c r="C207" s="227" t="s">
        <v>192</v>
      </c>
      <c r="D207" s="227" t="s">
        <v>1063</v>
      </c>
      <c r="E207" s="226">
        <v>43087.025555555556</v>
      </c>
      <c r="F207" s="226">
        <v>43087.033692129633</v>
      </c>
      <c r="G207" s="225">
        <v>50</v>
      </c>
      <c r="H207" s="227" t="s">
        <v>688</v>
      </c>
      <c r="I207" s="226">
        <v>43087.040729166663</v>
      </c>
      <c r="J207" s="225">
        <v>0</v>
      </c>
      <c r="K207" s="237" t="str">
        <f t="shared" si="133"/>
        <v>4053/4054</v>
      </c>
      <c r="L207" s="245" t="str">
        <f>VLOOKUP(A207,'Trips&amp;Operators'!$C$1:$G$99911,5,FALSE)</f>
        <v>STAMBAUGH JAMES</v>
      </c>
      <c r="M207" s="224">
        <f t="shared" si="134"/>
        <v>7.0370370303862728E-3</v>
      </c>
      <c r="N207" s="225">
        <f t="shared" si="120"/>
        <v>10.133333323756233</v>
      </c>
      <c r="O207" s="225"/>
      <c r="P207" s="225"/>
      <c r="Q207" s="228"/>
      <c r="R207" s="242"/>
      <c r="S207" s="249">
        <f t="shared" si="96"/>
        <v>1</v>
      </c>
      <c r="T207" s="242" t="str">
        <f t="shared" si="135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36"/>
        <v>https://d0f6bd738d7f1b3e5a7ca70fe4ff75f0.us-east-1.aws.found.io/app/kibana#/discover/Steve-Slow-Train-Analysis-(2080s-and-2083s)?_g=(refreshInterval:(display:Off,pause:!f,section:0,value:0),time:(from:'2017-12-17T23:36:48-0700',mode:absolute,to:'2017-12-18T01:58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247" t="str">
        <f>IF(AA207&lt;VLOOKUP(AG207,Variables!$AC$3:$AD$8,2,FALSE),"Y","N")</f>
        <v>Y</v>
      </c>
      <c r="X207" s="247">
        <f t="shared" si="130"/>
        <v>1</v>
      </c>
      <c r="Y207" s="247">
        <f t="shared" si="131"/>
        <v>5.4199999999999998E-2</v>
      </c>
      <c r="Z207" s="247">
        <f t="shared" si="132"/>
        <v>2.3296999999999999</v>
      </c>
      <c r="AA207" s="247">
        <f t="shared" si="137"/>
        <v>2.2755000000000001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38"/>
        <v>313</v>
      </c>
      <c r="AE207" s="235" t="str">
        <f t="shared" si="139"/>
        <v>aws s3 cp s3://rtdc.mdm.uploadarchive.raw/RTDC4054/ "%USERPROFILE%\AppData\Local\Temp\OnboardLogs"\RTDC4054\2017-12-18 --exclude "*" --recursive --include "*20171218*" &amp; "%USERPROFILE%\Documents\GitHub\mrs-test-scripts\Headless Mode &amp; Sideloading\WalkAndUnGZ.bat" "%USERPROFILE%\AppData\Local\Temp\OnboardLogs"\RTDC4054\2017-12-18 &amp; aws s3 cp s3://rtdc.mdm.uploadarchive.raw/RTDC4054/ "%USERPROFILE%\AppData\Local\Temp\OnboardLogs"\RTDC4054\2017-12-19 --exclude "*" --recursive --include "*20171219*" &amp; "%USERPROFILE%\Documents\GitHub\mrs-test-scripts\Headless Mode &amp; Sideloading\WalkAndUnGZ.bat" "%USERPROFILE%\AppData\Local\Temp\OnboardLogs"\RTDC4054\2017-12-19</v>
      </c>
      <c r="AF207" s="234" t="str">
        <f t="shared" si="140"/>
        <v>"C:\Program Files (x86)\AstroGrep\AstroGrep.exe" /e /r /s /spath="%USERPROFILE%\AppData\Local\Temp\OnboardLogs" /stypes="app*4054*20171218*" /stext=" 07:.+((SYSTEM_STATE.+slice.+state.+changed )|(ment ac)|(multiple cpu faults)|(system.+state.+changed )|(\[timeout)|(PRM\|1\|D)|(kpr)|(kdp)|(train st.+moving)|(\|lc)|(penalty))"</v>
      </c>
      <c r="AG207" s="244" t="str">
        <f t="shared" si="141"/>
        <v>Other</v>
      </c>
      <c r="AH207" s="236" t="str">
        <f t="shared" si="97"/>
        <v>"%USERPROFILE%\Documents\GitHub\eaglep3\Utilities\RefineRTDCRunTimes.py" --tripid 313-17 --locoid 4054 --swversion DE.1.0.9.0 --startMP 204:542 --initTime 2017-12-18T00:36:48 --startdatetime 2017-12-18T00:48:31 --delay 50 --endMP 300:23297 --enddatetime 2017-12-18T00:58:39 --enforcementcount 0 &gt;&gt;%USERPROFILE%\Documents\GitHub\eaglep3-reporting\EC\2017-12-17-refined-times.txt</v>
      </c>
      <c r="AI207" s="238" t="str">
        <f t="shared" si="98"/>
        <v>echo {"issue":{"subject":"","project_id":79,"tracker_id":40,"status_id":1,"priority_id":2,"assigned_to_id":338,"start_date":"2017-12-18","description":"","custom_fields":[{"id":1,"name":"Subdivision","value":"Other"},{"id":4,"name":"Milepost","value":"2.3297"},{"id":17,"name":"Train ID","value":"313-17"},{"id":16,"name":"Locomotive ID","value":"4054"},{"id":130,"name":"Impact","value":""},{"id":150,"name":"Time of Event (Mountain Time)","value":"00:58:39"},{"id":151,"name":"Denver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99"/>
        <v>start /low /b %USERPROFILE%\Documents\GitHub\eaglep3\Utilities\DownloadLogsFromS3.py --loco 4054 --day 2017-12-18</v>
      </c>
      <c r="AN207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07:58:39"},{"id":29,"name":"Sharepoint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101"/>
        <v>https://d0f6bd738d7f1b3e5a7ca70fe4ff75f0.us-east-1.aws.found.io/app/kibana#/discover/Steve-Slow-Train-Analysis-(2080s-and-2083s)?_g=(refreshInterval:(display:Off,pause:!f,section:0,value:0),time:(from:'2017-12-17T23:36:48-0700',mode:absolute,to:'2017-12-18T01:58:39-0700'))&amp;_a=(columns:!('Message%20ID',Summary),filters:!(),index:'emp_*',interval:auto,query:(query_string:(analyze_wildcard:!t,query:'%22rtdc.l.rtdc.4054%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695</v>
      </c>
      <c r="B208" s="225">
        <v>4060</v>
      </c>
      <c r="C208" s="227" t="s">
        <v>192</v>
      </c>
      <c r="D208" s="227" t="s">
        <v>1006</v>
      </c>
      <c r="E208" s="226">
        <v>43086.218043981484</v>
      </c>
      <c r="F208" s="226">
        <v>43086.222141203703</v>
      </c>
      <c r="G208" s="225">
        <v>101</v>
      </c>
      <c r="H208" s="227" t="s">
        <v>1007</v>
      </c>
      <c r="I208" s="226">
        <v>43086.227037037039</v>
      </c>
      <c r="J208" s="225">
        <v>0</v>
      </c>
      <c r="K208" s="237" t="str">
        <f t="shared" si="133"/>
        <v>4059/4060</v>
      </c>
      <c r="L208" s="245" t="str">
        <f>VLOOKUP(A208,'Trips&amp;Operators'!$C$1:$G$99911,5,FALSE)</f>
        <v>BROWN JACOB</v>
      </c>
      <c r="M208" s="224">
        <f t="shared" si="134"/>
        <v>4.8958333354676142E-3</v>
      </c>
      <c r="N208" s="225"/>
      <c r="O208" s="225"/>
      <c r="P208" s="225">
        <f>24*60*SUM($M208:$M208)</f>
        <v>7.0500000030733645</v>
      </c>
      <c r="Q208" s="228"/>
      <c r="R208" s="242" t="s">
        <v>1094</v>
      </c>
      <c r="S208" s="249">
        <f t="shared" si="96"/>
        <v>0</v>
      </c>
      <c r="T208" s="242" t="str">
        <f t="shared" si="135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 t="shared" si="136"/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247" t="str">
        <f>IF(AA208&lt;VLOOKUP(AG208,Variables!$AC$3:$AD$8,2,FALSE),"Y","N")</f>
        <v>Y</v>
      </c>
      <c r="X208" s="247">
        <f t="shared" si="130"/>
        <v>1588</v>
      </c>
      <c r="Y208" s="247">
        <f t="shared" si="131"/>
        <v>2.9493999999999998</v>
      </c>
      <c r="Z208" s="247">
        <f t="shared" si="132"/>
        <v>3.7323</v>
      </c>
      <c r="AA208" s="247">
        <f t="shared" si="137"/>
        <v>0.78290000000000015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38"/>
        <v>1901</v>
      </c>
      <c r="AE208" s="235" t="str">
        <f t="shared" si="139"/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208" s="234" t="str">
        <f t="shared" si="140"/>
        <v>"C:\Program Files (x86)\AstroGrep\AstroGrep.exe" /e /r /s /spath="%USERPROFILE%\AppData\Local\Temp\OnboardLogs" /stypes="app*4060*20171217*" /stext=" 12:.+((SYSTEM_STATE.+slice.+state.+changed )|(ment ac)|(multiple cpu faults)|(system.+state.+changed )|(\[timeout)|(PRM\|1\|D)|(kpr)|(kdp)|(train st.+moving)|(\|lc)|(penalty))"</v>
      </c>
      <c r="AG208" s="244" t="str">
        <f t="shared" si="141"/>
        <v>Other</v>
      </c>
      <c r="AH208" s="236" t="str">
        <f t="shared" si="97"/>
        <v>"%USERPROFILE%\Documents\GitHub\eaglep3\Utilities\RefineRTDCRunTimes.py" --tripid 1901-17 --locoid 4060 --swversion DE.1.0.9.0 --startMP 300:29494 --initTime 2017-12-17T05:13:59 --startdatetime 2017-12-17T05:19:53 --delay 101 --endMP 300:37323 --enddatetime 2017-12-17T05:26:56 --enforcementcount 0 &gt;&gt;%USERPROFILE%\Documents\GitHub\eaglep3-reporting\EC\2017-12-17-refined-times.txt</v>
      </c>
      <c r="AI208" s="238" t="str">
        <f t="shared" si="98"/>
        <v>echo {"issue":{"subject":"Operator selected wrong track","project_id":79,"tracker_id":40,"status_id":1,"priority_id":2,"assigned_to_id":338,"start_date":"2017-12-17","description":"","custom_fields":[{"id":1,"name":"Subdivision","value":"Other"},{"id":4,"name":"Milepost","value":"3.7323"},{"id":17,"name":"Train ID","value":"1901-17"},{"id":16,"name":"Locomotive ID","value":"4060"},{"id":130,"name":"Impact","value":""},{"id":150,"name":"Time of Event (Mountain Time)","value":"05:26:56"},{"id":151,"name":"Denver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99"/>
        <v>start /low /b %USERPROFILE%\Documents\GitHub\eaglep3\Utilities\DownloadLogsFromS3.py --loco 4060 --day 2017-12-17</v>
      </c>
      <c r="AN208" s="241" t="str">
        <f t="shared" si="100"/>
        <v>echo {"issue":{"subject":"Operator selected wrong track","project_id":30,"tracker_id":4,"status_id":1,"priority_id":1,"assigned_to_id":10,"start_date":"2017-12-17","description":"","custom_fields":[{"id":30,"name":"Category","value":"Issue"},{"id":3,"name":"Functional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12:26:56"},{"id":29,"name":"Sharepoint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101"/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Message%20ID',Summary),filters:!(),index:'emp_*',interval:auto,query:(query_string:(analyze_wildcard:!t,query:'%22rtdc.l.rtdc.4060%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717</v>
      </c>
      <c r="B209" s="225">
        <v>4043</v>
      </c>
      <c r="C209" s="227" t="s">
        <v>192</v>
      </c>
      <c r="D209" s="227" t="s">
        <v>1008</v>
      </c>
      <c r="E209" s="226">
        <v>43086.975821759261</v>
      </c>
      <c r="F209" s="226">
        <v>43086.977407407408</v>
      </c>
      <c r="G209" s="225">
        <v>63</v>
      </c>
      <c r="H209" s="227" t="s">
        <v>1009</v>
      </c>
      <c r="I209" s="226">
        <v>43086.984050925923</v>
      </c>
      <c r="J209" s="225">
        <v>0</v>
      </c>
      <c r="K209" s="237" t="str">
        <f t="shared" si="133"/>
        <v>4043/4044</v>
      </c>
      <c r="L209" s="245" t="str">
        <f>VLOOKUP(A209,'Trips&amp;Operators'!$C$1:$G$99911,5,FALSE)</f>
        <v>KILLION DAVID</v>
      </c>
      <c r="M209" s="224">
        <f t="shared" si="134"/>
        <v>6.6435185144655406E-3</v>
      </c>
      <c r="N209" s="225">
        <f t="shared" ref="N209:N220" si="142">24*60*SUM($M209:$M209)</f>
        <v>9.5666666608303785</v>
      </c>
      <c r="O209" s="225"/>
      <c r="P209" s="225"/>
      <c r="Q209" s="228"/>
      <c r="R209" s="242"/>
      <c r="S209" s="249">
        <f t="shared" si="96"/>
        <v>0</v>
      </c>
      <c r="T209" s="242" t="str">
        <f t="shared" si="135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136"/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47" t="str">
        <f>IF(AA209&lt;VLOOKUP(AG209,Variables!$AC$3:$AD$8,2,FALSE),"Y","N")</f>
        <v>Y</v>
      </c>
      <c r="X209" s="247">
        <f t="shared" si="130"/>
        <v>1</v>
      </c>
      <c r="Y209" s="247">
        <f t="shared" si="131"/>
        <v>5.8688000000000002</v>
      </c>
      <c r="Z209" s="247">
        <f t="shared" si="132"/>
        <v>2.7359</v>
      </c>
      <c r="AA209" s="247">
        <f t="shared" si="137"/>
        <v>3.1329000000000002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38"/>
        <v>1902</v>
      </c>
      <c r="AE209" s="235" t="str">
        <f t="shared" si="139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209" s="234" t="str">
        <f t="shared" si="140"/>
        <v>"C:\Program Files (x86)\AstroGrep\AstroGrep.exe" /e /r /s /spath="%USERPROFILE%\AppData\Local\Temp\OnboardLogs" /stypes="app*4043*20171218*" /stext=" 06:.+((SYSTEM_STATE.+slice.+state.+changed )|(ment ac)|(multiple cpu faults)|(system.+state.+changed )|(\[timeout)|(PRM\|1\|D)|(kpr)|(kdp)|(train st.+moving)|(\|lc)|(penalty))"</v>
      </c>
      <c r="AG209" s="244" t="str">
        <f t="shared" si="141"/>
        <v>Other</v>
      </c>
      <c r="AH209" s="236" t="str">
        <f t="shared" si="97"/>
        <v>"%USERPROFILE%\Documents\GitHub\eaglep3\Utilities\RefineRTDCRunTimes.py" --tripid 1902-17 --locoid 4043 --swversion DE.1.0.9.0 --startMP 300:58688 --initTime 2017-12-17T23:25:11 --startdatetime 2017-12-17T23:27:28 --delay 63 --endMP 300:27359 --enddatetime 2017-12-17T23:37:02 --enforcementcount 0 &gt;&gt;%USERPROFILE%\Documents\GitHub\eaglep3-reporting\EC\2017-12-17-refined-times.txt</v>
      </c>
      <c r="AI209" s="238" t="str">
        <f t="shared" si="98"/>
        <v>echo {"issue":{"subject":"","project_id":79,"tracker_id":40,"status_id":1,"priority_id":2,"assigned_to_id":338,"start_date":"2017-12-17","description":"","custom_fields":[{"id":1,"name":"Subdivision","value":"Other"},{"id":4,"name":"Milepost","value":"2.7359"},{"id":17,"name":"Train ID","value":"1902-17"},{"id":16,"name":"Locomotive ID","value":"4043"},{"id":130,"name":"Impact","value":""},{"id":150,"name":"Time of Event (Mountain Time)","value":"23:37:02"},{"id":151,"name":"Denver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99"/>
        <v>start /low /b %USERPROFILE%\Documents\GitHub\eaglep3\Utilities\DownloadLogsFromS3.py --loco 4043 --day 2017-12-17</v>
      </c>
      <c r="AN209" s="241" t="str">
        <f t="shared" si="100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06:37:02"},{"id":29,"name":"Sharepoint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101"/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Message%20ID',Summary),filters:!(),index:'emp_*',interval:auto,query:(query_string:(analyze_wildcard:!t,query:'%22rtdc.l.rtdc.4043%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721</v>
      </c>
      <c r="B210" s="225">
        <v>4044</v>
      </c>
      <c r="C210" s="227" t="s">
        <v>192</v>
      </c>
      <c r="D210" s="227" t="s">
        <v>1064</v>
      </c>
      <c r="E210" s="226">
        <v>43086.128437500003</v>
      </c>
      <c r="F210" s="226">
        <v>43086.136817129627</v>
      </c>
      <c r="G210" s="225">
        <v>393</v>
      </c>
      <c r="H210" s="227" t="s">
        <v>1065</v>
      </c>
      <c r="I210" s="226">
        <v>43086.138321759259</v>
      </c>
      <c r="J210" s="225">
        <v>0</v>
      </c>
      <c r="K210" s="237" t="str">
        <f t="shared" si="133"/>
        <v>4043/4044</v>
      </c>
      <c r="L210" s="245" t="str">
        <f>VLOOKUP(A210,'Trips&amp;Operators'!$C$1:$G$99911,5,FALSE)</f>
        <v>HUFFSMITH MONTY</v>
      </c>
      <c r="M210" s="224">
        <f t="shared" si="134"/>
        <v>1.5046296321088448E-3</v>
      </c>
      <c r="N210" s="225">
        <f t="shared" si="142"/>
        <v>2.1666666702367365</v>
      </c>
      <c r="O210" s="225"/>
      <c r="P210" s="225"/>
      <c r="Q210" s="228"/>
      <c r="R210" s="242"/>
      <c r="S210" s="249">
        <f t="shared" ref="S210:S220" si="143">1/IF(AG210="EC",12,1)*SUM(U210:U210)</f>
        <v>0</v>
      </c>
      <c r="T210" s="242" t="str">
        <f t="shared" si="135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36"/>
        <v>https://d0f6bd738d7f1b3e5a7ca70fe4ff75f0.us-east-1.aws.found.io/app/kibana#/discover/Steve-Slow-Train-Analysis-(2080s-and-2083s)?_g=(refreshInterval:(display:Off,pause:!f,section:0,value:0),time:(from:'2017-12-17T02:04:57-0700',mode:absolute,to:'2017-12-17T04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247" t="str">
        <f>IF(AA210&lt;VLOOKUP(AG210,Variables!$AC$3:$AD$8,2,FALSE),"Y","N")</f>
        <v>Y</v>
      </c>
      <c r="X210" s="247">
        <f t="shared" si="130"/>
        <v>-1851</v>
      </c>
      <c r="Y210" s="247">
        <f t="shared" si="131"/>
        <v>4.3799999999999999E-2</v>
      </c>
      <c r="Z210" s="247">
        <f t="shared" si="132"/>
        <v>0.33879999999999999</v>
      </c>
      <c r="AA210" s="247">
        <f t="shared" si="137"/>
        <v>0.29499999999999998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38"/>
        <v>51</v>
      </c>
      <c r="AE210" s="235" t="str">
        <f t="shared" si="139"/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AF210" s="234" t="str">
        <f t="shared" si="140"/>
        <v>"C:\Program Files (x86)\AstroGrep\AstroGrep.exe" /e /r /s /spath="%USERPROFILE%\AppData\Local\Temp\OnboardLogs" /stypes="app*4044*20171217*" /stext=" 10:.+((SYSTEM_STATE.+slice.+state.+changed )|(ment ac)|(multiple cpu faults)|(system.+state.+changed )|(\[timeout)|(PRM\|1\|D)|(kpr)|(kdp)|(train st.+moving)|(\|lc)|(penalty))"</v>
      </c>
      <c r="AG210" s="244" t="str">
        <f t="shared" si="141"/>
        <v>Shuttle/Test</v>
      </c>
      <c r="AH210" s="236" t="str">
        <f t="shared" si="97"/>
        <v>"%USERPROFILE%\Documents\GitHub\eaglep3\Utilities\RefineRTDCRunTimes.py" --tripid 51-17 --locoid 4044 --swversion DE.1.0.9.0 --startMP 204:438 --initTime 2017-12-17T03:04:57 --startdatetime 2017-12-17T03:17:01 --delay 393 --endMP 204:3388 --enddatetime 2017-12-17T03:19:11 --enforcementcount 0 &gt;&gt;%USERPROFILE%\Documents\GitHub\eaglep3-reporting\EC\2017-12-17-refined-times.txt</v>
      </c>
      <c r="AI210" s="238" t="str">
        <f t="shared" si="98"/>
        <v>echo {"issue":{"subject":"","project_id":79,"tracker_id":40,"status_id":1,"priority_id":2,"assigned_to_id":338,"start_date":"2017-12-17","description":"","custom_fields":[{"id":1,"name":"Subdivision","value":"Shuttle/Test"},{"id":4,"name":"Milepost","value":"0.3388"},{"id":17,"name":"Train ID","value":"51-17"},{"id":16,"name":"Locomotive ID","value":"4044"},{"id":130,"name":"Impact","value":""},{"id":150,"name":"Time of Event (Mountain Time)","value":"03:19:11"},{"id":151,"name":"Denver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99"/>
        <v>start /low /b %USERPROFILE%\Documents\GitHub\eaglep3\Utilities\DownloadLogsFromS3.py --loco 4044 --day 2017-12-17</v>
      </c>
      <c r="AN210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101"/>
        <v>https://d0f6bd738d7f1b3e5a7ca70fe4ff75f0.us-east-1.aws.found.io/app/kibana#/discover/Steve-Slow-Train-Analysis-(2080s-and-2083s)?_g=(refreshInterval:(display:Off,pause:!f,section:0,value:0),time:(from:'2017-12-17T02:04:57-0700',mode:absolute,to:'2017-12-17T04:19:11-0700'))&amp;_a=(columns:!('Message%20ID',Summary),filters:!(),index:'emp_*',interval:auto,query:(query_string:(analyze_wildcard:!t,query:'%22rtdc.l.rtdc.4044%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721</v>
      </c>
      <c r="B211" s="225">
        <v>4018</v>
      </c>
      <c r="C211" s="227" t="s">
        <v>192</v>
      </c>
      <c r="D211" s="227" t="s">
        <v>1066</v>
      </c>
      <c r="E211" s="226">
        <v>43086.307199074072</v>
      </c>
      <c r="F211" s="226">
        <v>43086.318368055552</v>
      </c>
      <c r="G211" s="225">
        <v>65</v>
      </c>
      <c r="H211" s="227" t="s">
        <v>1067</v>
      </c>
      <c r="I211" s="226">
        <v>43086.319756944446</v>
      </c>
      <c r="J211" s="225">
        <v>0</v>
      </c>
      <c r="K211" s="237" t="str">
        <f t="shared" si="133"/>
        <v>4017/4018</v>
      </c>
      <c r="L211" s="245" t="str">
        <f>VLOOKUP(A211,'Trips&amp;Operators'!$C$1:$G$99911,5,FALSE)</f>
        <v>HUFFSMITH MONTY</v>
      </c>
      <c r="M211" s="224">
        <f t="shared" si="134"/>
        <v>1.3888888934161514E-3</v>
      </c>
      <c r="N211" s="225">
        <f t="shared" si="142"/>
        <v>2.000000006519258</v>
      </c>
      <c r="O211" s="225"/>
      <c r="P211" s="225"/>
      <c r="Q211" s="228"/>
      <c r="R211" s="242"/>
      <c r="S211" s="249">
        <f t="shared" si="143"/>
        <v>0</v>
      </c>
      <c r="T211" s="242" t="str">
        <f t="shared" si="135"/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36"/>
        <v>https://d0f6bd738d7f1b3e5a7ca70fe4ff75f0.us-east-1.aws.found.io/app/kibana#/discover/Steve-Slow-Train-Analysis-(2080s-and-2083s)?_g=(refreshInterval:(display:Off,pause:!f,section:0,value:0),time:(from:'2017-12-17T06:22:22-0700',mode:absolute,to:'2017-12-17T08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47" t="str">
        <f>IF(AA211&lt;VLOOKUP(AG211,Variables!$AC$3:$AD$8,2,FALSE),"Y","N")</f>
        <v>Y</v>
      </c>
      <c r="X211" s="247">
        <f t="shared" si="130"/>
        <v>0</v>
      </c>
      <c r="Y211" s="247">
        <f t="shared" si="131"/>
        <v>0.11600000000000001</v>
      </c>
      <c r="Z211" s="247">
        <f t="shared" si="132"/>
        <v>0.33289999999999997</v>
      </c>
      <c r="AA211" s="247">
        <f t="shared" si="137"/>
        <v>0.21689999999999998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38"/>
        <v>51</v>
      </c>
      <c r="AE211" s="235" t="str">
        <f t="shared" si="139"/>
        <v>aws s3 cp s3://rtdc.mdm.uploadarchive.raw/RTDC4018/ "%USERPROFILE%\AppData\Local\Temp\OnboardLogs"\RTDC4018\2017-12-17 --exclude "*" --recursive --include "*20171217*" &amp; "%USERPROFILE%\Documents\GitHub\mrs-test-scripts\Headless Mode &amp; Sideloading\WalkAndUnGZ.bat" "%USERPROFILE%\AppData\Local\Temp\OnboardLogs"\RTDC4018\2017-12-17 &amp; aws s3 cp s3://rtdc.mdm.uploadarchive.raw/RTDC4018/ "%USERPROFILE%\AppData\Local\Temp\OnboardLogs"\RTDC4018\2017-12-18 --exclude "*" --recursive --include "*20171218*" &amp; "%USERPROFILE%\Documents\GitHub\mrs-test-scripts\Headless Mode &amp; Sideloading\WalkAndUnGZ.bat" "%USERPROFILE%\AppData\Local\Temp\OnboardLogs"\RTDC4018\2017-12-18</v>
      </c>
      <c r="AF211" s="234" t="str">
        <f t="shared" si="140"/>
        <v>"C:\Program Files (x86)\AstroGrep\AstroGrep.exe" /e /r /s /spath="%USERPROFILE%\AppData\Local\Temp\OnboardLogs" /stypes="app*4018*20171217*" /stext=" 14:.+((SYSTEM_STATE.+slice.+state.+changed )|(ment ac)|(multiple cpu faults)|(system.+state.+changed )|(\[timeout)|(PRM\|1\|D)|(kpr)|(kdp)|(train st.+moving)|(\|lc)|(penalty))"</v>
      </c>
      <c r="AG211" s="244" t="str">
        <f t="shared" si="141"/>
        <v>Shuttle/Test</v>
      </c>
      <c r="AH211" s="236" t="str">
        <f t="shared" si="97"/>
        <v>"%USERPROFILE%\Documents\GitHub\eaglep3\Utilities\RefineRTDCRunTimes.py" --tripid 51-17 --locoid 4018 --swversion DE.1.0.9.0 --startMP 204:1160 --initTime 2017-12-17T07:22:22 --startdatetime 2017-12-17T07:38:27 --delay 65 --endMP 204:3329 --enddatetime 2017-12-17T07:40:27 --enforcementcount 0 &gt;&gt;%USERPROFILE%\Documents\GitHub\eaglep3-reporting\EC\2017-12-17-refined-times.txt</v>
      </c>
      <c r="AI211" s="238" t="str">
        <f t="shared" si="98"/>
        <v>echo {"issue":{"subject":"","project_id":79,"tracker_id":40,"status_id":1,"priority_id":2,"assigned_to_id":338,"start_date":"2017-12-17","description":"","custom_fields":[{"id":1,"name":"Subdivision","value":"Shuttle/Test"},{"id":4,"name":"Milepost","value":"0.3329"},{"id":17,"name":"Train ID","value":"51-17"},{"id":16,"name":"Locomotive ID","value":"4018"},{"id":130,"name":"Impact","value":""},{"id":150,"name":"Time of Event (Mountain Time)","value":"07:40:27"},{"id":151,"name":"Denver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99"/>
        <v>start /low /b %USERPROFILE%\Documents\GitHub\eaglep3\Utilities\DownloadLogsFromS3.py --loco 4018 --day 2017-12-17</v>
      </c>
      <c r="AN211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101"/>
        <v>https://d0f6bd738d7f1b3e5a7ca70fe4ff75f0.us-east-1.aws.found.io/app/kibana#/discover/Steve-Slow-Train-Analysis-(2080s-and-2083s)?_g=(refreshInterval:(display:Off,pause:!f,section:0,value:0),time:(from:'2017-12-17T06:22:22-0700',mode:absolute,to:'2017-12-17T08:40:27-0700'))&amp;_a=(columns:!('Message%20ID',Summary),filters:!(),index:'emp_*',interval:auto,query:(query_string:(analyze_wildcard:!t,query:'%22rtdc.l.rtdc.4018%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721</v>
      </c>
      <c r="B212" s="225">
        <v>4017</v>
      </c>
      <c r="C212" s="227" t="s">
        <v>192</v>
      </c>
      <c r="D212" s="227" t="s">
        <v>1068</v>
      </c>
      <c r="E212" s="226">
        <v>43086.316840277781</v>
      </c>
      <c r="F212" s="226">
        <v>43086.318368055552</v>
      </c>
      <c r="G212" s="225">
        <v>72</v>
      </c>
      <c r="H212" s="227" t="s">
        <v>1069</v>
      </c>
      <c r="I212" s="226">
        <v>43086.319756944446</v>
      </c>
      <c r="J212" s="225">
        <v>0</v>
      </c>
      <c r="K212" s="237" t="str">
        <f t="shared" si="133"/>
        <v>4017/4018</v>
      </c>
      <c r="L212" s="245" t="str">
        <f>VLOOKUP(A212,'Trips&amp;Operators'!$C$1:$G$99911,5,FALSE)</f>
        <v>HUFFSMITH MONTY</v>
      </c>
      <c r="M212" s="224">
        <f t="shared" si="134"/>
        <v>1.3888888934161514E-3</v>
      </c>
      <c r="N212" s="225">
        <f t="shared" si="142"/>
        <v>2.000000006519258</v>
      </c>
      <c r="O212" s="225"/>
      <c r="P212" s="225"/>
      <c r="Q212" s="228"/>
      <c r="R212" s="242"/>
      <c r="S212" s="249">
        <f t="shared" si="143"/>
        <v>0</v>
      </c>
      <c r="T212" s="242" t="str">
        <f t="shared" si="135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36"/>
        <v>https://d0f6bd738d7f1b3e5a7ca70fe4ff75f0.us-east-1.aws.found.io/app/kibana#/discover/Steve-Slow-Train-Analysis-(2080s-and-2083s)?_g=(refreshInterval:(display:Off,pause:!f,section:0,value:0),time:(from:'2017-12-17T06:36:15-0700',mode:absolute,to:'2017-12-17T08:40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47" t="str">
        <f>IF(AA212&lt;VLOOKUP(AG212,Variables!$AC$3:$AD$8,2,FALSE),"Y","N")</f>
        <v>Y</v>
      </c>
      <c r="X212" s="247">
        <f t="shared" si="130"/>
        <v>0</v>
      </c>
      <c r="Y212" s="247">
        <f t="shared" si="131"/>
        <v>0.29980000000000001</v>
      </c>
      <c r="Z212" s="247">
        <f t="shared" si="132"/>
        <v>1.41E-2</v>
      </c>
      <c r="AA212" s="247">
        <f t="shared" si="137"/>
        <v>0.28570000000000001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38"/>
        <v>51</v>
      </c>
      <c r="AE212" s="235" t="str">
        <f t="shared" si="139"/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AF212" s="234" t="str">
        <f t="shared" si="140"/>
        <v>"C:\Program Files (x86)\AstroGrep\AstroGrep.exe" /e /r /s /spath="%USERPROFILE%\AppData\Local\Temp\OnboardLogs" /stypes="app*4017*20171217*" /stext=" 14:.+((SYSTEM_STATE.+slice.+state.+changed )|(ment ac)|(multiple cpu faults)|(system.+state.+changed )|(\[timeout)|(PRM\|1\|D)|(kpr)|(kdp)|(train st.+moving)|(\|lc)|(penalty))"</v>
      </c>
      <c r="AG212" s="244" t="str">
        <f t="shared" si="141"/>
        <v>Shuttle/Test</v>
      </c>
      <c r="AH212" s="236" t="str">
        <f t="shared" si="97"/>
        <v>"%USERPROFILE%\Documents\GitHub\eaglep3\Utilities\RefineRTDCRunTimes.py" --tripid 51-17 --locoid 4017 --swversion DE.1.0.9.0 --startMP 204:2998 --initTime 2017-12-17T07:36:15 --startdatetime 2017-12-17T07:38:27 --delay 72 --endMP 204:141 --enddatetime 2017-12-17T07:40:27 --enforcementcount 0 &gt;&gt;%USERPROFILE%\Documents\GitHub\eaglep3-reporting\EC\2017-12-17-refined-times.txt</v>
      </c>
      <c r="AI212" s="238" t="str">
        <f t="shared" si="98"/>
        <v>echo {"issue":{"subject":"","project_id":79,"tracker_id":40,"status_id":1,"priority_id":2,"assigned_to_id":338,"start_date":"2017-12-17","description":"","custom_fields":[{"id":1,"name":"Subdivision","value":"Shuttle/Test"},{"id":4,"name":"Milepost","value":"0.0141"},{"id":17,"name":"Train ID","value":"51-17"},{"id":16,"name":"Locomotive ID","value":"4017"},{"id":130,"name":"Impact","value":""},{"id":150,"name":"Time of Event (Mountain Time)","value":"07:40:27"},{"id":151,"name":"Denver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99"/>
        <v>start /low /b %USERPROFILE%\Documents\GitHub\eaglep3\Utilities\DownloadLogsFromS3.py --loco 4017 --day 2017-12-17</v>
      </c>
      <c r="AN212" s="241" t="str">
        <f t="shared" si="10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14:40:27"},{"id":29,"name":"Sharepoint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01"/>
        <v>https://d0f6bd738d7f1b3e5a7ca70fe4ff75f0.us-east-1.aws.found.io/app/kibana#/discover/Steve-Slow-Train-Analysis-(2080s-and-2083s)?_g=(refreshInterval:(display:Off,pause:!f,section:0,value:0),time:(from:'2017-12-17T06:36:15-0700',mode:absolute,to:'2017-12-17T08:40:27-0700'))&amp;_a=(columns:!('Message%20ID',Summary),filters:!(),index:'emp_*',interval:auto,query:(query_string:(analyze_wildcard:!t,query:'%22rtdc.l.rtdc.4017%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722</v>
      </c>
      <c r="B213" s="225">
        <v>4043</v>
      </c>
      <c r="C213" s="227" t="s">
        <v>192</v>
      </c>
      <c r="D213" s="227" t="s">
        <v>1070</v>
      </c>
      <c r="E213" s="226">
        <v>43086.13857638889</v>
      </c>
      <c r="F213" s="226">
        <v>43086.140462962961</v>
      </c>
      <c r="G213" s="225">
        <v>101</v>
      </c>
      <c r="H213" s="227" t="s">
        <v>1071</v>
      </c>
      <c r="I213" s="226">
        <v>43086.141608796293</v>
      </c>
      <c r="J213" s="225">
        <v>0</v>
      </c>
      <c r="K213" s="237" t="str">
        <f t="shared" si="133"/>
        <v>4043/4044</v>
      </c>
      <c r="L213" s="245" t="str">
        <f>VLOOKUP(A213,'Trips&amp;Operators'!$C$1:$G$99911,5,FALSE)</f>
        <v>HUFFSMITH MONTY</v>
      </c>
      <c r="M213" s="224">
        <f t="shared" si="134"/>
        <v>1.1458333319751546E-3</v>
      </c>
      <c r="N213" s="225">
        <f t="shared" si="142"/>
        <v>1.6499999980442226</v>
      </c>
      <c r="O213" s="225"/>
      <c r="P213" s="225"/>
      <c r="Q213" s="228"/>
      <c r="R213" s="242"/>
      <c r="S213" s="249">
        <f t="shared" si="143"/>
        <v>0</v>
      </c>
      <c r="T213" s="242" t="str">
        <f t="shared" si="135"/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36"/>
        <v>https://d0f6bd738d7f1b3e5a7ca70fe4ff75f0.us-east-1.aws.found.io/app/kibana#/discover/Steve-Slow-Train-Analysis-(2080s-and-2083s)?_g=(refreshInterval:(display:Off,pause:!f,section:0,value:0),time:(from:'2017-12-17T02:19:33-0700',mode:absolute,to:'2017-12-17T04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247" t="str">
        <f>IF(AA213&lt;VLOOKUP(AG213,Variables!$AC$3:$AD$8,2,FALSE),"Y","N")</f>
        <v>Y</v>
      </c>
      <c r="X213" s="247">
        <f t="shared" si="130"/>
        <v>1</v>
      </c>
      <c r="Y213" s="247">
        <f t="shared" si="131"/>
        <v>0.30520000000000003</v>
      </c>
      <c r="Z213" s="247">
        <f t="shared" si="132"/>
        <v>0.11650000000000001</v>
      </c>
      <c r="AA213" s="247">
        <f t="shared" si="137"/>
        <v>0.18870000000000003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38"/>
        <v>52</v>
      </c>
      <c r="AE213" s="235" t="str">
        <f t="shared" si="139"/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AF213" s="234" t="str">
        <f t="shared" si="140"/>
        <v>"C:\Program Files (x86)\AstroGrep\AstroGrep.exe" /e /r /s /spath="%USERPROFILE%\AppData\Local\Temp\OnboardLogs" /stypes="app*4043*20171217*" /stext=" 10:.+((SYSTEM_STATE.+slice.+state.+changed )|(ment ac)|(multiple cpu faults)|(system.+state.+changed )|(\[timeout)|(PRM\|1\|D)|(kpr)|(kdp)|(train st.+moving)|(\|lc)|(penalty))"</v>
      </c>
      <c r="AG213" s="244" t="str">
        <f t="shared" si="141"/>
        <v>Shuttle/Test</v>
      </c>
      <c r="AH213" s="236" t="str">
        <f t="shared" ref="AH213:AH220" si="144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52-17 --locoid 4043 --swversion DE.1.0.9.0 --startMP 204:3052 --initTime 2017-12-17T03:19:33 --startdatetime 2017-12-17T03:22:16 --delay 101 --endMP 204:1165 --enddatetime 2017-12-17T03:23:55 --enforcementcount 0 &gt;&gt;%USERPROFILE%\Documents\GitHub\eaglep3-reporting\EC\2017-12-17-refined-times.txt</v>
      </c>
      <c r="AI213" s="238" t="str">
        <f t="shared" ref="AI213:AI220" si="145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-17","description":"","custom_fields":[{"id":1,"name":"Subdivision","value":"Shuttle/Test"},{"id":4,"name":"Milepost","value":"0.1165"},{"id":17,"name":"Train ID","value":"52-17"},{"id":16,"name":"Locomotive ID","value":"4043"},{"id":130,"name":"Impact","value":""},{"id":150,"name":"Time of Event (Mountain Time)","value":"03:23:55"},{"id":151,"name":"Denver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ref="AM213:AM220" si="146">"start /low /b "&amp;dls3logs&amp;" --loco "&amp;B213&amp;" --day "&amp;TEXT(F213,"YYYY-MM-DD")</f>
        <v>start /low /b %USERPROFILE%\Documents\GitHub\eaglep3\Utilities\DownloadLogsFromS3.py --loco 4043 --day 2017-12-17</v>
      </c>
      <c r="AN213" s="241" t="str">
        <f t="shared" ref="AN213:AN220" si="147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10:23:55"},{"id":29,"name":"Sharepoint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ref="AO213:AO220" si="148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-17T02:19:33-0700',mode:absolute,to:'2017-12-17T04:23:55-0700'))&amp;_a=(columns:!('Message%20ID',Summary),filters:!(),index:'emp_*',interval:auto,query:(query_string:(analyze_wildcard:!t,query:'%22rtdc.l.rtdc.4043%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751</v>
      </c>
      <c r="B214" s="225">
        <v>4043</v>
      </c>
      <c r="C214" s="227" t="s">
        <v>192</v>
      </c>
      <c r="D214" s="227" t="s">
        <v>1072</v>
      </c>
      <c r="E214" s="226">
        <v>43086.282326388886</v>
      </c>
      <c r="F214" s="226">
        <v>25568.708333333332</v>
      </c>
      <c r="G214" s="225">
        <v>53</v>
      </c>
      <c r="H214" s="227" t="s">
        <v>1073</v>
      </c>
      <c r="I214" s="226">
        <v>25568.708333333332</v>
      </c>
      <c r="J214" s="225">
        <v>0</v>
      </c>
      <c r="K214" s="237" t="str">
        <f t="shared" si="133"/>
        <v>4043/4044</v>
      </c>
      <c r="L214" s="245" t="str">
        <f>VLOOKUP(A214,'Trips&amp;Operators'!$C$1:$G$99911,5,FALSE)</f>
        <v>HUFFSMITH MONTY</v>
      </c>
      <c r="M214" s="224">
        <f t="shared" si="134"/>
        <v>0</v>
      </c>
      <c r="N214" s="225">
        <f t="shared" si="142"/>
        <v>0</v>
      </c>
      <c r="O214" s="225"/>
      <c r="P214" s="225"/>
      <c r="Q214" s="228"/>
      <c r="R214" s="242"/>
      <c r="S214" s="249">
        <f t="shared" si="143"/>
        <v>0</v>
      </c>
      <c r="T214" s="242" t="str">
        <f t="shared" si="135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36"/>
        <v>https://d0f6bd738d7f1b3e5a7ca70fe4ff75f0.us-east-1.aws.found.io/app/kibana#/discover/Steve-Slow-Train-Analysis-(2080s-and-2083s)?_g=(refreshInterval:(display:Off,pause:!f,section:0,value:0),time:(from:'2017-12-17T05:46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4" s="247" t="str">
        <f>IF(AA214&lt;VLOOKUP(AG214,Variables!$AC$3:$AD$8,2,FALSE),"Y","N")</f>
        <v>Y</v>
      </c>
      <c r="X214" s="247">
        <f t="shared" si="130"/>
        <v>1</v>
      </c>
      <c r="Y214" s="247">
        <f t="shared" si="131"/>
        <v>0.4924</v>
      </c>
      <c r="Z214" s="247">
        <f t="shared" si="132"/>
        <v>1.26E-2</v>
      </c>
      <c r="AA214" s="247">
        <f t="shared" si="137"/>
        <v>0.4798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38"/>
        <v>53</v>
      </c>
      <c r="AE214" s="235" t="str">
        <f t="shared" si="139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14" s="234" t="str">
        <f t="shared" si="140"/>
        <v>"C:\Program Files (x86)\AstroGrep\AstroGrep.exe" /e /r /s /spath="%USERPROFILE%\AppData\Local\Temp\OnboardLogs" /stypes="app*4043*19700101*" /stext=" 00:.+((SYSTEM_STATE.+slice.+state.+changed )|(ment ac)|(multiple cpu faults)|(system.+state.+changed )|(\[timeout)|(PRM\|1\|D)|(kpr)|(kdp)|(train st.+moving)|(\|lc)|(penalty))"</v>
      </c>
      <c r="AG214" s="244" t="str">
        <f t="shared" si="141"/>
        <v>Shuttle/Test</v>
      </c>
      <c r="AH214" s="236" t="str">
        <f t="shared" si="144"/>
        <v>"%USERPROFILE%\Documents\GitHub\eaglep3\Utilities\RefineRTDCRunTimes.py" --tripid 53-17 --locoid 4043 --swversion DE.1.0.9.0 --startMP 300:4924 --initTime 2017-12-17T06:46:33 --startdatetime 1969-12-31T17:00:00 --delay 53 --endMP 204:126 --enddatetime 1969-12-31T17:00:00 --enforcementcount 0 &gt;&gt;%USERPROFILE%\Documents\GitHub\eaglep3-reporting\EC\2017-12-17-refined-times.txt</v>
      </c>
      <c r="AI214" s="238" t="str">
        <f t="shared" si="145"/>
        <v>echo {"issue":{"subject":"","project_id":79,"tracker_id":40,"status_id":1,"priority_id":2,"assigned_to_id":338,"start_date":"1969-12-31","description":"","custom_fields":[{"id":1,"name":"Subdivision","value":"Shuttle/Test"},{"id":4,"name":"Milepost","value":"0.0126"},{"id":17,"name":"Train ID","value":"53-17"},{"id":16,"name":"Locomotive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146"/>
        <v>start /low /b %USERPROFILE%\Documents\GitHub\eaglep3\Utilities\DownloadLogsFromS3.py --loco 4043 --day 1969-12-31</v>
      </c>
      <c r="AN214" s="241" t="str">
        <f t="shared" si="147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48"/>
        <v>https://d0f6bd738d7f1b3e5a7ca70fe4ff75f0.us-east-1.aws.found.io/app/kibana#/discover/Steve-Slow-Train-Analysis-(2080s-and-2083s)?_g=(refreshInterval:(display:Off,pause:!f,section:0,value:0),time:(from:'2017-12-17T05:46:33-0700',mode:absolute,to:'1969-12-31T18:00:00-0700'))&amp;_a=(columns:!('Message%20ID',Summary),filters:!(),index:'emp_*',interval:auto,query:(query_string:(analyze_wildcard:!t,query:'%22rtdc.l.rtdc.4043%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751</v>
      </c>
      <c r="B215" s="225">
        <v>4044</v>
      </c>
      <c r="C215" s="227" t="s">
        <v>192</v>
      </c>
      <c r="D215" s="227" t="s">
        <v>1074</v>
      </c>
      <c r="E215" s="226">
        <v>43086.277291666665</v>
      </c>
      <c r="F215" s="226">
        <v>25568.708333333332</v>
      </c>
      <c r="G215" s="225">
        <v>58</v>
      </c>
      <c r="H215" s="227" t="s">
        <v>1075</v>
      </c>
      <c r="I215" s="226">
        <v>25568.708333333332</v>
      </c>
      <c r="J215" s="225">
        <v>0</v>
      </c>
      <c r="K215" s="237" t="str">
        <f t="shared" si="133"/>
        <v>4043/4044</v>
      </c>
      <c r="L215" s="245" t="str">
        <f>VLOOKUP(A215,'Trips&amp;Operators'!$C$1:$G$99911,5,FALSE)</f>
        <v>HUFFSMITH MONTY</v>
      </c>
      <c r="M215" s="224">
        <f t="shared" si="134"/>
        <v>0</v>
      </c>
      <c r="N215" s="225">
        <f t="shared" si="142"/>
        <v>0</v>
      </c>
      <c r="O215" s="225"/>
      <c r="P215" s="225"/>
      <c r="Q215" s="228"/>
      <c r="R215" s="242"/>
      <c r="S215" s="249">
        <f t="shared" si="143"/>
        <v>0</v>
      </c>
      <c r="T215" s="242" t="str">
        <f t="shared" si="135"/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36"/>
        <v>https://d0f6bd738d7f1b3e5a7ca70fe4ff75f0.us-east-1.aws.found.io/app/kibana#/discover/Steve-Slow-Train-Analysis-(2080s-and-2083s)?_g=(refreshInterval:(display:Off,pause:!f,section:0,value:0),time:(from:'2017-12-17T05:39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47" t="str">
        <f>IF(AA215&lt;VLOOKUP(AG215,Variables!$AC$3:$AD$8,2,FALSE),"Y","N")</f>
        <v>Y</v>
      </c>
      <c r="X215" s="247">
        <f t="shared" si="130"/>
        <v>0</v>
      </c>
      <c r="Y215" s="247">
        <f t="shared" si="131"/>
        <v>0.1484</v>
      </c>
      <c r="Z215" s="247">
        <f t="shared" si="132"/>
        <v>0.51319999999999999</v>
      </c>
      <c r="AA215" s="247">
        <f t="shared" si="137"/>
        <v>0.36480000000000001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38"/>
        <v>53</v>
      </c>
      <c r="AE215" s="235" t="str">
        <f t="shared" si="139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5" s="234" t="str">
        <f t="shared" si="140"/>
        <v>"C:\Program Files (x86)\AstroGrep\AstroGrep.exe" /e /r /s /spath="%USERPROFILE%\AppData\Local\Temp\OnboardLogs" /stypes="app*4044*19700101*" /stext=" 00:.+((SYSTEM_STATE.+slice.+state.+changed )|(ment ac)|(multiple cpu faults)|(system.+state.+changed )|(\[timeout)|(PRM\|1\|D)|(kpr)|(kdp)|(train st.+moving)|(\|lc)|(penalty))"</v>
      </c>
      <c r="AG215" s="244" t="str">
        <f t="shared" si="141"/>
        <v>Shuttle/Test</v>
      </c>
      <c r="AH215" s="236" t="str">
        <f t="shared" si="144"/>
        <v>"%USERPROFILE%\Documents\GitHub\eaglep3\Utilities\RefineRTDCRunTimes.py" --tripid 53-17 --locoid 4044 --swversion DE.1.0.9.0 --startMP 204:1484 --initTime 2017-12-17T06:39:18 --startdatetime 1969-12-31T17:00:00 --delay 58 --endMP 300:5132 --enddatetime 1969-12-31T17:00:00 --enforcementcount 0 &gt;&gt;%USERPROFILE%\Documents\GitHub\eaglep3-reporting\EC\2017-12-17-refined-times.txt</v>
      </c>
      <c r="AI215" s="238" t="str">
        <f t="shared" si="145"/>
        <v>echo {"issue":{"subject":"","project_id":79,"tracker_id":40,"status_id":1,"priority_id":2,"assigned_to_id":338,"start_date":"1969-12-31","description":"","custom_fields":[{"id":1,"name":"Subdivision","value":"Shuttle/Test"},{"id":4,"name":"Milepost","value":"0.5132"},{"id":17,"name":"Train ID","value":"53-17"},{"id":16,"name":"Locomotive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46"/>
        <v>start /low /b %USERPROFILE%\Documents\GitHub\eaglep3\Utilities\DownloadLogsFromS3.py --loco 4044 --day 1969-12-31</v>
      </c>
      <c r="AN215" s="241" t="str">
        <f t="shared" si="147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48"/>
        <v>https://d0f6bd738d7f1b3e5a7ca70fe4ff75f0.us-east-1.aws.found.io/app/kibana#/discover/Steve-Slow-Train-Analysis-(2080s-and-2083s)?_g=(refreshInterval:(display:Off,pause:!f,section:0,value:0),time:(from:'2017-12-17T05:39:18-0700',mode:absolute,to:'1969-12-31T18:00:00-0700'))&amp;_a=(columns:!('Message%20ID',Summary),filters:!(),index:'emp_*',interval:auto,query:(query_string:(analyze_wildcard:!t,query:'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9" t="s">
        <v>856</v>
      </c>
      <c r="B216" s="225">
        <v>4013</v>
      </c>
      <c r="C216" s="227" t="s">
        <v>192</v>
      </c>
      <c r="D216" s="227" t="s">
        <v>1076</v>
      </c>
      <c r="E216" s="226">
        <v>43086.735543981478</v>
      </c>
      <c r="F216" s="226">
        <v>43086.745219907411</v>
      </c>
      <c r="G216" s="225">
        <v>85</v>
      </c>
      <c r="H216" s="227" t="s">
        <v>1077</v>
      </c>
      <c r="I216" s="226">
        <v>43086.753611111111</v>
      </c>
      <c r="J216" s="225">
        <v>0</v>
      </c>
      <c r="K216" s="237" t="str">
        <f t="shared" si="133"/>
        <v>4013/4014</v>
      </c>
      <c r="L216" s="245" t="str">
        <f>VLOOKUP(A216,'Trips&amp;Operators'!$C$1:$G$99911,5,FALSE)</f>
        <v>AUSTIN THOMPSON</v>
      </c>
      <c r="M216" s="224">
        <f t="shared" si="134"/>
        <v>8.3912037007394247E-3</v>
      </c>
      <c r="N216" s="225">
        <f t="shared" si="142"/>
        <v>12.083333329064772</v>
      </c>
      <c r="O216" s="225"/>
      <c r="P216" s="225"/>
      <c r="Q216" s="228"/>
      <c r="R216" s="242"/>
      <c r="S216" s="249">
        <f t="shared" si="143"/>
        <v>1</v>
      </c>
      <c r="T216" s="242" t="str">
        <f t="shared" si="135"/>
        <v>Southbound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36"/>
        <v>https://d0f6bd738d7f1b3e5a7ca70fe4ff75f0.us-east-1.aws.found.io/app/kibana#/discover/Steve-Slow-Train-Analysis-(2080s-and-2083s)?_g=(refreshInterval:(display:Off,pause:!f,section:0,value:0),time:(from:'2017-12-17T16:39:11-0700',mode:absolute,to:'2017-12-17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247" t="str">
        <f>IF(AA216&lt;VLOOKUP(AG216,Variables!$AC$3:$AD$8,2,FALSE),"Y","N")</f>
        <v>Y</v>
      </c>
      <c r="X216" s="247">
        <f t="shared" si="130"/>
        <v>17</v>
      </c>
      <c r="Y216" s="247">
        <f t="shared" si="131"/>
        <v>2.2149000000000001</v>
      </c>
      <c r="Z216" s="247">
        <f t="shared" si="132"/>
        <v>0.22120000000000001</v>
      </c>
      <c r="AA216" s="247">
        <f t="shared" si="137"/>
        <v>1.9937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38"/>
        <v>70</v>
      </c>
      <c r="AE216" s="235" t="str">
        <f t="shared" si="139"/>
        <v>aws s3 cp s3://rtdc.mdm.uploadarchive.raw/RTDC4013/ "%USERPROFILE%\AppData\Local\Temp\OnboardLogs"\RTDC4013\2017-12-17 --exclude "*" --recursive --include "*20171217*" &amp; "%USERPROFILE%\Documents\GitHub\mrs-test-scripts\Headless Mode &amp; Sideloading\WalkAndUnGZ.bat" "%USERPROFILE%\AppData\Local\Temp\OnboardLogs"\RTDC4013\2017-12-17 &amp; aws s3 cp s3://rtdc.mdm.uploadarchive.raw/RTDC4013/ "%USERPROFILE%\AppData\Local\Temp\OnboardLogs"\RTDC4013\2017-12-18 --exclude "*" --recursive --include "*20171218*" &amp; "%USERPROFILE%\Documents\GitHub\mrs-test-scripts\Headless Mode &amp; Sideloading\WalkAndUnGZ.bat" "%USERPROFILE%\AppData\Local\Temp\OnboardLogs"\RTDC4013\2017-12-18</v>
      </c>
      <c r="AF216" s="234" t="str">
        <f t="shared" si="140"/>
        <v>"C:\Program Files (x86)\AstroGrep\AstroGrep.exe" /e /r /s /spath="%USERPROFILE%\AppData\Local\Temp\OnboardLogs" /stypes="app*4013*20171218*" /stext=" 01:.+((SYSTEM_STATE.+slice.+state.+changed )|(ment ac)|(multiple cpu faults)|(system.+state.+changed )|(\[timeout)|(PRM\|1\|D)|(kpr)|(kdp)|(train st.+moving)|(\|lc)|(penalty))"</v>
      </c>
      <c r="AG216" s="244" t="str">
        <f t="shared" si="141"/>
        <v>Shuttle/Test</v>
      </c>
      <c r="AH216" s="236" t="str">
        <f t="shared" si="144"/>
        <v>"%USERPROFILE%\Documents\GitHub\eaglep3\Utilities\RefineRTDCRunTimes.py" --tripid 70-17 --locoid 4013 --swversion DE.1.0.9.0 --startMP 300:22149 --initTime 2017-12-17T17:39:11 --startdatetime 2017-12-17T17:53:07 --delay 85 --endMP 204:2212 --enddatetime 2017-12-17T18:05:12 --enforcementcount 0 &gt;&gt;%USERPROFILE%\Documents\GitHub\eaglep3-reporting\EC\2017-12-17-refined-times.txt</v>
      </c>
      <c r="AI216" s="238" t="str">
        <f t="shared" si="145"/>
        <v>echo {"issue":{"subject":"","project_id":79,"tracker_id":40,"status_id":1,"priority_id":2,"assigned_to_id":338,"start_date":"2017-12-17","description":"","custom_fields":[{"id":1,"name":"Subdivision","value":"Shuttle/Test"},{"id":4,"name":"Milepost","value":"0.2212"},{"id":17,"name":"Train ID","value":"70-17"},{"id":16,"name":"Locomotive ID","value":"4013"},{"id":130,"name":"Impact","value":""},{"id":150,"name":"Time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146"/>
        <v>start /low /b %USERPROFILE%\Documents\GitHub\eaglep3\Utilities\DownloadLogsFromS3.py --loco 4013 --day 2017-12-17</v>
      </c>
      <c r="AN216" s="241" t="str">
        <f t="shared" si="1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48"/>
        <v>https://d0f6bd738d7f1b3e5a7ca70fe4ff75f0.us-east-1.aws.found.io/app/kibana#/discover/Steve-Slow-Train-Analysis-(2080s-and-2083s)?_g=(refreshInterval:(display:Off,pause:!f,section:0,value:0),time:(from:'2017-12-17T16:39:11-0700',mode:absolute,to:'2017-12-17T19:05:12-0700'))&amp;_a=(columns:!('Message%20ID',Summary),filters:!(),index:'emp_*',interval:auto,query:(query_string:(analyze_wildcard:!t,query:'%22rtdc.l.rtdc.4013%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843</v>
      </c>
      <c r="B217" s="225">
        <v>4060</v>
      </c>
      <c r="C217" s="227" t="s">
        <v>192</v>
      </c>
      <c r="D217" s="227" t="s">
        <v>1078</v>
      </c>
      <c r="E217" s="226">
        <v>43086.693472222221</v>
      </c>
      <c r="F217" s="226">
        <v>43086.694861111115</v>
      </c>
      <c r="G217" s="225">
        <v>55</v>
      </c>
      <c r="H217" s="227" t="s">
        <v>1048</v>
      </c>
      <c r="I217" s="226">
        <v>43086.700694444444</v>
      </c>
      <c r="J217" s="225">
        <v>0</v>
      </c>
      <c r="K217" s="237" t="str">
        <f t="shared" si="133"/>
        <v>4059/4060</v>
      </c>
      <c r="L217" s="245" t="str">
        <f>VLOOKUP(A217,'Trips&amp;Operators'!$C$1:$G$99911,5,FALSE)</f>
        <v>GONZALEZ ARMANDO</v>
      </c>
      <c r="M217" s="224">
        <f t="shared" si="134"/>
        <v>5.8333333290647715E-3</v>
      </c>
      <c r="N217" s="225">
        <f t="shared" si="142"/>
        <v>8.399999993853271</v>
      </c>
      <c r="O217" s="225"/>
      <c r="P217" s="225"/>
      <c r="Q217" s="228"/>
      <c r="R217" s="242"/>
      <c r="S217" s="249">
        <f t="shared" si="143"/>
        <v>1</v>
      </c>
      <c r="T217" s="242" t="str">
        <f t="shared" si="135"/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36"/>
        <v>https://d0f6bd738d7f1b3e5a7ca70fe4ff75f0.us-east-1.aws.found.io/app/kibana#/discover/Steve-Slow-Train-Analysis-(2080s-and-2083s)?_g=(refreshInterval:(display:Off,pause:!f,section:0,value:0),time:(from:'2017-12-17T15:38:36-0700',mode:absolute,to:'2017-12-17T17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7" s="247" t="str">
        <f>IF(AA217&lt;VLOOKUP(AG217,Variables!$AC$3:$AD$8,2,FALSE),"Y","N")</f>
        <v>Y</v>
      </c>
      <c r="X217" s="247">
        <f t="shared" si="130"/>
        <v>3</v>
      </c>
      <c r="Y217" s="247">
        <f t="shared" si="131"/>
        <v>0.12180000000000001</v>
      </c>
      <c r="Z217" s="247">
        <f t="shared" si="132"/>
        <v>2.3294999999999999</v>
      </c>
      <c r="AA217" s="247">
        <f t="shared" si="137"/>
        <v>2.2077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38"/>
        <v>73</v>
      </c>
      <c r="AE217" s="235" t="str">
        <f t="shared" si="139"/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AF217" s="234" t="str">
        <f t="shared" si="140"/>
        <v>"C:\Program Files (x86)\AstroGrep\AstroGrep.exe" /e /r /s /spath="%USERPROFILE%\AppData\Local\Temp\OnboardLogs" /stypes="app*4060*20171217*" /stext=" 23:.+((SYSTEM_STATE.+slice.+state.+changed )|(ment ac)|(multiple cpu faults)|(system.+state.+changed )|(\[timeout)|(PRM\|1\|D)|(kpr)|(kdp)|(train st.+moving)|(\|lc)|(penalty))"</v>
      </c>
      <c r="AG217" s="244" t="str">
        <f t="shared" si="141"/>
        <v>Shuttle/Test</v>
      </c>
      <c r="AH217" s="236" t="str">
        <f t="shared" si="144"/>
        <v>"%USERPROFILE%\Documents\GitHub\eaglep3\Utilities\RefineRTDCRunTimes.py" --tripid 73-17 --locoid 4060 --swversion DE.1.0.9.0 --startMP 204:1218 --initTime 2017-12-17T16:38:36 --startdatetime 2017-12-17T16:40:36 --delay 55 --endMP 300:23295 --enddatetime 2017-12-17T16:49:00 --enforcementcount 0 &gt;&gt;%USERPROFILE%\Documents\GitHub\eaglep3-reporting\EC\2017-12-17-refined-times.txt</v>
      </c>
      <c r="AI217" s="238" t="str">
        <f t="shared" si="145"/>
        <v>echo {"issue":{"subject":"","project_id":79,"tracker_id":40,"status_id":1,"priority_id":2,"assigned_to_id":338,"start_date":"2017-12-17","description":"","custom_fields":[{"id":1,"name":"Subdivision","value":"Shuttle/Test"},{"id":4,"name":"Milepost","value":"2.3295"},{"id":17,"name":"Train ID","value":"73-17"},{"id":16,"name":"Locomotive ID","value":"4060"},{"id":130,"name":"Impact","value":""},{"id":150,"name":"Time of Event (Mountain Time)","value":"16:49:00"},{"id":151,"name":"Denver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46"/>
        <v>start /low /b %USERPROFILE%\Documents\GitHub\eaglep3\Utilities\DownloadLogsFromS3.py --loco 4060 --day 2017-12-17</v>
      </c>
      <c r="AN217" s="241" t="str">
        <f t="shared" si="1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48"/>
        <v>https://d0f6bd738d7f1b3e5a7ca70fe4ff75f0.us-east-1.aws.found.io/app/kibana#/discover/Steve-Slow-Train-Analysis-(2080s-and-2083s)?_g=(refreshInterval:(display:Off,pause:!f,section:0,value:0),time:(from:'2017-12-17T15:38:36-0700',mode:absolute,to:'2017-12-17T17:49:00-0700'))&amp;_a=(columns:!('Message%20ID',Summary),filters:!(),index:'emp_*',interval:auto,query:(query_string:(analyze_wildcard:!t,query:'%22rtdc.l.rtdc.4060%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837</v>
      </c>
      <c r="B218" s="225">
        <v>4003</v>
      </c>
      <c r="C218" s="227" t="s">
        <v>192</v>
      </c>
      <c r="D218" s="227" t="s">
        <v>1079</v>
      </c>
      <c r="E218" s="226">
        <v>43086.6715625</v>
      </c>
      <c r="F218" s="226">
        <v>43086.673067129632</v>
      </c>
      <c r="G218" s="225">
        <v>67</v>
      </c>
      <c r="H218" s="227" t="s">
        <v>950</v>
      </c>
      <c r="I218" s="226">
        <v>43086.674201388887</v>
      </c>
      <c r="J218" s="225">
        <v>0</v>
      </c>
      <c r="K218" s="237" t="str">
        <f t="shared" si="133"/>
        <v>4003/4004</v>
      </c>
      <c r="L218" s="245" t="str">
        <f>VLOOKUP(A218,'Trips&amp;Operators'!$C$1:$G$99911,5,FALSE)</f>
        <v>HAMMOND JUSTYNN</v>
      </c>
      <c r="M218" s="224">
        <f t="shared" si="134"/>
        <v>1.1342592551955022E-3</v>
      </c>
      <c r="N218" s="225">
        <f t="shared" si="142"/>
        <v>1.6333333274815232</v>
      </c>
      <c r="O218" s="225"/>
      <c r="P218" s="225"/>
      <c r="Q218" s="228"/>
      <c r="R218" s="242"/>
      <c r="S218" s="249">
        <f t="shared" si="143"/>
        <v>0</v>
      </c>
      <c r="T218" s="242" t="str">
        <f t="shared" si="135"/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 t="shared" si="136"/>
        <v>https://d0f6bd738d7f1b3e5a7ca70fe4ff75f0.us-east-1.aws.found.io/app/kibana#/discover/Steve-Slow-Train-Analysis-(2080s-and-2083s)?_g=(refreshInterval:(display:Off,pause:!f,section:0,value:0),time:(from:'2017-12-17T15:07:03-0700',mode:absolute,to:'2017-12-17T17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247" t="str">
        <f>IF(AA218&lt;VLOOKUP(AG218,Variables!$AC$3:$AD$8,2,FALSE),"Y","N")</f>
        <v>Y</v>
      </c>
      <c r="X218" s="247">
        <f t="shared" si="130"/>
        <v>2</v>
      </c>
      <c r="Y218" s="247">
        <f t="shared" si="131"/>
        <v>0.31879999999999997</v>
      </c>
      <c r="Z218" s="247">
        <f t="shared" si="132"/>
        <v>2.58E-2</v>
      </c>
      <c r="AA218" s="247">
        <f t="shared" si="137"/>
        <v>0.29299999999999998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38"/>
        <v>75</v>
      </c>
      <c r="AE218" s="235" t="str">
        <f t="shared" si="139"/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AF218" s="234" t="str">
        <f t="shared" si="140"/>
        <v>"C:\Program Files (x86)\AstroGrep\AstroGrep.exe" /e /r /s /spath="%USERPROFILE%\AppData\Local\Temp\OnboardLogs" /stypes="app*4003*20171217*" /stext=" 23:.+((SYSTEM_STATE.+slice.+state.+changed )|(ment ac)|(multiple cpu faults)|(system.+state.+changed )|(\[timeout)|(PRM\|1\|D)|(kpr)|(kdp)|(train st.+moving)|(\|lc)|(penalty))"</v>
      </c>
      <c r="AG218" s="244" t="str">
        <f t="shared" si="141"/>
        <v>Shuttle/Test</v>
      </c>
      <c r="AH218" s="236" t="str">
        <f t="shared" si="144"/>
        <v>"%USERPROFILE%\Documents\GitHub\eaglep3\Utilities\RefineRTDCRunTimes.py" --tripid 75-17 --locoid 4003 --swversion DE.1.0.9.0 --startMP 204:3188 --initTime 2017-12-17T16:07:03 --startdatetime 2017-12-17T16:09:13 --delay 67 --endMP 204:258 --enddatetime 2017-12-17T16:10:51 --enforcementcount 0 &gt;&gt;%USERPROFILE%\Documents\GitHub\eaglep3-reporting\EC\2017-12-17-refined-times.txt</v>
      </c>
      <c r="AI218" s="238" t="str">
        <f t="shared" si="145"/>
        <v>echo {"issue":{"subject":"","project_id":79,"tracker_id":40,"status_id":1,"priority_id":2,"assigned_to_id":338,"start_date":"2017-12-17","description":"","custom_fields":[{"id":1,"name":"Subdivision","value":"Shuttle/Test"},{"id":4,"name":"Milepost","value":"0.0258"},{"id":17,"name":"Train ID","value":"75-17"},{"id":16,"name":"Locomotive ID","value":"4003"},{"id":130,"name":"Impact","value":""},{"id":150,"name":"Time of Event (Mountain Time)","value":"16:10:51"},{"id":151,"name":"Denver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46"/>
        <v>start /low /b %USERPROFILE%\Documents\GitHub\eaglep3\Utilities\DownloadLogsFromS3.py --loco 4003 --day 2017-12-17</v>
      </c>
      <c r="AN218" s="241" t="str">
        <f t="shared" si="1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23:10:51"},{"id":29,"name":"Sharepoint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48"/>
        <v>https://d0f6bd738d7f1b3e5a7ca70fe4ff75f0.us-east-1.aws.found.io/app/kibana#/discover/Steve-Slow-Train-Analysis-(2080s-and-2083s)?_g=(refreshInterval:(display:Off,pause:!f,section:0,value:0),time:(from:'2017-12-17T15:07:03-0700',mode:absolute,to:'2017-12-17T17:10:51-0700'))&amp;_a=(columns:!('Message%20ID',Summary),filters:!(),index:'emp_*',interval:auto,query:(query_string:(analyze_wildcard:!t,query:'%22rtdc.l.rtdc.4003%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29" t="s">
        <v>837</v>
      </c>
      <c r="B219" s="225">
        <v>4004</v>
      </c>
      <c r="C219" s="227" t="s">
        <v>192</v>
      </c>
      <c r="D219" s="227" t="s">
        <v>687</v>
      </c>
      <c r="E219" s="226">
        <v>43086.658182870371</v>
      </c>
      <c r="F219" s="226">
        <v>43086.673067129632</v>
      </c>
      <c r="G219" s="225">
        <v>204</v>
      </c>
      <c r="H219" s="227" t="s">
        <v>1080</v>
      </c>
      <c r="I219" s="226">
        <v>43086.674201388887</v>
      </c>
      <c r="J219" s="225">
        <v>0</v>
      </c>
      <c r="K219" s="237" t="str">
        <f t="shared" si="133"/>
        <v>4003/4004</v>
      </c>
      <c r="L219" s="245" t="str">
        <f>VLOOKUP(A219,'Trips&amp;Operators'!$C$1:$G$99911,5,FALSE)</f>
        <v>HAMMOND JUSTYNN</v>
      </c>
      <c r="M219" s="224">
        <f t="shared" si="134"/>
        <v>1.1342592551955022E-3</v>
      </c>
      <c r="N219" s="225">
        <f t="shared" si="142"/>
        <v>1.6333333274815232</v>
      </c>
      <c r="O219" s="225"/>
      <c r="P219" s="225"/>
      <c r="Q219" s="228"/>
      <c r="R219" s="242"/>
      <c r="S219" s="249">
        <f t="shared" si="143"/>
        <v>0</v>
      </c>
      <c r="T219" s="242" t="str">
        <f t="shared" si="135"/>
        <v>NorthBound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36"/>
        <v>https://d0f6bd738d7f1b3e5a7ca70fe4ff75f0.us-east-1.aws.found.io/app/kibana#/discover/Steve-Slow-Train-Analysis-(2080s-and-2083s)?_g=(refreshInterval:(display:Off,pause:!f,section:0,value:0),time:(from:'2017-12-17T14:47:47-0700',mode:absolute,to:'2017-12-17T17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247" t="str">
        <f>IF(AA219&lt;VLOOKUP(AG219,Variables!$AC$3:$AD$8,2,FALSE),"Y","N")</f>
        <v>Y</v>
      </c>
      <c r="X219" s="247">
        <f t="shared" si="130"/>
        <v>0</v>
      </c>
      <c r="Y219" s="247">
        <f t="shared" si="131"/>
        <v>0.11559999999999999</v>
      </c>
      <c r="Z219" s="247">
        <f t="shared" si="132"/>
        <v>0.34799999999999998</v>
      </c>
      <c r="AA219" s="247">
        <f t="shared" si="137"/>
        <v>0.2324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38"/>
        <v>75</v>
      </c>
      <c r="AE219" s="235" t="str">
        <f t="shared" si="139"/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AF219" s="234" t="str">
        <f t="shared" si="140"/>
        <v>"C:\Program Files (x86)\AstroGrep\AstroGrep.exe" /e /r /s /spath="%USERPROFILE%\AppData\Local\Temp\OnboardLogs" /stypes="app*4004*20171217*" /stext=" 23:.+((SYSTEM_STATE.+slice.+state.+changed )|(ment ac)|(multiple cpu faults)|(system.+state.+changed )|(\[timeout)|(PRM\|1\|D)|(kpr)|(kdp)|(train st.+moving)|(\|lc)|(penalty))"</v>
      </c>
      <c r="AG219" s="244" t="str">
        <f t="shared" si="141"/>
        <v>Shuttle/Test</v>
      </c>
      <c r="AH219" s="236" t="str">
        <f t="shared" si="144"/>
        <v>"%USERPROFILE%\Documents\GitHub\eaglep3\Utilities\RefineRTDCRunTimes.py" --tripid 75-17 --locoid 4004 --swversion DE.1.0.9.0 --startMP 204:1156 --initTime 2017-12-17T15:47:47 --startdatetime 2017-12-17T16:09:13 --delay 204 --endMP 204:3480 --enddatetime 2017-12-17T16:10:51 --enforcementcount 0 &gt;&gt;%USERPROFILE%\Documents\GitHub\eaglep3-reporting\EC\2017-12-17-refined-times.txt</v>
      </c>
      <c r="AI219" s="238" t="str">
        <f t="shared" si="145"/>
        <v>echo {"issue":{"subject":"","project_id":79,"tracker_id":40,"status_id":1,"priority_id":2,"assigned_to_id":338,"start_date":"2017-12-17","description":"","custom_fields":[{"id":1,"name":"Subdivision","value":"Shuttle/Test"},{"id":4,"name":"Milepost","value":"0.348"},{"id":17,"name":"Train ID","value":"75-17"},{"id":16,"name":"Locomotive ID","value":"4004"},{"id":130,"name":"Impact","value":""},{"id":150,"name":"Time of Event (Mountain Time)","value":"16:10:51"},{"id":151,"name":"Denver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3"/>
      <c r="AK219" s="231"/>
      <c r="AL219" s="231"/>
      <c r="AM219" s="240" t="str">
        <f t="shared" si="146"/>
        <v>start /low /b %USERPROFILE%\Documents\GitHub\eaglep3\Utilities\DownloadLogsFromS3.py --loco 4004 --day 2017-12-17</v>
      </c>
      <c r="AN219" s="241" t="str">
        <f t="shared" si="14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23:10:51"},{"id":29,"name":"Sharepoint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48"/>
        <v>https://d0f6bd738d7f1b3e5a7ca70fe4ff75f0.us-east-1.aws.found.io/app/kibana#/discover/Steve-Slow-Train-Analysis-(2080s-and-2083s)?_g=(refreshInterval:(display:Off,pause:!f,section:0,value:0),time:(from:'2017-12-17T14:47:47-0700',mode:absolute,to:'2017-12-17T17:10:51-0700'))&amp;_a=(columns:!('Message%20ID',Summary),filters:!(),index:'emp_*',interval:auto,query:(query_string:(analyze_wildcard:!t,query:'%22rtdc.l.rtdc.4004%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837</v>
      </c>
      <c r="B220" s="225">
        <v>4030</v>
      </c>
      <c r="C220" s="227" t="s">
        <v>192</v>
      </c>
      <c r="D220" s="227" t="s">
        <v>1081</v>
      </c>
      <c r="E220" s="226">
        <v>43086.717615740738</v>
      </c>
      <c r="F220" s="226">
        <v>43086.722662037035</v>
      </c>
      <c r="G220" s="225">
        <v>163</v>
      </c>
      <c r="H220" s="227" t="s">
        <v>686</v>
      </c>
      <c r="I220" s="226">
        <v>43086.727511574078</v>
      </c>
      <c r="J220" s="225">
        <v>0</v>
      </c>
      <c r="K220" s="237" t="str">
        <f t="shared" si="133"/>
        <v>4029/4030</v>
      </c>
      <c r="L220" s="245" t="str">
        <f>VLOOKUP(A220,'Trips&amp;Operators'!$C$1:$G$99911,5,FALSE)</f>
        <v>HAMMOND JUSTYNN</v>
      </c>
      <c r="M220" s="224">
        <f t="shared" si="134"/>
        <v>4.8495370429009199E-3</v>
      </c>
      <c r="N220" s="225">
        <f t="shared" si="142"/>
        <v>6.9833333417773247</v>
      </c>
      <c r="O220" s="225"/>
      <c r="P220" s="225"/>
      <c r="Q220" s="228"/>
      <c r="R220" s="242"/>
      <c r="S220" s="249">
        <f t="shared" si="143"/>
        <v>1</v>
      </c>
      <c r="T220" s="242" t="str">
        <f t="shared" si="135"/>
        <v>NorthBound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 t="shared" si="136"/>
        <v>https://d0f6bd738d7f1b3e5a7ca70fe4ff75f0.us-east-1.aws.found.io/app/kibana#/discover/Steve-Slow-Train-Analysis-(2080s-and-2083s)?_g=(refreshInterval:(display:Off,pause:!f,section:0,value:0),time:(from:'2017-12-17T16:13:22-0700',mode:absolute,to:'2017-12-17T18:27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47" t="str">
        <f>IF(AA220&lt;VLOOKUP(AG220,Variables!$AC$3:$AD$8,2,FALSE),"Y","N")</f>
        <v>Y</v>
      </c>
      <c r="X220" s="247">
        <f t="shared" si="130"/>
        <v>0</v>
      </c>
      <c r="Y220" s="247">
        <f t="shared" si="131"/>
        <v>0.1167</v>
      </c>
      <c r="Z220" s="247">
        <f t="shared" si="132"/>
        <v>2.3311999999999999</v>
      </c>
      <c r="AA220" s="247">
        <f t="shared" si="137"/>
        <v>2.2145000000000001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38"/>
        <v>75</v>
      </c>
      <c r="AE220" s="235" t="str">
        <f t="shared" si="139"/>
        <v>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 &amp; aws s3 cp s3://rtdc.mdm.uploadarchive.raw/RTDC4030/ "%USERPROFILE%\AppData\Local\Temp\OnboardLogs"\RTDC4030\2017-12-18 --exclude "*" --recursive --include "*20171218*" &amp; "%USERPROFILE%\Documents\GitHub\mrs-test-scripts\Headless Mode &amp; Sideloading\WalkAndUnGZ.bat" "%USERPROFILE%\AppData\Local\Temp\OnboardLogs"\RTDC4030\2017-12-18</v>
      </c>
      <c r="AF220" s="234" t="str">
        <f t="shared" si="140"/>
        <v>"C:\Program Files (x86)\AstroGrep\AstroGrep.exe" /e /r /s /spath="%USERPROFILE%\AppData\Local\Temp\OnboardLogs" /stypes="app*4030*20171218*" /stext=" 00:.+((SYSTEM_STATE.+slice.+state.+changed )|(ment ac)|(multiple cpu faults)|(system.+state.+changed )|(\[timeout)|(PRM\|1\|D)|(kpr)|(kdp)|(train st.+moving)|(\|lc)|(penalty))"</v>
      </c>
      <c r="AG220" s="244" t="str">
        <f t="shared" si="141"/>
        <v>Shuttle/Test</v>
      </c>
      <c r="AH220" s="236" t="str">
        <f t="shared" si="144"/>
        <v>"%USERPROFILE%\Documents\GitHub\eaglep3\Utilities\RefineRTDCRunTimes.py" --tripid 75-17 --locoid 4030 --swversion DE.1.0.9.0 --startMP 204:1167 --initTime 2017-12-17T17:13:22 --startdatetime 2017-12-17T17:20:38 --delay 163 --endMP 300:23312 --enddatetime 2017-12-17T17:27:37 --enforcementcount 0 &gt;&gt;%USERPROFILE%\Documents\GitHub\eaglep3-reporting\EC\2017-12-17-refined-times.txt</v>
      </c>
      <c r="AI220" s="238" t="str">
        <f t="shared" si="145"/>
        <v>echo {"issue":{"subject":"","project_id":79,"tracker_id":40,"status_id":1,"priority_id":2,"assigned_to_id":338,"start_date":"2017-12-17","description":"","custom_fields":[{"id":1,"name":"Subdivision","value":"Shuttle/Test"},{"id":4,"name":"Milepost","value":"2.3312"},{"id":17,"name":"Train ID","value":"75-17"},{"id":16,"name":"Locomotive ID","value":"4030"},{"id":130,"name":"Impact","value":""},{"id":150,"name":"Time of Event (Mountain Time)","value":"17:27:37"},{"id":151,"name":"Denver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46"/>
        <v>start /low /b %USERPROFILE%\Documents\GitHub\eaglep3\Utilities\DownloadLogsFromS3.py --loco 4030 --day 2017-12-17</v>
      </c>
      <c r="AN220" s="241" t="str">
        <f t="shared" si="147"/>
        <v>echo {"issue":{"subject":"","project_id":30,"tracker_id":4,"status_id":1,"priority_id":1,"assigned_to_id":10,"start_date":"2017-12-18","description":"","custom_fields":[{"id":30,"name":"Category","value":"Issue"},{"id":3,"name":"Functional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UTC","value":"2017-12-18 00:27:37"},{"id":29,"name":"Sharepoint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48"/>
        <v>https://d0f6bd738d7f1b3e5a7ca70fe4ff75f0.us-east-1.aws.found.io/app/kibana#/discover/Steve-Slow-Train-Analysis-(2080s-and-2083s)?_g=(refreshInterval:(display:Off,pause:!f,section:0,value:0),time:(from:'2017-12-17T16:13:22-0700',mode:absolute,to:'2017-12-17T18:27:37-0700'))&amp;_a=(columns:!('Message%20ID',Summary),filters:!(),index:'emp_*',interval:auto,query:(query_string:(analyze_wildcard:!t,query:'%22rtdc.l.rtdc.4030%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4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4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</sheetData>
  <autoFilter ref="A12:AG511">
    <sortState ref="A13:AG511">
      <sortCondition ref="AG13:AG220"/>
      <sortCondition ref="AD13:AD220"/>
    </sortState>
  </autoFilter>
  <sortState ref="A13:AN416">
    <sortCondition ref="AG13:AG416"/>
    <sortCondition ref="AD13:AD416"/>
  </sortState>
  <mergeCells count="1">
    <mergeCell ref="A11:P11"/>
  </mergeCells>
  <conditionalFormatting sqref="W11:W12 W517:X1048576 W175:X220 W13:X169 W170 W172:W174 X170:X174">
    <cfRule type="cellIs" dxfId="15" priority="472" operator="equal">
      <formula>"Y"</formula>
    </cfRule>
  </conditionalFormatting>
  <conditionalFormatting sqref="X517:X1048576 X13:X220">
    <cfRule type="cellIs" dxfId="14" priority="455" operator="greaterThan">
      <formula>1</formula>
    </cfRule>
  </conditionalFormatting>
  <conditionalFormatting sqref="X517:X1048576 X12:X220">
    <cfRule type="cellIs" dxfId="13" priority="452" operator="equal">
      <formula>0</formula>
    </cfRule>
  </conditionalFormatting>
  <conditionalFormatting sqref="A13:S170 A172:S220">
    <cfRule type="expression" dxfId="12" priority="446" stopIfTrue="1">
      <formula>$P13&gt;0</formula>
    </cfRule>
    <cfRule type="expression" dxfId="11" priority="447" stopIfTrue="1">
      <formula>$O13&gt;0</formula>
    </cfRule>
  </conditionalFormatting>
  <conditionalFormatting sqref="W171">
    <cfRule type="cellIs" dxfId="10" priority="7" operator="equal">
      <formula>"Y"</formula>
    </cfRule>
  </conditionalFormatting>
  <conditionalFormatting sqref="A171:S171">
    <cfRule type="expression" dxfId="9" priority="2" stopIfTrue="1">
      <formula>$P171&gt;0</formula>
    </cfRule>
    <cfRule type="expression" dxfId="8" priority="3" stopIfTrue="1">
      <formula>$O171&gt;0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A13:S170 A172:S220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A13:S170 A172:S220</xm:sqref>
        </x14:conditionalFormatting>
        <x14:conditionalFormatting xmlns:xm="http://schemas.microsoft.com/office/excel/2006/main">
          <x14:cfRule type="expression" priority="4" stopIfTrue="1" id="{ED79AE38-94EC-4761-ADD4-3CEC04AD0196}">
            <xm:f>IF($AG171="EC",OR($N171&gt;Variables!$C$2,$N171&lt;Variables!$C$5),OR($N171&gt;Variables!$D$2,$N171&lt;Variables!$D$5))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A171:S171</xm:sqref>
        </x14:conditionalFormatting>
        <x14:conditionalFormatting xmlns:xm="http://schemas.microsoft.com/office/excel/2006/main">
          <x14:cfRule type="expression" priority="1" stopIfTrue="1" id="{D0A7302F-2D49-4BAE-A016-58DB4E5EC626}">
            <xm:f>IF($AG171="EC",OR($N171&gt;Variables!#REF!,$N171&lt;Variables!#REF!),OR($N171&gt;Variables!#REF!,$N171&lt;Variables!#REF!))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A171:S171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AK13:AK220</xm:sqref>
        </x14:dataValidation>
        <x14:dataValidation type="list" allowBlank="1" showInputMessage="1" showErrorMessage="1">
          <x14:formula1>
            <xm:f>'Redmine List Values'!$C$2:$C$15</xm:f>
          </x14:formula1>
          <xm:sqref>AL13:AL220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COUNTIF($O$7:$O$157,"=Y")</f>
        <v>9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COUNTA($O$7:$O$157)-O2</f>
        <v>17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- 2017-12-17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43086.660694444443</v>
      </c>
      <c r="B7" s="30" t="s">
        <v>702</v>
      </c>
      <c r="C7" s="30" t="s">
        <v>707</v>
      </c>
      <c r="D7" s="30" t="s">
        <v>49</v>
      </c>
      <c r="E7" s="30" t="s">
        <v>183</v>
      </c>
      <c r="F7" s="42">
        <v>0</v>
      </c>
      <c r="G7" s="42">
        <v>222</v>
      </c>
      <c r="H7" s="42">
        <v>26786</v>
      </c>
      <c r="I7" s="42">
        <v>27132</v>
      </c>
      <c r="J7" s="30" t="s">
        <v>184</v>
      </c>
      <c r="K7" s="42">
        <v>27053</v>
      </c>
      <c r="L7" s="131" t="s">
        <v>50</v>
      </c>
      <c r="M7" s="132">
        <f t="shared" ref="M7:M32" si="0">CONVERT((I7-K7)/10000,"mi","ft")*IF(L7="Increasing Mileposts (1)",-1,1)</f>
        <v>-41.712000000000003</v>
      </c>
      <c r="N7" s="133" t="str">
        <f>VLOOKUP(C7,'Trips&amp;Operators'!$C$1:$G$99911,5,FALSE)</f>
        <v>MAGEE KENYA</v>
      </c>
      <c r="O7" s="175" t="s">
        <v>178</v>
      </c>
      <c r="P7" s="239" t="s">
        <v>578</v>
      </c>
      <c r="Q7" s="30"/>
      <c r="R7" s="81" t="str">
        <f>VLOOKUP(C7,'Train Runs'!$A$13:$AE$10170,31,0)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S7" s="84" t="str">
        <f>VLOOKUP(C7,'Train Runs'!$A$13:$AE$10170,22,0)</f>
        <v>https://d0f6bd738d7f1b3e5a7ca70fe4ff75f0.us-east-1.aws.found.io/app/kibana#/discover/Steve-Slow-Train-Analysis-(2080s-and-2083s)?_g=(refreshInterval:(display:Off,pause:!f,section:0,value:0),time:(from:'2017-12-17T14:37:56-0700',mode:absolute,to:'2017-12-17T17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86" t="str">
        <f t="shared" ref="T7:T3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/stypes="*4040*201712172*" /stext=" 22:.+((SYSTEM_STATE.+slice.+state.+changed )|(ment ac)|(multiple cpu faults)|(system.+state.+changed )|(\[timeout)|(PRM\|1\|D)|(kpr)|(kdp)|(train st.+moving)|(\|lc)|(penalty))"</v>
      </c>
      <c r="U7" s="9" t="str">
        <f t="shared" ref="U7:U32" si="2">MID(B7,13,4)</f>
        <v>4040</v>
      </c>
      <c r="V7" s="31">
        <f t="shared" ref="V7:V32" si="3">A7-utc_offset/24</f>
        <v>43086.952361111107</v>
      </c>
      <c r="W7" s="45" t="str">
        <f t="shared" ref="W7:W32" si="4">DetSubdiv(C7)</f>
        <v>EC</v>
      </c>
      <c r="X7" s="22">
        <f t="shared" ref="X7:X32" si="5">VALUE(LEFT(C7,LEN(C7)-3))</f>
        <v>197</v>
      </c>
      <c r="Y7" s="96" t="str">
        <f t="shared" ref="Y7:Y3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Arrival","project_id":79,"tracker_id":40,"status_id":1,"priority_id":2,"assigned_to_id":338,"start_date":"2017-12-17","description":"","custom_fields":[{"id":1,"name":"Subdivision","value":"EC"},{"id":4,"name":"Milepost","value":"2.7053"},{"id":17,"name":"Train ID","value":"197-17"},{"id":16,"name":"Locomotive ID","value":"4040"},{"id":130,"name":"Impact","value":""},{"id":150,"name":"Time of Event (Mountain Time)","value":"15:51:24"},{"id":151,"name":"Denver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/c/Users/stu/AppData/Local/Temp/OnboardLogs/RTDC4040 --include="*4040*201712172*"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"%USERPROFILE%\AppData\Local\Temp\OnboardLogs"\RTDC4040\*4040*201712172* &gt;&gt; 2017-12-17-SliceDisagreementCheck.txt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4040 --day 2017-12-17</v>
      </c>
    </row>
    <row r="8" spans="1:32" s="1" customFormat="1" x14ac:dyDescent="0.25">
      <c r="A8" s="31">
        <v>43086.978518518517</v>
      </c>
      <c r="B8" s="30" t="s">
        <v>625</v>
      </c>
      <c r="C8" s="30" t="s">
        <v>715</v>
      </c>
      <c r="D8" s="30" t="s">
        <v>95</v>
      </c>
      <c r="E8" s="30" t="s">
        <v>183</v>
      </c>
      <c r="F8" s="42">
        <v>190</v>
      </c>
      <c r="G8" s="42">
        <v>241</v>
      </c>
      <c r="H8" s="42">
        <v>27025</v>
      </c>
      <c r="I8" s="42">
        <v>26376</v>
      </c>
      <c r="J8" s="30" t="s">
        <v>184</v>
      </c>
      <c r="K8" s="42">
        <v>27350</v>
      </c>
      <c r="L8" s="131" t="s">
        <v>51</v>
      </c>
      <c r="M8" s="132">
        <f t="shared" si="0"/>
        <v>-514.27200000000005</v>
      </c>
      <c r="N8" s="133" t="str">
        <f>VLOOKUP(C8,'Trips&amp;Operators'!$C$1:$G$99911,5,FALSE)</f>
        <v>GUNTHIER ERIC</v>
      </c>
      <c r="O8" s="175" t="s">
        <v>178</v>
      </c>
      <c r="P8" s="239" t="s">
        <v>578</v>
      </c>
      <c r="Q8" s="30"/>
      <c r="R8" s="81" t="str">
        <f>VLOOKUP(C8,'Train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8" s="84" t="str">
        <f>VLOOKUP(C8,'Train Runs'!$A$13:$AE$10170,22,0)</f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8" s="86" t="str">
        <f t="shared" si="1"/>
        <v>"C:\Program Files (x86)\AstroGrep\AstroGrep.exe" /e /r /s /spath="%USERPROFILE%\AppData\Local\Temp\OnboardLogs" /stypes="*4003*201712180*"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4003</v>
      </c>
      <c r="V8" s="31">
        <f t="shared" si="3"/>
        <v>43087.270185185182</v>
      </c>
      <c r="W8" s="45" t="str">
        <f t="shared" si="4"/>
        <v>EC</v>
      </c>
      <c r="X8" s="228">
        <f t="shared" si="5"/>
        <v>234</v>
      </c>
      <c r="Y8" s="238" t="str">
        <f t="shared" si="6"/>
        <v>echo {"issue":{"subject":"Early Arrival","project_id":79,"tracker_id":40,"status_id":1,"priority_id":2,"assigned_to_id":338,"start_date":"2017-12-17","description":"","custom_fields":[{"id":1,"name":"Subdivision","value":"EC"},{"id":4,"name":"Milepost","value":"2.735"},{"id":17,"name":"Train ID","value":"234-17"},{"id":16,"name":"Locomotive ID","value":"4003"},{"id":130,"name":"Impact","value":""},{"id":150,"name":"Time of Event (Mountain Time)","value":"23:29:04"},{"id":151,"name":"Denver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/c/Users/stu/AppData/Local/Temp/OnboardLogs/RTDC4003 --include="*4003*201712180*"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8" s="144" t="str">
        <f t="shared" ref="AE8:AE32" si="9">"start /low /b "&amp;dls3logs&amp;" --loco "&amp;U8&amp;" --day "&amp;TEXT(V8,"YYYY-MM-DD")</f>
        <v>start /low /b %USERPROFILE%\Documents\GitHub\eaglep3\Utilities\DownloadLogsFromS3.py --loco 4003 --day 2017-12-18</v>
      </c>
    </row>
    <row r="9" spans="1:32" s="1" customFormat="1" x14ac:dyDescent="0.25">
      <c r="A9" s="31">
        <v>43087.014930555553</v>
      </c>
      <c r="B9" s="30" t="s">
        <v>624</v>
      </c>
      <c r="C9" s="30" t="s">
        <v>718</v>
      </c>
      <c r="D9" s="30" t="s">
        <v>95</v>
      </c>
      <c r="E9" s="30" t="s">
        <v>354</v>
      </c>
      <c r="F9" s="42">
        <v>0</v>
      </c>
      <c r="G9" s="42">
        <v>2</v>
      </c>
      <c r="H9" s="42">
        <v>127845</v>
      </c>
      <c r="I9" s="42">
        <v>127863</v>
      </c>
      <c r="J9" s="30" t="s">
        <v>355</v>
      </c>
      <c r="K9" s="42">
        <v>126585</v>
      </c>
      <c r="L9" s="131" t="s">
        <v>50</v>
      </c>
      <c r="M9" s="132">
        <f t="shared" si="0"/>
        <v>-674.78399999999999</v>
      </c>
      <c r="N9" s="133" t="str">
        <f>VLOOKUP(C9,'Trips&amp;Operators'!$C$1:$G$99911,5,FALSE)</f>
        <v>ELBAUM MIKE</v>
      </c>
      <c r="O9" s="175" t="s">
        <v>348</v>
      </c>
      <c r="P9" s="239" t="s">
        <v>472</v>
      </c>
      <c r="Q9" s="30"/>
      <c r="R9" s="81" t="str">
        <f>VLOOKUP(C9,'Train Runs'!$A$13:$AE$10170,31,0)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S9" s="84" t="str">
        <f>VLOOKUP(C9,'Train Runs'!$A$13:$AE$10170,22,0)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86" t="str">
        <f t="shared" si="1"/>
        <v>"C:\Program Files (x86)\AstroGrep\AstroGrep.exe" /e /r /s /spath="%USERPROFILE%\AppData\Local\Temp\OnboardLogs" /stypes="*4004*201712180*" /stext=" 07:.+((SYSTEM_STATE.+slice.+state.+changed )|(ment ac)|(multiple cpu faults)|(system.+state.+changed )|(\[timeout)|(PRM\|1\|D)|(kpr)|(kdp)|(train st.+moving)|(\|lc)|(penalty))"</v>
      </c>
      <c r="U9" s="9" t="str">
        <f t="shared" si="2"/>
        <v>4004</v>
      </c>
      <c r="V9" s="31">
        <f t="shared" si="3"/>
        <v>43087.306597222218</v>
      </c>
      <c r="W9" s="45" t="str">
        <f t="shared" si="4"/>
        <v>EC</v>
      </c>
      <c r="X9" s="228">
        <f t="shared" si="5"/>
        <v>241</v>
      </c>
      <c r="Y9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drop","project_id":79,"tracker_id":40,"status_id":1,"priority_id":2,"assigned_to_id":338,"start_date":"2017-12-18","description":"","custom_fields":[{"id":1,"name":"Subdivision","value":"EC"},{"id":4,"name":"Milepost","value":"12.6585"},{"id":17,"name":"Train ID","value":"241-17"},{"id":16,"name":"Locomotive ID","value":"4004"},{"id":130,"name":"Impact","value":""},{"id":150,"name":"Time of Event (Mountain Time)","value":"00:21:30"},{"id":151,"name":"Denver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/c/Users/stu/AppData/Local/Temp/OnboardLogs/RTDC4004 --include="*4004*201712180*"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"%USERPROFILE%\AppData\Local\Temp\OnboardLogs"\RTDC4004\*4004*201712180* &gt;&gt; 2017-12-17-SliceDisagreementCheck.txt</v>
      </c>
      <c r="AE9" s="144" t="str">
        <f t="shared" si="9"/>
        <v>start /low /b %USERPROFILE%\Documents\GitHub\eaglep3\Utilities\DownloadLogsFromS3.py --loco 4004 --day 2017-12-18</v>
      </c>
    </row>
    <row r="10" spans="1:32" x14ac:dyDescent="0.25">
      <c r="A10" s="31">
        <v>43086.203541666669</v>
      </c>
      <c r="B10" s="30" t="s">
        <v>624</v>
      </c>
      <c r="C10" s="30" t="s">
        <v>694</v>
      </c>
      <c r="D10" s="30" t="s">
        <v>49</v>
      </c>
      <c r="E10" s="30" t="s">
        <v>354</v>
      </c>
      <c r="F10" s="42">
        <v>0</v>
      </c>
      <c r="G10" s="42">
        <v>478</v>
      </c>
      <c r="H10" s="42">
        <v>130613</v>
      </c>
      <c r="I10" s="42">
        <v>132643</v>
      </c>
      <c r="J10" s="30" t="s">
        <v>355</v>
      </c>
      <c r="K10" s="42">
        <v>133155</v>
      </c>
      <c r="L10" s="131" t="s">
        <v>50</v>
      </c>
      <c r="M10" s="132">
        <f t="shared" si="0"/>
        <v>270.33600000000001</v>
      </c>
      <c r="N10" s="133" t="str">
        <f>VLOOKUP(C10,'Trips&amp;Operators'!$C$1:$G$99911,5,FALSE)</f>
        <v>DELGADO DIANAH</v>
      </c>
      <c r="O10" s="175" t="s">
        <v>348</v>
      </c>
      <c r="P10" s="239" t="s">
        <v>472</v>
      </c>
      <c r="Q10" s="30"/>
      <c r="R10" s="81" t="str">
        <f>VLOOKUP(C10,'Train Runs'!$A$13:$AE$10170,31,0)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S10" s="84" t="str">
        <f>VLOOKUP(C10,'Train Runs'!$A$13:$AE$10170,22,0)</f>
        <v>https://d0f6bd738d7f1b3e5a7ca70fe4ff75f0.us-east-1.aws.found.io/app/kibana#/discover/Steve-Slow-Train-Analysis-(2080s-and-2083s)?_g=(refreshInterval:(display:Off,pause:!f,section:0,value:0),time:(from:'2017-12-17T03:25:09-0700',mode:absolute,to:'2017-12-17T06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 t="shared" si="1"/>
        <v>"C:\Program Files (x86)\AstroGrep\AstroGrep.exe" /e /r /s /spath="%USERPROFILE%\AppData\Local\Temp\OnboardLogs" /stypes="*4004*201712171*"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43086.495208333334</v>
      </c>
      <c r="W10" s="45" t="str">
        <f t="shared" si="4"/>
        <v>EC</v>
      </c>
      <c r="X10" s="228">
        <f t="shared" si="5"/>
        <v>107</v>
      </c>
      <c r="Y10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drop","project_id":79,"tracker_id":40,"status_id":1,"priority_id":2,"assigned_to_id":338,"start_date":"2017-12-17","description":"","custom_fields":[{"id":1,"name":"Subdivision","value":"EC"},{"id":4,"name":"Milepost","value":"13.3155"},{"id":17,"name":"Train ID","value":"107-17"},{"id":16,"name":"Locomotive ID","value":"4004"},{"id":130,"name":"Impact","value":""},{"id":150,"name":"Time of Event (Mountain Time)","value":"04:53:06"},{"id":151,"name":"Denver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/c/Users/stu/AppData/Local/Temp/OnboardLogs/RTDC4004 --include="*4004*201712171*"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"%USERPROFILE%\AppData\Local\Temp\OnboardLogs"\RTDC4004\*4004*201712171* &gt;&gt; 2017-12-17-SliceDisagreementCheck.txt</v>
      </c>
      <c r="AE10" s="144" t="str">
        <f t="shared" si="9"/>
        <v>start /low /b %USERPROFILE%\Documents\GitHub\eaglep3\Utilities\DownloadLogsFromS3.py --loco 4004 --day 2017-12-17</v>
      </c>
      <c r="AF10" s="1"/>
    </row>
    <row r="11" spans="1:32" x14ac:dyDescent="0.25">
      <c r="A11" s="31">
        <v>43086.506562499999</v>
      </c>
      <c r="B11" s="30" t="s">
        <v>520</v>
      </c>
      <c r="C11" s="30" t="s">
        <v>700</v>
      </c>
      <c r="D11" s="30" t="s">
        <v>49</v>
      </c>
      <c r="E11" s="30" t="s">
        <v>354</v>
      </c>
      <c r="F11" s="42">
        <v>0</v>
      </c>
      <c r="G11" s="42">
        <v>800</v>
      </c>
      <c r="H11" s="42">
        <v>141820</v>
      </c>
      <c r="I11" s="42">
        <v>146257</v>
      </c>
      <c r="J11" s="30" t="s">
        <v>355</v>
      </c>
      <c r="K11" s="42">
        <v>144300</v>
      </c>
      <c r="L11" s="131" t="s">
        <v>50</v>
      </c>
      <c r="M11" s="132">
        <f t="shared" si="0"/>
        <v>-1033.296</v>
      </c>
      <c r="N11" s="133" t="str">
        <f>VLOOKUP(C11,'Trips&amp;Operators'!$C$1:$G$99911,5,FALSE)</f>
        <v>GUZMAN DANNY</v>
      </c>
      <c r="O11" s="175" t="s">
        <v>348</v>
      </c>
      <c r="P11" s="239" t="s">
        <v>472</v>
      </c>
      <c r="Q11" s="30"/>
      <c r="R11" s="81" t="str">
        <f>VLOOKUP(C11,'Train Runs'!$A$13:$AE$10170,31,0)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S11" s="84" t="str">
        <f>VLOOKUP(C11,'Train Runs'!$A$13:$AE$10170,22,0)</f>
        <v>https://d0f6bd738d7f1b3e5a7ca70fe4ff75f0.us-east-1.aws.found.io/app/kibana#/discover/Steve-Slow-Train-Analysis-(2080s-and-2083s)?_g=(refreshInterval:(display:Off,pause:!f,section:0,value:0),time:(from:'2017-12-17T10:35:36-0700',mode:absolute,to:'2017-12-17T13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86" t="str">
        <f t="shared" si="1"/>
        <v>"C:\Program Files (x86)\AstroGrep\AstroGrep.exe" /e /r /s /spath="%USERPROFILE%\AppData\Local\Temp\OnboardLogs" /stypes="*4032*201712171*" /stext=" 19:.+((SYSTEM_STATE.+slice.+state.+changed )|(ment ac)|(multiple cpu faults)|(system.+state.+changed )|(\[timeout)|(PRM\|1\|D)|(kpr)|(kdp)|(train st.+moving)|(\|lc)|(penalty))"</v>
      </c>
      <c r="U11" s="9" t="str">
        <f t="shared" si="2"/>
        <v>4032</v>
      </c>
      <c r="V11" s="31">
        <f t="shared" si="3"/>
        <v>43086.798229166663</v>
      </c>
      <c r="W11" s="45" t="str">
        <f t="shared" si="4"/>
        <v>EC</v>
      </c>
      <c r="X11" s="228">
        <f t="shared" si="5"/>
        <v>165</v>
      </c>
      <c r="Y11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drop","project_id":79,"tracker_id":40,"status_id":1,"priority_id":2,"assigned_to_id":338,"start_date":"2017-12-17","description":"","custom_fields":[{"id":1,"name":"Subdivision","value":"EC"},{"id":4,"name":"Milepost","value":"14.43"},{"id":17,"name":"Train ID","value":"165-17"},{"id":16,"name":"Locomotive ID","value":"4032"},{"id":130,"name":"Impact","value":""},{"id":150,"name":"Time of Event (Mountain Time)","value":"12:09:27"},{"id":151,"name":"Denver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/c/Users/stu/AppData/Local/Temp/OnboardLogs/RTDC4032 --include="*4032*201712171*"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"%USERPROFILE%\AppData\Local\Temp\OnboardLogs"\RTDC4032\*4032*201712171* &gt;&gt; 2017-12-17-SliceDisagreementCheck.txt</v>
      </c>
      <c r="AE11" s="144" t="str">
        <f t="shared" si="9"/>
        <v>start /low /b %USERPROFILE%\Documents\GitHub\eaglep3\Utilities\DownloadLogsFromS3.py --loco 4032 --day 2017-12-17</v>
      </c>
      <c r="AF11" s="1"/>
    </row>
    <row r="12" spans="1:32" x14ac:dyDescent="0.25">
      <c r="A12" s="31">
        <v>43086.652349537035</v>
      </c>
      <c r="B12" s="30" t="s">
        <v>520</v>
      </c>
      <c r="C12" s="30" t="s">
        <v>706</v>
      </c>
      <c r="D12" s="30" t="s">
        <v>49</v>
      </c>
      <c r="E12" s="30" t="s">
        <v>354</v>
      </c>
      <c r="F12" s="42">
        <v>0</v>
      </c>
      <c r="G12" s="42">
        <v>784</v>
      </c>
      <c r="H12" s="42">
        <v>145499</v>
      </c>
      <c r="I12" s="42">
        <v>148990</v>
      </c>
      <c r="J12" s="30" t="s">
        <v>355</v>
      </c>
      <c r="K12" s="42">
        <v>149694</v>
      </c>
      <c r="L12" s="131" t="s">
        <v>50</v>
      </c>
      <c r="M12" s="132">
        <f t="shared" si="0"/>
        <v>371.71199999999999</v>
      </c>
      <c r="N12" s="133" t="str">
        <f>VLOOKUP(C12,'Trips&amp;Operators'!$C$1:$G$99911,5,FALSE)</f>
        <v>GUZMAN DANNY</v>
      </c>
      <c r="O12" s="175" t="s">
        <v>348</v>
      </c>
      <c r="P12" s="239" t="s">
        <v>472</v>
      </c>
      <c r="Q12" s="30"/>
      <c r="R12" s="81" t="str">
        <f>VLOOKUP(C12,'Train Runs'!$A$13:$AE$10170,31,0)</f>
        <v>aws s3 cp s3://rtdc.mdm.uploadarchive.raw/RTDC4032/ "%USERPROFILE%\AppData\Local\Temp\OnboardLogs"\RTDC4032\2017-12-17 --exclude "*" --recursive --include "*20171217*" &amp; "%USERPROFILE%\Documents\GitHub\mrs-test-scripts\Headless Mode &amp; Sideloading\WalkAndUnGZ.bat" "%USERPROFILE%\AppData\Local\Temp\OnboardLogs"\RTDC4032\2017-12-17 &amp; aws s3 cp s3://rtdc.mdm.uploadarchive.raw/RTDC4032/ "%USERPROFILE%\AppData\Local\Temp\OnboardLogs"\RTDC4032\2017-12-18 --exclude "*" --recursive --include "*20171218*" &amp; "%USERPROFILE%\Documents\GitHub\mrs-test-scripts\Headless Mode &amp; Sideloading\WalkAndUnGZ.bat" "%USERPROFILE%\AppData\Local\Temp\OnboardLogs"\RTDC4032\2017-12-18</v>
      </c>
      <c r="S12" s="84" t="str">
        <f>VLOOKUP(C12,'Train Runs'!$A$13:$AE$10170,22,0)</f>
        <v>https://d0f6bd738d7f1b3e5a7ca70fe4ff75f0.us-east-1.aws.found.io/app/kibana#/discover/Steve-Slow-Train-Analysis-(2080s-and-2083s)?_g=(refreshInterval:(display:Off,pause:!f,section:0,value:0),time:(from:'2017-12-17T14:08:45-0700',mode:absolute,to:'2017-12-17T16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 t="shared" si="1"/>
        <v>"C:\Program Files (x86)\AstroGrep\AstroGrep.exe" /e /r /s /spath="%USERPROFILE%\AppData\Local\Temp\OnboardLogs" /stypes="*4032*201712172*"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4032</v>
      </c>
      <c r="V12" s="31">
        <f t="shared" si="3"/>
        <v>43086.944016203699</v>
      </c>
      <c r="W12" s="45" t="str">
        <f t="shared" si="4"/>
        <v>EC</v>
      </c>
      <c r="X12" s="228">
        <f t="shared" si="5"/>
        <v>193</v>
      </c>
      <c r="Y12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drop","project_id":79,"tracker_id":40,"status_id":1,"priority_id":2,"assigned_to_id":338,"start_date":"2017-12-17","description":"","custom_fields":[{"id":1,"name":"Subdivision","value":"EC"},{"id":4,"name":"Milepost","value":"14.9694"},{"id":17,"name":"Train ID","value":"193-17"},{"id":16,"name":"Locomotive ID","value":"4032"},{"id":130,"name":"Impact","value":""},{"id":150,"name":"Time of Event (Mountain Time)","value":"15:39:23"},{"id":151,"name":"Denver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/c/Users/stu/AppData/Local/Temp/OnboardLogs/RTDC4032 --include="*4032*201712172*"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"%USERPROFILE%\AppData\Local\Temp\OnboardLogs"\RTDC4032\*4032*201712172* &gt;&gt; 2017-12-17-SliceDisagreementCheck.txt</v>
      </c>
      <c r="AE12" s="144" t="str">
        <f t="shared" si="9"/>
        <v>start /low /b %USERPROFILE%\Documents\GitHub\eaglep3\Utilities\DownloadLogsFromS3.py --loco 4032 --day 2017-12-17</v>
      </c>
      <c r="AF12" s="1"/>
    </row>
    <row r="13" spans="1:32" x14ac:dyDescent="0.25">
      <c r="A13" s="31">
        <v>43086.706319444442</v>
      </c>
      <c r="B13" s="30" t="s">
        <v>624</v>
      </c>
      <c r="C13" s="30" t="s">
        <v>709</v>
      </c>
      <c r="D13" s="30" t="s">
        <v>49</v>
      </c>
      <c r="E13" s="30" t="s">
        <v>354</v>
      </c>
      <c r="F13" s="42">
        <v>0</v>
      </c>
      <c r="G13" s="42">
        <v>575</v>
      </c>
      <c r="H13" s="42">
        <v>149415</v>
      </c>
      <c r="I13" s="42">
        <v>151471</v>
      </c>
      <c r="J13" s="30" t="s">
        <v>355</v>
      </c>
      <c r="K13" s="42">
        <v>149694</v>
      </c>
      <c r="L13" s="131" t="s">
        <v>50</v>
      </c>
      <c r="M13" s="132">
        <f t="shared" si="0"/>
        <v>-938.25599999999997</v>
      </c>
      <c r="N13" s="133" t="str">
        <f>VLOOKUP(C13,'Trips&amp;Operators'!$C$1:$G$99911,5,FALSE)</f>
        <v>DAVIS MICHAEL</v>
      </c>
      <c r="O13" s="175" t="s">
        <v>348</v>
      </c>
      <c r="P13" s="239" t="s">
        <v>472</v>
      </c>
      <c r="Q13" s="30"/>
      <c r="R13" s="81" t="str">
        <f>VLOOKUP(C13,'Train Runs'!$A$13:$AE$10170,31,0)</f>
        <v>aws s3 cp s3://rtdc.mdm.uploadarchive.raw/RTDC4004/ "%USERPROFILE%\AppData\Local\Temp\OnboardLogs"\RTDC4004\2017-12-17 --exclude "*" --recursive --include "*20171217*" &amp; "%USERPROFILE%\Documents\GitHub\mrs-test-scripts\Headless Mode &amp; Sideloading\WalkAndUnGZ.bat" "%USERPROFILE%\AppData\Local\Temp\OnboardLogs"\RTDC4004\2017-12-17 &amp; 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</v>
      </c>
      <c r="S13" s="84" t="str">
        <f>VLOOKUP(C13,'Train Runs'!$A$13:$AE$10170,22,0)</f>
        <v>https://d0f6bd738d7f1b3e5a7ca70fe4ff75f0.us-east-1.aws.found.io/app/kibana#/discover/Steve-Slow-Train-Analysis-(2080s-and-2083s)?_g=(refreshInterval:(display:Off,pause:!f,section:0,value:0),time:(from:'2017-12-17T15:56:27-0700',mode:absolute,to:'2017-12-17T17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3" s="86" t="str">
        <f t="shared" si="1"/>
        <v>"C:\Program Files (x86)\AstroGrep\AstroGrep.exe" /e /r /s /spath="%USERPROFILE%\AppData\Local\Temp\OnboardLogs" /stypes="*4004*201712172*" /stext=" 23:.+((SYSTEM_STATE.+slice.+state.+changed )|(ment ac)|(multiple cpu faults)|(system.+state.+changed )|(\[timeout)|(PRM\|1\|D)|(kpr)|(kdp)|(train st.+moving)|(\|lc)|(penalty))"</v>
      </c>
      <c r="U13" s="9" t="str">
        <f t="shared" si="2"/>
        <v>4004</v>
      </c>
      <c r="V13" s="31">
        <f t="shared" si="3"/>
        <v>43086.997986111106</v>
      </c>
      <c r="W13" s="45" t="str">
        <f t="shared" si="4"/>
        <v>EC</v>
      </c>
      <c r="X13" s="228">
        <f t="shared" si="5"/>
        <v>203</v>
      </c>
      <c r="Y13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drop","project_id":79,"tracker_id":40,"status_id":1,"priority_id":2,"assigned_to_id":338,"start_date":"2017-12-17","description":"","custom_fields":[{"id":1,"name":"Subdivision","value":"EC"},{"id":4,"name":"Milepost","value":"14.9694"},{"id":17,"name":"Train ID","value":"203-17"},{"id":16,"name":"Locomotive ID","value":"4004"},{"id":130,"name":"Impact","value":""},{"id":150,"name":"Time of Event (Mountain Time)","value":"16:57:06"},{"id":151,"name":"Denver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/c/Users/stu/AppData/Local/Temp/OnboardLogs/RTDC4004 --include="*4004*201712172*"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"%USERPROFILE%\AppData\Local\Temp\OnboardLogs"\RTDC4004\*4004*201712172* &gt;&gt; 2017-12-17-SliceDisagreementCheck.txt</v>
      </c>
      <c r="AE13" s="144" t="str">
        <f t="shared" si="9"/>
        <v>start /low /b %USERPROFILE%\Documents\GitHub\eaglep3\Utilities\DownloadLogsFromS3.py --loco 4004 --day 2017-12-17</v>
      </c>
      <c r="AF13" s="1"/>
    </row>
    <row r="14" spans="1:32" x14ac:dyDescent="0.25">
      <c r="A14" s="31">
        <v>43086.520891203705</v>
      </c>
      <c r="B14" s="30" t="s">
        <v>362</v>
      </c>
      <c r="C14" s="30" t="s">
        <v>701</v>
      </c>
      <c r="D14" s="30" t="s">
        <v>49</v>
      </c>
      <c r="E14" s="30" t="s">
        <v>354</v>
      </c>
      <c r="F14" s="42">
        <v>0</v>
      </c>
      <c r="G14" s="42">
        <v>361</v>
      </c>
      <c r="H14" s="42">
        <v>224970</v>
      </c>
      <c r="I14" s="42">
        <v>224006</v>
      </c>
      <c r="J14" s="30" t="s">
        <v>355</v>
      </c>
      <c r="K14" s="42">
        <v>224244</v>
      </c>
      <c r="L14" s="131" t="s">
        <v>51</v>
      </c>
      <c r="M14" s="132">
        <f t="shared" si="0"/>
        <v>-125.664</v>
      </c>
      <c r="N14" s="133" t="str">
        <f>VLOOKUP(C14,'Trips&amp;Operators'!$C$1:$G$99911,5,FALSE)</f>
        <v>SAFIEF AEIMEN</v>
      </c>
      <c r="O14" s="175" t="s">
        <v>348</v>
      </c>
      <c r="P14" s="239" t="s">
        <v>472</v>
      </c>
      <c r="Q14" s="30"/>
      <c r="R14" s="81" t="str">
        <f>VLOOKUP(C14,'Train Runs'!$A$13:$AE$10170,31,0)</f>
        <v>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 &amp; aws s3 cp s3://rtdc.mdm.uploadarchive.raw/RTDC4017/ "%USERPROFILE%\AppData\Local\Temp\OnboardLogs"\RTDC4017\2017-12-18 --exclude "*" --recursive --include "*20171218*" &amp; "%USERPROFILE%\Documents\GitHub\mrs-test-scripts\Headless Mode &amp; Sideloading\WalkAndUnGZ.bat" "%USERPROFILE%\AppData\Local\Temp\OnboardLogs"\RTDC4017\2017-12-18</v>
      </c>
      <c r="S14" s="84" t="str">
        <f>VLOOKUP(C14,'Train Runs'!$A$13:$AE$10170,22,0)</f>
        <v>https://d0f6bd738d7f1b3e5a7ca70fe4ff75f0.us-east-1.aws.found.io/app/kibana#/discover/Steve-Slow-Train-Analysis-(2080s-and-2083s)?_g=(refreshInterval:(display:Off,pause:!f,section:0,value:0),time:(from:'2017-12-17T11:25:25-0700',mode:absolute,to:'2017-12-17T14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6" t="str">
        <f t="shared" si="1"/>
        <v>"C:\Program Files (x86)\AstroGrep\AstroGrep.exe" /e /r /s /spath="%USERPROFILE%\AppData\Local\Temp\OnboardLogs" /stypes="*4017*201712171*"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4017</v>
      </c>
      <c r="V14" s="31">
        <f t="shared" si="3"/>
        <v>43086.812557870369</v>
      </c>
      <c r="W14" s="45" t="str">
        <f t="shared" si="4"/>
        <v>EC</v>
      </c>
      <c r="X14" s="228">
        <f t="shared" si="5"/>
        <v>164</v>
      </c>
      <c r="Y14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drop","project_id":79,"tracker_id":40,"status_id":1,"priority_id":2,"assigned_to_id":338,"start_date":"2017-12-17","description":"","custom_fields":[{"id":1,"name":"Subdivision","value":"EC"},{"id":4,"name":"Milepost","value":"22.4244"},{"id":17,"name":"Train ID","value":"164-17"},{"id":16,"name":"Locomotive ID","value":"4017"},{"id":130,"name":"Impact","value":""},{"id":150,"name":"Time of Event (Mountain Time)","value":"12:30:05"},{"id":151,"name":"Denver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/c/Users/stu/AppData/Local/Temp/OnboardLogs/RTDC4017 --include="*4017*201712171*"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"%USERPROFILE%\AppData\Local\Temp\OnboardLogs"\RTDC4017\*4017*201712171* &gt;&gt; 2017-12-17-SliceDisagreementCheck.txt</v>
      </c>
      <c r="AE14" s="144" t="str">
        <f t="shared" si="9"/>
        <v>start /low /b %USERPROFILE%\Documents\GitHub\eaglep3\Utilities\DownloadLogsFromS3.py --loco 4017 --day 2017-12-17</v>
      </c>
      <c r="AF14" s="1"/>
    </row>
    <row r="15" spans="1:32" x14ac:dyDescent="0.25">
      <c r="A15" s="31">
        <v>43086.739583333336</v>
      </c>
      <c r="B15" s="30" t="s">
        <v>625</v>
      </c>
      <c r="C15" s="30" t="s">
        <v>710</v>
      </c>
      <c r="D15" s="30" t="s">
        <v>49</v>
      </c>
      <c r="E15" s="30" t="s">
        <v>449</v>
      </c>
      <c r="F15" s="42">
        <v>0</v>
      </c>
      <c r="G15" s="42">
        <v>393</v>
      </c>
      <c r="H15" s="42">
        <v>112388</v>
      </c>
      <c r="I15" s="42">
        <v>111240</v>
      </c>
      <c r="J15" s="30" t="s">
        <v>450</v>
      </c>
      <c r="K15" s="42">
        <v>110617</v>
      </c>
      <c r="L15" s="131" t="s">
        <v>51</v>
      </c>
      <c r="M15" s="132">
        <f t="shared" si="0"/>
        <v>328.94400000000002</v>
      </c>
      <c r="N15" s="133" t="str">
        <f>VLOOKUP(C15,'Trips&amp;Operators'!$C$1:$G$99911,5,FALSE)</f>
        <v>DAVIS MICHAEL</v>
      </c>
      <c r="O15" s="175" t="s">
        <v>348</v>
      </c>
      <c r="P15" s="239" t="s">
        <v>472</v>
      </c>
      <c r="Q15" s="30"/>
      <c r="R15" s="81" t="str">
        <f>VLOOKUP(C15,'Train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15" s="84" t="str">
        <f>VLOOKUP(C15,'Train Runs'!$A$13:$AE$10170,22,0)</f>
        <v>https://d0f6bd738d7f1b3e5a7ca70fe4ff75f0.us-east-1.aws.found.io/app/kibana#/discover/Steve-Slow-Train-Analysis-(2080s-and-2083s)?_g=(refreshInterval:(display:Off,pause:!f,section:0,value:0),time:(from:'2017-12-17T15:56:27-0700',mode:absolute,to:'2017-12-17T19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6" t="str">
        <f t="shared" si="1"/>
        <v>"C:\Program Files (x86)\AstroGrep\AstroGrep.exe" /e /r /s /spath="%USERPROFILE%\AppData\Local\Temp\OnboardLogs" /stypes="*4003*201712180*"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4003</v>
      </c>
      <c r="V15" s="31">
        <f t="shared" si="3"/>
        <v>43087.03125</v>
      </c>
      <c r="W15" s="45" t="str">
        <f t="shared" si="4"/>
        <v>EC</v>
      </c>
      <c r="X15" s="228">
        <f t="shared" si="5"/>
        <v>204</v>
      </c>
      <c r="Y15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drop","project_id":79,"tracker_id":40,"status_id":1,"priority_id":2,"assigned_to_id":338,"start_date":"2017-12-17","description":"","custom_fields":[{"id":1,"name":"Subdivision","value":"EC"},{"id":4,"name":"Milepost","value":"11.0617"},{"id":17,"name":"Train ID","value":"204-17"},{"id":16,"name":"Locomotive ID","value":"4003"},{"id":130,"name":"Impact","value":""},{"id":150,"name":"Time of Event (Mountain Time)","value":"17:45:00"},{"id":151,"name":"Denver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/c/Users/stu/AppData/Local/Temp/OnboardLogs/RTDC4003 --include="*4003*201712180*"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15" s="144" t="str">
        <f t="shared" si="9"/>
        <v>start /low /b %USERPROFILE%\Documents\GitHub\eaglep3\Utilities\DownloadLogsFromS3.py --loco 4003 --day 2017-12-18</v>
      </c>
      <c r="AF15" s="1"/>
    </row>
    <row r="16" spans="1:32" x14ac:dyDescent="0.25">
      <c r="A16" s="31">
        <v>43086.463078703702</v>
      </c>
      <c r="B16" s="30" t="s">
        <v>698</v>
      </c>
      <c r="C16" s="30" t="s">
        <v>699</v>
      </c>
      <c r="D16" s="30" t="s">
        <v>49</v>
      </c>
      <c r="E16" s="30" t="s">
        <v>449</v>
      </c>
      <c r="F16" s="42">
        <v>0</v>
      </c>
      <c r="G16" s="42">
        <v>599</v>
      </c>
      <c r="H16" s="42">
        <v>123876</v>
      </c>
      <c r="I16" s="42">
        <v>126615</v>
      </c>
      <c r="J16" s="30" t="s">
        <v>450</v>
      </c>
      <c r="K16" s="42">
        <v>126678</v>
      </c>
      <c r="L16" s="131" t="s">
        <v>50</v>
      </c>
      <c r="M16" s="132">
        <f t="shared" si="0"/>
        <v>33.264000000000003</v>
      </c>
      <c r="N16" s="133" t="str">
        <f>VLOOKUP(C16,'Trips&amp;Operators'!$C$1:$G$99911,5,FALSE)</f>
        <v>STEWART MICHAEL</v>
      </c>
      <c r="O16" s="175" t="s">
        <v>348</v>
      </c>
      <c r="P16" s="239" t="s">
        <v>472</v>
      </c>
      <c r="Q16" s="30"/>
      <c r="R16" s="81" t="str">
        <f>VLOOKUP(C16,'Train Runs'!$A$13:$AE$10170,31,0)</f>
        <v>aws s3 cp s3://rtdc.mdm.uploadarchive.raw/RTDC4058/ "%USERPROFILE%\AppData\Local\Temp\OnboardLogs"\RTDC4058\2017-12-17 --exclude "*" --recursive --include "*20171217*" &amp; "%USERPROFILE%\Documents\GitHub\mrs-test-scripts\Headless Mode &amp; Sideloading\WalkAndUnGZ.bat" "%USERPROFILE%\AppData\Local\Temp\OnboardLogs"\RTDC4058\2017-12-17 &amp; aws s3 cp s3://rtdc.mdm.uploadarchive.raw/RTDC4058/ "%USERPROFILE%\AppData\Local\Temp\OnboardLogs"\RTDC4058\2017-12-18 --exclude "*" --recursive --include "*20171218*" &amp; "%USERPROFILE%\Documents\GitHub\mrs-test-scripts\Headless Mode &amp; Sideloading\WalkAndUnGZ.bat" "%USERPROFILE%\AppData\Local\Temp\OnboardLogs"\RTDC4058\2017-12-18</v>
      </c>
      <c r="S16" s="84" t="str">
        <f>VLOOKUP(C16,'Train Runs'!$A$13:$AE$10170,22,0)</f>
        <v>https://d0f6bd738d7f1b3e5a7ca70fe4ff75f0.us-east-1.aws.found.io/app/kibana#/discover/Steve-Slow-Train-Analysis-(2080s-and-2083s)?_g=(refreshInterval:(display:Off,pause:!f,section:0,value:0),time:(from:'2017-12-17T09:36:50-0700',mode:absolute,to:'2017-12-17T12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6" s="86" t="str">
        <f t="shared" si="1"/>
        <v>"C:\Program Files (x86)\AstroGrep\AstroGrep.exe" /e /r /s /spath="%USERPROFILE%\AppData\Local\Temp\OnboardLogs" /stypes="*4058*201712171*"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4058</v>
      </c>
      <c r="V16" s="31">
        <f t="shared" si="3"/>
        <v>43086.754745370366</v>
      </c>
      <c r="W16" s="45" t="str">
        <f t="shared" si="4"/>
        <v>EC</v>
      </c>
      <c r="X16" s="228">
        <f t="shared" si="5"/>
        <v>157</v>
      </c>
      <c r="Y16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drop","project_id":79,"tracker_id":40,"status_id":1,"priority_id":2,"assigned_to_id":338,"start_date":"2017-12-17","description":"","custom_fields":[{"id":1,"name":"Subdivision","value":"EC"},{"id":4,"name":"Milepost","value":"12.6678"},{"id":17,"name":"Train ID","value":"157-17"},{"id":16,"name":"Locomotive ID","value":"4058"},{"id":130,"name":"Impact","value":""},{"id":150,"name":"Time of Event (Mountain Time)","value":"11:06:50"},{"id":151,"name":"Denver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/c/Users/stu/AppData/Local/Temp/OnboardLogs/RTDC4058 --include="*4058*201712171*"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"%USERPROFILE%\AppData\Local\Temp\OnboardLogs"\RTDC4058\*4058*201712171* &gt;&gt; 2017-12-17-SliceDisagreementCheck.txt</v>
      </c>
      <c r="AE16" s="144" t="str">
        <f t="shared" si="9"/>
        <v>start /low /b %USERPROFILE%\Documents\GitHub\eaglep3\Utilities\DownloadLogsFromS3.py --loco 4058 --day 2017-12-17</v>
      </c>
      <c r="AF16" s="1"/>
    </row>
    <row r="17" spans="1:32" x14ac:dyDescent="0.25">
      <c r="A17" s="31">
        <v>43087.014548611114</v>
      </c>
      <c r="B17" s="30" t="s">
        <v>624</v>
      </c>
      <c r="C17" s="30" t="s">
        <v>718</v>
      </c>
      <c r="D17" s="30" t="s">
        <v>49</v>
      </c>
      <c r="E17" s="30" t="s">
        <v>449</v>
      </c>
      <c r="F17" s="42">
        <v>0</v>
      </c>
      <c r="G17" s="42">
        <v>600</v>
      </c>
      <c r="H17" s="42">
        <v>125894</v>
      </c>
      <c r="I17" s="42">
        <v>127792</v>
      </c>
      <c r="J17" s="30" t="s">
        <v>450</v>
      </c>
      <c r="K17" s="42">
        <v>126678</v>
      </c>
      <c r="L17" s="131" t="s">
        <v>50</v>
      </c>
      <c r="M17" s="132">
        <f t="shared" si="0"/>
        <v>-588.19200000000001</v>
      </c>
      <c r="N17" s="133" t="str">
        <f>VLOOKUP(C17,'Trips&amp;Operators'!$C$1:$G$99911,5,FALSE)</f>
        <v>ELBAUM MIKE</v>
      </c>
      <c r="O17" s="175" t="s">
        <v>348</v>
      </c>
      <c r="P17" s="239" t="s">
        <v>472</v>
      </c>
      <c r="Q17" s="30"/>
      <c r="R17" s="81" t="str">
        <f>VLOOKUP(C17,'Train Runs'!$A$13:$AE$10170,31,0)</f>
        <v>aws s3 cp s3://rtdc.mdm.uploadarchive.raw/RTDC4004/ "%USERPROFILE%\AppData\Local\Temp\OnboardLogs"\RTDC4004\2017-12-18 --exclude "*" --recursive --include "*20171218*" &amp; "%USERPROFILE%\Documents\GitHub\mrs-test-scripts\Headless Mode &amp; Sideloading\WalkAndUnGZ.bat" "%USERPROFILE%\AppData\Local\Temp\OnboardLogs"\RTDC4004\2017-12-18 &amp; aws s3 cp s3://rtdc.mdm.uploadarchive.raw/RTDC4004/ "%USERPROFILE%\AppData\Local\Temp\OnboardLogs"\RTDC4004\2017-12-19 --exclude "*" --recursive --include "*20171219*" &amp; "%USERPROFILE%\Documents\GitHub\mrs-test-scripts\Headless Mode &amp; Sideloading\WalkAndUnGZ.bat" "%USERPROFILE%\AppData\Local\Temp\OnboardLogs"\RTDC4004\2017-12-19</v>
      </c>
      <c r="S17" s="84" t="str">
        <f>VLOOKUP(C17,'Train Runs'!$A$13:$AE$10170,22,0)</f>
        <v>https://d0f6bd738d7f1b3e5a7ca70fe4ff75f0.us-east-1.aws.found.io/app/kibana#/discover/Steve-Slow-Train-Analysis-(2080s-and-2083s)?_g=(refreshInterval:(display:Off,pause:!f,section:0,value:0),time:(from:'2017-12-17T23:22:08-0700',mode:absolute,to:'2017-12-18T01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86" t="str">
        <f t="shared" si="1"/>
        <v>"C:\Program Files (x86)\AstroGrep\AstroGrep.exe" /e /r /s /spath="%USERPROFILE%\AppData\Local\Temp\OnboardLogs" /stypes="*4004*201712180*" /stext=" 07:.+((SYSTEM_STATE.+slice.+state.+changed )|(ment ac)|(multiple cpu faults)|(system.+state.+changed )|(\[timeout)|(PRM\|1\|D)|(kpr)|(kdp)|(train st.+moving)|(\|lc)|(penalty))"</v>
      </c>
      <c r="U17" s="9" t="str">
        <f t="shared" si="2"/>
        <v>4004</v>
      </c>
      <c r="V17" s="31">
        <f t="shared" si="3"/>
        <v>43087.306215277778</v>
      </c>
      <c r="W17" s="45" t="str">
        <f t="shared" si="4"/>
        <v>EC</v>
      </c>
      <c r="X17" s="228">
        <f t="shared" si="5"/>
        <v>241</v>
      </c>
      <c r="Y17" s="238" t="str">
        <f t="shared" si="6"/>
        <v>echo {"issue":{"subject":"Wi-MAX data drop","project_id":79,"tracker_id":40,"status_id":1,"priority_id":2,"assigned_to_id":338,"start_date":"2017-12-18","description":"","custom_fields":[{"id":1,"name":"Subdivision","value":"EC"},{"id":4,"name":"Milepost","value":"12.6678"},{"id":17,"name":"Train ID","value":"241-17"},{"id":16,"name":"Locomotive ID","value":"4004"},{"id":130,"name":"Impact","value":""},{"id":150,"name":"Time of Event (Mountain Time)","value":"00:20:57"},{"id":151,"name":"Denver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/c/Users/stu/AppData/Local/Temp/OnboardLogs/RTDC4004 --include="*4004*201712180*"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"%USERPROFILE%\AppData\Local\Temp\OnboardLogs"\RTDC4004\*4004*201712180* &gt;&gt; 2017-12-17-SliceDisagreementCheck.txt</v>
      </c>
      <c r="AE17" s="144" t="str">
        <f t="shared" si="9"/>
        <v>start /low /b %USERPROFILE%\Documents\GitHub\eaglep3\Utilities\DownloadLogsFromS3.py --loco 4004 --day 2017-12-18</v>
      </c>
      <c r="AF17" s="1"/>
    </row>
    <row r="18" spans="1:32" x14ac:dyDescent="0.25">
      <c r="A18" s="31">
        <v>43086.974953703706</v>
      </c>
      <c r="B18" s="30" t="s">
        <v>625</v>
      </c>
      <c r="C18" s="30" t="s">
        <v>715</v>
      </c>
      <c r="D18" s="30" t="s">
        <v>49</v>
      </c>
      <c r="E18" s="30" t="s">
        <v>716</v>
      </c>
      <c r="F18" s="42">
        <v>600</v>
      </c>
      <c r="G18" s="42">
        <v>656</v>
      </c>
      <c r="H18" s="42">
        <v>40511</v>
      </c>
      <c r="I18" s="42">
        <v>37701</v>
      </c>
      <c r="J18" s="30" t="s">
        <v>184</v>
      </c>
      <c r="K18" s="42">
        <v>37500</v>
      </c>
      <c r="L18" s="131" t="s">
        <v>51</v>
      </c>
      <c r="M18" s="132">
        <f t="shared" si="0"/>
        <v>106.128</v>
      </c>
      <c r="N18" s="133" t="str">
        <f>VLOOKUP(C18,'Trips&amp;Operators'!$C$1:$G$99911,5,FALSE)</f>
        <v>GUNTHIER ERIC</v>
      </c>
      <c r="O18" s="175" t="s">
        <v>178</v>
      </c>
      <c r="P18" s="239"/>
      <c r="Q18" s="30"/>
      <c r="R18" s="81" t="str">
        <f>VLOOKUP(C18,'Train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18" s="84" t="str">
        <f>VLOOKUP(C18,'Train Runs'!$A$13:$AE$10170,22,0)</f>
        <v>https://d0f6bd738d7f1b3e5a7ca70fe4ff75f0.us-east-1.aws.found.io/app/kibana#/discover/Steve-Slow-Train-Analysis-(2080s-and-2083s)?_g=(refreshInterval:(display:Off,pause:!f,section:0,value:0),time:(from:'2017-12-17T21:41:14-0700',mode:absolute,to:'2017-12-18T00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 t="shared" si="1"/>
        <v>"C:\Program Files (x86)\AstroGrep\AstroGrep.exe" /e /r /s /spath="%USERPROFILE%\AppData\Local\Temp\OnboardLogs" /stypes="*4003*201712180*" /stext=" 06:.+((SYSTEM_STATE.+slice.+state.+changed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43087.26662037037</v>
      </c>
      <c r="W18" s="45" t="str">
        <f t="shared" si="4"/>
        <v>EC</v>
      </c>
      <c r="X18" s="228">
        <f t="shared" si="5"/>
        <v>234</v>
      </c>
      <c r="Y18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{"issue":{"subject":"","project_id":79,"tracker_id":40,"status_id":1,"priority_id":2,"assigned_to_id":338,"start_date":"2017-12-17","description":"","custom_fields":[{"id":1,"name":"Subdivision","value":"EC"},{"id":4,"name":"Milepost","value":"3.75"},{"id":17,"name":"Train ID","value":"234-17"},{"id":16,"name":"Locomotive ID","value":"4003"},{"id":130,"name":"Impact","value":""},{"id":150,"name":"Time of Event (Mountain Time)","value":"23:23:56"},{"id":151,"name":"Denver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/c/Users/stu/AppData/Local/Temp/OnboardLogs/RTDC4003 --include="*4003*201712180*"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18" s="144" t="str">
        <f t="shared" si="9"/>
        <v>start /low /b %USERPROFILE%\Documents\GitHub\eaglep3\Utilities\DownloadLogsFromS3.py --loco 4003 --day 2017-12-18</v>
      </c>
      <c r="AF18" s="1"/>
    </row>
    <row r="19" spans="1:32" x14ac:dyDescent="0.25">
      <c r="A19" s="31">
        <v>43086.420370370368</v>
      </c>
      <c r="B19" s="30" t="s">
        <v>485</v>
      </c>
      <c r="C19" s="30" t="s">
        <v>697</v>
      </c>
      <c r="D19" s="30" t="s">
        <v>49</v>
      </c>
      <c r="E19" s="30" t="s">
        <v>692</v>
      </c>
      <c r="F19" s="42">
        <v>0</v>
      </c>
      <c r="G19" s="42">
        <v>106</v>
      </c>
      <c r="H19" s="42">
        <v>427</v>
      </c>
      <c r="I19" s="42">
        <v>283</v>
      </c>
      <c r="J19" s="30" t="s">
        <v>693</v>
      </c>
      <c r="K19" s="42">
        <v>1</v>
      </c>
      <c r="L19" s="131" t="s">
        <v>51</v>
      </c>
      <c r="M19" s="132">
        <f t="shared" si="0"/>
        <v>148.89599999999999</v>
      </c>
      <c r="N19" s="133" t="str">
        <f>VLOOKUP(C19,'Trips&amp;Operators'!$C$1:$G$99911,5,FALSE)</f>
        <v>THOMPSON LESTER</v>
      </c>
      <c r="O19" s="175" t="s">
        <v>178</v>
      </c>
      <c r="P19" s="239"/>
      <c r="Q19" s="30"/>
      <c r="R19" s="81" t="str">
        <f>VLOOKUP(C19,'Train Runs'!$A$13:$AE$10170,31,0)</f>
        <v>aws s3 cp s3://rtdc.mdm.uploadarchive.raw/RTDC4053/ "%USERPROFILE%\AppData\Local\Temp\OnboardLogs"\RTDC4053\2017-12-17 --exclude "*" --recursive --include "*20171217*" &amp; "%USERPROFILE%\Documents\GitHub\mrs-test-scripts\Headless Mode &amp; Sideloading\WalkAndUnGZ.bat" "%USERPROFILE%\AppData\Local\Temp\OnboardLogs"\RTDC4053\2017-12-17 &amp; aws s3 cp s3://rtdc.mdm.uploadarchive.raw/RTDC4053/ "%USERPROFILE%\AppData\Local\Temp\OnboardLogs"\RTDC4053\2017-12-18 --exclude "*" --recursive --include "*20171218*" &amp; "%USERPROFILE%\Documents\GitHub\mrs-test-scripts\Headless Mode &amp; Sideloading\WalkAndUnGZ.bat" "%USERPROFILE%\AppData\Local\Temp\OnboardLogs"\RTDC4053\2017-12-18</v>
      </c>
      <c r="S19" s="84" t="str">
        <f>VLOOKUP(C19,'Train Runs'!$A$13:$AE$10170,22,0)</f>
        <v>https://d0f6bd738d7f1b3e5a7ca70fe4ff75f0.us-east-1.aws.found.io/app/kibana#/discover/Steve-Slow-Train-Analysis-(2080s-and-2083s)?_g=(refreshInterval:(display:Off,pause:!f,section:0,value:0),time:(from:'2017-12-17T08:24:45-0700',mode:absolute,to:'2017-12-17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86" t="str">
        <f t="shared" si="1"/>
        <v>"C:\Program Files (x86)\AstroGrep\AstroGrep.exe" /e /r /s /spath="%USERPROFILE%\AppData\Local\Temp\OnboardLogs" /stypes="*4053*201712171*"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4053</v>
      </c>
      <c r="V19" s="31">
        <f t="shared" si="3"/>
        <v>43086.712037037032</v>
      </c>
      <c r="W19" s="45" t="str">
        <f t="shared" si="4"/>
        <v>EC</v>
      </c>
      <c r="X19" s="228">
        <f t="shared" si="5"/>
        <v>140</v>
      </c>
      <c r="Y19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ID","value":"140-17"},{"id":16,"name":"Locomotive ID","value":"4053"},{"id":130,"name":"Impact","value":""},{"id":150,"name":"Time of Event (Mountain Time)","value":"10:05:20"},{"id":151,"name":"Denver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/c/Users/stu/AppData/Local/Temp/OnboardLogs/RTDC4053 --include="*4053*201712171*"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"%USERPROFILE%\AppData\Local\Temp\OnboardLogs"\RTDC4053\*4053*201712171* &gt;&gt; 2017-12-17-SliceDisagreementCheck.txt</v>
      </c>
      <c r="AE19" s="144" t="str">
        <f t="shared" si="9"/>
        <v>start /low /b %USERPROFILE%\Documents\GitHub\eaglep3\Utilities\DownloadLogsFromS3.py --loco 4053 --day 2017-12-17</v>
      </c>
      <c r="AF19" s="1"/>
    </row>
    <row r="20" spans="1:32" x14ac:dyDescent="0.25">
      <c r="A20" s="31">
        <v>43086.824849537035</v>
      </c>
      <c r="B20" s="30" t="s">
        <v>625</v>
      </c>
      <c r="C20" s="30" t="s">
        <v>712</v>
      </c>
      <c r="D20" s="30" t="s">
        <v>49</v>
      </c>
      <c r="E20" s="30" t="s">
        <v>692</v>
      </c>
      <c r="F20" s="42">
        <v>0</v>
      </c>
      <c r="G20" s="42">
        <v>148</v>
      </c>
      <c r="H20" s="42">
        <v>708</v>
      </c>
      <c r="I20" s="42">
        <v>486</v>
      </c>
      <c r="J20" s="30" t="s">
        <v>693</v>
      </c>
      <c r="K20" s="42">
        <v>1</v>
      </c>
      <c r="L20" s="131" t="s">
        <v>51</v>
      </c>
      <c r="M20" s="132">
        <f t="shared" si="0"/>
        <v>256.08</v>
      </c>
      <c r="N20" s="133" t="str">
        <f>VLOOKUP(C20,'Trips&amp;Operators'!$C$1:$G$99911,5,FALSE)</f>
        <v>ELBAUM MIKE</v>
      </c>
      <c r="O20" s="175" t="s">
        <v>178</v>
      </c>
      <c r="P20" s="239"/>
      <c r="Q20" s="30"/>
      <c r="R20" s="81" t="str">
        <f>VLOOKUP(C20,'Train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0" s="84" t="str">
        <f>VLOOKUP(C20,'Train Runs'!$A$13:$AE$10170,22,0)</f>
        <v>https://d0f6bd738d7f1b3e5a7ca70fe4ff75f0.us-east-1.aws.found.io/app/kibana#/discover/Steve-Slow-Train-Analysis-(2080s-and-2083s)?_g=(refreshInterval:(display:Off,pause:!f,section:0,value:0),time:(from:'2017-12-17T17:52:52-0700',mode:absolute,to:'2017-12-17T20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 t="shared" si="1"/>
        <v>"C:\Program Files (x86)\AstroGrep\AstroGrep.exe" /e /r /s /spath="%USERPROFILE%\AppData\Local\Temp\OnboardLogs" /stypes="*4003*201712180*"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4003</v>
      </c>
      <c r="V20" s="31">
        <f t="shared" si="3"/>
        <v>43087.1165162037</v>
      </c>
      <c r="W20" s="45" t="str">
        <f t="shared" si="4"/>
        <v>EC</v>
      </c>
      <c r="X20" s="228">
        <f t="shared" si="5"/>
        <v>218</v>
      </c>
      <c r="Y20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ID","value":"218-17"},{"id":16,"name":"Locomotive ID","value":"4003"},{"id":130,"name":"Impact","value":""},{"id":150,"name":"Time of Event (Mountain Time)","value":"19:47:47"},{"id":151,"name":"Denver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/c/Users/stu/AppData/Local/Temp/OnboardLogs/RTDC4003 --include="*4003*201712180*"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0" s="144" t="str">
        <f t="shared" si="9"/>
        <v>start /low /b %USERPROFILE%\Documents\GitHub\eaglep3\Utilities\DownloadLogsFromS3.py --loco 4003 --day 2017-12-18</v>
      </c>
      <c r="AF20" s="1"/>
    </row>
    <row r="21" spans="1:32" x14ac:dyDescent="0.25">
      <c r="A21" s="31">
        <v>43086.897905092592</v>
      </c>
      <c r="B21" s="30" t="s">
        <v>625</v>
      </c>
      <c r="C21" s="30" t="s">
        <v>714</v>
      </c>
      <c r="D21" s="30" t="s">
        <v>49</v>
      </c>
      <c r="E21" s="30" t="s">
        <v>692</v>
      </c>
      <c r="F21" s="42">
        <v>0</v>
      </c>
      <c r="G21" s="42">
        <v>149</v>
      </c>
      <c r="H21" s="42">
        <v>755</v>
      </c>
      <c r="I21" s="42">
        <v>549</v>
      </c>
      <c r="J21" s="30" t="s">
        <v>693</v>
      </c>
      <c r="K21" s="42">
        <v>1</v>
      </c>
      <c r="L21" s="131" t="s">
        <v>51</v>
      </c>
      <c r="M21" s="132">
        <f t="shared" si="0"/>
        <v>289.34399999999999</v>
      </c>
      <c r="N21" s="133" t="str">
        <f>VLOOKUP(C21,'Trips&amp;Operators'!$C$1:$G$99911,5,FALSE)</f>
        <v>ELBAUM MIKE</v>
      </c>
      <c r="O21" s="175" t="s">
        <v>178</v>
      </c>
      <c r="P21" s="239"/>
      <c r="Q21" s="30"/>
      <c r="R21" s="81" t="str">
        <f>VLOOKUP(C21,'Train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1" s="84" t="str">
        <f>VLOOKUP(C21,'Train Runs'!$A$13:$AE$10170,22,0)</f>
        <v>https://d0f6bd738d7f1b3e5a7ca70fe4ff75f0.us-east-1.aws.found.io/app/kibana#/discover/Steve-Slow-Train-Analysis-(2080s-and-2083s)?_g=(refreshInterval:(display:Off,pause:!f,section:0,value:0),time:(from:'2017-12-17T19:22:11-0700',mode:absolute,to:'2017-12-17T22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 t="shared" si="1"/>
        <v>"C:\Program Files (x86)\AstroGrep\AstroGrep.exe" /e /r /s /spath="%USERPROFILE%\AppData\Local\Temp\OnboardLogs" /stypes="*4003*201712180*" /stext=" 04:.+((SYSTEM_STATE.+slice.+state.+changed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43087.189571759256</v>
      </c>
      <c r="W21" s="45" t="str">
        <f t="shared" si="4"/>
        <v>EC</v>
      </c>
      <c r="X21" s="228">
        <f t="shared" si="5"/>
        <v>226</v>
      </c>
      <c r="Y21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{"issue":{"subject":"","project_id":79,"tracker_id":40,"status_id":1,"priority_id":2,"assigned_to_id":338,"start_date":"2017-12-17","description":"","custom_fields":[{"id":1,"name":"Subdivision","value":"EC"},{"id":4,"name":"Milepost","value":"0.0001"},{"id":17,"name":"Train ID","value":"226-17"},{"id":16,"name":"Locomotive ID","value":"4003"},{"id":130,"name":"Impact","value":""},{"id":150,"name":"Time of Event (Mountain Time)","value":"21:32:59"},{"id":151,"name":"Denver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/c/Users/stu/AppData/Local/Temp/OnboardLogs/RTDC4003 --include="*4003*201712180*"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1" s="144" t="str">
        <f t="shared" si="9"/>
        <v>start /low /b %USERPROFILE%\Documents\GitHub\eaglep3\Utilities\DownloadLogsFromS3.py --loco 4003 --day 2017-12-18</v>
      </c>
      <c r="AF21" s="1"/>
    </row>
    <row r="22" spans="1:32" x14ac:dyDescent="0.25">
      <c r="A22" s="31">
        <v>43087.067071759258</v>
      </c>
      <c r="B22" s="30" t="s">
        <v>625</v>
      </c>
      <c r="C22" s="30" t="s">
        <v>719</v>
      </c>
      <c r="D22" s="30" t="s">
        <v>49</v>
      </c>
      <c r="E22" s="30" t="s">
        <v>692</v>
      </c>
      <c r="F22" s="42">
        <v>0</v>
      </c>
      <c r="G22" s="42">
        <v>148</v>
      </c>
      <c r="H22" s="42">
        <v>919</v>
      </c>
      <c r="I22" s="42">
        <v>724</v>
      </c>
      <c r="J22" s="30" t="s">
        <v>693</v>
      </c>
      <c r="K22" s="42">
        <v>1</v>
      </c>
      <c r="L22" s="131" t="s">
        <v>51</v>
      </c>
      <c r="M22" s="132">
        <f t="shared" si="0"/>
        <v>381.74400000000003</v>
      </c>
      <c r="N22" s="133" t="str">
        <f>VLOOKUP(C22,'Trips&amp;Operators'!$C$1:$G$99911,5,FALSE)</f>
        <v>ELBAUM MIKE</v>
      </c>
      <c r="O22" s="175" t="s">
        <v>178</v>
      </c>
      <c r="P22" s="239"/>
      <c r="Q22" s="30"/>
      <c r="R22" s="81" t="str">
        <f>VLOOKUP(C22,'Train Runs'!$A$13:$AE$10170,31,0)</f>
        <v>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 &amp; aws s3 cp s3://rtdc.mdm.uploadarchive.raw/RTDC4003/ "%USERPROFILE%\AppData\Local\Temp\OnboardLogs"\RTDC4003\2017-12-19 --exclude "*" --recursive --include "*20171219*" &amp; "%USERPROFILE%\Documents\GitHub\mrs-test-scripts\Headless Mode &amp; Sideloading\WalkAndUnGZ.bat" "%USERPROFILE%\AppData\Local\Temp\OnboardLogs"\RTDC4003\2017-12-19</v>
      </c>
      <c r="S22" s="84" t="str">
        <f>VLOOKUP(C22,'Train Runs'!$A$13:$AE$10170,22,0)</f>
        <v>https://d0f6bd738d7f1b3e5a7ca70fe4ff75f0.us-east-1.aws.found.io/app/kibana#/discover/Steve-Slow-Train-Analysis-(2080s-and-2083s)?_g=(refreshInterval:(display:Off,pause:!f,section:0,value:0),time:(from:'2017-12-18T00:21:29-0700',mode:absolute,to:'2017-12-18T02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/stypes="*4003*201712180*" /stext=" 08:.+((SYSTEM_STATE.+slice.+state.+changed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43087.358738425923</v>
      </c>
      <c r="W22" s="45" t="str">
        <f t="shared" si="4"/>
        <v>EC</v>
      </c>
      <c r="X22" s="228">
        <f t="shared" si="5"/>
        <v>242</v>
      </c>
      <c r="Y22" s="238" t="str">
        <f t="shared" si="6"/>
        <v>echo {"issue":{"subject":"","project_id":79,"tracker_id":40,"status_id":1,"priority_id":2,"assigned_to_id":338,"start_date":"2017-12-18","description":"","custom_fields":[{"id":1,"name":"Subdivision","value":"EC"},{"id":4,"name":"Milepost","value":"0.0001"},{"id":17,"name":"Train ID","value":"242-17"},{"id":16,"name":"Locomotive ID","value":"4003"},{"id":130,"name":"Impact","value":""},{"id":150,"name":"Time of Event (Mountain Time)","value":"01:36:35"},{"id":151,"name":"Denver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/c/Users/stu/AppData/Local/Temp/OnboardLogs/RTDC4003 --include="*4003*201712180*"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"%USERPROFILE%\AppData\Local\Temp\OnboardLogs"\RTDC4003\*4003*201712180* &gt;&gt; 2017-12-17-SliceDisagreementCheck.txt</v>
      </c>
      <c r="AE22" s="144" t="str">
        <f t="shared" si="9"/>
        <v>start /low /b %USERPROFILE%\Documents\GitHub\eaglep3\Utilities\DownloadLogsFromS3.py --loco 4003 --day 2017-12-18</v>
      </c>
      <c r="AF22" s="1"/>
    </row>
    <row r="23" spans="1:32" x14ac:dyDescent="0.25">
      <c r="A23" s="31">
        <v>43086.534479166665</v>
      </c>
      <c r="B23" s="30" t="s">
        <v>702</v>
      </c>
      <c r="C23" s="30" t="s">
        <v>703</v>
      </c>
      <c r="D23" s="30" t="s">
        <v>49</v>
      </c>
      <c r="E23" s="30" t="s">
        <v>692</v>
      </c>
      <c r="F23" s="42">
        <v>0</v>
      </c>
      <c r="G23" s="42">
        <v>165</v>
      </c>
      <c r="H23" s="42">
        <v>232763</v>
      </c>
      <c r="I23" s="42">
        <v>232923</v>
      </c>
      <c r="J23" s="30" t="s">
        <v>693</v>
      </c>
      <c r="K23" s="42">
        <v>233491</v>
      </c>
      <c r="L23" s="131" t="s">
        <v>50</v>
      </c>
      <c r="M23" s="132">
        <f t="shared" si="0"/>
        <v>299.904</v>
      </c>
      <c r="N23" s="133" t="str">
        <f>VLOOKUP(C23,'Trips&amp;Operators'!$C$1:$G$99911,5,FALSE)</f>
        <v>MAGEE KENYA</v>
      </c>
      <c r="O23" s="175" t="s">
        <v>178</v>
      </c>
      <c r="P23" s="239"/>
      <c r="Q23" s="30"/>
      <c r="R23" s="81" t="str">
        <f>VLOOKUP(C23,'Train Runs'!$A$13:$AE$10170,31,0)</f>
        <v>aws s3 cp s3://rtdc.mdm.uploadarchive.raw/RTDC4040/ "%USERPROFILE%\AppData\Local\Temp\OnboardLogs"\RTDC4040\2017-12-17 --exclude "*" --recursive --include "*20171217*" &amp; "%USERPROFILE%\Documents\GitHub\mrs-test-scripts\Headless Mode &amp; Sideloading\WalkAndUnGZ.bat" "%USERPROFILE%\AppData\Local\Temp\OnboardLogs"\RTDC4040\2017-12-17 &amp; aws s3 cp s3://rtdc.mdm.uploadarchive.raw/RTDC4040/ "%USERPROFILE%\AppData\Local\Temp\OnboardLogs"\RTDC4040\2017-12-18 --exclude "*" --recursive --include "*20171218*" &amp; "%USERPROFILE%\Documents\GitHub\mrs-test-scripts\Headless Mode &amp; Sideloading\WalkAndUnGZ.bat" "%USERPROFILE%\AppData\Local\Temp\OnboardLogs"\RTDC4040\2017-12-18</v>
      </c>
      <c r="S23" s="84" t="str">
        <f>VLOOKUP(C23,'Train Runs'!$A$13:$AE$10170,22,0)</f>
        <v>https://d0f6bd738d7f1b3e5a7ca70fe4ff75f0.us-east-1.aws.found.io/app/kibana#/discover/Steve-Slow-Train-Analysis-(2080s-and-2083s)?_g=(refreshInterval:(display:Off,pause:!f,section:0,value:0),time:(from:'2017-12-17T11:06:56-0700',mode:absolute,to:'2017-12-17T13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6" t="str">
        <f t="shared" si="1"/>
        <v>"C:\Program Files (x86)\AstroGrep\AstroGrep.exe" /e /r /s /spath="%USERPROFILE%\AppData\Local\Temp\OnboardLogs" /stypes="*4040*201712171*"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43086.826145833329</v>
      </c>
      <c r="W23" s="45" t="str">
        <f t="shared" si="4"/>
        <v>EC</v>
      </c>
      <c r="X23" s="228">
        <f t="shared" si="5"/>
        <v>169</v>
      </c>
      <c r="Y23" s="238" t="str">
        <f t="shared" si="6"/>
        <v>echo {"issue":{"subject":"","project_id":79,"tracker_id":40,"status_id":1,"priority_id":2,"assigned_to_id":338,"start_date":"2017-12-17","description":"","custom_fields":[{"id":1,"name":"Subdivision","value":"EC"},{"id":4,"name":"Milepost","value":"23.3491"},{"id":17,"name":"Train ID","value":"169-17"},{"id":16,"name":"Locomotive ID","value":"4040"},{"id":130,"name":"Impact","value":""},{"id":150,"name":"Time of Event (Mountain Time)","value":"12:49:39"},{"id":151,"name":"Denver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/c/Users/stu/AppData/Local/Temp/OnboardLogs/RTDC4040 --include="*4040*201712171*"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"%USERPROFILE%\AppData\Local\Temp\OnboardLogs"\RTDC4040\*4040*201712171* &gt;&gt; 2017-12-17-SliceDisagreementCheck.txt</v>
      </c>
      <c r="AE23" s="144" t="str">
        <f t="shared" si="9"/>
        <v>start /low /b %USERPROFILE%\Documents\GitHub\eaglep3\Utilities\DownloadLogsFromS3.py --loco 4040 --day 2017-12-17</v>
      </c>
      <c r="AF23" s="1"/>
    </row>
    <row r="24" spans="1:32" x14ac:dyDescent="0.25">
      <c r="A24" s="31">
        <v>43086.801435185182</v>
      </c>
      <c r="B24" s="30" t="s">
        <v>560</v>
      </c>
      <c r="C24" s="30" t="s">
        <v>711</v>
      </c>
      <c r="D24" s="30" t="s">
        <v>49</v>
      </c>
      <c r="E24" s="30" t="s">
        <v>190</v>
      </c>
      <c r="F24" s="42">
        <v>300</v>
      </c>
      <c r="G24" s="42">
        <v>363</v>
      </c>
      <c r="H24" s="42">
        <v>19633</v>
      </c>
      <c r="I24" s="42">
        <v>20848</v>
      </c>
      <c r="J24" s="30" t="s">
        <v>191</v>
      </c>
      <c r="K24" s="42">
        <v>21312</v>
      </c>
      <c r="L24" s="131" t="s">
        <v>50</v>
      </c>
      <c r="M24" s="132">
        <f t="shared" si="0"/>
        <v>244.99199999999999</v>
      </c>
      <c r="N24" s="133" t="str">
        <f>VLOOKUP(C24,'Trips&amp;Operators'!$C$1:$G$99911,5,FALSE)</f>
        <v>HOLCOMB KAMDEN</v>
      </c>
      <c r="O24" s="175" t="s">
        <v>178</v>
      </c>
      <c r="P24" s="239"/>
      <c r="Q24" s="30"/>
      <c r="R24" s="81" t="str">
        <f>VLOOKUP(C24,'Train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4" s="84" t="str">
        <f>VLOOKUP(C24,'Train Runs'!$A$13:$AE$10170,22,0)</f>
        <v>https://d0f6bd738d7f1b3e5a7ca70fe4ff75f0.us-east-1.aws.found.io/app/kibana#/discover/Steve-Slow-Train-Analysis-(2080s-and-2083s)?_g=(refreshInterval:(display:Off,pause:!f,section:0,value:0),time:(from:'2017-12-17T18:07:13-0700',mode:absolute,to:'2017-12-17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86" t="str">
        <f t="shared" si="1"/>
        <v>"C:\Program Files (x86)\AstroGrep\AstroGrep.exe" /e /r /s /spath="%USERPROFILE%\AppData\Local\Temp\OnboardLogs" /stypes="*4044*201712180*" /stext=" 02:.+((SYSTEM_STATE.+slice.+state.+changed )|(ment ac)|(multiple cpu faults)|(system.+state.+changed )|(\[timeout)|(PRM\|1\|D)|(kpr)|(kdp)|(train st.+moving)|(\|lc)|(penalty))"</v>
      </c>
      <c r="U24" s="9" t="str">
        <f t="shared" si="2"/>
        <v>4044</v>
      </c>
      <c r="V24" s="31">
        <f t="shared" si="3"/>
        <v>43087.093101851846</v>
      </c>
      <c r="W24" s="45" t="str">
        <f t="shared" si="4"/>
        <v>NW</v>
      </c>
      <c r="X24" s="228">
        <f t="shared" si="5"/>
        <v>1827</v>
      </c>
      <c r="Y24" s="238" t="str">
        <f t="shared" si="6"/>
        <v>echo {"issue":{"subject":"","project_id":79,"tracker_id":40,"status_id":1,"priority_id":2,"assigned_to_id":338,"start_date":"2017-12-17","description":"","custom_fields":[{"id":1,"name":"Subdivision","value":"NW"},{"id":4,"name":"Milepost","value":"2.1312"},{"id":17,"name":"Train ID","value":"1827-17"},{"id":16,"name":"Locomotive ID","value":"4044"},{"id":130,"name":"Impact","value":""},{"id":150,"name":"Time of Event (Mountain Time)","value":"19:14:04"},{"id":151,"name":"Denver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 t="shared" si="7"/>
        <v>grep -hrE -A400 "Enforcement Action" /c/Users/stu/AppData/Local/Temp/OnboardLogs/RTDC4044 --include="*4044*201712180*"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"%USERPROFILE%\AppData\Local\Temp\OnboardLogs"\RTDC4044\*4044*201712180* &gt;&gt; 2017-12-17-SliceDisagreementCheck.txt</v>
      </c>
      <c r="AE24" s="144" t="str">
        <f t="shared" si="9"/>
        <v>start /low /b %USERPROFILE%\Documents\GitHub\eaglep3\Utilities\DownloadLogsFromS3.py --loco 4044 --day 2017-12-18</v>
      </c>
      <c r="AF24" s="1"/>
    </row>
    <row r="25" spans="1:32" x14ac:dyDescent="0.25">
      <c r="A25" s="31">
        <v>43086.557916666665</v>
      </c>
      <c r="B25" s="30" t="s">
        <v>560</v>
      </c>
      <c r="C25" s="30" t="s">
        <v>704</v>
      </c>
      <c r="D25" s="30" t="s">
        <v>49</v>
      </c>
      <c r="E25" s="30" t="s">
        <v>692</v>
      </c>
      <c r="F25" s="42">
        <v>0</v>
      </c>
      <c r="G25" s="42">
        <v>160</v>
      </c>
      <c r="H25" s="42">
        <v>57987</v>
      </c>
      <c r="I25" s="42">
        <v>58150</v>
      </c>
      <c r="J25" s="30" t="s">
        <v>693</v>
      </c>
      <c r="K25" s="42">
        <v>59048</v>
      </c>
      <c r="L25" s="131" t="s">
        <v>50</v>
      </c>
      <c r="M25" s="132">
        <f t="shared" si="0"/>
        <v>474.14400000000001</v>
      </c>
      <c r="N25" s="133" t="str">
        <f>VLOOKUP(C25,'Trips&amp;Operators'!$C$1:$G$99911,5,FALSE)</f>
        <v>BROWN JACOB</v>
      </c>
      <c r="O25" s="175" t="s">
        <v>178</v>
      </c>
      <c r="P25" s="239"/>
      <c r="Q25" s="30"/>
      <c r="R25" s="81" t="str">
        <f>VLOOKUP(C25,'Train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5" s="84" t="str">
        <f>VLOOKUP(C25,'Train Runs'!$A$13:$AE$10170,22,0)</f>
        <v>https://d0f6bd738d7f1b3e5a7ca70fe4ff75f0.us-east-1.aws.found.io/app/kibana#/discover/Steve-Slow-Train-Analysis-(2080s-and-2083s)?_g=(refreshInterval:(display:Off,pause:!f,section:0,value:0),time:(from:'2017-12-17T11:59:39-0700',mode:absolute,to:'2017-12-17T14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86" t="str">
        <f t="shared" si="1"/>
        <v>"C:\Program Files (x86)\AstroGrep\AstroGrep.exe" /e /r /s /spath="%USERPROFILE%\AppData\Local\Temp\OnboardLogs" /stypes="*4044*201712172*"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4044</v>
      </c>
      <c r="V25" s="31">
        <f t="shared" si="3"/>
        <v>43086.849583333329</v>
      </c>
      <c r="W25" s="45" t="str">
        <f t="shared" si="4"/>
        <v>NW</v>
      </c>
      <c r="X25" s="228">
        <f t="shared" si="5"/>
        <v>1815</v>
      </c>
      <c r="Y25" s="238" t="str">
        <f t="shared" si="6"/>
        <v>echo {"issue":{"subject":"","project_id":79,"tracker_id":40,"status_id":1,"priority_id":2,"assigned_to_id":338,"start_date":"2017-12-17","description":"","custom_fields":[{"id":1,"name":"Subdivision","value":"NW"},{"id":4,"name":"Milepost","value":"5.9048"},{"id":17,"name":"Train ID","value":"1815-17"},{"id":16,"name":"Locomotive ID","value":"4044"},{"id":130,"name":"Impact","value":""},{"id":150,"name":"Time of Event (Mountain Time)","value":"13:23:24"},{"id":151,"name":"Denver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 t="shared" si="7"/>
        <v>grep -hrE -A400 "Enforcement Action" /c/Users/stu/AppData/Local/Temp/OnboardLogs/RTDC4044 --include="*4044*201712172*"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"%USERPROFILE%\AppData\Local\Temp\OnboardLogs"\RTDC4044\*4044*201712172* &gt;&gt; 2017-12-17-SliceDisagreementCheck.txt</v>
      </c>
      <c r="AE25" s="144" t="str">
        <f t="shared" si="9"/>
        <v>start /low /b %USERPROFILE%\Documents\GitHub\eaglep3\Utilities\DownloadLogsFromS3.py --loco 4044 --day 2017-12-17</v>
      </c>
      <c r="AF25" s="1"/>
    </row>
    <row r="26" spans="1:32" x14ac:dyDescent="0.25">
      <c r="A26" s="31">
        <v>43086.848368055558</v>
      </c>
      <c r="B26" s="30" t="s">
        <v>560</v>
      </c>
      <c r="C26" s="30" t="s">
        <v>713</v>
      </c>
      <c r="D26" s="30" t="s">
        <v>49</v>
      </c>
      <c r="E26" s="30" t="s">
        <v>692</v>
      </c>
      <c r="F26" s="42">
        <v>0</v>
      </c>
      <c r="G26" s="42">
        <v>136</v>
      </c>
      <c r="H26" s="42">
        <v>57922</v>
      </c>
      <c r="I26" s="42">
        <v>58075</v>
      </c>
      <c r="J26" s="30" t="s">
        <v>693</v>
      </c>
      <c r="K26" s="42">
        <v>59048</v>
      </c>
      <c r="L26" s="131" t="s">
        <v>50</v>
      </c>
      <c r="M26" s="132">
        <f t="shared" si="0"/>
        <v>513.74400000000003</v>
      </c>
      <c r="N26" s="133" t="str">
        <f>VLOOKUP(C26,'Trips&amp;Operators'!$C$1:$G$99911,5,FALSE)</f>
        <v>HOLCOMB KAMDEN</v>
      </c>
      <c r="O26" s="175" t="s">
        <v>178</v>
      </c>
      <c r="P26" s="239"/>
      <c r="Q26" s="30"/>
      <c r="R26" s="81" t="str">
        <f>VLOOKUP(C26,'Train Runs'!$A$13:$AE$10170,31,0)</f>
        <v>aws s3 cp s3://rtdc.mdm.uploadarchive.raw/RTDC4044/ "%USERPROFILE%\AppData\Local\Temp\OnboardLogs"\RTDC4044\2017-12-17 --exclude "*" --recursive --include "*20171217*" &amp; "%USERPROFILE%\Documents\GitHub\mrs-test-scripts\Headless Mode &amp; Sideloading\WalkAndUnGZ.bat" "%USERPROFILE%\AppData\Local\Temp\OnboardLogs"\RTDC4044\2017-12-17 &amp; aws s3 cp s3://rtdc.mdm.uploadarchive.raw/RTDC4044/ "%USERPROFILE%\AppData\Local\Temp\OnboardLogs"\RTDC4044\2017-12-18 --exclude "*" --recursive --include "*20171218*" &amp; "%USERPROFILE%\Documents\GitHub\mrs-test-scripts\Headless Mode &amp; Sideloading\WalkAndUnGZ.bat" "%USERPROFILE%\AppData\Local\Temp\OnboardLogs"\RTDC4044\2017-12-18</v>
      </c>
      <c r="S26" s="84" t="str">
        <f>VLOOKUP(C26,'Train Runs'!$A$13:$AE$10170,22,0)</f>
        <v>https://d0f6bd738d7f1b3e5a7ca70fe4ff75f0.us-east-1.aws.found.io/app/kibana#/discover/Steve-Slow-Train-Analysis-(2080s-and-2083s)?_g=(refreshInterval:(display:Off,pause:!f,section:0,value:0),time:(from:'2017-12-17T19:07:08-0700',mode:absolute,to:'2017-12-17T21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 t="shared" si="1"/>
        <v>"C:\Program Files (x86)\AstroGrep\AstroGrep.exe" /e /r /s /spath="%USERPROFILE%\AppData\Local\Temp\OnboardLogs" /stypes="*4044*201712180*" /stext=" 03:.+((SYSTEM_STATE.+slice.+state.+changed )|(ment ac)|(multiple cpu faults)|(system.+state.+changed )|(\[timeout)|(PRM\|1\|D)|(kpr)|(kdp)|(train st.+moving)|(\|lc)|(penalty))"</v>
      </c>
      <c r="U26" s="9" t="str">
        <f t="shared" si="2"/>
        <v>4044</v>
      </c>
      <c r="V26" s="31">
        <f t="shared" si="3"/>
        <v>43087.140034722222</v>
      </c>
      <c r="W26" s="45" t="str">
        <f t="shared" si="4"/>
        <v>NW</v>
      </c>
      <c r="X26" s="228">
        <f t="shared" si="5"/>
        <v>1829</v>
      </c>
      <c r="Y26" s="238" t="str">
        <f t="shared" si="6"/>
        <v>echo {"issue":{"subject":"","project_id":79,"tracker_id":40,"status_id":1,"priority_id":2,"assigned_to_id":338,"start_date":"2017-12-17","description":"","custom_fields":[{"id":1,"name":"Subdivision","value":"NW"},{"id":4,"name":"Milepost","value":"5.9048"},{"id":17,"name":"Train ID","value":"1829-17"},{"id":16,"name":"Locomotive ID","value":"4044"},{"id":130,"name":"Impact","value":""},{"id":150,"name":"Time of Event (Mountain Time)","value":"20:21:39"},{"id":151,"name":"Denver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 t="shared" si="7"/>
        <v>grep -hrE -A400 "Enforcement Action" /c/Users/stu/AppData/Local/Temp/OnboardLogs/RTDC4044 --include="*4044*201712180*"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"%USERPROFILE%\AppData\Local\Temp\OnboardLogs"\RTDC4044\*4044*201712180* &gt;&gt; 2017-12-17-SliceDisagreementCheck.txt</v>
      </c>
      <c r="AE26" s="144" t="str">
        <f t="shared" si="9"/>
        <v>start /low /b %USERPROFILE%\Documents\GitHub\eaglep3\Utilities\DownloadLogsFromS3.py --loco 4044 --day 2017-12-18</v>
      </c>
      <c r="AF26" s="1"/>
    </row>
    <row r="27" spans="1:32" x14ac:dyDescent="0.25">
      <c r="A27" s="31">
        <v>43086.17560185185</v>
      </c>
      <c r="B27" s="30" t="s">
        <v>625</v>
      </c>
      <c r="C27" s="30" t="s">
        <v>691</v>
      </c>
      <c r="D27" s="30" t="s">
        <v>49</v>
      </c>
      <c r="E27" s="30" t="s">
        <v>354</v>
      </c>
      <c r="F27" s="42">
        <v>0</v>
      </c>
      <c r="G27" s="42">
        <v>334</v>
      </c>
      <c r="H27" s="42">
        <v>8827</v>
      </c>
      <c r="I27" s="42">
        <v>8355</v>
      </c>
      <c r="J27" s="30" t="s">
        <v>355</v>
      </c>
      <c r="K27" s="42">
        <v>6799</v>
      </c>
      <c r="L27" s="131" t="s">
        <v>51</v>
      </c>
      <c r="M27" s="132">
        <f t="shared" si="0"/>
        <v>821.56799999999998</v>
      </c>
      <c r="N27" s="133" t="str">
        <f>VLOOKUP(C27,'Trips&amp;Operators'!$C$1:$G$99911,5,FALSE)</f>
        <v>DELGADO DIANAH</v>
      </c>
      <c r="O27" s="175" t="s">
        <v>178</v>
      </c>
      <c r="P27" s="239"/>
      <c r="Q27" s="30"/>
      <c r="R27" s="81" t="str">
        <f>VLOOKUP(C27,'Train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27" s="84" t="str">
        <f>VLOOKUP(C27,'Train Runs'!$A$13:$AE$10170,22,0)</f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6" t="str">
        <f t="shared" si="1"/>
        <v>"C:\Program Files (x86)\AstroGrep\AstroGrep.exe" /e /r /s /spath="%USERPROFILE%\AppData\Local\Temp\OnboardLogs" /stypes="*4003*201712171*"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4003</v>
      </c>
      <c r="V27" s="31">
        <f t="shared" si="3"/>
        <v>43086.467268518514</v>
      </c>
      <c r="W27" s="45" t="str">
        <f t="shared" si="4"/>
        <v>Other</v>
      </c>
      <c r="X27" s="228">
        <f t="shared" si="5"/>
        <v>306</v>
      </c>
      <c r="Y27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{"issue":{"subject":"","project_id":79,"tracker_id":40,"status_id":1,"priority_id":2,"assigned_to_id":338,"start_date":"2017-12-17","description":"","custom_fields":[{"id":1,"name":"Subdivision","value":"Other"},{"id":4,"name":"Milepost","value":"0.6799"},{"id":17,"name":"Train ID","value":"306-17"},{"id":16,"name":"Locomotive ID","value":"4003"},{"id":130,"name":"Impact","value":""},{"id":150,"name":"Time of Event (Mountain Time)","value":"04:12:52"},{"id":151,"name":"Denver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 t="shared" si="7"/>
        <v>grep -hrE -A400 "Enforcement Action" /c/Users/stu/AppData/Local/Temp/OnboardLogs/RTDC4003 --include="*4003*201712171*"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"%USERPROFILE%\AppData\Local\Temp\OnboardLogs"\RTDC4003\*4003*201712171* &gt;&gt; 2017-12-17-SliceDisagreementCheck.txt</v>
      </c>
      <c r="AE27" s="144" t="str">
        <f t="shared" si="9"/>
        <v>start /low /b %USERPROFILE%\Documents\GitHub\eaglep3\Utilities\DownloadLogsFromS3.py --loco 4003 --day 2017-12-17</v>
      </c>
      <c r="AF27" s="1"/>
    </row>
    <row r="28" spans="1:32" x14ac:dyDescent="0.25">
      <c r="A28" s="31">
        <v>43086.144282407404</v>
      </c>
      <c r="B28" s="30" t="s">
        <v>562</v>
      </c>
      <c r="C28" s="30" t="s">
        <v>690</v>
      </c>
      <c r="D28" s="30" t="s">
        <v>95</v>
      </c>
      <c r="E28" s="30" t="s">
        <v>354</v>
      </c>
      <c r="F28" s="42">
        <v>0</v>
      </c>
      <c r="G28" s="42">
        <v>21</v>
      </c>
      <c r="H28" s="42">
        <v>18762</v>
      </c>
      <c r="I28" s="42">
        <v>18756</v>
      </c>
      <c r="J28" s="30" t="s">
        <v>355</v>
      </c>
      <c r="K28" s="42">
        <v>19000</v>
      </c>
      <c r="L28" s="131" t="s">
        <v>51</v>
      </c>
      <c r="M28" s="132">
        <f t="shared" si="0"/>
        <v>-128.83199999999999</v>
      </c>
      <c r="N28" s="133" t="str">
        <f>VLOOKUP(C28,'Trips&amp;Operators'!$C$1:$G$99911,5,FALSE)</f>
        <v>MAELZER KURT</v>
      </c>
      <c r="O28" s="175" t="s">
        <v>178</v>
      </c>
      <c r="P28" s="239"/>
      <c r="Q28" s="30"/>
      <c r="R28" s="81" t="str">
        <f>VLOOKUP(C28,'Train Runs'!$A$13:$AE$10170,31,0)</f>
        <v>aws s3 cp s3://rtdc.mdm.uploadarchive.raw/RTDC4057/ "%USERPROFILE%\AppData\Local\Temp\OnboardLogs"\RTDC4057\2017-12-17 --exclude "*" --recursive --include "*20171217*" &amp; "%USERPROFILE%\Documents\GitHub\mrs-test-scripts\Headless Mode &amp; Sideloading\WalkAndUnGZ.bat" "%USERPROFILE%\AppData\Local\Temp\OnboardLogs"\RTDC4057\2017-12-17 &amp; aws s3 cp s3://rtdc.mdm.uploadarchive.raw/RTDC4057/ "%USERPROFILE%\AppData\Local\Temp\OnboardLogs"\RTDC4057\2017-12-18 --exclude "*" --recursive --include "*20171218*" &amp; "%USERPROFILE%\Documents\GitHub\mrs-test-scripts\Headless Mode &amp; Sideloading\WalkAndUnGZ.bat" "%USERPROFILE%\AppData\Local\Temp\OnboardLogs"\RTDC4057\2017-12-18</v>
      </c>
      <c r="S28" s="84" t="str">
        <f>VLOOKUP(C28,'Train Runs'!$A$13:$AE$10170,22,0)</f>
        <v>https://d0f6bd738d7f1b3e5a7ca70fe4ff75f0.us-east-1.aws.found.io/app/kibana#/discover/Steve-Slow-Train-Analysis-(2080s-and-2083s)?_g=(refreshInterval:(display:Off,pause:!f,section:0,value:0),time:(from:'2017-12-17T02:20:48-0700',mode:absolute,to:'2017-12-17T04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8" s="86" t="str">
        <f t="shared" si="1"/>
        <v>"C:\Program Files (x86)\AstroGrep\AstroGrep.exe" /e /r /s /spath="%USERPROFILE%\AppData\Local\Temp\OnboardLogs" /stypes="*4057*201712171*" /stext=" 10:.+((SYSTEM_STATE.+slice.+state.+changed )|(ment ac)|(multiple cpu faults)|(system.+state.+changed )|(\[timeout)|(PRM\|1\|D)|(kpr)|(kdp)|(train st.+moving)|(\|lc)|(penalty))"</v>
      </c>
      <c r="U28" s="9" t="str">
        <f t="shared" si="2"/>
        <v>4057</v>
      </c>
      <c r="V28" s="31">
        <f t="shared" si="3"/>
        <v>43086.435949074068</v>
      </c>
      <c r="W28" s="45" t="str">
        <f t="shared" si="4"/>
        <v>Other</v>
      </c>
      <c r="X28" s="228">
        <f t="shared" si="5"/>
        <v>302</v>
      </c>
      <c r="Y28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{"issue":{"subject":"","project_id":79,"tracker_id":40,"status_id":1,"priority_id":2,"assigned_to_id":338,"start_date":"2017-12-17","description":"","custom_fields":[{"id":1,"name":"Subdivision","value":"Other"},{"id":4,"name":"Milepost","value":"1.9"},{"id":17,"name":"Train ID","value":"302-17"},{"id":16,"name":"Locomotive ID","value":"4057"},{"id":130,"name":"Impact","value":""},{"id":150,"name":"Time of Event (Mountain Time)","value":"03:27:46"},{"id":151,"name":"Denver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 t="shared" si="7"/>
        <v>grep -hrE -A400 "Enforcement Action" /c/Users/stu/AppData/Local/Temp/OnboardLogs/RTDC4057 --include="*4057*201712171*"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"%USERPROFILE%\AppData\Local\Temp\OnboardLogs"\RTDC4057\*4057*201712171* &gt;&gt; 2017-12-17-SliceDisagreementCheck.txt</v>
      </c>
      <c r="AE28" s="144" t="str">
        <f t="shared" si="9"/>
        <v>start /low /b %USERPROFILE%\Documents\GitHub\eaglep3\Utilities\DownloadLogsFromS3.py --loco 4057 --day 2017-12-17</v>
      </c>
      <c r="AF28" s="1"/>
    </row>
    <row r="29" spans="1:32" x14ac:dyDescent="0.25">
      <c r="A29" s="31">
        <v>43086.984050925923</v>
      </c>
      <c r="B29" s="30" t="s">
        <v>561</v>
      </c>
      <c r="C29" s="30" t="s">
        <v>717</v>
      </c>
      <c r="D29" s="30" t="s">
        <v>49</v>
      </c>
      <c r="E29" s="30" t="s">
        <v>354</v>
      </c>
      <c r="F29" s="42">
        <v>0</v>
      </c>
      <c r="G29" s="42">
        <v>76</v>
      </c>
      <c r="H29" s="42">
        <v>27436</v>
      </c>
      <c r="I29" s="42">
        <v>27328</v>
      </c>
      <c r="J29" s="30" t="s">
        <v>355</v>
      </c>
      <c r="K29" s="42">
        <v>27253</v>
      </c>
      <c r="L29" s="131" t="s">
        <v>51</v>
      </c>
      <c r="M29" s="132">
        <f t="shared" si="0"/>
        <v>39.6</v>
      </c>
      <c r="N29" s="133" t="str">
        <f>VLOOKUP(C29,'Trips&amp;Operators'!$C$1:$G$99911,5,FALSE)</f>
        <v>KILLION DAVID</v>
      </c>
      <c r="O29" s="175" t="s">
        <v>178</v>
      </c>
      <c r="P29" s="239"/>
      <c r="Q29" s="30"/>
      <c r="R29" s="81" t="str">
        <f>VLOOKUP(C29,'Train Runs'!$A$13:$AE$10170,31,0)</f>
        <v>aws s3 cp s3://rtdc.mdm.uploadarchive.raw/RTDC4043/ "%USERPROFILE%\AppData\Local\Temp\OnboardLogs"\RTDC4043\2017-12-17 --exclude "*" --recursive --include "*20171217*" &amp; "%USERPROFILE%\Documents\GitHub\mrs-test-scripts\Headless Mode &amp; Sideloading\WalkAndUnGZ.bat" "%USERPROFILE%\AppData\Local\Temp\OnboardLogs"\RTDC4043\2017-12-17 &amp; aws s3 cp s3://rtdc.mdm.uploadarchive.raw/RTDC4043/ "%USERPROFILE%\AppData\Local\Temp\OnboardLogs"\RTDC4043\2017-12-18 --exclude "*" --recursive --include "*20171218*" &amp; "%USERPROFILE%\Documents\GitHub\mrs-test-scripts\Headless Mode &amp; Sideloading\WalkAndUnGZ.bat" "%USERPROFILE%\AppData\Local\Temp\OnboardLogs"\RTDC4043\2017-12-18</v>
      </c>
      <c r="S29" s="84" t="str">
        <f>VLOOKUP(C29,'Train Runs'!$A$13:$AE$10170,22,0)</f>
        <v>https://d0f6bd738d7f1b3e5a7ca70fe4ff75f0.us-east-1.aws.found.io/app/kibana#/discover/Steve-Slow-Train-Analysis-(2080s-and-2083s)?_g=(refreshInterval:(display:Off,pause:!f,section:0,value:0),time:(from:'2017-12-17T22:25:11-0700',mode:absolute,to:'2017-12-18T00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 t="shared" si="1"/>
        <v>"C:\Program Files (x86)\AstroGrep\AstroGrep.exe" /e /r /s /spath="%USERPROFILE%\AppData\Local\Temp\OnboardLogs" /stypes="*4043*201712180*" /stext=" 06:.+((SYSTEM_STATE.+slice.+state.+changed )|(ment ac)|(multiple cpu faults)|(system.+state.+changed )|(\[timeout)|(PRM\|1\|D)|(kpr)|(kdp)|(train st.+moving)|(\|lc)|(penalty))"</v>
      </c>
      <c r="U29" s="9" t="str">
        <f t="shared" si="2"/>
        <v>4043</v>
      </c>
      <c r="V29" s="31">
        <f t="shared" si="3"/>
        <v>43087.275717592587</v>
      </c>
      <c r="W29" s="45" t="str">
        <f t="shared" si="4"/>
        <v>Other</v>
      </c>
      <c r="X29" s="228">
        <f t="shared" si="5"/>
        <v>1902</v>
      </c>
      <c r="Y29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{"issue":{"subject":"","project_id":79,"tracker_id":40,"status_id":1,"priority_id":2,"assigned_to_id":338,"start_date":"2017-12-17","description":"","custom_fields":[{"id":1,"name":"Subdivision","value":"Other"},{"id":4,"name":"Milepost","value":"2.7253"},{"id":17,"name":"Train ID","value":"1902-17"},{"id":16,"name":"Locomotive ID","value":"4043"},{"id":130,"name":"Impact","value":""},{"id":150,"name":"Time of Event (Mountain Time)","value":"23:37:02"},{"id":151,"name":"Denver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 t="shared" si="7"/>
        <v>grep -hrE -A400 "Enforcement Action" /c/Users/stu/AppData/Local/Temp/OnboardLogs/RTDC4043 --include="*4043*201712180*"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"%USERPROFILE%\AppData\Local\Temp\OnboardLogs"\RTDC4043\*4043*201712180* &gt;&gt; 2017-12-17-SliceDisagreementCheck.txt</v>
      </c>
      <c r="AE29" s="144" t="str">
        <f t="shared" si="9"/>
        <v>start /low /b %USERPROFILE%\Documents\GitHub\eaglep3\Utilities\DownloadLogsFromS3.py --loco 4043 --day 2017-12-18</v>
      </c>
      <c r="AF29" s="1"/>
    </row>
    <row r="30" spans="1:32" x14ac:dyDescent="0.25">
      <c r="A30" s="31">
        <v>43086.223252314812</v>
      </c>
      <c r="B30" s="30" t="s">
        <v>357</v>
      </c>
      <c r="C30" s="30" t="s">
        <v>695</v>
      </c>
      <c r="D30" s="30" t="s">
        <v>49</v>
      </c>
      <c r="E30" s="30" t="s">
        <v>354</v>
      </c>
      <c r="F30" s="42">
        <v>0</v>
      </c>
      <c r="G30" s="42">
        <v>63</v>
      </c>
      <c r="H30" s="42">
        <v>33064</v>
      </c>
      <c r="I30" s="42">
        <v>33126</v>
      </c>
      <c r="J30" s="30" t="s">
        <v>355</v>
      </c>
      <c r="K30" s="42">
        <v>33236</v>
      </c>
      <c r="L30" s="131" t="s">
        <v>50</v>
      </c>
      <c r="M30" s="132">
        <f t="shared" si="0"/>
        <v>58.08</v>
      </c>
      <c r="N30" s="133" t="str">
        <f>VLOOKUP(C30,'Trips&amp;Operators'!$C$1:$G$99911,5,FALSE)</f>
        <v>BROWN JACOB</v>
      </c>
      <c r="O30" s="175" t="s">
        <v>178</v>
      </c>
      <c r="P30" s="239"/>
      <c r="Q30" s="30"/>
      <c r="R30" s="81" t="str">
        <f>VLOOKUP(C30,'Train Runs'!$A$13:$AE$10170,31,0)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S30" s="84" t="str">
        <f>VLOOKUP(C30,'Train Runs'!$A$13:$AE$10170,22,0)</f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0" s="86" t="str">
        <f t="shared" si="1"/>
        <v>"C:\Program Files (x86)\AstroGrep\AstroGrep.exe" /e /r /s /spath="%USERPROFILE%\AppData\Local\Temp\OnboardLogs" /stypes="*4060*201712171*"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4060</v>
      </c>
      <c r="V30" s="31">
        <f t="shared" si="3"/>
        <v>43086.514918981477</v>
      </c>
      <c r="W30" s="45" t="str">
        <f t="shared" si="4"/>
        <v>Other</v>
      </c>
      <c r="X30" s="228">
        <f t="shared" si="5"/>
        <v>1901</v>
      </c>
      <c r="Y30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{"issue":{"subject":"","project_id":79,"tracker_id":40,"status_id":1,"priority_id":2,"assigned_to_id":338,"start_date":"2017-12-17","description":"","custom_fields":[{"id":1,"name":"Subdivision","value":"Other"},{"id":4,"name":"Milepost","value":"3.3236"},{"id":17,"name":"Train ID","value":"1901-17"},{"id":16,"name":"Locomotive ID","value":"4060"},{"id":130,"name":"Impact","value":""},{"id":150,"name":"Time of Event (Mountain Time)","value":"05:21:29"},{"id":151,"name":"Denver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 t="shared" si="7"/>
        <v>grep -hrE -A400 "Enforcement Action" /c/Users/stu/AppData/Local/Temp/OnboardLogs/RTDC4060 --include="*4060*201712171*"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"%USERPROFILE%\AppData\Local\Temp\OnboardLogs"\RTDC4060\*4060*201712171* &gt;&gt; 2017-12-17-SliceDisagreementCheck.txt</v>
      </c>
      <c r="AE30" s="144" t="str">
        <f t="shared" si="9"/>
        <v>start /low /b %USERPROFILE%\Documents\GitHub\eaglep3\Utilities\DownloadLogsFromS3.py --loco 4060 --day 2017-12-17</v>
      </c>
      <c r="AF30" s="1"/>
    </row>
    <row r="31" spans="1:32" x14ac:dyDescent="0.25">
      <c r="A31" s="31">
        <v>43086.227037037039</v>
      </c>
      <c r="B31" s="30" t="s">
        <v>357</v>
      </c>
      <c r="C31" s="30" t="s">
        <v>695</v>
      </c>
      <c r="D31" s="30" t="s">
        <v>49</v>
      </c>
      <c r="E31" s="30" t="s">
        <v>354</v>
      </c>
      <c r="F31" s="42">
        <v>0</v>
      </c>
      <c r="G31" s="42">
        <v>87</v>
      </c>
      <c r="H31" s="42">
        <v>37253</v>
      </c>
      <c r="I31" s="42">
        <v>37352</v>
      </c>
      <c r="J31" s="30" t="s">
        <v>355</v>
      </c>
      <c r="K31" s="42">
        <v>37575</v>
      </c>
      <c r="L31" s="131" t="s">
        <v>50</v>
      </c>
      <c r="M31" s="132">
        <f t="shared" si="0"/>
        <v>117.744</v>
      </c>
      <c r="N31" s="133" t="str">
        <f>VLOOKUP(C31,'Trips&amp;Operators'!$C$1:$G$99911,5,FALSE)</f>
        <v>BROWN JACOB</v>
      </c>
      <c r="O31" s="175" t="s">
        <v>178</v>
      </c>
      <c r="P31" s="239"/>
      <c r="Q31" s="30"/>
      <c r="R31" s="81" t="str">
        <f>VLOOKUP(C31,'Train Runs'!$A$13:$AE$10170,31,0)</f>
        <v>aws s3 cp s3://rtdc.mdm.uploadarchive.raw/RTDC4060/ "%USERPROFILE%\AppData\Local\Temp\OnboardLogs"\RTDC4060\2017-12-17 --exclude "*" --recursive --include "*20171217*" &amp; "%USERPROFILE%\Documents\GitHub\mrs-test-scripts\Headless Mode &amp; Sideloading\WalkAndUnGZ.bat" "%USERPROFILE%\AppData\Local\Temp\OnboardLogs"\RTDC4060\2017-12-17 &amp; aws s3 cp s3://rtdc.mdm.uploadarchive.raw/RTDC4060/ "%USERPROFILE%\AppData\Local\Temp\OnboardLogs"\RTDC4060\2017-12-18 --exclude "*" --recursive --include "*20171218*" &amp; "%USERPROFILE%\Documents\GitHub\mrs-test-scripts\Headless Mode &amp; Sideloading\WalkAndUnGZ.bat" "%USERPROFILE%\AppData\Local\Temp\OnboardLogs"\RTDC4060\2017-12-18</v>
      </c>
      <c r="S31" s="84" t="str">
        <f>VLOOKUP(C31,'Train Runs'!$A$13:$AE$10170,22,0)</f>
        <v>https://d0f6bd738d7f1b3e5a7ca70fe4ff75f0.us-east-1.aws.found.io/app/kibana#/discover/Steve-Slow-Train-Analysis-(2080s-and-2083s)?_g=(refreshInterval:(display:Off,pause:!f,section:0,value:0),time:(from:'2017-12-17T04:13:59-0700',mode:absolute,to:'2017-12-17T06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1" s="86" t="str">
        <f t="shared" si="1"/>
        <v>"C:\Program Files (x86)\AstroGrep\AstroGrep.exe" /e /r /s /spath="%USERPROFILE%\AppData\Local\Temp\OnboardLogs" /stypes="*4060*201712171*"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4060</v>
      </c>
      <c r="V31" s="31">
        <f t="shared" si="3"/>
        <v>43086.518703703703</v>
      </c>
      <c r="W31" s="45" t="str">
        <f t="shared" si="4"/>
        <v>Other</v>
      </c>
      <c r="X31" s="228">
        <f t="shared" si="5"/>
        <v>1901</v>
      </c>
      <c r="Y31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{"issue":{"subject":"","project_id":79,"tracker_id":40,"status_id":1,"priority_id":2,"assigned_to_id":338,"start_date":"2017-12-17","description":"","custom_fields":[{"id":1,"name":"Subdivision","value":"Other"},{"id":4,"name":"Milepost","value":"3.7575"},{"id":17,"name":"Train ID","value":"1901-17"},{"id":16,"name":"Locomotive ID","value":"4060"},{"id":130,"name":"Impact","value":""},{"id":150,"name":"Time of Event (Mountain Time)","value":"05:26:56"},{"id":151,"name":"Denver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 t="shared" si="7"/>
        <v>grep -hrE -A400 "Enforcement Action" /c/Users/stu/AppData/Local/Temp/OnboardLogs/RTDC4060 --include="*4060*201712171*"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"%USERPROFILE%\AppData\Local\Temp\OnboardLogs"\RTDC4060\*4060*201712171* &gt;&gt; 2017-12-17-SliceDisagreementCheck.txt</v>
      </c>
      <c r="AE31" s="144" t="str">
        <f t="shared" si="9"/>
        <v>start /low /b %USERPROFILE%\Documents\GitHub\eaglep3\Utilities\DownloadLogsFromS3.py --loco 4060 --day 2017-12-17</v>
      </c>
      <c r="AF31" s="1"/>
    </row>
    <row r="32" spans="1:32" x14ac:dyDescent="0.25">
      <c r="A32" s="31">
        <v>43086.180451388886</v>
      </c>
      <c r="B32" s="30" t="s">
        <v>625</v>
      </c>
      <c r="C32" s="30" t="s">
        <v>691</v>
      </c>
      <c r="D32" s="30" t="s">
        <v>49</v>
      </c>
      <c r="E32" s="30" t="s">
        <v>692</v>
      </c>
      <c r="F32" s="42">
        <v>0</v>
      </c>
      <c r="G32" s="42">
        <v>128</v>
      </c>
      <c r="H32" s="42">
        <v>601</v>
      </c>
      <c r="I32" s="42">
        <v>422</v>
      </c>
      <c r="J32" s="30" t="s">
        <v>693</v>
      </c>
      <c r="K32" s="42">
        <v>1</v>
      </c>
      <c r="L32" s="131" t="s">
        <v>51</v>
      </c>
      <c r="M32" s="132">
        <f t="shared" si="0"/>
        <v>222.28800000000001</v>
      </c>
      <c r="N32" s="133" t="str">
        <f>VLOOKUP(C32,'Trips&amp;Operators'!$C$1:$G$99911,5,FALSE)</f>
        <v>DELGADO DIANAH</v>
      </c>
      <c r="O32" s="175" t="s">
        <v>178</v>
      </c>
      <c r="P32" s="239"/>
      <c r="Q32" s="30"/>
      <c r="R32" s="81" t="str">
        <f>VLOOKUP(C32,'Train Runs'!$A$13:$AE$10170,31,0)</f>
        <v>aws s3 cp s3://rtdc.mdm.uploadarchive.raw/RTDC4003/ "%USERPROFILE%\AppData\Local\Temp\OnboardLogs"\RTDC4003\2017-12-17 --exclude "*" --recursive --include "*20171217*" &amp; "%USERPROFILE%\Documents\GitHub\mrs-test-scripts\Headless Mode &amp; Sideloading\WalkAndUnGZ.bat" "%USERPROFILE%\AppData\Local\Temp\OnboardLogs"\RTDC4003\2017-12-17 &amp; aws s3 cp s3://rtdc.mdm.uploadarchive.raw/RTDC4003/ "%USERPROFILE%\AppData\Local\Temp\OnboardLogs"\RTDC4003\2017-12-18 --exclude "*" --recursive --include "*20171218*" &amp; "%USERPROFILE%\Documents\GitHub\mrs-test-scripts\Headless Mode &amp; Sideloading\WalkAndUnGZ.bat" "%USERPROFILE%\AppData\Local\Temp\OnboardLogs"\RTDC4003\2017-12-18</v>
      </c>
      <c r="S32" s="84" t="str">
        <f>VLOOKUP(C32,'Train Runs'!$A$13:$AE$10170,22,0)</f>
        <v>https://d0f6bd738d7f1b3e5a7ca70fe4ff75f0.us-east-1.aws.found.io/app/kibana#/discover/Steve-Slow-Train-Analysis-(2080s-and-2083s)?_g=(refreshInterval:(display:Off,pause:!f,section:0,value:0),time:(from:'2017-12-17T03:02:30-0700',mode:absolute,to:'2017-12-17T05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86" t="str">
        <f t="shared" si="1"/>
        <v>"C:\Program Files (x86)\AstroGrep\AstroGrep.exe" /e /r /s /spath="%USERPROFILE%\AppData\Local\Temp\OnboardLogs" /stypes="*4003*201712171*" /stext=" 11:.+((SYSTEM_STATE.+slice.+state.+changed )|(ment ac)|(multiple cpu faults)|(system.+state.+changed )|(\[timeout)|(PRM\|1\|D)|(kpr)|(kdp)|(train st.+moving)|(\|lc)|(penalty))"</v>
      </c>
      <c r="U32" s="9" t="str">
        <f t="shared" si="2"/>
        <v>4003</v>
      </c>
      <c r="V32" s="31">
        <f t="shared" si="3"/>
        <v>43086.47211805555</v>
      </c>
      <c r="W32" s="45" t="str">
        <f t="shared" si="4"/>
        <v>Other</v>
      </c>
      <c r="X32" s="228">
        <f t="shared" si="5"/>
        <v>306</v>
      </c>
      <c r="Y32" s="238" t="str">
        <f t="shared" si="6"/>
        <v>echo {"issue":{"subject":"","project_id":79,"tracker_id":40,"status_id":1,"priority_id":2,"assigned_to_id":338,"start_date":"2017-12-17","description":"","custom_fields":[{"id":1,"name":"Subdivision","value":"Other"},{"id":4,"name":"Milepost","value":"0.0001"},{"id":17,"name":"Train ID","value":"306-17"},{"id":16,"name":"Locomotive ID","value":"4003"},{"id":130,"name":"Impact","value":""},{"id":150,"name":"Time of Event (Mountain Time)","value":"04:19:51"},{"id":151,"name":"Denver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 t="shared" si="7"/>
        <v>grep -hrE -A400 "Enforcement Action" /c/Users/stu/AppData/Local/Temp/OnboardLogs/RTDC4003 --include="*4003*201712171*"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"%USERPROFILE%\AppData\Local\Temp\OnboardLogs"\RTDC4003\*4003*201712171* &gt;&gt; 2017-12-17-SliceDisagreementCheck.txt</v>
      </c>
      <c r="AE32" s="144" t="str">
        <f t="shared" si="9"/>
        <v>start /low /b %USERPROFILE%\Documents\GitHub\eaglep3\Utilities\DownloadLogsFromS3.py --loco 4003 --day 2017-12-17</v>
      </c>
      <c r="AF32" s="1"/>
    </row>
  </sheetData>
  <autoFilter ref="A6:AC15">
    <sortState ref="A7:AC32">
      <sortCondition ref="W7:W32"/>
      <sortCondition ref="E7:E32"/>
      <sortCondition ref="K7:K32"/>
      <sortCondition ref="F7:F32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AA7:AA32</xm:sqref>
        </x14:dataValidation>
        <x14:dataValidation type="list" allowBlank="1" showInputMessage="1" showErrorMessage="1">
          <x14:formula1>
            <xm:f>'Redmine List Values'!$C$2:$C$15</xm:f>
          </x14:formula1>
          <xm:sqref>AB7:AB32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2017-12-17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-17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Runs'!$A$13:$A$100167,1,FALSE)</f>
        <v>#N/A</v>
      </c>
    </row>
    <row r="4" spans="1:10" x14ac:dyDescent="0.25">
      <c r="A4" s="197"/>
      <c r="B4" s="42" t="str">
        <f>A4&amp;"-"&amp;IF(DAY(Variables!$A$2)&lt;10,0,"")&amp;DAY(Variables!$A$2)</f>
        <v>-17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Runs'!$A$13:$A$100167,1,FALSE)</f>
        <v>#N/A</v>
      </c>
    </row>
    <row r="5" spans="1:10" x14ac:dyDescent="0.25">
      <c r="A5" s="197"/>
      <c r="B5" s="42" t="str">
        <f>A5&amp;"-"&amp;IF(DAY(Variables!$A$2)&lt;10,0,"")&amp;DAY(Variables!$A$2)</f>
        <v>-17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Runs'!$A$13:$A$100167,1,FALSE)</f>
        <v>#N/A</v>
      </c>
    </row>
    <row r="6" spans="1:10" x14ac:dyDescent="0.25">
      <c r="A6" s="197"/>
      <c r="B6" s="42" t="str">
        <f>A6&amp;"-"&amp;IF(DAY(Variables!$A$2)&lt;10,0,"")&amp;DAY(Variables!$A$2)</f>
        <v>-17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Runs'!$A$13:$A$100167,1,FALSE)</f>
        <v>#N/A</v>
      </c>
    </row>
    <row r="7" spans="1:10" x14ac:dyDescent="0.25">
      <c r="A7" s="197"/>
      <c r="B7" s="42" t="str">
        <f>A7&amp;"-"&amp;IF(DAY(Variables!$A$2)&lt;10,0,"")&amp;DAY(Variables!$A$2)</f>
        <v>-17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Runs'!$A$13:$A$100167,1,FALSE)</f>
        <v>#N/A</v>
      </c>
    </row>
    <row r="8" spans="1:10" x14ac:dyDescent="0.25">
      <c r="A8" s="197"/>
      <c r="B8" s="42" t="str">
        <f>A8&amp;"-"&amp;IF(DAY(Variables!$A$2)&lt;10,0,"")&amp;DAY(Variables!$A$2)</f>
        <v>-17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Runs'!$A$13:$A$100167,1,FALSE)</f>
        <v>#N/A</v>
      </c>
    </row>
    <row r="9" spans="1:10" x14ac:dyDescent="0.25">
      <c r="A9" s="197"/>
      <c r="B9" s="42" t="str">
        <f>A9&amp;"-"&amp;IF(DAY(Variables!$A$2)&lt;10,0,"")&amp;DAY(Variables!$A$2)</f>
        <v>-17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Runs'!$A$13:$A$100167,1,FALSE)</f>
        <v>#N/A</v>
      </c>
    </row>
    <row r="10" spans="1:10" x14ac:dyDescent="0.25">
      <c r="A10" s="197"/>
      <c r="B10" s="42" t="str">
        <f>A10&amp;"-"&amp;IF(DAY(Variables!$A$2)&lt;10,0,"")&amp;DAY(Variables!$A$2)</f>
        <v>-17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Runs'!$A$13:$A$100167,1,FALSE)</f>
        <v>#N/A</v>
      </c>
    </row>
    <row r="11" spans="1:10" x14ac:dyDescent="0.25">
      <c r="A11" s="197"/>
      <c r="B11" s="42" t="str">
        <f>A11&amp;"-"&amp;IF(DAY(Variables!$A$2)&lt;10,0,"")&amp;DAY(Variables!$A$2)</f>
        <v>-17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Runs'!$A$13:$A$100167,1,FALSE)</f>
        <v>#N/A</v>
      </c>
    </row>
    <row r="12" spans="1:10" x14ac:dyDescent="0.25">
      <c r="A12" s="197"/>
      <c r="B12" s="42" t="str">
        <f>A12&amp;"-"&amp;IF(DAY(Variables!$A$2)&lt;10,0,"")&amp;DAY(Variables!$A$2)</f>
        <v>-17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Runs'!$A$13:$A$100167,1,FALSE)</f>
        <v>#N/A</v>
      </c>
    </row>
    <row r="13" spans="1:10" x14ac:dyDescent="0.25">
      <c r="A13" s="197"/>
      <c r="B13" s="42" t="str">
        <f>A13&amp;"-"&amp;IF(DAY(Variables!$A$2)&lt;10,0,"")&amp;DAY(Variables!$A$2)</f>
        <v>-17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Runs'!$A$13:$A$100167,1,FALSE)</f>
        <v>#N/A</v>
      </c>
    </row>
    <row r="14" spans="1:10" x14ac:dyDescent="0.25">
      <c r="A14" s="197"/>
      <c r="B14" s="42" t="str">
        <f>A14&amp;"-"&amp;IF(DAY(Variables!$A$2)&lt;10,0,"")&amp;DAY(Variables!$A$2)</f>
        <v>-17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Runs'!$A$13:$A$100167,1,FALSE)</f>
        <v>#N/A</v>
      </c>
    </row>
    <row r="15" spans="1:10" x14ac:dyDescent="0.25">
      <c r="A15" s="197"/>
      <c r="B15" s="42" t="str">
        <f>A15&amp;"-"&amp;IF(DAY(Variables!$A$2)&lt;10,0,"")&amp;DAY(Variables!$A$2)</f>
        <v>-17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Runs'!$A$13:$A$100167,1,FALSE)</f>
        <v>#N/A</v>
      </c>
    </row>
    <row r="16" spans="1:10" x14ac:dyDescent="0.25">
      <c r="A16" s="197"/>
      <c r="B16" s="42" t="str">
        <f>A16&amp;"-"&amp;IF(DAY(Variables!$A$2)&lt;10,0,"")&amp;DAY(Variables!$A$2)</f>
        <v>-17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Runs'!$A$13:$A$100167,1,FALSE)</f>
        <v>#N/A</v>
      </c>
    </row>
    <row r="17" spans="1:10" x14ac:dyDescent="0.25">
      <c r="A17" s="197"/>
      <c r="B17" s="42" t="str">
        <f>A17&amp;"-"&amp;IF(DAY(Variables!$A$2)&lt;10,0,"")&amp;DAY(Variables!$A$2)</f>
        <v>-17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Runs'!$A$13:$A$100167,1,FALSE)</f>
        <v>#N/A</v>
      </c>
    </row>
    <row r="18" spans="1:10" x14ac:dyDescent="0.25">
      <c r="A18" s="197"/>
      <c r="B18" s="42" t="str">
        <f>A18&amp;"-"&amp;IF(DAY(Variables!$A$2)&lt;10,0,"")&amp;DAY(Variables!$A$2)</f>
        <v>-17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Runs'!$A$13:$A$100167,1,FALSE)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43086.040358796294</v>
      </c>
      <c r="B2" s="20" t="s">
        <v>559</v>
      </c>
      <c r="C2" s="20" t="s">
        <v>628</v>
      </c>
      <c r="D2" s="137">
        <v>3310000</v>
      </c>
      <c r="E2" s="20" t="s">
        <v>527</v>
      </c>
      <c r="F2" s="20" t="s">
        <v>528</v>
      </c>
      <c r="G2" s="8" t="str">
        <f>E2&amp;" "&amp;F2</f>
        <v>ANDERS STEVEN</v>
      </c>
      <c r="H2" t="str">
        <f>MID(B2,13,4)</f>
        <v>4034</v>
      </c>
    </row>
    <row r="3" spans="1:8" x14ac:dyDescent="0.25">
      <c r="A3" s="8">
        <v>43086.046979166669</v>
      </c>
      <c r="B3" s="20" t="s">
        <v>370</v>
      </c>
      <c r="C3" s="20" t="s">
        <v>629</v>
      </c>
      <c r="D3" s="137">
        <v>3000000</v>
      </c>
      <c r="E3" s="20" t="s">
        <v>473</v>
      </c>
      <c r="F3" s="20" t="s">
        <v>474</v>
      </c>
      <c r="G3" s="8" t="str">
        <f t="shared" ref="G3:G66" si="0">E3&amp;" "&amp;F3</f>
        <v>FORTUNATO FRANK</v>
      </c>
      <c r="H3" s="20" t="str">
        <f t="shared" ref="H3:H66" si="1">MID(B3,13,4)</f>
        <v>4012</v>
      </c>
    </row>
    <row r="4" spans="1:8" x14ac:dyDescent="0.25">
      <c r="A4" s="8">
        <v>43086.054780092592</v>
      </c>
      <c r="B4" s="20" t="s">
        <v>621</v>
      </c>
      <c r="C4" s="20" t="s">
        <v>622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4021</v>
      </c>
    </row>
    <row r="5" spans="1:8" x14ac:dyDescent="0.25">
      <c r="A5" s="8">
        <v>43086.066435185188</v>
      </c>
      <c r="B5" s="20" t="s">
        <v>445</v>
      </c>
      <c r="C5" s="20" t="s">
        <v>630</v>
      </c>
      <c r="D5" s="137">
        <v>3340000</v>
      </c>
      <c r="E5" s="20" t="s">
        <v>467</v>
      </c>
      <c r="F5" s="20" t="s">
        <v>468</v>
      </c>
      <c r="G5" s="8" t="str">
        <f t="shared" si="0"/>
        <v>ELBAUM MIKE</v>
      </c>
      <c r="H5" s="20" t="str">
        <f t="shared" si="1"/>
        <v>4050</v>
      </c>
    </row>
    <row r="6" spans="1:8" x14ac:dyDescent="0.25">
      <c r="A6" s="8">
        <v>43086.079050925924</v>
      </c>
      <c r="B6" s="20" t="s">
        <v>558</v>
      </c>
      <c r="C6" s="20" t="s">
        <v>623</v>
      </c>
      <c r="D6" s="137">
        <v>3310000</v>
      </c>
      <c r="E6" s="20" t="s">
        <v>527</v>
      </c>
      <c r="F6" s="20" t="s">
        <v>528</v>
      </c>
      <c r="G6" s="8" t="str">
        <f t="shared" si="0"/>
        <v>ANDERS STEVEN</v>
      </c>
      <c r="H6" s="20" t="str">
        <f t="shared" si="1"/>
        <v>4033</v>
      </c>
    </row>
    <row r="7" spans="1:8" x14ac:dyDescent="0.25">
      <c r="A7" s="8">
        <v>43086.095243055555</v>
      </c>
      <c r="B7" s="20" t="s">
        <v>384</v>
      </c>
      <c r="C7" s="20" t="s">
        <v>631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4022</v>
      </c>
    </row>
    <row r="8" spans="1:8" x14ac:dyDescent="0.25">
      <c r="A8" s="8">
        <v>43086.111388888887</v>
      </c>
      <c r="B8" s="20" t="s">
        <v>559</v>
      </c>
      <c r="C8" s="20" t="s">
        <v>632</v>
      </c>
      <c r="D8" s="137">
        <v>3310000</v>
      </c>
      <c r="E8" s="20" t="s">
        <v>527</v>
      </c>
      <c r="F8" s="20" t="s">
        <v>528</v>
      </c>
      <c r="G8" s="8" t="str">
        <f t="shared" si="0"/>
        <v>ANDERS STEVEN</v>
      </c>
      <c r="H8" s="20" t="str">
        <f t="shared" si="1"/>
        <v>4034</v>
      </c>
    </row>
    <row r="9" spans="1:8" ht="15.75" thickBot="1" x14ac:dyDescent="0.3">
      <c r="A9" s="24">
        <v>43086.113703703704</v>
      </c>
      <c r="B9" s="20" t="s">
        <v>561</v>
      </c>
      <c r="C9" s="20" t="s">
        <v>633</v>
      </c>
      <c r="D9" s="137">
        <v>3120000</v>
      </c>
      <c r="E9" s="20" t="s">
        <v>369</v>
      </c>
      <c r="F9" s="20" t="s">
        <v>537</v>
      </c>
      <c r="G9" s="8" t="str">
        <f t="shared" si="0"/>
        <v>THOMPSON LESTER</v>
      </c>
      <c r="H9" s="20" t="str">
        <f t="shared" si="1"/>
        <v>4043</v>
      </c>
    </row>
    <row r="10" spans="1:8" x14ac:dyDescent="0.25">
      <c r="A10" s="8">
        <v>43086.115914351853</v>
      </c>
      <c r="B10" s="20" t="s">
        <v>561</v>
      </c>
      <c r="C10" s="20" t="s">
        <v>633</v>
      </c>
      <c r="D10" s="137">
        <v>3120000</v>
      </c>
      <c r="E10" s="20" t="s">
        <v>369</v>
      </c>
      <c r="F10" s="20" t="s">
        <v>537</v>
      </c>
      <c r="G10" s="8" t="str">
        <f t="shared" si="0"/>
        <v>THOMPSON LESTER</v>
      </c>
      <c r="H10" s="20" t="str">
        <f t="shared" si="1"/>
        <v>4043</v>
      </c>
    </row>
    <row r="11" spans="1:8" x14ac:dyDescent="0.25">
      <c r="A11" s="8">
        <v>43086.131527777776</v>
      </c>
      <c r="B11" s="20" t="s">
        <v>484</v>
      </c>
      <c r="C11" s="20" t="s">
        <v>720</v>
      </c>
      <c r="D11" s="137">
        <v>3120000</v>
      </c>
      <c r="E11" s="20" t="s">
        <v>369</v>
      </c>
      <c r="F11" s="20" t="s">
        <v>537</v>
      </c>
      <c r="G11" s="8" t="str">
        <f t="shared" si="0"/>
        <v>THOMPSON LESTER</v>
      </c>
      <c r="H11" s="20" t="str">
        <f t="shared" si="1"/>
        <v>4054</v>
      </c>
    </row>
    <row r="12" spans="1:8" x14ac:dyDescent="0.25">
      <c r="A12" s="8">
        <v>43086.132696759261</v>
      </c>
      <c r="B12" s="20" t="s">
        <v>560</v>
      </c>
      <c r="C12" s="20" t="s">
        <v>721</v>
      </c>
      <c r="D12" s="137">
        <v>3180000</v>
      </c>
      <c r="E12" s="20" t="s">
        <v>507</v>
      </c>
      <c r="F12" s="20" t="s">
        <v>508</v>
      </c>
      <c r="G12" s="8" t="str">
        <f t="shared" si="0"/>
        <v>HUFFSMITH MONTY</v>
      </c>
      <c r="H12" s="20" t="str">
        <f t="shared" si="1"/>
        <v>4044</v>
      </c>
    </row>
    <row r="13" spans="1:8" x14ac:dyDescent="0.25">
      <c r="A13" s="8">
        <v>43086.139444444445</v>
      </c>
      <c r="B13" s="20" t="s">
        <v>561</v>
      </c>
      <c r="C13" s="20" t="s">
        <v>722</v>
      </c>
      <c r="D13" s="137">
        <v>3180000</v>
      </c>
      <c r="E13" s="20" t="s">
        <v>507</v>
      </c>
      <c r="F13" s="20" t="s">
        <v>508</v>
      </c>
      <c r="G13" s="8" t="str">
        <f t="shared" si="0"/>
        <v>HUFFSMITH MONTY</v>
      </c>
      <c r="H13" s="20" t="str">
        <f t="shared" si="1"/>
        <v>4043</v>
      </c>
    </row>
    <row r="14" spans="1:8" x14ac:dyDescent="0.25">
      <c r="A14" s="8">
        <v>43086.14</v>
      </c>
      <c r="B14" s="20" t="s">
        <v>562</v>
      </c>
      <c r="C14" s="20" t="s">
        <v>690</v>
      </c>
      <c r="D14" s="137">
        <v>2010000</v>
      </c>
      <c r="E14" s="20" t="s">
        <v>522</v>
      </c>
      <c r="F14" s="20" t="s">
        <v>523</v>
      </c>
      <c r="G14" s="8" t="str">
        <f t="shared" si="0"/>
        <v>MAELZER KURT</v>
      </c>
      <c r="H14" s="20" t="str">
        <f t="shared" si="1"/>
        <v>4057</v>
      </c>
    </row>
    <row r="15" spans="1:8" x14ac:dyDescent="0.25">
      <c r="A15" s="8">
        <v>43086.152002314811</v>
      </c>
      <c r="B15" s="20" t="s">
        <v>698</v>
      </c>
      <c r="C15" s="20" t="s">
        <v>723</v>
      </c>
      <c r="D15" s="137">
        <v>2010000</v>
      </c>
      <c r="E15" s="20" t="s">
        <v>522</v>
      </c>
      <c r="F15" s="20" t="s">
        <v>523</v>
      </c>
      <c r="G15" s="8" t="str">
        <f t="shared" si="0"/>
        <v>MAELZER KURT</v>
      </c>
      <c r="H15" s="20" t="str">
        <f t="shared" si="1"/>
        <v>4058</v>
      </c>
    </row>
    <row r="16" spans="1:8" x14ac:dyDescent="0.25">
      <c r="A16" s="8">
        <v>43086.15965277778</v>
      </c>
      <c r="B16" s="20" t="s">
        <v>386</v>
      </c>
      <c r="C16" s="20" t="s">
        <v>724</v>
      </c>
      <c r="D16" s="137">
        <v>2440000</v>
      </c>
      <c r="E16" s="20" t="s">
        <v>454</v>
      </c>
      <c r="F16" s="20" t="s">
        <v>455</v>
      </c>
      <c r="G16" s="8" t="str">
        <f t="shared" si="0"/>
        <v>LOPES KIMBERLY</v>
      </c>
      <c r="H16" s="20" t="str">
        <f t="shared" si="1"/>
        <v>4029</v>
      </c>
    </row>
    <row r="17" spans="1:8" x14ac:dyDescent="0.25">
      <c r="A17" s="8">
        <v>43086.169398148151</v>
      </c>
      <c r="B17" s="20" t="s">
        <v>625</v>
      </c>
      <c r="C17" s="20" t="s">
        <v>691</v>
      </c>
      <c r="D17" s="137">
        <v>2370000</v>
      </c>
      <c r="E17" s="20" t="s">
        <v>544</v>
      </c>
      <c r="F17" s="20" t="s">
        <v>545</v>
      </c>
      <c r="G17" s="8" t="str">
        <f t="shared" si="0"/>
        <v>DELGADO DIANAH</v>
      </c>
      <c r="H17" s="20" t="str">
        <f t="shared" si="1"/>
        <v>4003</v>
      </c>
    </row>
    <row r="18" spans="1:8" x14ac:dyDescent="0.25">
      <c r="A18" s="8">
        <v>43086.171886574077</v>
      </c>
      <c r="B18" s="20" t="s">
        <v>392</v>
      </c>
      <c r="C18" s="20" t="s">
        <v>725</v>
      </c>
      <c r="D18" s="137">
        <v>2440000</v>
      </c>
      <c r="E18" s="20" t="s">
        <v>454</v>
      </c>
      <c r="F18" s="20" t="s">
        <v>455</v>
      </c>
      <c r="G18" s="8" t="str">
        <f t="shared" si="0"/>
        <v>LOPES KIMBERLY</v>
      </c>
      <c r="H18" s="20" t="str">
        <f t="shared" si="1"/>
        <v>4030</v>
      </c>
    </row>
    <row r="19" spans="1:8" x14ac:dyDescent="0.25">
      <c r="A19" s="8">
        <v>43086.174305555556</v>
      </c>
      <c r="B19" s="20" t="s">
        <v>485</v>
      </c>
      <c r="C19" s="20" t="s">
        <v>726</v>
      </c>
      <c r="D19" s="137">
        <v>3120000</v>
      </c>
      <c r="E19" s="20" t="s">
        <v>369</v>
      </c>
      <c r="F19" s="20" t="s">
        <v>537</v>
      </c>
      <c r="G19" s="8" t="str">
        <f t="shared" si="0"/>
        <v>THOMPSON LESTER</v>
      </c>
      <c r="H19" s="20" t="str">
        <f t="shared" si="1"/>
        <v>4053</v>
      </c>
    </row>
    <row r="20" spans="1:8" x14ac:dyDescent="0.25">
      <c r="A20" s="8">
        <v>43086.180868055555</v>
      </c>
      <c r="B20" s="20" t="s">
        <v>392</v>
      </c>
      <c r="C20" s="20" t="s">
        <v>725</v>
      </c>
      <c r="D20" s="137">
        <v>2440000</v>
      </c>
      <c r="E20" s="20" t="s">
        <v>454</v>
      </c>
      <c r="F20" s="20" t="s">
        <v>455</v>
      </c>
      <c r="G20" s="8" t="str">
        <f t="shared" si="0"/>
        <v>LOPES KIMBERLY</v>
      </c>
      <c r="H20" s="20" t="str">
        <f t="shared" si="1"/>
        <v>4030</v>
      </c>
    </row>
    <row r="21" spans="1:8" x14ac:dyDescent="0.25">
      <c r="A21" s="8">
        <v>43086.182766203703</v>
      </c>
      <c r="B21" s="20" t="s">
        <v>521</v>
      </c>
      <c r="C21" s="20" t="s">
        <v>727</v>
      </c>
      <c r="D21" s="137">
        <v>1100000</v>
      </c>
      <c r="E21" s="20" t="s">
        <v>538</v>
      </c>
      <c r="F21" s="20" t="s">
        <v>539</v>
      </c>
      <c r="G21" s="8" t="str">
        <f t="shared" si="0"/>
        <v>GEBRETEKLE DAGNEW</v>
      </c>
      <c r="H21" s="20" t="str">
        <f t="shared" si="1"/>
        <v>4031</v>
      </c>
    </row>
    <row r="22" spans="1:8" x14ac:dyDescent="0.25">
      <c r="A22" s="26">
        <v>43086.185902777775</v>
      </c>
      <c r="B22" s="20" t="s">
        <v>562</v>
      </c>
      <c r="C22" s="20" t="s">
        <v>728</v>
      </c>
      <c r="D22" s="137">
        <v>2010000</v>
      </c>
      <c r="E22" s="20" t="s">
        <v>522</v>
      </c>
      <c r="F22" s="20" t="s">
        <v>523</v>
      </c>
      <c r="G22" s="8" t="str">
        <f t="shared" si="0"/>
        <v>MAELZER KURT</v>
      </c>
      <c r="H22" s="20" t="str">
        <f t="shared" si="1"/>
        <v>4057</v>
      </c>
    </row>
    <row r="23" spans="1:8" x14ac:dyDescent="0.25">
      <c r="A23" s="8">
        <v>43086.186099537037</v>
      </c>
      <c r="B23" s="20" t="s">
        <v>624</v>
      </c>
      <c r="C23" s="20" t="s">
        <v>694</v>
      </c>
      <c r="D23" s="137">
        <v>2370000</v>
      </c>
      <c r="E23" s="20" t="s">
        <v>544</v>
      </c>
      <c r="F23" s="20" t="s">
        <v>545</v>
      </c>
      <c r="G23" s="8" t="str">
        <f t="shared" si="0"/>
        <v>DELGADO DIANAH</v>
      </c>
      <c r="H23" s="20" t="str">
        <f t="shared" si="1"/>
        <v>4004</v>
      </c>
    </row>
    <row r="24" spans="1:8" x14ac:dyDescent="0.25">
      <c r="A24" s="8">
        <v>43086.194155092591</v>
      </c>
      <c r="B24" s="20" t="s">
        <v>520</v>
      </c>
      <c r="C24" s="20" t="s">
        <v>729</v>
      </c>
      <c r="D24" s="137">
        <v>1100000</v>
      </c>
      <c r="E24" s="20" t="s">
        <v>538</v>
      </c>
      <c r="F24" s="20" t="s">
        <v>539</v>
      </c>
      <c r="G24" s="8" t="str">
        <f t="shared" si="0"/>
        <v>GEBRETEKLE DAGNEW</v>
      </c>
      <c r="H24" s="20" t="str">
        <f t="shared" si="1"/>
        <v>4032</v>
      </c>
    </row>
    <row r="25" spans="1:8" x14ac:dyDescent="0.25">
      <c r="A25" s="8">
        <v>43086.19803240741</v>
      </c>
      <c r="B25" s="20" t="s">
        <v>730</v>
      </c>
      <c r="C25" s="20" t="s">
        <v>731</v>
      </c>
      <c r="D25" s="137">
        <v>3040000</v>
      </c>
      <c r="E25" s="20" t="s">
        <v>368</v>
      </c>
      <c r="F25" s="20" t="s">
        <v>524</v>
      </c>
      <c r="G25" s="8" t="str">
        <f t="shared" si="0"/>
        <v>WILLIAMS DONTE</v>
      </c>
      <c r="H25" s="20" t="str">
        <f t="shared" si="1"/>
        <v>4039</v>
      </c>
    </row>
    <row r="26" spans="1:8" x14ac:dyDescent="0.25">
      <c r="A26" s="8">
        <v>43086.204085648147</v>
      </c>
      <c r="B26" s="20" t="s">
        <v>484</v>
      </c>
      <c r="C26" s="20" t="s">
        <v>732</v>
      </c>
      <c r="D26" s="137">
        <v>1760000</v>
      </c>
      <c r="E26" s="20" t="s">
        <v>733</v>
      </c>
      <c r="F26" s="20" t="s">
        <v>734</v>
      </c>
      <c r="G26" s="8" t="str">
        <f t="shared" si="0"/>
        <v>STRICKLAND EVAN</v>
      </c>
      <c r="H26" s="20" t="str">
        <f t="shared" si="1"/>
        <v>4054</v>
      </c>
    </row>
    <row r="27" spans="1:8" x14ac:dyDescent="0.25">
      <c r="A27" s="8">
        <v>43086.212442129632</v>
      </c>
      <c r="B27" s="20" t="s">
        <v>386</v>
      </c>
      <c r="C27" s="20" t="s">
        <v>735</v>
      </c>
      <c r="D27" s="137">
        <v>2440000</v>
      </c>
      <c r="E27" s="20" t="s">
        <v>454</v>
      </c>
      <c r="F27" s="20" t="s">
        <v>455</v>
      </c>
      <c r="G27" s="8" t="str">
        <f t="shared" si="0"/>
        <v>LOPES KIMBERLY</v>
      </c>
      <c r="H27" s="20" t="str">
        <f t="shared" si="1"/>
        <v>4029</v>
      </c>
    </row>
    <row r="28" spans="1:8" x14ac:dyDescent="0.25">
      <c r="A28" s="8">
        <v>43086.213865740741</v>
      </c>
      <c r="B28" s="20" t="s">
        <v>702</v>
      </c>
      <c r="C28" s="20" t="s">
        <v>736</v>
      </c>
      <c r="D28" s="137">
        <v>3040000</v>
      </c>
      <c r="E28" s="20" t="s">
        <v>368</v>
      </c>
      <c r="F28" s="20" t="s">
        <v>524</v>
      </c>
      <c r="G28" s="8" t="str">
        <f t="shared" si="0"/>
        <v>WILLIAMS DONTE</v>
      </c>
      <c r="H28" s="20" t="str">
        <f t="shared" si="1"/>
        <v>4040</v>
      </c>
    </row>
    <row r="29" spans="1:8" x14ac:dyDescent="0.25">
      <c r="A29" s="8">
        <v>43086.214421296296</v>
      </c>
      <c r="B29" s="20" t="s">
        <v>625</v>
      </c>
      <c r="C29" s="20" t="s">
        <v>696</v>
      </c>
      <c r="D29" s="137">
        <v>2370000</v>
      </c>
      <c r="E29" s="20" t="s">
        <v>544</v>
      </c>
      <c r="F29" s="20" t="s">
        <v>545</v>
      </c>
      <c r="G29" s="8" t="str">
        <f t="shared" si="0"/>
        <v>DELGADO DIANAH</v>
      </c>
      <c r="H29" s="20" t="str">
        <f t="shared" si="1"/>
        <v>4003</v>
      </c>
    </row>
    <row r="30" spans="1:8" x14ac:dyDescent="0.25">
      <c r="A30" s="8">
        <v>43086.218935185185</v>
      </c>
      <c r="B30" s="20" t="s">
        <v>357</v>
      </c>
      <c r="C30" s="20" t="s">
        <v>695</v>
      </c>
      <c r="D30" s="137">
        <v>2270000</v>
      </c>
      <c r="E30" s="20" t="s">
        <v>626</v>
      </c>
      <c r="F30" s="20" t="s">
        <v>627</v>
      </c>
      <c r="G30" s="8" t="str">
        <f t="shared" si="0"/>
        <v>BROWN JACOB</v>
      </c>
      <c r="H30" s="20" t="str">
        <f t="shared" si="1"/>
        <v>4060</v>
      </c>
    </row>
    <row r="31" spans="1:8" x14ac:dyDescent="0.25">
      <c r="A31" s="8">
        <v>43086.22252314815</v>
      </c>
      <c r="B31" s="20" t="s">
        <v>361</v>
      </c>
      <c r="C31" s="20" t="s">
        <v>737</v>
      </c>
      <c r="D31" s="137">
        <v>3090000</v>
      </c>
      <c r="E31" s="20" t="s">
        <v>540</v>
      </c>
      <c r="F31" s="20" t="s">
        <v>541</v>
      </c>
      <c r="G31" s="8" t="str">
        <f t="shared" si="0"/>
        <v>LAMAR NEKESHA</v>
      </c>
      <c r="H31" s="20" t="str">
        <f t="shared" si="1"/>
        <v>4007</v>
      </c>
    </row>
    <row r="32" spans="1:8" x14ac:dyDescent="0.25">
      <c r="A32" s="8">
        <v>43086.224004629628</v>
      </c>
      <c r="B32" s="20" t="s">
        <v>521</v>
      </c>
      <c r="C32" s="20" t="s">
        <v>738</v>
      </c>
      <c r="D32" s="137">
        <v>1100000</v>
      </c>
      <c r="E32" s="20" t="s">
        <v>538</v>
      </c>
      <c r="F32" s="20" t="s">
        <v>539</v>
      </c>
      <c r="G32" s="8" t="str">
        <f t="shared" si="0"/>
        <v>GEBRETEKLE DAGNEW</v>
      </c>
      <c r="H32" s="20" t="str">
        <f t="shared" si="1"/>
        <v>4031</v>
      </c>
    </row>
    <row r="33" spans="1:8" x14ac:dyDescent="0.25">
      <c r="A33" s="8">
        <v>43086.224456018521</v>
      </c>
      <c r="B33" s="20" t="s">
        <v>698</v>
      </c>
      <c r="C33" s="20" t="s">
        <v>739</v>
      </c>
      <c r="D33" s="137">
        <v>3300000</v>
      </c>
      <c r="E33" s="20" t="s">
        <v>740</v>
      </c>
      <c r="F33" s="20" t="s">
        <v>741</v>
      </c>
      <c r="G33" s="8" t="str">
        <f t="shared" si="0"/>
        <v>LANGERAK WILLIAM</v>
      </c>
      <c r="H33" s="20" t="str">
        <f t="shared" si="1"/>
        <v>4058</v>
      </c>
    </row>
    <row r="34" spans="1:8" x14ac:dyDescent="0.25">
      <c r="A34" s="8">
        <v>43086.236643518518</v>
      </c>
      <c r="B34" s="20" t="s">
        <v>356</v>
      </c>
      <c r="C34" s="20" t="s">
        <v>742</v>
      </c>
      <c r="D34" s="137">
        <v>3090000</v>
      </c>
      <c r="E34" s="20" t="s">
        <v>540</v>
      </c>
      <c r="F34" s="20" t="s">
        <v>541</v>
      </c>
      <c r="G34" s="8" t="str">
        <f t="shared" si="0"/>
        <v>LAMAR NEKESHA</v>
      </c>
      <c r="H34" s="20" t="str">
        <f t="shared" si="1"/>
        <v>4008</v>
      </c>
    </row>
    <row r="35" spans="1:8" x14ac:dyDescent="0.25">
      <c r="A35" s="8">
        <v>43086.238032407404</v>
      </c>
      <c r="B35" s="20" t="s">
        <v>485</v>
      </c>
      <c r="C35" s="20" t="s">
        <v>743</v>
      </c>
      <c r="D35" s="137">
        <v>1760000</v>
      </c>
      <c r="E35" s="20" t="s">
        <v>733</v>
      </c>
      <c r="F35" s="20" t="s">
        <v>734</v>
      </c>
      <c r="G35" s="8" t="str">
        <f t="shared" si="0"/>
        <v>STRICKLAND EVAN</v>
      </c>
      <c r="H35" s="20" t="str">
        <f t="shared" si="1"/>
        <v>4053</v>
      </c>
    </row>
    <row r="36" spans="1:8" x14ac:dyDescent="0.25">
      <c r="A36" s="8">
        <v>43086.246319444443</v>
      </c>
      <c r="B36" s="20" t="s">
        <v>392</v>
      </c>
      <c r="C36" s="20" t="s">
        <v>744</v>
      </c>
      <c r="D36" s="137">
        <v>2440000</v>
      </c>
      <c r="E36" s="20" t="s">
        <v>454</v>
      </c>
      <c r="F36" s="20" t="s">
        <v>455</v>
      </c>
      <c r="G36" s="8" t="str">
        <f t="shared" si="0"/>
        <v>LOPES KIMBERLY</v>
      </c>
      <c r="H36" s="20" t="str">
        <f t="shared" si="1"/>
        <v>4030</v>
      </c>
    </row>
    <row r="37" spans="1:8" x14ac:dyDescent="0.25">
      <c r="A37" s="8">
        <v>43086.254548611112</v>
      </c>
      <c r="B37" s="20" t="s">
        <v>357</v>
      </c>
      <c r="C37" s="20" t="s">
        <v>745</v>
      </c>
      <c r="D37" s="137">
        <v>2270000</v>
      </c>
      <c r="E37" s="20" t="s">
        <v>626</v>
      </c>
      <c r="F37" s="20" t="s">
        <v>627</v>
      </c>
      <c r="G37" s="8" t="str">
        <f t="shared" si="0"/>
        <v>BROWN JACOB</v>
      </c>
      <c r="H37" s="20" t="str">
        <f t="shared" si="1"/>
        <v>4060</v>
      </c>
    </row>
    <row r="38" spans="1:8" x14ac:dyDescent="0.25">
      <c r="A38" s="8">
        <v>43086.254872685182</v>
      </c>
      <c r="B38" s="20" t="s">
        <v>730</v>
      </c>
      <c r="C38" s="20" t="s">
        <v>746</v>
      </c>
      <c r="D38" s="137">
        <v>3040000</v>
      </c>
      <c r="E38" s="20" t="s">
        <v>368</v>
      </c>
      <c r="F38" s="20" t="s">
        <v>524</v>
      </c>
      <c r="G38" s="8" t="str">
        <f t="shared" si="0"/>
        <v>WILLIAMS DONTE</v>
      </c>
      <c r="H38" s="20" t="str">
        <f t="shared" si="1"/>
        <v>4039</v>
      </c>
    </row>
    <row r="39" spans="1:8" x14ac:dyDescent="0.25">
      <c r="A39" s="8">
        <v>43086.258599537039</v>
      </c>
      <c r="B39" s="20" t="s">
        <v>562</v>
      </c>
      <c r="C39" s="20" t="s">
        <v>747</v>
      </c>
      <c r="D39" s="137">
        <v>3300000</v>
      </c>
      <c r="E39" s="20" t="s">
        <v>740</v>
      </c>
      <c r="F39" s="20" t="s">
        <v>741</v>
      </c>
      <c r="G39" s="8" t="str">
        <f t="shared" si="0"/>
        <v>LANGERAK WILLIAM</v>
      </c>
      <c r="H39" s="20" t="str">
        <f t="shared" si="1"/>
        <v>4057</v>
      </c>
    </row>
    <row r="40" spans="1:8" x14ac:dyDescent="0.25">
      <c r="A40" s="8">
        <v>43086.260393518518</v>
      </c>
      <c r="B40" s="25" t="s">
        <v>624</v>
      </c>
      <c r="C40" s="20" t="s">
        <v>748</v>
      </c>
      <c r="D40" s="137">
        <v>2370000</v>
      </c>
      <c r="E40" s="20" t="s">
        <v>544</v>
      </c>
      <c r="F40" s="20" t="s">
        <v>545</v>
      </c>
      <c r="G40" s="8" t="str">
        <f t="shared" si="0"/>
        <v>DELGADO DIANAH</v>
      </c>
      <c r="H40" s="20" t="str">
        <f t="shared" si="1"/>
        <v>4004</v>
      </c>
    </row>
    <row r="41" spans="1:8" x14ac:dyDescent="0.25">
      <c r="A41" s="8">
        <v>43086.266493055555</v>
      </c>
      <c r="B41" s="20" t="s">
        <v>520</v>
      </c>
      <c r="C41" s="20" t="s">
        <v>749</v>
      </c>
      <c r="D41" s="137">
        <v>1100000</v>
      </c>
      <c r="E41" s="20" t="s">
        <v>538</v>
      </c>
      <c r="F41" s="20" t="s">
        <v>539</v>
      </c>
      <c r="G41" s="8" t="str">
        <f t="shared" si="0"/>
        <v>GEBRETEKLE DAGNEW</v>
      </c>
      <c r="H41" s="20" t="str">
        <f t="shared" si="1"/>
        <v>4032</v>
      </c>
    </row>
    <row r="42" spans="1:8" x14ac:dyDescent="0.25">
      <c r="A42" s="8">
        <v>43086.27275462963</v>
      </c>
      <c r="B42" s="20" t="s">
        <v>361</v>
      </c>
      <c r="C42" s="20" t="s">
        <v>750</v>
      </c>
      <c r="D42" s="137">
        <v>3090000</v>
      </c>
      <c r="E42" s="20" t="s">
        <v>540</v>
      </c>
      <c r="F42" s="20" t="s">
        <v>541</v>
      </c>
      <c r="G42" s="8" t="str">
        <f t="shared" si="0"/>
        <v>LAMAR NEKESHA</v>
      </c>
      <c r="H42" s="20" t="str">
        <f t="shared" si="1"/>
        <v>4007</v>
      </c>
    </row>
    <row r="43" spans="1:8" x14ac:dyDescent="0.25">
      <c r="A43" s="8">
        <v>43086.277685185189</v>
      </c>
      <c r="B43" s="20" t="s">
        <v>560</v>
      </c>
      <c r="C43" s="20" t="s">
        <v>751</v>
      </c>
      <c r="D43" s="137">
        <v>3180000</v>
      </c>
      <c r="E43" s="20" t="s">
        <v>507</v>
      </c>
      <c r="F43" s="20" t="s">
        <v>508</v>
      </c>
      <c r="G43" s="8" t="str">
        <f t="shared" si="0"/>
        <v>HUFFSMITH MONTY</v>
      </c>
      <c r="H43" s="20" t="str">
        <f t="shared" si="1"/>
        <v>4044</v>
      </c>
    </row>
    <row r="44" spans="1:8" x14ac:dyDescent="0.25">
      <c r="A44" s="8">
        <v>43086.279942129629</v>
      </c>
      <c r="B44" s="20" t="s">
        <v>484</v>
      </c>
      <c r="C44" s="20" t="s">
        <v>752</v>
      </c>
      <c r="D44" s="137">
        <v>3120000</v>
      </c>
      <c r="E44" s="20" t="s">
        <v>369</v>
      </c>
      <c r="F44" s="20" t="s">
        <v>537</v>
      </c>
      <c r="G44" s="8" t="str">
        <f t="shared" si="0"/>
        <v>THOMPSON LESTER</v>
      </c>
      <c r="H44" s="20" t="str">
        <f t="shared" si="1"/>
        <v>4054</v>
      </c>
    </row>
    <row r="45" spans="1:8" x14ac:dyDescent="0.25">
      <c r="A45" s="8">
        <v>43086.282638888886</v>
      </c>
      <c r="B45" s="20" t="s">
        <v>561</v>
      </c>
      <c r="C45" s="20" t="s">
        <v>751</v>
      </c>
      <c r="D45" s="137">
        <v>3180000</v>
      </c>
      <c r="E45" s="20" t="s">
        <v>507</v>
      </c>
      <c r="F45" s="20" t="s">
        <v>508</v>
      </c>
      <c r="G45" s="8" t="str">
        <f t="shared" si="0"/>
        <v>HUFFSMITH MONTY</v>
      </c>
      <c r="H45" s="20" t="str">
        <f t="shared" si="1"/>
        <v>4043</v>
      </c>
    </row>
    <row r="46" spans="1:8" x14ac:dyDescent="0.25">
      <c r="A46" s="8">
        <v>43086.285787037035</v>
      </c>
      <c r="B46" s="20" t="s">
        <v>386</v>
      </c>
      <c r="C46" s="20" t="s">
        <v>753</v>
      </c>
      <c r="D46" s="137">
        <v>2440000</v>
      </c>
      <c r="E46" s="20" t="s">
        <v>454</v>
      </c>
      <c r="F46" s="20" t="s">
        <v>455</v>
      </c>
      <c r="G46" s="8" t="str">
        <f t="shared" si="0"/>
        <v>LOPES KIMBERLY</v>
      </c>
      <c r="H46" s="20" t="str">
        <f t="shared" si="1"/>
        <v>4029</v>
      </c>
    </row>
    <row r="47" spans="1:8" x14ac:dyDescent="0.25">
      <c r="A47" s="8">
        <v>43086.288472222222</v>
      </c>
      <c r="B47" s="20" t="s">
        <v>702</v>
      </c>
      <c r="C47" s="20" t="s">
        <v>754</v>
      </c>
      <c r="D47" s="137">
        <v>3040000</v>
      </c>
      <c r="E47" s="20" t="s">
        <v>368</v>
      </c>
      <c r="F47" s="20" t="s">
        <v>524</v>
      </c>
      <c r="G47" s="8" t="str">
        <f t="shared" si="0"/>
        <v>WILLIAMS DONTE</v>
      </c>
      <c r="H47" s="20" t="str">
        <f t="shared" si="1"/>
        <v>4040</v>
      </c>
    </row>
    <row r="48" spans="1:8" x14ac:dyDescent="0.25">
      <c r="A48" s="8">
        <v>43086.292453703703</v>
      </c>
      <c r="B48" s="20" t="s">
        <v>560</v>
      </c>
      <c r="C48" s="20" t="s">
        <v>755</v>
      </c>
      <c r="D48" s="137">
        <v>2270000</v>
      </c>
      <c r="E48" s="20" t="s">
        <v>626</v>
      </c>
      <c r="F48" s="20" t="s">
        <v>627</v>
      </c>
      <c r="G48" s="8" t="str">
        <f t="shared" si="0"/>
        <v>BROWN JACOB</v>
      </c>
      <c r="H48" s="20" t="str">
        <f t="shared" si="1"/>
        <v>4044</v>
      </c>
    </row>
    <row r="49" spans="1:8" x14ac:dyDescent="0.25">
      <c r="A49" s="8">
        <v>43086.29519675926</v>
      </c>
      <c r="B49" s="20" t="s">
        <v>390</v>
      </c>
      <c r="C49" s="20" t="s">
        <v>751</v>
      </c>
      <c r="D49" s="137">
        <v>3180000</v>
      </c>
      <c r="E49" s="20" t="s">
        <v>507</v>
      </c>
      <c r="F49" s="20" t="s">
        <v>508</v>
      </c>
      <c r="G49" s="8" t="str">
        <f t="shared" si="0"/>
        <v>HUFFSMITH MONTY</v>
      </c>
      <c r="H49" s="20" t="str">
        <f t="shared" si="1"/>
        <v>4059</v>
      </c>
    </row>
    <row r="50" spans="1:8" x14ac:dyDescent="0.25">
      <c r="A50" s="8">
        <v>43086.297696759262</v>
      </c>
      <c r="B50" s="20" t="s">
        <v>521</v>
      </c>
      <c r="C50" s="20" t="s">
        <v>756</v>
      </c>
      <c r="D50" s="137">
        <v>1100000</v>
      </c>
      <c r="E50" s="20" t="s">
        <v>538</v>
      </c>
      <c r="F50" s="20" t="s">
        <v>539</v>
      </c>
      <c r="G50" s="8" t="str">
        <f t="shared" si="0"/>
        <v>GEBRETEKLE DAGNEW</v>
      </c>
      <c r="H50" s="20" t="str">
        <f t="shared" si="1"/>
        <v>4031</v>
      </c>
    </row>
    <row r="51" spans="1:8" x14ac:dyDescent="0.25">
      <c r="A51" s="8">
        <v>43086.299120370371</v>
      </c>
      <c r="B51" s="20" t="s">
        <v>698</v>
      </c>
      <c r="C51" s="20" t="s">
        <v>757</v>
      </c>
      <c r="D51" s="137">
        <v>2010000</v>
      </c>
      <c r="E51" s="20" t="s">
        <v>522</v>
      </c>
      <c r="F51" s="20" t="s">
        <v>523</v>
      </c>
      <c r="G51" s="8" t="str">
        <f t="shared" si="0"/>
        <v>MAELZER KURT</v>
      </c>
      <c r="H51" s="20" t="str">
        <f t="shared" si="1"/>
        <v>4058</v>
      </c>
    </row>
    <row r="52" spans="1:8" x14ac:dyDescent="0.25">
      <c r="A52" s="8">
        <v>43086.307673611111</v>
      </c>
      <c r="B52" s="20" t="s">
        <v>360</v>
      </c>
      <c r="C52" s="20" t="s">
        <v>721</v>
      </c>
      <c r="D52" s="137">
        <v>3180000</v>
      </c>
      <c r="E52" s="20" t="s">
        <v>507</v>
      </c>
      <c r="F52" s="20" t="s">
        <v>508</v>
      </c>
      <c r="G52" s="8" t="str">
        <f t="shared" si="0"/>
        <v>HUFFSMITH MONTY</v>
      </c>
      <c r="H52" s="20" t="str">
        <f t="shared" si="1"/>
        <v>4018</v>
      </c>
    </row>
    <row r="53" spans="1:8" x14ac:dyDescent="0.25">
      <c r="A53" s="8">
        <v>43086.309976851851</v>
      </c>
      <c r="B53" s="20" t="s">
        <v>561</v>
      </c>
      <c r="C53" s="20" t="s">
        <v>758</v>
      </c>
      <c r="D53" s="137">
        <v>2270000</v>
      </c>
      <c r="E53" s="20" t="s">
        <v>626</v>
      </c>
      <c r="F53" s="20" t="s">
        <v>627</v>
      </c>
      <c r="G53" s="8" t="str">
        <f t="shared" si="0"/>
        <v>BROWN JACOB</v>
      </c>
      <c r="H53" s="20" t="str">
        <f t="shared" si="1"/>
        <v>4043</v>
      </c>
    </row>
    <row r="54" spans="1:8" x14ac:dyDescent="0.25">
      <c r="A54" s="8">
        <v>43086.310381944444</v>
      </c>
      <c r="B54" s="20" t="s">
        <v>356</v>
      </c>
      <c r="C54" s="20" t="s">
        <v>759</v>
      </c>
      <c r="D54" s="137">
        <v>3090000</v>
      </c>
      <c r="E54" s="20" t="s">
        <v>540</v>
      </c>
      <c r="F54" s="20" t="s">
        <v>541</v>
      </c>
      <c r="G54" s="8" t="str">
        <f t="shared" si="0"/>
        <v>LAMAR NEKESHA</v>
      </c>
      <c r="H54" s="20" t="str">
        <f t="shared" si="1"/>
        <v>4008</v>
      </c>
    </row>
    <row r="55" spans="1:8" x14ac:dyDescent="0.25">
      <c r="A55" s="8">
        <v>43086.310520833336</v>
      </c>
      <c r="B55" s="20" t="s">
        <v>561</v>
      </c>
      <c r="C55" s="20" t="s">
        <v>758</v>
      </c>
      <c r="D55" s="137">
        <v>2270000</v>
      </c>
      <c r="E55" s="20" t="s">
        <v>626</v>
      </c>
      <c r="F55" s="20" t="s">
        <v>627</v>
      </c>
      <c r="G55" s="8" t="str">
        <f t="shared" si="0"/>
        <v>BROWN JACOB</v>
      </c>
      <c r="H55" s="20" t="str">
        <f t="shared" si="1"/>
        <v>4043</v>
      </c>
    </row>
    <row r="56" spans="1:8" x14ac:dyDescent="0.25">
      <c r="A56" s="8">
        <v>43086.311111111114</v>
      </c>
      <c r="B56" s="20" t="s">
        <v>561</v>
      </c>
      <c r="C56" s="20" t="s">
        <v>758</v>
      </c>
      <c r="D56" s="137">
        <v>2270000</v>
      </c>
      <c r="E56" s="20" t="s">
        <v>626</v>
      </c>
      <c r="F56" s="20" t="s">
        <v>627</v>
      </c>
      <c r="G56" s="8" t="str">
        <f t="shared" si="0"/>
        <v>BROWN JACOB</v>
      </c>
      <c r="H56" s="20" t="str">
        <f t="shared" si="1"/>
        <v>4043</v>
      </c>
    </row>
    <row r="57" spans="1:8" x14ac:dyDescent="0.25">
      <c r="A57" s="8">
        <v>43086.312071759261</v>
      </c>
      <c r="B57" s="20" t="s">
        <v>561</v>
      </c>
      <c r="C57" s="20" t="s">
        <v>758</v>
      </c>
      <c r="D57" s="137">
        <v>2270000</v>
      </c>
      <c r="E57" s="20" t="s">
        <v>626</v>
      </c>
      <c r="F57" s="20" t="s">
        <v>627</v>
      </c>
      <c r="G57" s="8" t="str">
        <f t="shared" si="0"/>
        <v>BROWN JACOB</v>
      </c>
      <c r="H57" s="20" t="str">
        <f t="shared" si="1"/>
        <v>4043</v>
      </c>
    </row>
    <row r="58" spans="1:8" x14ac:dyDescent="0.25">
      <c r="A58" s="8">
        <v>43086.317349537036</v>
      </c>
      <c r="B58" s="20" t="s">
        <v>362</v>
      </c>
      <c r="C58" s="20" t="s">
        <v>721</v>
      </c>
      <c r="D58" s="137">
        <v>3180000</v>
      </c>
      <c r="E58" s="20" t="s">
        <v>507</v>
      </c>
      <c r="F58" s="20" t="s">
        <v>508</v>
      </c>
      <c r="G58" s="8" t="str">
        <f t="shared" si="0"/>
        <v>HUFFSMITH MONTY</v>
      </c>
      <c r="H58" s="20" t="str">
        <f t="shared" si="1"/>
        <v>4017</v>
      </c>
    </row>
    <row r="59" spans="1:8" x14ac:dyDescent="0.25">
      <c r="A59" s="8">
        <v>43086.318472222221</v>
      </c>
      <c r="B59" s="20" t="s">
        <v>392</v>
      </c>
      <c r="C59" s="20" t="s">
        <v>760</v>
      </c>
      <c r="D59" s="137">
        <v>2440000</v>
      </c>
      <c r="E59" s="20" t="s">
        <v>454</v>
      </c>
      <c r="F59" s="20" t="s">
        <v>455</v>
      </c>
      <c r="G59" s="8" t="str">
        <f t="shared" si="0"/>
        <v>LOPES KIMBERLY</v>
      </c>
      <c r="H59" s="20" t="str">
        <f t="shared" si="1"/>
        <v>4030</v>
      </c>
    </row>
    <row r="60" spans="1:8" x14ac:dyDescent="0.25">
      <c r="A60" s="8">
        <v>43086.320231481484</v>
      </c>
      <c r="B60" s="20" t="s">
        <v>485</v>
      </c>
      <c r="C60" s="20" t="s">
        <v>761</v>
      </c>
      <c r="D60" s="137">
        <v>3120000</v>
      </c>
      <c r="E60" s="20" t="s">
        <v>369</v>
      </c>
      <c r="F60" s="20" t="s">
        <v>537</v>
      </c>
      <c r="G60" s="8" t="str">
        <f t="shared" si="0"/>
        <v>THOMPSON LESTER</v>
      </c>
      <c r="H60" s="20" t="str">
        <f t="shared" si="1"/>
        <v>4053</v>
      </c>
    </row>
    <row r="61" spans="1:8" x14ac:dyDescent="0.25">
      <c r="A61" s="8">
        <v>43086.326041666667</v>
      </c>
      <c r="B61" s="20" t="s">
        <v>730</v>
      </c>
      <c r="C61" s="20" t="s">
        <v>762</v>
      </c>
      <c r="D61" s="137">
        <v>3040000</v>
      </c>
      <c r="E61" s="20" t="s">
        <v>368</v>
      </c>
      <c r="F61" s="20" t="s">
        <v>524</v>
      </c>
      <c r="G61" s="8" t="str">
        <f t="shared" si="0"/>
        <v>WILLIAMS DONTE</v>
      </c>
      <c r="H61" s="20" t="str">
        <f t="shared" si="1"/>
        <v>4039</v>
      </c>
    </row>
    <row r="62" spans="1:8" x14ac:dyDescent="0.25">
      <c r="A62" s="8">
        <v>43086.327604166669</v>
      </c>
      <c r="B62" s="20" t="s">
        <v>360</v>
      </c>
      <c r="C62" s="20" t="s">
        <v>763</v>
      </c>
      <c r="D62" s="137">
        <v>2370000</v>
      </c>
      <c r="E62" s="20" t="s">
        <v>544</v>
      </c>
      <c r="F62" s="20" t="s">
        <v>545</v>
      </c>
      <c r="G62" s="8" t="str">
        <f t="shared" si="0"/>
        <v>DELGADO DIANAH</v>
      </c>
      <c r="H62" s="20" t="str">
        <f t="shared" si="1"/>
        <v>4018</v>
      </c>
    </row>
    <row r="63" spans="1:8" x14ac:dyDescent="0.25">
      <c r="A63" s="8">
        <v>43086.332152777781</v>
      </c>
      <c r="B63" s="20" t="s">
        <v>562</v>
      </c>
      <c r="C63" s="20" t="s">
        <v>764</v>
      </c>
      <c r="D63" s="137">
        <v>2010000</v>
      </c>
      <c r="E63" s="20" t="s">
        <v>522</v>
      </c>
      <c r="F63" s="20" t="s">
        <v>523</v>
      </c>
      <c r="G63" s="8" t="str">
        <f t="shared" si="0"/>
        <v>MAELZER KURT</v>
      </c>
      <c r="H63" s="20" t="str">
        <f t="shared" si="1"/>
        <v>4057</v>
      </c>
    </row>
    <row r="64" spans="1:8" x14ac:dyDescent="0.25">
      <c r="A64" s="26">
        <v>43086.334872685184</v>
      </c>
      <c r="B64" s="20" t="s">
        <v>560</v>
      </c>
      <c r="C64" s="20" t="s">
        <v>765</v>
      </c>
      <c r="D64" s="137">
        <v>2270000</v>
      </c>
      <c r="E64" s="20" t="s">
        <v>626</v>
      </c>
      <c r="F64" s="20" t="s">
        <v>627</v>
      </c>
      <c r="G64" s="8" t="str">
        <f t="shared" si="0"/>
        <v>BROWN JACOB</v>
      </c>
      <c r="H64" s="20" t="str">
        <f t="shared" si="1"/>
        <v>4044</v>
      </c>
    </row>
    <row r="65" spans="1:8" x14ac:dyDescent="0.25">
      <c r="A65" s="8">
        <v>43086.338587962964</v>
      </c>
      <c r="B65" s="20" t="s">
        <v>520</v>
      </c>
      <c r="C65" s="20" t="s">
        <v>766</v>
      </c>
      <c r="D65" s="137">
        <v>1100000</v>
      </c>
      <c r="E65" s="20" t="s">
        <v>538</v>
      </c>
      <c r="F65" s="20" t="s">
        <v>539</v>
      </c>
      <c r="G65" s="8" t="str">
        <f t="shared" si="0"/>
        <v>GEBRETEKLE DAGNEW</v>
      </c>
      <c r="H65" s="20" t="str">
        <f t="shared" si="1"/>
        <v>4032</v>
      </c>
    </row>
    <row r="66" spans="1:8" x14ac:dyDescent="0.25">
      <c r="A66" s="8">
        <v>43086.348819444444</v>
      </c>
      <c r="B66" s="20" t="s">
        <v>386</v>
      </c>
      <c r="C66" s="20" t="s">
        <v>767</v>
      </c>
      <c r="D66" s="137">
        <v>2440000</v>
      </c>
      <c r="E66" s="20" t="s">
        <v>454</v>
      </c>
      <c r="F66" s="20" t="s">
        <v>455</v>
      </c>
      <c r="G66" s="8" t="str">
        <f t="shared" si="0"/>
        <v>LOPES KIMBERLY</v>
      </c>
      <c r="H66" s="20" t="str">
        <f t="shared" si="1"/>
        <v>4029</v>
      </c>
    </row>
    <row r="67" spans="1:8" x14ac:dyDescent="0.25">
      <c r="A67" s="8">
        <v>43086.351006944446</v>
      </c>
      <c r="B67" s="20" t="s">
        <v>361</v>
      </c>
      <c r="C67" s="20" t="s">
        <v>768</v>
      </c>
      <c r="D67" s="137">
        <v>3090000</v>
      </c>
      <c r="E67" s="20" t="s">
        <v>540</v>
      </c>
      <c r="F67" s="20" t="s">
        <v>541</v>
      </c>
      <c r="G67" s="8" t="str">
        <f t="shared" ref="G67:G130" si="2">E67&amp;" "&amp;F67</f>
        <v>LAMAR NEKESHA</v>
      </c>
      <c r="H67" s="20" t="str">
        <f t="shared" ref="H67:H130" si="3">MID(B67,13,4)</f>
        <v>4007</v>
      </c>
    </row>
    <row r="68" spans="1:8" x14ac:dyDescent="0.25">
      <c r="A68" s="8">
        <v>43086.351435185185</v>
      </c>
      <c r="B68" s="20" t="s">
        <v>561</v>
      </c>
      <c r="C68" s="20" t="s">
        <v>769</v>
      </c>
      <c r="D68" s="137">
        <v>2270000</v>
      </c>
      <c r="E68" s="20" t="s">
        <v>626</v>
      </c>
      <c r="F68" s="20" t="s">
        <v>627</v>
      </c>
      <c r="G68" s="8" t="str">
        <f t="shared" si="2"/>
        <v>BROWN JACOB</v>
      </c>
      <c r="H68" s="20" t="str">
        <f t="shared" si="3"/>
        <v>4043</v>
      </c>
    </row>
    <row r="69" spans="1:8" x14ac:dyDescent="0.25">
      <c r="A69" s="8">
        <v>43086.352673611109</v>
      </c>
      <c r="B69" s="20" t="s">
        <v>484</v>
      </c>
      <c r="C69" s="20" t="s">
        <v>770</v>
      </c>
      <c r="D69" s="137">
        <v>3120000</v>
      </c>
      <c r="E69" s="20" t="s">
        <v>369</v>
      </c>
      <c r="F69" s="20" t="s">
        <v>537</v>
      </c>
      <c r="G69" s="8" t="str">
        <f t="shared" si="2"/>
        <v>THOMPSON LESTER</v>
      </c>
      <c r="H69" s="20" t="str">
        <f t="shared" si="3"/>
        <v>4054</v>
      </c>
    </row>
    <row r="70" spans="1:8" x14ac:dyDescent="0.25">
      <c r="A70" s="8">
        <v>43086.359895833331</v>
      </c>
      <c r="B70" s="20" t="s">
        <v>702</v>
      </c>
      <c r="C70" s="20" t="s">
        <v>771</v>
      </c>
      <c r="D70" s="137">
        <v>3040000</v>
      </c>
      <c r="E70" s="20" t="s">
        <v>368</v>
      </c>
      <c r="F70" s="20" t="s">
        <v>524</v>
      </c>
      <c r="G70" s="8" t="str">
        <f t="shared" si="2"/>
        <v>WILLIAMS DONTE</v>
      </c>
      <c r="H70" s="20" t="str">
        <f t="shared" si="3"/>
        <v>4040</v>
      </c>
    </row>
    <row r="71" spans="1:8" x14ac:dyDescent="0.25">
      <c r="A71" s="8">
        <v>43086.362175925926</v>
      </c>
      <c r="B71" s="20" t="s">
        <v>362</v>
      </c>
      <c r="C71" s="20" t="s">
        <v>772</v>
      </c>
      <c r="D71" s="137">
        <v>2370000</v>
      </c>
      <c r="E71" s="20" t="s">
        <v>544</v>
      </c>
      <c r="F71" s="20" t="s">
        <v>545</v>
      </c>
      <c r="G71" s="8" t="str">
        <f t="shared" si="2"/>
        <v>DELGADO DIANAH</v>
      </c>
      <c r="H71" s="20" t="str">
        <f t="shared" si="3"/>
        <v>4017</v>
      </c>
    </row>
    <row r="72" spans="1:8" x14ac:dyDescent="0.25">
      <c r="A72" s="8">
        <v>43086.369027777779</v>
      </c>
      <c r="B72" s="20" t="s">
        <v>521</v>
      </c>
      <c r="C72" s="20" t="s">
        <v>773</v>
      </c>
      <c r="D72" s="137">
        <v>1100000</v>
      </c>
      <c r="E72" s="20" t="s">
        <v>538</v>
      </c>
      <c r="F72" s="20" t="s">
        <v>539</v>
      </c>
      <c r="G72" s="8" t="str">
        <f t="shared" si="2"/>
        <v>GEBRETEKLE DAGNEW</v>
      </c>
      <c r="H72" s="20" t="str">
        <f t="shared" si="3"/>
        <v>4031</v>
      </c>
    </row>
    <row r="73" spans="1:8" x14ac:dyDescent="0.25">
      <c r="A73" s="8">
        <v>43086.371817129628</v>
      </c>
      <c r="B73" s="20" t="s">
        <v>698</v>
      </c>
      <c r="C73" s="20" t="s">
        <v>774</v>
      </c>
      <c r="D73" s="137">
        <v>2010000</v>
      </c>
      <c r="E73" s="20" t="s">
        <v>522</v>
      </c>
      <c r="F73" s="20" t="s">
        <v>523</v>
      </c>
      <c r="G73" s="8" t="str">
        <f t="shared" si="2"/>
        <v>MAELZER KURT</v>
      </c>
      <c r="H73" s="20" t="str">
        <f t="shared" si="3"/>
        <v>4058</v>
      </c>
    </row>
    <row r="74" spans="1:8" x14ac:dyDescent="0.25">
      <c r="A74" s="8">
        <v>43086.377962962964</v>
      </c>
      <c r="B74" s="20" t="s">
        <v>560</v>
      </c>
      <c r="C74" s="20" t="s">
        <v>775</v>
      </c>
      <c r="D74" s="137">
        <v>2270000</v>
      </c>
      <c r="E74" s="20" t="s">
        <v>626</v>
      </c>
      <c r="F74" s="20" t="s">
        <v>627</v>
      </c>
      <c r="G74" s="8" t="str">
        <f t="shared" si="2"/>
        <v>BROWN JACOB</v>
      </c>
      <c r="H74" s="20" t="str">
        <f t="shared" si="3"/>
        <v>4044</v>
      </c>
    </row>
    <row r="75" spans="1:8" x14ac:dyDescent="0.25">
      <c r="A75" s="8">
        <v>43086.379108796296</v>
      </c>
      <c r="B75" s="20" t="s">
        <v>698</v>
      </c>
      <c r="C75" s="20" t="s">
        <v>774</v>
      </c>
      <c r="D75" s="137">
        <v>2010000</v>
      </c>
      <c r="E75" s="20" t="s">
        <v>522</v>
      </c>
      <c r="F75" s="20" t="s">
        <v>523</v>
      </c>
      <c r="G75" s="8" t="str">
        <f t="shared" si="2"/>
        <v>MAELZER KURT</v>
      </c>
      <c r="H75" s="20" t="str">
        <f t="shared" si="3"/>
        <v>4058</v>
      </c>
    </row>
    <row r="76" spans="1:8" x14ac:dyDescent="0.25">
      <c r="A76" s="8">
        <v>43086.382175925923</v>
      </c>
      <c r="B76" s="20" t="s">
        <v>356</v>
      </c>
      <c r="C76" s="20" t="s">
        <v>776</v>
      </c>
      <c r="D76" s="137">
        <v>3090000</v>
      </c>
      <c r="E76" s="20" t="s">
        <v>540</v>
      </c>
      <c r="F76" s="20" t="s">
        <v>541</v>
      </c>
      <c r="G76" s="8" t="str">
        <f t="shared" si="2"/>
        <v>LAMAR NEKESHA</v>
      </c>
      <c r="H76" s="20" t="str">
        <f t="shared" si="3"/>
        <v>4008</v>
      </c>
    </row>
    <row r="77" spans="1:8" x14ac:dyDescent="0.25">
      <c r="A77" s="8">
        <v>43086.385231481479</v>
      </c>
      <c r="B77" s="20" t="s">
        <v>625</v>
      </c>
      <c r="C77" s="20" t="s">
        <v>777</v>
      </c>
      <c r="D77" s="137">
        <v>3260000</v>
      </c>
      <c r="E77" s="20" t="s">
        <v>778</v>
      </c>
      <c r="F77" s="20" t="s">
        <v>779</v>
      </c>
      <c r="G77" s="8" t="str">
        <f t="shared" si="2"/>
        <v>PAGE MARCUS</v>
      </c>
      <c r="H77" s="20" t="str">
        <f t="shared" si="3"/>
        <v>4003</v>
      </c>
    </row>
    <row r="78" spans="1:8" x14ac:dyDescent="0.25">
      <c r="A78" s="8">
        <v>43086.39</v>
      </c>
      <c r="B78" s="20" t="s">
        <v>624</v>
      </c>
      <c r="C78" s="20" t="s">
        <v>777</v>
      </c>
      <c r="D78" s="137">
        <v>3260000</v>
      </c>
      <c r="E78" s="20" t="s">
        <v>778</v>
      </c>
      <c r="F78" s="20" t="s">
        <v>779</v>
      </c>
      <c r="G78" s="8" t="str">
        <f t="shared" si="2"/>
        <v>PAGE MARCUS</v>
      </c>
      <c r="H78" s="20" t="str">
        <f t="shared" si="3"/>
        <v>4004</v>
      </c>
    </row>
    <row r="79" spans="1:8" x14ac:dyDescent="0.25">
      <c r="A79" s="8">
        <v>43086.390289351853</v>
      </c>
      <c r="B79" s="20" t="s">
        <v>392</v>
      </c>
      <c r="C79" s="20" t="s">
        <v>780</v>
      </c>
      <c r="D79" s="137">
        <v>2440000</v>
      </c>
      <c r="E79" s="20" t="s">
        <v>454</v>
      </c>
      <c r="F79" s="20" t="s">
        <v>455</v>
      </c>
      <c r="G79" s="8" t="str">
        <f t="shared" si="2"/>
        <v>LOPES KIMBERLY</v>
      </c>
      <c r="H79" s="20" t="str">
        <f t="shared" si="3"/>
        <v>4030</v>
      </c>
    </row>
    <row r="80" spans="1:8" x14ac:dyDescent="0.25">
      <c r="A80" s="8">
        <v>43086.392534722225</v>
      </c>
      <c r="B80" s="20" t="s">
        <v>485</v>
      </c>
      <c r="C80" s="20" t="s">
        <v>697</v>
      </c>
      <c r="D80" s="137">
        <v>3120000</v>
      </c>
      <c r="E80" s="20" t="s">
        <v>369</v>
      </c>
      <c r="F80" s="20" t="s">
        <v>537</v>
      </c>
      <c r="G80" s="8" t="str">
        <f t="shared" si="2"/>
        <v>THOMPSON LESTER</v>
      </c>
      <c r="H80" s="20" t="str">
        <f t="shared" si="3"/>
        <v>4053</v>
      </c>
    </row>
    <row r="81" spans="1:8" x14ac:dyDescent="0.25">
      <c r="A81" s="8">
        <v>43086.393159722225</v>
      </c>
      <c r="B81" s="20" t="s">
        <v>561</v>
      </c>
      <c r="C81" s="20" t="s">
        <v>781</v>
      </c>
      <c r="D81" s="137">
        <v>2270000</v>
      </c>
      <c r="E81" s="20" t="s">
        <v>626</v>
      </c>
      <c r="F81" s="20" t="s">
        <v>627</v>
      </c>
      <c r="G81" s="8" t="str">
        <f t="shared" si="2"/>
        <v>BROWN JACOB</v>
      </c>
      <c r="H81" s="20" t="str">
        <f t="shared" si="3"/>
        <v>4043</v>
      </c>
    </row>
    <row r="82" spans="1:8" x14ac:dyDescent="0.25">
      <c r="A82" s="8">
        <v>43086.398564814815</v>
      </c>
      <c r="B82" s="20" t="s">
        <v>730</v>
      </c>
      <c r="C82" s="20" t="s">
        <v>782</v>
      </c>
      <c r="D82" s="137">
        <v>3040000</v>
      </c>
      <c r="E82" s="20" t="s">
        <v>368</v>
      </c>
      <c r="F82" s="20" t="s">
        <v>524</v>
      </c>
      <c r="G82" s="8" t="str">
        <f t="shared" si="2"/>
        <v>WILLIAMS DONTE</v>
      </c>
      <c r="H82" s="20" t="str">
        <f t="shared" si="3"/>
        <v>4039</v>
      </c>
    </row>
    <row r="83" spans="1:8" x14ac:dyDescent="0.25">
      <c r="A83" s="8">
        <v>43086.399675925924</v>
      </c>
      <c r="B83" s="20" t="s">
        <v>360</v>
      </c>
      <c r="C83" s="20" t="s">
        <v>783</v>
      </c>
      <c r="D83" s="137">
        <v>2370000</v>
      </c>
      <c r="E83" s="20" t="s">
        <v>544</v>
      </c>
      <c r="F83" s="20" t="s">
        <v>545</v>
      </c>
      <c r="G83" s="8" t="str">
        <f t="shared" si="2"/>
        <v>DELGADO DIANAH</v>
      </c>
      <c r="H83" s="20" t="str">
        <f t="shared" si="3"/>
        <v>4018</v>
      </c>
    </row>
    <row r="84" spans="1:8" x14ac:dyDescent="0.25">
      <c r="A84" s="8">
        <v>43086.406076388892</v>
      </c>
      <c r="B84" s="20" t="s">
        <v>562</v>
      </c>
      <c r="C84" s="20" t="s">
        <v>784</v>
      </c>
      <c r="D84" s="137">
        <v>2010000</v>
      </c>
      <c r="E84" s="20" t="s">
        <v>522</v>
      </c>
      <c r="F84" s="20" t="s">
        <v>523</v>
      </c>
      <c r="G84" s="8" t="str">
        <f t="shared" si="2"/>
        <v>MAELZER KURT</v>
      </c>
      <c r="H84" s="20" t="str">
        <f t="shared" si="3"/>
        <v>4057</v>
      </c>
    </row>
    <row r="85" spans="1:8" x14ac:dyDescent="0.25">
      <c r="A85" s="8">
        <v>43086.411539351851</v>
      </c>
      <c r="B85" s="20" t="s">
        <v>520</v>
      </c>
      <c r="C85" s="20" t="s">
        <v>785</v>
      </c>
      <c r="D85" s="137">
        <v>1100000</v>
      </c>
      <c r="E85" s="20" t="s">
        <v>538</v>
      </c>
      <c r="F85" s="20" t="s">
        <v>539</v>
      </c>
      <c r="G85" s="8" t="str">
        <f t="shared" si="2"/>
        <v>GEBRETEKLE DAGNEW</v>
      </c>
      <c r="H85" s="20" t="str">
        <f t="shared" si="3"/>
        <v>4032</v>
      </c>
    </row>
    <row r="86" spans="1:8" x14ac:dyDescent="0.25">
      <c r="A86" s="8">
        <v>43086.41847222222</v>
      </c>
      <c r="B86" s="20" t="s">
        <v>560</v>
      </c>
      <c r="C86" s="20" t="s">
        <v>786</v>
      </c>
      <c r="D86" s="137">
        <v>2270000</v>
      </c>
      <c r="E86" s="20" t="s">
        <v>626</v>
      </c>
      <c r="F86" s="20" t="s">
        <v>627</v>
      </c>
      <c r="G86" s="8" t="str">
        <f t="shared" si="2"/>
        <v>BROWN JACOB</v>
      </c>
      <c r="H86" s="20" t="str">
        <f t="shared" si="3"/>
        <v>4044</v>
      </c>
    </row>
    <row r="87" spans="1:8" x14ac:dyDescent="0.25">
      <c r="A87" s="8">
        <v>43086.421238425923</v>
      </c>
      <c r="B87" s="20" t="s">
        <v>361</v>
      </c>
      <c r="C87" s="20" t="s">
        <v>787</v>
      </c>
      <c r="D87" s="137">
        <v>3090000</v>
      </c>
      <c r="E87" s="20" t="s">
        <v>540</v>
      </c>
      <c r="F87" s="20" t="s">
        <v>541</v>
      </c>
      <c r="G87" s="8" t="str">
        <f t="shared" si="2"/>
        <v>LAMAR NEKESHA</v>
      </c>
      <c r="H87" s="20" t="str">
        <f t="shared" si="3"/>
        <v>4007</v>
      </c>
    </row>
    <row r="88" spans="1:8" x14ac:dyDescent="0.25">
      <c r="A88" s="8">
        <v>43086.424375000002</v>
      </c>
      <c r="B88" s="20" t="s">
        <v>484</v>
      </c>
      <c r="C88" s="20" t="s">
        <v>788</v>
      </c>
      <c r="D88" s="137">
        <v>2550000</v>
      </c>
      <c r="E88" s="20" t="s">
        <v>525</v>
      </c>
      <c r="F88" s="20" t="s">
        <v>526</v>
      </c>
      <c r="G88" s="8" t="str">
        <f t="shared" si="2"/>
        <v>BADERTSCHER DIANE</v>
      </c>
      <c r="H88" s="20" t="str">
        <f t="shared" si="3"/>
        <v>4054</v>
      </c>
    </row>
    <row r="89" spans="1:8" x14ac:dyDescent="0.25">
      <c r="A89" s="8">
        <v>43086.429050925923</v>
      </c>
      <c r="B89" s="20" t="s">
        <v>386</v>
      </c>
      <c r="C89" s="20" t="s">
        <v>789</v>
      </c>
      <c r="D89" s="137">
        <v>2440000</v>
      </c>
      <c r="E89" s="20" t="s">
        <v>454</v>
      </c>
      <c r="F89" s="20" t="s">
        <v>455</v>
      </c>
      <c r="G89" s="8" t="str">
        <f t="shared" si="2"/>
        <v>LOPES KIMBERLY</v>
      </c>
      <c r="H89" s="20" t="str">
        <f t="shared" si="3"/>
        <v>4029</v>
      </c>
    </row>
    <row r="90" spans="1:8" x14ac:dyDescent="0.25">
      <c r="A90" s="8">
        <v>43086.43341435185</v>
      </c>
      <c r="B90" s="20" t="s">
        <v>702</v>
      </c>
      <c r="C90" s="20" t="s">
        <v>790</v>
      </c>
      <c r="D90" s="137">
        <v>3040000</v>
      </c>
      <c r="E90" s="20" t="s">
        <v>368</v>
      </c>
      <c r="F90" s="20" t="s">
        <v>524</v>
      </c>
      <c r="G90" s="8" t="str">
        <f t="shared" si="2"/>
        <v>WILLIAMS DONTE</v>
      </c>
      <c r="H90" s="20" t="str">
        <f t="shared" si="3"/>
        <v>4040</v>
      </c>
    </row>
    <row r="91" spans="1:8" x14ac:dyDescent="0.25">
      <c r="A91" s="8">
        <v>43086.435578703706</v>
      </c>
      <c r="B91" s="20" t="s">
        <v>561</v>
      </c>
      <c r="C91" s="20" t="s">
        <v>791</v>
      </c>
      <c r="D91" s="137">
        <v>2270000</v>
      </c>
      <c r="E91" s="20" t="s">
        <v>626</v>
      </c>
      <c r="F91" s="20" t="s">
        <v>627</v>
      </c>
      <c r="G91" s="8" t="str">
        <f t="shared" si="2"/>
        <v>BROWN JACOB</v>
      </c>
      <c r="H91" s="20" t="str">
        <f t="shared" si="3"/>
        <v>4043</v>
      </c>
    </row>
    <row r="92" spans="1:8" x14ac:dyDescent="0.25">
      <c r="A92" s="8">
        <v>43086.43922453704</v>
      </c>
      <c r="B92" s="20" t="s">
        <v>362</v>
      </c>
      <c r="C92" s="20" t="s">
        <v>792</v>
      </c>
      <c r="D92" s="137">
        <v>2370000</v>
      </c>
      <c r="E92" s="20" t="s">
        <v>544</v>
      </c>
      <c r="F92" s="20" t="s">
        <v>545</v>
      </c>
      <c r="G92" s="8" t="str">
        <f t="shared" si="2"/>
        <v>DELGADO DIANAH</v>
      </c>
      <c r="H92" s="20" t="str">
        <f t="shared" si="3"/>
        <v>4017</v>
      </c>
    </row>
    <row r="93" spans="1:8" x14ac:dyDescent="0.25">
      <c r="A93" s="8">
        <v>43086.442986111113</v>
      </c>
      <c r="B93" s="20" t="s">
        <v>698</v>
      </c>
      <c r="C93" s="20" t="s">
        <v>699</v>
      </c>
      <c r="D93" s="137">
        <v>880000</v>
      </c>
      <c r="E93" s="20" t="s">
        <v>793</v>
      </c>
      <c r="F93" s="20" t="s">
        <v>352</v>
      </c>
      <c r="G93" s="8" t="str">
        <f t="shared" si="2"/>
        <v>STEWART MICHAEL</v>
      </c>
      <c r="H93" s="20" t="str">
        <f t="shared" si="3"/>
        <v>4058</v>
      </c>
    </row>
    <row r="94" spans="1:8" x14ac:dyDescent="0.25">
      <c r="A94" s="8">
        <v>43086.443935185183</v>
      </c>
      <c r="B94" s="20" t="s">
        <v>521</v>
      </c>
      <c r="C94" s="20" t="s">
        <v>794</v>
      </c>
      <c r="D94" s="137">
        <v>1100000</v>
      </c>
      <c r="E94" s="20" t="s">
        <v>538</v>
      </c>
      <c r="F94" s="20" t="s">
        <v>539</v>
      </c>
      <c r="G94" s="8" t="str">
        <f t="shared" si="2"/>
        <v>GEBRETEKLE DAGNEW</v>
      </c>
      <c r="H94" s="20" t="str">
        <f t="shared" si="3"/>
        <v>4031</v>
      </c>
    </row>
    <row r="95" spans="1:8" x14ac:dyDescent="0.25">
      <c r="A95" s="8">
        <v>43086.456331018519</v>
      </c>
      <c r="B95" s="20" t="s">
        <v>356</v>
      </c>
      <c r="C95" s="20" t="s">
        <v>795</v>
      </c>
      <c r="D95" s="137">
        <v>3090000</v>
      </c>
      <c r="E95" s="20" t="s">
        <v>540</v>
      </c>
      <c r="F95" s="20" t="s">
        <v>541</v>
      </c>
      <c r="G95" s="8" t="str">
        <f t="shared" si="2"/>
        <v>LAMAR NEKESHA</v>
      </c>
      <c r="H95" s="20" t="str">
        <f t="shared" si="3"/>
        <v>4008</v>
      </c>
    </row>
    <row r="96" spans="1:8" x14ac:dyDescent="0.25">
      <c r="A96" s="8">
        <v>43086.456817129627</v>
      </c>
      <c r="B96" s="20" t="s">
        <v>560</v>
      </c>
      <c r="C96" s="20" t="s">
        <v>796</v>
      </c>
      <c r="D96" s="137">
        <v>2270000</v>
      </c>
      <c r="E96" s="20" t="s">
        <v>626</v>
      </c>
      <c r="F96" s="20" t="s">
        <v>627</v>
      </c>
      <c r="G96" s="8" t="str">
        <f t="shared" si="2"/>
        <v>BROWN JACOB</v>
      </c>
      <c r="H96" s="20" t="str">
        <f t="shared" si="3"/>
        <v>4044</v>
      </c>
    </row>
    <row r="97" spans="1:8" x14ac:dyDescent="0.25">
      <c r="A97" s="8">
        <v>43086.464432870373</v>
      </c>
      <c r="B97" s="20" t="s">
        <v>392</v>
      </c>
      <c r="C97" s="20" t="s">
        <v>797</v>
      </c>
      <c r="D97" s="137">
        <v>3330000</v>
      </c>
      <c r="E97" s="20" t="s">
        <v>563</v>
      </c>
      <c r="F97" s="20" t="s">
        <v>564</v>
      </c>
      <c r="G97" s="8" t="str">
        <f t="shared" si="2"/>
        <v>GONZALEZ ARMANDO</v>
      </c>
      <c r="H97" s="20" t="str">
        <f t="shared" si="3"/>
        <v>4030</v>
      </c>
    </row>
    <row r="98" spans="1:8" x14ac:dyDescent="0.25">
      <c r="A98" s="8">
        <v>43086.464768518519</v>
      </c>
      <c r="B98" s="20" t="s">
        <v>485</v>
      </c>
      <c r="C98" s="20" t="s">
        <v>798</v>
      </c>
      <c r="D98" s="137">
        <v>2550000</v>
      </c>
      <c r="E98" s="20" t="s">
        <v>525</v>
      </c>
      <c r="F98" s="20" t="s">
        <v>526</v>
      </c>
      <c r="G98" s="8" t="str">
        <f t="shared" si="2"/>
        <v>BADERTSCHER DIANE</v>
      </c>
      <c r="H98" s="20" t="str">
        <f t="shared" si="3"/>
        <v>4053</v>
      </c>
    </row>
    <row r="99" spans="1:8" x14ac:dyDescent="0.25">
      <c r="A99" s="8">
        <v>43086.472546296296</v>
      </c>
      <c r="B99" s="20" t="s">
        <v>730</v>
      </c>
      <c r="C99" s="20" t="s">
        <v>799</v>
      </c>
      <c r="D99" s="137">
        <v>3040000</v>
      </c>
      <c r="E99" s="20" t="s">
        <v>368</v>
      </c>
      <c r="F99" s="20" t="s">
        <v>524</v>
      </c>
      <c r="G99" s="8" t="str">
        <f t="shared" si="2"/>
        <v>WILLIAMS DONTE</v>
      </c>
      <c r="H99" s="20" t="str">
        <f t="shared" si="3"/>
        <v>4039</v>
      </c>
    </row>
    <row r="100" spans="1:8" x14ac:dyDescent="0.25">
      <c r="A100" s="8">
        <v>43086.476331018515</v>
      </c>
      <c r="B100" s="20" t="s">
        <v>360</v>
      </c>
      <c r="C100" s="20" t="s">
        <v>800</v>
      </c>
      <c r="D100" s="137">
        <v>2630000</v>
      </c>
      <c r="E100" s="20" t="s">
        <v>372</v>
      </c>
      <c r="F100" s="20" t="s">
        <v>373</v>
      </c>
      <c r="G100" s="8" t="str">
        <f t="shared" si="2"/>
        <v>SAFIEF AEIMEN</v>
      </c>
      <c r="H100" s="20" t="str">
        <f t="shared" si="3"/>
        <v>4018</v>
      </c>
    </row>
    <row r="101" spans="1:8" x14ac:dyDescent="0.25">
      <c r="A101" s="8">
        <v>43086.47792824074</v>
      </c>
      <c r="B101" s="20" t="s">
        <v>561</v>
      </c>
      <c r="C101" s="20" t="s">
        <v>801</v>
      </c>
      <c r="D101" s="137">
        <v>2270000</v>
      </c>
      <c r="E101" s="20" t="s">
        <v>626</v>
      </c>
      <c r="F101" s="20" t="s">
        <v>627</v>
      </c>
      <c r="G101" s="8" t="str">
        <f t="shared" si="2"/>
        <v>BROWN JACOB</v>
      </c>
      <c r="H101" s="20" t="str">
        <f t="shared" si="3"/>
        <v>4043</v>
      </c>
    </row>
    <row r="102" spans="1:8" x14ac:dyDescent="0.25">
      <c r="A102" s="8">
        <v>43086.482615740744</v>
      </c>
      <c r="B102" s="20" t="s">
        <v>562</v>
      </c>
      <c r="C102" s="20" t="s">
        <v>802</v>
      </c>
      <c r="D102" s="137">
        <v>880000</v>
      </c>
      <c r="E102" s="20" t="s">
        <v>793</v>
      </c>
      <c r="F102" s="20" t="s">
        <v>352</v>
      </c>
      <c r="G102" s="8" t="str">
        <f t="shared" si="2"/>
        <v>STEWART MICHAEL</v>
      </c>
      <c r="H102" s="20" t="str">
        <f t="shared" si="3"/>
        <v>4057</v>
      </c>
    </row>
    <row r="103" spans="1:8" x14ac:dyDescent="0.25">
      <c r="A103" s="8">
        <v>43086.483611111114</v>
      </c>
      <c r="B103" s="20" t="s">
        <v>520</v>
      </c>
      <c r="C103" s="20" t="s">
        <v>700</v>
      </c>
      <c r="D103" s="137">
        <v>2970000</v>
      </c>
      <c r="E103" s="20" t="s">
        <v>374</v>
      </c>
      <c r="F103" s="20" t="s">
        <v>375</v>
      </c>
      <c r="G103" s="8" t="str">
        <f t="shared" si="2"/>
        <v>GUZMAN DANNY</v>
      </c>
      <c r="H103" s="20" t="str">
        <f t="shared" si="3"/>
        <v>4032</v>
      </c>
    </row>
    <row r="104" spans="1:8" x14ac:dyDescent="0.25">
      <c r="A104" s="8">
        <v>43086.495439814818</v>
      </c>
      <c r="B104" s="20" t="s">
        <v>361</v>
      </c>
      <c r="C104" s="20" t="s">
        <v>803</v>
      </c>
      <c r="D104" s="137">
        <v>3090000</v>
      </c>
      <c r="E104" s="20" t="s">
        <v>540</v>
      </c>
      <c r="F104" s="20" t="s">
        <v>541</v>
      </c>
      <c r="G104" s="8" t="str">
        <f t="shared" si="2"/>
        <v>LAMAR NEKESHA</v>
      </c>
      <c r="H104" s="20" t="str">
        <f t="shared" si="3"/>
        <v>4007</v>
      </c>
    </row>
    <row r="105" spans="1:8" x14ac:dyDescent="0.25">
      <c r="A105" s="8">
        <v>43086.497256944444</v>
      </c>
      <c r="B105" s="20" t="s">
        <v>484</v>
      </c>
      <c r="C105" s="20" t="s">
        <v>804</v>
      </c>
      <c r="D105" s="137">
        <v>2550000</v>
      </c>
      <c r="E105" s="20" t="s">
        <v>525</v>
      </c>
      <c r="F105" s="20" t="s">
        <v>526</v>
      </c>
      <c r="G105" s="8" t="str">
        <f t="shared" si="2"/>
        <v>BADERTSCHER DIANE</v>
      </c>
      <c r="H105" s="20" t="str">
        <f t="shared" si="3"/>
        <v>4054</v>
      </c>
    </row>
    <row r="106" spans="1:8" x14ac:dyDescent="0.25">
      <c r="A106" s="8">
        <v>43086.502222222225</v>
      </c>
      <c r="B106" s="20" t="s">
        <v>560</v>
      </c>
      <c r="C106" s="20" t="s">
        <v>796</v>
      </c>
      <c r="D106" s="137">
        <v>2270000</v>
      </c>
      <c r="E106" s="20" t="s">
        <v>626</v>
      </c>
      <c r="F106" s="20" t="s">
        <v>627</v>
      </c>
      <c r="G106" s="8" t="str">
        <f t="shared" si="2"/>
        <v>BROWN JACOB</v>
      </c>
      <c r="H106" s="20" t="str">
        <f t="shared" si="3"/>
        <v>4044</v>
      </c>
    </row>
    <row r="107" spans="1:8" x14ac:dyDescent="0.25">
      <c r="A107" s="8">
        <v>43086.503761574073</v>
      </c>
      <c r="B107" s="20" t="s">
        <v>386</v>
      </c>
      <c r="C107" s="20" t="s">
        <v>805</v>
      </c>
      <c r="D107" s="137">
        <v>3330000</v>
      </c>
      <c r="E107" s="20" t="s">
        <v>563</v>
      </c>
      <c r="F107" s="20" t="s">
        <v>564</v>
      </c>
      <c r="G107" s="8" t="str">
        <f t="shared" si="2"/>
        <v>GONZALEZ ARMANDO</v>
      </c>
      <c r="H107" s="20" t="str">
        <f t="shared" si="3"/>
        <v>4029</v>
      </c>
    </row>
    <row r="108" spans="1:8" x14ac:dyDescent="0.25">
      <c r="A108" s="8">
        <v>43086.505324074074</v>
      </c>
      <c r="B108" s="20" t="s">
        <v>702</v>
      </c>
      <c r="C108" s="20" t="s">
        <v>703</v>
      </c>
      <c r="D108" s="137">
        <v>2610000</v>
      </c>
      <c r="E108" s="20" t="s">
        <v>380</v>
      </c>
      <c r="F108" s="20" t="s">
        <v>381</v>
      </c>
      <c r="G108" s="8" t="str">
        <f t="shared" si="2"/>
        <v>MAGEE KENYA</v>
      </c>
      <c r="H108" s="20" t="str">
        <f t="shared" si="3"/>
        <v>4040</v>
      </c>
    </row>
    <row r="109" spans="1:8" x14ac:dyDescent="0.25">
      <c r="A109" s="8">
        <v>43086.51767361111</v>
      </c>
      <c r="B109" s="20" t="s">
        <v>521</v>
      </c>
      <c r="C109" s="20" t="s">
        <v>806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4031</v>
      </c>
    </row>
    <row r="110" spans="1:8" x14ac:dyDescent="0.25">
      <c r="A110" s="8">
        <v>43086.51798611111</v>
      </c>
      <c r="B110" s="20" t="s">
        <v>698</v>
      </c>
      <c r="C110" s="20" t="s">
        <v>807</v>
      </c>
      <c r="D110" s="137">
        <v>880000</v>
      </c>
      <c r="E110" s="20" t="s">
        <v>793</v>
      </c>
      <c r="F110" s="20" t="s">
        <v>352</v>
      </c>
      <c r="G110" s="8" t="str">
        <f t="shared" si="2"/>
        <v>STEWART MICHAEL</v>
      </c>
      <c r="H110" s="20" t="str">
        <f t="shared" si="3"/>
        <v>4058</v>
      </c>
    </row>
    <row r="111" spans="1:8" x14ac:dyDescent="0.25">
      <c r="A111" s="8">
        <v>43086.518310185187</v>
      </c>
      <c r="B111" s="20" t="s">
        <v>362</v>
      </c>
      <c r="C111" s="20" t="s">
        <v>701</v>
      </c>
      <c r="D111" s="137">
        <v>2630000</v>
      </c>
      <c r="E111" s="20" t="s">
        <v>372</v>
      </c>
      <c r="F111" s="20" t="s">
        <v>373</v>
      </c>
      <c r="G111" s="8" t="str">
        <f t="shared" si="2"/>
        <v>SAFIEF AEIMEN</v>
      </c>
      <c r="H111" s="20" t="str">
        <f t="shared" si="3"/>
        <v>4017</v>
      </c>
    </row>
    <row r="112" spans="1:8" x14ac:dyDescent="0.25">
      <c r="A112" s="8">
        <v>43086.518888888888</v>
      </c>
      <c r="B112" s="20" t="s">
        <v>561</v>
      </c>
      <c r="C112" s="20" t="s">
        <v>808</v>
      </c>
      <c r="D112" s="137">
        <v>2270000</v>
      </c>
      <c r="E112" s="20" t="s">
        <v>626</v>
      </c>
      <c r="F112" s="20" t="s">
        <v>627</v>
      </c>
      <c r="G112" s="8" t="str">
        <f t="shared" si="2"/>
        <v>BROWN JACOB</v>
      </c>
      <c r="H112" s="20" t="str">
        <f t="shared" si="3"/>
        <v>4043</v>
      </c>
    </row>
    <row r="113" spans="1:8" x14ac:dyDescent="0.25">
      <c r="A113" s="8">
        <v>43086.527928240743</v>
      </c>
      <c r="B113" s="20" t="s">
        <v>356</v>
      </c>
      <c r="C113" s="20" t="s">
        <v>809</v>
      </c>
      <c r="D113" s="137">
        <v>2230000</v>
      </c>
      <c r="E113" s="20" t="s">
        <v>393</v>
      </c>
      <c r="F113" s="20" t="s">
        <v>352</v>
      </c>
      <c r="G113" s="8" t="str">
        <f t="shared" si="2"/>
        <v>SMITH MICHAEL</v>
      </c>
      <c r="H113" s="20" t="str">
        <f t="shared" si="3"/>
        <v>4008</v>
      </c>
    </row>
    <row r="114" spans="1:8" x14ac:dyDescent="0.25">
      <c r="A114" s="8">
        <v>43086.53533564815</v>
      </c>
      <c r="B114" s="20" t="s">
        <v>485</v>
      </c>
      <c r="C114" s="20" t="s">
        <v>810</v>
      </c>
      <c r="D114" s="137">
        <v>2550000</v>
      </c>
      <c r="E114" s="20" t="s">
        <v>525</v>
      </c>
      <c r="F114" s="20" t="s">
        <v>526</v>
      </c>
      <c r="G114" s="8" t="str">
        <f t="shared" si="2"/>
        <v>BADERTSCHER DIANE</v>
      </c>
      <c r="H114" s="20" t="str">
        <f t="shared" si="3"/>
        <v>4053</v>
      </c>
    </row>
    <row r="115" spans="1:8" x14ac:dyDescent="0.25">
      <c r="A115" s="8">
        <v>43086.537766203706</v>
      </c>
      <c r="B115" s="20" t="s">
        <v>392</v>
      </c>
      <c r="C115" s="20" t="s">
        <v>811</v>
      </c>
      <c r="D115" s="137">
        <v>920000</v>
      </c>
      <c r="E115" s="20" t="s">
        <v>580</v>
      </c>
      <c r="F115" s="20" t="s">
        <v>352</v>
      </c>
      <c r="G115" s="8" t="str">
        <f t="shared" si="2"/>
        <v>DAVIS MICHAEL</v>
      </c>
      <c r="H115" s="20" t="str">
        <f t="shared" si="3"/>
        <v>4030</v>
      </c>
    </row>
    <row r="116" spans="1:8" x14ac:dyDescent="0.25">
      <c r="A116" s="8">
        <v>43086.53875</v>
      </c>
      <c r="B116" s="20" t="s">
        <v>730</v>
      </c>
      <c r="C116" s="20" t="s">
        <v>812</v>
      </c>
      <c r="D116" s="137">
        <v>2610000</v>
      </c>
      <c r="E116" s="20" t="s">
        <v>380</v>
      </c>
      <c r="F116" s="20" t="s">
        <v>381</v>
      </c>
      <c r="G116" s="8" t="str">
        <f t="shared" si="2"/>
        <v>MAGEE KENYA</v>
      </c>
      <c r="H116" s="20" t="str">
        <f t="shared" si="3"/>
        <v>4039</v>
      </c>
    </row>
    <row r="117" spans="1:8" x14ac:dyDescent="0.25">
      <c r="A117" s="8">
        <v>43086.541956018518</v>
      </c>
      <c r="B117" s="20" t="s">
        <v>560</v>
      </c>
      <c r="C117" s="20" t="s">
        <v>704</v>
      </c>
      <c r="D117" s="137">
        <v>2270000</v>
      </c>
      <c r="E117" s="20" t="s">
        <v>626</v>
      </c>
      <c r="F117" s="20" t="s">
        <v>627</v>
      </c>
      <c r="G117" s="8" t="str">
        <f t="shared" si="2"/>
        <v>BROWN JACOB</v>
      </c>
      <c r="H117" s="20" t="str">
        <f t="shared" si="3"/>
        <v>4044</v>
      </c>
    </row>
    <row r="118" spans="1:8" x14ac:dyDescent="0.25">
      <c r="A118" s="8">
        <v>43086.549583333333</v>
      </c>
      <c r="B118" s="20" t="s">
        <v>360</v>
      </c>
      <c r="C118" s="20" t="s">
        <v>813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4018</v>
      </c>
    </row>
    <row r="119" spans="1:8" x14ac:dyDescent="0.25">
      <c r="A119" s="8">
        <v>43086.55667824074</v>
      </c>
      <c r="B119" s="20" t="s">
        <v>562</v>
      </c>
      <c r="C119" s="20" t="s">
        <v>814</v>
      </c>
      <c r="D119" s="137">
        <v>880000</v>
      </c>
      <c r="E119" s="20" t="s">
        <v>793</v>
      </c>
      <c r="F119" s="20" t="s">
        <v>352</v>
      </c>
      <c r="G119" s="8" t="str">
        <f t="shared" si="2"/>
        <v>STEWART MICHAEL</v>
      </c>
      <c r="H119" s="20" t="str">
        <f t="shared" si="3"/>
        <v>4057</v>
      </c>
    </row>
    <row r="120" spans="1:8" x14ac:dyDescent="0.25">
      <c r="A120" s="8">
        <v>43086.559444444443</v>
      </c>
      <c r="B120" s="20" t="s">
        <v>520</v>
      </c>
      <c r="C120" s="20" t="s">
        <v>815</v>
      </c>
      <c r="D120" s="137">
        <v>2970000</v>
      </c>
      <c r="E120" s="20" t="s">
        <v>374</v>
      </c>
      <c r="F120" s="20" t="s">
        <v>375</v>
      </c>
      <c r="G120" s="8" t="str">
        <f t="shared" si="2"/>
        <v>GUZMAN DANNY</v>
      </c>
      <c r="H120" s="20" t="str">
        <f t="shared" si="3"/>
        <v>4032</v>
      </c>
    </row>
    <row r="121" spans="1:8" x14ac:dyDescent="0.25">
      <c r="A121" s="8">
        <v>43086.560208333336</v>
      </c>
      <c r="B121" s="20" t="s">
        <v>561</v>
      </c>
      <c r="C121" s="20" t="s">
        <v>816</v>
      </c>
      <c r="D121" s="137">
        <v>2270000</v>
      </c>
      <c r="E121" s="20" t="s">
        <v>626</v>
      </c>
      <c r="F121" s="20" t="s">
        <v>627</v>
      </c>
      <c r="G121" s="8" t="str">
        <f t="shared" si="2"/>
        <v>BROWN JACOB</v>
      </c>
      <c r="H121" s="20" t="str">
        <f t="shared" si="3"/>
        <v>4043</v>
      </c>
    </row>
    <row r="122" spans="1:8" x14ac:dyDescent="0.25">
      <c r="A122" s="8">
        <v>43086.565439814818</v>
      </c>
      <c r="B122" s="25" t="s">
        <v>361</v>
      </c>
      <c r="C122" s="20" t="s">
        <v>817</v>
      </c>
      <c r="D122" s="137">
        <v>2230000</v>
      </c>
      <c r="E122" s="20" t="s">
        <v>393</v>
      </c>
      <c r="F122" s="20" t="s">
        <v>352</v>
      </c>
      <c r="G122" s="8" t="str">
        <f t="shared" si="2"/>
        <v>SMITH MICHAEL</v>
      </c>
      <c r="H122" s="20" t="str">
        <f t="shared" si="3"/>
        <v>4007</v>
      </c>
    </row>
    <row r="123" spans="1:8" x14ac:dyDescent="0.25">
      <c r="A123" s="8">
        <v>43086.570277777777</v>
      </c>
      <c r="B123" s="20" t="s">
        <v>484</v>
      </c>
      <c r="C123" s="20" t="s">
        <v>818</v>
      </c>
      <c r="D123" s="137">
        <v>2550000</v>
      </c>
      <c r="E123" s="20" t="s">
        <v>525</v>
      </c>
      <c r="F123" s="20" t="s">
        <v>526</v>
      </c>
      <c r="G123" s="8" t="str">
        <f t="shared" si="2"/>
        <v>BADERTSCHER DIANE</v>
      </c>
      <c r="H123" s="20" t="str">
        <f t="shared" si="3"/>
        <v>4054</v>
      </c>
    </row>
    <row r="124" spans="1:8" x14ac:dyDescent="0.25">
      <c r="A124" s="8">
        <v>43086.580613425926</v>
      </c>
      <c r="B124" s="20" t="s">
        <v>386</v>
      </c>
      <c r="C124" s="20" t="s">
        <v>819</v>
      </c>
      <c r="D124" s="137">
        <v>920000</v>
      </c>
      <c r="E124" s="20" t="s">
        <v>580</v>
      </c>
      <c r="F124" s="20" t="s">
        <v>352</v>
      </c>
      <c r="G124" s="8" t="str">
        <f t="shared" si="2"/>
        <v>DAVIS MICHAEL</v>
      </c>
      <c r="H124" s="20" t="str">
        <f t="shared" si="3"/>
        <v>4029</v>
      </c>
    </row>
    <row r="125" spans="1:8" x14ac:dyDescent="0.25">
      <c r="A125" s="8">
        <v>43086.580937500003</v>
      </c>
      <c r="B125" s="20" t="s">
        <v>362</v>
      </c>
      <c r="C125" s="20" t="s">
        <v>820</v>
      </c>
      <c r="D125" s="137">
        <v>2630000</v>
      </c>
      <c r="E125" s="20" t="s">
        <v>372</v>
      </c>
      <c r="F125" s="20" t="s">
        <v>373</v>
      </c>
      <c r="G125" s="8" t="str">
        <f t="shared" si="2"/>
        <v>SAFIEF AEIMEN</v>
      </c>
      <c r="H125" s="20" t="str">
        <f t="shared" si="3"/>
        <v>4017</v>
      </c>
    </row>
    <row r="126" spans="1:8" x14ac:dyDescent="0.25">
      <c r="A126" s="8">
        <v>43086.581759259258</v>
      </c>
      <c r="B126" s="20" t="s">
        <v>702</v>
      </c>
      <c r="C126" s="20" t="s">
        <v>821</v>
      </c>
      <c r="D126" s="137">
        <v>2610000</v>
      </c>
      <c r="E126" s="20" t="s">
        <v>380</v>
      </c>
      <c r="F126" s="20" t="s">
        <v>381</v>
      </c>
      <c r="G126" s="8" t="str">
        <f t="shared" si="2"/>
        <v>MAGEE KENYA</v>
      </c>
      <c r="H126" s="20" t="str">
        <f t="shared" si="3"/>
        <v>4040</v>
      </c>
    </row>
    <row r="127" spans="1:8" x14ac:dyDescent="0.25">
      <c r="A127" s="8">
        <v>43086.582777777781</v>
      </c>
      <c r="B127" s="20" t="s">
        <v>560</v>
      </c>
      <c r="C127" s="20" t="s">
        <v>822</v>
      </c>
      <c r="D127" s="137">
        <v>2420000</v>
      </c>
      <c r="E127" s="20" t="s">
        <v>542</v>
      </c>
      <c r="F127" s="20" t="s">
        <v>543</v>
      </c>
      <c r="G127" s="8" t="str">
        <f t="shared" si="2"/>
        <v>HOLCOMB KAMDEN</v>
      </c>
      <c r="H127" s="20" t="str">
        <f t="shared" si="3"/>
        <v>4044</v>
      </c>
    </row>
    <row r="128" spans="1:8" x14ac:dyDescent="0.25">
      <c r="A128" s="8">
        <v>43086.591226851851</v>
      </c>
      <c r="B128" s="20" t="s">
        <v>698</v>
      </c>
      <c r="C128" s="20" t="s">
        <v>823</v>
      </c>
      <c r="D128" s="137">
        <v>880000</v>
      </c>
      <c r="E128" s="20" t="s">
        <v>793</v>
      </c>
      <c r="F128" s="20" t="s">
        <v>352</v>
      </c>
      <c r="G128" s="8" t="str">
        <f t="shared" si="2"/>
        <v>STEWART MICHAEL</v>
      </c>
      <c r="H128" s="20" t="str">
        <f t="shared" si="3"/>
        <v>4058</v>
      </c>
    </row>
    <row r="129" spans="1:8" x14ac:dyDescent="0.25">
      <c r="A129" s="8">
        <v>43086.592314814814</v>
      </c>
      <c r="B129" s="20" t="s">
        <v>521</v>
      </c>
      <c r="C129" s="20" t="s">
        <v>824</v>
      </c>
      <c r="D129" s="137">
        <v>2970000</v>
      </c>
      <c r="E129" s="20" t="s">
        <v>374</v>
      </c>
      <c r="F129" s="20" t="s">
        <v>375</v>
      </c>
      <c r="G129" s="8" t="str">
        <f t="shared" si="2"/>
        <v>GUZMAN DANNY</v>
      </c>
      <c r="H129" s="20" t="str">
        <f t="shared" si="3"/>
        <v>4031</v>
      </c>
    </row>
    <row r="130" spans="1:8" x14ac:dyDescent="0.25">
      <c r="A130" s="8">
        <v>43086.599976851852</v>
      </c>
      <c r="B130" s="20" t="s">
        <v>356</v>
      </c>
      <c r="C130" s="20" t="s">
        <v>825</v>
      </c>
      <c r="D130" s="137">
        <v>2230000</v>
      </c>
      <c r="E130" s="20" t="s">
        <v>393</v>
      </c>
      <c r="F130" s="20" t="s">
        <v>352</v>
      </c>
      <c r="G130" s="8" t="str">
        <f t="shared" si="2"/>
        <v>SMITH MICHAEL</v>
      </c>
      <c r="H130" s="20" t="str">
        <f t="shared" si="3"/>
        <v>4008</v>
      </c>
    </row>
    <row r="131" spans="1:8" x14ac:dyDescent="0.25">
      <c r="A131" s="8">
        <v>43086.601689814815</v>
      </c>
      <c r="B131" s="20" t="s">
        <v>561</v>
      </c>
      <c r="C131" s="20" t="s">
        <v>705</v>
      </c>
      <c r="D131" s="137">
        <v>2420000</v>
      </c>
      <c r="E131" s="20" t="s">
        <v>542</v>
      </c>
      <c r="F131" s="20" t="s">
        <v>543</v>
      </c>
      <c r="G131" s="8" t="str">
        <f t="shared" ref="G131:G194" si="4">E131&amp;" "&amp;F131</f>
        <v>HOLCOMB KAMDEN</v>
      </c>
      <c r="H131" s="20" t="str">
        <f t="shared" ref="H131:H194" si="5">MID(B131,13,4)</f>
        <v>4043</v>
      </c>
    </row>
    <row r="132" spans="1:8" x14ac:dyDescent="0.25">
      <c r="A132" s="8">
        <v>43086.608726851853</v>
      </c>
      <c r="B132" s="20" t="s">
        <v>485</v>
      </c>
      <c r="C132" s="20" t="s">
        <v>826</v>
      </c>
      <c r="D132" s="137">
        <v>2550000</v>
      </c>
      <c r="E132" s="20" t="s">
        <v>525</v>
      </c>
      <c r="F132" s="20" t="s">
        <v>526</v>
      </c>
      <c r="G132" s="8" t="str">
        <f t="shared" si="4"/>
        <v>BADERTSCHER DIANE</v>
      </c>
      <c r="H132" s="20" t="str">
        <f t="shared" si="5"/>
        <v>4053</v>
      </c>
    </row>
    <row r="133" spans="1:8" x14ac:dyDescent="0.25">
      <c r="A133" s="8">
        <v>43086.613518518519</v>
      </c>
      <c r="B133" s="20" t="s">
        <v>392</v>
      </c>
      <c r="C133" s="20" t="s">
        <v>827</v>
      </c>
      <c r="D133" s="137">
        <v>920000</v>
      </c>
      <c r="E133" s="20" t="s">
        <v>580</v>
      </c>
      <c r="F133" s="20" t="s">
        <v>352</v>
      </c>
      <c r="G133" s="8" t="str">
        <f t="shared" si="4"/>
        <v>DAVIS MICHAEL</v>
      </c>
      <c r="H133" s="20" t="str">
        <f t="shared" si="5"/>
        <v>4030</v>
      </c>
    </row>
    <row r="134" spans="1:8" x14ac:dyDescent="0.25">
      <c r="A134" s="8">
        <v>43086.621516203704</v>
      </c>
      <c r="B134" s="20" t="s">
        <v>360</v>
      </c>
      <c r="C134" s="20" t="s">
        <v>828</v>
      </c>
      <c r="D134" s="137">
        <v>2630000</v>
      </c>
      <c r="E134" s="20" t="s">
        <v>372</v>
      </c>
      <c r="F134" s="20" t="s">
        <v>373</v>
      </c>
      <c r="G134" s="8" t="str">
        <f t="shared" si="4"/>
        <v>SAFIEF AEIMEN</v>
      </c>
      <c r="H134" s="20" t="str">
        <f t="shared" si="5"/>
        <v>4018</v>
      </c>
    </row>
    <row r="135" spans="1:8" x14ac:dyDescent="0.25">
      <c r="A135" s="8">
        <v>43086.622002314813</v>
      </c>
      <c r="B135" s="20" t="s">
        <v>730</v>
      </c>
      <c r="C135" s="20" t="s">
        <v>829</v>
      </c>
      <c r="D135" s="137">
        <v>2610000</v>
      </c>
      <c r="E135" s="20" t="s">
        <v>380</v>
      </c>
      <c r="F135" s="20" t="s">
        <v>381</v>
      </c>
      <c r="G135" s="8" t="str">
        <f t="shared" si="4"/>
        <v>MAGEE KENYA</v>
      </c>
      <c r="H135" s="20" t="str">
        <f t="shared" si="5"/>
        <v>4039</v>
      </c>
    </row>
    <row r="136" spans="1:8" x14ac:dyDescent="0.25">
      <c r="A136" s="8">
        <v>43086.629363425927</v>
      </c>
      <c r="B136" s="20" t="s">
        <v>560</v>
      </c>
      <c r="C136" s="20" t="s">
        <v>830</v>
      </c>
      <c r="D136" s="137">
        <v>2420000</v>
      </c>
      <c r="E136" s="20" t="s">
        <v>542</v>
      </c>
      <c r="F136" s="20" t="s">
        <v>543</v>
      </c>
      <c r="G136" s="8" t="str">
        <f t="shared" si="4"/>
        <v>HOLCOMB KAMDEN</v>
      </c>
      <c r="H136" s="20" t="str">
        <f t="shared" si="5"/>
        <v>4044</v>
      </c>
    </row>
    <row r="137" spans="1:8" x14ac:dyDescent="0.25">
      <c r="A137" s="8">
        <v>43086.630497685182</v>
      </c>
      <c r="B137" s="20" t="s">
        <v>562</v>
      </c>
      <c r="C137" s="20" t="s">
        <v>831</v>
      </c>
      <c r="D137" s="137">
        <v>880000</v>
      </c>
      <c r="E137" s="20" t="s">
        <v>793</v>
      </c>
      <c r="F137" s="20" t="s">
        <v>352</v>
      </c>
      <c r="G137" s="8" t="str">
        <f t="shared" si="4"/>
        <v>STEWART MICHAEL</v>
      </c>
      <c r="H137" s="20" t="str">
        <f t="shared" si="5"/>
        <v>4057</v>
      </c>
    </row>
    <row r="138" spans="1:8" x14ac:dyDescent="0.25">
      <c r="A138" s="8">
        <v>43086.631493055553</v>
      </c>
      <c r="B138" s="20" t="s">
        <v>520</v>
      </c>
      <c r="C138" s="20" t="s">
        <v>706</v>
      </c>
      <c r="D138" s="137">
        <v>2970000</v>
      </c>
      <c r="E138" s="20" t="s">
        <v>374</v>
      </c>
      <c r="F138" s="20" t="s">
        <v>375</v>
      </c>
      <c r="G138" s="8" t="str">
        <f t="shared" si="4"/>
        <v>GUZMAN DANNY</v>
      </c>
      <c r="H138" s="20" t="str">
        <f t="shared" si="5"/>
        <v>4032</v>
      </c>
    </row>
    <row r="139" spans="1:8" x14ac:dyDescent="0.25">
      <c r="A139" s="8">
        <v>43086.634120370371</v>
      </c>
      <c r="B139" s="20" t="s">
        <v>361</v>
      </c>
      <c r="C139" s="20" t="s">
        <v>832</v>
      </c>
      <c r="D139" s="137">
        <v>2230000</v>
      </c>
      <c r="E139" s="20" t="s">
        <v>393</v>
      </c>
      <c r="F139" s="20" t="s">
        <v>352</v>
      </c>
      <c r="G139" s="8" t="str">
        <f t="shared" si="4"/>
        <v>SMITH MICHAEL</v>
      </c>
      <c r="H139" s="20" t="str">
        <f t="shared" si="5"/>
        <v>4007</v>
      </c>
    </row>
    <row r="140" spans="1:8" x14ac:dyDescent="0.25">
      <c r="A140" s="8">
        <v>43086.64203703704</v>
      </c>
      <c r="B140" s="20" t="s">
        <v>484</v>
      </c>
      <c r="C140" s="20" t="s">
        <v>833</v>
      </c>
      <c r="D140" s="137">
        <v>2550000</v>
      </c>
      <c r="E140" s="20" t="s">
        <v>525</v>
      </c>
      <c r="F140" s="20" t="s">
        <v>526</v>
      </c>
      <c r="G140" s="8" t="str">
        <f t="shared" si="4"/>
        <v>BADERTSCHER DIANE</v>
      </c>
      <c r="H140" s="20" t="str">
        <f t="shared" si="5"/>
        <v>4054</v>
      </c>
    </row>
    <row r="141" spans="1:8" x14ac:dyDescent="0.25">
      <c r="A141" s="8">
        <v>43086.64261574074</v>
      </c>
      <c r="B141" s="20" t="s">
        <v>561</v>
      </c>
      <c r="C141" s="20" t="s">
        <v>834</v>
      </c>
      <c r="D141" s="137">
        <v>2420000</v>
      </c>
      <c r="E141" s="20" t="s">
        <v>542</v>
      </c>
      <c r="F141" s="20" t="s">
        <v>543</v>
      </c>
      <c r="G141" s="8" t="str">
        <f t="shared" si="4"/>
        <v>HOLCOMB KAMDEN</v>
      </c>
      <c r="H141" s="20" t="str">
        <f t="shared" si="5"/>
        <v>4043</v>
      </c>
    </row>
    <row r="142" spans="1:8" x14ac:dyDescent="0.25">
      <c r="A142" s="8">
        <v>43086.651724537034</v>
      </c>
      <c r="B142" s="20" t="s">
        <v>702</v>
      </c>
      <c r="C142" s="20" t="s">
        <v>707</v>
      </c>
      <c r="D142" s="137">
        <v>2610000</v>
      </c>
      <c r="E142" s="20" t="s">
        <v>380</v>
      </c>
      <c r="F142" s="20" t="s">
        <v>381</v>
      </c>
      <c r="G142" s="8" t="str">
        <f t="shared" si="4"/>
        <v>MAGEE KENYA</v>
      </c>
      <c r="H142" s="20" t="str">
        <f t="shared" si="5"/>
        <v>4040</v>
      </c>
    </row>
    <row r="143" spans="1:8" x14ac:dyDescent="0.25">
      <c r="A143" s="8">
        <v>43086.652291666665</v>
      </c>
      <c r="B143" s="20" t="s">
        <v>386</v>
      </c>
      <c r="C143" s="20" t="s">
        <v>835</v>
      </c>
      <c r="D143" s="137">
        <v>920000</v>
      </c>
      <c r="E143" s="20" t="s">
        <v>580</v>
      </c>
      <c r="F143" s="20" t="s">
        <v>352</v>
      </c>
      <c r="G143" s="8" t="str">
        <f t="shared" si="4"/>
        <v>DAVIS MICHAEL</v>
      </c>
      <c r="H143" s="20" t="str">
        <f t="shared" si="5"/>
        <v>4029</v>
      </c>
    </row>
    <row r="144" spans="1:8" x14ac:dyDescent="0.25">
      <c r="A144" s="8">
        <v>43086.652361111112</v>
      </c>
      <c r="B144" s="20" t="s">
        <v>362</v>
      </c>
      <c r="C144" s="20" t="s">
        <v>836</v>
      </c>
      <c r="D144" s="137">
        <v>2630000</v>
      </c>
      <c r="E144" s="20" t="s">
        <v>372</v>
      </c>
      <c r="F144" s="20" t="s">
        <v>373</v>
      </c>
      <c r="G144" s="8" t="str">
        <f t="shared" si="4"/>
        <v>SAFIEF AEIMEN</v>
      </c>
      <c r="H144" s="20" t="str">
        <f t="shared" si="5"/>
        <v>4017</v>
      </c>
    </row>
    <row r="145" spans="1:8" x14ac:dyDescent="0.25">
      <c r="A145" s="8">
        <v>43086.660300925927</v>
      </c>
      <c r="B145" s="20" t="s">
        <v>624</v>
      </c>
      <c r="C145" s="20" t="s">
        <v>837</v>
      </c>
      <c r="D145" s="137">
        <v>3680000</v>
      </c>
      <c r="E145" s="20" t="s">
        <v>475</v>
      </c>
      <c r="F145" s="20" t="s">
        <v>476</v>
      </c>
      <c r="G145" s="8" t="str">
        <f t="shared" si="4"/>
        <v>HAMMOND JUSTYNN</v>
      </c>
      <c r="H145" s="20" t="str">
        <f t="shared" si="5"/>
        <v>4004</v>
      </c>
    </row>
    <row r="146" spans="1:8" x14ac:dyDescent="0.25">
      <c r="A146" s="8">
        <v>43086.664178240739</v>
      </c>
      <c r="B146" s="20" t="s">
        <v>698</v>
      </c>
      <c r="C146" s="20" t="s">
        <v>838</v>
      </c>
      <c r="D146" s="137">
        <v>880000</v>
      </c>
      <c r="E146" s="20" t="s">
        <v>793</v>
      </c>
      <c r="F146" s="20" t="s">
        <v>352</v>
      </c>
      <c r="G146" s="8" t="str">
        <f t="shared" si="4"/>
        <v>STEWART MICHAEL</v>
      </c>
      <c r="H146" s="20" t="str">
        <f t="shared" si="5"/>
        <v>4058</v>
      </c>
    </row>
    <row r="147" spans="1:8" x14ac:dyDescent="0.25">
      <c r="A147" s="8">
        <v>43086.665277777778</v>
      </c>
      <c r="B147" s="20" t="s">
        <v>521</v>
      </c>
      <c r="C147" s="20" t="s">
        <v>839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4031</v>
      </c>
    </row>
    <row r="148" spans="1:8" x14ac:dyDescent="0.25">
      <c r="A148" s="8">
        <v>43086.671030092592</v>
      </c>
      <c r="B148" s="20" t="s">
        <v>560</v>
      </c>
      <c r="C148" s="20" t="s">
        <v>708</v>
      </c>
      <c r="D148" s="137">
        <v>2420000</v>
      </c>
      <c r="E148" s="20" t="s">
        <v>542</v>
      </c>
      <c r="F148" s="20" t="s">
        <v>543</v>
      </c>
      <c r="G148" s="8" t="str">
        <f t="shared" si="4"/>
        <v>HOLCOMB KAMDEN</v>
      </c>
      <c r="H148" s="20" t="str">
        <f t="shared" si="5"/>
        <v>4044</v>
      </c>
    </row>
    <row r="149" spans="1:8" x14ac:dyDescent="0.25">
      <c r="A149" s="8">
        <v>43086.672118055554</v>
      </c>
      <c r="B149" s="20" t="s">
        <v>625</v>
      </c>
      <c r="C149" s="20" t="s">
        <v>837</v>
      </c>
      <c r="D149" s="137">
        <v>3680000</v>
      </c>
      <c r="E149" s="20" t="s">
        <v>475</v>
      </c>
      <c r="F149" s="20" t="s">
        <v>476</v>
      </c>
      <c r="G149" s="8" t="str">
        <f t="shared" si="4"/>
        <v>HAMMOND JUSTYNN</v>
      </c>
      <c r="H149" s="20" t="str">
        <f t="shared" si="5"/>
        <v>4003</v>
      </c>
    </row>
    <row r="150" spans="1:8" x14ac:dyDescent="0.25">
      <c r="A150" s="8">
        <v>43086.672384259262</v>
      </c>
      <c r="B150" s="20" t="s">
        <v>356</v>
      </c>
      <c r="C150" s="20" t="s">
        <v>840</v>
      </c>
      <c r="D150" s="137">
        <v>2230000</v>
      </c>
      <c r="E150" s="20" t="s">
        <v>393</v>
      </c>
      <c r="F150" s="20" t="s">
        <v>352</v>
      </c>
      <c r="G150" s="8" t="str">
        <f t="shared" si="4"/>
        <v>SMITH MICHAEL</v>
      </c>
      <c r="H150" s="20" t="str">
        <f t="shared" si="5"/>
        <v>4008</v>
      </c>
    </row>
    <row r="151" spans="1:8" x14ac:dyDescent="0.25">
      <c r="A151" s="8">
        <v>43086.680763888886</v>
      </c>
      <c r="B151" s="20" t="s">
        <v>485</v>
      </c>
      <c r="C151" s="20" t="s">
        <v>841</v>
      </c>
      <c r="D151" s="137">
        <v>2550000</v>
      </c>
      <c r="E151" s="20" t="s">
        <v>525</v>
      </c>
      <c r="F151" s="20" t="s">
        <v>526</v>
      </c>
      <c r="G151" s="8" t="str">
        <f t="shared" si="4"/>
        <v>BADERTSCHER DIANE</v>
      </c>
      <c r="H151" s="20" t="str">
        <f t="shared" si="5"/>
        <v>4053</v>
      </c>
    </row>
    <row r="152" spans="1:8" x14ac:dyDescent="0.25">
      <c r="A152" s="8">
        <v>43086.684664351851</v>
      </c>
      <c r="B152" s="20" t="s">
        <v>561</v>
      </c>
      <c r="C152" s="20" t="s">
        <v>842</v>
      </c>
      <c r="D152" s="137">
        <v>2420000</v>
      </c>
      <c r="E152" s="20" t="s">
        <v>542</v>
      </c>
      <c r="F152" s="20" t="s">
        <v>543</v>
      </c>
      <c r="G152" s="8" t="str">
        <f t="shared" si="4"/>
        <v>HOLCOMB KAMDEN</v>
      </c>
      <c r="H152" s="20" t="str">
        <f t="shared" si="5"/>
        <v>4043</v>
      </c>
    </row>
    <row r="153" spans="1:8" x14ac:dyDescent="0.25">
      <c r="A153" s="8">
        <v>43086.686516203707</v>
      </c>
      <c r="B153" s="20" t="s">
        <v>624</v>
      </c>
      <c r="C153" s="20" t="s">
        <v>709</v>
      </c>
      <c r="D153" s="137">
        <v>920000</v>
      </c>
      <c r="E153" s="20" t="s">
        <v>580</v>
      </c>
      <c r="F153" s="20" t="s">
        <v>352</v>
      </c>
      <c r="G153" s="8" t="str">
        <f t="shared" si="4"/>
        <v>DAVIS MICHAEL</v>
      </c>
      <c r="H153" s="20" t="str">
        <f t="shared" si="5"/>
        <v>4004</v>
      </c>
    </row>
    <row r="154" spans="1:8" x14ac:dyDescent="0.25">
      <c r="A154" s="8">
        <v>43086.693182870367</v>
      </c>
      <c r="B154" s="20" t="s">
        <v>357</v>
      </c>
      <c r="C154" s="20" t="s">
        <v>843</v>
      </c>
      <c r="D154" s="137">
        <v>3330000</v>
      </c>
      <c r="E154" s="20" t="s">
        <v>563</v>
      </c>
      <c r="F154" s="20" t="s">
        <v>564</v>
      </c>
      <c r="G154" s="8" t="str">
        <f t="shared" si="4"/>
        <v>GONZALEZ ARMANDO</v>
      </c>
      <c r="H154" s="20" t="str">
        <f t="shared" si="5"/>
        <v>4060</v>
      </c>
    </row>
    <row r="155" spans="1:8" x14ac:dyDescent="0.25">
      <c r="A155" s="8">
        <v>43086.693796296298</v>
      </c>
      <c r="B155" s="20" t="s">
        <v>357</v>
      </c>
      <c r="C155" s="20" t="s">
        <v>843</v>
      </c>
      <c r="D155" s="137">
        <v>3330000</v>
      </c>
      <c r="E155" s="20" t="s">
        <v>563</v>
      </c>
      <c r="F155" s="20" t="s">
        <v>564</v>
      </c>
      <c r="G155" s="8" t="str">
        <f t="shared" si="4"/>
        <v>GONZALEZ ARMANDO</v>
      </c>
      <c r="H155" s="20" t="str">
        <f t="shared" si="5"/>
        <v>4060</v>
      </c>
    </row>
    <row r="156" spans="1:8" x14ac:dyDescent="0.25">
      <c r="A156" s="8">
        <v>43086.694363425922</v>
      </c>
      <c r="B156" s="20" t="s">
        <v>730</v>
      </c>
      <c r="C156" s="20" t="s">
        <v>844</v>
      </c>
      <c r="D156" s="137">
        <v>2610000</v>
      </c>
      <c r="E156" s="20" t="s">
        <v>380</v>
      </c>
      <c r="F156" s="20" t="s">
        <v>381</v>
      </c>
      <c r="G156" s="8" t="str">
        <f t="shared" si="4"/>
        <v>MAGEE KENYA</v>
      </c>
      <c r="H156" s="20" t="str">
        <f t="shared" si="5"/>
        <v>4039</v>
      </c>
    </row>
    <row r="157" spans="1:8" x14ac:dyDescent="0.25">
      <c r="A157" s="8">
        <v>43086.696018518516</v>
      </c>
      <c r="B157" s="20" t="s">
        <v>360</v>
      </c>
      <c r="C157" s="20" t="s">
        <v>845</v>
      </c>
      <c r="D157" s="137">
        <v>2630000</v>
      </c>
      <c r="E157" s="20" t="s">
        <v>372</v>
      </c>
      <c r="F157" s="20" t="s">
        <v>373</v>
      </c>
      <c r="G157" s="8" t="str">
        <f t="shared" si="4"/>
        <v>SAFIEF AEIMEN</v>
      </c>
      <c r="H157" s="20" t="str">
        <f t="shared" si="5"/>
        <v>4018</v>
      </c>
    </row>
    <row r="158" spans="1:8" x14ac:dyDescent="0.25">
      <c r="A158" s="8">
        <v>43086.702696759261</v>
      </c>
      <c r="B158" s="20" t="s">
        <v>562</v>
      </c>
      <c r="C158" s="20" t="s">
        <v>846</v>
      </c>
      <c r="D158" s="137">
        <v>880000</v>
      </c>
      <c r="E158" s="20" t="s">
        <v>793</v>
      </c>
      <c r="F158" s="20" t="s">
        <v>352</v>
      </c>
      <c r="G158" s="8" t="str">
        <f t="shared" si="4"/>
        <v>STEWART MICHAEL</v>
      </c>
      <c r="H158" s="20" t="str">
        <f t="shared" si="5"/>
        <v>4057</v>
      </c>
    </row>
    <row r="159" spans="1:8" x14ac:dyDescent="0.25">
      <c r="A159" s="8">
        <v>43086.705682870372</v>
      </c>
      <c r="B159" s="20" t="s">
        <v>520</v>
      </c>
      <c r="C159" s="20" t="s">
        <v>847</v>
      </c>
      <c r="D159" s="137">
        <v>2970000</v>
      </c>
      <c r="E159" s="20" t="s">
        <v>374</v>
      </c>
      <c r="F159" s="20" t="s">
        <v>375</v>
      </c>
      <c r="G159" s="8" t="str">
        <f t="shared" si="4"/>
        <v>GUZMAN DANNY</v>
      </c>
      <c r="H159" s="20" t="str">
        <f t="shared" si="5"/>
        <v>4032</v>
      </c>
    </row>
    <row r="160" spans="1:8" x14ac:dyDescent="0.25">
      <c r="A160" s="8">
        <v>43086.706469907411</v>
      </c>
      <c r="B160" s="20" t="s">
        <v>361</v>
      </c>
      <c r="C160" s="20" t="s">
        <v>848</v>
      </c>
      <c r="D160" s="137">
        <v>2230000</v>
      </c>
      <c r="E160" s="20" t="s">
        <v>393</v>
      </c>
      <c r="F160" s="20" t="s">
        <v>352</v>
      </c>
      <c r="G160" s="8" t="str">
        <f t="shared" si="4"/>
        <v>SMITH MICHAEL</v>
      </c>
      <c r="H160" s="20" t="str">
        <f t="shared" si="5"/>
        <v>4007</v>
      </c>
    </row>
    <row r="161" spans="1:8" x14ac:dyDescent="0.25">
      <c r="A161" s="8">
        <v>43086.712071759262</v>
      </c>
      <c r="B161" s="20" t="s">
        <v>560</v>
      </c>
      <c r="C161" s="20" t="s">
        <v>849</v>
      </c>
      <c r="D161" s="137">
        <v>2030000</v>
      </c>
      <c r="E161" s="20" t="s">
        <v>850</v>
      </c>
      <c r="F161" s="20" t="s">
        <v>851</v>
      </c>
      <c r="G161" s="8" t="str">
        <f t="shared" si="4"/>
        <v>KILLION DAVID</v>
      </c>
      <c r="H161" s="20" t="str">
        <f t="shared" si="5"/>
        <v>4044</v>
      </c>
    </row>
    <row r="162" spans="1:8" x14ac:dyDescent="0.25">
      <c r="A162" s="8">
        <v>43086.716180555559</v>
      </c>
      <c r="B162" s="20" t="s">
        <v>484</v>
      </c>
      <c r="C162" s="20" t="s">
        <v>852</v>
      </c>
      <c r="D162" s="137">
        <v>2000000</v>
      </c>
      <c r="E162" s="20" t="s">
        <v>394</v>
      </c>
      <c r="F162" s="20" t="s">
        <v>395</v>
      </c>
      <c r="G162" s="8" t="str">
        <f t="shared" si="4"/>
        <v>STAMBAUGH JAMES</v>
      </c>
      <c r="H162" s="20" t="str">
        <f t="shared" si="5"/>
        <v>4054</v>
      </c>
    </row>
    <row r="163" spans="1:8" x14ac:dyDescent="0.25">
      <c r="A163" s="8">
        <v>43086.719270833331</v>
      </c>
      <c r="B163" s="20" t="s">
        <v>392</v>
      </c>
      <c r="C163" s="20" t="s">
        <v>837</v>
      </c>
      <c r="D163" s="137">
        <v>3680000</v>
      </c>
      <c r="E163" s="20" t="s">
        <v>475</v>
      </c>
      <c r="F163" s="20" t="s">
        <v>476</v>
      </c>
      <c r="G163" s="8" t="str">
        <f t="shared" si="4"/>
        <v>HAMMOND JUSTYNN</v>
      </c>
      <c r="H163" s="20" t="str">
        <f t="shared" si="5"/>
        <v>4030</v>
      </c>
    </row>
    <row r="164" spans="1:8" x14ac:dyDescent="0.25">
      <c r="A164" s="8">
        <v>43086.726180555554</v>
      </c>
      <c r="B164" s="20" t="s">
        <v>625</v>
      </c>
      <c r="C164" s="20" t="s">
        <v>710</v>
      </c>
      <c r="D164" s="137">
        <v>920000</v>
      </c>
      <c r="E164" s="20" t="s">
        <v>580</v>
      </c>
      <c r="F164" s="20" t="s">
        <v>352</v>
      </c>
      <c r="G164" s="8" t="str">
        <f t="shared" si="4"/>
        <v>DAVIS MICHAEL</v>
      </c>
      <c r="H164" s="20" t="str">
        <f t="shared" si="5"/>
        <v>4003</v>
      </c>
    </row>
    <row r="165" spans="1:8" x14ac:dyDescent="0.25">
      <c r="A165" s="8">
        <v>43086.726666666669</v>
      </c>
      <c r="B165" s="20" t="s">
        <v>362</v>
      </c>
      <c r="C165" s="20" t="s">
        <v>853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4017</v>
      </c>
    </row>
    <row r="166" spans="1:8" x14ac:dyDescent="0.25">
      <c r="A166" s="8">
        <v>43086.726701388892</v>
      </c>
      <c r="B166" s="20" t="s">
        <v>561</v>
      </c>
      <c r="C166" s="20" t="s">
        <v>854</v>
      </c>
      <c r="D166" s="137">
        <v>2030000</v>
      </c>
      <c r="E166" s="20" t="s">
        <v>850</v>
      </c>
      <c r="F166" s="20" t="s">
        <v>851</v>
      </c>
      <c r="G166" s="8" t="str">
        <f t="shared" si="4"/>
        <v>KILLION DAVID</v>
      </c>
      <c r="H166" s="20" t="str">
        <f t="shared" si="5"/>
        <v>4043</v>
      </c>
    </row>
    <row r="167" spans="1:8" x14ac:dyDescent="0.25">
      <c r="A167" s="8">
        <v>43086.727094907408</v>
      </c>
      <c r="B167" s="20" t="s">
        <v>702</v>
      </c>
      <c r="C167" s="20" t="s">
        <v>855</v>
      </c>
      <c r="D167" s="137">
        <v>2610000</v>
      </c>
      <c r="E167" s="20" t="s">
        <v>380</v>
      </c>
      <c r="F167" s="20" t="s">
        <v>381</v>
      </c>
      <c r="G167" s="8" t="str">
        <f t="shared" si="4"/>
        <v>MAGEE KENYA</v>
      </c>
      <c r="H167" s="20" t="str">
        <f t="shared" si="5"/>
        <v>4040</v>
      </c>
    </row>
    <row r="168" spans="1:8" x14ac:dyDescent="0.25">
      <c r="A168" s="8">
        <v>43086.73609953704</v>
      </c>
      <c r="B168" s="20" t="s">
        <v>488</v>
      </c>
      <c r="C168" s="20" t="s">
        <v>856</v>
      </c>
      <c r="D168" s="137">
        <v>3700000</v>
      </c>
      <c r="E168" s="20" t="s">
        <v>446</v>
      </c>
      <c r="F168" s="20" t="s">
        <v>369</v>
      </c>
      <c r="G168" s="8" t="str">
        <f t="shared" si="4"/>
        <v>AUSTIN THOMPSON</v>
      </c>
      <c r="H168" s="20" t="str">
        <f t="shared" si="5"/>
        <v>4013</v>
      </c>
    </row>
    <row r="169" spans="1:8" x14ac:dyDescent="0.25">
      <c r="A169" s="8">
        <v>43086.738599537035</v>
      </c>
      <c r="B169" s="20" t="s">
        <v>698</v>
      </c>
      <c r="C169" s="20" t="s">
        <v>857</v>
      </c>
      <c r="D169" s="137">
        <v>890000</v>
      </c>
      <c r="E169" s="20" t="s">
        <v>344</v>
      </c>
      <c r="F169" s="20" t="s">
        <v>345</v>
      </c>
      <c r="G169" s="8" t="str">
        <f t="shared" si="4"/>
        <v>LOZA FIDEL</v>
      </c>
      <c r="H169" s="20" t="str">
        <f t="shared" si="5"/>
        <v>4058</v>
      </c>
    </row>
    <row r="170" spans="1:8" x14ac:dyDescent="0.25">
      <c r="A170" s="8">
        <v>43086.744421296295</v>
      </c>
      <c r="B170" s="20" t="s">
        <v>488</v>
      </c>
      <c r="C170" s="20" t="s">
        <v>856</v>
      </c>
      <c r="D170" s="137">
        <v>3700000</v>
      </c>
      <c r="E170" s="20" t="s">
        <v>446</v>
      </c>
      <c r="F170" s="20" t="s">
        <v>369</v>
      </c>
      <c r="G170" s="8" t="str">
        <f t="shared" si="4"/>
        <v>AUSTIN THOMPSON</v>
      </c>
      <c r="H170" s="20" t="str">
        <f t="shared" si="5"/>
        <v>4013</v>
      </c>
    </row>
    <row r="171" spans="1:8" x14ac:dyDescent="0.25">
      <c r="A171" s="8">
        <v>43086.745092592595</v>
      </c>
      <c r="B171" s="20" t="s">
        <v>521</v>
      </c>
      <c r="C171" s="20" t="s">
        <v>858</v>
      </c>
      <c r="D171" s="137">
        <v>2970000</v>
      </c>
      <c r="E171" s="20" t="s">
        <v>374</v>
      </c>
      <c r="F171" s="20" t="s">
        <v>375</v>
      </c>
      <c r="G171" s="8" t="str">
        <f t="shared" si="4"/>
        <v>GUZMAN DANNY</v>
      </c>
      <c r="H171" s="20" t="str">
        <f t="shared" si="5"/>
        <v>4031</v>
      </c>
    </row>
    <row r="172" spans="1:8" x14ac:dyDescent="0.25">
      <c r="A172" s="8">
        <v>43086.747858796298</v>
      </c>
      <c r="B172" s="20" t="s">
        <v>356</v>
      </c>
      <c r="C172" s="20" t="s">
        <v>859</v>
      </c>
      <c r="D172" s="137">
        <v>2230000</v>
      </c>
      <c r="E172" s="20" t="s">
        <v>393</v>
      </c>
      <c r="F172" s="20" t="s">
        <v>352</v>
      </c>
      <c r="G172" s="8" t="str">
        <f t="shared" si="4"/>
        <v>SMITH MICHAEL</v>
      </c>
      <c r="H172" s="20" t="str">
        <f t="shared" si="5"/>
        <v>4008</v>
      </c>
    </row>
    <row r="173" spans="1:8" x14ac:dyDescent="0.25">
      <c r="A173" s="8">
        <v>43086.752141203702</v>
      </c>
      <c r="B173" s="20" t="s">
        <v>560</v>
      </c>
      <c r="C173" s="20" t="s">
        <v>860</v>
      </c>
      <c r="D173" s="137">
        <v>2420000</v>
      </c>
      <c r="E173" s="20" t="s">
        <v>542</v>
      </c>
      <c r="F173" s="20" t="s">
        <v>543</v>
      </c>
      <c r="G173" s="8" t="str">
        <f t="shared" si="4"/>
        <v>HOLCOMB KAMDEN</v>
      </c>
      <c r="H173" s="20" t="str">
        <f t="shared" si="5"/>
        <v>4044</v>
      </c>
    </row>
    <row r="174" spans="1:8" x14ac:dyDescent="0.25">
      <c r="A174" s="8">
        <v>43086.754317129627</v>
      </c>
      <c r="B174" s="20" t="s">
        <v>485</v>
      </c>
      <c r="C174" s="20" t="s">
        <v>861</v>
      </c>
      <c r="D174" s="137">
        <v>2000000</v>
      </c>
      <c r="E174" s="20" t="s">
        <v>394</v>
      </c>
      <c r="F174" s="20" t="s">
        <v>395</v>
      </c>
      <c r="G174" s="8" t="str">
        <f t="shared" si="4"/>
        <v>STAMBAUGH JAMES</v>
      </c>
      <c r="H174" s="20" t="str">
        <f t="shared" si="5"/>
        <v>4053</v>
      </c>
    </row>
    <row r="175" spans="1:8" x14ac:dyDescent="0.25">
      <c r="A175" s="8">
        <v>43086.759363425925</v>
      </c>
      <c r="B175" s="20" t="s">
        <v>624</v>
      </c>
      <c r="C175" s="20" t="s">
        <v>862</v>
      </c>
      <c r="D175" s="137">
        <v>3340000</v>
      </c>
      <c r="E175" s="20" t="s">
        <v>467</v>
      </c>
      <c r="F175" s="20" t="s">
        <v>468</v>
      </c>
      <c r="G175" s="8" t="str">
        <f t="shared" si="4"/>
        <v>ELBAUM MIKE</v>
      </c>
      <c r="H175" s="20" t="str">
        <f t="shared" si="5"/>
        <v>4004</v>
      </c>
    </row>
    <row r="176" spans="1:8" x14ac:dyDescent="0.25">
      <c r="A176" s="8">
        <v>43086.766655092593</v>
      </c>
      <c r="B176" s="20" t="s">
        <v>730</v>
      </c>
      <c r="C176" s="20" t="s">
        <v>863</v>
      </c>
      <c r="D176" s="137">
        <v>2610000</v>
      </c>
      <c r="E176" s="20" t="s">
        <v>380</v>
      </c>
      <c r="F176" s="20" t="s">
        <v>381</v>
      </c>
      <c r="G176" s="8" t="str">
        <f t="shared" si="4"/>
        <v>MAGEE KENYA</v>
      </c>
      <c r="H176" s="20" t="str">
        <f t="shared" si="5"/>
        <v>4039</v>
      </c>
    </row>
    <row r="177" spans="1:8" x14ac:dyDescent="0.25">
      <c r="A177" s="8">
        <v>43086.766840277778</v>
      </c>
      <c r="B177" s="20" t="s">
        <v>360</v>
      </c>
      <c r="C177" s="20" t="s">
        <v>864</v>
      </c>
      <c r="D177" s="137">
        <v>3220000</v>
      </c>
      <c r="E177" s="20" t="s">
        <v>378</v>
      </c>
      <c r="F177" s="20" t="s">
        <v>379</v>
      </c>
      <c r="G177" s="8" t="str">
        <f t="shared" si="4"/>
        <v>RESPASS AARON</v>
      </c>
      <c r="H177" s="20" t="str">
        <f t="shared" si="5"/>
        <v>4018</v>
      </c>
    </row>
    <row r="178" spans="1:8" x14ac:dyDescent="0.25">
      <c r="A178" s="8">
        <v>43086.767858796295</v>
      </c>
      <c r="B178" s="20" t="s">
        <v>561</v>
      </c>
      <c r="C178" s="20" t="s">
        <v>865</v>
      </c>
      <c r="D178" s="137">
        <v>2420000</v>
      </c>
      <c r="E178" s="20" t="s">
        <v>542</v>
      </c>
      <c r="F178" s="20" t="s">
        <v>543</v>
      </c>
      <c r="G178" s="8" t="str">
        <f t="shared" si="4"/>
        <v>HOLCOMB KAMDEN</v>
      </c>
      <c r="H178" s="20" t="str">
        <f t="shared" si="5"/>
        <v>4043</v>
      </c>
    </row>
    <row r="179" spans="1:8" x14ac:dyDescent="0.25">
      <c r="A179" s="8">
        <v>43086.776041666664</v>
      </c>
      <c r="B179" s="20" t="s">
        <v>520</v>
      </c>
      <c r="C179" s="20" t="s">
        <v>866</v>
      </c>
      <c r="D179" s="137">
        <v>2970000</v>
      </c>
      <c r="E179" s="20" t="s">
        <v>374</v>
      </c>
      <c r="F179" s="20" t="s">
        <v>375</v>
      </c>
      <c r="G179" s="8" t="str">
        <f t="shared" si="4"/>
        <v>GUZMAN DANNY</v>
      </c>
      <c r="H179" s="20" t="str">
        <f t="shared" si="5"/>
        <v>4032</v>
      </c>
    </row>
    <row r="180" spans="1:8" x14ac:dyDescent="0.25">
      <c r="A180" s="8">
        <v>43086.777754629627</v>
      </c>
      <c r="B180" s="20" t="s">
        <v>562</v>
      </c>
      <c r="C180" s="20" t="s">
        <v>867</v>
      </c>
      <c r="D180" s="137">
        <v>890000</v>
      </c>
      <c r="E180" s="20" t="s">
        <v>344</v>
      </c>
      <c r="F180" s="20" t="s">
        <v>345</v>
      </c>
      <c r="G180" s="8" t="str">
        <f t="shared" si="4"/>
        <v>LOZA FIDEL</v>
      </c>
      <c r="H180" s="20" t="str">
        <f t="shared" si="5"/>
        <v>4057</v>
      </c>
    </row>
    <row r="181" spans="1:8" x14ac:dyDescent="0.25">
      <c r="A181" s="8">
        <v>43086.784490740742</v>
      </c>
      <c r="B181" s="20" t="s">
        <v>361</v>
      </c>
      <c r="C181" s="20" t="s">
        <v>868</v>
      </c>
      <c r="D181" s="137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4007</v>
      </c>
    </row>
    <row r="182" spans="1:8" x14ac:dyDescent="0.25">
      <c r="A182" s="8">
        <v>43086.787210648145</v>
      </c>
      <c r="B182" s="20" t="s">
        <v>625</v>
      </c>
      <c r="C182" s="20" t="s">
        <v>712</v>
      </c>
      <c r="D182" s="137">
        <v>3340000</v>
      </c>
      <c r="E182" s="20" t="s">
        <v>467</v>
      </c>
      <c r="F182" s="20" t="s">
        <v>468</v>
      </c>
      <c r="G182" s="8" t="str">
        <f t="shared" si="4"/>
        <v>ELBAUM MIKE</v>
      </c>
      <c r="H182" s="20" t="str">
        <f t="shared" si="5"/>
        <v>4003</v>
      </c>
    </row>
    <row r="183" spans="1:8" x14ac:dyDescent="0.25">
      <c r="A183" s="8">
        <v>43086.788564814815</v>
      </c>
      <c r="B183" s="20" t="s">
        <v>484</v>
      </c>
      <c r="C183" s="20" t="s">
        <v>869</v>
      </c>
      <c r="D183" s="137">
        <v>2000000</v>
      </c>
      <c r="E183" s="20" t="s">
        <v>394</v>
      </c>
      <c r="F183" s="20" t="s">
        <v>395</v>
      </c>
      <c r="G183" s="8" t="str">
        <f t="shared" si="4"/>
        <v>STAMBAUGH JAMES</v>
      </c>
      <c r="H183" s="20" t="str">
        <f t="shared" si="5"/>
        <v>4054</v>
      </c>
    </row>
    <row r="184" spans="1:8" x14ac:dyDescent="0.25">
      <c r="A184" s="8">
        <v>43086.797071759262</v>
      </c>
      <c r="B184" s="20" t="s">
        <v>560</v>
      </c>
      <c r="C184" s="20" t="s">
        <v>711</v>
      </c>
      <c r="D184" s="137">
        <v>2420000</v>
      </c>
      <c r="E184" s="20" t="s">
        <v>542</v>
      </c>
      <c r="F184" s="20" t="s">
        <v>543</v>
      </c>
      <c r="G184" s="8" t="str">
        <f t="shared" si="4"/>
        <v>HOLCOMB KAMDEN</v>
      </c>
      <c r="H184" s="20" t="str">
        <f t="shared" si="5"/>
        <v>4044</v>
      </c>
    </row>
    <row r="185" spans="1:8" x14ac:dyDescent="0.25">
      <c r="A185" s="8">
        <v>43086.797511574077</v>
      </c>
      <c r="B185" s="20" t="s">
        <v>702</v>
      </c>
      <c r="C185" s="20" t="s">
        <v>870</v>
      </c>
      <c r="D185" s="137">
        <v>2610000</v>
      </c>
      <c r="E185" s="20" t="s">
        <v>380</v>
      </c>
      <c r="F185" s="20" t="s">
        <v>381</v>
      </c>
      <c r="G185" s="8" t="str">
        <f t="shared" si="4"/>
        <v>MAGEE KENYA</v>
      </c>
      <c r="H185" s="20" t="str">
        <f t="shared" si="5"/>
        <v>4040</v>
      </c>
    </row>
    <row r="186" spans="1:8" x14ac:dyDescent="0.25">
      <c r="A186" s="8">
        <v>43086.806875000002</v>
      </c>
      <c r="B186" s="20" t="s">
        <v>362</v>
      </c>
      <c r="C186" s="20" t="s">
        <v>871</v>
      </c>
      <c r="D186" s="137">
        <v>3220000</v>
      </c>
      <c r="E186" s="20" t="s">
        <v>378</v>
      </c>
      <c r="F186" s="20" t="s">
        <v>379</v>
      </c>
      <c r="G186" s="8" t="str">
        <f t="shared" si="4"/>
        <v>RESPASS AARON</v>
      </c>
      <c r="H186" s="20" t="str">
        <f t="shared" si="5"/>
        <v>4017</v>
      </c>
    </row>
    <row r="187" spans="1:8" x14ac:dyDescent="0.25">
      <c r="A187" s="8">
        <v>43086.808923611112</v>
      </c>
      <c r="B187" s="20" t="s">
        <v>561</v>
      </c>
      <c r="C187" s="20" t="s">
        <v>872</v>
      </c>
      <c r="D187" s="137">
        <v>2420000</v>
      </c>
      <c r="E187" s="20" t="s">
        <v>542</v>
      </c>
      <c r="F187" s="20" t="s">
        <v>543</v>
      </c>
      <c r="G187" s="8" t="str">
        <f t="shared" si="4"/>
        <v>HOLCOMB KAMDEN</v>
      </c>
      <c r="H187" s="20" t="str">
        <f t="shared" si="5"/>
        <v>4043</v>
      </c>
    </row>
    <row r="188" spans="1:8" x14ac:dyDescent="0.25">
      <c r="A188" s="8">
        <v>43086.810277777775</v>
      </c>
      <c r="B188" s="20" t="s">
        <v>698</v>
      </c>
      <c r="C188" s="20" t="s">
        <v>873</v>
      </c>
      <c r="D188" s="137">
        <v>890000</v>
      </c>
      <c r="E188" s="20" t="s">
        <v>344</v>
      </c>
      <c r="F188" s="20" t="s">
        <v>345</v>
      </c>
      <c r="G188" s="8" t="str">
        <f t="shared" si="4"/>
        <v>LOZA FIDEL</v>
      </c>
      <c r="H188" s="20" t="str">
        <f t="shared" si="5"/>
        <v>4058</v>
      </c>
    </row>
    <row r="189" spans="1:8" x14ac:dyDescent="0.25">
      <c r="A189" s="8">
        <v>43086.819027777776</v>
      </c>
      <c r="B189" s="20" t="s">
        <v>356</v>
      </c>
      <c r="C189" s="20" t="s">
        <v>874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4008</v>
      </c>
    </row>
    <row r="190" spans="1:8" x14ac:dyDescent="0.25">
      <c r="A190" s="8">
        <v>43086.827037037037</v>
      </c>
      <c r="B190" s="20" t="s">
        <v>624</v>
      </c>
      <c r="C190" s="20" t="s">
        <v>875</v>
      </c>
      <c r="D190" s="137">
        <v>3340000</v>
      </c>
      <c r="E190" s="20" t="s">
        <v>467</v>
      </c>
      <c r="F190" s="20" t="s">
        <v>468</v>
      </c>
      <c r="G190" s="8" t="str">
        <f t="shared" si="4"/>
        <v>ELBAUM MIKE</v>
      </c>
      <c r="H190" s="20" t="str">
        <f t="shared" si="5"/>
        <v>4004</v>
      </c>
    </row>
    <row r="191" spans="1:8" x14ac:dyDescent="0.25">
      <c r="A191" s="8">
        <v>43086.828657407408</v>
      </c>
      <c r="B191" s="20" t="s">
        <v>485</v>
      </c>
      <c r="C191" s="20" t="s">
        <v>876</v>
      </c>
      <c r="D191" s="137">
        <v>2000000</v>
      </c>
      <c r="E191" s="20" t="s">
        <v>394</v>
      </c>
      <c r="F191" s="20" t="s">
        <v>395</v>
      </c>
      <c r="G191" s="8" t="str">
        <f t="shared" si="4"/>
        <v>STAMBAUGH JAMES</v>
      </c>
      <c r="H191" s="20" t="str">
        <f t="shared" si="5"/>
        <v>4053</v>
      </c>
    </row>
    <row r="192" spans="1:8" x14ac:dyDescent="0.25">
      <c r="A192" s="8">
        <v>43086.838622685187</v>
      </c>
      <c r="B192" s="20" t="s">
        <v>560</v>
      </c>
      <c r="C192" s="20" t="s">
        <v>713</v>
      </c>
      <c r="D192" s="137">
        <v>2420000</v>
      </c>
      <c r="E192" s="20" t="s">
        <v>542</v>
      </c>
      <c r="F192" s="20" t="s">
        <v>543</v>
      </c>
      <c r="G192" s="8" t="str">
        <f t="shared" si="4"/>
        <v>HOLCOMB KAMDEN</v>
      </c>
      <c r="H192" s="20" t="str">
        <f t="shared" si="5"/>
        <v>4044</v>
      </c>
    </row>
    <row r="193" spans="1:8" x14ac:dyDescent="0.25">
      <c r="A193" s="8">
        <v>43086.849236111113</v>
      </c>
      <c r="B193" s="20" t="s">
        <v>562</v>
      </c>
      <c r="C193" s="20" t="s">
        <v>877</v>
      </c>
      <c r="D193" s="137">
        <v>890000</v>
      </c>
      <c r="E193" s="20" t="s">
        <v>344</v>
      </c>
      <c r="F193" s="20" t="s">
        <v>345</v>
      </c>
      <c r="G193" s="8" t="str">
        <f t="shared" si="4"/>
        <v>LOZA FIDEL</v>
      </c>
      <c r="H193" s="20" t="str">
        <f t="shared" si="5"/>
        <v>4057</v>
      </c>
    </row>
    <row r="194" spans="1:8" x14ac:dyDescent="0.25">
      <c r="A194" s="8">
        <v>43086.850324074076</v>
      </c>
      <c r="B194" s="20" t="s">
        <v>360</v>
      </c>
      <c r="C194" s="20" t="s">
        <v>878</v>
      </c>
      <c r="D194" s="137">
        <v>3220000</v>
      </c>
      <c r="E194" s="20" t="s">
        <v>378</v>
      </c>
      <c r="F194" s="20" t="s">
        <v>379</v>
      </c>
      <c r="G194" s="8" t="str">
        <f t="shared" si="4"/>
        <v>RESPASS AARON</v>
      </c>
      <c r="H194" s="20" t="str">
        <f t="shared" si="5"/>
        <v>4018</v>
      </c>
    </row>
    <row r="195" spans="1:8" x14ac:dyDescent="0.25">
      <c r="A195" s="8">
        <v>43086.851689814815</v>
      </c>
      <c r="B195" s="20" t="s">
        <v>561</v>
      </c>
      <c r="C195" s="20" t="s">
        <v>879</v>
      </c>
      <c r="D195" s="137">
        <v>2420000</v>
      </c>
      <c r="E195" s="20" t="s">
        <v>542</v>
      </c>
      <c r="F195" s="20" t="s">
        <v>543</v>
      </c>
      <c r="G195" s="8" t="str">
        <f t="shared" ref="G195:G258" si="6">E195&amp;" "&amp;F195</f>
        <v>HOLCOMB KAMDEN</v>
      </c>
      <c r="H195" s="20" t="str">
        <f t="shared" ref="H195:H258" si="7">MID(B195,13,4)</f>
        <v>4043</v>
      </c>
    </row>
    <row r="196" spans="1:8" x14ac:dyDescent="0.25">
      <c r="A196" s="8">
        <v>43086.859918981485</v>
      </c>
      <c r="B196" s="20" t="s">
        <v>625</v>
      </c>
      <c r="C196" s="20" t="s">
        <v>714</v>
      </c>
      <c r="D196" s="137">
        <v>3340000</v>
      </c>
      <c r="E196" s="20" t="s">
        <v>467</v>
      </c>
      <c r="F196" s="20" t="s">
        <v>468</v>
      </c>
      <c r="G196" s="8" t="str">
        <f t="shared" si="6"/>
        <v>ELBAUM MIKE</v>
      </c>
      <c r="H196" s="20" t="str">
        <f t="shared" si="7"/>
        <v>4003</v>
      </c>
    </row>
    <row r="197" spans="1:8" x14ac:dyDescent="0.25">
      <c r="A197" s="8">
        <v>43086.861076388886</v>
      </c>
      <c r="B197" s="20" t="s">
        <v>484</v>
      </c>
      <c r="C197" s="20" t="s">
        <v>880</v>
      </c>
      <c r="D197" s="137">
        <v>2030000</v>
      </c>
      <c r="E197" s="20" t="s">
        <v>850</v>
      </c>
      <c r="F197" s="20" t="s">
        <v>851</v>
      </c>
      <c r="G197" s="8" t="str">
        <f t="shared" si="6"/>
        <v>KILLION DAVID</v>
      </c>
      <c r="H197" s="20" t="str">
        <f t="shared" si="7"/>
        <v>4054</v>
      </c>
    </row>
    <row r="198" spans="1:8" x14ac:dyDescent="0.25">
      <c r="A198" s="8">
        <v>43086.879363425927</v>
      </c>
      <c r="B198" s="20" t="s">
        <v>698</v>
      </c>
      <c r="C198" s="20" t="s">
        <v>881</v>
      </c>
      <c r="D198" s="137">
        <v>890000</v>
      </c>
      <c r="E198" s="20" t="s">
        <v>344</v>
      </c>
      <c r="F198" s="20" t="s">
        <v>345</v>
      </c>
      <c r="G198" s="8" t="str">
        <f t="shared" si="6"/>
        <v>LOZA FIDEL</v>
      </c>
      <c r="H198" s="20" t="str">
        <f t="shared" si="7"/>
        <v>4058</v>
      </c>
    </row>
    <row r="199" spans="1:8" x14ac:dyDescent="0.25">
      <c r="A199" s="8">
        <v>43086.880231481482</v>
      </c>
      <c r="B199" s="20" t="s">
        <v>560</v>
      </c>
      <c r="C199" s="20" t="s">
        <v>882</v>
      </c>
      <c r="D199" s="137">
        <v>2420000</v>
      </c>
      <c r="E199" s="20" t="s">
        <v>542</v>
      </c>
      <c r="F199" s="20" t="s">
        <v>543</v>
      </c>
      <c r="G199" s="8" t="str">
        <f t="shared" si="6"/>
        <v>HOLCOMB KAMDEN</v>
      </c>
      <c r="H199" s="20" t="str">
        <f t="shared" si="7"/>
        <v>4044</v>
      </c>
    </row>
    <row r="200" spans="1:8" x14ac:dyDescent="0.25">
      <c r="A200" s="8">
        <v>43086.892060185186</v>
      </c>
      <c r="B200" s="20" t="s">
        <v>561</v>
      </c>
      <c r="C200" s="20" t="s">
        <v>883</v>
      </c>
      <c r="D200" s="137">
        <v>2420000</v>
      </c>
      <c r="E200" s="20" t="s">
        <v>542</v>
      </c>
      <c r="F200" s="20" t="s">
        <v>543</v>
      </c>
      <c r="G200" s="8" t="str">
        <f t="shared" si="6"/>
        <v>HOLCOMB KAMDEN</v>
      </c>
      <c r="H200" s="20" t="str">
        <f t="shared" si="7"/>
        <v>4043</v>
      </c>
    </row>
    <row r="201" spans="1:8" x14ac:dyDescent="0.25">
      <c r="A201" s="8">
        <v>43086.892106481479</v>
      </c>
      <c r="B201" s="20" t="s">
        <v>362</v>
      </c>
      <c r="C201" s="20" t="s">
        <v>884</v>
      </c>
      <c r="D201" s="137">
        <v>3220000</v>
      </c>
      <c r="E201" s="20" t="s">
        <v>378</v>
      </c>
      <c r="F201" s="20" t="s">
        <v>379</v>
      </c>
      <c r="G201" s="8" t="str">
        <f t="shared" si="6"/>
        <v>RESPASS AARON</v>
      </c>
      <c r="H201" s="20" t="str">
        <f t="shared" si="7"/>
        <v>4017</v>
      </c>
    </row>
    <row r="202" spans="1:8" x14ac:dyDescent="0.25">
      <c r="A202" s="26">
        <v>43086.905532407407</v>
      </c>
      <c r="B202" s="20" t="s">
        <v>485</v>
      </c>
      <c r="C202" s="20" t="s">
        <v>885</v>
      </c>
      <c r="D202" s="137">
        <v>2030000</v>
      </c>
      <c r="E202" s="20" t="s">
        <v>850</v>
      </c>
      <c r="F202" s="20" t="s">
        <v>851</v>
      </c>
      <c r="G202" s="8" t="str">
        <f t="shared" si="6"/>
        <v>KILLION DAVID</v>
      </c>
      <c r="H202" s="20" t="str">
        <f t="shared" si="7"/>
        <v>4053</v>
      </c>
    </row>
    <row r="203" spans="1:8" x14ac:dyDescent="0.25">
      <c r="A203" s="8">
        <v>43086.911712962959</v>
      </c>
      <c r="B203" s="20" t="s">
        <v>624</v>
      </c>
      <c r="C203" s="20" t="s">
        <v>886</v>
      </c>
      <c r="D203" s="137">
        <v>3500000</v>
      </c>
      <c r="E203" s="20" t="s">
        <v>376</v>
      </c>
      <c r="F203" s="20" t="s">
        <v>377</v>
      </c>
      <c r="G203" s="8" t="str">
        <f t="shared" si="6"/>
        <v>GUNTHIER ERIC</v>
      </c>
      <c r="H203" s="20" t="str">
        <f t="shared" si="7"/>
        <v>4004</v>
      </c>
    </row>
    <row r="204" spans="1:8" x14ac:dyDescent="0.25">
      <c r="A204" s="8">
        <v>43086.921076388891</v>
      </c>
      <c r="B204" s="20" t="s">
        <v>560</v>
      </c>
      <c r="C204" s="20" t="s">
        <v>887</v>
      </c>
      <c r="D204" s="137">
        <v>2420000</v>
      </c>
      <c r="E204" s="20" t="s">
        <v>542</v>
      </c>
      <c r="F204" s="20" t="s">
        <v>543</v>
      </c>
      <c r="G204" s="8" t="str">
        <f t="shared" si="6"/>
        <v>HOLCOMB KAMDEN</v>
      </c>
      <c r="H204" s="20" t="str">
        <f t="shared" si="7"/>
        <v>4044</v>
      </c>
    </row>
    <row r="205" spans="1:8" x14ac:dyDescent="0.25">
      <c r="A205" s="8">
        <v>43086.933981481481</v>
      </c>
      <c r="B205" s="20" t="s">
        <v>562</v>
      </c>
      <c r="C205" s="20" t="s">
        <v>888</v>
      </c>
      <c r="D205" s="137">
        <v>890000</v>
      </c>
      <c r="E205" s="20" t="s">
        <v>344</v>
      </c>
      <c r="F205" s="20" t="s">
        <v>345</v>
      </c>
      <c r="G205" s="8" t="str">
        <f t="shared" si="6"/>
        <v>LOZA FIDEL</v>
      </c>
      <c r="H205" s="20" t="str">
        <f t="shared" si="7"/>
        <v>4057</v>
      </c>
    </row>
    <row r="206" spans="1:8" x14ac:dyDescent="0.25">
      <c r="A206" s="8">
        <v>43086.935057870367</v>
      </c>
      <c r="B206" s="20" t="s">
        <v>561</v>
      </c>
      <c r="C206" s="20" t="s">
        <v>889</v>
      </c>
      <c r="D206" s="137">
        <v>2420000</v>
      </c>
      <c r="E206" s="20" t="s">
        <v>542</v>
      </c>
      <c r="F206" s="20" t="s">
        <v>543</v>
      </c>
      <c r="G206" s="8" t="str">
        <f t="shared" si="6"/>
        <v>HOLCOMB KAMDEN</v>
      </c>
      <c r="H206" s="20" t="str">
        <f t="shared" si="7"/>
        <v>4043</v>
      </c>
    </row>
    <row r="207" spans="1:8" x14ac:dyDescent="0.25">
      <c r="A207" s="8">
        <v>43086.935914351852</v>
      </c>
      <c r="B207" s="20" t="s">
        <v>360</v>
      </c>
      <c r="C207" s="20" t="s">
        <v>890</v>
      </c>
      <c r="D207" s="137">
        <v>3220000</v>
      </c>
      <c r="E207" s="20" t="s">
        <v>378</v>
      </c>
      <c r="F207" s="20" t="s">
        <v>379</v>
      </c>
      <c r="G207" s="8" t="str">
        <f t="shared" si="6"/>
        <v>RESPASS AARON</v>
      </c>
      <c r="H207" s="20" t="str">
        <f t="shared" si="7"/>
        <v>4018</v>
      </c>
    </row>
    <row r="208" spans="1:8" x14ac:dyDescent="0.25">
      <c r="A208" s="8">
        <v>43086.94431712963</v>
      </c>
      <c r="B208" s="20" t="s">
        <v>484</v>
      </c>
      <c r="C208" s="20" t="s">
        <v>891</v>
      </c>
      <c r="D208" s="137">
        <v>2000000</v>
      </c>
      <c r="E208" s="20" t="s">
        <v>394</v>
      </c>
      <c r="F208" s="20" t="s">
        <v>395</v>
      </c>
      <c r="G208" s="8" t="str">
        <f t="shared" si="6"/>
        <v>STAMBAUGH JAMES</v>
      </c>
      <c r="H208" s="20" t="str">
        <f t="shared" si="7"/>
        <v>4054</v>
      </c>
    </row>
    <row r="209" spans="1:8" x14ac:dyDescent="0.25">
      <c r="A209" s="8">
        <v>43086.947696759256</v>
      </c>
      <c r="B209" s="20" t="s">
        <v>625</v>
      </c>
      <c r="C209" s="20" t="s">
        <v>715</v>
      </c>
      <c r="D209" s="137">
        <v>3500000</v>
      </c>
      <c r="E209" s="20" t="s">
        <v>376</v>
      </c>
      <c r="F209" s="20" t="s">
        <v>377</v>
      </c>
      <c r="G209" s="8" t="str">
        <f t="shared" si="6"/>
        <v>GUNTHIER ERIC</v>
      </c>
      <c r="H209" s="20" t="str">
        <f t="shared" si="7"/>
        <v>4003</v>
      </c>
    </row>
    <row r="210" spans="1:8" x14ac:dyDescent="0.25">
      <c r="A210" s="8">
        <v>43086.958935185183</v>
      </c>
      <c r="B210" s="20" t="s">
        <v>560</v>
      </c>
      <c r="C210" s="20" t="s">
        <v>892</v>
      </c>
      <c r="D210" s="137">
        <v>2030000</v>
      </c>
      <c r="E210" s="20" t="s">
        <v>850</v>
      </c>
      <c r="F210" s="20" t="s">
        <v>851</v>
      </c>
      <c r="G210" s="8" t="str">
        <f t="shared" si="6"/>
        <v>KILLION DAVID</v>
      </c>
      <c r="H210" s="20" t="str">
        <f t="shared" si="7"/>
        <v>4044</v>
      </c>
    </row>
    <row r="211" spans="1:8" x14ac:dyDescent="0.25">
      <c r="A211" s="8">
        <v>43086.974745370368</v>
      </c>
      <c r="B211" s="20" t="s">
        <v>362</v>
      </c>
      <c r="C211" s="20" t="s">
        <v>893</v>
      </c>
      <c r="D211" s="137">
        <v>3220000</v>
      </c>
      <c r="E211" s="20" t="s">
        <v>378</v>
      </c>
      <c r="F211" s="20" t="s">
        <v>379</v>
      </c>
      <c r="G211" s="8" t="str">
        <f t="shared" si="6"/>
        <v>RESPASS AARON</v>
      </c>
      <c r="H211" s="20" t="str">
        <f t="shared" si="7"/>
        <v>4017</v>
      </c>
    </row>
    <row r="212" spans="1:8" x14ac:dyDescent="0.25">
      <c r="A212" s="8">
        <v>43086.976342592592</v>
      </c>
      <c r="B212" s="20" t="s">
        <v>561</v>
      </c>
      <c r="C212" s="20" t="s">
        <v>717</v>
      </c>
      <c r="D212" s="137">
        <v>2030000</v>
      </c>
      <c r="E212" s="20" t="s">
        <v>850</v>
      </c>
      <c r="F212" s="20" t="s">
        <v>851</v>
      </c>
      <c r="G212" s="8" t="str">
        <f t="shared" si="6"/>
        <v>KILLION DAVID</v>
      </c>
      <c r="H212" s="20" t="str">
        <f t="shared" si="7"/>
        <v>4043</v>
      </c>
    </row>
    <row r="213" spans="1:8" x14ac:dyDescent="0.25">
      <c r="A213" s="8">
        <v>43086.97755787037</v>
      </c>
      <c r="B213" s="20" t="s">
        <v>698</v>
      </c>
      <c r="C213" s="20" t="s">
        <v>894</v>
      </c>
      <c r="D213" s="137">
        <v>890000</v>
      </c>
      <c r="E213" s="20" t="s">
        <v>344</v>
      </c>
      <c r="F213" s="20" t="s">
        <v>345</v>
      </c>
      <c r="G213" s="8" t="str">
        <f t="shared" si="6"/>
        <v>LOZA FIDEL</v>
      </c>
      <c r="H213" s="20" t="str">
        <f t="shared" si="7"/>
        <v>4058</v>
      </c>
    </row>
    <row r="214" spans="1:8" x14ac:dyDescent="0.25">
      <c r="A214" s="8">
        <v>43086.988055555557</v>
      </c>
      <c r="B214" s="20" t="s">
        <v>624</v>
      </c>
      <c r="C214" s="20" t="s">
        <v>718</v>
      </c>
      <c r="D214" s="137">
        <v>3340000</v>
      </c>
      <c r="E214" s="20" t="s">
        <v>467</v>
      </c>
      <c r="F214" s="20" t="s">
        <v>468</v>
      </c>
      <c r="G214" s="8" t="str">
        <f t="shared" si="6"/>
        <v>ELBAUM MIKE</v>
      </c>
      <c r="H214" s="20" t="str">
        <f t="shared" si="7"/>
        <v>4004</v>
      </c>
    </row>
    <row r="215" spans="1:8" x14ac:dyDescent="0.25">
      <c r="A215" s="8">
        <v>43086.992002314815</v>
      </c>
      <c r="B215" s="20" t="s">
        <v>485</v>
      </c>
      <c r="C215" s="20" t="s">
        <v>895</v>
      </c>
      <c r="D215" s="137">
        <v>2000000</v>
      </c>
      <c r="E215" s="20" t="s">
        <v>394</v>
      </c>
      <c r="F215" s="20" t="s">
        <v>395</v>
      </c>
      <c r="G215" s="8" t="str">
        <f t="shared" si="6"/>
        <v>STAMBAUGH JAMES</v>
      </c>
      <c r="H215" s="20" t="str">
        <f t="shared" si="7"/>
        <v>4053</v>
      </c>
    </row>
    <row r="216" spans="1:8" x14ac:dyDescent="0.25">
      <c r="A216" s="8">
        <v>43087.010081018518</v>
      </c>
      <c r="B216" s="20" t="s">
        <v>360</v>
      </c>
      <c r="C216" s="20" t="s">
        <v>896</v>
      </c>
      <c r="D216" s="137">
        <v>3220000</v>
      </c>
      <c r="E216" s="20" t="s">
        <v>378</v>
      </c>
      <c r="F216" s="20" t="s">
        <v>379</v>
      </c>
      <c r="G216" s="8" t="str">
        <f t="shared" si="6"/>
        <v>RESPASS AARON</v>
      </c>
      <c r="H216" s="20" t="str">
        <f t="shared" si="7"/>
        <v>4018</v>
      </c>
    </row>
    <row r="217" spans="1:8" x14ac:dyDescent="0.25">
      <c r="A217" s="8">
        <v>43087.015879629631</v>
      </c>
      <c r="B217" s="20" t="s">
        <v>562</v>
      </c>
      <c r="C217" s="20" t="s">
        <v>897</v>
      </c>
      <c r="D217" s="137">
        <v>890000</v>
      </c>
      <c r="E217" s="20" t="s">
        <v>344</v>
      </c>
      <c r="F217" s="20" t="s">
        <v>345</v>
      </c>
      <c r="G217" s="8" t="str">
        <f t="shared" si="6"/>
        <v>LOZA FIDEL</v>
      </c>
      <c r="H217" s="20" t="str">
        <f t="shared" si="7"/>
        <v>4057</v>
      </c>
    </row>
    <row r="218" spans="1:8" x14ac:dyDescent="0.25">
      <c r="A218" s="8">
        <v>43087.025937500002</v>
      </c>
      <c r="B218" s="20" t="s">
        <v>484</v>
      </c>
      <c r="C218" s="20" t="s">
        <v>479</v>
      </c>
      <c r="D218" s="137">
        <v>2000000</v>
      </c>
      <c r="E218" s="20" t="s">
        <v>394</v>
      </c>
      <c r="F218" s="20" t="s">
        <v>395</v>
      </c>
      <c r="G218" s="8" t="str">
        <f t="shared" si="6"/>
        <v>STAMBAUGH JAMES</v>
      </c>
      <c r="H218" s="20" t="str">
        <f t="shared" si="7"/>
        <v>4054</v>
      </c>
    </row>
    <row r="219" spans="1:8" x14ac:dyDescent="0.25">
      <c r="A219" s="8">
        <v>43087.026365740741</v>
      </c>
      <c r="B219" s="20" t="s">
        <v>625</v>
      </c>
      <c r="C219" s="20" t="s">
        <v>719</v>
      </c>
      <c r="D219" s="137">
        <v>3340000</v>
      </c>
      <c r="E219" s="20" t="s">
        <v>467</v>
      </c>
      <c r="F219" s="20" t="s">
        <v>468</v>
      </c>
      <c r="G219" s="8" t="str">
        <f t="shared" si="6"/>
        <v>ELBAUM MIKE</v>
      </c>
      <c r="H219" s="20" t="str">
        <f t="shared" si="7"/>
        <v>4003</v>
      </c>
    </row>
    <row r="220" spans="1:8" x14ac:dyDescent="0.25">
      <c r="A220" s="8">
        <v>43087.046620370369</v>
      </c>
      <c r="B220" s="20" t="s">
        <v>698</v>
      </c>
      <c r="C220" s="20" t="s">
        <v>898</v>
      </c>
      <c r="D220" s="137">
        <v>890000</v>
      </c>
      <c r="E220" s="20" t="s">
        <v>344</v>
      </c>
      <c r="F220" s="20" t="s">
        <v>345</v>
      </c>
      <c r="G220" s="8" t="str">
        <f t="shared" si="6"/>
        <v>LOZA FIDEL</v>
      </c>
      <c r="H220" s="20" t="str">
        <f t="shared" si="7"/>
        <v>4058</v>
      </c>
    </row>
    <row r="221" spans="1:8" x14ac:dyDescent="0.25">
      <c r="A221" s="8">
        <v>43087.057002314818</v>
      </c>
      <c r="B221" s="20" t="s">
        <v>625</v>
      </c>
      <c r="C221" s="20" t="s">
        <v>719</v>
      </c>
      <c r="D221" s="137">
        <v>3340000</v>
      </c>
      <c r="E221" s="20" t="s">
        <v>467</v>
      </c>
      <c r="F221" s="20" t="s">
        <v>468</v>
      </c>
      <c r="G221" s="8" t="str">
        <f t="shared" si="6"/>
        <v>ELBAUM MIKE</v>
      </c>
      <c r="H221" s="20" t="str">
        <f t="shared" si="7"/>
        <v>4003</v>
      </c>
    </row>
    <row r="222" spans="1:8" x14ac:dyDescent="0.25">
      <c r="A222" s="8">
        <v>43087.058182870373</v>
      </c>
      <c r="B222" s="20" t="s">
        <v>362</v>
      </c>
      <c r="C222" s="20" t="s">
        <v>899</v>
      </c>
      <c r="D222" s="137">
        <v>3220000</v>
      </c>
      <c r="E222" s="20" t="s">
        <v>378</v>
      </c>
      <c r="F222" s="20" t="s">
        <v>379</v>
      </c>
      <c r="G222" s="8" t="str">
        <f t="shared" si="6"/>
        <v>RESPASS AARON</v>
      </c>
      <c r="H222" s="20" t="str">
        <f t="shared" si="7"/>
        <v>4017</v>
      </c>
    </row>
    <row r="223" spans="1:8" x14ac:dyDescent="0.25">
      <c r="A223" s="8">
        <v>43087.069074074076</v>
      </c>
      <c r="B223" s="20" t="s">
        <v>624</v>
      </c>
      <c r="C223" s="20" t="s">
        <v>477</v>
      </c>
      <c r="D223" s="137">
        <v>3340000</v>
      </c>
      <c r="E223" s="20" t="s">
        <v>467</v>
      </c>
      <c r="F223" s="20" t="s">
        <v>468</v>
      </c>
      <c r="G223" s="8" t="str">
        <f t="shared" si="6"/>
        <v>ELBAUM MIKE</v>
      </c>
      <c r="H223" s="20" t="str">
        <f t="shared" si="7"/>
        <v>4004</v>
      </c>
    </row>
    <row r="224" spans="1:8" x14ac:dyDescent="0.25">
      <c r="A224" s="8">
        <v>43087.087245370371</v>
      </c>
      <c r="B224" t="s">
        <v>360</v>
      </c>
      <c r="C224" t="s">
        <v>478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4018</v>
      </c>
    </row>
    <row r="225" spans="1:8" x14ac:dyDescent="0.25">
      <c r="A225" s="8">
        <v>43087.114259259259</v>
      </c>
      <c r="B225" t="s">
        <v>536</v>
      </c>
      <c r="C225" t="s">
        <v>900</v>
      </c>
      <c r="D225" s="137">
        <v>3120000</v>
      </c>
      <c r="E225" t="s">
        <v>369</v>
      </c>
      <c r="F225" s="20" t="s">
        <v>537</v>
      </c>
      <c r="G225" s="8" t="str">
        <f t="shared" si="6"/>
        <v>THOMPSON LESTER</v>
      </c>
      <c r="H225" s="20" t="str">
        <f t="shared" si="7"/>
        <v>4009</v>
      </c>
    </row>
    <row r="226" spans="1:8" x14ac:dyDescent="0.25">
      <c r="A226" s="8">
        <v>43080.025752314818</v>
      </c>
      <c r="B226" t="s">
        <v>371</v>
      </c>
      <c r="C226" t="s">
        <v>602</v>
      </c>
      <c r="D226" s="137">
        <v>3340000</v>
      </c>
      <c r="E226" t="s">
        <v>467</v>
      </c>
      <c r="F226" s="20" t="s">
        <v>468</v>
      </c>
      <c r="G226" s="8" t="str">
        <f t="shared" si="6"/>
        <v>ELBAUM MIKE</v>
      </c>
      <c r="H226" s="20" t="str">
        <f t="shared" si="7"/>
        <v>4011</v>
      </c>
    </row>
    <row r="227" spans="1:8" x14ac:dyDescent="0.25">
      <c r="A227" s="8">
        <v>43080.02715277778</v>
      </c>
      <c r="B227" t="s">
        <v>579</v>
      </c>
      <c r="C227" t="s">
        <v>606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25">
      <c r="A228" s="8">
        <v>43080.031712962962</v>
      </c>
      <c r="B228" t="s">
        <v>579</v>
      </c>
      <c r="C228" t="s">
        <v>606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25">
      <c r="A229" s="8">
        <v>43080.04724537037</v>
      </c>
      <c r="B229" t="s">
        <v>506</v>
      </c>
      <c r="C229" t="s">
        <v>607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25">
      <c r="A230" s="8">
        <v>43080.055150462962</v>
      </c>
      <c r="B230" t="s">
        <v>562</v>
      </c>
      <c r="C230" t="s">
        <v>603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25">
      <c r="A231" s="8">
        <v>43080.057372685187</v>
      </c>
      <c r="B231" t="s">
        <v>392</v>
      </c>
      <c r="C231" t="s">
        <v>604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25">
      <c r="A232" s="8">
        <v>43080.066712962966</v>
      </c>
      <c r="B232" t="s">
        <v>370</v>
      </c>
      <c r="C232" t="s">
        <v>608</v>
      </c>
      <c r="D232" s="137">
        <v>3340000</v>
      </c>
      <c r="E232" t="s">
        <v>467</v>
      </c>
      <c r="F232" s="20" t="s">
        <v>468</v>
      </c>
      <c r="G232" s="8" t="str">
        <f t="shared" si="6"/>
        <v>ELBAUM MIKE</v>
      </c>
      <c r="H232" s="20" t="str">
        <f t="shared" si="7"/>
        <v>4012</v>
      </c>
    </row>
    <row r="233" spans="1:8" x14ac:dyDescent="0.25">
      <c r="A233" s="8">
        <v>43080.069236111114</v>
      </c>
      <c r="B233" t="s">
        <v>386</v>
      </c>
      <c r="C233" t="s">
        <v>605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25">
      <c r="A234" s="8">
        <v>43080.089502314811</v>
      </c>
      <c r="B234" t="s">
        <v>392</v>
      </c>
      <c r="C234" t="s">
        <v>609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25">
      <c r="A235" s="8">
        <v>43080.113541666666</v>
      </c>
      <c r="B235" t="s">
        <v>351</v>
      </c>
      <c r="C235" t="s">
        <v>610</v>
      </c>
      <c r="D235" s="137">
        <v>3120000</v>
      </c>
      <c r="E235" t="s">
        <v>369</v>
      </c>
      <c r="F235" s="20" t="s">
        <v>537</v>
      </c>
      <c r="G235" s="8" t="str">
        <f t="shared" si="6"/>
        <v>THOMPSON LESTER</v>
      </c>
      <c r="H235" s="20" t="str">
        <f t="shared" si="7"/>
        <v>4055</v>
      </c>
    </row>
    <row r="236" spans="1:8" x14ac:dyDescent="0.25">
      <c r="A236" s="8">
        <v>43061.9919212963</v>
      </c>
      <c r="B236" t="s">
        <v>362</v>
      </c>
      <c r="C236" t="s">
        <v>509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25">
      <c r="A237" s="8">
        <v>43062.007280092592</v>
      </c>
      <c r="B237" t="s">
        <v>501</v>
      </c>
      <c r="C237" t="s">
        <v>510</v>
      </c>
      <c r="D237" s="137">
        <v>2440000</v>
      </c>
      <c r="E237" t="s">
        <v>454</v>
      </c>
      <c r="F237" s="20" t="s">
        <v>455</v>
      </c>
      <c r="G237" s="8" t="str">
        <f t="shared" si="6"/>
        <v>LOPES KIMBERLY</v>
      </c>
      <c r="H237" s="20" t="str">
        <f t="shared" si="7"/>
        <v>4006</v>
      </c>
    </row>
    <row r="238" spans="1:8" x14ac:dyDescent="0.25">
      <c r="A238" s="8">
        <v>43062.019155092596</v>
      </c>
      <c r="B238" t="s">
        <v>500</v>
      </c>
      <c r="C238" t="s">
        <v>503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25">
      <c r="A239" s="8">
        <v>43062.029270833336</v>
      </c>
      <c r="B239" t="s">
        <v>360</v>
      </c>
      <c r="C239" t="s">
        <v>511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25">
      <c r="A240" s="8">
        <v>43062.037442129629</v>
      </c>
      <c r="B240" t="s">
        <v>499</v>
      </c>
      <c r="C240" t="s">
        <v>512</v>
      </c>
      <c r="D240" s="137">
        <v>3680000</v>
      </c>
      <c r="E240" t="s">
        <v>475</v>
      </c>
      <c r="F240" s="20" t="s">
        <v>476</v>
      </c>
      <c r="G240" s="8" t="str">
        <f t="shared" si="6"/>
        <v>HAMMOND JUSTYNN</v>
      </c>
      <c r="H240" s="20" t="str">
        <f t="shared" si="7"/>
        <v>4015</v>
      </c>
    </row>
    <row r="241" spans="1:8" x14ac:dyDescent="0.25">
      <c r="A241" s="8">
        <v>43062.046944444446</v>
      </c>
      <c r="B241" t="s">
        <v>504</v>
      </c>
      <c r="C241" t="s">
        <v>513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25">
      <c r="A242" s="8">
        <v>43062.050451388888</v>
      </c>
      <c r="B242" t="s">
        <v>505</v>
      </c>
      <c r="C242" t="s">
        <v>514</v>
      </c>
      <c r="D242" s="137">
        <v>2440000</v>
      </c>
      <c r="E242" t="s">
        <v>454</v>
      </c>
      <c r="F242" s="20" t="s">
        <v>455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502</v>
      </c>
      <c r="C243" t="s">
        <v>515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501</v>
      </c>
      <c r="C244" t="s">
        <v>516</v>
      </c>
      <c r="D244" s="137">
        <v>2440000</v>
      </c>
      <c r="E244" t="s">
        <v>454</v>
      </c>
      <c r="F244" s="20" t="s">
        <v>455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483</v>
      </c>
      <c r="C245" t="s">
        <v>490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487</v>
      </c>
      <c r="C246" t="s">
        <v>491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485</v>
      </c>
      <c r="C247" t="s">
        <v>492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443</v>
      </c>
      <c r="C248" t="s">
        <v>493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494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484</v>
      </c>
      <c r="C250" t="s">
        <v>495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488</v>
      </c>
      <c r="C251" t="s">
        <v>496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483</v>
      </c>
      <c r="C252" t="s">
        <v>497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487</v>
      </c>
      <c r="C253" t="s">
        <v>489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477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447</v>
      </c>
      <c r="C255" t="s">
        <v>478</v>
      </c>
      <c r="D255" s="137">
        <v>3340000</v>
      </c>
      <c r="E255" t="s">
        <v>467</v>
      </c>
      <c r="F255" s="20" t="s">
        <v>468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443</v>
      </c>
      <c r="C256" t="s">
        <v>479</v>
      </c>
      <c r="D256" s="137">
        <v>3680000</v>
      </c>
      <c r="E256" t="s">
        <v>475</v>
      </c>
      <c r="F256" s="20" t="s">
        <v>476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444</v>
      </c>
      <c r="C257" t="s">
        <v>458</v>
      </c>
      <c r="D257" s="137">
        <v>2540000</v>
      </c>
      <c r="E257" t="s">
        <v>456</v>
      </c>
      <c r="F257" s="20" t="s">
        <v>457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452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443</v>
      </c>
      <c r="C259" t="s">
        <v>459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453</v>
      </c>
      <c r="C260" t="s">
        <v>460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445</v>
      </c>
      <c r="C261" t="s">
        <v>461</v>
      </c>
      <c r="D261" s="137">
        <v>2440000</v>
      </c>
      <c r="E261" t="s">
        <v>454</v>
      </c>
      <c r="F261" s="20" t="s">
        <v>455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462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451</v>
      </c>
      <c r="C263" t="s">
        <v>463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464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901</v>
      </c>
      <c r="I1" s="217" t="s">
        <v>162</v>
      </c>
      <c r="J1" s="217" t="s">
        <v>163</v>
      </c>
      <c r="K1" s="217" t="s">
        <v>902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25">
      <c r="A2" s="195">
        <v>30.55</v>
      </c>
      <c r="B2" s="195">
        <v>0.94</v>
      </c>
      <c r="C2" s="195">
        <v>25.31</v>
      </c>
      <c r="D2" s="8">
        <v>43086</v>
      </c>
      <c r="E2" s="195">
        <v>0.81</v>
      </c>
      <c r="F2" s="195" t="s">
        <v>638</v>
      </c>
      <c r="G2" s="195">
        <v>311.97000000000003</v>
      </c>
      <c r="H2" s="195"/>
      <c r="I2" s="195">
        <v>0</v>
      </c>
      <c r="J2" s="195">
        <v>0</v>
      </c>
      <c r="K2" s="195"/>
      <c r="L2" s="195">
        <v>1014.09</v>
      </c>
      <c r="M2" s="195" t="s">
        <v>639</v>
      </c>
      <c r="N2" s="195">
        <v>30.55</v>
      </c>
      <c r="O2" s="195">
        <v>1513494000</v>
      </c>
      <c r="P2" s="195">
        <v>0</v>
      </c>
      <c r="Q2" s="195">
        <v>3.84</v>
      </c>
      <c r="R2" s="195">
        <v>53</v>
      </c>
      <c r="S2" s="195">
        <v>4.24</v>
      </c>
      <c r="T2" s="195">
        <v>1.99</v>
      </c>
    </row>
    <row r="3" spans="1:20" x14ac:dyDescent="0.25">
      <c r="A3" s="195">
        <v>30.05</v>
      </c>
      <c r="B3" s="195">
        <v>0.94</v>
      </c>
      <c r="C3" s="195">
        <v>25.71</v>
      </c>
      <c r="D3" s="8">
        <v>43086.041666666664</v>
      </c>
      <c r="E3" s="195">
        <v>0.84</v>
      </c>
      <c r="F3" s="195" t="s">
        <v>638</v>
      </c>
      <c r="G3" s="195">
        <v>313.14</v>
      </c>
      <c r="H3" s="195"/>
      <c r="I3" s="195">
        <v>0</v>
      </c>
      <c r="J3" s="195">
        <v>0</v>
      </c>
      <c r="K3" s="195"/>
      <c r="L3" s="195">
        <v>1014.44</v>
      </c>
      <c r="M3" s="195" t="s">
        <v>639</v>
      </c>
      <c r="N3" s="195">
        <v>30.05</v>
      </c>
      <c r="O3" s="195">
        <v>1513497600</v>
      </c>
      <c r="P3" s="195">
        <v>0</v>
      </c>
      <c r="Q3" s="195">
        <v>3.33</v>
      </c>
      <c r="R3" s="195">
        <v>14</v>
      </c>
      <c r="S3" s="195">
        <v>3.51</v>
      </c>
      <c r="T3" s="195">
        <v>1.03</v>
      </c>
    </row>
    <row r="4" spans="1:20" x14ac:dyDescent="0.25">
      <c r="A4" s="195">
        <v>30.1</v>
      </c>
      <c r="B4" s="195">
        <v>0.98</v>
      </c>
      <c r="C4" s="195">
        <v>26</v>
      </c>
      <c r="D4" s="8">
        <v>43086.083333333336</v>
      </c>
      <c r="E4" s="195">
        <v>0.84</v>
      </c>
      <c r="F4" s="195" t="s">
        <v>638</v>
      </c>
      <c r="G4" s="195">
        <v>314.19</v>
      </c>
      <c r="H4" s="195"/>
      <c r="I4" s="195">
        <v>0</v>
      </c>
      <c r="J4" s="195">
        <v>0</v>
      </c>
      <c r="K4" s="195"/>
      <c r="L4" s="195">
        <v>1014.1</v>
      </c>
      <c r="M4" s="195" t="s">
        <v>639</v>
      </c>
      <c r="N4" s="195">
        <v>30.1</v>
      </c>
      <c r="O4" s="195">
        <v>1513501200</v>
      </c>
      <c r="P4" s="195">
        <v>0</v>
      </c>
      <c r="Q4" s="195">
        <v>3.23</v>
      </c>
      <c r="R4" s="195">
        <v>16</v>
      </c>
      <c r="S4" s="195">
        <v>2</v>
      </c>
      <c r="T4" s="195">
        <v>0.81</v>
      </c>
    </row>
    <row r="5" spans="1:20" x14ac:dyDescent="0.25">
      <c r="A5" s="195">
        <v>29.98</v>
      </c>
      <c r="B5" s="195">
        <v>0.98</v>
      </c>
      <c r="C5" s="195">
        <v>26.2</v>
      </c>
      <c r="D5" s="8">
        <v>43086.125</v>
      </c>
      <c r="E5" s="195">
        <v>0.86</v>
      </c>
      <c r="F5" s="195" t="s">
        <v>638</v>
      </c>
      <c r="G5" s="195">
        <v>315.45</v>
      </c>
      <c r="H5" s="195"/>
      <c r="I5" s="195">
        <v>0</v>
      </c>
      <c r="J5" s="195">
        <v>0</v>
      </c>
      <c r="K5" s="195"/>
      <c r="L5" s="195">
        <v>1014.22</v>
      </c>
      <c r="M5" s="195" t="s">
        <v>639</v>
      </c>
      <c r="N5" s="195">
        <v>29.98</v>
      </c>
      <c r="O5" s="195">
        <v>1513504800</v>
      </c>
      <c r="P5" s="195">
        <v>0</v>
      </c>
      <c r="Q5" s="195">
        <v>2.96</v>
      </c>
      <c r="R5" s="195">
        <v>54</v>
      </c>
      <c r="S5" s="195">
        <v>1.68</v>
      </c>
      <c r="T5" s="195">
        <v>0.33</v>
      </c>
    </row>
    <row r="6" spans="1:20" x14ac:dyDescent="0.25">
      <c r="A6" s="195">
        <v>30.06</v>
      </c>
      <c r="B6" s="195">
        <v>0.93</v>
      </c>
      <c r="C6" s="195">
        <v>26.4</v>
      </c>
      <c r="D6" s="8">
        <v>43086.166666666664</v>
      </c>
      <c r="E6" s="195">
        <v>0.86</v>
      </c>
      <c r="F6" s="195" t="s">
        <v>634</v>
      </c>
      <c r="G6" s="195">
        <v>316.5</v>
      </c>
      <c r="H6" s="195"/>
      <c r="I6" s="195">
        <v>0</v>
      </c>
      <c r="J6" s="195">
        <v>0</v>
      </c>
      <c r="K6" s="195"/>
      <c r="L6" s="195">
        <v>1014.85</v>
      </c>
      <c r="M6" s="195" t="s">
        <v>637</v>
      </c>
      <c r="N6" s="195">
        <v>30.06</v>
      </c>
      <c r="O6" s="195">
        <v>1513508400</v>
      </c>
      <c r="P6" s="195">
        <v>0</v>
      </c>
      <c r="Q6" s="195">
        <v>2.88</v>
      </c>
      <c r="R6" s="195">
        <v>55</v>
      </c>
      <c r="S6" s="195">
        <v>1.95</v>
      </c>
      <c r="T6" s="195">
        <v>0.45</v>
      </c>
    </row>
    <row r="7" spans="1:20" x14ac:dyDescent="0.25">
      <c r="A7" s="195">
        <v>30.23</v>
      </c>
      <c r="B7" s="195">
        <v>0.95</v>
      </c>
      <c r="C7" s="195">
        <v>26.55</v>
      </c>
      <c r="D7" s="8">
        <v>43086.208333333336</v>
      </c>
      <c r="E7" s="195">
        <v>0.86</v>
      </c>
      <c r="F7" s="195" t="s">
        <v>638</v>
      </c>
      <c r="G7" s="195">
        <v>319.51</v>
      </c>
      <c r="H7" s="195"/>
      <c r="I7" s="195">
        <v>0</v>
      </c>
      <c r="J7" s="195">
        <v>0</v>
      </c>
      <c r="K7" s="195"/>
      <c r="L7" s="195">
        <v>1016.41</v>
      </c>
      <c r="M7" s="195" t="s">
        <v>639</v>
      </c>
      <c r="N7" s="195">
        <v>30.23</v>
      </c>
      <c r="O7" s="195">
        <v>1513512000</v>
      </c>
      <c r="P7" s="195">
        <v>0</v>
      </c>
      <c r="Q7" s="195">
        <v>3.45</v>
      </c>
      <c r="R7" s="195">
        <v>67</v>
      </c>
      <c r="S7" s="195">
        <v>2.35</v>
      </c>
      <c r="T7" s="195">
        <v>0.69</v>
      </c>
    </row>
    <row r="8" spans="1:20" x14ac:dyDescent="0.25">
      <c r="A8" s="195">
        <v>30.19</v>
      </c>
      <c r="B8" s="195">
        <v>0.89</v>
      </c>
      <c r="C8" s="195">
        <v>26.6</v>
      </c>
      <c r="D8" s="8">
        <v>43086.25</v>
      </c>
      <c r="E8" s="195">
        <v>0.86</v>
      </c>
      <c r="F8" s="195" t="s">
        <v>634</v>
      </c>
      <c r="G8" s="195">
        <v>320.02999999999997</v>
      </c>
      <c r="H8" s="195"/>
      <c r="I8" s="195">
        <v>0</v>
      </c>
      <c r="J8" s="195">
        <v>0</v>
      </c>
      <c r="K8" s="195"/>
      <c r="L8" s="195">
        <v>1017.44</v>
      </c>
      <c r="M8" s="195" t="s">
        <v>637</v>
      </c>
      <c r="N8" s="195">
        <v>30.19</v>
      </c>
      <c r="O8" s="195">
        <v>1513515600</v>
      </c>
      <c r="P8" s="195">
        <v>0</v>
      </c>
      <c r="Q8" s="195">
        <v>3.84</v>
      </c>
      <c r="R8" s="195">
        <v>56</v>
      </c>
      <c r="S8" s="195">
        <v>1.84</v>
      </c>
      <c r="T8" s="195">
        <v>0.56000000000000005</v>
      </c>
    </row>
    <row r="9" spans="1:20" x14ac:dyDescent="0.25">
      <c r="A9" s="195">
        <v>30.36</v>
      </c>
      <c r="B9" s="195">
        <v>0.81</v>
      </c>
      <c r="C9" s="195">
        <v>26.73</v>
      </c>
      <c r="D9" s="8">
        <v>43086.291666666664</v>
      </c>
      <c r="E9" s="195">
        <v>0.86</v>
      </c>
      <c r="F9" s="195" t="s">
        <v>634</v>
      </c>
      <c r="G9" s="195">
        <v>320.13</v>
      </c>
      <c r="H9" s="195"/>
      <c r="I9" s="195">
        <v>0</v>
      </c>
      <c r="J9" s="195">
        <v>0</v>
      </c>
      <c r="K9" s="195"/>
      <c r="L9" s="195">
        <v>1018.67</v>
      </c>
      <c r="M9" s="195" t="s">
        <v>637</v>
      </c>
      <c r="N9" s="195">
        <v>30.36</v>
      </c>
      <c r="O9" s="195">
        <v>1513519200</v>
      </c>
      <c r="P9" s="195">
        <v>0</v>
      </c>
      <c r="Q9" s="195">
        <v>3.63</v>
      </c>
      <c r="R9" s="195">
        <v>50</v>
      </c>
      <c r="S9" s="195">
        <v>1.7</v>
      </c>
      <c r="T9" s="195">
        <v>0.46</v>
      </c>
    </row>
    <row r="10" spans="1:20" x14ac:dyDescent="0.25">
      <c r="A10" s="195">
        <v>30.47</v>
      </c>
      <c r="B10" s="195">
        <v>0.74</v>
      </c>
      <c r="C10" s="195">
        <v>26.8</v>
      </c>
      <c r="D10" s="8">
        <v>43086.333333333336</v>
      </c>
      <c r="E10" s="195">
        <v>0.86</v>
      </c>
      <c r="F10" s="195" t="s">
        <v>636</v>
      </c>
      <c r="G10" s="195">
        <v>320.24</v>
      </c>
      <c r="H10" s="195"/>
      <c r="I10" s="195">
        <v>0</v>
      </c>
      <c r="J10" s="195">
        <v>0</v>
      </c>
      <c r="K10" s="195"/>
      <c r="L10" s="195">
        <v>1018.47</v>
      </c>
      <c r="M10" s="195" t="s">
        <v>637</v>
      </c>
      <c r="N10" s="195">
        <v>30.47</v>
      </c>
      <c r="O10" s="195">
        <v>1513522800</v>
      </c>
      <c r="P10" s="195">
        <v>0</v>
      </c>
      <c r="Q10" s="195">
        <v>3.34</v>
      </c>
      <c r="R10" s="195">
        <v>59</v>
      </c>
      <c r="S10" s="195">
        <v>1.55</v>
      </c>
      <c r="T10" s="195">
        <v>0.56000000000000005</v>
      </c>
    </row>
    <row r="11" spans="1:20" x14ac:dyDescent="0.25">
      <c r="A11" s="195">
        <v>30.94</v>
      </c>
      <c r="B11" s="195">
        <v>0.68</v>
      </c>
      <c r="C11" s="195">
        <v>26.83</v>
      </c>
      <c r="D11" s="8">
        <v>43086.375</v>
      </c>
      <c r="E11" s="195">
        <v>0.85</v>
      </c>
      <c r="F11" s="195" t="s">
        <v>636</v>
      </c>
      <c r="G11" s="195">
        <v>320.76</v>
      </c>
      <c r="H11" s="195"/>
      <c r="I11" s="195">
        <v>0</v>
      </c>
      <c r="J11" s="195">
        <v>0</v>
      </c>
      <c r="K11" s="195"/>
      <c r="L11" s="195">
        <v>1018.42</v>
      </c>
      <c r="M11" s="195" t="s">
        <v>637</v>
      </c>
      <c r="N11" s="195">
        <v>30.94</v>
      </c>
      <c r="O11" s="195">
        <v>1513526400</v>
      </c>
      <c r="P11" s="195">
        <v>1</v>
      </c>
      <c r="Q11" s="195">
        <v>3.58</v>
      </c>
      <c r="R11" s="195">
        <v>67</v>
      </c>
      <c r="S11" s="195">
        <v>2.4300000000000002</v>
      </c>
      <c r="T11" s="195">
        <v>0.65</v>
      </c>
    </row>
    <row r="12" spans="1:20" x14ac:dyDescent="0.25">
      <c r="A12" s="195">
        <v>31.85</v>
      </c>
      <c r="B12" s="195">
        <v>0.5</v>
      </c>
      <c r="C12" s="195">
        <v>26.83</v>
      </c>
      <c r="D12" s="8">
        <v>43086.416666666664</v>
      </c>
      <c r="E12" s="195">
        <v>0.81</v>
      </c>
      <c r="F12" s="195" t="s">
        <v>636</v>
      </c>
      <c r="G12" s="195">
        <v>321.39</v>
      </c>
      <c r="H12" s="195">
        <v>0</v>
      </c>
      <c r="I12" s="195">
        <v>2.0000000000000001E-4</v>
      </c>
      <c r="J12" s="195">
        <v>0.01</v>
      </c>
      <c r="K12" s="195" t="s">
        <v>903</v>
      </c>
      <c r="L12" s="195">
        <v>1017.99</v>
      </c>
      <c r="M12" s="195" t="s">
        <v>635</v>
      </c>
      <c r="N12" s="195">
        <v>31.85</v>
      </c>
      <c r="O12" s="195">
        <v>1513530000</v>
      </c>
      <c r="P12" s="195">
        <v>1</v>
      </c>
      <c r="Q12" s="195">
        <v>3.87</v>
      </c>
      <c r="R12" s="195">
        <v>71</v>
      </c>
      <c r="S12" s="195">
        <v>2.63</v>
      </c>
      <c r="T12" s="195">
        <v>0.55000000000000004</v>
      </c>
    </row>
    <row r="13" spans="1:20" x14ac:dyDescent="0.25">
      <c r="A13" s="195">
        <v>33.17</v>
      </c>
      <c r="B13" s="195">
        <v>0.64</v>
      </c>
      <c r="C13" s="195">
        <v>26.59</v>
      </c>
      <c r="D13" s="8">
        <v>43086.458333333336</v>
      </c>
      <c r="E13" s="195">
        <v>0.76</v>
      </c>
      <c r="F13" s="195" t="s">
        <v>636</v>
      </c>
      <c r="G13" s="195">
        <v>318.61</v>
      </c>
      <c r="H13" s="195">
        <v>0</v>
      </c>
      <c r="I13" s="195">
        <v>1E-4</v>
      </c>
      <c r="J13" s="195">
        <v>0.01</v>
      </c>
      <c r="K13" s="195" t="s">
        <v>903</v>
      </c>
      <c r="L13" s="195">
        <v>1017.36</v>
      </c>
      <c r="M13" s="195" t="s">
        <v>637</v>
      </c>
      <c r="N13" s="195">
        <v>33.17</v>
      </c>
      <c r="O13" s="195">
        <v>1513533600</v>
      </c>
      <c r="P13" s="195">
        <v>1</v>
      </c>
      <c r="Q13" s="195">
        <v>3.97</v>
      </c>
      <c r="R13" s="195">
        <v>135</v>
      </c>
      <c r="S13" s="195">
        <v>2.96</v>
      </c>
      <c r="T13" s="195">
        <v>0.7</v>
      </c>
    </row>
    <row r="14" spans="1:20" x14ac:dyDescent="0.25">
      <c r="A14" s="195">
        <v>35.36</v>
      </c>
      <c r="B14" s="195">
        <v>0.75</v>
      </c>
      <c r="C14" s="195">
        <v>26.13</v>
      </c>
      <c r="D14" s="8">
        <v>43086.5</v>
      </c>
      <c r="E14" s="195">
        <v>0.69</v>
      </c>
      <c r="F14" s="195" t="s">
        <v>636</v>
      </c>
      <c r="G14" s="195">
        <v>317.99</v>
      </c>
      <c r="H14" s="195"/>
      <c r="I14" s="195">
        <v>0</v>
      </c>
      <c r="J14" s="195">
        <v>0</v>
      </c>
      <c r="K14" s="195"/>
      <c r="L14" s="195">
        <v>1015.34</v>
      </c>
      <c r="M14" s="195" t="s">
        <v>637</v>
      </c>
      <c r="N14" s="195">
        <v>35.36</v>
      </c>
      <c r="O14" s="195">
        <v>1513537200</v>
      </c>
      <c r="P14" s="195">
        <v>1</v>
      </c>
      <c r="Q14" s="195">
        <v>4.04</v>
      </c>
      <c r="R14" s="195">
        <v>166</v>
      </c>
      <c r="S14" s="195">
        <v>6.13</v>
      </c>
      <c r="T14" s="195">
        <v>1.88</v>
      </c>
    </row>
    <row r="15" spans="1:20" x14ac:dyDescent="0.25">
      <c r="A15" s="195">
        <v>38.03</v>
      </c>
      <c r="B15" s="195">
        <v>0.28000000000000003</v>
      </c>
      <c r="C15" s="195">
        <v>25.65</v>
      </c>
      <c r="D15" s="8">
        <v>43086.541666666664</v>
      </c>
      <c r="E15" s="195">
        <v>0.61</v>
      </c>
      <c r="F15" s="195" t="s">
        <v>636</v>
      </c>
      <c r="G15" s="195">
        <v>317.49</v>
      </c>
      <c r="H15" s="195"/>
      <c r="I15" s="195">
        <v>0</v>
      </c>
      <c r="J15" s="195">
        <v>0</v>
      </c>
      <c r="K15" s="195"/>
      <c r="L15" s="195">
        <v>1013.52</v>
      </c>
      <c r="M15" s="195" t="s">
        <v>635</v>
      </c>
      <c r="N15" s="195">
        <v>38.03</v>
      </c>
      <c r="O15" s="195">
        <v>1513540800</v>
      </c>
      <c r="P15" s="195">
        <v>2</v>
      </c>
      <c r="Q15" s="195">
        <v>4.04</v>
      </c>
      <c r="R15" s="195">
        <v>142</v>
      </c>
      <c r="S15" s="195">
        <v>6.11</v>
      </c>
      <c r="T15" s="195">
        <v>1.6</v>
      </c>
    </row>
    <row r="16" spans="1:20" x14ac:dyDescent="0.25">
      <c r="A16" s="195">
        <v>39.090000000000003</v>
      </c>
      <c r="B16" s="195">
        <v>0.09</v>
      </c>
      <c r="C16" s="195">
        <v>25.01</v>
      </c>
      <c r="D16" s="8">
        <v>43086.583333333336</v>
      </c>
      <c r="E16" s="195">
        <v>0.56999999999999995</v>
      </c>
      <c r="F16" s="195" t="s">
        <v>517</v>
      </c>
      <c r="G16" s="195">
        <v>318.64999999999998</v>
      </c>
      <c r="H16" s="195"/>
      <c r="I16" s="195">
        <v>0</v>
      </c>
      <c r="J16" s="195">
        <v>0</v>
      </c>
      <c r="K16" s="195"/>
      <c r="L16" s="195">
        <v>1012.4</v>
      </c>
      <c r="M16" s="195" t="s">
        <v>465</v>
      </c>
      <c r="N16" s="195">
        <v>39.090000000000003</v>
      </c>
      <c r="O16" s="195">
        <v>1513544400</v>
      </c>
      <c r="P16" s="195">
        <v>1</v>
      </c>
      <c r="Q16" s="195">
        <v>3.83</v>
      </c>
      <c r="R16" s="195">
        <v>127</v>
      </c>
      <c r="S16" s="195">
        <v>4.34</v>
      </c>
      <c r="T16" s="195">
        <v>1.02</v>
      </c>
    </row>
    <row r="17" spans="1:20" x14ac:dyDescent="0.25">
      <c r="A17" s="195">
        <v>39.94</v>
      </c>
      <c r="B17" s="195">
        <v>0.1</v>
      </c>
      <c r="C17" s="195">
        <v>24.72</v>
      </c>
      <c r="D17" s="8">
        <v>43086.625</v>
      </c>
      <c r="E17" s="195">
        <v>0.54</v>
      </c>
      <c r="F17" s="195" t="s">
        <v>517</v>
      </c>
      <c r="G17" s="195">
        <v>323.32</v>
      </c>
      <c r="H17" s="195"/>
      <c r="I17" s="195">
        <v>0</v>
      </c>
      <c r="J17" s="195">
        <v>0</v>
      </c>
      <c r="K17" s="195"/>
      <c r="L17" s="195">
        <v>1012.25</v>
      </c>
      <c r="M17" s="195" t="s">
        <v>465</v>
      </c>
      <c r="N17" s="195">
        <v>39.94</v>
      </c>
      <c r="O17" s="195">
        <v>1513548000</v>
      </c>
      <c r="P17" s="195">
        <v>1</v>
      </c>
      <c r="Q17" s="195">
        <v>3.78</v>
      </c>
      <c r="R17" s="195">
        <v>103</v>
      </c>
      <c r="S17" s="195">
        <v>4.13</v>
      </c>
      <c r="T17" s="195">
        <v>1.05</v>
      </c>
    </row>
    <row r="18" spans="1:20" x14ac:dyDescent="0.25">
      <c r="A18" s="195">
        <v>39.65</v>
      </c>
      <c r="B18" s="195">
        <v>0.11</v>
      </c>
      <c r="C18" s="195">
        <v>24.21</v>
      </c>
      <c r="D18" s="8">
        <v>43086.666666666664</v>
      </c>
      <c r="E18" s="195">
        <v>0.54</v>
      </c>
      <c r="F18" s="195" t="s">
        <v>517</v>
      </c>
      <c r="G18" s="195">
        <v>329.67</v>
      </c>
      <c r="H18" s="195"/>
      <c r="I18" s="195">
        <v>0</v>
      </c>
      <c r="J18" s="195">
        <v>0</v>
      </c>
      <c r="K18" s="195"/>
      <c r="L18" s="195">
        <v>1012.85</v>
      </c>
      <c r="M18" s="195" t="s">
        <v>465</v>
      </c>
      <c r="N18" s="195">
        <v>39.65</v>
      </c>
      <c r="O18" s="195">
        <v>1513551600</v>
      </c>
      <c r="P18" s="195">
        <v>0</v>
      </c>
      <c r="Q18" s="195">
        <v>4.04</v>
      </c>
      <c r="R18" s="195">
        <v>123</v>
      </c>
      <c r="S18" s="195">
        <v>3.08</v>
      </c>
      <c r="T18" s="195">
        <v>0.64</v>
      </c>
    </row>
    <row r="19" spans="1:20" x14ac:dyDescent="0.25">
      <c r="A19" s="195">
        <v>36.270000000000003</v>
      </c>
      <c r="B19" s="195">
        <v>7.0000000000000007E-2</v>
      </c>
      <c r="C19" s="195">
        <v>23.34</v>
      </c>
      <c r="D19" s="8">
        <v>43086.708333333336</v>
      </c>
      <c r="E19" s="195">
        <v>0.59</v>
      </c>
      <c r="F19" s="195" t="s">
        <v>466</v>
      </c>
      <c r="G19" s="195">
        <v>324.93</v>
      </c>
      <c r="H19" s="195"/>
      <c r="I19" s="195">
        <v>0</v>
      </c>
      <c r="J19" s="195">
        <v>0</v>
      </c>
      <c r="K19" s="195"/>
      <c r="L19" s="195">
        <v>1013.63</v>
      </c>
      <c r="M19" s="195" t="s">
        <v>465</v>
      </c>
      <c r="N19" s="195">
        <v>36.270000000000003</v>
      </c>
      <c r="O19" s="195">
        <v>1513555200</v>
      </c>
      <c r="P19" s="195">
        <v>0</v>
      </c>
      <c r="Q19" s="195">
        <v>4.04</v>
      </c>
      <c r="R19" s="195">
        <v>152</v>
      </c>
      <c r="S19" s="195">
        <v>2.57</v>
      </c>
      <c r="T19" s="195">
        <v>0.5</v>
      </c>
    </row>
    <row r="20" spans="1:20" x14ac:dyDescent="0.25">
      <c r="A20" s="195">
        <v>32.89</v>
      </c>
      <c r="B20" s="195">
        <v>7.0000000000000007E-2</v>
      </c>
      <c r="C20" s="195">
        <v>22.58</v>
      </c>
      <c r="D20" s="8">
        <v>43086.75</v>
      </c>
      <c r="E20" s="195">
        <v>0.65</v>
      </c>
      <c r="F20" s="195" t="s">
        <v>466</v>
      </c>
      <c r="G20" s="195">
        <v>325.02</v>
      </c>
      <c r="H20" s="195"/>
      <c r="I20" s="195">
        <v>0</v>
      </c>
      <c r="J20" s="195">
        <v>0</v>
      </c>
      <c r="K20" s="195"/>
      <c r="L20" s="195">
        <v>1014.82</v>
      </c>
      <c r="M20" s="195" t="s">
        <v>465</v>
      </c>
      <c r="N20" s="195">
        <v>32.89</v>
      </c>
      <c r="O20" s="195">
        <v>1513558800</v>
      </c>
      <c r="P20" s="195">
        <v>0</v>
      </c>
      <c r="Q20" s="195">
        <v>4.18</v>
      </c>
      <c r="R20" s="195">
        <v>33</v>
      </c>
      <c r="S20" s="195">
        <v>2.39</v>
      </c>
      <c r="T20" s="195">
        <v>0.16</v>
      </c>
    </row>
    <row r="21" spans="1:20" x14ac:dyDescent="0.25">
      <c r="A21" s="195">
        <v>29.89</v>
      </c>
      <c r="B21" s="195">
        <v>0.09</v>
      </c>
      <c r="C21" s="195">
        <v>22.04</v>
      </c>
      <c r="D21" s="8">
        <v>43086.791666666664</v>
      </c>
      <c r="E21" s="195">
        <v>0.72</v>
      </c>
      <c r="F21" s="195" t="s">
        <v>466</v>
      </c>
      <c r="G21" s="195">
        <v>324.27999999999997</v>
      </c>
      <c r="H21" s="195"/>
      <c r="I21" s="195">
        <v>0</v>
      </c>
      <c r="J21" s="195">
        <v>0</v>
      </c>
      <c r="K21" s="195"/>
      <c r="L21" s="195">
        <v>1015.73</v>
      </c>
      <c r="M21" s="195" t="s">
        <v>465</v>
      </c>
      <c r="N21" s="195">
        <v>29.89</v>
      </c>
      <c r="O21" s="195">
        <v>1513562400</v>
      </c>
      <c r="P21" s="195">
        <v>0</v>
      </c>
      <c r="Q21" s="195">
        <v>6.67</v>
      </c>
      <c r="R21" s="195">
        <v>279</v>
      </c>
      <c r="S21" s="195">
        <v>2.3199999999999998</v>
      </c>
      <c r="T21" s="195">
        <v>0.17</v>
      </c>
    </row>
    <row r="22" spans="1:20" x14ac:dyDescent="0.25">
      <c r="A22" s="195">
        <v>28.16</v>
      </c>
      <c r="B22" s="195">
        <v>0.08</v>
      </c>
      <c r="C22" s="195">
        <v>21.57</v>
      </c>
      <c r="D22" s="8">
        <v>43086.833333333336</v>
      </c>
      <c r="E22" s="195">
        <v>0.76</v>
      </c>
      <c r="F22" s="195" t="s">
        <v>466</v>
      </c>
      <c r="G22" s="195">
        <v>323.75</v>
      </c>
      <c r="H22" s="195"/>
      <c r="I22" s="195">
        <v>0</v>
      </c>
      <c r="J22" s="195">
        <v>0</v>
      </c>
      <c r="K22" s="195"/>
      <c r="L22" s="195">
        <v>1016.49</v>
      </c>
      <c r="M22" s="195" t="s">
        <v>465</v>
      </c>
      <c r="N22" s="195">
        <v>28.16</v>
      </c>
      <c r="O22" s="195">
        <v>1513566000</v>
      </c>
      <c r="P22" s="195">
        <v>0</v>
      </c>
      <c r="Q22" s="195">
        <v>3.71</v>
      </c>
      <c r="R22" s="195">
        <v>256</v>
      </c>
      <c r="S22" s="195">
        <v>2.02</v>
      </c>
      <c r="T22" s="195">
        <v>0.44</v>
      </c>
    </row>
    <row r="23" spans="1:20" x14ac:dyDescent="0.25">
      <c r="A23" s="195">
        <v>27.17</v>
      </c>
      <c r="B23" s="195">
        <v>0.06</v>
      </c>
      <c r="C23" s="195">
        <v>21.2</v>
      </c>
      <c r="D23" s="8">
        <v>43086.875</v>
      </c>
      <c r="E23" s="195">
        <v>0.78</v>
      </c>
      <c r="F23" s="195" t="s">
        <v>466</v>
      </c>
      <c r="G23" s="195">
        <v>324.14999999999998</v>
      </c>
      <c r="H23" s="195"/>
      <c r="I23" s="195">
        <v>0</v>
      </c>
      <c r="J23" s="195">
        <v>0</v>
      </c>
      <c r="K23" s="195"/>
      <c r="L23" s="195">
        <v>1017.31</v>
      </c>
      <c r="M23" s="195" t="s">
        <v>465</v>
      </c>
      <c r="N23" s="195">
        <v>27.17</v>
      </c>
      <c r="O23" s="195">
        <v>1513569600</v>
      </c>
      <c r="P23" s="195">
        <v>0</v>
      </c>
      <c r="Q23" s="195">
        <v>2.6</v>
      </c>
      <c r="R23" s="195">
        <v>246</v>
      </c>
      <c r="S23" s="195">
        <v>2.41</v>
      </c>
      <c r="T23" s="195">
        <v>0.55000000000000004</v>
      </c>
    </row>
    <row r="24" spans="1:20" x14ac:dyDescent="0.25">
      <c r="A24" s="195">
        <v>25.55</v>
      </c>
      <c r="B24" s="195">
        <v>0.02</v>
      </c>
      <c r="C24" s="195">
        <v>20.45</v>
      </c>
      <c r="D24" s="8">
        <v>43086.916666666664</v>
      </c>
      <c r="E24" s="195">
        <v>0.81</v>
      </c>
      <c r="F24" s="195" t="s">
        <v>466</v>
      </c>
      <c r="G24" s="195">
        <v>324.66000000000003</v>
      </c>
      <c r="H24" s="195"/>
      <c r="I24" s="195">
        <v>0</v>
      </c>
      <c r="J24" s="195">
        <v>0</v>
      </c>
      <c r="K24" s="195"/>
      <c r="L24" s="195">
        <v>1016.99</v>
      </c>
      <c r="M24" s="195" t="s">
        <v>465</v>
      </c>
      <c r="N24" s="195">
        <v>25.55</v>
      </c>
      <c r="O24" s="195">
        <v>1513573200</v>
      </c>
      <c r="P24" s="195">
        <v>0</v>
      </c>
      <c r="Q24" s="195">
        <v>3.03</v>
      </c>
      <c r="R24" s="195">
        <v>197</v>
      </c>
      <c r="S24" s="195">
        <v>1.82</v>
      </c>
      <c r="T24" s="195">
        <v>0.46</v>
      </c>
    </row>
    <row r="25" spans="1:20" x14ac:dyDescent="0.25">
      <c r="A25" s="195">
        <v>24.82</v>
      </c>
      <c r="B25" s="195">
        <v>0.02</v>
      </c>
      <c r="C25" s="195">
        <v>19.760000000000002</v>
      </c>
      <c r="D25" s="8">
        <v>43086.958333333336</v>
      </c>
      <c r="E25" s="195">
        <v>0.81</v>
      </c>
      <c r="F25" s="195" t="s">
        <v>466</v>
      </c>
      <c r="G25" s="195">
        <v>327.11</v>
      </c>
      <c r="H25" s="195"/>
      <c r="I25" s="195">
        <v>0</v>
      </c>
      <c r="J25" s="195">
        <v>0</v>
      </c>
      <c r="K25" s="195"/>
      <c r="L25" s="195">
        <v>1016.55</v>
      </c>
      <c r="M25" s="195" t="s">
        <v>465</v>
      </c>
      <c r="N25" s="195">
        <v>24.82</v>
      </c>
      <c r="O25" s="195">
        <v>1513576800</v>
      </c>
      <c r="P25" s="195">
        <v>0</v>
      </c>
      <c r="Q25" s="195">
        <v>3.1</v>
      </c>
      <c r="R25" s="195">
        <v>185</v>
      </c>
      <c r="S25" s="195">
        <v>2.5</v>
      </c>
      <c r="T25" s="195">
        <v>1.01</v>
      </c>
    </row>
    <row r="26" spans="1:20" x14ac:dyDescent="0.25">
      <c r="A26" s="195">
        <v>24.24</v>
      </c>
      <c r="B26" s="195">
        <v>0</v>
      </c>
      <c r="C26" s="195">
        <v>18.850000000000001</v>
      </c>
      <c r="D26" s="8">
        <v>43087</v>
      </c>
      <c r="E26" s="195">
        <v>0.8</v>
      </c>
      <c r="F26" s="195" t="s">
        <v>466</v>
      </c>
      <c r="G26" s="195">
        <v>325.57</v>
      </c>
      <c r="H26" s="195"/>
      <c r="I26" s="195">
        <v>0</v>
      </c>
      <c r="J26" s="195">
        <v>0</v>
      </c>
      <c r="K26" s="195"/>
      <c r="L26" s="195">
        <v>1016</v>
      </c>
      <c r="M26" s="195" t="s">
        <v>465</v>
      </c>
      <c r="N26" s="195">
        <v>24.24</v>
      </c>
      <c r="O26" s="195">
        <v>1513580400</v>
      </c>
      <c r="P26" s="195">
        <v>0</v>
      </c>
      <c r="Q26" s="195">
        <v>2.89</v>
      </c>
      <c r="R26" s="195">
        <v>220</v>
      </c>
      <c r="S26" s="195">
        <v>1.88</v>
      </c>
      <c r="T26" s="195">
        <v>0.41</v>
      </c>
    </row>
    <row r="27" spans="1:20" x14ac:dyDescent="0.25">
      <c r="A27" s="195">
        <v>23.68</v>
      </c>
      <c r="B27" s="195">
        <v>0</v>
      </c>
      <c r="C27" s="195">
        <v>18.46</v>
      </c>
      <c r="D27" s="8">
        <v>43087.041666666664</v>
      </c>
      <c r="E27" s="195">
        <v>0.8</v>
      </c>
      <c r="F27" s="195" t="s">
        <v>466</v>
      </c>
      <c r="G27" s="195">
        <v>322.89999999999998</v>
      </c>
      <c r="H27" s="195"/>
      <c r="I27" s="195">
        <v>0</v>
      </c>
      <c r="J27" s="195">
        <v>0</v>
      </c>
      <c r="K27" s="195"/>
      <c r="L27" s="195">
        <v>1016.66</v>
      </c>
      <c r="M27" s="195" t="s">
        <v>465</v>
      </c>
      <c r="N27" s="195">
        <v>23.68</v>
      </c>
      <c r="O27" s="195">
        <v>1513584000</v>
      </c>
      <c r="P27" s="195">
        <v>0</v>
      </c>
      <c r="Q27" s="195">
        <v>3.1</v>
      </c>
      <c r="R27" s="195">
        <v>257</v>
      </c>
      <c r="S27" s="195">
        <v>1.96</v>
      </c>
      <c r="T27" s="195">
        <v>0.31</v>
      </c>
    </row>
    <row r="28" spans="1:20" x14ac:dyDescent="0.25">
      <c r="A28" s="195">
        <v>23.19</v>
      </c>
      <c r="B28" s="195">
        <v>0</v>
      </c>
      <c r="C28" s="195">
        <v>18.47</v>
      </c>
      <c r="D28" s="8">
        <v>43087.083333333336</v>
      </c>
      <c r="E28" s="195">
        <v>0.82</v>
      </c>
      <c r="F28" s="195" t="s">
        <v>466</v>
      </c>
      <c r="G28" s="195">
        <v>320.62</v>
      </c>
      <c r="H28" s="195"/>
      <c r="I28" s="195">
        <v>0</v>
      </c>
      <c r="J28" s="195">
        <v>0</v>
      </c>
      <c r="K28" s="195"/>
      <c r="L28" s="195">
        <v>1017.67</v>
      </c>
      <c r="M28" s="195" t="s">
        <v>465</v>
      </c>
      <c r="N28" s="195">
        <v>23.19</v>
      </c>
      <c r="O28" s="195">
        <v>1513587600</v>
      </c>
      <c r="P28" s="195">
        <v>0</v>
      </c>
      <c r="Q28" s="195">
        <v>2.76</v>
      </c>
      <c r="R28" s="195">
        <v>194</v>
      </c>
      <c r="S28" s="195">
        <v>1.63</v>
      </c>
      <c r="T28" s="195">
        <v>0.39</v>
      </c>
    </row>
    <row r="29" spans="1:20" x14ac:dyDescent="0.25">
      <c r="A29" s="195">
        <v>22.61</v>
      </c>
      <c r="B29" s="195">
        <v>0</v>
      </c>
      <c r="C29" s="195">
        <v>17.97</v>
      </c>
      <c r="D29" s="8">
        <v>43087.125</v>
      </c>
      <c r="E29" s="195">
        <v>0.82</v>
      </c>
      <c r="F29" s="195" t="s">
        <v>466</v>
      </c>
      <c r="G29" s="195">
        <v>319.07</v>
      </c>
      <c r="H29" s="195"/>
      <c r="I29" s="195">
        <v>0</v>
      </c>
      <c r="J29" s="195">
        <v>0</v>
      </c>
      <c r="K29" s="195"/>
      <c r="L29" s="195">
        <v>1017.26</v>
      </c>
      <c r="M29" s="195" t="s">
        <v>465</v>
      </c>
      <c r="N29" s="195">
        <v>22.61</v>
      </c>
      <c r="O29" s="195">
        <v>1513591200</v>
      </c>
      <c r="P29" s="195">
        <v>0</v>
      </c>
      <c r="Q29" s="195">
        <v>3.27</v>
      </c>
      <c r="R29" s="195">
        <v>177</v>
      </c>
      <c r="S29" s="195">
        <v>2.56</v>
      </c>
      <c r="T29" s="195">
        <v>0.67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10" workbookViewId="0">
      <selection activeCell="C18" sqref="C18:C2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43086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1082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1083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1084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1085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1086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1087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1089</v>
      </c>
      <c r="J25" s="139" t="s">
        <v>144</v>
      </c>
      <c r="M25" s="153" t="b">
        <v>1</v>
      </c>
    </row>
    <row r="26" spans="3:24" x14ac:dyDescent="0.25">
      <c r="C26" t="s">
        <v>1090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%USERPROFILE%\Documents\GitHub\eaglep3-reporting\EC\2017-12-17-refined-times.txt</v>
      </c>
    </row>
    <row r="27" spans="3:24" x14ac:dyDescent="0.25">
      <c r="C27" t="s">
        <v>1091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%USERPROFILE%\Documents\GitHub\eaglep3-reporting\EC\2017-12-17-Enforcements.txt</v>
      </c>
    </row>
    <row r="28" spans="3:24" x14ac:dyDescent="0.25">
      <c r="C28" t="s">
        <v>1092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%USERPROFILE%\Documents\GitHub\eaglep3-reporting\EC\2017-12-17-Runs-refined.txt</v>
      </c>
    </row>
    <row r="29" spans="3:24" x14ac:dyDescent="0.25">
      <c r="C29" t="s">
        <v>1093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%USERPROFILE%\Documents\GitHub\eaglep3-reporting\EC\2017-12-17-Trips.txt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%USERPROFILE%\Documents\GitHub\eaglep3-reporting\EC\2017-12-17-Weather.txt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2017-12-22T13:29:12Z</dcterms:modified>
</cp:coreProperties>
</file>