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Enforcements!$A$6:$AC$70</definedName>
    <definedName name="_xlnm._FilterDatabase" localSheetId="2" hidden="1">'Missing Trips'!$B$2:$I$2</definedName>
    <definedName name="_xlnm._FilterDatabase" localSheetId="0" hidden="1">'Train Runs'!$A$12:$AG$254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04" i="1" l="1"/>
  <c r="L204" i="1"/>
  <c r="M204" i="1"/>
  <c r="V204" i="1"/>
  <c r="Y204" i="1"/>
  <c r="Z204" i="1"/>
  <c r="AB204" i="1"/>
  <c r="AC204" i="1"/>
  <c r="AD204" i="1"/>
  <c r="AG204" i="1" s="1"/>
  <c r="AE204" i="1"/>
  <c r="AF204" i="1"/>
  <c r="AH204" i="1"/>
  <c r="K205" i="1"/>
  <c r="L205" i="1"/>
  <c r="M205" i="1"/>
  <c r="V205" i="1"/>
  <c r="Y205" i="1"/>
  <c r="Z205" i="1"/>
  <c r="AB205" i="1"/>
  <c r="AC205" i="1"/>
  <c r="AD205" i="1"/>
  <c r="T205" i="1" s="1"/>
  <c r="AE205" i="1"/>
  <c r="AF205" i="1"/>
  <c r="AH205" i="1"/>
  <c r="Y125" i="1"/>
  <c r="Z125" i="1"/>
  <c r="M127" i="1"/>
  <c r="P127" i="1" s="1"/>
  <c r="I123" i="1"/>
  <c r="AH123" i="1" s="1"/>
  <c r="I121" i="1"/>
  <c r="AF121" i="1" s="1"/>
  <c r="I119" i="1"/>
  <c r="AH119" i="1" s="1"/>
  <c r="I117" i="1"/>
  <c r="V117" i="1" s="1"/>
  <c r="I115" i="1"/>
  <c r="M115" i="1" s="1"/>
  <c r="P115" i="1" s="1"/>
  <c r="AE123" i="1"/>
  <c r="AD123" i="1"/>
  <c r="AC123" i="1"/>
  <c r="AB123" i="1"/>
  <c r="AA123" i="1"/>
  <c r="L123" i="1"/>
  <c r="K123" i="1"/>
  <c r="AH121" i="1"/>
  <c r="AE121" i="1"/>
  <c r="AD121" i="1"/>
  <c r="AG121" i="1" s="1"/>
  <c r="AC121" i="1"/>
  <c r="AB121" i="1"/>
  <c r="AA121" i="1"/>
  <c r="T121" i="1"/>
  <c r="M121" i="1"/>
  <c r="P121" i="1" s="1"/>
  <c r="L121" i="1"/>
  <c r="K121" i="1"/>
  <c r="AE119" i="1"/>
  <c r="AD119" i="1"/>
  <c r="AG119" i="1" s="1"/>
  <c r="AC119" i="1"/>
  <c r="AB119" i="1"/>
  <c r="AA119" i="1"/>
  <c r="M119" i="1"/>
  <c r="P119" i="1" s="1"/>
  <c r="L119" i="1"/>
  <c r="K119" i="1"/>
  <c r="K117" i="1"/>
  <c r="L117" i="1"/>
  <c r="AA117" i="1"/>
  <c r="AB117" i="1"/>
  <c r="AC117" i="1"/>
  <c r="AD117" i="1"/>
  <c r="T117" i="1" s="1"/>
  <c r="AE117" i="1"/>
  <c r="AF117" i="1"/>
  <c r="AH117" i="1"/>
  <c r="AD114" i="1"/>
  <c r="AG114" i="1" s="1"/>
  <c r="AD115" i="1"/>
  <c r="AG115" i="1" s="1"/>
  <c r="AD116" i="1"/>
  <c r="AG116" i="1" s="1"/>
  <c r="AD118" i="1"/>
  <c r="AG118" i="1" s="1"/>
  <c r="AD120" i="1"/>
  <c r="AG120" i="1" s="1"/>
  <c r="AD122" i="1"/>
  <c r="AD124" i="1"/>
  <c r="AG124" i="1" s="1"/>
  <c r="AD125" i="1"/>
  <c r="AG125" i="1" s="1"/>
  <c r="AD126" i="1"/>
  <c r="T126" i="1" s="1"/>
  <c r="AD127" i="1"/>
  <c r="AG127" i="1" s="1"/>
  <c r="AD128" i="1"/>
  <c r="AG128" i="1" s="1"/>
  <c r="AD129" i="1"/>
  <c r="AG129" i="1" s="1"/>
  <c r="AD130" i="1"/>
  <c r="AG122" i="1"/>
  <c r="AG126" i="1"/>
  <c r="X122" i="1"/>
  <c r="X127" i="1"/>
  <c r="K115" i="1"/>
  <c r="L115" i="1"/>
  <c r="AA115" i="1"/>
  <c r="AB115" i="1"/>
  <c r="AC115" i="1"/>
  <c r="AE115" i="1"/>
  <c r="AF115" i="1"/>
  <c r="AH79" i="1"/>
  <c r="AG79" i="1"/>
  <c r="AF79" i="1"/>
  <c r="AE79" i="1"/>
  <c r="AD79" i="1"/>
  <c r="T79" i="1" s="1"/>
  <c r="AC79" i="1"/>
  <c r="AB79" i="1"/>
  <c r="Y79" i="1"/>
  <c r="V79" i="1"/>
  <c r="M79" i="1"/>
  <c r="L79" i="1"/>
  <c r="K79" i="1"/>
  <c r="K72" i="1"/>
  <c r="L72" i="1"/>
  <c r="M72" i="1"/>
  <c r="V72" i="1"/>
  <c r="Y72" i="1"/>
  <c r="Z72" i="1"/>
  <c r="AB72" i="1"/>
  <c r="AC72" i="1"/>
  <c r="AD72" i="1"/>
  <c r="T72" i="1" s="1"/>
  <c r="AE72" i="1"/>
  <c r="AF72" i="1"/>
  <c r="AH72" i="1"/>
  <c r="B8" i="6"/>
  <c r="H8" i="6" s="1"/>
  <c r="B9" i="6"/>
  <c r="H9" i="6" s="1"/>
  <c r="B10" i="6"/>
  <c r="G10" i="6" s="1"/>
  <c r="B11" i="6"/>
  <c r="F11" i="6" s="1"/>
  <c r="G11" i="6"/>
  <c r="H11" i="6"/>
  <c r="I11" i="6"/>
  <c r="B12" i="6"/>
  <c r="H12" i="6" s="1"/>
  <c r="F12" i="6"/>
  <c r="G12" i="6"/>
  <c r="I12" i="6"/>
  <c r="B13" i="6"/>
  <c r="H13" i="6" s="1"/>
  <c r="F13" i="6"/>
  <c r="I13" i="6"/>
  <c r="B14" i="6"/>
  <c r="G14" i="6" s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A29" i="1" s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P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X57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X79" i="1" s="1"/>
  <c r="AE78" i="1"/>
  <c r="AF78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X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X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/>
  <c r="V94" i="1"/>
  <c r="Y94" i="1"/>
  <c r="Z94" i="1"/>
  <c r="AB94" i="1"/>
  <c r="AC94" i="1"/>
  <c r="AD94" i="1"/>
  <c r="AG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P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V98" i="1"/>
  <c r="Y98" i="1"/>
  <c r="Z98" i="1"/>
  <c r="AB98" i="1"/>
  <c r="AC98" i="1"/>
  <c r="AD98" i="1"/>
  <c r="AG98" i="1" s="1"/>
  <c r="AE98" i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E114" i="1"/>
  <c r="AF114" i="1"/>
  <c r="K116" i="1"/>
  <c r="L116" i="1"/>
  <c r="M116" i="1"/>
  <c r="P116" i="1" s="1"/>
  <c r="V116" i="1"/>
  <c r="Y116" i="1"/>
  <c r="Z116" i="1"/>
  <c r="AB116" i="1"/>
  <c r="AC116" i="1"/>
  <c r="AE116" i="1"/>
  <c r="AF116" i="1"/>
  <c r="K118" i="1"/>
  <c r="L118" i="1"/>
  <c r="M118" i="1"/>
  <c r="N118" i="1" s="1"/>
  <c r="V118" i="1"/>
  <c r="Y118" i="1"/>
  <c r="Z118" i="1"/>
  <c r="AB118" i="1"/>
  <c r="AC118" i="1"/>
  <c r="AE118" i="1"/>
  <c r="AF118" i="1"/>
  <c r="K120" i="1"/>
  <c r="L120" i="1"/>
  <c r="M120" i="1"/>
  <c r="N120" i="1" s="1"/>
  <c r="V120" i="1"/>
  <c r="Y120" i="1"/>
  <c r="Z120" i="1"/>
  <c r="AB120" i="1"/>
  <c r="AC120" i="1"/>
  <c r="AE120" i="1"/>
  <c r="AF120" i="1"/>
  <c r="K122" i="1"/>
  <c r="L122" i="1"/>
  <c r="M122" i="1"/>
  <c r="N122" i="1" s="1"/>
  <c r="V122" i="1"/>
  <c r="Y122" i="1"/>
  <c r="Z122" i="1"/>
  <c r="AB122" i="1"/>
  <c r="AC122" i="1"/>
  <c r="T122" i="1"/>
  <c r="AE122" i="1"/>
  <c r="AF122" i="1"/>
  <c r="K124" i="1"/>
  <c r="L124" i="1"/>
  <c r="M124" i="1"/>
  <c r="N124" i="1" s="1"/>
  <c r="V124" i="1"/>
  <c r="Y124" i="1"/>
  <c r="Z124" i="1"/>
  <c r="AB124" i="1"/>
  <c r="AC124" i="1"/>
  <c r="AE124" i="1"/>
  <c r="AF124" i="1"/>
  <c r="K125" i="1"/>
  <c r="L125" i="1"/>
  <c r="M125" i="1"/>
  <c r="P125" i="1" s="1"/>
  <c r="V125" i="1"/>
  <c r="AB125" i="1"/>
  <c r="AC125" i="1"/>
  <c r="AE125" i="1"/>
  <c r="AF125" i="1"/>
  <c r="K126" i="1"/>
  <c r="L126" i="1"/>
  <c r="M126" i="1"/>
  <c r="N126" i="1" s="1"/>
  <c r="V126" i="1"/>
  <c r="Y126" i="1"/>
  <c r="Z126" i="1"/>
  <c r="AB126" i="1"/>
  <c r="AC126" i="1"/>
  <c r="AE126" i="1"/>
  <c r="AF126" i="1"/>
  <c r="K127" i="1"/>
  <c r="L127" i="1"/>
  <c r="V127" i="1"/>
  <c r="Y127" i="1"/>
  <c r="Z127" i="1"/>
  <c r="AB127" i="1"/>
  <c r="AC127" i="1"/>
  <c r="AE127" i="1"/>
  <c r="AF127" i="1"/>
  <c r="K128" i="1"/>
  <c r="L128" i="1"/>
  <c r="M128" i="1"/>
  <c r="N128" i="1" s="1"/>
  <c r="V128" i="1"/>
  <c r="Y128" i="1"/>
  <c r="Z128" i="1"/>
  <c r="AB128" i="1"/>
  <c r="AC128" i="1"/>
  <c r="T128" i="1"/>
  <c r="AE128" i="1"/>
  <c r="AF128" i="1"/>
  <c r="K129" i="1"/>
  <c r="L129" i="1"/>
  <c r="M129" i="1"/>
  <c r="N129" i="1" s="1"/>
  <c r="V129" i="1"/>
  <c r="Y129" i="1"/>
  <c r="Z129" i="1"/>
  <c r="AB129" i="1"/>
  <c r="AC129" i="1"/>
  <c r="T129" i="1"/>
  <c r="AE129" i="1"/>
  <c r="AF129" i="1"/>
  <c r="K130" i="1"/>
  <c r="L130" i="1"/>
  <c r="M130" i="1"/>
  <c r="N130" i="1" s="1"/>
  <c r="V130" i="1"/>
  <c r="Y130" i="1"/>
  <c r="Z130" i="1"/>
  <c r="AB130" i="1"/>
  <c r="AC130" i="1"/>
  <c r="AG130" i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AG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M27" i="3"/>
  <c r="N27" i="3"/>
  <c r="U27" i="3"/>
  <c r="T27" i="3" s="1"/>
  <c r="V27" i="3"/>
  <c r="W27" i="3"/>
  <c r="X27" i="3"/>
  <c r="M30" i="3"/>
  <c r="N30" i="3"/>
  <c r="U30" i="3"/>
  <c r="T30" i="3" s="1"/>
  <c r="V30" i="3"/>
  <c r="W30" i="3"/>
  <c r="X30" i="3"/>
  <c r="M54" i="3"/>
  <c r="N54" i="3"/>
  <c r="U54" i="3"/>
  <c r="AC54" i="3" s="1"/>
  <c r="V54" i="3"/>
  <c r="W54" i="3"/>
  <c r="X54" i="3"/>
  <c r="M55" i="3"/>
  <c r="N55" i="3"/>
  <c r="U55" i="3"/>
  <c r="T55" i="3" s="1"/>
  <c r="V55" i="3"/>
  <c r="W55" i="3"/>
  <c r="X55" i="3"/>
  <c r="M33" i="3"/>
  <c r="N33" i="3"/>
  <c r="U33" i="3"/>
  <c r="T33" i="3" s="1"/>
  <c r="V33" i="3"/>
  <c r="W33" i="3"/>
  <c r="X33" i="3"/>
  <c r="M29" i="3"/>
  <c r="N29" i="3"/>
  <c r="U29" i="3"/>
  <c r="T29" i="3" s="1"/>
  <c r="V29" i="3"/>
  <c r="W29" i="3"/>
  <c r="X29" i="3"/>
  <c r="M11" i="3"/>
  <c r="N11" i="3"/>
  <c r="U11" i="3"/>
  <c r="T11" i="3" s="1"/>
  <c r="V11" i="3"/>
  <c r="W11" i="3"/>
  <c r="X11" i="3"/>
  <c r="M10" i="3"/>
  <c r="N10" i="3"/>
  <c r="U10" i="3"/>
  <c r="AC10" i="3" s="1"/>
  <c r="V10" i="3"/>
  <c r="W10" i="3"/>
  <c r="X10" i="3"/>
  <c r="M46" i="3"/>
  <c r="N46" i="3"/>
  <c r="U46" i="3"/>
  <c r="T46" i="3" s="1"/>
  <c r="V46" i="3"/>
  <c r="W46" i="3"/>
  <c r="X46" i="3"/>
  <c r="M7" i="3"/>
  <c r="N7" i="3"/>
  <c r="U7" i="3"/>
  <c r="T7" i="3" s="1"/>
  <c r="V7" i="3"/>
  <c r="W7" i="3"/>
  <c r="X7" i="3"/>
  <c r="M61" i="3"/>
  <c r="N61" i="3"/>
  <c r="U61" i="3"/>
  <c r="AC61" i="3" s="1"/>
  <c r="V61" i="3"/>
  <c r="W61" i="3"/>
  <c r="X61" i="3"/>
  <c r="M47" i="3"/>
  <c r="N47" i="3"/>
  <c r="U47" i="3"/>
  <c r="T47" i="3" s="1"/>
  <c r="V47" i="3"/>
  <c r="W47" i="3"/>
  <c r="X47" i="3"/>
  <c r="M56" i="3"/>
  <c r="N56" i="3"/>
  <c r="U56" i="3"/>
  <c r="T56" i="3" s="1"/>
  <c r="V56" i="3"/>
  <c r="W56" i="3"/>
  <c r="X56" i="3"/>
  <c r="M22" i="3"/>
  <c r="N22" i="3"/>
  <c r="U22" i="3"/>
  <c r="T22" i="3" s="1"/>
  <c r="V22" i="3"/>
  <c r="W22" i="3"/>
  <c r="X22" i="3"/>
  <c r="M34" i="3"/>
  <c r="N34" i="3"/>
  <c r="U34" i="3"/>
  <c r="T34" i="3" s="1"/>
  <c r="V34" i="3"/>
  <c r="W34" i="3"/>
  <c r="X34" i="3"/>
  <c r="M48" i="3"/>
  <c r="N48" i="3"/>
  <c r="U48" i="3"/>
  <c r="AC48" i="3" s="1"/>
  <c r="V48" i="3"/>
  <c r="W48" i="3"/>
  <c r="X48" i="3"/>
  <c r="M50" i="3"/>
  <c r="N50" i="3"/>
  <c r="U50" i="3"/>
  <c r="T50" i="3" s="1"/>
  <c r="V50" i="3"/>
  <c r="W50" i="3"/>
  <c r="X50" i="3"/>
  <c r="M62" i="3"/>
  <c r="N62" i="3"/>
  <c r="U62" i="3"/>
  <c r="T62" i="3" s="1"/>
  <c r="V62" i="3"/>
  <c r="W62" i="3"/>
  <c r="X62" i="3"/>
  <c r="M8" i="3"/>
  <c r="N8" i="3"/>
  <c r="U8" i="3"/>
  <c r="T8" i="3" s="1"/>
  <c r="V8" i="3"/>
  <c r="W8" i="3"/>
  <c r="X8" i="3"/>
  <c r="M49" i="3"/>
  <c r="N49" i="3"/>
  <c r="U49" i="3"/>
  <c r="T49" i="3" s="1"/>
  <c r="V49" i="3"/>
  <c r="W49" i="3"/>
  <c r="X49" i="3"/>
  <c r="M35" i="3"/>
  <c r="N35" i="3"/>
  <c r="U35" i="3"/>
  <c r="T35" i="3" s="1"/>
  <c r="V35" i="3"/>
  <c r="W35" i="3"/>
  <c r="X35" i="3"/>
  <c r="M23" i="3"/>
  <c r="N23" i="3"/>
  <c r="U23" i="3"/>
  <c r="T23" i="3" s="1"/>
  <c r="V23" i="3"/>
  <c r="W23" i="3"/>
  <c r="X23" i="3"/>
  <c r="M39" i="3"/>
  <c r="N39" i="3"/>
  <c r="U39" i="3"/>
  <c r="T39" i="3" s="1"/>
  <c r="V39" i="3"/>
  <c r="W39" i="3"/>
  <c r="X39" i="3"/>
  <c r="M51" i="3"/>
  <c r="N51" i="3"/>
  <c r="U51" i="3"/>
  <c r="AC51" i="3" s="1"/>
  <c r="V51" i="3"/>
  <c r="W51" i="3"/>
  <c r="X51" i="3"/>
  <c r="M28" i="3"/>
  <c r="N28" i="3"/>
  <c r="U28" i="3"/>
  <c r="T28" i="3" s="1"/>
  <c r="V28" i="3"/>
  <c r="W28" i="3"/>
  <c r="X28" i="3"/>
  <c r="M40" i="3"/>
  <c r="N40" i="3"/>
  <c r="U40" i="3"/>
  <c r="T40" i="3" s="1"/>
  <c r="V40" i="3"/>
  <c r="W40" i="3"/>
  <c r="X40" i="3"/>
  <c r="M36" i="3"/>
  <c r="N36" i="3"/>
  <c r="U36" i="3"/>
  <c r="T36" i="3" s="1"/>
  <c r="V36" i="3"/>
  <c r="W36" i="3"/>
  <c r="X36" i="3"/>
  <c r="M66" i="3"/>
  <c r="N66" i="3"/>
  <c r="U66" i="3"/>
  <c r="T66" i="3" s="1"/>
  <c r="V66" i="3"/>
  <c r="W66" i="3"/>
  <c r="X66" i="3"/>
  <c r="M19" i="3"/>
  <c r="N19" i="3"/>
  <c r="U19" i="3"/>
  <c r="T19" i="3" s="1"/>
  <c r="V19" i="3"/>
  <c r="W19" i="3"/>
  <c r="X19" i="3"/>
  <c r="M16" i="3"/>
  <c r="N16" i="3"/>
  <c r="U16" i="3"/>
  <c r="T16" i="3" s="1"/>
  <c r="V16" i="3"/>
  <c r="W16" i="3"/>
  <c r="X16" i="3"/>
  <c r="M20" i="3"/>
  <c r="N20" i="3"/>
  <c r="U20" i="3"/>
  <c r="T20" i="3" s="1"/>
  <c r="V20" i="3"/>
  <c r="W20" i="3"/>
  <c r="X20" i="3"/>
  <c r="M17" i="3"/>
  <c r="N17" i="3"/>
  <c r="U17" i="3"/>
  <c r="T17" i="3" s="1"/>
  <c r="V17" i="3"/>
  <c r="W17" i="3"/>
  <c r="X17" i="3"/>
  <c r="M18" i="3"/>
  <c r="N18" i="3"/>
  <c r="U18" i="3"/>
  <c r="T18" i="3" s="1"/>
  <c r="V18" i="3"/>
  <c r="W18" i="3"/>
  <c r="X18" i="3"/>
  <c r="M13" i="3"/>
  <c r="N13" i="3"/>
  <c r="U13" i="3"/>
  <c r="T13" i="3" s="1"/>
  <c r="V13" i="3"/>
  <c r="W13" i="3"/>
  <c r="X13" i="3"/>
  <c r="M57" i="3"/>
  <c r="N57" i="3"/>
  <c r="U57" i="3"/>
  <c r="T57" i="3" s="1"/>
  <c r="V57" i="3"/>
  <c r="W57" i="3"/>
  <c r="X57" i="3"/>
  <c r="M14" i="3"/>
  <c r="N14" i="3"/>
  <c r="U14" i="3"/>
  <c r="T14" i="3" s="1"/>
  <c r="V14" i="3"/>
  <c r="W14" i="3"/>
  <c r="X14" i="3"/>
  <c r="M15" i="3"/>
  <c r="N15" i="3"/>
  <c r="U15" i="3"/>
  <c r="T15" i="3" s="1"/>
  <c r="V15" i="3"/>
  <c r="W15" i="3"/>
  <c r="X15" i="3"/>
  <c r="M52" i="3"/>
  <c r="N52" i="3"/>
  <c r="U52" i="3"/>
  <c r="T52" i="3" s="1"/>
  <c r="V52" i="3"/>
  <c r="W52" i="3"/>
  <c r="X52" i="3"/>
  <c r="M41" i="3"/>
  <c r="N41" i="3"/>
  <c r="U41" i="3"/>
  <c r="T41" i="3" s="1"/>
  <c r="V41" i="3"/>
  <c r="W41" i="3"/>
  <c r="X41" i="3"/>
  <c r="M63" i="3"/>
  <c r="N63" i="3"/>
  <c r="U63" i="3"/>
  <c r="T63" i="3" s="1"/>
  <c r="V63" i="3"/>
  <c r="W63" i="3"/>
  <c r="X63" i="3"/>
  <c r="M64" i="3"/>
  <c r="N64" i="3"/>
  <c r="U64" i="3"/>
  <c r="T64" i="3" s="1"/>
  <c r="V64" i="3"/>
  <c r="W64" i="3"/>
  <c r="X64" i="3"/>
  <c r="M42" i="3"/>
  <c r="N42" i="3"/>
  <c r="U42" i="3"/>
  <c r="T42" i="3" s="1"/>
  <c r="V42" i="3"/>
  <c r="W42" i="3"/>
  <c r="X42" i="3"/>
  <c r="M37" i="3"/>
  <c r="N37" i="3"/>
  <c r="U37" i="3"/>
  <c r="T37" i="3" s="1"/>
  <c r="V37" i="3"/>
  <c r="W37" i="3"/>
  <c r="X37" i="3"/>
  <c r="M26" i="3"/>
  <c r="N26" i="3"/>
  <c r="U26" i="3"/>
  <c r="T26" i="3" s="1"/>
  <c r="V26" i="3"/>
  <c r="W26" i="3"/>
  <c r="X26" i="3"/>
  <c r="M21" i="3"/>
  <c r="N21" i="3"/>
  <c r="U21" i="3"/>
  <c r="T21" i="3" s="1"/>
  <c r="V21" i="3"/>
  <c r="W21" i="3"/>
  <c r="X21" i="3"/>
  <c r="M53" i="3"/>
  <c r="N53" i="3"/>
  <c r="U53" i="3"/>
  <c r="T53" i="3" s="1"/>
  <c r="V53" i="3"/>
  <c r="W53" i="3"/>
  <c r="X53" i="3"/>
  <c r="M12" i="3"/>
  <c r="N12" i="3"/>
  <c r="U12" i="3"/>
  <c r="T12" i="3" s="1"/>
  <c r="V12" i="3"/>
  <c r="W12" i="3"/>
  <c r="X12" i="3"/>
  <c r="M58" i="3"/>
  <c r="N58" i="3"/>
  <c r="U58" i="3"/>
  <c r="AC58" i="3" s="1"/>
  <c r="V58" i="3"/>
  <c r="W58" i="3"/>
  <c r="X58" i="3"/>
  <c r="M43" i="3"/>
  <c r="N43" i="3"/>
  <c r="U43" i="3"/>
  <c r="T43" i="3" s="1"/>
  <c r="V43" i="3"/>
  <c r="W43" i="3"/>
  <c r="X43" i="3"/>
  <c r="M65" i="3"/>
  <c r="N65" i="3"/>
  <c r="U65" i="3"/>
  <c r="T65" i="3" s="1"/>
  <c r="V65" i="3"/>
  <c r="W65" i="3"/>
  <c r="X65" i="3"/>
  <c r="M44" i="3"/>
  <c r="N44" i="3"/>
  <c r="U44" i="3"/>
  <c r="T44" i="3" s="1"/>
  <c r="V44" i="3"/>
  <c r="W44" i="3"/>
  <c r="X44" i="3"/>
  <c r="M67" i="3"/>
  <c r="N67" i="3"/>
  <c r="U67" i="3"/>
  <c r="T67" i="3" s="1"/>
  <c r="V67" i="3"/>
  <c r="W67" i="3"/>
  <c r="X67" i="3"/>
  <c r="M59" i="3"/>
  <c r="N59" i="3"/>
  <c r="U59" i="3"/>
  <c r="T59" i="3" s="1"/>
  <c r="V59" i="3"/>
  <c r="W59" i="3"/>
  <c r="X59" i="3"/>
  <c r="M45" i="3"/>
  <c r="N45" i="3"/>
  <c r="U45" i="3"/>
  <c r="T45" i="3" s="1"/>
  <c r="V45" i="3"/>
  <c r="W45" i="3"/>
  <c r="X45" i="3"/>
  <c r="M9" i="3"/>
  <c r="N9" i="3"/>
  <c r="U9" i="3"/>
  <c r="T9" i="3" s="1"/>
  <c r="V9" i="3"/>
  <c r="W9" i="3"/>
  <c r="X9" i="3"/>
  <c r="M60" i="3"/>
  <c r="N60" i="3"/>
  <c r="U60" i="3"/>
  <c r="AC60" i="3" s="1"/>
  <c r="V60" i="3"/>
  <c r="W60" i="3"/>
  <c r="X60" i="3"/>
  <c r="M31" i="3"/>
  <c r="N31" i="3"/>
  <c r="U31" i="3"/>
  <c r="T31" i="3" s="1"/>
  <c r="V31" i="3"/>
  <c r="W31" i="3"/>
  <c r="X31" i="3"/>
  <c r="M25" i="3"/>
  <c r="N25" i="3"/>
  <c r="U25" i="3"/>
  <c r="T25" i="3" s="1"/>
  <c r="V25" i="3"/>
  <c r="W25" i="3"/>
  <c r="X25" i="3"/>
  <c r="M38" i="3"/>
  <c r="N38" i="3"/>
  <c r="U38" i="3"/>
  <c r="T38" i="3" s="1"/>
  <c r="V38" i="3"/>
  <c r="W38" i="3"/>
  <c r="X38" i="3"/>
  <c r="M32" i="3"/>
  <c r="N32" i="3"/>
  <c r="U32" i="3"/>
  <c r="T32" i="3" s="1"/>
  <c r="V32" i="3"/>
  <c r="W32" i="3"/>
  <c r="X32" i="3"/>
  <c r="X114" i="1" l="1"/>
  <c r="T115" i="1"/>
  <c r="X115" i="1"/>
  <c r="X121" i="1"/>
  <c r="V123" i="1"/>
  <c r="X123" i="1"/>
  <c r="AA205" i="1"/>
  <c r="X118" i="1"/>
  <c r="X207" i="1"/>
  <c r="AA158" i="1"/>
  <c r="W158" i="1" s="1"/>
  <c r="AI79" i="1"/>
  <c r="X80" i="1"/>
  <c r="V115" i="1"/>
  <c r="AG113" i="1"/>
  <c r="AI113" i="1" s="1"/>
  <c r="AF123" i="1"/>
  <c r="X206" i="1"/>
  <c r="T125" i="1"/>
  <c r="T118" i="1"/>
  <c r="AA79" i="1"/>
  <c r="W79" i="1" s="1"/>
  <c r="AH115" i="1"/>
  <c r="X126" i="1"/>
  <c r="M123" i="1"/>
  <c r="P123" i="1" s="1"/>
  <c r="AA204" i="1"/>
  <c r="W204" i="1" s="1"/>
  <c r="X205" i="1"/>
  <c r="X204" i="1"/>
  <c r="T204" i="1"/>
  <c r="U204" i="1" s="1"/>
  <c r="S204" i="1" s="1"/>
  <c r="AI204" i="1"/>
  <c r="AG205" i="1"/>
  <c r="V121" i="1"/>
  <c r="AI121" i="1"/>
  <c r="AF119" i="1"/>
  <c r="V119" i="1"/>
  <c r="M117" i="1"/>
  <c r="P117" i="1" s="1"/>
  <c r="W123" i="1"/>
  <c r="AG123" i="1"/>
  <c r="AI123" i="1" s="1"/>
  <c r="T123" i="1"/>
  <c r="U121" i="1"/>
  <c r="S121" i="1" s="1"/>
  <c r="W121" i="1"/>
  <c r="AI119" i="1"/>
  <c r="W119" i="1"/>
  <c r="T119" i="1"/>
  <c r="U119" i="1" s="1"/>
  <c r="S119" i="1" s="1"/>
  <c r="X119" i="1"/>
  <c r="AG117" i="1"/>
  <c r="X117" i="1"/>
  <c r="T124" i="1"/>
  <c r="T116" i="1"/>
  <c r="T120" i="1"/>
  <c r="X125" i="1"/>
  <c r="X128" i="1"/>
  <c r="X124" i="1"/>
  <c r="X120" i="1"/>
  <c r="X116" i="1"/>
  <c r="Y34" i="3"/>
  <c r="Y56" i="3"/>
  <c r="Y61" i="3"/>
  <c r="Y46" i="3"/>
  <c r="Y11" i="3"/>
  <c r="Y27" i="3"/>
  <c r="U79" i="1"/>
  <c r="S79" i="1" s="1"/>
  <c r="AA223" i="1"/>
  <c r="AA207" i="1"/>
  <c r="AI90" i="1"/>
  <c r="AG84" i="1"/>
  <c r="AA73" i="1"/>
  <c r="W73" i="1" s="1"/>
  <c r="X67" i="1"/>
  <c r="X63" i="1"/>
  <c r="AI60" i="1"/>
  <c r="X59" i="1"/>
  <c r="AA56" i="1"/>
  <c r="AA24" i="1"/>
  <c r="W24" i="1" s="1"/>
  <c r="AA20" i="1"/>
  <c r="W20" i="1" s="1"/>
  <c r="X58" i="1"/>
  <c r="AA21" i="1"/>
  <c r="X75" i="1"/>
  <c r="AI172" i="1"/>
  <c r="X74" i="1"/>
  <c r="AG161" i="1"/>
  <c r="U161" i="1" s="1"/>
  <c r="S161" i="1" s="1"/>
  <c r="T150" i="1"/>
  <c r="U150" i="1" s="1"/>
  <c r="S150" i="1" s="1"/>
  <c r="AA136" i="1"/>
  <c r="AA72" i="1"/>
  <c r="X73" i="1"/>
  <c r="X72" i="1"/>
  <c r="AG72" i="1"/>
  <c r="T51" i="3"/>
  <c r="Y53" i="3"/>
  <c r="Y26" i="3"/>
  <c r="Y42" i="3"/>
  <c r="Y63" i="3"/>
  <c r="Y52" i="3"/>
  <c r="Y14" i="3"/>
  <c r="Y13" i="3"/>
  <c r="Y17" i="3"/>
  <c r="Y16" i="3"/>
  <c r="Y66" i="3"/>
  <c r="Y40" i="3"/>
  <c r="Y51" i="3"/>
  <c r="AC27" i="3"/>
  <c r="I14" i="6"/>
  <c r="I9" i="6"/>
  <c r="F9" i="6"/>
  <c r="I8" i="6"/>
  <c r="G8" i="6"/>
  <c r="F8" i="6"/>
  <c r="F14" i="6"/>
  <c r="G13" i="6"/>
  <c r="F10" i="6"/>
  <c r="G9" i="6"/>
  <c r="I10" i="6"/>
  <c r="H14" i="6"/>
  <c r="H10" i="6"/>
  <c r="AA122" i="1"/>
  <c r="AI110" i="1"/>
  <c r="AG100" i="1"/>
  <c r="U100" i="1" s="1"/>
  <c r="S100" i="1" s="1"/>
  <c r="AI68" i="1"/>
  <c r="X52" i="1"/>
  <c r="AG50" i="1"/>
  <c r="U50" i="1" s="1"/>
  <c r="S50" i="1" s="1"/>
  <c r="AI28" i="1"/>
  <c r="AI24" i="1"/>
  <c r="AI20" i="1"/>
  <c r="AI16" i="1"/>
  <c r="AG14" i="1"/>
  <c r="U14" i="1" s="1"/>
  <c r="S14" i="1" s="1"/>
  <c r="X61" i="1"/>
  <c r="AI182" i="1"/>
  <c r="X131" i="1"/>
  <c r="U128" i="1"/>
  <c r="S128" i="1" s="1"/>
  <c r="AA99" i="1"/>
  <c r="AA94" i="1"/>
  <c r="W94" i="1" s="1"/>
  <c r="AA93" i="1"/>
  <c r="AG42" i="1"/>
  <c r="AI42" i="1" s="1"/>
  <c r="X60" i="1"/>
  <c r="T130" i="1"/>
  <c r="U130" i="1" s="1"/>
  <c r="S130" i="1" s="1"/>
  <c r="AA46" i="1"/>
  <c r="AA27" i="1"/>
  <c r="AA19" i="1"/>
  <c r="Y38" i="3"/>
  <c r="Y31" i="3"/>
  <c r="Y59" i="3"/>
  <c r="Y43" i="3"/>
  <c r="T58" i="3"/>
  <c r="T61" i="3"/>
  <c r="AA215" i="1"/>
  <c r="AA194" i="1"/>
  <c r="T192" i="1"/>
  <c r="AA189" i="1"/>
  <c r="W189" i="1" s="1"/>
  <c r="AA175" i="1"/>
  <c r="AG148" i="1"/>
  <c r="U148" i="1" s="1"/>
  <c r="S148" i="1" s="1"/>
  <c r="AA137" i="1"/>
  <c r="AA132" i="1"/>
  <c r="AA124" i="1"/>
  <c r="W124" i="1" s="1"/>
  <c r="AA112" i="1"/>
  <c r="T104" i="1"/>
  <c r="U104" i="1" s="1"/>
  <c r="S104" i="1" s="1"/>
  <c r="AA102" i="1"/>
  <c r="AA90" i="1"/>
  <c r="W90" i="1" s="1"/>
  <c r="AI89" i="1"/>
  <c r="AA76" i="1"/>
  <c r="AA71" i="1"/>
  <c r="AG67" i="1"/>
  <c r="AI67" i="1" s="1"/>
  <c r="AA61" i="1"/>
  <c r="X56" i="1"/>
  <c r="AA39" i="1"/>
  <c r="AA186" i="1"/>
  <c r="W186" i="1" s="1"/>
  <c r="AA210" i="1"/>
  <c r="W210" i="1" s="1"/>
  <c r="X147" i="1"/>
  <c r="AA143" i="1"/>
  <c r="AG132" i="1"/>
  <c r="AI132" i="1" s="1"/>
  <c r="AA108" i="1"/>
  <c r="AI98" i="1"/>
  <c r="AA78" i="1"/>
  <c r="AI77" i="1"/>
  <c r="AA59" i="1"/>
  <c r="AI53" i="1"/>
  <c r="AA49" i="1"/>
  <c r="AA43" i="1"/>
  <c r="X31" i="1"/>
  <c r="AA28" i="1"/>
  <c r="W28" i="1" s="1"/>
  <c r="X27" i="1"/>
  <c r="Y9" i="3"/>
  <c r="Y44" i="3"/>
  <c r="Y23" i="3"/>
  <c r="Y49" i="3"/>
  <c r="Y62" i="3"/>
  <c r="Y48" i="3"/>
  <c r="AA101" i="1"/>
  <c r="AA23" i="1"/>
  <c r="W23" i="1" s="1"/>
  <c r="T48" i="3"/>
  <c r="AC41" i="3"/>
  <c r="AC29" i="3"/>
  <c r="AC21" i="3"/>
  <c r="AC9" i="3"/>
  <c r="AC59" i="3"/>
  <c r="AC49" i="3"/>
  <c r="AC39" i="3"/>
  <c r="AC17" i="3"/>
  <c r="Y60" i="3"/>
  <c r="Y12" i="3"/>
  <c r="Y21" i="3"/>
  <c r="Y37" i="3"/>
  <c r="Y64" i="3"/>
  <c r="Y41" i="3"/>
  <c r="Y15" i="3"/>
  <c r="Y57" i="3"/>
  <c r="Y18" i="3"/>
  <c r="Y20" i="3"/>
  <c r="Y19" i="3"/>
  <c r="Y36" i="3"/>
  <c r="Y28" i="3"/>
  <c r="Y22" i="3"/>
  <c r="AC67" i="3"/>
  <c r="AC57" i="3"/>
  <c r="AC45" i="3"/>
  <c r="AC37" i="3"/>
  <c r="AC25" i="3"/>
  <c r="AC15" i="3"/>
  <c r="T60" i="3"/>
  <c r="Y32" i="3"/>
  <c r="Y25" i="3"/>
  <c r="Y45" i="3"/>
  <c r="Y67" i="3"/>
  <c r="Y65" i="3"/>
  <c r="Y58" i="3"/>
  <c r="Y39" i="3"/>
  <c r="Y35" i="3"/>
  <c r="Y8" i="3"/>
  <c r="Y50" i="3"/>
  <c r="Y10" i="3"/>
  <c r="Y29" i="3"/>
  <c r="Y55" i="3"/>
  <c r="Y30" i="3"/>
  <c r="AC65" i="3"/>
  <c r="AC55" i="3"/>
  <c r="AC43" i="3"/>
  <c r="AC35" i="3"/>
  <c r="AC23" i="3"/>
  <c r="AC13" i="3"/>
  <c r="Y54" i="3"/>
  <c r="AC63" i="3"/>
  <c r="AC47" i="3"/>
  <c r="AC33" i="3"/>
  <c r="AC31" i="3"/>
  <c r="T54" i="3"/>
  <c r="Y47" i="3"/>
  <c r="Y33" i="3"/>
  <c r="AC53" i="3"/>
  <c r="AC19" i="3"/>
  <c r="AC11" i="3"/>
  <c r="T10" i="3"/>
  <c r="AC66" i="3"/>
  <c r="AC64" i="3"/>
  <c r="AC62" i="3"/>
  <c r="AC56" i="3"/>
  <c r="AC52" i="3"/>
  <c r="AC50" i="3"/>
  <c r="AC46" i="3"/>
  <c r="AC44" i="3"/>
  <c r="AC42" i="3"/>
  <c r="AC40" i="3"/>
  <c r="AC38" i="3"/>
  <c r="AC36" i="3"/>
  <c r="AC34" i="3"/>
  <c r="AC32" i="3"/>
  <c r="AC30" i="3"/>
  <c r="AC28" i="3"/>
  <c r="AC26" i="3"/>
  <c r="AC22" i="3"/>
  <c r="AC20" i="3"/>
  <c r="AC18" i="3"/>
  <c r="AC16" i="3"/>
  <c r="AC14" i="3"/>
  <c r="AC12" i="3"/>
  <c r="AC8" i="3"/>
  <c r="AA213" i="1"/>
  <c r="W213" i="1" s="1"/>
  <c r="AA200" i="1"/>
  <c r="AA197" i="1"/>
  <c r="W197" i="1" s="1"/>
  <c r="AG184" i="1"/>
  <c r="U184" i="1" s="1"/>
  <c r="S184" i="1" s="1"/>
  <c r="AA182" i="1"/>
  <c r="W182" i="1" s="1"/>
  <c r="AG169" i="1"/>
  <c r="U169" i="1" s="1"/>
  <c r="S169" i="1" s="1"/>
  <c r="AG167" i="1"/>
  <c r="U167" i="1" s="1"/>
  <c r="S167" i="1" s="1"/>
  <c r="AA214" i="1"/>
  <c r="W214" i="1" s="1"/>
  <c r="AA202" i="1"/>
  <c r="W202" i="1" s="1"/>
  <c r="AA198" i="1"/>
  <c r="W198" i="1" s="1"/>
  <c r="AA185" i="1"/>
  <c r="W185" i="1" s="1"/>
  <c r="AA221" i="1"/>
  <c r="T206" i="1"/>
  <c r="U206" i="1" s="1"/>
  <c r="S206" i="1" s="1"/>
  <c r="T188" i="1"/>
  <c r="U188" i="1" s="1"/>
  <c r="S188" i="1" s="1"/>
  <c r="AA212" i="1"/>
  <c r="T134" i="1"/>
  <c r="U134" i="1" s="1"/>
  <c r="S134" i="1" s="1"/>
  <c r="AI105" i="1"/>
  <c r="AI101" i="1"/>
  <c r="AA89" i="1"/>
  <c r="W89" i="1" s="1"/>
  <c r="AA82" i="1"/>
  <c r="AA64" i="1"/>
  <c r="W64" i="1" s="1"/>
  <c r="AA57" i="1"/>
  <c r="AA45" i="1"/>
  <c r="W45" i="1" s="1"/>
  <c r="T38" i="1"/>
  <c r="U38" i="1" s="1"/>
  <c r="S38" i="1" s="1"/>
  <c r="AA36" i="1"/>
  <c r="AA35" i="1"/>
  <c r="W35" i="1" s="1"/>
  <c r="AA26" i="1"/>
  <c r="W26" i="1" s="1"/>
  <c r="T22" i="1"/>
  <c r="U22" i="1" s="1"/>
  <c r="S22" i="1" s="1"/>
  <c r="AA165" i="1"/>
  <c r="AG156" i="1"/>
  <c r="AI156" i="1" s="1"/>
  <c r="AA146" i="1"/>
  <c r="X135" i="1"/>
  <c r="X71" i="1"/>
  <c r="X46" i="1"/>
  <c r="AG34" i="1"/>
  <c r="AI34" i="1" s="1"/>
  <c r="AG158" i="1"/>
  <c r="U158" i="1" s="1"/>
  <c r="S158" i="1" s="1"/>
  <c r="X213" i="1"/>
  <c r="AA193" i="1"/>
  <c r="W193" i="1" s="1"/>
  <c r="X185" i="1"/>
  <c r="AA179" i="1"/>
  <c r="AI176" i="1"/>
  <c r="AG221" i="1"/>
  <c r="U221" i="1" s="1"/>
  <c r="S221" i="1" s="1"/>
  <c r="AA211" i="1"/>
  <c r="AA154" i="1"/>
  <c r="AA144" i="1"/>
  <c r="AI124" i="1"/>
  <c r="AA109" i="1"/>
  <c r="W109" i="1" s="1"/>
  <c r="X107" i="1"/>
  <c r="AA96" i="1"/>
  <c r="AG85" i="1"/>
  <c r="AI85" i="1" s="1"/>
  <c r="X85" i="1"/>
  <c r="AA81" i="1"/>
  <c r="AA69" i="1"/>
  <c r="AA63" i="1"/>
  <c r="AG58" i="1"/>
  <c r="U58" i="1" s="1"/>
  <c r="S58" i="1" s="1"/>
  <c r="X50" i="1"/>
  <c r="AG47" i="1"/>
  <c r="AI47" i="1" s="1"/>
  <c r="X47" i="1"/>
  <c r="AA42" i="1"/>
  <c r="X39" i="1"/>
  <c r="AA32" i="1"/>
  <c r="AI31" i="1"/>
  <c r="AA31" i="1"/>
  <c r="W31" i="1" s="1"/>
  <c r="T26" i="1"/>
  <c r="AI23" i="1"/>
  <c r="X19" i="1"/>
  <c r="X15" i="1"/>
  <c r="AG111" i="1"/>
  <c r="U111" i="1" s="1"/>
  <c r="S111" i="1" s="1"/>
  <c r="X111" i="1"/>
  <c r="X98" i="1"/>
  <c r="AA91" i="1"/>
  <c r="W91" i="1" s="1"/>
  <c r="T89" i="1"/>
  <c r="U89" i="1" s="1"/>
  <c r="S89" i="1" s="1"/>
  <c r="AA85" i="1"/>
  <c r="X76" i="1"/>
  <c r="AA74" i="1"/>
  <c r="AA65" i="1"/>
  <c r="AA201" i="1"/>
  <c r="W201" i="1" s="1"/>
  <c r="AG200" i="1"/>
  <c r="U200" i="1" s="1"/>
  <c r="S200" i="1" s="1"/>
  <c r="AA180" i="1"/>
  <c r="AG219" i="1"/>
  <c r="U219" i="1" s="1"/>
  <c r="S219" i="1" s="1"/>
  <c r="AA217" i="1"/>
  <c r="AG154" i="1"/>
  <c r="U154" i="1" s="1"/>
  <c r="S154" i="1" s="1"/>
  <c r="X151" i="1"/>
  <c r="AG146" i="1"/>
  <c r="AG140" i="1"/>
  <c r="AI140" i="1" s="1"/>
  <c r="AA138" i="1"/>
  <c r="W138" i="1" s="1"/>
  <c r="AA130" i="1"/>
  <c r="W130" i="1" s="1"/>
  <c r="AA126" i="1"/>
  <c r="AA110" i="1"/>
  <c r="W110" i="1" s="1"/>
  <c r="X101" i="1"/>
  <c r="AA97" i="1"/>
  <c r="AI94" i="1"/>
  <c r="AG93" i="1"/>
  <c r="AI93" i="1" s="1"/>
  <c r="X48" i="1"/>
  <c r="AG43" i="1"/>
  <c r="AI43" i="1" s="1"/>
  <c r="X43" i="1"/>
  <c r="X35" i="1"/>
  <c r="X23" i="1"/>
  <c r="AA17" i="1"/>
  <c r="T216" i="1"/>
  <c r="U216" i="1" s="1"/>
  <c r="S216" i="1" s="1"/>
  <c r="X201" i="1"/>
  <c r="AA195" i="1"/>
  <c r="AA191" i="1"/>
  <c r="X189" i="1"/>
  <c r="AA184" i="1"/>
  <c r="W184" i="1" s="1"/>
  <c r="AA178" i="1"/>
  <c r="AA177" i="1"/>
  <c r="W177" i="1" s="1"/>
  <c r="T176" i="1"/>
  <c r="U176" i="1" s="1"/>
  <c r="S176" i="1" s="1"/>
  <c r="AA173" i="1"/>
  <c r="W173" i="1" s="1"/>
  <c r="T172" i="1"/>
  <c r="U172" i="1" s="1"/>
  <c r="S172" i="1" s="1"/>
  <c r="AG168" i="1"/>
  <c r="AI168" i="1" s="1"/>
  <c r="X168" i="1"/>
  <c r="AA167" i="1"/>
  <c r="AA161" i="1"/>
  <c r="AG223" i="1"/>
  <c r="X222" i="1"/>
  <c r="AA208" i="1"/>
  <c r="AA156" i="1"/>
  <c r="AA148" i="1"/>
  <c r="T146" i="1"/>
  <c r="AA135" i="1"/>
  <c r="W135" i="1" s="1"/>
  <c r="T135" i="1"/>
  <c r="AA128" i="1"/>
  <c r="U126" i="1"/>
  <c r="S126" i="1" s="1"/>
  <c r="AA120" i="1"/>
  <c r="AA118" i="1"/>
  <c r="AA114" i="1"/>
  <c r="AG112" i="1"/>
  <c r="U112" i="1" s="1"/>
  <c r="S112" i="1" s="1"/>
  <c r="X112" i="1"/>
  <c r="AI109" i="1"/>
  <c r="AA106" i="1"/>
  <c r="W106" i="1" s="1"/>
  <c r="X100" i="1"/>
  <c r="AA98" i="1"/>
  <c r="W98" i="1" s="1"/>
  <c r="AG97" i="1"/>
  <c r="AI97" i="1" s="1"/>
  <c r="X97" i="1"/>
  <c r="X93" i="1"/>
  <c r="AA92" i="1"/>
  <c r="W92" i="1" s="1"/>
  <c r="AA87" i="1"/>
  <c r="AA86" i="1"/>
  <c r="W86" i="1" s="1"/>
  <c r="AA77" i="1"/>
  <c r="W77" i="1" s="1"/>
  <c r="AG75" i="1"/>
  <c r="U75" i="1" s="1"/>
  <c r="S75" i="1" s="1"/>
  <c r="AI73" i="1"/>
  <c r="AA68" i="1"/>
  <c r="W68" i="1" s="1"/>
  <c r="AG66" i="1"/>
  <c r="U66" i="1" s="1"/>
  <c r="S66" i="1" s="1"/>
  <c r="AI64" i="1"/>
  <c r="AG59" i="1"/>
  <c r="AA44" i="1"/>
  <c r="AA41" i="1"/>
  <c r="AA40" i="1"/>
  <c r="T30" i="1"/>
  <c r="U30" i="1" s="1"/>
  <c r="S30" i="1" s="1"/>
  <c r="U26" i="1"/>
  <c r="S26" i="1" s="1"/>
  <c r="AA25" i="1"/>
  <c r="AA14" i="1"/>
  <c r="AA190" i="1"/>
  <c r="W190" i="1" s="1"/>
  <c r="AA181" i="1"/>
  <c r="W181" i="1" s="1"/>
  <c r="AA164" i="1"/>
  <c r="AA163" i="1"/>
  <c r="AA219" i="1"/>
  <c r="T210" i="1"/>
  <c r="U210" i="1" s="1"/>
  <c r="S210" i="1" s="1"/>
  <c r="X155" i="1"/>
  <c r="AA152" i="1"/>
  <c r="AA151" i="1"/>
  <c r="W151" i="1" s="1"/>
  <c r="T151" i="1"/>
  <c r="U151" i="1" s="1"/>
  <c r="S151" i="1" s="1"/>
  <c r="AI148" i="1"/>
  <c r="T143" i="1"/>
  <c r="AA140" i="1"/>
  <c r="T138" i="1"/>
  <c r="W76" i="1"/>
  <c r="AA67" i="1"/>
  <c r="AA60" i="1"/>
  <c r="W60" i="1" s="1"/>
  <c r="AA53" i="1"/>
  <c r="W53" i="1" s="1"/>
  <c r="AA52" i="1"/>
  <c r="AA48" i="1"/>
  <c r="W48" i="1" s="1"/>
  <c r="T48" i="1"/>
  <c r="U48" i="1" s="1"/>
  <c r="S48" i="1" s="1"/>
  <c r="X34" i="1"/>
  <c r="AA16" i="1"/>
  <c r="W16" i="1" s="1"/>
  <c r="AA199" i="1"/>
  <c r="T197" i="1"/>
  <c r="U197" i="1" s="1"/>
  <c r="S197" i="1" s="1"/>
  <c r="AA183" i="1"/>
  <c r="T181" i="1"/>
  <c r="U181" i="1" s="1"/>
  <c r="S181" i="1" s="1"/>
  <c r="AA166" i="1"/>
  <c r="W166" i="1" s="1"/>
  <c r="T166" i="1"/>
  <c r="U166" i="1" s="1"/>
  <c r="S166" i="1" s="1"/>
  <c r="X162" i="1"/>
  <c r="AA220" i="1"/>
  <c r="AA218" i="1"/>
  <c r="W218" i="1" s="1"/>
  <c r="T218" i="1"/>
  <c r="U218" i="1" s="1"/>
  <c r="S218" i="1" s="1"/>
  <c r="T209" i="1"/>
  <c r="U209" i="1" s="1"/>
  <c r="S209" i="1" s="1"/>
  <c r="X159" i="1"/>
  <c r="AA153" i="1"/>
  <c r="AG147" i="1"/>
  <c r="AI147" i="1" s="1"/>
  <c r="T147" i="1"/>
  <c r="AA141" i="1"/>
  <c r="AA139" i="1"/>
  <c r="AA196" i="1"/>
  <c r="T193" i="1"/>
  <c r="U193" i="1" s="1"/>
  <c r="S193" i="1" s="1"/>
  <c r="T177" i="1"/>
  <c r="U177" i="1" s="1"/>
  <c r="S177" i="1" s="1"/>
  <c r="T173" i="1"/>
  <c r="AA142" i="1"/>
  <c r="AG139" i="1"/>
  <c r="AI139" i="1" s="1"/>
  <c r="X139" i="1"/>
  <c r="X197" i="1"/>
  <c r="AG196" i="1"/>
  <c r="U196" i="1" s="1"/>
  <c r="S196" i="1" s="1"/>
  <c r="AA192" i="1"/>
  <c r="W192" i="1" s="1"/>
  <c r="T189" i="1"/>
  <c r="U189" i="1" s="1"/>
  <c r="S189" i="1" s="1"/>
  <c r="X181" i="1"/>
  <c r="AG180" i="1"/>
  <c r="AI180" i="1" s="1"/>
  <c r="AA176" i="1"/>
  <c r="W176" i="1" s="1"/>
  <c r="AA172" i="1"/>
  <c r="W172" i="1" s="1"/>
  <c r="AA171" i="1"/>
  <c r="AA170" i="1"/>
  <c r="AA169" i="1"/>
  <c r="X166" i="1"/>
  <c r="AG165" i="1"/>
  <c r="AG163" i="1"/>
  <c r="U163" i="1" s="1"/>
  <c r="S163" i="1" s="1"/>
  <c r="AA162" i="1"/>
  <c r="W162" i="1" s="1"/>
  <c r="T162" i="1"/>
  <c r="U162" i="1" s="1"/>
  <c r="S162" i="1" s="1"/>
  <c r="X218" i="1"/>
  <c r="AG217" i="1"/>
  <c r="U217" i="1" s="1"/>
  <c r="S217" i="1" s="1"/>
  <c r="AG211" i="1"/>
  <c r="AI211" i="1" s="1"/>
  <c r="AA209" i="1"/>
  <c r="W209" i="1" s="1"/>
  <c r="AA159" i="1"/>
  <c r="T159" i="1"/>
  <c r="U159" i="1" s="1"/>
  <c r="S159" i="1" s="1"/>
  <c r="AG144" i="1"/>
  <c r="X143" i="1"/>
  <c r="AG142" i="1"/>
  <c r="T136" i="1"/>
  <c r="AG136" i="1"/>
  <c r="W136" i="1" s="1"/>
  <c r="AA216" i="1"/>
  <c r="W216" i="1" s="1"/>
  <c r="T213" i="1"/>
  <c r="AA206" i="1"/>
  <c r="W206" i="1" s="1"/>
  <c r="AA203" i="1"/>
  <c r="T201" i="1"/>
  <c r="U201" i="1" s="1"/>
  <c r="S201" i="1" s="1"/>
  <c r="X193" i="1"/>
  <c r="AA188" i="1"/>
  <c r="W188" i="1" s="1"/>
  <c r="AA187" i="1"/>
  <c r="T185" i="1"/>
  <c r="U185" i="1" s="1"/>
  <c r="S185" i="1" s="1"/>
  <c r="X177" i="1"/>
  <c r="AA174" i="1"/>
  <c r="W174" i="1" s="1"/>
  <c r="X173" i="1"/>
  <c r="AA160" i="1"/>
  <c r="AA222" i="1"/>
  <c r="W222" i="1" s="1"/>
  <c r="T222" i="1"/>
  <c r="U222" i="1" s="1"/>
  <c r="S222" i="1" s="1"/>
  <c r="X210" i="1"/>
  <c r="AG207" i="1"/>
  <c r="U207" i="1" s="1"/>
  <c r="S207" i="1" s="1"/>
  <c r="AA157" i="1"/>
  <c r="AA155" i="1"/>
  <c r="W155" i="1" s="1"/>
  <c r="T155" i="1"/>
  <c r="T152" i="1"/>
  <c r="AG152" i="1"/>
  <c r="AA145" i="1"/>
  <c r="T139" i="1"/>
  <c r="AI35" i="1"/>
  <c r="AA125" i="1"/>
  <c r="X84" i="1"/>
  <c r="AA80" i="1"/>
  <c r="T76" i="1"/>
  <c r="U76" i="1" s="1"/>
  <c r="S76" i="1" s="1"/>
  <c r="T67" i="1"/>
  <c r="T59" i="1"/>
  <c r="U59" i="1" s="1"/>
  <c r="S59" i="1" s="1"/>
  <c r="T52" i="1"/>
  <c r="AA18" i="1"/>
  <c r="W18" i="1" s="1"/>
  <c r="T18" i="1"/>
  <c r="U18" i="1" s="1"/>
  <c r="S18" i="1" s="1"/>
  <c r="U97" i="1"/>
  <c r="S97" i="1" s="1"/>
  <c r="T81" i="1"/>
  <c r="T71" i="1"/>
  <c r="T63" i="1"/>
  <c r="T56" i="1"/>
  <c r="AA54" i="1"/>
  <c r="AG52" i="1"/>
  <c r="AG51" i="1"/>
  <c r="U51" i="1" s="1"/>
  <c r="S51" i="1" s="1"/>
  <c r="X51" i="1"/>
  <c r="T39" i="1"/>
  <c r="T27" i="1"/>
  <c r="T19" i="1"/>
  <c r="AA150" i="1"/>
  <c r="W150" i="1" s="1"/>
  <c r="AA149" i="1"/>
  <c r="AA147" i="1"/>
  <c r="AA134" i="1"/>
  <c r="W134" i="1" s="1"/>
  <c r="AA133" i="1"/>
  <c r="AA131" i="1"/>
  <c r="W131" i="1" s="1"/>
  <c r="T131" i="1"/>
  <c r="U131" i="1" s="1"/>
  <c r="S131" i="1" s="1"/>
  <c r="AI122" i="1"/>
  <c r="W118" i="1"/>
  <c r="AA111" i="1"/>
  <c r="AG108" i="1"/>
  <c r="AA104" i="1"/>
  <c r="W104" i="1" s="1"/>
  <c r="T101" i="1"/>
  <c r="U101" i="1" s="1"/>
  <c r="S101" i="1" s="1"/>
  <c r="AA100" i="1"/>
  <c r="X96" i="1"/>
  <c r="AA95" i="1"/>
  <c r="W95" i="1" s="1"/>
  <c r="X92" i="1"/>
  <c r="AG88" i="1"/>
  <c r="X88" i="1"/>
  <c r="AI86" i="1"/>
  <c r="AA84" i="1"/>
  <c r="W84" i="1" s="1"/>
  <c r="AG81" i="1"/>
  <c r="AI81" i="1" s="1"/>
  <c r="AG80" i="1"/>
  <c r="AI80" i="1" s="1"/>
  <c r="AG71" i="1"/>
  <c r="AI71" i="1" s="1"/>
  <c r="AG70" i="1"/>
  <c r="AI70" i="1" s="1"/>
  <c r="AG63" i="1"/>
  <c r="AI63" i="1" s="1"/>
  <c r="AG62" i="1"/>
  <c r="AI62" i="1" s="1"/>
  <c r="AG56" i="1"/>
  <c r="AI56" i="1" s="1"/>
  <c r="AG55" i="1"/>
  <c r="U55" i="1" s="1"/>
  <c r="S55" i="1" s="1"/>
  <c r="T46" i="1"/>
  <c r="W42" i="1"/>
  <c r="AG39" i="1"/>
  <c r="T35" i="1"/>
  <c r="U35" i="1" s="1"/>
  <c r="S35" i="1" s="1"/>
  <c r="T31" i="1"/>
  <c r="AG27" i="1"/>
  <c r="T23" i="1"/>
  <c r="U23" i="1" s="1"/>
  <c r="S23" i="1" s="1"/>
  <c r="AG19" i="1"/>
  <c r="AI19" i="1" s="1"/>
  <c r="AA129" i="1"/>
  <c r="AA127" i="1"/>
  <c r="W127" i="1" s="1"/>
  <c r="T127" i="1"/>
  <c r="U127" i="1" s="1"/>
  <c r="S127" i="1" s="1"/>
  <c r="AA113" i="1"/>
  <c r="W113" i="1" s="1"/>
  <c r="T109" i="1"/>
  <c r="U109" i="1" s="1"/>
  <c r="S109" i="1" s="1"/>
  <c r="AA105" i="1"/>
  <c r="W105" i="1" s="1"/>
  <c r="T98" i="1"/>
  <c r="X94" i="1"/>
  <c r="AI76" i="1"/>
  <c r="AA75" i="1"/>
  <c r="AA66" i="1"/>
  <c r="AI59" i="1"/>
  <c r="AA58" i="1"/>
  <c r="AA51" i="1"/>
  <c r="AI48" i="1"/>
  <c r="AA47" i="1"/>
  <c r="AG46" i="1"/>
  <c r="U46" i="1" s="1"/>
  <c r="S46" i="1" s="1"/>
  <c r="AA15" i="1"/>
  <c r="W15" i="1" s="1"/>
  <c r="T15" i="1"/>
  <c r="AI194" i="1"/>
  <c r="AI216" i="1"/>
  <c r="AI209" i="1"/>
  <c r="AI198" i="1"/>
  <c r="AI221" i="1"/>
  <c r="AI190" i="1"/>
  <c r="AI186" i="1"/>
  <c r="U173" i="1"/>
  <c r="S173" i="1" s="1"/>
  <c r="U213" i="1"/>
  <c r="S213" i="1" s="1"/>
  <c r="AI213" i="1"/>
  <c r="W194" i="1"/>
  <c r="AI202" i="1"/>
  <c r="W178" i="1"/>
  <c r="X216" i="1"/>
  <c r="AG215" i="1"/>
  <c r="AI215" i="1" s="1"/>
  <c r="X214" i="1"/>
  <c r="T214" i="1"/>
  <c r="U214" i="1" s="1"/>
  <c r="S214" i="1" s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X190" i="1"/>
  <c r="T190" i="1"/>
  <c r="U190" i="1" s="1"/>
  <c r="S190" i="1" s="1"/>
  <c r="X186" i="1"/>
  <c r="T186" i="1"/>
  <c r="U186" i="1" s="1"/>
  <c r="S186" i="1" s="1"/>
  <c r="X182" i="1"/>
  <c r="T182" i="1"/>
  <c r="U182" i="1" s="1"/>
  <c r="S182" i="1" s="1"/>
  <c r="X178" i="1"/>
  <c r="T178" i="1"/>
  <c r="U178" i="1" s="1"/>
  <c r="S178" i="1" s="1"/>
  <c r="X174" i="1"/>
  <c r="T174" i="1"/>
  <c r="U174" i="1" s="1"/>
  <c r="S174" i="1" s="1"/>
  <c r="X170" i="1"/>
  <c r="X169" i="1"/>
  <c r="AA168" i="1"/>
  <c r="AI178" i="1"/>
  <c r="AI174" i="1"/>
  <c r="AI159" i="1"/>
  <c r="AI143" i="1"/>
  <c r="U143" i="1"/>
  <c r="S143" i="1" s="1"/>
  <c r="AI127" i="1"/>
  <c r="U192" i="1"/>
  <c r="S192" i="1" s="1"/>
  <c r="U165" i="1"/>
  <c r="S165" i="1" s="1"/>
  <c r="T164" i="1"/>
  <c r="X164" i="1"/>
  <c r="AG164" i="1"/>
  <c r="AI164" i="1" s="1"/>
  <c r="X165" i="1"/>
  <c r="U156" i="1"/>
  <c r="S156" i="1" s="1"/>
  <c r="AI155" i="1"/>
  <c r="U155" i="1"/>
  <c r="S155" i="1" s="1"/>
  <c r="AG203" i="1"/>
  <c r="AI203" i="1" s="1"/>
  <c r="X200" i="1"/>
  <c r="AG199" i="1"/>
  <c r="W199" i="1" s="1"/>
  <c r="X196" i="1"/>
  <c r="AG195" i="1"/>
  <c r="AI195" i="1" s="1"/>
  <c r="X192" i="1"/>
  <c r="AG191" i="1"/>
  <c r="X188" i="1"/>
  <c r="AG187" i="1"/>
  <c r="AI187" i="1" s="1"/>
  <c r="X184" i="1"/>
  <c r="AG183" i="1"/>
  <c r="X180" i="1"/>
  <c r="AG179" i="1"/>
  <c r="AI179" i="1" s="1"/>
  <c r="X176" i="1"/>
  <c r="AG175" i="1"/>
  <c r="AI175" i="1" s="1"/>
  <c r="X172" i="1"/>
  <c r="AG171" i="1"/>
  <c r="AI171" i="1" s="1"/>
  <c r="AI181" i="1"/>
  <c r="AI151" i="1"/>
  <c r="AI135" i="1"/>
  <c r="U135" i="1"/>
  <c r="S135" i="1" s="1"/>
  <c r="AI106" i="1"/>
  <c r="X215" i="1"/>
  <c r="X203" i="1"/>
  <c r="X199" i="1"/>
  <c r="X195" i="1"/>
  <c r="X191" i="1"/>
  <c r="AI201" i="1"/>
  <c r="X187" i="1"/>
  <c r="AI197" i="1"/>
  <c r="X183" i="1"/>
  <c r="AI193" i="1"/>
  <c r="X179" i="1"/>
  <c r="AI189" i="1"/>
  <c r="X175" i="1"/>
  <c r="AI185" i="1"/>
  <c r="X171" i="1"/>
  <c r="AG170" i="1"/>
  <c r="AI170" i="1" s="1"/>
  <c r="W159" i="1"/>
  <c r="W143" i="1"/>
  <c r="AI131" i="1"/>
  <c r="X167" i="1"/>
  <c r="X163" i="1"/>
  <c r="X223" i="1"/>
  <c r="X219" i="1"/>
  <c r="X211" i="1"/>
  <c r="X156" i="1"/>
  <c r="X152" i="1"/>
  <c r="X148" i="1"/>
  <c r="X144" i="1"/>
  <c r="X140" i="1"/>
  <c r="X136" i="1"/>
  <c r="X132" i="1"/>
  <c r="T113" i="1"/>
  <c r="T110" i="1"/>
  <c r="U110" i="1" s="1"/>
  <c r="S110" i="1" s="1"/>
  <c r="X110" i="1"/>
  <c r="X109" i="1"/>
  <c r="X108" i="1"/>
  <c r="AA107" i="1"/>
  <c r="AI104" i="1"/>
  <c r="AA103" i="1"/>
  <c r="T102" i="1"/>
  <c r="X102" i="1"/>
  <c r="AG102" i="1"/>
  <c r="W101" i="1"/>
  <c r="U84" i="1"/>
  <c r="S84" i="1" s="1"/>
  <c r="U142" i="1"/>
  <c r="S142" i="1" s="1"/>
  <c r="U138" i="1"/>
  <c r="S138" i="1" s="1"/>
  <c r="T114" i="1"/>
  <c r="X113" i="1"/>
  <c r="W111" i="1"/>
  <c r="T107" i="1"/>
  <c r="T103" i="1"/>
  <c r="X103" i="1"/>
  <c r="AI83" i="1"/>
  <c r="X161" i="1"/>
  <c r="AG160" i="1"/>
  <c r="AI160" i="1" s="1"/>
  <c r="X221" i="1"/>
  <c r="AG220" i="1"/>
  <c r="AI220" i="1" s="1"/>
  <c r="X217" i="1"/>
  <c r="AG212" i="1"/>
  <c r="AI212" i="1" s="1"/>
  <c r="X209" i="1"/>
  <c r="AG208" i="1"/>
  <c r="AI208" i="1" s="1"/>
  <c r="X158" i="1"/>
  <c r="AG157" i="1"/>
  <c r="X154" i="1"/>
  <c r="AG153" i="1"/>
  <c r="X150" i="1"/>
  <c r="AG149" i="1"/>
  <c r="X146" i="1"/>
  <c r="AG145" i="1"/>
  <c r="X142" i="1"/>
  <c r="AG141" i="1"/>
  <c r="X138" i="1"/>
  <c r="AG137" i="1"/>
  <c r="W137" i="1" s="1"/>
  <c r="X134" i="1"/>
  <c r="AG133" i="1"/>
  <c r="X130" i="1"/>
  <c r="AA116" i="1"/>
  <c r="AG107" i="1"/>
  <c r="T105" i="1"/>
  <c r="U105" i="1" s="1"/>
  <c r="S105" i="1" s="1"/>
  <c r="X104" i="1"/>
  <c r="AG103" i="1"/>
  <c r="X160" i="1"/>
  <c r="X220" i="1"/>
  <c r="AI166" i="1"/>
  <c r="X212" i="1"/>
  <c r="AI162" i="1"/>
  <c r="X208" i="1"/>
  <c r="X157" i="1"/>
  <c r="X153" i="1"/>
  <c r="AI150" i="1"/>
  <c r="X149" i="1"/>
  <c r="AI146" i="1"/>
  <c r="X145" i="1"/>
  <c r="AI142" i="1"/>
  <c r="X141" i="1"/>
  <c r="AI138" i="1"/>
  <c r="X137" i="1"/>
  <c r="AI134" i="1"/>
  <c r="X133" i="1"/>
  <c r="AI130" i="1"/>
  <c r="X129" i="1"/>
  <c r="AI126" i="1"/>
  <c r="T106" i="1"/>
  <c r="U106" i="1" s="1"/>
  <c r="S106" i="1" s="1"/>
  <c r="X106" i="1"/>
  <c r="X105" i="1"/>
  <c r="T99" i="1"/>
  <c r="X99" i="1"/>
  <c r="T92" i="1"/>
  <c r="U92" i="1" s="1"/>
  <c r="S92" i="1" s="1"/>
  <c r="AI88" i="1"/>
  <c r="T86" i="1"/>
  <c r="U86" i="1" s="1"/>
  <c r="S86" i="1" s="1"/>
  <c r="T74" i="1"/>
  <c r="AG74" i="1"/>
  <c r="T65" i="1"/>
  <c r="X65" i="1"/>
  <c r="AG65" i="1"/>
  <c r="W65" i="1" s="1"/>
  <c r="X66" i="1"/>
  <c r="T57" i="1"/>
  <c r="AG57" i="1"/>
  <c r="AI33" i="1"/>
  <c r="AG99" i="1"/>
  <c r="T96" i="1"/>
  <c r="AI92" i="1"/>
  <c r="AI91" i="1"/>
  <c r="T90" i="1"/>
  <c r="U90" i="1" s="1"/>
  <c r="S90" i="1" s="1"/>
  <c r="T87" i="1"/>
  <c r="X87" i="1"/>
  <c r="X86" i="1"/>
  <c r="AG40" i="1"/>
  <c r="T40" i="1"/>
  <c r="X40" i="1"/>
  <c r="U98" i="1"/>
  <c r="AG96" i="1"/>
  <c r="AI95" i="1"/>
  <c r="T94" i="1"/>
  <c r="U94" i="1" s="1"/>
  <c r="S94" i="1" s="1"/>
  <c r="T91" i="1"/>
  <c r="U91" i="1" s="1"/>
  <c r="S91" i="1" s="1"/>
  <c r="X91" i="1"/>
  <c r="X90" i="1"/>
  <c r="X89" i="1"/>
  <c r="AA88" i="1"/>
  <c r="W88" i="1" s="1"/>
  <c r="U88" i="1"/>
  <c r="S88" i="1" s="1"/>
  <c r="AG87" i="1"/>
  <c r="AA83" i="1"/>
  <c r="W83" i="1" s="1"/>
  <c r="AG82" i="1"/>
  <c r="T82" i="1"/>
  <c r="T78" i="1"/>
  <c r="X78" i="1"/>
  <c r="AG78" i="1"/>
  <c r="T69" i="1"/>
  <c r="X69" i="1"/>
  <c r="AG69" i="1"/>
  <c r="X70" i="1"/>
  <c r="T61" i="1"/>
  <c r="AG61" i="1"/>
  <c r="X62" i="1"/>
  <c r="T54" i="1"/>
  <c r="X54" i="1"/>
  <c r="AG54" i="1"/>
  <c r="X55" i="1"/>
  <c r="U47" i="1"/>
  <c r="S47" i="1" s="1"/>
  <c r="T25" i="1"/>
  <c r="X25" i="1"/>
  <c r="AG25" i="1"/>
  <c r="W25" i="1" s="1"/>
  <c r="X26" i="1"/>
  <c r="T95" i="1"/>
  <c r="U95" i="1" s="1"/>
  <c r="S95" i="1" s="1"/>
  <c r="X95" i="1"/>
  <c r="AI84" i="1"/>
  <c r="T83" i="1"/>
  <c r="U83" i="1" s="1"/>
  <c r="S83" i="1" s="1"/>
  <c r="X83" i="1"/>
  <c r="AA70" i="1"/>
  <c r="AA62" i="1"/>
  <c r="AA55" i="1"/>
  <c r="T37" i="1"/>
  <c r="X37" i="1"/>
  <c r="AG37" i="1"/>
  <c r="X38" i="1"/>
  <c r="T17" i="1"/>
  <c r="X17" i="1"/>
  <c r="AG17" i="1"/>
  <c r="X18" i="1"/>
  <c r="X77" i="1"/>
  <c r="T77" i="1"/>
  <c r="U77" i="1" s="1"/>
  <c r="S77" i="1" s="1"/>
  <c r="T73" i="1"/>
  <c r="U73" i="1" s="1"/>
  <c r="S73" i="1" s="1"/>
  <c r="X68" i="1"/>
  <c r="T68" i="1"/>
  <c r="U68" i="1" s="1"/>
  <c r="S68" i="1" s="1"/>
  <c r="X64" i="1"/>
  <c r="T64" i="1"/>
  <c r="U64" i="1" s="1"/>
  <c r="S64" i="1" s="1"/>
  <c r="T60" i="1"/>
  <c r="U60" i="1" s="1"/>
  <c r="S60" i="1" s="1"/>
  <c r="X53" i="1"/>
  <c r="T53" i="1"/>
  <c r="U53" i="1" s="1"/>
  <c r="S53" i="1" s="1"/>
  <c r="AI45" i="1"/>
  <c r="AA38" i="1"/>
  <c r="W38" i="1" s="1"/>
  <c r="AA37" i="1"/>
  <c r="AG36" i="1"/>
  <c r="T36" i="1"/>
  <c r="X36" i="1"/>
  <c r="T33" i="1"/>
  <c r="U33" i="1" s="1"/>
  <c r="S33" i="1" s="1"/>
  <c r="X33" i="1"/>
  <c r="AA30" i="1"/>
  <c r="W30" i="1" s="1"/>
  <c r="AI26" i="1"/>
  <c r="AA22" i="1"/>
  <c r="W22" i="1" s="1"/>
  <c r="AI18" i="1"/>
  <c r="T49" i="1"/>
  <c r="X49" i="1"/>
  <c r="AG44" i="1"/>
  <c r="T44" i="1"/>
  <c r="X44" i="1"/>
  <c r="T41" i="1"/>
  <c r="X41" i="1"/>
  <c r="AI38" i="1"/>
  <c r="U31" i="1"/>
  <c r="S31" i="1" s="1"/>
  <c r="AI30" i="1"/>
  <c r="AI22" i="1"/>
  <c r="AA50" i="1"/>
  <c r="AG49" i="1"/>
  <c r="T45" i="1"/>
  <c r="U45" i="1" s="1"/>
  <c r="S45" i="1" s="1"/>
  <c r="X45" i="1"/>
  <c r="X42" i="1"/>
  <c r="AG41" i="1"/>
  <c r="AA34" i="1"/>
  <c r="AA33" i="1"/>
  <c r="W33" i="1" s="1"/>
  <c r="AG32" i="1"/>
  <c r="T32" i="1"/>
  <c r="X32" i="1"/>
  <c r="T29" i="1"/>
  <c r="X29" i="1"/>
  <c r="AG29" i="1"/>
  <c r="W29" i="1" s="1"/>
  <c r="X30" i="1"/>
  <c r="T21" i="1"/>
  <c r="X21" i="1"/>
  <c r="AG21" i="1"/>
  <c r="W21" i="1" s="1"/>
  <c r="X22" i="1"/>
  <c r="AI15" i="1"/>
  <c r="U15" i="1"/>
  <c r="S15" i="1" s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X16" i="1"/>
  <c r="T16" i="1"/>
  <c r="U16" i="1" s="1"/>
  <c r="S16" i="1" s="1"/>
  <c r="S33" i="3"/>
  <c r="R33" i="3"/>
  <c r="S10" i="3"/>
  <c r="R10" i="3"/>
  <c r="S7" i="3"/>
  <c r="R7" i="3"/>
  <c r="S28" i="3"/>
  <c r="R28" i="3"/>
  <c r="S36" i="3"/>
  <c r="R36" i="3"/>
  <c r="S40" i="3"/>
  <c r="R40" i="3"/>
  <c r="S41" i="3"/>
  <c r="R41" i="3"/>
  <c r="S37" i="3"/>
  <c r="R37" i="3"/>
  <c r="S42" i="3"/>
  <c r="R42" i="3"/>
  <c r="S21" i="3"/>
  <c r="R21" i="3"/>
  <c r="S26" i="3"/>
  <c r="R26" i="3"/>
  <c r="S12" i="3"/>
  <c r="R12" i="3"/>
  <c r="S43" i="3"/>
  <c r="R43" i="3"/>
  <c r="S44" i="3"/>
  <c r="R44" i="3"/>
  <c r="S9" i="3"/>
  <c r="R9" i="3"/>
  <c r="S45" i="3"/>
  <c r="R45" i="3"/>
  <c r="S31" i="3"/>
  <c r="R31" i="3"/>
  <c r="S38" i="3"/>
  <c r="R38" i="3"/>
  <c r="S25" i="3"/>
  <c r="R25" i="3"/>
  <c r="S32" i="3"/>
  <c r="R32" i="3"/>
  <c r="S59" i="3"/>
  <c r="R59" i="3"/>
  <c r="S60" i="3"/>
  <c r="R60" i="3"/>
  <c r="S66" i="3"/>
  <c r="R66" i="3"/>
  <c r="S65" i="3"/>
  <c r="R65" i="3"/>
  <c r="S67" i="3"/>
  <c r="R67" i="3"/>
  <c r="S49" i="3"/>
  <c r="R49" i="3"/>
  <c r="S51" i="3"/>
  <c r="R51" i="3"/>
  <c r="S57" i="3"/>
  <c r="R57" i="3"/>
  <c r="S52" i="3"/>
  <c r="R52" i="3"/>
  <c r="S53" i="3"/>
  <c r="R53" i="3"/>
  <c r="S58" i="3"/>
  <c r="R58" i="3"/>
  <c r="M24" i="3"/>
  <c r="N24" i="3"/>
  <c r="U24" i="3"/>
  <c r="V24" i="3"/>
  <c r="W24" i="3"/>
  <c r="X24" i="3"/>
  <c r="U113" i="1" l="1"/>
  <c r="S113" i="1" s="1"/>
  <c r="AI158" i="1"/>
  <c r="W39" i="1"/>
  <c r="W169" i="1"/>
  <c r="AI58" i="1"/>
  <c r="U43" i="1"/>
  <c r="S43" i="1" s="1"/>
  <c r="AI207" i="1"/>
  <c r="W62" i="1"/>
  <c r="U62" i="1"/>
  <c r="S62" i="1" s="1"/>
  <c r="U42" i="1"/>
  <c r="S42" i="1" s="1"/>
  <c r="W100" i="1"/>
  <c r="W161" i="1"/>
  <c r="U139" i="1"/>
  <c r="S139" i="1" s="1"/>
  <c r="U123" i="1"/>
  <c r="S123" i="1" s="1"/>
  <c r="U205" i="1"/>
  <c r="S205" i="1" s="1"/>
  <c r="AI205" i="1"/>
  <c r="W205" i="1"/>
  <c r="U117" i="1"/>
  <c r="S117" i="1" s="1"/>
  <c r="AI117" i="1"/>
  <c r="W117" i="1"/>
  <c r="AI115" i="1"/>
  <c r="U115" i="1"/>
  <c r="S115" i="1" s="1"/>
  <c r="W115" i="1"/>
  <c r="AI14" i="1"/>
  <c r="W41" i="1"/>
  <c r="AI100" i="1"/>
  <c r="AI128" i="1"/>
  <c r="W128" i="1"/>
  <c r="W223" i="1"/>
  <c r="W97" i="1"/>
  <c r="W132" i="1"/>
  <c r="W93" i="1"/>
  <c r="U122" i="1"/>
  <c r="S122" i="1" s="1"/>
  <c r="U132" i="1"/>
  <c r="S132" i="1" s="1"/>
  <c r="AI112" i="1"/>
  <c r="U67" i="1"/>
  <c r="S67" i="1" s="1"/>
  <c r="W67" i="1"/>
  <c r="W154" i="1"/>
  <c r="W14" i="1"/>
  <c r="W167" i="1"/>
  <c r="W57" i="1"/>
  <c r="W50" i="1"/>
  <c r="W17" i="1"/>
  <c r="AI50" i="1"/>
  <c r="U80" i="1"/>
  <c r="S80" i="1" s="1"/>
  <c r="W133" i="1"/>
  <c r="W149" i="1"/>
  <c r="AI219" i="1"/>
  <c r="AI223" i="1"/>
  <c r="W74" i="1"/>
  <c r="AI111" i="1"/>
  <c r="U211" i="1"/>
  <c r="S211" i="1" s="1"/>
  <c r="U168" i="1"/>
  <c r="S168" i="1" s="1"/>
  <c r="W58" i="1"/>
  <c r="U81" i="1"/>
  <c r="S81" i="1" s="1"/>
  <c r="AI72" i="1"/>
  <c r="U72" i="1"/>
  <c r="S72" i="1" s="1"/>
  <c r="W72" i="1"/>
  <c r="W70" i="1"/>
  <c r="W200" i="1"/>
  <c r="W112" i="1"/>
  <c r="W85" i="1"/>
  <c r="W54" i="1"/>
  <c r="W122" i="1"/>
  <c r="W148" i="1"/>
  <c r="Y24" i="3"/>
  <c r="W145" i="1"/>
  <c r="W59" i="1"/>
  <c r="U63" i="1"/>
  <c r="S63" i="1" s="1"/>
  <c r="W221" i="1"/>
  <c r="W47" i="1"/>
  <c r="T24" i="3"/>
  <c r="AC24" i="3"/>
  <c r="AI51" i="1"/>
  <c r="AI75" i="1"/>
  <c r="U34" i="1"/>
  <c r="S34" i="1" s="1"/>
  <c r="U85" i="1"/>
  <c r="S85" i="1" s="1"/>
  <c r="W75" i="1"/>
  <c r="AI46" i="1"/>
  <c r="AI66" i="1"/>
  <c r="AI55" i="1"/>
  <c r="W66" i="1"/>
  <c r="W141" i="1"/>
  <c r="AI167" i="1"/>
  <c r="U124" i="1"/>
  <c r="S124" i="1" s="1"/>
  <c r="U140" i="1"/>
  <c r="S140" i="1" s="1"/>
  <c r="W217" i="1"/>
  <c r="W140" i="1"/>
  <c r="W126" i="1"/>
  <c r="U146" i="1"/>
  <c r="S146" i="1" s="1"/>
  <c r="W211" i="1"/>
  <c r="W34" i="1"/>
  <c r="U70" i="1"/>
  <c r="S70" i="1" s="1"/>
  <c r="W96" i="1"/>
  <c r="U56" i="1"/>
  <c r="S56" i="1" s="1"/>
  <c r="U71" i="1"/>
  <c r="S71" i="1" s="1"/>
  <c r="AI154" i="1"/>
  <c r="W183" i="1"/>
  <c r="U93" i="1"/>
  <c r="S93" i="1" s="1"/>
  <c r="W156" i="1"/>
  <c r="U223" i="1"/>
  <c r="S223" i="1" s="1"/>
  <c r="W147" i="1"/>
  <c r="W165" i="1"/>
  <c r="W219" i="1"/>
  <c r="W55" i="1"/>
  <c r="W114" i="1"/>
  <c r="W125" i="1"/>
  <c r="U147" i="1"/>
  <c r="S147" i="1" s="1"/>
  <c r="W170" i="1"/>
  <c r="W191" i="1"/>
  <c r="W146" i="1"/>
  <c r="U19" i="1"/>
  <c r="S19" i="1" s="1"/>
  <c r="W51" i="1"/>
  <c r="W116" i="1"/>
  <c r="AI163" i="1"/>
  <c r="U180" i="1"/>
  <c r="S180" i="1" s="1"/>
  <c r="W168" i="1"/>
  <c r="AI217" i="1"/>
  <c r="W144" i="1"/>
  <c r="W139" i="1"/>
  <c r="W37" i="1"/>
  <c r="W43" i="1"/>
  <c r="U27" i="1"/>
  <c r="S27" i="1" s="1"/>
  <c r="AI27" i="1"/>
  <c r="U108" i="1"/>
  <c r="S108" i="1" s="1"/>
  <c r="AI108" i="1"/>
  <c r="U52" i="1"/>
  <c r="S52" i="1" s="1"/>
  <c r="AI52" i="1"/>
  <c r="W52" i="1"/>
  <c r="W71" i="1"/>
  <c r="AI199" i="1"/>
  <c r="AI191" i="1"/>
  <c r="W46" i="1"/>
  <c r="U152" i="1"/>
  <c r="S152" i="1" s="1"/>
  <c r="AI152" i="1"/>
  <c r="W81" i="1"/>
  <c r="W142" i="1"/>
  <c r="W196" i="1"/>
  <c r="W152" i="1"/>
  <c r="W108" i="1"/>
  <c r="W19" i="1"/>
  <c r="W207" i="1"/>
  <c r="W163" i="1"/>
  <c r="U39" i="1"/>
  <c r="S39" i="1" s="1"/>
  <c r="AI39" i="1"/>
  <c r="U118" i="1"/>
  <c r="S118" i="1" s="1"/>
  <c r="AI118" i="1"/>
  <c r="W27" i="1"/>
  <c r="W56" i="1"/>
  <c r="W80" i="1"/>
  <c r="U136" i="1"/>
  <c r="S136" i="1" s="1"/>
  <c r="AI136" i="1"/>
  <c r="U144" i="1"/>
  <c r="S144" i="1" s="1"/>
  <c r="AI144" i="1"/>
  <c r="W63" i="1"/>
  <c r="W180" i="1"/>
  <c r="U44" i="1"/>
  <c r="S44" i="1" s="1"/>
  <c r="AI44" i="1"/>
  <c r="W87" i="1"/>
  <c r="U87" i="1"/>
  <c r="S87" i="1" s="1"/>
  <c r="AI87" i="1"/>
  <c r="U32" i="1"/>
  <c r="S32" i="1" s="1"/>
  <c r="AI32" i="1"/>
  <c r="W32" i="1"/>
  <c r="U49" i="1"/>
  <c r="S49" i="1" s="1"/>
  <c r="AI49" i="1"/>
  <c r="U17" i="1"/>
  <c r="S17" i="1" s="1"/>
  <c r="AI17" i="1"/>
  <c r="U78" i="1"/>
  <c r="S78" i="1" s="1"/>
  <c r="AI78" i="1"/>
  <c r="AI96" i="1"/>
  <c r="U96" i="1"/>
  <c r="S96" i="1" s="1"/>
  <c r="W78" i="1"/>
  <c r="U99" i="1"/>
  <c r="S99" i="1" s="1"/>
  <c r="AI99" i="1"/>
  <c r="W44" i="1"/>
  <c r="AI103" i="1"/>
  <c r="U103" i="1"/>
  <c r="S103" i="1" s="1"/>
  <c r="AI107" i="1"/>
  <c r="U107" i="1"/>
  <c r="S107" i="1" s="1"/>
  <c r="U120" i="1"/>
  <c r="S120" i="1" s="1"/>
  <c r="AI120" i="1"/>
  <c r="U129" i="1"/>
  <c r="S129" i="1" s="1"/>
  <c r="AI129" i="1"/>
  <c r="U137" i="1"/>
  <c r="S137" i="1" s="1"/>
  <c r="AI137" i="1"/>
  <c r="U145" i="1"/>
  <c r="S145" i="1" s="1"/>
  <c r="AI145" i="1"/>
  <c r="U153" i="1"/>
  <c r="S153" i="1" s="1"/>
  <c r="AI153" i="1"/>
  <c r="U208" i="1"/>
  <c r="S208" i="1" s="1"/>
  <c r="AI161" i="1"/>
  <c r="U220" i="1"/>
  <c r="S220" i="1" s="1"/>
  <c r="AI169" i="1"/>
  <c r="W103" i="1"/>
  <c r="W129" i="1"/>
  <c r="W153" i="1"/>
  <c r="U65" i="1"/>
  <c r="S65" i="1" s="1"/>
  <c r="AI65" i="1"/>
  <c r="U102" i="1"/>
  <c r="S102" i="1" s="1"/>
  <c r="AI102" i="1"/>
  <c r="U171" i="1"/>
  <c r="S171" i="1" s="1"/>
  <c r="AI184" i="1"/>
  <c r="U179" i="1"/>
  <c r="S179" i="1" s="1"/>
  <c r="AI192" i="1"/>
  <c r="U187" i="1"/>
  <c r="S187" i="1" s="1"/>
  <c r="AI200" i="1"/>
  <c r="U195" i="1"/>
  <c r="S195" i="1" s="1"/>
  <c r="AI210" i="1"/>
  <c r="U203" i="1"/>
  <c r="S203" i="1" s="1"/>
  <c r="AI218" i="1"/>
  <c r="W179" i="1"/>
  <c r="W187" i="1"/>
  <c r="U36" i="1"/>
  <c r="S36" i="1" s="1"/>
  <c r="AI36" i="1"/>
  <c r="U69" i="1"/>
  <c r="S69" i="1" s="1"/>
  <c r="AI69" i="1"/>
  <c r="U21" i="1"/>
  <c r="S21" i="1" s="1"/>
  <c r="AI21" i="1"/>
  <c r="AI41" i="1"/>
  <c r="U41" i="1"/>
  <c r="S41" i="1" s="1"/>
  <c r="AI37" i="1"/>
  <c r="U37" i="1"/>
  <c r="S37" i="1" s="1"/>
  <c r="W36" i="1"/>
  <c r="U61" i="1"/>
  <c r="S61" i="1" s="1"/>
  <c r="AI61" i="1"/>
  <c r="U82" i="1"/>
  <c r="S82" i="1" s="1"/>
  <c r="AI82" i="1"/>
  <c r="W82" i="1"/>
  <c r="W61" i="1"/>
  <c r="U114" i="1"/>
  <c r="S114" i="1" s="1"/>
  <c r="AI114" i="1"/>
  <c r="U125" i="1"/>
  <c r="S125" i="1" s="1"/>
  <c r="AI125" i="1"/>
  <c r="U133" i="1"/>
  <c r="S133" i="1" s="1"/>
  <c r="AI133" i="1"/>
  <c r="U141" i="1"/>
  <c r="S141" i="1" s="1"/>
  <c r="AI141" i="1"/>
  <c r="U149" i="1"/>
  <c r="S149" i="1" s="1"/>
  <c r="AI149" i="1"/>
  <c r="U157" i="1"/>
  <c r="S157" i="1" s="1"/>
  <c r="AI157" i="1"/>
  <c r="U212" i="1"/>
  <c r="S212" i="1" s="1"/>
  <c r="AI165" i="1"/>
  <c r="U160" i="1"/>
  <c r="S160" i="1" s="1"/>
  <c r="AI173" i="1"/>
  <c r="W107" i="1"/>
  <c r="U116" i="1"/>
  <c r="S116" i="1" s="1"/>
  <c r="AI116" i="1"/>
  <c r="W208" i="1"/>
  <c r="W212" i="1"/>
  <c r="W120" i="1"/>
  <c r="U164" i="1"/>
  <c r="S164" i="1" s="1"/>
  <c r="AI177" i="1"/>
  <c r="W157" i="1"/>
  <c r="W164" i="1"/>
  <c r="W171" i="1"/>
  <c r="W195" i="1"/>
  <c r="U29" i="1"/>
  <c r="S29" i="1" s="1"/>
  <c r="AI29" i="1"/>
  <c r="U25" i="1"/>
  <c r="S25" i="1" s="1"/>
  <c r="AI25" i="1"/>
  <c r="U54" i="1"/>
  <c r="S54" i="1" s="1"/>
  <c r="AI54" i="1"/>
  <c r="U40" i="1"/>
  <c r="S40" i="1" s="1"/>
  <c r="AI40" i="1"/>
  <c r="W69" i="1"/>
  <c r="W40" i="1"/>
  <c r="W49" i="1"/>
  <c r="U57" i="1"/>
  <c r="S57" i="1" s="1"/>
  <c r="AI57" i="1"/>
  <c r="U74" i="1"/>
  <c r="S74" i="1" s="1"/>
  <c r="AI74" i="1"/>
  <c r="W99" i="1"/>
  <c r="U170" i="1"/>
  <c r="S170" i="1" s="1"/>
  <c r="AI183" i="1"/>
  <c r="W102" i="1"/>
  <c r="U175" i="1"/>
  <c r="S175" i="1" s="1"/>
  <c r="AI188" i="1"/>
  <c r="U183" i="1"/>
  <c r="S183" i="1" s="1"/>
  <c r="AI196" i="1"/>
  <c r="U191" i="1"/>
  <c r="S191" i="1" s="1"/>
  <c r="AI206" i="1"/>
  <c r="U199" i="1"/>
  <c r="S199" i="1" s="1"/>
  <c r="AI214" i="1"/>
  <c r="W220" i="1"/>
  <c r="W160" i="1"/>
  <c r="AI222" i="1"/>
  <c r="U215" i="1"/>
  <c r="S215" i="1" s="1"/>
  <c r="W175" i="1"/>
  <c r="W215" i="1"/>
  <c r="W203" i="1"/>
  <c r="S47" i="3"/>
  <c r="S56" i="3"/>
  <c r="R64" i="3"/>
  <c r="R63" i="3"/>
  <c r="R48" i="3"/>
  <c r="R50" i="3"/>
  <c r="R62" i="3"/>
  <c r="R46" i="3"/>
  <c r="R61" i="3"/>
  <c r="S8" i="3"/>
  <c r="S35" i="3"/>
  <c r="S22" i="3"/>
  <c r="S34" i="3"/>
  <c r="S11" i="3"/>
  <c r="S29" i="3"/>
  <c r="R47" i="3"/>
  <c r="R56" i="3"/>
  <c r="S55" i="3"/>
  <c r="S54" i="3"/>
  <c r="R13" i="3"/>
  <c r="R15" i="3"/>
  <c r="R14" i="3"/>
  <c r="R19" i="3"/>
  <c r="R20" i="3"/>
  <c r="R18" i="3"/>
  <c r="R16" i="3"/>
  <c r="R17" i="3"/>
  <c r="S23" i="3"/>
  <c r="S39" i="3"/>
  <c r="R27" i="3"/>
  <c r="R30" i="3"/>
  <c r="S63" i="3"/>
  <c r="S64" i="3"/>
  <c r="S48" i="3"/>
  <c r="S50" i="3"/>
  <c r="S62" i="3"/>
  <c r="S46" i="3"/>
  <c r="S61" i="3"/>
  <c r="R8" i="3"/>
  <c r="R35" i="3"/>
  <c r="R22" i="3"/>
  <c r="R34" i="3"/>
  <c r="R29" i="3"/>
  <c r="R11" i="3"/>
  <c r="R54" i="3"/>
  <c r="R55" i="3"/>
  <c r="S13" i="3"/>
  <c r="S14" i="3"/>
  <c r="S15" i="3"/>
  <c r="S19" i="3"/>
  <c r="S20" i="3"/>
  <c r="S18" i="3"/>
  <c r="S17" i="3"/>
  <c r="S16" i="3"/>
  <c r="R23" i="3"/>
  <c r="R39" i="3"/>
  <c r="S27" i="3"/>
  <c r="S30" i="3"/>
  <c r="Y7" i="3"/>
  <c r="AC7" i="3"/>
  <c r="S24" i="3"/>
  <c r="R24" i="3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AE13" i="1"/>
  <c r="T13" i="1" l="1"/>
  <c r="X13" i="1"/>
  <c r="AA13" i="1"/>
  <c r="AG13" i="1"/>
  <c r="M26" i="5"/>
  <c r="AH14" i="1" l="1"/>
  <c r="AH17" i="1"/>
  <c r="AH18" i="1"/>
  <c r="AH19" i="1"/>
  <c r="AH22" i="1"/>
  <c r="AH23" i="1"/>
  <c r="AH25" i="1"/>
  <c r="AH31" i="1"/>
  <c r="AH32" i="1"/>
  <c r="AH33" i="1"/>
  <c r="AH38" i="1"/>
  <c r="AH39" i="1"/>
  <c r="AH44" i="1"/>
  <c r="AH45" i="1"/>
  <c r="AH46" i="1"/>
  <c r="AH50" i="1"/>
  <c r="AH51" i="1"/>
  <c r="AH52" i="1"/>
  <c r="AH53" i="1"/>
  <c r="AH61" i="1"/>
  <c r="AH62" i="1"/>
  <c r="AH63" i="1"/>
  <c r="AH64" i="1"/>
  <c r="AH65" i="1"/>
  <c r="AH66" i="1"/>
  <c r="AH78" i="1"/>
  <c r="AH80" i="1"/>
  <c r="AH81" i="1"/>
  <c r="AH82" i="1"/>
  <c r="AH83" i="1"/>
  <c r="AH91" i="1"/>
  <c r="AH92" i="1"/>
  <c r="AH99" i="1"/>
  <c r="AH109" i="1"/>
  <c r="AH110" i="1"/>
  <c r="AH111" i="1"/>
  <c r="AH112" i="1"/>
  <c r="AH113" i="1"/>
  <c r="AH114" i="1"/>
  <c r="AH116" i="1"/>
  <c r="AH118" i="1"/>
  <c r="AH120" i="1"/>
  <c r="AH122" i="1"/>
  <c r="AH128" i="1"/>
  <c r="AH129" i="1"/>
  <c r="AH132" i="1"/>
  <c r="AH134" i="1"/>
  <c r="AH148" i="1"/>
  <c r="AH149" i="1"/>
  <c r="AH172" i="1"/>
  <c r="AH216" i="1"/>
  <c r="AH222" i="1"/>
  <c r="AH15" i="1"/>
  <c r="AH26" i="1"/>
  <c r="AH40" i="1"/>
  <c r="AH41" i="1"/>
  <c r="AH57" i="1"/>
  <c r="AH67" i="1"/>
  <c r="AH68" i="1"/>
  <c r="AH84" i="1"/>
  <c r="AH93" i="1"/>
  <c r="AH100" i="1"/>
  <c r="AH101" i="1"/>
  <c r="AH130" i="1"/>
  <c r="AH135" i="1"/>
  <c r="AH158" i="1"/>
  <c r="AH159" i="1"/>
  <c r="AH160" i="1"/>
  <c r="AH173" i="1"/>
  <c r="AH180" i="1"/>
  <c r="AH181" i="1"/>
  <c r="AH187" i="1"/>
  <c r="AH188" i="1"/>
  <c r="AH189" i="1"/>
  <c r="AH195" i="1"/>
  <c r="AH196" i="1"/>
  <c r="AH199" i="1"/>
  <c r="AH200" i="1"/>
  <c r="AH207" i="1"/>
  <c r="AH208" i="1"/>
  <c r="AH209" i="1"/>
  <c r="AH218" i="1"/>
  <c r="AH137" i="1"/>
  <c r="AH139" i="1"/>
  <c r="AH141" i="1"/>
  <c r="AH150" i="1"/>
  <c r="AH152" i="1"/>
  <c r="AH154" i="1"/>
  <c r="AH161" i="1"/>
  <c r="AH190" i="1"/>
  <c r="AH210" i="1"/>
  <c r="AH219" i="1"/>
  <c r="AH157" i="1"/>
  <c r="AH165" i="1"/>
  <c r="AH167" i="1"/>
  <c r="AH169" i="1"/>
  <c r="AH175" i="1"/>
  <c r="AH178" i="1"/>
  <c r="AH184" i="1"/>
  <c r="AH192" i="1"/>
  <c r="AH198" i="1"/>
  <c r="AH203" i="1"/>
  <c r="AH214" i="1"/>
  <c r="AH171" i="1"/>
  <c r="AH206" i="1"/>
  <c r="AH221" i="1"/>
  <c r="AH16" i="1"/>
  <c r="AH20" i="1"/>
  <c r="AH24" i="1"/>
  <c r="AH27" i="1"/>
  <c r="AH28" i="1"/>
  <c r="AH34" i="1"/>
  <c r="AH35" i="1"/>
  <c r="AH47" i="1"/>
  <c r="AH48" i="1"/>
  <c r="AH49" i="1"/>
  <c r="AH54" i="1"/>
  <c r="AH55" i="1"/>
  <c r="AH58" i="1"/>
  <c r="AH59" i="1"/>
  <c r="AH60" i="1"/>
  <c r="AH69" i="1"/>
  <c r="AH70" i="1"/>
  <c r="AH71" i="1"/>
  <c r="AH73" i="1"/>
  <c r="AH74" i="1"/>
  <c r="AH75" i="1"/>
  <c r="AH94" i="1"/>
  <c r="AH102" i="1"/>
  <c r="AH103" i="1"/>
  <c r="AH124" i="1"/>
  <c r="AH125" i="1"/>
  <c r="AH126" i="1"/>
  <c r="AH131" i="1"/>
  <c r="AH133" i="1"/>
  <c r="AH136" i="1"/>
  <c r="AH138" i="1"/>
  <c r="AH140" i="1"/>
  <c r="AH142" i="1"/>
  <c r="AH151" i="1"/>
  <c r="AH153" i="1"/>
  <c r="AH155" i="1"/>
  <c r="AH162" i="1"/>
  <c r="AH197" i="1"/>
  <c r="AH211" i="1"/>
  <c r="AH147" i="1"/>
  <c r="AH164" i="1"/>
  <c r="AH166" i="1"/>
  <c r="AH168" i="1"/>
  <c r="AH174" i="1"/>
  <c r="AH177" i="1"/>
  <c r="AH183" i="1"/>
  <c r="AH191" i="1"/>
  <c r="AH194" i="1"/>
  <c r="AH202" i="1"/>
  <c r="AH213" i="1"/>
  <c r="AH170" i="1"/>
  <c r="AH186" i="1"/>
  <c r="AH220" i="1"/>
  <c r="AH21" i="1"/>
  <c r="AH29" i="1"/>
  <c r="AH30" i="1"/>
  <c r="AH36" i="1"/>
  <c r="AH37" i="1"/>
  <c r="AH42" i="1"/>
  <c r="AH43" i="1"/>
  <c r="AH56" i="1"/>
  <c r="AH76" i="1"/>
  <c r="AH77" i="1"/>
  <c r="AH85" i="1"/>
  <c r="AH86" i="1"/>
  <c r="AH87" i="1"/>
  <c r="AH88" i="1"/>
  <c r="AH89" i="1"/>
  <c r="AH90" i="1"/>
  <c r="AH95" i="1"/>
  <c r="AH96" i="1"/>
  <c r="AH97" i="1"/>
  <c r="AH98" i="1"/>
  <c r="AH104" i="1"/>
  <c r="AH105" i="1"/>
  <c r="AH106" i="1"/>
  <c r="AH107" i="1"/>
  <c r="AH108" i="1"/>
  <c r="AH127" i="1"/>
  <c r="AH143" i="1"/>
  <c r="AH144" i="1"/>
  <c r="AH145" i="1"/>
  <c r="AH146" i="1"/>
  <c r="AH156" i="1"/>
  <c r="AH163" i="1"/>
  <c r="AH176" i="1"/>
  <c r="AH182" i="1"/>
  <c r="AH185" i="1"/>
  <c r="AH193" i="1"/>
  <c r="AH201" i="1"/>
  <c r="AH212" i="1"/>
  <c r="AH215" i="1"/>
  <c r="AH179" i="1"/>
  <c r="AH217" i="1"/>
  <c r="AH223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<sst xmlns="http://schemas.openxmlformats.org/spreadsheetml/2006/main" count="2349" uniqueCount="747">
  <si>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</si>
  <si>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</si>
  <si>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</si>
  <si>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</si>
  <si>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</si>
  <si>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</si>
  <si>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</si>
  <si>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</si>
  <si>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</si>
  <si>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</si>
  <si>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</si>
  <si>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</si>
  <si>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</si>
  <si>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</si>
  <si>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</si>
  <si>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</si>
  <si>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</si>
  <si>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</si>
  <si>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</si>
  <si>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</si>
  <si>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</si>
  <si>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</si>
  <si>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</si>
  <si>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</si>
  <si>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</si>
  <si>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</si>
  <si>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</si>
  <si>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</si>
  <si>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</si>
  <si>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</si>
  <si>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</si>
  <si>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</si>
  <si>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</si>
  <si>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</si>
  <si>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</si>
  <si>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</si>
  <si>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</si>
  <si>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</si>
  <si>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</si>
  <si>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</si>
  <si>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</si>
  <si>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</si>
  <si>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</si>
  <si>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</si>
  <si>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</si>
  <si>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</si>
  <si>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</si>
  <si>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</si>
  <si>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</si>
  <si>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</si>
  <si>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</si>
  <si>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</si>
  <si>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</si>
  <si>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</si>
  <si>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</si>
  <si>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</si>
  <si>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</si>
  <si>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</si>
  <si>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</si>
  <si>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</si>
  <si>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</si>
  <si>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</si>
  <si>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</si>
  <si>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</si>
  <si>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</si>
  <si>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</si>
  <si>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</si>
  <si>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</si>
  <si>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</si>
  <si>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</si>
  <si>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</si>
  <si>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</si>
  <si>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</si>
  <si>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</si>
  <si>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</si>
  <si>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</si>
  <si>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</si>
  <si>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</si>
  <si>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</si>
  <si>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</si>
  <si>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</si>
  <si>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</si>
  <si>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</si>
  <si>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</si>
  <si>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</si>
  <si>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</si>
  <si>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</si>
  <si>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</si>
  <si>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</si>
  <si>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</si>
  <si>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</si>
  <si>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</si>
  <si>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</si>
  <si>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</si>
  <si>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</si>
  <si>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</si>
  <si>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</si>
  <si>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</si>
  <si>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</si>
  <si>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</si>
  <si>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</si>
  <si>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</si>
  <si>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</si>
  <si>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</si>
  <si>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</si>
  <si>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</si>
  <si>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</si>
  <si>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</si>
  <si>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</si>
  <si>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</si>
  <si>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</si>
  <si>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</si>
  <si>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</si>
  <si>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</si>
  <si>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</si>
  <si>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</si>
  <si>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</si>
  <si>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</si>
  <si>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</si>
  <si>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</si>
  <si>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</si>
  <si>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</si>
  <si>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</si>
  <si>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</si>
  <si>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</si>
  <si>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</si>
  <si>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</si>
  <si>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</si>
  <si>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</si>
  <si>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</si>
  <si>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</si>
  <si>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</si>
  <si>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</si>
  <si>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</si>
  <si>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</si>
  <si>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</si>
  <si>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</si>
  <si>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</si>
  <si>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</si>
  <si>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</si>
  <si>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</si>
  <si>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</si>
  <si>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</si>
  <si>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</si>
  <si>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</si>
  <si>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</si>
  <si>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</si>
  <si>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</si>
  <si>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</si>
  <si>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</si>
  <si>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</si>
  <si>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</si>
  <si>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</si>
  <si>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</si>
  <si>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</si>
  <si>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</si>
  <si>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</si>
  <si>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</si>
  <si>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</si>
  <si>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</si>
  <si>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</si>
  <si>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</si>
  <si>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</si>
  <si>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</si>
  <si>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</si>
  <si>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</si>
  <si>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</si>
  <si>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</si>
  <si>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</si>
  <si>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</si>
  <si>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</si>
  <si>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</si>
  <si>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</si>
  <si>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</si>
  <si>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</si>
  <si>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</si>
  <si>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</si>
  <si>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</si>
  <si>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</si>
  <si>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</si>
  <si>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</si>
  <si>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</si>
  <si>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</si>
  <si>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</si>
  <si>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</si>
  <si>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</si>
  <si>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</si>
  <si>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</si>
  <si>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</si>
  <si>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</si>
  <si>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</si>
  <si>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</si>
  <si>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</si>
  <si>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</si>
  <si>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</si>
  <si>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</si>
  <si>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</si>
  <si>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</si>
  <si>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</si>
  <si>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</si>
  <si>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</si>
  <si>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</si>
  <si>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</si>
  <si>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</si>
  <si>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</si>
  <si>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</si>
  <si>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</si>
  <si>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</si>
  <si>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</si>
  <si>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</si>
  <si>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</si>
  <si>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</si>
  <si>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</si>
  <si>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</si>
  <si>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</si>
  <si>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</si>
  <si>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</si>
  <si>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</si>
  <si>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</si>
  <si>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</si>
  <si>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</si>
  <si>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</si>
  <si>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</si>
  <si>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</si>
  <si>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</si>
  <si>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</si>
  <si>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</si>
  <si>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</si>
  <si>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204:139</t>
  </si>
  <si>
    <t>204:458</t>
  </si>
  <si>
    <t>204:467</t>
  </si>
  <si>
    <t>204:460</t>
  </si>
  <si>
    <t>human_readable_time</t>
  </si>
  <si>
    <t>204:232978</t>
  </si>
  <si>
    <t>204:138</t>
  </si>
  <si>
    <t>204:232994</t>
  </si>
  <si>
    <t>204:469</t>
  </si>
  <si>
    <t>Reactive Warning (1)</t>
  </si>
  <si>
    <t>204:462</t>
  </si>
  <si>
    <t>rtdc.l.rtdc.4044:itc</t>
  </si>
  <si>
    <t>rtdc.l.rtdc.4043:itc</t>
  </si>
  <si>
    <t>STURGEON</t>
  </si>
  <si>
    <t>Loco - PTC</t>
  </si>
  <si>
    <t>Power</t>
  </si>
  <si>
    <t>204:233297</t>
  </si>
  <si>
    <t>204:161</t>
  </si>
  <si>
    <t>rtdc.l.rtdc.4003:itc</t>
  </si>
  <si>
    <t>rtdc.l.rtdc.4004:itc</t>
  </si>
  <si>
    <t>YANAI</t>
  </si>
  <si>
    <t>CHANDLER</t>
  </si>
  <si>
    <t>204:156</t>
  </si>
  <si>
    <t>204:440</t>
  </si>
  <si>
    <t>rtdc.l.rtdc.4011:itc</t>
  </si>
  <si>
    <t>rtdc.l.rtdc.4012:itc</t>
  </si>
  <si>
    <t>204:233293</t>
  </si>
  <si>
    <t>204:233314</t>
  </si>
  <si>
    <t>CLI Grep</t>
  </si>
  <si>
    <t>204:233295</t>
  </si>
  <si>
    <t>204:145</t>
  </si>
  <si>
    <t>204:233000</t>
  </si>
  <si>
    <t>204:136</t>
  </si>
  <si>
    <t>SPECTOR</t>
  </si>
  <si>
    <t>rtdc.l.rtdc.4008:itc</t>
  </si>
  <si>
    <t>YOUNG</t>
  </si>
  <si>
    <t>204:233334</t>
  </si>
  <si>
    <t>204:444</t>
  </si>
  <si>
    <t>204:232981</t>
  </si>
  <si>
    <t>204:141</t>
  </si>
  <si>
    <t>204:232959</t>
  </si>
  <si>
    <t>204:442</t>
  </si>
  <si>
    <t>204:232963</t>
  </si>
  <si>
    <t>204:484</t>
  </si>
  <si>
    <t>204:233287</t>
  </si>
  <si>
    <t>204:233312</t>
  </si>
  <si>
    <t>precipType</t>
  </si>
  <si>
    <t>partly-cloudy-day</t>
  </si>
  <si>
    <t>rain</t>
  </si>
  <si>
    <t>partly-cloudy-night</t>
  </si>
  <si>
    <t>Mostly Cloudy</t>
  </si>
  <si>
    <t>Early arrival</t>
  </si>
  <si>
    <t>rtdc.l.rtdc.4014:itc</t>
  </si>
  <si>
    <t>GEBRETEKLE</t>
  </si>
  <si>
    <t>ROCHA</t>
  </si>
  <si>
    <t>rtdc.l.rtdc.4013:itc</t>
  </si>
  <si>
    <t>HELVIE</t>
  </si>
  <si>
    <t>rtdc.l.rtdc.4006:itc</t>
  </si>
  <si>
    <t>STORY</t>
  </si>
  <si>
    <t>rtdc.l.rtdc.4005:itc</t>
  </si>
  <si>
    <t>204:232996</t>
  </si>
  <si>
    <t>204:233315</t>
  </si>
  <si>
    <t>204:232983</t>
  </si>
  <si>
    <t>204:232998</t>
  </si>
  <si>
    <t>204:233288</t>
  </si>
  <si>
    <t>204:232993</t>
  </si>
  <si>
    <t>204:232991</t>
  </si>
  <si>
    <t>204:446</t>
  </si>
  <si>
    <t>204:233289</t>
  </si>
  <si>
    <t>204:233300</t>
  </si>
  <si>
    <t>300:58634</t>
  </si>
  <si>
    <t>Partly Cloudy</t>
  </si>
  <si>
    <t>Time (US/Mountain)</t>
  </si>
  <si>
    <t>Source</t>
  </si>
  <si>
    <t>Employee Identifier</t>
  </si>
  <si>
    <t>Employee Last Name</t>
  </si>
  <si>
    <t>MAELZER</t>
  </si>
  <si>
    <t>rtdc.l.rtdc.4016:itc</t>
  </si>
  <si>
    <t>rtdc.l.rtdc.4027:itc</t>
  </si>
  <si>
    <t>STRICKLAND</t>
  </si>
  <si>
    <t>rtdc.l.rtdc.4031:itc</t>
  </si>
  <si>
    <t>rtdc.l.rtdc.4028:itc</t>
  </si>
  <si>
    <t>MOSES</t>
  </si>
  <si>
    <t>204:755</t>
  </si>
  <si>
    <t>204:233304</t>
  </si>
  <si>
    <t>204:232969</t>
  </si>
  <si>
    <t>204:232976</t>
  </si>
  <si>
    <t>204:167</t>
  </si>
  <si>
    <t>204:233284</t>
  </si>
  <si>
    <t>204:233317</t>
  </si>
  <si>
    <t>204:233002</t>
  </si>
  <si>
    <t>204:169</t>
  </si>
  <si>
    <t>204:232957</t>
  </si>
  <si>
    <t>204:464</t>
  </si>
  <si>
    <t>204:433</t>
  </si>
  <si>
    <t>204:232992</t>
  </si>
  <si>
    <t>204:233298</t>
  </si>
  <si>
    <t>204:232973</t>
  </si>
  <si>
    <t>300:58602</t>
  </si>
  <si>
    <t>Form C</t>
  </si>
  <si>
    <t>rtdc.l.rtdc.4029:itc</t>
  </si>
  <si>
    <t>MALAVE</t>
  </si>
  <si>
    <t>rtdc.l.rtdc.4054:itc</t>
  </si>
  <si>
    <t>YORK</t>
  </si>
  <si>
    <t>rtdc.l.rtdc.4030:itc</t>
  </si>
  <si>
    <t>GRASTON</t>
  </si>
  <si>
    <t>NEWELL</t>
  </si>
  <si>
    <t>SHOOK</t>
  </si>
  <si>
    <t>242-22</t>
  </si>
  <si>
    <t>311-22</t>
  </si>
  <si>
    <t>244-22</t>
  </si>
  <si>
    <t>313-22</t>
  </si>
  <si>
    <t>204:726</t>
  </si>
  <si>
    <t>204:232670</t>
  </si>
  <si>
    <t>204:232658</t>
  </si>
  <si>
    <t>204:143</t>
  </si>
  <si>
    <t>204:232977</t>
  </si>
  <si>
    <t>204:233270</t>
  </si>
  <si>
    <t>204:233280</t>
  </si>
  <si>
    <t>204:233310</t>
  </si>
  <si>
    <t>204:475</t>
  </si>
  <si>
    <t>204:232975</t>
  </si>
  <si>
    <t>204:233011</t>
  </si>
  <si>
    <t>204:233306</t>
  </si>
  <si>
    <t>204:233332</t>
  </si>
  <si>
    <t>204:233329</t>
  </si>
  <si>
    <t>204:233299</t>
  </si>
  <si>
    <t>204:233320</t>
  </si>
  <si>
    <t>204:232990</t>
  </si>
  <si>
    <t>204:233302</t>
  </si>
  <si>
    <t>204:438</t>
  </si>
  <si>
    <t>204:233309</t>
  </si>
  <si>
    <t>204:431</t>
  </si>
  <si>
    <t>300:23302</t>
  </si>
  <si>
    <t>300:22026</t>
  </si>
  <si>
    <t>204:1062</t>
  </si>
  <si>
    <t>300:58611</t>
  </si>
  <si>
    <t>204:1081</t>
  </si>
  <si>
    <t>300:58924</t>
  </si>
  <si>
    <t>204:771</t>
  </si>
  <si>
    <t>204:1053</t>
  </si>
  <si>
    <t>300:58929</t>
  </si>
  <si>
    <t>204:1037</t>
  </si>
  <si>
    <t>300:58926</t>
  </si>
  <si>
    <t>300:58613</t>
  </si>
  <si>
    <t>204:1118</t>
  </si>
  <si>
    <t>204:741</t>
  </si>
  <si>
    <t>204:1020</t>
  </si>
  <si>
    <t>300:58922</t>
  </si>
  <si>
    <t>300:58624</t>
  </si>
  <si>
    <t>300:58950</t>
  </si>
  <si>
    <t>204:750</t>
  </si>
  <si>
    <t>300:58606</t>
  </si>
  <si>
    <t>300:58931</t>
  </si>
  <si>
    <t>300:58609</t>
  </si>
  <si>
    <t>Drizzle</t>
  </si>
  <si>
    <t>clear-night</t>
  </si>
  <si>
    <t>Clear</t>
  </si>
  <si>
    <t>clear-day</t>
  </si>
  <si>
    <t>Light Rain</t>
  </si>
  <si>
    <t>Summary for DUS 2016-09-23: Partly cloudy starting in the afternoon, continuing until night.</t>
  </si>
  <si>
    <t>101-23</t>
  </si>
  <si>
    <t>103-23</t>
  </si>
  <si>
    <t>DAVIS</t>
  </si>
  <si>
    <t>102-23</t>
  </si>
  <si>
    <t>rtdc.l.rtdc.4040:itc</t>
  </si>
  <si>
    <t>105-23</t>
  </si>
  <si>
    <t>107-23</t>
  </si>
  <si>
    <t>BRANNON</t>
  </si>
  <si>
    <t>104-23</t>
  </si>
  <si>
    <t>109-23</t>
  </si>
  <si>
    <t>111-23</t>
  </si>
  <si>
    <t>rtdc.l.rtdc.4017:itc</t>
  </si>
  <si>
    <t>800-23</t>
  </si>
  <si>
    <t>106-23</t>
  </si>
  <si>
    <t>113-23</t>
  </si>
  <si>
    <t>rtdc.l.rtdc.4015:itc</t>
  </si>
  <si>
    <t>108-23</t>
  </si>
  <si>
    <t>115-23</t>
  </si>
  <si>
    <t>117-23</t>
  </si>
  <si>
    <t>110-23</t>
  </si>
  <si>
    <t>rtdc.l.rtdc.4018:itc</t>
  </si>
  <si>
    <t>801-23</t>
  </si>
  <si>
    <t>112-23</t>
  </si>
  <si>
    <t>119-23</t>
  </si>
  <si>
    <t>114-23</t>
  </si>
  <si>
    <t>802-23</t>
  </si>
  <si>
    <t>121-23</t>
  </si>
  <si>
    <t>803-23</t>
  </si>
  <si>
    <t>116-23</t>
  </si>
  <si>
    <t>123-23</t>
  </si>
  <si>
    <t>804-23</t>
  </si>
  <si>
    <t>118-23</t>
  </si>
  <si>
    <t>805-23</t>
  </si>
  <si>
    <t>125-23</t>
  </si>
  <si>
    <t>rtdc.l.rtdc.4039:itc</t>
  </si>
  <si>
    <t>120-23</t>
  </si>
  <si>
    <t>127-23</t>
  </si>
  <si>
    <t>807-23</t>
  </si>
  <si>
    <t>122-23</t>
  </si>
  <si>
    <t>806-23</t>
  </si>
  <si>
    <t>129-23</t>
  </si>
  <si>
    <t>124-23</t>
  </si>
  <si>
    <t>131-23</t>
  </si>
  <si>
    <t>808-23</t>
  </si>
  <si>
    <t>126-23</t>
  </si>
  <si>
    <t>133-23</t>
  </si>
  <si>
    <t>809-23</t>
  </si>
  <si>
    <t>128-23</t>
  </si>
  <si>
    <t>130-23</t>
  </si>
  <si>
    <t>811-23</t>
  </si>
  <si>
    <t>135-23</t>
  </si>
  <si>
    <t>810-23</t>
  </si>
  <si>
    <t>137-23</t>
  </si>
  <si>
    <t>132-23</t>
  </si>
  <si>
    <t>139-23</t>
  </si>
  <si>
    <t>903-23</t>
  </si>
  <si>
    <t>812-23</t>
  </si>
  <si>
    <t>141-23</t>
  </si>
  <si>
    <t>134-23</t>
  </si>
  <si>
    <t>136-23</t>
  </si>
  <si>
    <t>143-23</t>
  </si>
  <si>
    <t>138-23</t>
  </si>
  <si>
    <t>813-23</t>
  </si>
  <si>
    <t>145-23</t>
  </si>
  <si>
    <t>140-23</t>
  </si>
  <si>
    <t>147-23</t>
  </si>
  <si>
    <t>142-23</t>
  </si>
  <si>
    <t>814-23</t>
  </si>
  <si>
    <t>149-23</t>
  </si>
  <si>
    <t>144-23</t>
  </si>
  <si>
    <t>815-23</t>
  </si>
  <si>
    <t>151-23</t>
  </si>
  <si>
    <t>146-23</t>
  </si>
  <si>
    <t>153-23</t>
  </si>
  <si>
    <t>50-23</t>
  </si>
  <si>
    <t>STEWART</t>
  </si>
  <si>
    <t>155-23</t>
  </si>
  <si>
    <t>148-23</t>
  </si>
  <si>
    <t>150-23</t>
  </si>
  <si>
    <t>816-23</t>
  </si>
  <si>
    <t>157-23</t>
  </si>
  <si>
    <t>152-23</t>
  </si>
  <si>
    <t>817-23</t>
  </si>
  <si>
    <t>159-23</t>
  </si>
  <si>
    <t>154-23</t>
  </si>
  <si>
    <t>rtdc.l.rtdc.4021:itc</t>
  </si>
  <si>
    <t>52-23</t>
  </si>
  <si>
    <t>161-23</t>
  </si>
  <si>
    <t>CLARK</t>
  </si>
  <si>
    <t>55-23</t>
  </si>
  <si>
    <t>156-23</t>
  </si>
  <si>
    <t>163-23</t>
  </si>
  <si>
    <t>BONDS</t>
  </si>
  <si>
    <t>158-23</t>
  </si>
  <si>
    <t>818-23</t>
  </si>
  <si>
    <t>165-23</t>
  </si>
  <si>
    <t>162-23</t>
  </si>
  <si>
    <t>169-23</t>
  </si>
  <si>
    <t>819-23</t>
  </si>
  <si>
    <t>164-23</t>
  </si>
  <si>
    <t>171-23</t>
  </si>
  <si>
    <t>820-23</t>
  </si>
  <si>
    <t>166-23</t>
  </si>
  <si>
    <t>168-23</t>
  </si>
  <si>
    <t>SWANSON</t>
  </si>
  <si>
    <t>173-23</t>
  </si>
  <si>
    <t>175-23</t>
  </si>
  <si>
    <t>170-23</t>
  </si>
  <si>
    <t>177-23</t>
  </si>
  <si>
    <t>821-23</t>
  </si>
  <si>
    <t>172-23</t>
  </si>
  <si>
    <t>179-23</t>
  </si>
  <si>
    <t>174-23</t>
  </si>
  <si>
    <t>822-23</t>
  </si>
  <si>
    <t>181-23</t>
  </si>
  <si>
    <t>176-23</t>
  </si>
  <si>
    <t>183-23</t>
  </si>
  <si>
    <t>178-23</t>
  </si>
  <si>
    <t>185-23</t>
  </si>
  <si>
    <t>823-23</t>
  </si>
  <si>
    <t>180-23</t>
  </si>
  <si>
    <t>187-23</t>
  </si>
  <si>
    <t>182-23</t>
  </si>
  <si>
    <t>824-23</t>
  </si>
  <si>
    <t>189-23</t>
  </si>
  <si>
    <t>184-23</t>
  </si>
  <si>
    <t>191-23</t>
  </si>
  <si>
    <t>199-23</t>
  </si>
  <si>
    <t>186-23</t>
  </si>
  <si>
    <t>825-23</t>
  </si>
  <si>
    <t>193-23</t>
  </si>
  <si>
    <t>188-23</t>
  </si>
  <si>
    <t>904-23</t>
  </si>
  <si>
    <t>195-23</t>
  </si>
  <si>
    <t>190-23</t>
  </si>
  <si>
    <t>827-23</t>
  </si>
  <si>
    <t>826-23</t>
  </si>
  <si>
    <t>197-23</t>
  </si>
  <si>
    <t>192-23</t>
  </si>
  <si>
    <t>828-23</t>
  </si>
  <si>
    <t>194-23</t>
  </si>
  <si>
    <t>201-23</t>
  </si>
  <si>
    <t>829-23</t>
  </si>
  <si>
    <t>196-23</t>
  </si>
  <si>
    <t>831-23</t>
  </si>
  <si>
    <t>203-23</t>
  </si>
  <si>
    <t>198-23</t>
  </si>
  <si>
    <t>830-23</t>
  </si>
  <si>
    <t>205-23</t>
  </si>
  <si>
    <t>200-23</t>
  </si>
  <si>
    <t>207-23</t>
  </si>
  <si>
    <t>832-23</t>
  </si>
  <si>
    <t>209-23</t>
  </si>
  <si>
    <t>202-23</t>
  </si>
  <si>
    <t>833-23</t>
  </si>
  <si>
    <t>204-23</t>
  </si>
  <si>
    <t>835-23</t>
  </si>
  <si>
    <t>206-23</t>
  </si>
  <si>
    <t>211-23</t>
  </si>
  <si>
    <t>834-23</t>
  </si>
  <si>
    <t>213-23</t>
  </si>
  <si>
    <t>58-23</t>
  </si>
  <si>
    <t>208-23</t>
  </si>
  <si>
    <t>215-23</t>
  </si>
  <si>
    <t>210-23</t>
  </si>
  <si>
    <t>60-23</t>
  </si>
  <si>
    <t>836-23</t>
  </si>
  <si>
    <t>837-23</t>
  </si>
  <si>
    <t>217-23</t>
  </si>
  <si>
    <t>212-23</t>
  </si>
  <si>
    <t>839-23</t>
  </si>
  <si>
    <t>219-23</t>
  </si>
  <si>
    <t>838-23</t>
  </si>
  <si>
    <t>214-23</t>
  </si>
  <si>
    <t>57-23</t>
  </si>
  <si>
    <t>216-23</t>
  </si>
  <si>
    <t>303-23</t>
  </si>
  <si>
    <t>221-23</t>
  </si>
  <si>
    <t>906-23</t>
  </si>
  <si>
    <t>218-23</t>
  </si>
  <si>
    <t>rtdc.l.rtdc.4022:itc</t>
  </si>
  <si>
    <t>67-23</t>
  </si>
  <si>
    <t>841-23</t>
  </si>
  <si>
    <t>305-23</t>
  </si>
  <si>
    <t>220-23</t>
  </si>
  <si>
    <t>223-23</t>
  </si>
  <si>
    <t>840-23</t>
  </si>
  <si>
    <t>307-23</t>
  </si>
  <si>
    <t>222-23</t>
  </si>
  <si>
    <t>225-23</t>
  </si>
  <si>
    <t>843-23</t>
  </si>
  <si>
    <t>224-23</t>
  </si>
  <si>
    <t>227-23</t>
  </si>
  <si>
    <t>842-23</t>
  </si>
  <si>
    <t>229-23</t>
  </si>
  <si>
    <t>226-23</t>
  </si>
  <si>
    <t>231-23</t>
  </si>
  <si>
    <t>228-23</t>
  </si>
  <si>
    <t>230-23</t>
  </si>
  <si>
    <t>233-23</t>
  </si>
  <si>
    <t>847-23</t>
  </si>
  <si>
    <t>232-23</t>
  </si>
  <si>
    <t>235-23</t>
  </si>
  <si>
    <t>908-23</t>
  </si>
  <si>
    <t>234-23</t>
  </si>
  <si>
    <t>237-23</t>
  </si>
  <si>
    <t>239-23</t>
  </si>
  <si>
    <t>236-23</t>
  </si>
  <si>
    <t>238-23</t>
  </si>
  <si>
    <t>241-23</t>
  </si>
  <si>
    <t>243-23</t>
  </si>
  <si>
    <t>240-23</t>
  </si>
  <si>
    <t>242-23</t>
  </si>
  <si>
    <t>245-23</t>
  </si>
  <si>
    <t>309-23</t>
  </si>
  <si>
    <t>244-23</t>
  </si>
  <si>
    <t>311-23</t>
  </si>
  <si>
    <t>246-23</t>
  </si>
  <si>
    <t>313-23</t>
  </si>
  <si>
    <t>315-23</t>
  </si>
  <si>
    <t>SWITCH UNKNOWN</t>
  </si>
  <si>
    <t>Track device (7)</t>
  </si>
  <si>
    <t>NON SYNCHRONIZED SUBDIV</t>
  </si>
  <si>
    <t>PTC function (8)</t>
  </si>
  <si>
    <t>TEMPORARY SPEED RESTRICTION</t>
  </si>
  <si>
    <t>Y</t>
  </si>
  <si>
    <t>204:743</t>
  </si>
  <si>
    <t>204:165</t>
  </si>
  <si>
    <t>204:792</t>
  </si>
  <si>
    <t>204:232675</t>
  </si>
  <si>
    <t>204:183</t>
  </si>
  <si>
    <t>204:233301</t>
  </si>
  <si>
    <t>204:435</t>
  </si>
  <si>
    <t>204:748</t>
  </si>
  <si>
    <t>204:233311</t>
  </si>
  <si>
    <t>204:427</t>
  </si>
  <si>
    <t>204:723</t>
  </si>
  <si>
    <t>204:799</t>
  </si>
  <si>
    <t>204:256</t>
  </si>
  <si>
    <t>204:233321</t>
  </si>
  <si>
    <t>204:233319</t>
  </si>
  <si>
    <t>204:233357</t>
  </si>
  <si>
    <t>204:233080</t>
  </si>
  <si>
    <t>204:233132</t>
  </si>
  <si>
    <t>204:232823</t>
  </si>
  <si>
    <t>204:233285</t>
  </si>
  <si>
    <t>204:64169</t>
  </si>
  <si>
    <t>204:233006</t>
  </si>
  <si>
    <t>204:232967</t>
  </si>
  <si>
    <t>204:233281</t>
  </si>
  <si>
    <t>204:232972</t>
  </si>
  <si>
    <t>204:233264</t>
  </si>
  <si>
    <t>204:232955</t>
  </si>
  <si>
    <t>204:551</t>
  </si>
  <si>
    <t>204:477</t>
  </si>
  <si>
    <t>204:232989</t>
  </si>
  <si>
    <t>204:211</t>
  </si>
  <si>
    <t>204:231116</t>
  </si>
  <si>
    <t>204:520</t>
  </si>
  <si>
    <t>204:232979</t>
  </si>
  <si>
    <t>204:233274</t>
  </si>
  <si>
    <t>204:232946</t>
  </si>
  <si>
    <t>204:233286</t>
  </si>
  <si>
    <t>204:233044</t>
  </si>
  <si>
    <t>204:37162</t>
  </si>
  <si>
    <t>204:232986</t>
  </si>
  <si>
    <t>204:233047</t>
  </si>
  <si>
    <t>204:429</t>
  </si>
  <si>
    <t>204:37193</t>
  </si>
  <si>
    <t>204:233224</t>
  </si>
  <si>
    <t>204:233347</t>
  </si>
  <si>
    <t>204:127880</t>
  </si>
  <si>
    <t>204:127866</t>
  </si>
  <si>
    <t>204:584</t>
  </si>
  <si>
    <t>204:174</t>
  </si>
  <si>
    <t>204:233328</t>
  </si>
  <si>
    <t>204:233323</t>
  </si>
  <si>
    <t>204:134</t>
  </si>
  <si>
    <t>204:233266</t>
  </si>
  <si>
    <t>204:233272</t>
  </si>
  <si>
    <t>204:232951</t>
  </si>
  <si>
    <t>300:23304</t>
  </si>
  <si>
    <t>300:23121</t>
  </si>
  <si>
    <t>300:22852</t>
  </si>
  <si>
    <t>300:23310</t>
  </si>
  <si>
    <t>300:23360</t>
  </si>
  <si>
    <t>204:153</t>
  </si>
  <si>
    <t>300:23457</t>
  </si>
  <si>
    <t>204:923</t>
  </si>
  <si>
    <t>300:24195</t>
  </si>
  <si>
    <t>204:641</t>
  </si>
  <si>
    <t>300:24074</t>
  </si>
  <si>
    <t>300:24650</t>
  </si>
  <si>
    <t>300:24307</t>
  </si>
  <si>
    <t>204:2081</t>
  </si>
  <si>
    <t>204:323</t>
  </si>
  <si>
    <t>300:24208</t>
  </si>
  <si>
    <t>300:58655</t>
  </si>
  <si>
    <t>204:459</t>
  </si>
  <si>
    <t>300:58636</t>
  </si>
  <si>
    <t>204:745</t>
  </si>
  <si>
    <t>204:1014</t>
  </si>
  <si>
    <t>300:58952</t>
  </si>
  <si>
    <t>300:58638</t>
  </si>
  <si>
    <t>204:827</t>
  </si>
  <si>
    <t>204:1032</t>
  </si>
  <si>
    <t>204:764</t>
  </si>
  <si>
    <t>204:1123</t>
  </si>
  <si>
    <t>204:710</t>
  </si>
  <si>
    <t>300:58918</t>
  </si>
  <si>
    <t>204:759</t>
  </si>
  <si>
    <t>204:1049</t>
  </si>
  <si>
    <t>300:58617</t>
  </si>
  <si>
    <t>204:1056</t>
  </si>
  <si>
    <t>204:850</t>
  </si>
  <si>
    <t>204:1142</t>
  </si>
  <si>
    <t>204:1060</t>
  </si>
  <si>
    <t>204:734</t>
  </si>
  <si>
    <t>204:1030</t>
  </si>
  <si>
    <t>300:58928</t>
  </si>
  <si>
    <t>204:687</t>
  </si>
  <si>
    <t>204:927</t>
  </si>
  <si>
    <t>300:58914</t>
  </si>
  <si>
    <t>300:58596</t>
  </si>
  <si>
    <t>204:657</t>
  </si>
  <si>
    <t>204:978</t>
  </si>
  <si>
    <t>300:58615</t>
  </si>
  <si>
    <t>204:941</t>
  </si>
  <si>
    <t>300:58916</t>
  </si>
  <si>
    <t>300:58598</t>
  </si>
  <si>
    <t>204:727</t>
  </si>
  <si>
    <t>204:992</t>
  </si>
  <si>
    <t>204:1013</t>
  </si>
  <si>
    <t>204:804</t>
  </si>
  <si>
    <t>300:58608</t>
  </si>
  <si>
    <t>204:733</t>
  </si>
  <si>
    <t>204:685</t>
  </si>
  <si>
    <t>204:722</t>
  </si>
  <si>
    <t>204:969</t>
  </si>
  <si>
    <t>204:988</t>
  </si>
  <si>
    <t>300:24233</t>
  </si>
  <si>
    <t>300:23273</t>
  </si>
  <si>
    <t>204:647</t>
  </si>
  <si>
    <t>300:58600</t>
  </si>
  <si>
    <t>300:28797</t>
  </si>
  <si>
    <t>300:21772</t>
  </si>
  <si>
    <t>Wi-MAX outage</t>
  </si>
  <si>
    <t>DUS 4N not cleared because 22N not cleared</t>
  </si>
  <si>
    <t>Poor GPS at DUS</t>
  </si>
  <si>
    <t>Dispatcher error - CCROC/equipment/crew error</t>
  </si>
  <si>
    <t>160-23</t>
  </si>
  <si>
    <t>Did not init</t>
  </si>
  <si>
    <t>167-23</t>
  </si>
  <si>
    <t>844-23</t>
  </si>
  <si>
    <t>845-23</t>
  </si>
  <si>
    <t>Wi-MAX outage, 4003/4004 CCUs are hampered</t>
  </si>
  <si>
    <t>Overspeed</t>
  </si>
  <si>
    <t>BOS issue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</si>
</sst>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47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4"/>
  <sheetViews>
    <sheetView tabSelected="1" topLeftCell="A56" workbookViewId="0">
      <selection activeCell="I70" sqref="I7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42636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42636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COUNTIFS($N$13:$N$9397,"&gt;0",$AG$13:$AG$9397,I1)</f>
        <v>134</v>
      </c>
      <c r="K5" s="46"/>
      <c r="L5" s="46"/>
      <c r="M5" s="47">
        <f>AVERAGEIFS($N$13:$N$9397,$AG$13:$AG$9397,I1)</f>
        <v>39.704850745889523</v>
      </c>
      <c r="N5" s="45">
        <f t="array" ref="N5">MIN(IF($AG$13:$AG$9397=I1,IF(ISNUMBER($N$13:$N$9397),IF($N$13:$N$9397&gt;0,$N$13:$N$9397))))</f>
        <v>24.950000006938353</v>
      </c>
      <c r="O5" s="3">
        <f t="array" ref="O5">MAX(IF($AG$13:$AG$9397=I1,IF(ISNUMBER($N$13:$N$9397),IF($N$13:$N$9397&gt;0,$N$13:$N$9397))))</f>
        <v>48.466666670283303</v>
      </c>
      <c r="P5" s="2"/>
      <c r="R5" s="87" t="s">
        <v>17</v>
      </c>
      <c r="S5" s="57">
        <f>COUNTIFS($N$13:$N$9397,"&gt;0",$AG$13:$AG$9397,R1)</f>
        <v>45</v>
      </c>
      <c r="T5" s="46"/>
      <c r="U5" s="160"/>
      <c r="V5" s="47">
        <f>AVERAGEIFS($N$13:$N$9397,$AG$13:$AG$9397,R1)</f>
        <v>15.218518518609926</v>
      </c>
      <c r="W5" s="45">
        <f t="array" ref="W5">MIN(IF($AG$13:$AG$9397=R1,IF(ISNUMBER($N$13:$N$9397),IF($N$13:$N$9397&gt;0,$N$13:$N$9397))))</f>
        <v>12.399999996414408</v>
      </c>
      <c r="X5" s="165">
        <f t="array" ref="X5">MAX(IF($AG$13:$AG$9397=R1,IF(ISNUMBER($N$13:$N$9397),IF($N$13:$N$9397&gt;0,$N$13:$N$9397))))</f>
        <v>26.31666665780358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COUNT($O$13:$O$172)</f>
        <v>0</v>
      </c>
      <c r="K6" s="46"/>
      <c r="L6" s="46"/>
      <c r="M6" s="47">
        <f>IFERROR(AVERAGE($O$13:$O$172),0)</f>
        <v>0</v>
      </c>
      <c r="N6" s="45">
        <f>MIN($O$13:$O$172)</f>
        <v>0</v>
      </c>
      <c r="O6" s="3">
        <f>MAX($O$13:$O$172)</f>
        <v>0</v>
      </c>
      <c r="P6" s="2"/>
      <c r="R6" s="88" t="s">
        <v>43</v>
      </c>
      <c r="S6" s="57">
        <f>COUNT($O$13:$O$172)</f>
        <v>0</v>
      </c>
      <c r="T6" s="46"/>
      <c r="U6" s="160"/>
      <c r="V6" s="47">
        <f>IFERROR(AVERAGE($O$13:$O$172),0)</f>
        <v>0</v>
      </c>
      <c r="W6" s="45">
        <f>MIN($O$13:$O$172)</f>
        <v>0</v>
      </c>
      <c r="X6" s="165">
        <f>MAX($O$13:$O$172)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COUNTIFS($P$13:$P$9397,"&gt;0",$AG$13:$AG$9397,I1)</f>
        <v>12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COUNTIFS($P$13:$P$9397,"&gt;0",$AG$13:$AG$9397,R1)</f>
        <v>2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134</v>
      </c>
      <c r="K8" s="46"/>
      <c r="L8" s="46"/>
      <c r="M8" s="47">
        <f>M5</f>
        <v>39.704850745889523</v>
      </c>
      <c r="N8" s="45">
        <f>N5</f>
        <v>24.950000006938353</v>
      </c>
      <c r="O8" s="3">
        <f>O5</f>
        <v>48.466666670283303</v>
      </c>
      <c r="P8" s="2"/>
      <c r="R8" s="87" t="s">
        <v>16</v>
      </c>
      <c r="S8" s="57">
        <f>S5</f>
        <v>45</v>
      </c>
      <c r="T8" s="46"/>
      <c r="U8" s="160"/>
      <c r="V8" s="47">
        <f>V5</f>
        <v>15.218518518609926</v>
      </c>
      <c r="W8" s="45">
        <f>W5</f>
        <v>12.399999996414408</v>
      </c>
      <c r="X8" s="165">
        <f>X5</f>
        <v>26.31666665780358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0.9178082191780822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0.95744680851063835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- 2016-09-23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AVERAGE(S13:S110)</f>
        <v>0.96907216494845361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8" t="s">
        <v>96</v>
      </c>
      <c r="AF12" s="95" t="s">
        <v>101</v>
      </c>
      <c r="AG12" s="4" t="s">
        <v>115</v>
      </c>
      <c r="AH12" s="101" t="s">
        <v>117</v>
      </c>
      <c r="AI12" s="133" t="s">
        <v>161</v>
      </c>
      <c r="AJ12" s="53" t="s">
        <v>162</v>
      </c>
      <c r="AK12" s="53" t="s">
        <v>135</v>
      </c>
      <c r="AL12" s="53" t="s">
        <v>163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389</v>
      </c>
      <c r="B13" s="7">
        <v>4011</v>
      </c>
      <c r="C13" s="24" t="s">
        <v>106</v>
      </c>
      <c r="D13" s="24" t="s">
        <v>615</v>
      </c>
      <c r="E13" s="15">
        <v>42636.131053240744</v>
      </c>
      <c r="F13" s="15">
        <v>42636.135694444441</v>
      </c>
      <c r="G13" s="7">
        <v>3</v>
      </c>
      <c r="H13" s="15" t="s">
        <v>351</v>
      </c>
      <c r="I13" s="15">
        <v>42636.161122685182</v>
      </c>
      <c r="J13" s="7">
        <v>0</v>
      </c>
      <c r="K13" s="121" t="str">
        <f t="shared" ref="K13:K44" si="0">IF(ISEVEN(B13),(B13-1)&amp;"/"&amp;B13,B13&amp;"/"&amp;(B13+1))</f>
        <v>4011/4012</v>
      </c>
      <c r="L13" s="24" t="str">
        <f>VLOOKUP(A13,'Trips&amp;Operators'!$C$1:$E$10000,3,FALSE)</f>
        <v>MAELZER</v>
      </c>
      <c r="M13" s="6">
        <f t="shared" ref="M13:M44" si="1">I13-F13</f>
        <v>2.5428240740438923E-2</v>
      </c>
      <c r="N13" s="7">
        <f t="shared" ref="N13:N49" si="2">24*60*SUM($M13:$M13)</f>
        <v>36.616666666232049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https://search-rtdc-monitor-bjffxe2xuh6vdkpspy63sjmuny.us-east-1.es.amazonaws.com/_plugin/kibana/#/discover/Steve-Slow-Train-Analysis-(2080s-and-2083s)?_g=(refreshInterval:(display:Off,section:0,value:0),time:(from:'2016-09-23 02:08:43-0600',mode:absolute,to:'2016-09-23 04:52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" s="54" t="str">
        <f t="shared" ref="W13:W44" si="6">IF(AA13&lt;IF(AG13="EC",23,5.65),"Y","N")</f>
        <v>N</v>
      </c>
      <c r="X13" s="168" t="e">
        <f t="shared" ref="X13:X56" si="7">VALUE(LEFT(AD13,4))-VALUE(LEFT(AD12,4))</f>
        <v>#VALUE!</v>
      </c>
      <c r="Y13" s="69">
        <f t="shared" ref="Y13:Y44" si="8">RIGHT(D13,LEN(D13)-4)/10000</f>
        <v>7.4300000000000005E-2</v>
      </c>
      <c r="Z13" s="69">
        <f t="shared" ref="Z13:Z44" si="9">RIGHT(H13,LEN(H13)-4)/10000</f>
        <v>23.3306</v>
      </c>
      <c r="AA13" s="69">
        <f t="shared" ref="AA13:AA44" si="10">ABS(Z13-Y13)</f>
        <v>23.2563</v>
      </c>
      <c r="AB13" s="66" t="e">
        <f>VLOOKUP(A13,Enforcements!$C$7:$K$20,8,0)</f>
        <v>#N/A</v>
      </c>
      <c r="AC13" s="62" t="e">
        <f>VLOOKUP(A13,Enforcements!$C$7:$E$20,3,0)</f>
        <v>#N/A</v>
      </c>
      <c r="AD13" s="63" t="str">
        <f t="shared" ref="AD13:AD44" si="11">IF(LEN(A13)=6,"0"&amp;A13,A13)</f>
        <v>0101-23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/stypes="app*4011*20160923*" /stext=" 09:.+((SYSTEM_STATE.+slice.+state.+changed )|(ment ac)|(system.+state.+changed )|(\|lc)|(penalty)|(\[timeout)|(PRM\|1\|D)|(kpr)|(kdp))" /e /r /s</v>
      </c>
      <c r="AG13" s="1" t="str">
        <f t="shared" ref="AG13:AG44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4011 --swversion DE.1.0.7.0 --startMP 204:743 --initTime 2016-09-23T03:08:43 --startdatetime 2016-09-23T03:15:24 --delay 3 --endMP 204:233306 --enddatetime 2016-09-23T03:52:01 --enforcementcount 0 &gt;&gt;C:\Users\stu\Documents\GitHub\eaglep3-reporting\EC\2016-09-23-refined-times.txt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{"issue":{"subject":"","project_id":79,"tracker_id":40,"status_id":1,"priority_id":2,"assigned_to_id":23,"start_date":"2016-09-23","description":"","custom_fields":[{"id":1,"name":"Subdivision","value":"EC"},{"id":4,"name":"Milepost","value":"23.3306"},{"id":17,"name":"Train ID","value":"101-23"},{"id":16,"name":"Locomotive ID","value":"4011"},{"id":130,"name":"Impact","value":""},{"id":150,"name":"Time of Event (Mountain Time)","value":"03:52:01"},{"id":151,"name":"Denver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392</v>
      </c>
      <c r="B14" s="7">
        <v>4043</v>
      </c>
      <c r="C14" s="24" t="s">
        <v>106</v>
      </c>
      <c r="D14" s="24" t="s">
        <v>341</v>
      </c>
      <c r="E14" s="15">
        <v>42636.172465277778</v>
      </c>
      <c r="F14" s="15">
        <v>42636.174629629626</v>
      </c>
      <c r="G14" s="7">
        <v>1</v>
      </c>
      <c r="H14" s="15" t="s">
        <v>616</v>
      </c>
      <c r="I14" s="15">
        <v>42636.201805555553</v>
      </c>
      <c r="J14" s="7">
        <v>0</v>
      </c>
      <c r="K14" s="121" t="str">
        <f t="shared" si="0"/>
        <v>4043/4044</v>
      </c>
      <c r="L14" s="24" t="str">
        <f>VLOOKUP(A14,'Trips&amp;Operators'!$C$1:$E$10000,3,FALSE)</f>
        <v>MAELZER</v>
      </c>
      <c r="M14" s="6">
        <f t="shared" si="1"/>
        <v>2.7175925926712807E-2</v>
      </c>
      <c r="N14" s="7">
        <f t="shared" si="2"/>
        <v>39.133333334466442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03:08:21-0600',mode:absolute,to:'2016-09-23 05:50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23.266999999999999</v>
      </c>
      <c r="Z14" s="69">
        <f t="shared" si="9"/>
        <v>1.6500000000000001E-2</v>
      </c>
      <c r="AA14" s="69">
        <f t="shared" si="10"/>
        <v>23.250499999999999</v>
      </c>
      <c r="AB14" s="66" t="e">
        <f>VLOOKUP(A14,Enforcements!$C$7:$K$20,8,0)</f>
        <v>#N/A</v>
      </c>
      <c r="AC14" s="62" t="e">
        <f>VLOOKUP(A14,Enforcements!$C$7:$E$20,3,0)</f>
        <v>#N/A</v>
      </c>
      <c r="AD14" s="63" t="str">
        <f t="shared" si="11"/>
        <v>0102-23</v>
      </c>
      <c r="AE14" s="99" t="str">
        <f t="shared" si="12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14" s="96" t="str">
        <f t="shared" si="13"/>
        <v>"C:\Program Files (x86)\AstroGrep\AstroGrep.exe" /spath="%USERPROFILE%\AppData\Local\Temp\OnboardLogs" /stypes="app*4043*20160923*"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4043 --swversion DE.1.0.7.0 --startMP 204:232670 --initTime 2016-09-23T04:08:21 --startdatetime 2016-09-23T04:11:28 --delay 1 --endMP 204:165 --enddatetime 2016-09-23T04:50:36 --enforcementcount 0 &gt;&gt;C:\Users\stu\Documents\GitHub\eaglep3-reporting\EC\2016-09-23-refined-times.txt</v>
      </c>
      <c r="AI14" s="13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{"issue":{"subject":"","project_id":79,"tracker_id":40,"status_id":1,"priority_id":2,"assigned_to_id":23,"start_date":"2016-09-23","description":"","custom_fields":[{"id":1,"name":"Subdivision","value":"EC"},{"id":4,"name":"Milepost","value":"0.0165"},{"id":17,"name":"Train ID","value":"102-23"},{"id":16,"name":"Locomotive ID","value":"4043"},{"id":130,"name":"Impact","value":""},{"id":150,"name":"Time of Event (Mountain Time)","value":"04:50:36"},{"id":151,"name":"Denver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390</v>
      </c>
      <c r="B15" s="7">
        <v>4027</v>
      </c>
      <c r="C15" s="24" t="s">
        <v>106</v>
      </c>
      <c r="D15" s="24" t="s">
        <v>617</v>
      </c>
      <c r="E15" s="15">
        <v>42636.149756944447</v>
      </c>
      <c r="F15" s="15">
        <v>42636.156412037039</v>
      </c>
      <c r="G15" s="7">
        <v>1</v>
      </c>
      <c r="H15" s="15" t="s">
        <v>312</v>
      </c>
      <c r="I15" s="15">
        <v>42636.182939814818</v>
      </c>
      <c r="J15" s="7">
        <v>0</v>
      </c>
      <c r="K15" s="121" t="str">
        <f t="shared" si="0"/>
        <v>4027/4028</v>
      </c>
      <c r="L15" s="24" t="str">
        <f>VLOOKUP(A15,'Trips&amp;Operators'!$C$1:$E$10000,3,FALSE)</f>
        <v>DAVIS</v>
      </c>
      <c r="M15" s="6">
        <f t="shared" si="1"/>
        <v>2.6527777779847383E-2</v>
      </c>
      <c r="N15" s="7">
        <f t="shared" si="2"/>
        <v>38.200000002980232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02:35:39-0600',mode:absolute,to:'2016-09-23 05:23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7.9200000000000007E-2</v>
      </c>
      <c r="Z15" s="69">
        <f t="shared" si="9"/>
        <v>23.330400000000001</v>
      </c>
      <c r="AA15" s="69">
        <f t="shared" si="10"/>
        <v>23.251200000000001</v>
      </c>
      <c r="AB15" s="66" t="e">
        <f>VLOOKUP(A15,Enforcements!$C$7:$K$20,8,0)</f>
        <v>#N/A</v>
      </c>
      <c r="AC15" s="62" t="e">
        <f>VLOOKUP(A15,Enforcements!$C$7:$E$20,3,0)</f>
        <v>#N/A</v>
      </c>
      <c r="AD15" s="63" t="str">
        <f t="shared" si="11"/>
        <v>0103-23</v>
      </c>
      <c r="AE15" s="99" t="str">
        <f t="shared" si="12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5" s="96" t="str">
        <f t="shared" si="13"/>
        <v>"C:\Program Files (x86)\AstroGrep\AstroGrep.exe" /spath="%USERPROFILE%\AppData\Local\Temp\OnboardLogs" /stypes="app*4027*20160923*"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103-23 --locoid 4027 --swversion DE.1.0.7.0 --startMP 204:792 --initTime 2016-09-23T03:35:39 --startdatetime 2016-09-23T03:45:14 --delay 1 --endMP 204:233304 --enddatetime 2016-09-23T04:23:26 --enforcementcount 0 &gt;&gt;C:\Users\stu\Documents\GitHub\eaglep3-reporting\EC\2016-09-23-refined-times.txt</v>
      </c>
      <c r="AI1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{"issue":{"subject":"","project_id":79,"tracker_id":40,"status_id":1,"priority_id":2,"assigned_to_id":23,"start_date":"2016-09-23","description":"","custom_fields":[{"id":1,"name":"Subdivision","value":"EC"},{"id":4,"name":"Milepost","value":"23.3304"},{"id":17,"name":"Train ID","value":"103-23"},{"id":16,"name":"Locomotive ID","value":"4027"},{"id":130,"name":"Impact","value":""},{"id":150,"name":"Time of Event (Mountain Time)","value":"04:23:26"},{"id":151,"name":"Denver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397</v>
      </c>
      <c r="B16" s="7">
        <v>4030</v>
      </c>
      <c r="C16" s="24" t="s">
        <v>106</v>
      </c>
      <c r="D16" s="24" t="s">
        <v>618</v>
      </c>
      <c r="E16" s="15">
        <v>42636.194768518515</v>
      </c>
      <c r="F16" s="15">
        <v>42636.196134259262</v>
      </c>
      <c r="G16" s="7">
        <v>1</v>
      </c>
      <c r="H16" s="15" t="s">
        <v>127</v>
      </c>
      <c r="I16" s="15">
        <v>42636.224374999998</v>
      </c>
      <c r="J16" s="7">
        <v>0</v>
      </c>
      <c r="K16" s="121" t="str">
        <f t="shared" si="0"/>
        <v>4029/4030</v>
      </c>
      <c r="L16" s="24" t="str">
        <f>VLOOKUP(A16,'Trips&amp;Operators'!$C$1:$E$10000,3,FALSE)</f>
        <v>DAVIS</v>
      </c>
      <c r="M16" s="6">
        <f t="shared" si="1"/>
        <v>2.824074073578231E-2</v>
      </c>
      <c r="N16" s="7">
        <f t="shared" si="2"/>
        <v>40.666666659526527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03:40:28-0600',mode:absolute,to:'2016-09-23 06:23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23.267499999999998</v>
      </c>
      <c r="Z16" s="69">
        <f t="shared" si="9"/>
        <v>1.54E-2</v>
      </c>
      <c r="AA16" s="69">
        <f t="shared" si="10"/>
        <v>23.252099999999999</v>
      </c>
      <c r="AB16" s="66" t="e">
        <f>VLOOKUP(A16,Enforcements!$C$7:$K$20,8,0)</f>
        <v>#N/A</v>
      </c>
      <c r="AC16" s="62" t="e">
        <f>VLOOKUP(A16,Enforcements!$C$7:$E$20,3,0)</f>
        <v>#N/A</v>
      </c>
      <c r="AD16" s="63" t="str">
        <f t="shared" si="11"/>
        <v>0104-23</v>
      </c>
      <c r="AE16" s="99" t="str">
        <f t="shared" si="12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16" s="96" t="str">
        <f t="shared" si="13"/>
        <v>"C:\Program Files (x86)\AstroGrep\AstroGrep.exe" /spath="%USERPROFILE%\AppData\Local\Temp\OnboardLogs" /stypes="app*4030*20160923*"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104-23 --locoid 4030 --swversion DE.1.0.7.0 --startMP 204:232675 --initTime 2016-09-23T04:40:28 --startdatetime 2016-09-23T04:42:26 --delay 1 --endMP 204:154 --enddatetime 2016-09-23T05:23:06 --enforcementcount 0 &gt;&gt;C:\Users\stu\Documents\GitHub\eaglep3-reporting\EC\2016-09-23-refined-times.txt</v>
      </c>
      <c r="AI1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ID","value":"104-23"},{"id":16,"name":"Locomotive ID","value":"4030"},{"id":130,"name":"Impact","value":""},{"id":150,"name":"Time of Event (Mountain Time)","value":"05:23:06"},{"id":151,"name":"Denver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394</v>
      </c>
      <c r="B17" s="7">
        <v>4040</v>
      </c>
      <c r="C17" s="24" t="s">
        <v>106</v>
      </c>
      <c r="D17" s="24" t="s">
        <v>379</v>
      </c>
      <c r="E17" s="15">
        <v>42636.176400462966</v>
      </c>
      <c r="F17" s="15">
        <v>42636.177395833336</v>
      </c>
      <c r="G17" s="7">
        <v>1</v>
      </c>
      <c r="H17" s="15" t="s">
        <v>272</v>
      </c>
      <c r="I17" s="15">
        <v>42636.20349537037</v>
      </c>
      <c r="J17" s="7">
        <v>0</v>
      </c>
      <c r="K17" s="121" t="str">
        <f t="shared" si="0"/>
        <v>4039/4040</v>
      </c>
      <c r="L17" s="24" t="str">
        <f>VLOOKUP(A17,'Trips&amp;Operators'!$C$1:$E$10000,3,FALSE)</f>
        <v>MALAVE</v>
      </c>
      <c r="M17" s="6">
        <f t="shared" si="1"/>
        <v>2.6099537033587694E-2</v>
      </c>
      <c r="N17" s="7">
        <f t="shared" si="2"/>
        <v>37.58333332836628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03:14:01-0600',mode:absolute,to:'2016-09-23 05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7.4999999999999997E-2</v>
      </c>
      <c r="Z17" s="69">
        <f t="shared" si="9"/>
        <v>23.328700000000001</v>
      </c>
      <c r="AA17" s="69">
        <f t="shared" si="10"/>
        <v>23.253700000000002</v>
      </c>
      <c r="AB17" s="66" t="e">
        <f>VLOOKUP(A17,Enforcements!$C$7:$K$20,8,0)</f>
        <v>#N/A</v>
      </c>
      <c r="AC17" s="62" t="e">
        <f>VLOOKUP(A17,Enforcements!$C$7:$E$20,3,0)</f>
        <v>#N/A</v>
      </c>
      <c r="AD17" s="63" t="str">
        <f t="shared" si="11"/>
        <v>0105-23</v>
      </c>
      <c r="AE17" s="99" t="str">
        <f t="shared" si="12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7" s="96" t="str">
        <f t="shared" si="13"/>
        <v>"C:\Program Files (x86)\AstroGrep\AstroGrep.exe" /spath="%USERPROFILE%\AppData\Local\Temp\OnboardLogs" /stypes="app*4040*20160923*"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105-23 --locoid 4040 --swversion DE.1.0.7.0 --startMP 204:750 --initTime 2016-09-23T04:14:01 --startdatetime 2016-09-23T04:15:27 --delay 1 --endMP 204:233287 --enddatetime 2016-09-23T04:53:02 --enforcementcount 0 &gt;&gt;C:\Users\stu\Documents\GitHub\eaglep3-reporting\EC\2016-09-23-refined-times.txt</v>
      </c>
      <c r="AI1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{"issue":{"subject":"","project_id":79,"tracker_id":40,"status_id":1,"priority_id":2,"assigned_to_id":23,"start_date":"2016-09-23","description":"","custom_fields":[{"id":1,"name":"Subdivision","value":"EC"},{"id":4,"name":"Milepost","value":"23.3287"},{"id":17,"name":"Train ID","value":"105-23"},{"id":16,"name":"Locomotive ID","value":"4040"},{"id":130,"name":"Impact","value":""},{"id":150,"name":"Time of Event (Mountain Time)","value":"04:53:02"},{"id":151,"name":"Denver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402</v>
      </c>
      <c r="B18" s="7">
        <v>4008</v>
      </c>
      <c r="C18" s="24" t="s">
        <v>106</v>
      </c>
      <c r="D18" s="24" t="s">
        <v>342</v>
      </c>
      <c r="E18" s="15">
        <v>42636.212754629632</v>
      </c>
      <c r="F18" s="15">
        <v>42636.216354166667</v>
      </c>
      <c r="G18" s="7">
        <v>1</v>
      </c>
      <c r="H18" s="15" t="s">
        <v>619</v>
      </c>
      <c r="I18" s="15">
        <v>42636.244560185187</v>
      </c>
      <c r="J18" s="7">
        <v>0</v>
      </c>
      <c r="K18" s="121" t="str">
        <f t="shared" si="0"/>
        <v>4007/4008</v>
      </c>
      <c r="L18" s="24" t="str">
        <f>VLOOKUP(A18,'Trips&amp;Operators'!$C$1:$E$10000,3,FALSE)</f>
        <v>MALAVE</v>
      </c>
      <c r="M18" s="6">
        <f t="shared" si="1"/>
        <v>2.8206018519995268E-2</v>
      </c>
      <c r="N18" s="7">
        <f t="shared" si="2"/>
        <v>40.616666668793187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04:06:22-0600',mode:absolute,to:'2016-09-23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23.265799999999999</v>
      </c>
      <c r="Z18" s="69">
        <f t="shared" si="9"/>
        <v>1.83E-2</v>
      </c>
      <c r="AA18" s="69">
        <f t="shared" si="10"/>
        <v>23.247499999999999</v>
      </c>
      <c r="AB18" s="66" t="e">
        <f>VLOOKUP(A18,Enforcements!$C$7:$K$20,8,0)</f>
        <v>#N/A</v>
      </c>
      <c r="AC18" s="62" t="e">
        <f>VLOOKUP(A18,Enforcements!$C$7:$E$20,3,0)</f>
        <v>#N/A</v>
      </c>
      <c r="AD18" s="63" t="str">
        <f t="shared" si="11"/>
        <v>0106-23</v>
      </c>
      <c r="AE18" s="99" t="str">
        <f t="shared" si="12"/>
        <v>aws s3 cp s3://rtdc.mdm.uploadarchive/RTDC4008/2016-09-23/ "%USERPROFILE%\AppData\Local\Temp\OnboardLogs"\RTDC4008\2016-09-23 --recursive &amp; "%USERPROFILE%\Documents\GitHub\mrs-test-scripts\Headless Mode &amp; Sideloading\WalkAndUnGZ.bat" "%USERPROFILE%\AppData\Local\Temp\OnboardLogs"\RTDC4008\2016-09-23 &amp; 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</v>
      </c>
      <c r="AF18" s="96" t="str">
        <f t="shared" si="13"/>
        <v>"C:\Program Files (x86)\AstroGrep\AstroGrep.exe" /spath="%USERPROFILE%\AppData\Local\Temp\OnboardLogs" /stypes="app*4008*20160923*"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106-23 --locoid 4008 --swversion DE.1.0.7.0 --startMP 204:232658 --initTime 2016-09-23T05:06:22 --startdatetime 2016-09-23T05:11:33 --delay 1 --endMP 204:183 --enddatetime 2016-09-23T05:52:10 --enforcementcount 0 &gt;&gt;C:\Users\stu\Documents\GitHub\eaglep3-reporting\EC\2016-09-23-refined-times.txt</v>
      </c>
      <c r="AI1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{"issue":{"subject":"","project_id":79,"tracker_id":40,"status_id":1,"priority_id":2,"assigned_to_id":23,"start_date":"2016-09-23","description":"","custom_fields":[{"id":1,"name":"Subdivision","value":"EC"},{"id":4,"name":"Milepost","value":"0.0183"},{"id":17,"name":"Train ID","value":"106-23"},{"id":16,"name":"Locomotive ID","value":"4008"},{"id":130,"name":"Impact","value":""},{"id":150,"name":"Time of Event (Mountain Time)","value":"05:52:10"},{"id":151,"name":"Denver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395</v>
      </c>
      <c r="B19" s="7">
        <v>4016</v>
      </c>
      <c r="C19" s="24" t="s">
        <v>106</v>
      </c>
      <c r="D19" s="24" t="s">
        <v>231</v>
      </c>
      <c r="E19" s="15">
        <v>42636.176458333335</v>
      </c>
      <c r="F19" s="15">
        <v>42636.187754629631</v>
      </c>
      <c r="G19" s="7">
        <v>1</v>
      </c>
      <c r="H19" s="15" t="s">
        <v>620</v>
      </c>
      <c r="I19" s="15">
        <v>42636.214108796295</v>
      </c>
      <c r="J19" s="7">
        <v>0</v>
      </c>
      <c r="K19" s="121" t="str">
        <f t="shared" si="0"/>
        <v>4015/4016</v>
      </c>
      <c r="L19" s="24" t="str">
        <f>VLOOKUP(A19,'Trips&amp;Operators'!$C$1:$E$10000,3,FALSE)</f>
        <v>BRANNON</v>
      </c>
      <c r="M19" s="6">
        <f t="shared" si="1"/>
        <v>2.6354166664532386E-2</v>
      </c>
      <c r="N19" s="7">
        <f t="shared" si="2"/>
        <v>37.949999996926636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03:14:06-0600',mode:absolute,to:'2016-09-23 06:08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4.5999999999999999E-2</v>
      </c>
      <c r="Z19" s="69">
        <f t="shared" si="9"/>
        <v>23.330100000000002</v>
      </c>
      <c r="AA19" s="69">
        <f t="shared" si="10"/>
        <v>23.284100000000002</v>
      </c>
      <c r="AB19" s="66" t="e">
        <f>VLOOKUP(A19,Enforcements!$C$7:$K$20,8,0)</f>
        <v>#N/A</v>
      </c>
      <c r="AC19" s="62" t="e">
        <f>VLOOKUP(A19,Enforcements!$C$7:$E$20,3,0)</f>
        <v>#N/A</v>
      </c>
      <c r="AD19" s="63" t="str">
        <f t="shared" si="11"/>
        <v>0107-23</v>
      </c>
      <c r="AE19" s="99" t="str">
        <f t="shared" si="12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9" s="96" t="str">
        <f t="shared" si="13"/>
        <v>"C:\Program Files (x86)\AstroGrep\AstroGrep.exe" /spath="%USERPROFILE%\AppData\Local\Temp\OnboardLogs" /stypes="app*4016*20160923*"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107-23 --locoid 4016 --swversion DE.1.0.7.0 --startMP 204:460 --initTime 2016-09-23T04:14:06 --startdatetime 2016-09-23T04:30:22 --delay 1 --endMP 204:233301 --enddatetime 2016-09-23T05:08:19 --enforcementcount 0 &gt;&gt;C:\Users\stu\Documents\GitHub\eaglep3-reporting\EC\2016-09-23-refined-times.txt</v>
      </c>
      <c r="AI1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{"issue":{"subject":"","project_id":79,"tracker_id":40,"status_id":1,"priority_id":2,"assigned_to_id":23,"start_date":"2016-09-23","description":"","custom_fields":[{"id":1,"name":"Subdivision","value":"EC"},{"id":4,"name":"Milepost","value":"23.3301"},{"id":17,"name":"Train ID","value":"107-23"},{"id":16,"name":"Locomotive ID","value":"4016"},{"id":130,"name":"Impact","value":""},{"id":150,"name":"Time of Event (Mountain Time)","value":"05:08:19"},{"id":151,"name":"Denver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405</v>
      </c>
      <c r="B20" s="7">
        <v>4015</v>
      </c>
      <c r="C20" s="24" t="s">
        <v>106</v>
      </c>
      <c r="D20" s="24" t="s">
        <v>291</v>
      </c>
      <c r="E20" s="15">
        <v>42636.220891203702</v>
      </c>
      <c r="F20" s="15">
        <v>42636.2265625</v>
      </c>
      <c r="G20" s="7">
        <v>2</v>
      </c>
      <c r="H20" s="15" t="s">
        <v>616</v>
      </c>
      <c r="I20" s="15">
        <v>42636.254826388889</v>
      </c>
      <c r="J20" s="7">
        <v>0</v>
      </c>
      <c r="K20" s="121" t="str">
        <f t="shared" si="0"/>
        <v>4015/4016</v>
      </c>
      <c r="L20" s="24" t="str">
        <f>VLOOKUP(A20,'Trips&amp;Operators'!$C$1:$E$10000,3,FALSE)</f>
        <v>BRANNON</v>
      </c>
      <c r="M20" s="6">
        <f t="shared" si="1"/>
        <v>2.8263888889341615E-2</v>
      </c>
      <c r="N20" s="7">
        <f t="shared" si="2"/>
        <v>40.700000000651926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04:18:05-0600',mode:absolute,to:'2016-09-23 07:06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23.299800000000001</v>
      </c>
      <c r="Z20" s="69">
        <f t="shared" si="9"/>
        <v>1.6500000000000001E-2</v>
      </c>
      <c r="AA20" s="69">
        <f t="shared" si="10"/>
        <v>23.283300000000001</v>
      </c>
      <c r="AB20" s="66" t="e">
        <f>VLOOKUP(A20,Enforcements!$C$7:$K$20,8,0)</f>
        <v>#N/A</v>
      </c>
      <c r="AC20" s="62" t="e">
        <f>VLOOKUP(A20,Enforcements!$C$7:$E$20,3,0)</f>
        <v>#N/A</v>
      </c>
      <c r="AD20" s="63" t="str">
        <f t="shared" si="11"/>
        <v>0108-23</v>
      </c>
      <c r="AE20" s="99" t="str">
        <f t="shared" si="12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20" s="96" t="str">
        <f t="shared" si="13"/>
        <v>"C:\Program Files (x86)\AstroGrep\AstroGrep.exe" /spath="%USERPROFILE%\AppData\Local\Temp\OnboardLogs" /stypes="app*4015*20160923*"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108-23 --locoid 4015 --swversion DE.1.0.7.0 --startMP 204:232998 --initTime 2016-09-23T05:18:05 --startdatetime 2016-09-23T05:26:15 --delay 2 --endMP 204:165 --enddatetime 2016-09-23T06:06:57 --enforcementcount 0 &gt;&gt;C:\Users\stu\Documents\GitHub\eaglep3-reporting\EC\2016-09-23-refined-times.txt</v>
      </c>
      <c r="AI20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{"issue":{"subject":"","project_id":79,"tracker_id":40,"status_id":1,"priority_id":2,"assigned_to_id":23,"start_date":"2016-09-23","description":"","custom_fields":[{"id":1,"name":"Subdivision","value":"EC"},{"id":4,"name":"Milepost","value":"0.0165"},{"id":17,"name":"Train ID","value":"108-23"},{"id":16,"name":"Locomotive ID","value":"4015"},{"id":130,"name":"Impact","value":""},{"id":150,"name":"Time of Event (Mountain Time)","value":"06:06:57"},{"id":151,"name":"Denver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398</v>
      </c>
      <c r="B21" s="7">
        <v>4003</v>
      </c>
      <c r="C21" s="24" t="s">
        <v>106</v>
      </c>
      <c r="D21" s="24" t="s">
        <v>621</v>
      </c>
      <c r="E21" s="15">
        <v>42636.193055555559</v>
      </c>
      <c r="F21" s="15">
        <v>42636.198113425926</v>
      </c>
      <c r="G21" s="7">
        <v>1</v>
      </c>
      <c r="H21" s="15" t="s">
        <v>221</v>
      </c>
      <c r="I21" s="15">
        <v>42636.224664351852</v>
      </c>
      <c r="J21" s="7">
        <v>0</v>
      </c>
      <c r="K21" s="121" t="str">
        <f t="shared" si="0"/>
        <v>4003/4004</v>
      </c>
      <c r="L21" s="24" t="str">
        <f>VLOOKUP(A21,'Trips&amp;Operators'!$C$1:$E$10000,3,FALSE)</f>
        <v>GEBRETEKLE</v>
      </c>
      <c r="M21" s="6">
        <f t="shared" si="1"/>
        <v>2.6550925926130731E-2</v>
      </c>
      <c r="N21" s="7">
        <f t="shared" si="2"/>
        <v>38.233333333628252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03:38:00-0600',mode:absolute,to:'2016-09-23 06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4.3499999999999997E-2</v>
      </c>
      <c r="Z21" s="69">
        <f t="shared" si="9"/>
        <v>23.3291</v>
      </c>
      <c r="AA21" s="69">
        <f t="shared" si="10"/>
        <v>23.285599999999999</v>
      </c>
      <c r="AB21" s="66" t="e">
        <f>VLOOKUP(A21,Enforcements!$C$7:$K$20,8,0)</f>
        <v>#N/A</v>
      </c>
      <c r="AC21" s="62" t="e">
        <f>VLOOKUP(A21,Enforcements!$C$7:$E$20,3,0)</f>
        <v>#N/A</v>
      </c>
      <c r="AD21" s="63" t="str">
        <f t="shared" si="11"/>
        <v>0109-23</v>
      </c>
      <c r="AE21" s="99" t="str">
        <f t="shared" si="12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21" s="96" t="str">
        <f t="shared" si="13"/>
        <v>"C:\Program Files (x86)\AstroGrep\AstroGrep.exe" /spath="%USERPROFILE%\AppData\Local\Temp\OnboardLogs" /stypes="app*4003*20160923*"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109-23 --locoid 4003 --swversion DE.1.0.7.0 --startMP 204:435 --initTime 2016-09-23T04:38:00 --startdatetime 2016-09-23T04:45:17 --delay 1 --endMP 204:233291 --enddatetime 2016-09-23T05:23:31 --enforcementcount 0 &gt;&gt;C:\Users\stu\Documents\GitHub\eaglep3-reporting\EC\2016-09-23-refined-times.txt</v>
      </c>
      <c r="AI2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{"issue":{"subject":"","project_id":79,"tracker_id":40,"status_id":1,"priority_id":2,"assigned_to_id":23,"start_date":"2016-09-23","description":"","custom_fields":[{"id":1,"name":"Subdivision","value":"EC"},{"id":4,"name":"Milepost","value":"23.3291"},{"id":17,"name":"Train ID","value":"109-23"},{"id":16,"name":"Locomotive ID","value":"4003"},{"id":130,"name":"Impact","value":""},{"id":150,"name":"Time of Event (Mountain Time)","value":"05:23:31"},{"id":151,"name":"Denver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408</v>
      </c>
      <c r="B22" s="7">
        <v>4004</v>
      </c>
      <c r="C22" s="24" t="s">
        <v>106</v>
      </c>
      <c r="D22" s="24" t="s">
        <v>291</v>
      </c>
      <c r="E22" s="15">
        <v>42636.233680555553</v>
      </c>
      <c r="F22" s="15">
        <v>42636.236979166664</v>
      </c>
      <c r="G22" s="7">
        <v>1</v>
      </c>
      <c r="H22" s="15" t="s">
        <v>258</v>
      </c>
      <c r="I22" s="15">
        <v>42636.265335648146</v>
      </c>
      <c r="J22" s="7">
        <v>0</v>
      </c>
      <c r="K22" s="121" t="str">
        <f t="shared" si="0"/>
        <v>4003/4004</v>
      </c>
      <c r="L22" s="24" t="str">
        <f>VLOOKUP(A22,'Trips&amp;Operators'!$C$1:$E$10000,3,FALSE)</f>
        <v>GEBRETEKLE</v>
      </c>
      <c r="M22" s="6">
        <f t="shared" si="1"/>
        <v>2.8356481481750961E-2</v>
      </c>
      <c r="N22" s="7">
        <f t="shared" si="2"/>
        <v>40.833333333721384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04:36:30-0600',mode:absolute,to:'2016-09-23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22" s="54" t="str">
        <f t="shared" si="6"/>
        <v>N</v>
      </c>
      <c r="X22" s="168">
        <f t="shared" si="7"/>
        <v>1</v>
      </c>
      <c r="Y22" s="69">
        <f t="shared" si="8"/>
        <v>23.299800000000001</v>
      </c>
      <c r="Z22" s="69">
        <f t="shared" si="9"/>
        <v>1.4500000000000001E-2</v>
      </c>
      <c r="AA22" s="69">
        <f t="shared" si="10"/>
        <v>23.285299999999999</v>
      </c>
      <c r="AB22" s="66" t="str">
        <f>VLOOKUP(A22,Enforcements!$C$7:$K$20,8,0)</f>
        <v>Bulletin (2)</v>
      </c>
      <c r="AC22" s="62" t="str">
        <f>VLOOKUP(A22,Enforcements!$C$7:$E$20,3,0)</f>
        <v>GRADE CROSSING</v>
      </c>
      <c r="AD22" s="63" t="str">
        <f t="shared" si="11"/>
        <v>0110-23</v>
      </c>
      <c r="AE22" s="99" t="str">
        <f t="shared" si="12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22" s="96" t="str">
        <f t="shared" si="13"/>
        <v>"C:\Program Files (x86)\AstroGrep\AstroGrep.exe" /spath="%USERPROFILE%\AppData\Local\Temp\OnboardLogs" /stypes="app*4004*20160923*"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110-23 --locoid 4004 --swversion DE.1.0.7.0 --startMP 204:232998 --initTime 2016-09-23T05:36:30 --startdatetime 2016-09-23T05:41:15 --delay 1 --endMP 204:145 --enddatetime 2016-09-23T06:22:05 --enforcementcount 0 &gt;&gt;C:\Users\stu\Documents\GitHub\eaglep3-reporting\EC\2016-09-23-refined-times.txt</v>
      </c>
      <c r="AI22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ID","value":"110-23"},{"id":16,"name":"Locomotive ID","value":"4004"},{"id":130,"name":"Impact","value":""},{"id":150,"name":"Time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399</v>
      </c>
      <c r="B23" s="7">
        <v>4011</v>
      </c>
      <c r="C23" s="24" t="s">
        <v>106</v>
      </c>
      <c r="D23" s="24" t="s">
        <v>622</v>
      </c>
      <c r="E23" s="15">
        <v>42636.205254629633</v>
      </c>
      <c r="F23" s="15">
        <v>42636.208518518521</v>
      </c>
      <c r="G23" s="7">
        <v>1</v>
      </c>
      <c r="H23" s="15" t="s">
        <v>623</v>
      </c>
      <c r="I23" s="15">
        <v>42636.233819444446</v>
      </c>
      <c r="J23" s="7">
        <v>0</v>
      </c>
      <c r="K23" s="121" t="str">
        <f t="shared" si="0"/>
        <v>4011/4012</v>
      </c>
      <c r="L23" s="24" t="str">
        <f>VLOOKUP(A23,'Trips&amp;Operators'!$C$1:$E$10000,3,FALSE)</f>
        <v>SPECTOR</v>
      </c>
      <c r="M23" s="6">
        <f t="shared" si="1"/>
        <v>2.5300925924966577E-2</v>
      </c>
      <c r="N23" s="7">
        <f t="shared" si="2"/>
        <v>36.433333331951872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03:55:34-0600',mode:absolute,to:'2016-09-23 06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3" s="54" t="str">
        <f t="shared" si="6"/>
        <v>N</v>
      </c>
      <c r="X23" s="168">
        <f t="shared" si="7"/>
        <v>1</v>
      </c>
      <c r="Y23" s="69">
        <f t="shared" si="8"/>
        <v>7.4800000000000005E-2</v>
      </c>
      <c r="Z23" s="69">
        <f t="shared" si="9"/>
        <v>23.331099999999999</v>
      </c>
      <c r="AA23" s="69">
        <f t="shared" si="10"/>
        <v>23.2563</v>
      </c>
      <c r="AB23" s="66" t="e">
        <f>VLOOKUP(A23,Enforcements!$C$7:$K$20,8,0)</f>
        <v>#N/A</v>
      </c>
      <c r="AC23" s="62" t="e">
        <f>VLOOKUP(A23,Enforcements!$C$7:$E$20,3,0)</f>
        <v>#N/A</v>
      </c>
      <c r="AD23" s="63" t="str">
        <f t="shared" si="11"/>
        <v>0111-23</v>
      </c>
      <c r="AE23" s="99" t="str">
        <f t="shared" si="12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23" s="96" t="str">
        <f t="shared" si="13"/>
        <v>"C:\Program Files (x86)\AstroGrep\AstroGrep.exe" /spath="%USERPROFILE%\AppData\Local\Temp\OnboardLogs" /stypes="app*4011*20160923*"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111-23 --locoid 4011 --swversion DE.1.0.7.0 --startMP 204:748 --initTime 2016-09-23T04:55:34 --startdatetime 2016-09-23T05:00:16 --delay 1 --endMP 204:233311 --enddatetime 2016-09-23T05:36:42 --enforcementcount 0 &gt;&gt;C:\Users\stu\Documents\GitHub\eaglep3-reporting\EC\2016-09-23-refined-times.txt</v>
      </c>
      <c r="AI2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{"issue":{"subject":"","project_id":79,"tracker_id":40,"status_id":1,"priority_id":2,"assigned_to_id":23,"start_date":"2016-09-23","description":"","custom_fields":[{"id":1,"name":"Subdivision","value":"EC"},{"id":4,"name":"Milepost","value":"23.3311"},{"id":17,"name":"Train ID","value":"111-23"},{"id":16,"name":"Locomotive ID","value":"4011"},{"id":130,"name":"Impact","value":""},{"id":150,"name":"Time of Event (Mountain Time)","value":"05:36:42"},{"id":151,"name":"Denver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411</v>
      </c>
      <c r="B24" s="7">
        <v>4012</v>
      </c>
      <c r="C24" s="24" t="s">
        <v>106</v>
      </c>
      <c r="D24" s="24" t="s">
        <v>291</v>
      </c>
      <c r="E24" s="15">
        <v>42636.240555555552</v>
      </c>
      <c r="F24" s="15">
        <v>42636.247418981482</v>
      </c>
      <c r="G24" s="7">
        <v>1</v>
      </c>
      <c r="H24" s="15" t="s">
        <v>215</v>
      </c>
      <c r="I24" s="15">
        <v>42636.27542824074</v>
      </c>
      <c r="J24" s="7">
        <v>0</v>
      </c>
      <c r="K24" s="121" t="str">
        <f t="shared" si="0"/>
        <v>4011/4012</v>
      </c>
      <c r="L24" s="24" t="str">
        <f>VLOOKUP(A24,'Trips&amp;Operators'!$C$1:$E$10000,3,FALSE)</f>
        <v>SPECTOR</v>
      </c>
      <c r="M24" s="6">
        <f t="shared" si="1"/>
        <v>2.8009259258396924E-2</v>
      </c>
      <c r="N24" s="7">
        <f t="shared" si="2"/>
        <v>40.33333333209157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04:46:24-0600',mode:absolute,to:'2016-09-23 07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4" s="54" t="str">
        <f t="shared" si="6"/>
        <v>N</v>
      </c>
      <c r="X24" s="168">
        <f t="shared" si="7"/>
        <v>1</v>
      </c>
      <c r="Y24" s="69">
        <f t="shared" si="8"/>
        <v>23.299800000000001</v>
      </c>
      <c r="Z24" s="69">
        <f t="shared" si="9"/>
        <v>1.6299999999999999E-2</v>
      </c>
      <c r="AA24" s="69">
        <f t="shared" si="10"/>
        <v>23.2835</v>
      </c>
      <c r="AB24" s="66" t="e">
        <f>VLOOKUP(A24,Enforcements!$C$7:$K$20,8,0)</f>
        <v>#N/A</v>
      </c>
      <c r="AC24" s="62" t="e">
        <f>VLOOKUP(A24,Enforcements!$C$7:$E$20,3,0)</f>
        <v>#N/A</v>
      </c>
      <c r="AD24" s="63" t="str">
        <f t="shared" si="11"/>
        <v>0112-23</v>
      </c>
      <c r="AE24" s="99" t="str">
        <f t="shared" si="12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24" s="96" t="str">
        <f t="shared" si="13"/>
        <v>"C:\Program Files (x86)\AstroGrep\AstroGrep.exe" /spath="%USERPROFILE%\AppData\Local\Temp\OnboardLogs" /stypes="app*4012*20160923*"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112-23 --locoid 4012 --swversion DE.1.0.7.0 --startMP 204:232998 --initTime 2016-09-23T05:46:24 --startdatetime 2016-09-23T05:56:17 --delay 1 --endMP 204:163 --enddatetime 2016-09-23T06:36:37 --enforcementcount 0 &gt;&gt;C:\Users\stu\Documents\GitHub\eaglep3-reporting\EC\2016-09-23-refined-times.txt</v>
      </c>
      <c r="AI2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{"issue":{"subject":"","project_id":79,"tracker_id":40,"status_id":1,"priority_id":2,"assigned_to_id":23,"start_date":"2016-09-23","description":"","custom_fields":[{"id":1,"name":"Subdivision","value":"EC"},{"id":4,"name":"Milepost","value":"0.0163"},{"id":17,"name":"Train ID","value":"112-23"},{"id":16,"name":"Locomotive ID","value":"4012"},{"id":130,"name":"Impact","value":""},{"id":150,"name":"Time of Event (Mountain Time)","value":"06:36:37"},{"id":151,"name":"Denver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403</v>
      </c>
      <c r="B25" s="7">
        <v>4044</v>
      </c>
      <c r="C25" s="24" t="s">
        <v>106</v>
      </c>
      <c r="D25" s="24" t="s">
        <v>624</v>
      </c>
      <c r="E25" s="15">
        <v>42636.215949074074</v>
      </c>
      <c r="F25" s="15">
        <v>42636.219050925924</v>
      </c>
      <c r="G25" s="7">
        <v>1</v>
      </c>
      <c r="H25" s="15" t="s">
        <v>255</v>
      </c>
      <c r="I25" s="15">
        <v>42636.244675925926</v>
      </c>
      <c r="J25" s="7">
        <v>0</v>
      </c>
      <c r="K25" s="121" t="str">
        <f t="shared" si="0"/>
        <v>4043/4044</v>
      </c>
      <c r="L25" s="24" t="str">
        <f>VLOOKUP(A25,'Trips&amp;Operators'!$C$1:$E$10000,3,FALSE)</f>
        <v>MAELZER</v>
      </c>
      <c r="M25" s="6">
        <f t="shared" si="1"/>
        <v>2.5625000002037268E-2</v>
      </c>
      <c r="N25" s="7">
        <f t="shared" si="2"/>
        <v>36.900000002933666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04:10:58-0600',mode:absolute,to:'2016-09-23 06:52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5" s="54" t="str">
        <f t="shared" si="6"/>
        <v>N</v>
      </c>
      <c r="X25" s="168">
        <f t="shared" si="7"/>
        <v>1</v>
      </c>
      <c r="Y25" s="69">
        <f t="shared" si="8"/>
        <v>4.2700000000000002E-2</v>
      </c>
      <c r="Z25" s="69">
        <f t="shared" si="9"/>
        <v>23.331399999999999</v>
      </c>
      <c r="AA25" s="69">
        <f t="shared" si="10"/>
        <v>23.288699999999999</v>
      </c>
      <c r="AB25" s="66" t="e">
        <f>VLOOKUP(A25,Enforcements!$C$7:$K$20,8,0)</f>
        <v>#N/A</v>
      </c>
      <c r="AC25" s="62" t="e">
        <f>VLOOKUP(A25,Enforcements!$C$7:$E$20,3,0)</f>
        <v>#N/A</v>
      </c>
      <c r="AD25" s="63" t="str">
        <f t="shared" si="11"/>
        <v>0113-23</v>
      </c>
      <c r="AE25" s="99" t="str">
        <f t="shared" si="12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25" s="96" t="str">
        <f t="shared" si="13"/>
        <v>"C:\Program Files (x86)\AstroGrep\AstroGrep.exe" /spath="%USERPROFILE%\AppData\Local\Temp\OnboardLogs" /stypes="app*4044*20160923*"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113-23 --locoid 4044 --swversion DE.1.0.7.0 --startMP 204:427 --initTime 2016-09-23T05:10:58 --startdatetime 2016-09-23T05:15:26 --delay 1 --endMP 204:233314 --enddatetime 2016-09-23T05:52:20 --enforcementcount 0 &gt;&gt;C:\Users\stu\Documents\GitHub\eaglep3-reporting\EC\2016-09-23-refined-times.txt</v>
      </c>
      <c r="AI2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{"issue":{"subject":"","project_id":79,"tracker_id":40,"status_id":1,"priority_id":2,"assigned_to_id":23,"start_date":"2016-09-23","description":"","custom_fields":[{"id":1,"name":"Subdivision","value":"EC"},{"id":4,"name":"Milepost","value":"23.3314"},{"id":17,"name":"Train ID","value":"113-23"},{"id":16,"name":"Locomotive ID","value":"4044"},{"id":130,"name":"Impact","value":""},{"id":150,"name":"Time of Event (Mountain Time)","value":"05:52:20"},{"id":151,"name":"Denver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413</v>
      </c>
      <c r="B26" s="7">
        <v>4043</v>
      </c>
      <c r="C26" s="24" t="s">
        <v>106</v>
      </c>
      <c r="D26" s="24" t="s">
        <v>318</v>
      </c>
      <c r="E26" s="15">
        <v>42636.250196759262</v>
      </c>
      <c r="F26" s="15">
        <v>42636.257916666669</v>
      </c>
      <c r="G26" s="7">
        <v>1</v>
      </c>
      <c r="H26" s="15" t="s">
        <v>343</v>
      </c>
      <c r="I26" s="15">
        <v>42636.28570601852</v>
      </c>
      <c r="J26" s="7">
        <v>0</v>
      </c>
      <c r="K26" s="121" t="str">
        <f t="shared" si="0"/>
        <v>4043/4044</v>
      </c>
      <c r="L26" s="24" t="str">
        <f>VLOOKUP(A26,'Trips&amp;Operators'!$C$1:$E$10000,3,FALSE)</f>
        <v>MAELZER</v>
      </c>
      <c r="M26" s="6">
        <f t="shared" si="1"/>
        <v>2.7789351850515231E-2</v>
      </c>
      <c r="N26" s="7">
        <f t="shared" si="2"/>
        <v>40.016666664741933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05:00:17-0600',mode:absolute,to:'2016-09-23 07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26" s="54" t="str">
        <f t="shared" si="6"/>
        <v>N</v>
      </c>
      <c r="X26" s="168">
        <f t="shared" si="7"/>
        <v>1</v>
      </c>
      <c r="Y26" s="69">
        <f t="shared" si="8"/>
        <v>23.3002</v>
      </c>
      <c r="Z26" s="69">
        <f t="shared" si="9"/>
        <v>1.43E-2</v>
      </c>
      <c r="AA26" s="69">
        <f t="shared" si="10"/>
        <v>23.285900000000002</v>
      </c>
      <c r="AB26" s="66" t="e">
        <f>VLOOKUP(A26,Enforcements!$C$7:$K$20,8,0)</f>
        <v>#N/A</v>
      </c>
      <c r="AC26" s="62" t="e">
        <f>VLOOKUP(A26,Enforcements!$C$7:$E$20,3,0)</f>
        <v>#N/A</v>
      </c>
      <c r="AD26" s="63" t="str">
        <f t="shared" si="11"/>
        <v>0114-23</v>
      </c>
      <c r="AE26" s="99" t="str">
        <f t="shared" si="12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26" s="96" t="str">
        <f t="shared" si="13"/>
        <v>"C:\Program Files (x86)\AstroGrep\AstroGrep.exe" /spath="%USERPROFILE%\AppData\Local\Temp\OnboardLogs" /stypes="app*4043*20160923*"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114-23 --locoid 4043 --swversion DE.1.0.7.0 --startMP 204:233002 --initTime 2016-09-23T06:00:17 --startdatetime 2016-09-23T06:11:24 --delay 1 --endMP 204:143 --enddatetime 2016-09-23T06:51:25 --enforcementcount 0 &gt;&gt;C:\Users\stu\Documents\GitHub\eaglep3-reporting\EC\2016-09-23-refined-times.txt</v>
      </c>
      <c r="AI2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{"issue":{"subject":"","project_id":79,"tracker_id":40,"status_id":1,"priority_id":2,"assigned_to_id":23,"start_date":"2016-09-23","description":"","custom_fields":[{"id":1,"name":"Subdivision","value":"EC"},{"id":4,"name":"Milepost","value":"0.0143"},{"id":17,"name":"Train ID","value":"114-23"},{"id":16,"name":"Locomotive ID","value":"4043"},{"id":130,"name":"Impact","value":""},{"id":150,"name":"Time of Event (Mountain Time)","value":"06:51:25"},{"id":151,"name":"Denver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406</v>
      </c>
      <c r="B27" s="7">
        <v>4027</v>
      </c>
      <c r="C27" s="24" t="s">
        <v>106</v>
      </c>
      <c r="D27" s="24" t="s">
        <v>625</v>
      </c>
      <c r="E27" s="15">
        <v>42636.227210648147</v>
      </c>
      <c r="F27" s="15">
        <v>42636.229594907411</v>
      </c>
      <c r="G27" s="7">
        <v>1</v>
      </c>
      <c r="H27" s="15" t="s">
        <v>254</v>
      </c>
      <c r="I27" s="15">
        <v>42636.255972222221</v>
      </c>
      <c r="J27" s="7">
        <v>0</v>
      </c>
      <c r="K27" s="121" t="str">
        <f t="shared" si="0"/>
        <v>4027/4028</v>
      </c>
      <c r="L27" s="24" t="str">
        <f>VLOOKUP(A27,'Trips&amp;Operators'!$C$1:$E$10000,3,FALSE)</f>
        <v>ROCHA</v>
      </c>
      <c r="M27" s="6">
        <f t="shared" si="1"/>
        <v>2.6377314810815733E-2</v>
      </c>
      <c r="N27" s="7">
        <f t="shared" si="2"/>
        <v>37.983333327574655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04:27:11-0600',mode:absolute,to:'2016-09-23 07:08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7" s="54" t="str">
        <f t="shared" si="6"/>
        <v>N</v>
      </c>
      <c r="X27" s="168">
        <f t="shared" si="7"/>
        <v>1</v>
      </c>
      <c r="Y27" s="69">
        <f t="shared" si="8"/>
        <v>7.2300000000000003E-2</v>
      </c>
      <c r="Z27" s="69">
        <f t="shared" si="9"/>
        <v>23.3293</v>
      </c>
      <c r="AA27" s="69">
        <f t="shared" si="10"/>
        <v>23.257000000000001</v>
      </c>
      <c r="AB27" s="66" t="e">
        <f>VLOOKUP(A27,Enforcements!$C$7:$K$20,8,0)</f>
        <v>#N/A</v>
      </c>
      <c r="AC27" s="62" t="e">
        <f>VLOOKUP(A27,Enforcements!$C$7:$E$20,3,0)</f>
        <v>#N/A</v>
      </c>
      <c r="AD27" s="63" t="str">
        <f t="shared" si="11"/>
        <v>0115-23</v>
      </c>
      <c r="AE27" s="99" t="str">
        <f t="shared" si="12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27" s="96" t="str">
        <f t="shared" si="13"/>
        <v>"C:\Program Files (x86)\AstroGrep\AstroGrep.exe" /spath="%USERPROFILE%\AppData\Local\Temp\OnboardLogs" /stypes="app*4027*20160923*"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115-23 --locoid 4027 --swversion DE.1.0.7.0 --startMP 204:723 --initTime 2016-09-23T05:27:11 --startdatetime 2016-09-23T05:30:37 --delay 1 --endMP 204:233293 --enddatetime 2016-09-23T06:08:36 --enforcementcount 0 &gt;&gt;C:\Users\stu\Documents\GitHub\eaglep3-reporting\EC\2016-09-23-refined-times.txt</v>
      </c>
      <c r="AI2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{"issue":{"subject":"","project_id":79,"tracker_id":40,"status_id":1,"priority_id":2,"assigned_to_id":23,"start_date":"2016-09-23","description":"","custom_fields":[{"id":1,"name":"Subdivision","value":"EC"},{"id":4,"name":"Milepost","value":"23.3293"},{"id":17,"name":"Train ID","value":"115-23"},{"id":16,"name":"Locomotive ID","value":"4027"},{"id":130,"name":"Impact","value":""},{"id":150,"name":"Time of Event (Mountain Time)","value":"06:08:36"},{"id":151,"name":"Denver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417</v>
      </c>
      <c r="B28" s="7">
        <v>4028</v>
      </c>
      <c r="C28" s="24" t="s">
        <v>106</v>
      </c>
      <c r="D28" s="24" t="s">
        <v>233</v>
      </c>
      <c r="E28" s="15">
        <v>42636.263101851851</v>
      </c>
      <c r="F28" s="15">
        <v>42636.268483796295</v>
      </c>
      <c r="G28" s="7">
        <v>6</v>
      </c>
      <c r="H28" s="15" t="s">
        <v>218</v>
      </c>
      <c r="I28" s="15">
        <v>42636.296111111114</v>
      </c>
      <c r="J28" s="7">
        <v>0</v>
      </c>
      <c r="K28" s="121" t="str">
        <f t="shared" si="0"/>
        <v>4027/4028</v>
      </c>
      <c r="L28" s="24" t="str">
        <f>VLOOKUP(A28,'Trips&amp;Operators'!$C$1:$E$10000,3,FALSE)</f>
        <v>ROCHA</v>
      </c>
      <c r="M28" s="6">
        <f t="shared" si="1"/>
        <v>2.7627314819255844E-2</v>
      </c>
      <c r="N28" s="7">
        <f t="shared" si="2"/>
        <v>39.783333339728415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05:18:52-0600',mode:absolute,to:'2016-09-23 08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8" s="54" t="str">
        <f t="shared" si="6"/>
        <v>N</v>
      </c>
      <c r="X28" s="168">
        <f t="shared" si="7"/>
        <v>1</v>
      </c>
      <c r="Y28" s="69">
        <f t="shared" si="8"/>
        <v>23.297799999999999</v>
      </c>
      <c r="Z28" s="69">
        <f t="shared" si="9"/>
        <v>1.47E-2</v>
      </c>
      <c r="AA28" s="69">
        <f t="shared" si="10"/>
        <v>23.283099999999997</v>
      </c>
      <c r="AB28" s="66" t="e">
        <f>VLOOKUP(A28,Enforcements!$C$7:$K$20,8,0)</f>
        <v>#N/A</v>
      </c>
      <c r="AC28" s="62" t="e">
        <f>VLOOKUP(A28,Enforcements!$C$7:$E$20,3,0)</f>
        <v>#N/A</v>
      </c>
      <c r="AD28" s="63" t="str">
        <f t="shared" si="11"/>
        <v>0116-23</v>
      </c>
      <c r="AE28" s="99" t="str">
        <f t="shared" si="12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28" s="96" t="str">
        <f t="shared" si="13"/>
        <v>"C:\Program Files (x86)\AstroGrep\AstroGrep.exe" /spath="%USERPROFILE%\AppData\Local\Temp\OnboardLogs" /stypes="app*4028*20160923*"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116-23 --locoid 4028 --swversion DE.1.0.7.0 --startMP 204:232978 --initTime 2016-09-23T06:18:52 --startdatetime 2016-09-23T06:26:37 --delay 6 --endMP 204:147 --enddatetime 2016-09-23T07:06:24 --enforcementcount 0 &gt;&gt;C:\Users\stu\Documents\GitHub\eaglep3-reporting\EC\2016-09-23-refined-times.txt</v>
      </c>
      <c r="AI2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{"issue":{"subject":"","project_id":79,"tracker_id":40,"status_id":1,"priority_id":2,"assigned_to_id":23,"start_date":"2016-09-23","description":"","custom_fields":[{"id":1,"name":"Subdivision","value":"EC"},{"id":4,"name":"Milepost","value":"0.0147"},{"id":17,"name":"Train ID","value":"116-23"},{"id":16,"name":"Locomotive ID","value":"4028"},{"id":130,"name":"Impact","value":""},{"id":150,"name":"Time of Event (Mountain Time)","value":"07:06:24"},{"id":151,"name":"Denver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407</v>
      </c>
      <c r="B29" s="7">
        <v>4029</v>
      </c>
      <c r="C29" s="24" t="s">
        <v>106</v>
      </c>
      <c r="D29" s="24" t="s">
        <v>238</v>
      </c>
      <c r="E29" s="15">
        <v>42636.231481481482</v>
      </c>
      <c r="F29" s="15">
        <v>42636.239756944444</v>
      </c>
      <c r="G29" s="7">
        <v>0</v>
      </c>
      <c r="H29" s="15" t="s">
        <v>264</v>
      </c>
      <c r="I29" s="15">
        <v>42636.267743055556</v>
      </c>
      <c r="J29" s="7">
        <v>0</v>
      </c>
      <c r="K29" s="121" t="str">
        <f t="shared" si="0"/>
        <v>4029/4030</v>
      </c>
      <c r="L29" s="24" t="str">
        <f>VLOOKUP(A29,'Trips&amp;Operators'!$C$1:$E$10000,3,FALSE)</f>
        <v>DAVIS</v>
      </c>
      <c r="M29" s="6">
        <f t="shared" si="1"/>
        <v>2.7986111112113576E-2</v>
      </c>
      <c r="N29" s="7">
        <f t="shared" si="2"/>
        <v>40.30000000144355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04:33:20-0600',mode:absolute,to:'2016-09-23 07:25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9" s="54" t="str">
        <f t="shared" si="6"/>
        <v>N</v>
      </c>
      <c r="X29" s="168">
        <f t="shared" si="7"/>
        <v>1</v>
      </c>
      <c r="Y29" s="69">
        <f t="shared" si="8"/>
        <v>4.6199999999999998E-2</v>
      </c>
      <c r="Z29" s="69">
        <f t="shared" si="9"/>
        <v>23.333400000000001</v>
      </c>
      <c r="AA29" s="69">
        <f t="shared" si="10"/>
        <v>23.287200000000002</v>
      </c>
      <c r="AB29" s="66" t="e">
        <f>VLOOKUP(A29,Enforcements!$C$7:$K$20,8,0)</f>
        <v>#N/A</v>
      </c>
      <c r="AC29" s="62" t="e">
        <f>VLOOKUP(A29,Enforcements!$C$7:$E$20,3,0)</f>
        <v>#N/A</v>
      </c>
      <c r="AD29" s="63" t="str">
        <f t="shared" si="11"/>
        <v>0117-23</v>
      </c>
      <c r="AE29" s="99" t="str">
        <f t="shared" si="12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29" s="96" t="str">
        <f t="shared" si="13"/>
        <v>"C:\Program Files (x86)\AstroGrep\AstroGrep.exe" /spath="%USERPROFILE%\AppData\Local\Temp\OnboardLogs" /stypes="app*4029*20160923*"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117-23 --locoid 4029 --swversion DE.1.0.7.0 --startMP 204:462 --initTime 2016-09-23T05:33:20 --startdatetime 2016-09-23T05:45:15 --delay 0 --endMP 204:233334 --enddatetime 2016-09-23T06:25:33 --enforcementcount 0 &gt;&gt;C:\Users\stu\Documents\GitHub\eaglep3-reporting\EC\2016-09-23-refined-times.txt</v>
      </c>
      <c r="AI2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{"issue":{"subject":"","project_id":79,"tracker_id":40,"status_id":1,"priority_id":2,"assigned_to_id":23,"start_date":"2016-09-23","description":"","custom_fields":[{"id":1,"name":"Subdivision","value":"EC"},{"id":4,"name":"Milepost","value":"23.3334"},{"id":17,"name":"Train ID","value":"117-23"},{"id":16,"name":"Locomotive ID","value":"4029"},{"id":130,"name":"Impact","value":""},{"id":150,"name":"Time of Event (Mountain Time)","value":"06:25:33"},{"id":151,"name":"Denver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420</v>
      </c>
      <c r="B30" s="7">
        <v>4030</v>
      </c>
      <c r="C30" s="24" t="s">
        <v>106</v>
      </c>
      <c r="D30" s="24" t="s">
        <v>318</v>
      </c>
      <c r="E30" s="15">
        <v>42636.27548611111</v>
      </c>
      <c r="F30" s="15">
        <v>42636.278634259259</v>
      </c>
      <c r="G30" s="7">
        <v>1</v>
      </c>
      <c r="H30" s="15" t="s">
        <v>258</v>
      </c>
      <c r="I30" s="15">
        <v>42636.307106481479</v>
      </c>
      <c r="J30" s="7">
        <v>0</v>
      </c>
      <c r="K30" s="121" t="str">
        <f t="shared" si="0"/>
        <v>4029/4030</v>
      </c>
      <c r="L30" s="24" t="str">
        <f>VLOOKUP(A30,'Trips&amp;Operators'!$C$1:$E$10000,3,FALSE)</f>
        <v>DAVIS</v>
      </c>
      <c r="M30" s="6">
        <f t="shared" si="1"/>
        <v>2.8472222220443655E-2</v>
      </c>
      <c r="N30" s="7">
        <f t="shared" si="2"/>
        <v>40.999999997438863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05:36:42-0600',mode:absolute,to:'2016-09-23 08:22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30" s="54" t="str">
        <f t="shared" si="6"/>
        <v>N</v>
      </c>
      <c r="X30" s="168">
        <f t="shared" si="7"/>
        <v>1</v>
      </c>
      <c r="Y30" s="69">
        <f t="shared" si="8"/>
        <v>23.3002</v>
      </c>
      <c r="Z30" s="69">
        <f t="shared" si="9"/>
        <v>1.4500000000000001E-2</v>
      </c>
      <c r="AA30" s="69">
        <f t="shared" si="10"/>
        <v>23.285699999999999</v>
      </c>
      <c r="AB30" s="66" t="e">
        <f>VLOOKUP(A30,Enforcements!$C$7:$K$20,8,0)</f>
        <v>#N/A</v>
      </c>
      <c r="AC30" s="62" t="e">
        <f>VLOOKUP(A30,Enforcements!$C$7:$E$20,3,0)</f>
        <v>#N/A</v>
      </c>
      <c r="AD30" s="63" t="str">
        <f t="shared" si="11"/>
        <v>0118-23</v>
      </c>
      <c r="AE30" s="99" t="str">
        <f t="shared" si="12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30" s="96" t="str">
        <f t="shared" si="13"/>
        <v>"C:\Program Files (x86)\AstroGrep\AstroGrep.exe" /spath="%USERPROFILE%\AppData\Local\Temp\OnboardLogs" /stypes="app*4030*20160923*"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118-23 --locoid 4030 --swversion DE.1.0.7.0 --startMP 204:233002 --initTime 2016-09-23T06:36:42 --startdatetime 2016-09-23T06:41:14 --delay 1 --endMP 204:145 --enddatetime 2016-09-23T07:22:14 --enforcementcount 0 &gt;&gt;C:\Users\stu\Documents\GitHub\eaglep3-reporting\EC\2016-09-23-refined-times.txt</v>
      </c>
      <c r="AI30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ID","value":"118-23"},{"id":16,"name":"Locomotive ID","value":"4030"},{"id":130,"name":"Impact","value":""},{"id":150,"name":"Time of Event (Mountain Time)","value":"07:22:14"},{"id":151,"name":"Denver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412</v>
      </c>
      <c r="B31" s="7">
        <v>4040</v>
      </c>
      <c r="C31" s="24" t="s">
        <v>106</v>
      </c>
      <c r="D31" s="24" t="s">
        <v>626</v>
      </c>
      <c r="E31" s="15">
        <v>42636.248599537037</v>
      </c>
      <c r="F31" s="15">
        <v>42636.250277777777</v>
      </c>
      <c r="G31" s="7">
        <v>1</v>
      </c>
      <c r="H31" s="15" t="s">
        <v>296</v>
      </c>
      <c r="I31" s="15">
        <v>42636.275347222225</v>
      </c>
      <c r="J31" s="7">
        <v>0</v>
      </c>
      <c r="K31" s="121" t="str">
        <f t="shared" si="0"/>
        <v>4039/4040</v>
      </c>
      <c r="L31" s="24" t="str">
        <f>VLOOKUP(A31,'Trips&amp;Operators'!$C$1:$E$10000,3,FALSE)</f>
        <v>MALAVE</v>
      </c>
      <c r="M31" s="6">
        <f t="shared" si="1"/>
        <v>2.5069444447581191E-2</v>
      </c>
      <c r="N31" s="7">
        <f t="shared" si="2"/>
        <v>36.100000004516914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04:57:59-0600',mode:absolute,to:'2016-09-23 07:36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1" s="54" t="str">
        <f t="shared" si="6"/>
        <v>N</v>
      </c>
      <c r="X31" s="168">
        <f t="shared" si="7"/>
        <v>1</v>
      </c>
      <c r="Y31" s="69">
        <f t="shared" si="8"/>
        <v>7.9899999999999999E-2</v>
      </c>
      <c r="Z31" s="69">
        <f t="shared" si="9"/>
        <v>23.328900000000001</v>
      </c>
      <c r="AA31" s="69">
        <f t="shared" si="10"/>
        <v>23.249000000000002</v>
      </c>
      <c r="AB31" s="66" t="e">
        <f>VLOOKUP(A31,Enforcements!$C$7:$K$20,8,0)</f>
        <v>#N/A</v>
      </c>
      <c r="AC31" s="62" t="e">
        <f>VLOOKUP(A31,Enforcements!$C$7:$E$20,3,0)</f>
        <v>#N/A</v>
      </c>
      <c r="AD31" s="63" t="str">
        <f t="shared" si="11"/>
        <v>0119-23</v>
      </c>
      <c r="AE31" s="99" t="str">
        <f t="shared" si="12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31" s="96" t="str">
        <f t="shared" si="13"/>
        <v>"C:\Program Files (x86)\AstroGrep\AstroGrep.exe" /spath="%USERPROFILE%\AppData\Local\Temp\OnboardLogs" /stypes="app*4040*20160923*"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119-23 --locoid 4040 --swversion DE.1.0.7.0 --startMP 204:799 --initTime 2016-09-23T05:57:59 --startdatetime 2016-09-23T06:00:24 --delay 1 --endMP 204:233289 --enddatetime 2016-09-23T06:36:30 --enforcementcount 0 &gt;&gt;C:\Users\stu\Documents\GitHub\eaglep3-reporting\EC\2016-09-23-refined-times.txt</v>
      </c>
      <c r="AI3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{"issue":{"subject":"","project_id":79,"tracker_id":40,"status_id":1,"priority_id":2,"assigned_to_id":23,"start_date":"2016-09-23","description":"","custom_fields":[{"id":1,"name":"Subdivision","value":"EC"},{"id":4,"name":"Milepost","value":"23.3289"},{"id":17,"name":"Train ID","value":"119-23"},{"id":16,"name":"Locomotive ID","value":"4040"},{"id":130,"name":"Impact","value":""},{"id":150,"name":"Time of Event (Mountain Time)","value":"06:36:30"},{"id":151,"name":"Denver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424</v>
      </c>
      <c r="B32" s="7">
        <v>4039</v>
      </c>
      <c r="C32" s="24" t="s">
        <v>106</v>
      </c>
      <c r="D32" s="24" t="s">
        <v>313</v>
      </c>
      <c r="E32" s="15">
        <v>42636.286724537036</v>
      </c>
      <c r="F32" s="15">
        <v>42636.289097222223</v>
      </c>
      <c r="G32" s="7">
        <v>1</v>
      </c>
      <c r="H32" s="15" t="s">
        <v>218</v>
      </c>
      <c r="I32" s="15">
        <v>42636.316921296297</v>
      </c>
      <c r="J32" s="7">
        <v>0</v>
      </c>
      <c r="K32" s="121" t="str">
        <f t="shared" si="0"/>
        <v>4039/4040</v>
      </c>
      <c r="L32" s="24" t="str">
        <f>VLOOKUP(A32,'Trips&amp;Operators'!$C$1:$E$10000,3,FALSE)</f>
        <v>MALAVE</v>
      </c>
      <c r="M32" s="6">
        <f t="shared" si="1"/>
        <v>2.7824074073578231E-2</v>
      </c>
      <c r="N32" s="7">
        <f t="shared" si="2"/>
        <v>40.066666665952653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05:52:53-0600',mode:absolute,to:'2016-09-23 08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2" s="54" t="str">
        <f t="shared" si="6"/>
        <v>N</v>
      </c>
      <c r="X32" s="168">
        <f t="shared" si="7"/>
        <v>1</v>
      </c>
      <c r="Y32" s="69">
        <f t="shared" si="8"/>
        <v>23.296900000000001</v>
      </c>
      <c r="Z32" s="69">
        <f t="shared" si="9"/>
        <v>1.47E-2</v>
      </c>
      <c r="AA32" s="69">
        <f t="shared" si="10"/>
        <v>23.2822</v>
      </c>
      <c r="AB32" s="66" t="e">
        <f>VLOOKUP(A32,Enforcements!$C$7:$K$20,8,0)</f>
        <v>#N/A</v>
      </c>
      <c r="AC32" s="62" t="e">
        <f>VLOOKUP(A32,Enforcements!$C$7:$E$20,3,0)</f>
        <v>#N/A</v>
      </c>
      <c r="AD32" s="63" t="str">
        <f t="shared" si="11"/>
        <v>0120-23</v>
      </c>
      <c r="AE32" s="99" t="str">
        <f t="shared" si="12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32" s="96" t="str">
        <f t="shared" si="13"/>
        <v>"C:\Program Files (x86)\AstroGrep\AstroGrep.exe" /spath="%USERPROFILE%\AppData\Local\Temp\OnboardLogs" /stypes="app*4039*20160923*"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120-23 --locoid 4039 --swversion DE.1.0.7.0 --startMP 204:232969 --initTime 2016-09-23T06:52:53 --startdatetime 2016-09-23T06:56:18 --delay 1 --endMP 204:147 --enddatetime 2016-09-23T07:36:22 --enforcementcount 0 &gt;&gt;C:\Users\stu\Documents\GitHub\eaglep3-reporting\EC\2016-09-23-refined-times.txt</v>
      </c>
      <c r="AI32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{"issue":{"subject":"","project_id":79,"tracker_id":40,"status_id":1,"priority_id":2,"assigned_to_id":23,"start_date":"2016-09-23","description":"","custom_fields":[{"id":1,"name":"Subdivision","value":"EC"},{"id":4,"name":"Milepost","value":"0.0147"},{"id":17,"name":"Train ID","value":"120-23"},{"id":16,"name":"Locomotive ID","value":"4039"},{"id":130,"name":"Impact","value":""},{"id":150,"name":"Time of Event (Mountain Time)","value":"07:36:22"},{"id":151,"name":"Denver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415</v>
      </c>
      <c r="B33" s="7">
        <v>4016</v>
      </c>
      <c r="C33" s="24" t="s">
        <v>106</v>
      </c>
      <c r="D33" s="24" t="s">
        <v>229</v>
      </c>
      <c r="E33" s="15">
        <v>42636.256388888891</v>
      </c>
      <c r="F33" s="15">
        <v>42636.26059027778</v>
      </c>
      <c r="G33" s="7">
        <v>5</v>
      </c>
      <c r="H33" s="15" t="s">
        <v>351</v>
      </c>
      <c r="I33" s="15">
        <v>42636.287094907406</v>
      </c>
      <c r="J33" s="7">
        <v>0</v>
      </c>
      <c r="K33" s="121" t="str">
        <f t="shared" si="0"/>
        <v>4015/4016</v>
      </c>
      <c r="L33" s="24" t="str">
        <f>VLOOKUP(A33,'Trips&amp;Operators'!$C$1:$E$10000,3,FALSE)</f>
        <v>BRANNON</v>
      </c>
      <c r="M33" s="6">
        <f t="shared" si="1"/>
        <v>2.6504629626288079E-2</v>
      </c>
      <c r="N33" s="7">
        <f t="shared" si="2"/>
        <v>38.166666661854833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05:09:12-0600',mode:absolute,to:'2016-09-23 07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33" s="54" t="str">
        <f t="shared" si="6"/>
        <v>N</v>
      </c>
      <c r="X33" s="168">
        <f t="shared" si="7"/>
        <v>1</v>
      </c>
      <c r="Y33" s="69">
        <f t="shared" si="8"/>
        <v>4.58E-2</v>
      </c>
      <c r="Z33" s="69">
        <f t="shared" si="9"/>
        <v>23.3306</v>
      </c>
      <c r="AA33" s="69">
        <f t="shared" si="10"/>
        <v>23.284800000000001</v>
      </c>
      <c r="AB33" s="66" t="str">
        <f>VLOOKUP(A33,Enforcements!$C$7:$K$20,8,0)</f>
        <v>Bulletin (2)</v>
      </c>
      <c r="AC33" s="62" t="str">
        <f>VLOOKUP(A33,Enforcements!$C$7:$E$20,3,0)</f>
        <v>GRADE CROSSING</v>
      </c>
      <c r="AD33" s="63" t="str">
        <f t="shared" si="11"/>
        <v>0121-23</v>
      </c>
      <c r="AE33" s="99" t="str">
        <f t="shared" si="12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33" s="96" t="str">
        <f t="shared" si="13"/>
        <v>"C:\Program Files (x86)\AstroGrep\AstroGrep.exe" /spath="%USERPROFILE%\AppData\Local\Temp\OnboardLogs" /stypes="app*4016*20160923*"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121-23 --locoid 4016 --swversion DE.1.0.7.0 --startMP 204:458 --initTime 2016-09-23T06:09:12 --startdatetime 2016-09-23T06:15:15 --delay 5 --endMP 204:233306 --enddatetime 2016-09-23T06:53:25 --enforcementcount 0 &gt;&gt;C:\Users\stu\Documents\GitHub\eaglep3-reporting\EC\2016-09-23-refined-times.txt</v>
      </c>
      <c r="AI3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{"issue":{"subject":"","project_id":79,"tracker_id":40,"status_id":1,"priority_id":2,"assigned_to_id":23,"start_date":"2016-09-23","description":"","custom_fields":[{"id":1,"name":"Subdivision","value":"EC"},{"id":4,"name":"Milepost","value":"23.3306"},{"id":17,"name":"Train ID","value":"121-23"},{"id":16,"name":"Locomotive ID","value":"4016"},{"id":130,"name":"Impact","value":""},{"id":150,"name":"Time of Event (Mountain Time)","value":"06:53:25"},{"id":151,"name":"Denver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427</v>
      </c>
      <c r="B34" s="7">
        <v>4015</v>
      </c>
      <c r="C34" s="24" t="s">
        <v>106</v>
      </c>
      <c r="D34" s="24" t="s">
        <v>318</v>
      </c>
      <c r="E34" s="15">
        <v>42636.296979166669</v>
      </c>
      <c r="F34" s="15">
        <v>42636.299629629626</v>
      </c>
      <c r="G34" s="7">
        <v>2</v>
      </c>
      <c r="H34" s="15" t="s">
        <v>627</v>
      </c>
      <c r="I34" s="15">
        <v>42636.329212962963</v>
      </c>
      <c r="J34" s="7">
        <v>0</v>
      </c>
      <c r="K34" s="121" t="str">
        <f t="shared" si="0"/>
        <v>4015/4016</v>
      </c>
      <c r="L34" s="24" t="str">
        <f>VLOOKUP(A34,'Trips&amp;Operators'!$C$1:$E$10000,3,FALSE)</f>
        <v>BRANNON</v>
      </c>
      <c r="M34" s="6">
        <f t="shared" si="1"/>
        <v>2.9583333336631767E-2</v>
      </c>
      <c r="N34" s="7">
        <f t="shared" si="2"/>
        <v>42.600000004749745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06:07:39-0600',mode:absolute,to:'2016-09-23 08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34" s="54" t="str">
        <f t="shared" si="6"/>
        <v>N</v>
      </c>
      <c r="X34" s="168">
        <f t="shared" si="7"/>
        <v>1</v>
      </c>
      <c r="Y34" s="69">
        <f t="shared" si="8"/>
        <v>23.3002</v>
      </c>
      <c r="Z34" s="69">
        <f t="shared" si="9"/>
        <v>2.5600000000000001E-2</v>
      </c>
      <c r="AA34" s="69">
        <f t="shared" si="10"/>
        <v>23.2746</v>
      </c>
      <c r="AB34" s="66" t="e">
        <f>VLOOKUP(A34,Enforcements!$C$7:$K$20,8,0)</f>
        <v>#N/A</v>
      </c>
      <c r="AC34" s="62" t="e">
        <f>VLOOKUP(A34,Enforcements!$C$7:$E$20,3,0)</f>
        <v>#N/A</v>
      </c>
      <c r="AD34" s="63" t="str">
        <f t="shared" si="11"/>
        <v>0122-23</v>
      </c>
      <c r="AE34" s="99" t="str">
        <f t="shared" si="12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34" s="96" t="str">
        <f t="shared" si="13"/>
        <v>"C:\Program Files (x86)\AstroGrep\AstroGrep.exe" /spath="%USERPROFILE%\AppData\Local\Temp\OnboardLogs" /stypes="app*4015*20160923*"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122-23 --locoid 4015 --swversion DE.1.0.7.0 --startMP 204:233002 --initTime 2016-09-23T07:07:39 --startdatetime 2016-09-23T07:11:28 --delay 2 --endMP 204:256 --enddatetime 2016-09-23T07:54:04 --enforcementcount 0 &gt;&gt;C:\Users\stu\Documents\GitHub\eaglep3-reporting\EC\2016-09-23-refined-times.txt</v>
      </c>
      <c r="AI3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{"issue":{"subject":"","project_id":79,"tracker_id":40,"status_id":1,"priority_id":2,"assigned_to_id":23,"start_date":"2016-09-23","description":"","custom_fields":[{"id":1,"name":"Subdivision","value":"EC"},{"id":4,"name":"Milepost","value":"0.0256"},{"id":17,"name":"Train ID","value":"122-23"},{"id":16,"name":"Locomotive ID","value":"4015"},{"id":130,"name":"Impact","value":""},{"id":150,"name":"Time of Event (Mountain Time)","value":"07:54:04"},{"id":151,"name":"Denver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418</v>
      </c>
      <c r="B35" s="7">
        <v>4003</v>
      </c>
      <c r="C35" s="24" t="s">
        <v>106</v>
      </c>
      <c r="D35" s="24" t="s">
        <v>224</v>
      </c>
      <c r="E35" s="15">
        <v>42636.267442129632</v>
      </c>
      <c r="F35" s="15">
        <v>42636.27107638889</v>
      </c>
      <c r="G35" s="7">
        <v>1</v>
      </c>
      <c r="H35" s="15" t="s">
        <v>254</v>
      </c>
      <c r="I35" s="15">
        <v>42636.29650462963</v>
      </c>
      <c r="J35" s="7">
        <v>0</v>
      </c>
      <c r="K35" s="121" t="str">
        <f t="shared" si="0"/>
        <v>4003/4004</v>
      </c>
      <c r="L35" s="24" t="str">
        <f>VLOOKUP(A35,'Trips&amp;Operators'!$C$1:$E$10000,3,FALSE)</f>
        <v>GEBRETEKLE</v>
      </c>
      <c r="M35" s="6">
        <f t="shared" si="1"/>
        <v>2.5428240740438923E-2</v>
      </c>
      <c r="N35" s="7">
        <f t="shared" si="2"/>
        <v>36.616666666232049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05:25:07-0600',mode:absolute,to:'2016-09-23 08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35" s="54" t="str">
        <f t="shared" si="6"/>
        <v>N</v>
      </c>
      <c r="X35" s="168">
        <f t="shared" si="7"/>
        <v>1</v>
      </c>
      <c r="Y35" s="69">
        <f t="shared" si="8"/>
        <v>4.4699999999999997E-2</v>
      </c>
      <c r="Z35" s="69">
        <f t="shared" si="9"/>
        <v>23.3293</v>
      </c>
      <c r="AA35" s="69">
        <f t="shared" si="10"/>
        <v>23.284600000000001</v>
      </c>
      <c r="AB35" s="66" t="e">
        <f>VLOOKUP(A35,Enforcements!$C$7:$K$20,8,0)</f>
        <v>#N/A</v>
      </c>
      <c r="AC35" s="62" t="e">
        <f>VLOOKUP(A35,Enforcements!$C$7:$E$20,3,0)</f>
        <v>#N/A</v>
      </c>
      <c r="AD35" s="63" t="str">
        <f t="shared" si="11"/>
        <v>0123-23</v>
      </c>
      <c r="AE35" s="99" t="str">
        <f t="shared" si="12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35" s="96" t="str">
        <f t="shared" si="13"/>
        <v>"C:\Program Files (x86)\AstroGrep\AstroGrep.exe" /spath="%USERPROFILE%\AppData\Local\Temp\OnboardLogs" /stypes="app*4003*20160923*"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123-23 --locoid 4003 --swversion DE.1.0.7.0 --startMP 204:447 --initTime 2016-09-23T06:25:07 --startdatetime 2016-09-23T06:30:21 --delay 1 --endMP 204:233293 --enddatetime 2016-09-23T07:06:58 --enforcementcount 0 &gt;&gt;C:\Users\stu\Documents\GitHub\eaglep3-reporting\EC\2016-09-23-refined-times.txt</v>
      </c>
      <c r="AI3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{"issue":{"subject":"","project_id":79,"tracker_id":40,"status_id":1,"priority_id":2,"assigned_to_id":23,"start_date":"2016-09-23","description":"","custom_fields":[{"id":1,"name":"Subdivision","value":"EC"},{"id":4,"name":"Milepost","value":"23.3293"},{"id":17,"name":"Train ID","value":"123-23"},{"id":16,"name":"Locomotive ID","value":"4003"},{"id":130,"name":"Impact","value":""},{"id":150,"name":"Time of Event (Mountain Time)","value":"07:06:58"},{"id":151,"name":"Denver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430</v>
      </c>
      <c r="B36" s="7">
        <v>4004</v>
      </c>
      <c r="C36" s="24" t="s">
        <v>106</v>
      </c>
      <c r="D36" s="24" t="s">
        <v>349</v>
      </c>
      <c r="E36" s="15">
        <v>42636.303518518522</v>
      </c>
      <c r="F36" s="15">
        <v>42636.309918981482</v>
      </c>
      <c r="G36" s="7">
        <v>1</v>
      </c>
      <c r="H36" s="15" t="s">
        <v>258</v>
      </c>
      <c r="I36" s="15">
        <v>42636.337835648148</v>
      </c>
      <c r="J36" s="7">
        <v>0</v>
      </c>
      <c r="K36" s="121" t="str">
        <f t="shared" si="0"/>
        <v>4003/4004</v>
      </c>
      <c r="L36" s="24" t="str">
        <f>VLOOKUP(A36,'Trips&amp;Operators'!$C$1:$E$10000,3,FALSE)</f>
        <v>GEBRETEKLE</v>
      </c>
      <c r="M36" s="6">
        <f t="shared" si="1"/>
        <v>2.7916666665987577E-2</v>
      </c>
      <c r="N36" s="7">
        <f t="shared" si="2"/>
        <v>40.199999999022111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06:17:04-0600',mode:absolute,to:'2016-09-23 09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36" s="54" t="str">
        <f t="shared" si="6"/>
        <v>N</v>
      </c>
      <c r="X36" s="168">
        <f t="shared" si="7"/>
        <v>1</v>
      </c>
      <c r="Y36" s="69">
        <f t="shared" si="8"/>
        <v>23.297499999999999</v>
      </c>
      <c r="Z36" s="69">
        <f t="shared" si="9"/>
        <v>1.4500000000000001E-2</v>
      </c>
      <c r="AA36" s="69">
        <f t="shared" si="10"/>
        <v>23.282999999999998</v>
      </c>
      <c r="AB36" s="66" t="e">
        <f>VLOOKUP(A36,Enforcements!$C$7:$K$20,8,0)</f>
        <v>#N/A</v>
      </c>
      <c r="AC36" s="62" t="e">
        <f>VLOOKUP(A36,Enforcements!$C$7:$E$20,3,0)</f>
        <v>#N/A</v>
      </c>
      <c r="AD36" s="63" t="str">
        <f t="shared" si="11"/>
        <v>0124-23</v>
      </c>
      <c r="AE36" s="99" t="str">
        <f t="shared" si="12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36" s="96" t="str">
        <f t="shared" si="13"/>
        <v>"C:\Program Files (x86)\AstroGrep\AstroGrep.exe" /spath="%USERPROFILE%\AppData\Local\Temp\OnboardLogs" /stypes="app*4004*20160923*"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124-23 --locoid 4004 --swversion DE.1.0.7.0 --startMP 204:232975 --initTime 2016-09-23T07:17:04 --startdatetime 2016-09-23T07:26:17 --delay 1 --endMP 204:145 --enddatetime 2016-09-23T08:06:29 --enforcementcount 0 &gt;&gt;C:\Users\stu\Documents\GitHub\eaglep3-reporting\EC\2016-09-23-refined-times.txt</v>
      </c>
      <c r="AI3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ID","value":"124-23"},{"id":16,"name":"Locomotive ID","value":"4004"},{"id":130,"name":"Impact","value":""},{"id":150,"name":"Time of Event (Mountain Time)","value":"08:06:29"},{"id":151,"name":"Denver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422</v>
      </c>
      <c r="B37" s="7">
        <v>4011</v>
      </c>
      <c r="C37" s="24" t="s">
        <v>106</v>
      </c>
      <c r="D37" s="24" t="s">
        <v>219</v>
      </c>
      <c r="E37" s="15">
        <v>42636.279050925928</v>
      </c>
      <c r="F37" s="15">
        <v>42636.281435185185</v>
      </c>
      <c r="G37" s="7">
        <v>1</v>
      </c>
      <c r="H37" s="15" t="s">
        <v>628</v>
      </c>
      <c r="I37" s="15">
        <v>42636.307476851849</v>
      </c>
      <c r="J37" s="7">
        <v>0</v>
      </c>
      <c r="K37" s="121" t="str">
        <f t="shared" si="0"/>
        <v>4011/4012</v>
      </c>
      <c r="L37" s="24" t="str">
        <f>VLOOKUP(A37,'Trips&amp;Operators'!$C$1:$E$10000,3,FALSE)</f>
        <v>SPECTOR</v>
      </c>
      <c r="M37" s="6">
        <f t="shared" si="1"/>
        <v>2.6041666664241347E-2</v>
      </c>
      <c r="N37" s="7">
        <f t="shared" si="2"/>
        <v>37.49999999650754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05:41:50-0600',mode:absolute,to:'2016-09-23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37" s="54" t="str">
        <f t="shared" si="6"/>
        <v>N</v>
      </c>
      <c r="X37" s="168">
        <f t="shared" si="7"/>
        <v>1</v>
      </c>
      <c r="Y37" s="69">
        <f t="shared" si="8"/>
        <v>4.53E-2</v>
      </c>
      <c r="Z37" s="69">
        <f t="shared" si="9"/>
        <v>23.332100000000001</v>
      </c>
      <c r="AA37" s="69">
        <f t="shared" si="10"/>
        <v>23.286799999999999</v>
      </c>
      <c r="AB37" s="66" t="str">
        <f>VLOOKUP(A37,Enforcements!$C$7:$K$20,8,0)</f>
        <v>Bulletin (2)</v>
      </c>
      <c r="AC37" s="62" t="str">
        <f>VLOOKUP(A37,Enforcements!$C$7:$E$20,3,0)</f>
        <v>GRADE CROSSING</v>
      </c>
      <c r="AD37" s="63" t="str">
        <f t="shared" si="11"/>
        <v>0125-23</v>
      </c>
      <c r="AE37" s="99" t="str">
        <f t="shared" si="12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37" s="96" t="str">
        <f t="shared" si="13"/>
        <v>"C:\Program Files (x86)\AstroGrep\AstroGrep.exe" /spath="%USERPROFILE%\AppData\Local\Temp\OnboardLogs" /stypes="app*4011*20160923*"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125-23 --locoid 4011 --swversion DE.1.0.7.0 --startMP 204:453 --initTime 2016-09-23T06:41:50 --startdatetime 2016-09-23T06:45:16 --delay 1 --endMP 204:233321 --enddatetime 2016-09-23T07:22:46 --enforcementcount 0 &gt;&gt;C:\Users\stu\Documents\GitHub\eaglep3-reporting\EC\2016-09-23-refined-times.txt</v>
      </c>
      <c r="AI3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{"issue":{"subject":"","project_id":79,"tracker_id":40,"status_id":1,"priority_id":2,"assigned_to_id":23,"start_date":"2016-09-23","description":"","custom_fields":[{"id":1,"name":"Subdivision","value":"EC"},{"id":4,"name":"Milepost","value":"23.3321"},{"id":17,"name":"Train ID","value":"125-23"},{"id":16,"name":"Locomotive ID","value":"4011"},{"id":130,"name":"Impact","value":""},{"id":150,"name":"Time of Event (Mountain Time)","value":"07:22:46"},{"id":151,"name":"Denver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433</v>
      </c>
      <c r="B38" s="7">
        <v>4012</v>
      </c>
      <c r="C38" s="24" t="s">
        <v>106</v>
      </c>
      <c r="D38" s="24" t="s">
        <v>288</v>
      </c>
      <c r="E38" s="15">
        <v>42636.319467592592</v>
      </c>
      <c r="F38" s="15">
        <v>42636.320960648147</v>
      </c>
      <c r="G38" s="7">
        <v>1</v>
      </c>
      <c r="H38" s="15" t="s">
        <v>215</v>
      </c>
      <c r="I38" s="15">
        <v>42636.347974537035</v>
      </c>
      <c r="J38" s="7">
        <v>0</v>
      </c>
      <c r="K38" s="121" t="str">
        <f t="shared" si="0"/>
        <v>4011/4012</v>
      </c>
      <c r="L38" s="24" t="str">
        <f>VLOOKUP(A38,'Trips&amp;Operators'!$C$1:$E$10000,3,FALSE)</f>
        <v>SPECTOR</v>
      </c>
      <c r="M38" s="6">
        <f t="shared" si="1"/>
        <v>2.7013888888177462E-2</v>
      </c>
      <c r="N38" s="7">
        <f t="shared" si="2"/>
        <v>38.899999998975545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06:40:02-0600',mode:absolute,to:'2016-09-23 09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38" s="54" t="str">
        <f t="shared" si="6"/>
        <v>N</v>
      </c>
      <c r="X38" s="168">
        <f t="shared" si="7"/>
        <v>1</v>
      </c>
      <c r="Y38" s="69">
        <f t="shared" si="8"/>
        <v>23.299600000000002</v>
      </c>
      <c r="Z38" s="69">
        <f t="shared" si="9"/>
        <v>1.6299999999999999E-2</v>
      </c>
      <c r="AA38" s="69">
        <f t="shared" si="10"/>
        <v>23.283300000000001</v>
      </c>
      <c r="AB38" s="66" t="str">
        <f>VLOOKUP(A38,Enforcements!$C$7:$K$20,8,0)</f>
        <v>Bulletin (2)</v>
      </c>
      <c r="AC38" s="62" t="str">
        <f>VLOOKUP(A38,Enforcements!$C$7:$E$20,3,0)</f>
        <v>GRADE CROSSING</v>
      </c>
      <c r="AD38" s="63" t="str">
        <f t="shared" si="11"/>
        <v>0126-23</v>
      </c>
      <c r="AE38" s="99" t="str">
        <f t="shared" si="12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38" s="96" t="str">
        <f t="shared" si="13"/>
        <v>"C:\Program Files (x86)\AstroGrep\AstroGrep.exe" /spath="%USERPROFILE%\AppData\Local\Temp\OnboardLogs" /stypes="app*4012*20160923*"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126-23 --locoid 4012 --swversion DE.1.0.7.0 --startMP 204:232996 --initTime 2016-09-23T07:40:02 --startdatetime 2016-09-23T07:42:11 --delay 1 --endMP 204:163 --enddatetime 2016-09-23T08:21:05 --enforcementcount 0 &gt;&gt;C:\Users\stu\Documents\GitHub\eaglep3-reporting\EC\2016-09-23-refined-times.txt</v>
      </c>
      <c r="AI3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{"issue":{"subject":"","project_id":79,"tracker_id":40,"status_id":1,"priority_id":2,"assigned_to_id":23,"start_date":"2016-09-23","description":"","custom_fields":[{"id":1,"name":"Subdivision","value":"EC"},{"id":4,"name":"Milepost","value":"0.0163"},{"id":17,"name":"Train ID","value":"126-23"},{"id":16,"name":"Locomotive ID","value":"4012"},{"id":130,"name":"Impact","value":""},{"id":150,"name":"Time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425</v>
      </c>
      <c r="B39" s="7">
        <v>4044</v>
      </c>
      <c r="C39" s="24" t="s">
        <v>106</v>
      </c>
      <c r="D39" s="24" t="s">
        <v>227</v>
      </c>
      <c r="E39" s="15">
        <v>42636.287847222222</v>
      </c>
      <c r="F39" s="15">
        <v>42636.292175925926</v>
      </c>
      <c r="G39" s="7">
        <v>1</v>
      </c>
      <c r="H39" s="15" t="s">
        <v>273</v>
      </c>
      <c r="I39" s="15">
        <v>42636.318101851852</v>
      </c>
      <c r="J39" s="7">
        <v>0</v>
      </c>
      <c r="K39" s="121" t="str">
        <f t="shared" si="0"/>
        <v>4043/4044</v>
      </c>
      <c r="L39" s="24" t="str">
        <f>VLOOKUP(A39,'Trips&amp;Operators'!$C$1:$E$10000,3,FALSE)</f>
        <v>MAELZER</v>
      </c>
      <c r="M39" s="6">
        <f t="shared" si="1"/>
        <v>2.5925925925548654E-2</v>
      </c>
      <c r="N39" s="7">
        <f t="shared" si="2"/>
        <v>37.333333332790062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05:54:30-0600',mode:absolute,to:'2016-09-23 08:38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39" s="54" t="str">
        <f t="shared" si="6"/>
        <v>N</v>
      </c>
      <c r="X39" s="168">
        <f t="shared" si="7"/>
        <v>1</v>
      </c>
      <c r="Y39" s="69">
        <f t="shared" si="8"/>
        <v>4.5499999999999999E-2</v>
      </c>
      <c r="Z39" s="69">
        <f t="shared" si="9"/>
        <v>23.331199999999999</v>
      </c>
      <c r="AA39" s="69">
        <f t="shared" si="10"/>
        <v>23.285699999999999</v>
      </c>
      <c r="AB39" s="66" t="e">
        <f>VLOOKUP(A39,Enforcements!$C$7:$K$20,8,0)</f>
        <v>#N/A</v>
      </c>
      <c r="AC39" s="62" t="e">
        <f>VLOOKUP(A39,Enforcements!$C$7:$E$20,3,0)</f>
        <v>#N/A</v>
      </c>
      <c r="AD39" s="63" t="str">
        <f t="shared" si="11"/>
        <v>0127-23</v>
      </c>
      <c r="AE39" s="99" t="str">
        <f t="shared" si="12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39" s="96" t="str">
        <f t="shared" si="13"/>
        <v>"C:\Program Files (x86)\AstroGrep\AstroGrep.exe" /spath="%USERPROFILE%\AppData\Local\Temp\OnboardLogs" /stypes="app*4044*20160923*"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127-23 --locoid 4044 --swversion DE.1.0.7.0 --startMP 204:455 --initTime 2016-09-23T06:54:30 --startdatetime 2016-09-23T07:00:44 --delay 1 --endMP 204:233312 --enddatetime 2016-09-23T07:38:04 --enforcementcount 0 &gt;&gt;C:\Users\stu\Documents\GitHub\eaglep3-reporting\EC\2016-09-23-refined-times.txt</v>
      </c>
      <c r="AI3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{"issue":{"subject":"","project_id":79,"tracker_id":40,"status_id":1,"priority_id":2,"assigned_to_id":23,"start_date":"2016-09-23","description":"","custom_fields":[{"id":1,"name":"Subdivision","value":"EC"},{"id":4,"name":"Milepost","value":"23.3312"},{"id":17,"name":"Train ID","value":"127-23"},{"id":16,"name":"Locomotive ID","value":"4044"},{"id":130,"name":"Impact","value":""},{"id":150,"name":"Time of Event (Mountain Time)","value":"07:38:04"},{"id":151,"name":"Denver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436</v>
      </c>
      <c r="B40" s="7">
        <v>4043</v>
      </c>
      <c r="C40" s="24" t="s">
        <v>106</v>
      </c>
      <c r="D40" s="24" t="s">
        <v>356</v>
      </c>
      <c r="E40" s="15">
        <v>42636.324675925927</v>
      </c>
      <c r="F40" s="15">
        <v>42636.330833333333</v>
      </c>
      <c r="G40" s="7">
        <v>1</v>
      </c>
      <c r="H40" s="15" t="s">
        <v>258</v>
      </c>
      <c r="I40" s="15">
        <v>42636.357662037037</v>
      </c>
      <c r="J40" s="7">
        <v>0</v>
      </c>
      <c r="K40" s="121" t="str">
        <f t="shared" si="0"/>
        <v>4043/4044</v>
      </c>
      <c r="L40" s="24" t="str">
        <f>VLOOKUP(A40,'Trips&amp;Operators'!$C$1:$E$10000,3,FALSE)</f>
        <v>MAELZER</v>
      </c>
      <c r="M40" s="6">
        <f t="shared" si="1"/>
        <v>2.6828703703358769E-2</v>
      </c>
      <c r="N40" s="7">
        <f t="shared" si="2"/>
        <v>38.633333332836628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06:47:32-0600',mode:absolute,to:'2016-09-23 09:35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40" s="54" t="str">
        <f t="shared" si="6"/>
        <v>N</v>
      </c>
      <c r="X40" s="168">
        <f t="shared" si="7"/>
        <v>1</v>
      </c>
      <c r="Y40" s="69">
        <f t="shared" si="8"/>
        <v>23.298999999999999</v>
      </c>
      <c r="Z40" s="69">
        <f t="shared" si="9"/>
        <v>1.4500000000000001E-2</v>
      </c>
      <c r="AA40" s="69">
        <f t="shared" si="10"/>
        <v>23.284499999999998</v>
      </c>
      <c r="AB40" s="66" t="e">
        <f>VLOOKUP(A40,Enforcements!$C$7:$K$20,8,0)</f>
        <v>#N/A</v>
      </c>
      <c r="AC40" s="62" t="e">
        <f>VLOOKUP(A40,Enforcements!$C$7:$E$20,3,0)</f>
        <v>#N/A</v>
      </c>
      <c r="AD40" s="63" t="str">
        <f t="shared" si="11"/>
        <v>0128-23</v>
      </c>
      <c r="AE40" s="99" t="str">
        <f t="shared" si="12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40" s="96" t="str">
        <f t="shared" si="13"/>
        <v>"C:\Program Files (x86)\AstroGrep\AstroGrep.exe" /spath="%USERPROFILE%\AppData\Local\Temp\OnboardLogs" /stypes="app*4043*20160923*"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128-23 --locoid 4043 --swversion DE.1.0.7.0 --startMP 204:232990 --initTime 2016-09-23T07:47:32 --startdatetime 2016-09-23T07:56:24 --delay 1 --endMP 204:145 --enddatetime 2016-09-23T08:35:02 --enforcementcount 0 &gt;&gt;C:\Users\stu\Documents\GitHub\eaglep3-reporting\EC\2016-09-23-refined-times.txt</v>
      </c>
      <c r="AI40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ID","value":"128-23"},{"id":16,"name":"Locomotive ID","value":"4043"},{"id":130,"name":"Impact","value":""},{"id":150,"name":"Time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429</v>
      </c>
      <c r="B41" s="7">
        <v>4027</v>
      </c>
      <c r="C41" s="24" t="s">
        <v>106</v>
      </c>
      <c r="D41" s="24" t="s">
        <v>265</v>
      </c>
      <c r="E41" s="15">
        <v>42636.297569444447</v>
      </c>
      <c r="F41" s="15">
        <v>42636.302557870367</v>
      </c>
      <c r="G41" s="7">
        <v>2</v>
      </c>
      <c r="H41" s="15" t="s">
        <v>629</v>
      </c>
      <c r="I41" s="15">
        <v>42636.326793981483</v>
      </c>
      <c r="J41" s="7">
        <v>0</v>
      </c>
      <c r="K41" s="121" t="str">
        <f t="shared" si="0"/>
        <v>4027/4028</v>
      </c>
      <c r="L41" s="24" t="str">
        <f>VLOOKUP(A41,'Trips&amp;Operators'!$C$1:$E$10000,3,FALSE)</f>
        <v>ROCHA</v>
      </c>
      <c r="M41" s="6">
        <f t="shared" si="1"/>
        <v>2.4236111115897074E-2</v>
      </c>
      <c r="N41" s="7">
        <f t="shared" si="2"/>
        <v>34.900000006891787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06:08:30-0600',mode:absolute,to:'2016-09-23 08:50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41" s="54" t="str">
        <f t="shared" si="6"/>
        <v>N</v>
      </c>
      <c r="X41" s="168">
        <f t="shared" si="7"/>
        <v>1</v>
      </c>
      <c r="Y41" s="69">
        <f t="shared" si="8"/>
        <v>4.4400000000000002E-2</v>
      </c>
      <c r="Z41" s="69">
        <f t="shared" si="9"/>
        <v>23.331900000000001</v>
      </c>
      <c r="AA41" s="69">
        <f t="shared" si="10"/>
        <v>23.287500000000001</v>
      </c>
      <c r="AB41" s="66" t="e">
        <f>VLOOKUP(A41,Enforcements!$C$7:$K$20,8,0)</f>
        <v>#N/A</v>
      </c>
      <c r="AC41" s="62" t="e">
        <f>VLOOKUP(A41,Enforcements!$C$7:$E$20,3,0)</f>
        <v>#N/A</v>
      </c>
      <c r="AD41" s="63" t="str">
        <f t="shared" si="11"/>
        <v>0129-23</v>
      </c>
      <c r="AE41" s="99" t="str">
        <f t="shared" si="12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41" s="96" t="str">
        <f t="shared" si="13"/>
        <v>"C:\Program Files (x86)\AstroGrep\AstroGrep.exe" /spath="%USERPROFILE%\AppData\Local\Temp\OnboardLogs" /stypes="app*4027*20160923*"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129-23 --locoid 4027 --swversion DE.1.0.7.0 --startMP 204:444 --initTime 2016-09-23T07:08:30 --startdatetime 2016-09-23T07:15:41 --delay 2 --endMP 204:233319 --enddatetime 2016-09-23T07:50:35 --enforcementcount 0 &gt;&gt;C:\Users\stu\Documents\GitHub\eaglep3-reporting\EC\2016-09-23-refined-times.txt</v>
      </c>
      <c r="AI4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{"issue":{"subject":"","project_id":79,"tracker_id":40,"status_id":1,"priority_id":2,"assigned_to_id":23,"start_date":"2016-09-23","description":"","custom_fields":[{"id":1,"name":"Subdivision","value":"EC"},{"id":4,"name":"Milepost","value":"23.3319"},{"id":17,"name":"Train ID","value":"129-23"},{"id":16,"name":"Locomotive ID","value":"4027"},{"id":130,"name":"Impact","value":""},{"id":150,"name":"Time of Event (Mountain Time)","value":"07:50:35"},{"id":151,"name":"Denver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437</v>
      </c>
      <c r="B42" s="7">
        <v>4028</v>
      </c>
      <c r="C42" s="24" t="s">
        <v>106</v>
      </c>
      <c r="D42" s="24" t="s">
        <v>288</v>
      </c>
      <c r="E42" s="15">
        <v>42636.329907407409</v>
      </c>
      <c r="F42" s="15">
        <v>42636.341168981482</v>
      </c>
      <c r="G42" s="7">
        <v>1</v>
      </c>
      <c r="H42" s="15" t="s">
        <v>222</v>
      </c>
      <c r="I42" s="15">
        <v>42636.368101851855</v>
      </c>
      <c r="J42" s="7">
        <v>0</v>
      </c>
      <c r="K42" s="121" t="str">
        <f t="shared" si="0"/>
        <v>4027/4028</v>
      </c>
      <c r="L42" s="24" t="str">
        <f>VLOOKUP(A42,'Trips&amp;Operators'!$C$1:$E$10000,3,FALSE)</f>
        <v>ROCHA</v>
      </c>
      <c r="M42" s="6">
        <f t="shared" si="1"/>
        <v>2.6932870372547768E-2</v>
      </c>
      <c r="N42" s="7">
        <f t="shared" si="2"/>
        <v>38.783333336468786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06:55:04-0600',mode:absolute,to:'2016-09-23 09:50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2" s="54" t="str">
        <f t="shared" si="6"/>
        <v>N</v>
      </c>
      <c r="X42" s="168">
        <f t="shared" si="7"/>
        <v>1</v>
      </c>
      <c r="Y42" s="69">
        <f t="shared" si="8"/>
        <v>23.299600000000002</v>
      </c>
      <c r="Z42" s="69">
        <f t="shared" si="9"/>
        <v>1.52E-2</v>
      </c>
      <c r="AA42" s="69">
        <f t="shared" si="10"/>
        <v>23.284400000000002</v>
      </c>
      <c r="AB42" s="66" t="e">
        <f>VLOOKUP(A42,Enforcements!$C$7:$K$20,8,0)</f>
        <v>#N/A</v>
      </c>
      <c r="AC42" s="62" t="e">
        <f>VLOOKUP(A42,Enforcements!$C$7:$E$20,3,0)</f>
        <v>#N/A</v>
      </c>
      <c r="AD42" s="63" t="str">
        <f t="shared" si="11"/>
        <v>0130-23</v>
      </c>
      <c r="AE42" s="99" t="str">
        <f t="shared" si="12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42" s="96" t="str">
        <f t="shared" si="13"/>
        <v>"C:\Program Files (x86)\AstroGrep\AstroGrep.exe" /spath="%USERPROFILE%\AppData\Local\Temp\OnboardLogs" /stypes="app*4028*20160923*"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130-23 --locoid 4028 --swversion DE.1.0.7.0 --startMP 204:232996 --initTime 2016-09-23T07:55:04 --startdatetime 2016-09-23T08:11:17 --delay 1 --endMP 204:152 --enddatetime 2016-09-23T08:50:04 --enforcementcount 0 &gt;&gt;C:\Users\stu\Documents\GitHub\eaglep3-reporting\EC\2016-09-23-refined-times.txt</v>
      </c>
      <c r="AI42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ID","value":"130-23"},{"id":16,"name":"Locomotive ID","value":"4028"},{"id":130,"name":"Impact","value":""},{"id":150,"name":"Time of Event (Mountain Time)","value":"08:50:04"},{"id":151,"name":"Denver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431</v>
      </c>
      <c r="B43" s="7">
        <v>4029</v>
      </c>
      <c r="C43" s="24" t="s">
        <v>106</v>
      </c>
      <c r="D43" s="24" t="s">
        <v>269</v>
      </c>
      <c r="E43" s="15">
        <v>42636.308333333334</v>
      </c>
      <c r="F43" s="15">
        <v>42636.312673611108</v>
      </c>
      <c r="G43" s="7">
        <v>1</v>
      </c>
      <c r="H43" s="15" t="s">
        <v>630</v>
      </c>
      <c r="I43" s="15">
        <v>42636.338993055557</v>
      </c>
      <c r="J43" s="7">
        <v>0</v>
      </c>
      <c r="K43" s="121" t="str">
        <f t="shared" si="0"/>
        <v>4029/4030</v>
      </c>
      <c r="L43" s="24" t="str">
        <f>VLOOKUP(A43,'Trips&amp;Operators'!$C$1:$E$10000,3,FALSE)</f>
        <v>DAVIS</v>
      </c>
      <c r="M43" s="6">
        <f t="shared" si="1"/>
        <v>2.6319444448745344E-2</v>
      </c>
      <c r="N43" s="7">
        <f t="shared" si="2"/>
        <v>37.900000006193295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06:24:00-0600',mode:absolute,to:'2016-09-23 09:08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43" s="54" t="str">
        <f t="shared" si="6"/>
        <v>N</v>
      </c>
      <c r="X43" s="168">
        <f t="shared" si="7"/>
        <v>1</v>
      </c>
      <c r="Y43" s="69">
        <f t="shared" si="8"/>
        <v>4.4200000000000003E-2</v>
      </c>
      <c r="Z43" s="69">
        <f t="shared" si="9"/>
        <v>23.335699999999999</v>
      </c>
      <c r="AA43" s="69">
        <f t="shared" si="10"/>
        <v>23.291499999999999</v>
      </c>
      <c r="AB43" s="66" t="e">
        <f>VLOOKUP(A43,Enforcements!$C$7:$K$20,8,0)</f>
        <v>#N/A</v>
      </c>
      <c r="AC43" s="62" t="e">
        <f>VLOOKUP(A43,Enforcements!$C$7:$E$20,3,0)</f>
        <v>#N/A</v>
      </c>
      <c r="AD43" s="63" t="str">
        <f t="shared" si="11"/>
        <v>0131-23</v>
      </c>
      <c r="AE43" s="99" t="str">
        <f t="shared" si="12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43" s="96" t="str">
        <f t="shared" si="13"/>
        <v>"C:\Program Files (x86)\AstroGrep\AstroGrep.exe" /spath="%USERPROFILE%\AppData\Local\Temp\OnboardLogs" /stypes="app*4029*20160923*"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131-23 --locoid 4029 --swversion DE.1.0.7.0 --startMP 204:442 --initTime 2016-09-23T07:24:00 --startdatetime 2016-09-23T07:30:15 --delay 1 --endMP 204:233357 --enddatetime 2016-09-23T08:08:09 --enforcementcount 0 &gt;&gt;C:\Users\stu\Documents\GitHub\eaglep3-reporting\EC\2016-09-23-refined-times.txt</v>
      </c>
      <c r="AI4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{"issue":{"subject":"","project_id":79,"tracker_id":40,"status_id":1,"priority_id":2,"assigned_to_id":23,"start_date":"2016-09-23","description":"","custom_fields":[{"id":1,"name":"Subdivision","value":"EC"},{"id":4,"name":"Milepost","value":"23.3357"},{"id":17,"name":"Train ID","value":"131-23"},{"id":16,"name":"Locomotive ID","value":"4029"},{"id":130,"name":"Impact","value":""},{"id":150,"name":"Time of Event (Mountain Time)","value":"08:08:09"},{"id":151,"name":"Denver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442</v>
      </c>
      <c r="B44" s="7">
        <v>4030</v>
      </c>
      <c r="C44" s="24" t="s">
        <v>106</v>
      </c>
      <c r="D44" s="24" t="s">
        <v>631</v>
      </c>
      <c r="E44" s="15">
        <v>42636.347812499997</v>
      </c>
      <c r="F44" s="15">
        <v>42636.351539351854</v>
      </c>
      <c r="G44" s="7">
        <v>1</v>
      </c>
      <c r="H44" s="15" t="s">
        <v>127</v>
      </c>
      <c r="I44" s="15">
        <v>42636.382731481484</v>
      </c>
      <c r="J44" s="7">
        <v>0</v>
      </c>
      <c r="K44" s="121" t="str">
        <f t="shared" si="0"/>
        <v>4029/4030</v>
      </c>
      <c r="L44" s="24" t="str">
        <f>VLOOKUP(A44,'Trips&amp;Operators'!$C$1:$E$10000,3,FALSE)</f>
        <v>DAVIS</v>
      </c>
      <c r="M44" s="6">
        <f t="shared" si="1"/>
        <v>3.1192129630653653E-2</v>
      </c>
      <c r="N44" s="7">
        <f t="shared" si="2"/>
        <v>44.916666668141261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https://search-rtdc-monitor-bjffxe2xuh6vdkpspy63sjmuny.us-east-1.es.amazonaws.com/_plugin/kibana/#/discover/Steve-Slow-Train-Analysis-(2080s-and-2083s)?_g=(refreshInterval:(display:Off,section:0,value:0),time:(from:'2016-09-23 07:20:51-0600',mode:absolute,to:'2016-09-23 10:11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44" s="54" t="str">
        <f t="shared" si="6"/>
        <v>N</v>
      </c>
      <c r="X44" s="168">
        <f t="shared" si="7"/>
        <v>1</v>
      </c>
      <c r="Y44" s="69">
        <f t="shared" si="8"/>
        <v>23.308</v>
      </c>
      <c r="Z44" s="69">
        <f t="shared" si="9"/>
        <v>1.54E-2</v>
      </c>
      <c r="AA44" s="69">
        <f t="shared" si="10"/>
        <v>23.2926</v>
      </c>
      <c r="AB44" s="66" t="e">
        <f>VLOOKUP(A44,Enforcements!$C$7:$K$20,8,0)</f>
        <v>#N/A</v>
      </c>
      <c r="AC44" s="62" t="e">
        <f>VLOOKUP(A44,Enforcements!$C$7:$E$20,3,0)</f>
        <v>#N/A</v>
      </c>
      <c r="AD44" s="63" t="str">
        <f t="shared" si="11"/>
        <v>0132-23</v>
      </c>
      <c r="AE44" s="99" t="str">
        <f t="shared" si="12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44" s="96" t="str">
        <f t="shared" si="13"/>
        <v>"C:\Program Files (x86)\AstroGrep\AstroGrep.exe" /spath="%USERPROFILE%\AppData\Local\Temp\OnboardLogs" /stypes="app*4030*20160923*"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132-23 --locoid 4030 --swversion DE.1.0.7.0 --startMP 204:233080 --initTime 2016-09-23T08:20:51 --startdatetime 2016-09-23T08:26:13 --delay 1 --endMP 204:154 --enddatetime 2016-09-23T09:11:08 --enforcementcount 0 &gt;&gt;C:\Users\stu\Documents\GitHub\eaglep3-reporting\EC\2016-09-23-refined-times.txt</v>
      </c>
      <c r="AI4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ID","value":"132-23"},{"id":16,"name":"Locomotive ID","value":"4030"},{"id":130,"name":"Impact","value":""},{"id":150,"name":"Time of Event (Mountain Time)","value":"09:11:08"},{"id":151,"name":"Denver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434</v>
      </c>
      <c r="B45" s="7">
        <v>4040</v>
      </c>
      <c r="C45" s="24" t="s">
        <v>106</v>
      </c>
      <c r="D45" s="24" t="s">
        <v>231</v>
      </c>
      <c r="E45" s="15">
        <v>42636.321712962963</v>
      </c>
      <c r="F45" s="15">
        <v>42636.323125000003</v>
      </c>
      <c r="G45" s="7">
        <v>1</v>
      </c>
      <c r="H45" s="15" t="s">
        <v>244</v>
      </c>
      <c r="I45" s="15">
        <v>42636.348460648151</v>
      </c>
      <c r="J45" s="7">
        <v>0</v>
      </c>
      <c r="K45" s="121" t="str">
        <f t="shared" ref="K45:K76" si="19">IF(ISEVEN(B45),(B45-1)&amp;"/"&amp;B45,B45&amp;"/"&amp;(B45+1))</f>
        <v>4039/4040</v>
      </c>
      <c r="L45" s="24" t="str">
        <f>VLOOKUP(A45,'Trips&amp;Operators'!$C$1:$E$10000,3,FALSE)</f>
        <v>MALAVE</v>
      </c>
      <c r="M45" s="6">
        <f t="shared" ref="M45:M76" si="20">I45-F45</f>
        <v>2.5335648148029577E-2</v>
      </c>
      <c r="N45" s="7">
        <f t="shared" si="2"/>
        <v>36.483333333162591</v>
      </c>
      <c r="O45" s="7"/>
      <c r="P45" s="7"/>
      <c r="Q45" s="25"/>
      <c r="R45" s="25"/>
      <c r="S45" s="37">
        <f t="shared" ref="S45:S76" si="21">SUM(U45:U45)/IF(AG45="EC",12,1)</f>
        <v>1</v>
      </c>
      <c r="T45" s="52" t="str">
        <f t="shared" ref="T45:T76" si="22">IF(ISEVEN(LEFT(AD45,4)),"Southbound","NorthBound")</f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ref="V45:V76" si="23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https://search-rtdc-monitor-bjffxe2xuh6vdkpspy63sjmuny.us-east-1.es.amazonaws.com/_plugin/kibana/#/discover/Steve-Slow-Train-Analysis-(2080s-and-2083s)?_g=(refreshInterval:(display:Off,section:0,value:0),time:(from:'2016-09-23 06:43:16-0600',mode:absolute,to:'2016-09-23 09:21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5" s="54" t="str">
        <f t="shared" ref="W45:W76" si="24">IF(AA45&lt;IF(AG45="EC",23,5.65),"Y","N")</f>
        <v>N</v>
      </c>
      <c r="X45" s="168">
        <f t="shared" si="7"/>
        <v>1</v>
      </c>
      <c r="Y45" s="69">
        <f t="shared" ref="Y45:Y76" si="25">RIGHT(D45,LEN(D45)-4)/10000</f>
        <v>4.5999999999999999E-2</v>
      </c>
      <c r="Z45" s="69">
        <f t="shared" ref="Z45:Z76" si="26">RIGHT(H45,LEN(H45)-4)/10000</f>
        <v>23.329699999999999</v>
      </c>
      <c r="AA45" s="69">
        <f t="shared" ref="AA45:AA76" si="27">ABS(Z45-Y45)</f>
        <v>23.2837</v>
      </c>
      <c r="AB45" s="66" t="e">
        <f>VLOOKUP(A45,Enforcements!$C$7:$K$20,8,0)</f>
        <v>#N/A</v>
      </c>
      <c r="AC45" s="62" t="e">
        <f>VLOOKUP(A45,Enforcements!$C$7:$E$20,3,0)</f>
        <v>#N/A</v>
      </c>
      <c r="AD45" s="63" t="str">
        <f t="shared" ref="AD45:AD76" si="28">IF(LEN(A45)=6,"0"&amp;A45,A45)</f>
        <v>0133-23</v>
      </c>
      <c r="AE45" s="99" t="str">
        <f t="shared" si="12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45" s="96" t="str">
        <f t="shared" si="13"/>
        <v>"C:\Program Files (x86)\AstroGrep\AstroGrep.exe" /spath="%USERPROFILE%\AppData\Local\Temp\OnboardLogs" /stypes="app*4040*20160923*" /stext=" 14:.+((SYSTEM_STATE.+slice.+state.+changed )|(ment ac)|(system.+state.+changed )|(\|lc)|(penalty)|(\[timeout)|(PRM\|1\|D)|(kpr)|(kdp))" /e /r /s</v>
      </c>
      <c r="AG45" s="1" t="str">
        <f t="shared" ref="AG45:AG76" si="29">IFERROR(IF(VALUE(LEFT(AD45,2))&lt;=2,"EC",IF(OR(VALUE(LEFT(AD45,2))=8,VALUE(LEFT(AD45,2))=18),"NW","Other")),"Other")</f>
        <v>EC</v>
      </c>
      <c r="AH45" s="100" t="str">
        <f t="shared" si="17"/>
        <v>"%USERPROFILE%\Documents\GitHub\eaglep3\Utilities\RefineRTDCRunTimes.py" --tripid 133-23 --locoid 4040 --swversion DE.1.0.7.0 --startMP 204:460 --initTime 2016-09-23T07:43:16 --startdatetime 2016-09-23T07:45:18 --delay 1 --endMP 204:233297 --enddatetime 2016-09-23T08:21:47 --enforcementcount 0 &gt;&gt;C:\Users\stu\Documents\GitHub\eaglep3-reporting\EC\2016-09-23-refined-times.txt</v>
      </c>
      <c r="AI4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{"issue":{"subject":"","project_id":79,"tracker_id":40,"status_id":1,"priority_id":2,"assigned_to_id":23,"start_date":"2016-09-23","description":"","custom_fields":[{"id":1,"name":"Subdivision","value":"EC"},{"id":4,"name":"Milepost","value":"23.3297"},{"id":17,"name":"Train ID","value":"133-23"},{"id":16,"name":"Locomotive ID","value":"4040"},{"id":130,"name":"Impact","value":""},{"id":150,"name":"Time of Event (Mountain Time)","value":"08:21:47"},{"id":151,"name":"Denver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447</v>
      </c>
      <c r="B46" s="7">
        <v>4039</v>
      </c>
      <c r="C46" s="24" t="s">
        <v>106</v>
      </c>
      <c r="D46" s="24" t="s">
        <v>314</v>
      </c>
      <c r="E46" s="15">
        <v>42636.36074074074</v>
      </c>
      <c r="F46" s="15">
        <v>42636.36210648148</v>
      </c>
      <c r="G46" s="7">
        <v>1</v>
      </c>
      <c r="H46" s="15" t="s">
        <v>217</v>
      </c>
      <c r="I46" s="15">
        <v>42636.38857638889</v>
      </c>
      <c r="J46" s="7">
        <v>0</v>
      </c>
      <c r="K46" s="121" t="str">
        <f t="shared" si="19"/>
        <v>4039/4040</v>
      </c>
      <c r="L46" s="24" t="str">
        <f>VLOOKUP(A46,'Trips&amp;Operators'!$C$1:$E$10000,3,FALSE)</f>
        <v>MALAVE</v>
      </c>
      <c r="M46" s="6">
        <f t="shared" si="20"/>
        <v>2.6469907410501037E-2</v>
      </c>
      <c r="N46" s="7">
        <f t="shared" si="2"/>
        <v>38.116666671121493</v>
      </c>
      <c r="O46" s="7"/>
      <c r="P46" s="7"/>
      <c r="Q46" s="25"/>
      <c r="R46" s="25"/>
      <c r="S46" s="37">
        <f t="shared" si="21"/>
        <v>1</v>
      </c>
      <c r="T46" s="52" t="str">
        <f t="shared" si="22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07:39:28-0600',mode:absolute,to:'2016-09-23 10:19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6" s="54" t="str">
        <f t="shared" si="24"/>
        <v>N</v>
      </c>
      <c r="X46" s="168">
        <f t="shared" si="7"/>
        <v>1</v>
      </c>
      <c r="Y46" s="69">
        <f t="shared" si="25"/>
        <v>23.297599999999999</v>
      </c>
      <c r="Z46" s="69">
        <f t="shared" si="26"/>
        <v>1.5800000000000002E-2</v>
      </c>
      <c r="AA46" s="69">
        <f t="shared" si="27"/>
        <v>23.2818</v>
      </c>
      <c r="AB46" s="66" t="e">
        <f>VLOOKUP(A46,Enforcements!$C$7:$K$20,8,0)</f>
        <v>#N/A</v>
      </c>
      <c r="AC46" s="62" t="e">
        <f>VLOOKUP(A46,Enforcements!$C$7:$E$20,3,0)</f>
        <v>#N/A</v>
      </c>
      <c r="AD46" s="63" t="str">
        <f t="shared" si="28"/>
        <v>0134-23</v>
      </c>
      <c r="AE46" s="99" t="str">
        <f t="shared" si="12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46" s="96" t="str">
        <f t="shared" si="13"/>
        <v>"C:\Program Files (x86)\AstroGrep\AstroGrep.exe" /spath="%USERPROFILE%\AppData\Local\Temp\OnboardLogs" /stypes="app*4039*20160923*" /stext=" 15:.+((SYSTEM_STATE.+slice.+state.+changed )|(ment ac)|(system.+state.+changed )|(\|lc)|(penalty)|(\[timeout)|(PRM\|1\|D)|(kpr)|(kdp))" /e /r /s</v>
      </c>
      <c r="AG46" s="1" t="str">
        <f t="shared" si="29"/>
        <v>EC</v>
      </c>
      <c r="AH46" s="100" t="str">
        <f t="shared" si="17"/>
        <v>"%USERPROFILE%\Documents\GitHub\eaglep3\Utilities\RefineRTDCRunTimes.py" --tripid 134-23 --locoid 4039 --swversion DE.1.0.7.0 --startMP 204:232976 --initTime 2016-09-23T08:39:28 --startdatetime 2016-09-23T08:41:26 --delay 1 --endMP 204:158 --enddatetime 2016-09-23T09:19:33 --enforcementcount 0 &gt;&gt;C:\Users\stu\Documents\GitHub\eaglep3-reporting\EC\2016-09-23-refined-times.txt</v>
      </c>
      <c r="AI4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{"issue":{"subject":"","project_id":79,"tracker_id":40,"status_id":1,"priority_id":2,"assigned_to_id":23,"start_date":"2016-09-23","description":"","custom_fields":[{"id":1,"name":"Subdivision","value":"EC"},{"id":4,"name":"Milepost","value":"0.0158"},{"id":17,"name":"Train ID","value":"134-23"},{"id":16,"name":"Locomotive ID","value":"4039"},{"id":130,"name":"Impact","value":""},{"id":150,"name":"Time of Event (Mountain Time)","value":"09:19:33"},{"id":151,"name":"Denver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439</v>
      </c>
      <c r="B47" s="7">
        <v>4016</v>
      </c>
      <c r="C47" s="24" t="s">
        <v>106</v>
      </c>
      <c r="D47" s="24" t="s">
        <v>236</v>
      </c>
      <c r="E47" s="15">
        <v>42636.331782407404</v>
      </c>
      <c r="F47" s="15">
        <v>42636.333738425928</v>
      </c>
      <c r="G47" s="7">
        <v>1</v>
      </c>
      <c r="H47" s="15" t="s">
        <v>632</v>
      </c>
      <c r="I47" s="15">
        <v>42636.360914351855</v>
      </c>
      <c r="J47" s="7">
        <v>0</v>
      </c>
      <c r="K47" s="121" t="str">
        <f t="shared" si="19"/>
        <v>4015/4016</v>
      </c>
      <c r="L47" s="24" t="str">
        <f>VLOOKUP(A47,'Trips&amp;Operators'!$C$1:$E$10000,3,FALSE)</f>
        <v>BRANNON</v>
      </c>
      <c r="M47" s="6">
        <f t="shared" si="20"/>
        <v>2.7175925926712807E-2</v>
      </c>
      <c r="N47" s="7">
        <f t="shared" si="2"/>
        <v>39.133333334466442</v>
      </c>
      <c r="O47" s="7"/>
      <c r="P47" s="7"/>
      <c r="Q47" s="25"/>
      <c r="R47" s="25"/>
      <c r="S47" s="37">
        <f t="shared" si="21"/>
        <v>1</v>
      </c>
      <c r="T47" s="52" t="str">
        <f t="shared" si="22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06:57:46-0600',mode:absolute,to:'2016-09-23 09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47" s="54" t="str">
        <f t="shared" si="24"/>
        <v>N</v>
      </c>
      <c r="X47" s="168">
        <f t="shared" si="7"/>
        <v>1</v>
      </c>
      <c r="Y47" s="69">
        <f t="shared" si="25"/>
        <v>4.6899999999999997E-2</v>
      </c>
      <c r="Z47" s="69">
        <f t="shared" si="26"/>
        <v>23.313199999999998</v>
      </c>
      <c r="AA47" s="69">
        <f t="shared" si="27"/>
        <v>23.266299999999998</v>
      </c>
      <c r="AB47" s="66" t="e">
        <f>VLOOKUP(A47,Enforcements!$C$7:$K$20,8,0)</f>
        <v>#N/A</v>
      </c>
      <c r="AC47" s="62" t="e">
        <f>VLOOKUP(A47,Enforcements!$C$7:$E$20,3,0)</f>
        <v>#N/A</v>
      </c>
      <c r="AD47" s="63" t="str">
        <f t="shared" si="28"/>
        <v>0135-23</v>
      </c>
      <c r="AE47" s="99" t="str">
        <f t="shared" si="12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47" s="96" t="str">
        <f t="shared" si="13"/>
        <v>"C:\Program Files (x86)\AstroGrep\AstroGrep.exe" /spath="%USERPROFILE%\AppData\Local\Temp\OnboardLogs" /stypes="app*4016*20160923*" /stext=" 14:.+((SYSTEM_STATE.+slice.+state.+changed )|(ment ac)|(system.+state.+changed )|(\|lc)|(penalty)|(\[timeout)|(PRM\|1\|D)|(kpr)|(kdp))" /e /r /s</v>
      </c>
      <c r="AG47" s="1" t="str">
        <f t="shared" si="29"/>
        <v>EC</v>
      </c>
      <c r="AH47" s="100" t="str">
        <f t="shared" si="17"/>
        <v>"%USERPROFILE%\Documents\GitHub\eaglep3\Utilities\RefineRTDCRunTimes.py" --tripid 135-23 --locoid 4016 --swversion DE.1.0.7.0 --startMP 204:469 --initTime 2016-09-23T07:57:46 --startdatetime 2016-09-23T08:00:35 --delay 1 --endMP 204:233132 --enddatetime 2016-09-23T08:39:43 --enforcementcount 0 &gt;&gt;C:\Users\stu\Documents\GitHub\eaglep3-reporting\EC\2016-09-23-refined-times.txt</v>
      </c>
      <c r="AI4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{"issue":{"subject":"","project_id":79,"tracker_id":40,"status_id":1,"priority_id":2,"assigned_to_id":23,"start_date":"2016-09-23","description":"","custom_fields":[{"id":1,"name":"Subdivision","value":"EC"},{"id":4,"name":"Milepost","value":"23.3132"},{"id":17,"name":"Train ID","value":"135-23"},{"id":16,"name":"Locomotive ID","value":"4016"},{"id":130,"name":"Impact","value":""},{"id":150,"name":"Time of Event (Mountain Time)","value":"08:39:43"},{"id":151,"name":"Denver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448</v>
      </c>
      <c r="B48" s="7">
        <v>4015</v>
      </c>
      <c r="C48" s="24" t="s">
        <v>106</v>
      </c>
      <c r="D48" s="24" t="s">
        <v>633</v>
      </c>
      <c r="E48" s="15">
        <v>42636.370046296295</v>
      </c>
      <c r="F48" s="15">
        <v>42636.372384259259</v>
      </c>
      <c r="G48" s="7">
        <v>0</v>
      </c>
      <c r="H48" s="15" t="s">
        <v>127</v>
      </c>
      <c r="I48" s="15">
        <v>42636.401782407411</v>
      </c>
      <c r="J48" s="7">
        <v>0</v>
      </c>
      <c r="K48" s="121" t="str">
        <f t="shared" si="19"/>
        <v>4015/4016</v>
      </c>
      <c r="L48" s="24" t="str">
        <f>VLOOKUP(A48,'Trips&amp;Operators'!$C$1:$E$10000,3,FALSE)</f>
        <v>BRANNON</v>
      </c>
      <c r="M48" s="6">
        <f t="shared" si="20"/>
        <v>2.9398148151813075E-2</v>
      </c>
      <c r="N48" s="7">
        <f t="shared" si="2"/>
        <v>42.333333338610828</v>
      </c>
      <c r="O48" s="7"/>
      <c r="P48" s="7"/>
      <c r="Q48" s="25"/>
      <c r="R48" s="25"/>
      <c r="S48" s="37">
        <f t="shared" si="21"/>
        <v>1</v>
      </c>
      <c r="T48" s="52" t="str">
        <f t="shared" si="22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07:52:52-0600',mode:absolute,to:'2016-09-23 10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48" s="54" t="str">
        <f t="shared" si="24"/>
        <v>N</v>
      </c>
      <c r="X48" s="168">
        <f t="shared" si="7"/>
        <v>1</v>
      </c>
      <c r="Y48" s="69">
        <f t="shared" si="25"/>
        <v>23.282299999999999</v>
      </c>
      <c r="Z48" s="69">
        <f t="shared" si="26"/>
        <v>1.54E-2</v>
      </c>
      <c r="AA48" s="69">
        <f t="shared" si="27"/>
        <v>23.2669</v>
      </c>
      <c r="AB48" s="66" t="e">
        <f>VLOOKUP(A48,Enforcements!$C$7:$K$20,8,0)</f>
        <v>#N/A</v>
      </c>
      <c r="AC48" s="62" t="e">
        <f>VLOOKUP(A48,Enforcements!$C$7:$E$20,3,0)</f>
        <v>#N/A</v>
      </c>
      <c r="AD48" s="63" t="str">
        <f t="shared" si="28"/>
        <v>0136-23</v>
      </c>
      <c r="AE48" s="99" t="str">
        <f t="shared" si="12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48" s="96" t="str">
        <f t="shared" si="13"/>
        <v>"C:\Program Files (x86)\AstroGrep\AstroGrep.exe" /spath="%USERPROFILE%\AppData\Local\Temp\OnboardLogs" /stypes="app*4015*20160923*" /stext=" 15:.+((SYSTEM_STATE.+slice.+state.+changed )|(ment ac)|(system.+state.+changed )|(\|lc)|(penalty)|(\[timeout)|(PRM\|1\|D)|(kpr)|(kdp))" /e /r /s</v>
      </c>
      <c r="AG48" s="1" t="str">
        <f t="shared" si="29"/>
        <v>EC</v>
      </c>
      <c r="AH48" s="100" t="str">
        <f t="shared" si="17"/>
        <v>"%USERPROFILE%\Documents\GitHub\eaglep3\Utilities\RefineRTDCRunTimes.py" --tripid 136-23 --locoid 4015 --swversion DE.1.0.7.0 --startMP 204:232823 --initTime 2016-09-23T08:52:52 --startdatetime 2016-09-23T08:56:14 --delay 0 --endMP 204:154 --enddatetime 2016-09-23T09:38:34 --enforcementcount 0 &gt;&gt;C:\Users\stu\Documents\GitHub\eaglep3-reporting\EC\2016-09-23-refined-times.txt</v>
      </c>
      <c r="AI4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ID","value":"136-23"},{"id":16,"name":"Locomotive ID","value":"4015"},{"id":130,"name":"Impact","value":""},{"id":150,"name":"Time of Event (Mountain Time)","value":"09:38:34"},{"id":151,"name":"Denver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441</v>
      </c>
      <c r="B49" s="7">
        <v>4003</v>
      </c>
      <c r="C49" s="24" t="s">
        <v>106</v>
      </c>
      <c r="D49" s="24" t="s">
        <v>360</v>
      </c>
      <c r="E49" s="15">
        <v>42636.339837962965</v>
      </c>
      <c r="F49" s="15">
        <v>42636.343946759262</v>
      </c>
      <c r="G49" s="7">
        <v>1</v>
      </c>
      <c r="H49" s="15" t="s">
        <v>634</v>
      </c>
      <c r="I49" s="15">
        <v>42636.368657407409</v>
      </c>
      <c r="J49" s="7">
        <v>0</v>
      </c>
      <c r="K49" s="121" t="str">
        <f t="shared" si="19"/>
        <v>4003/4004</v>
      </c>
      <c r="L49" s="24" t="str">
        <f>VLOOKUP(A49,'Trips&amp;Operators'!$C$1:$E$10000,3,FALSE)</f>
        <v>GEBRETEKLE</v>
      </c>
      <c r="M49" s="6">
        <f t="shared" si="20"/>
        <v>2.47106481474475E-2</v>
      </c>
      <c r="N49" s="7">
        <f t="shared" si="2"/>
        <v>35.583333332324401</v>
      </c>
      <c r="O49" s="7"/>
      <c r="P49" s="7"/>
      <c r="Q49" s="25"/>
      <c r="R49" s="25"/>
      <c r="S49" s="37">
        <f t="shared" si="21"/>
        <v>1</v>
      </c>
      <c r="T49" s="52" t="str">
        <f t="shared" si="22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07:09:22-0600',mode:absolute,to:'2016-09-23 09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49" s="54" t="str">
        <f t="shared" si="24"/>
        <v>N</v>
      </c>
      <c r="X49" s="168">
        <f t="shared" si="7"/>
        <v>1</v>
      </c>
      <c r="Y49" s="69">
        <f t="shared" si="25"/>
        <v>4.3099999999999999E-2</v>
      </c>
      <c r="Z49" s="69">
        <f t="shared" si="26"/>
        <v>23.328499999999998</v>
      </c>
      <c r="AA49" s="69">
        <f t="shared" si="27"/>
        <v>23.285399999999999</v>
      </c>
      <c r="AB49" s="66" t="e">
        <f>VLOOKUP(A49,Enforcements!$C$7:$K$20,8,0)</f>
        <v>#N/A</v>
      </c>
      <c r="AC49" s="62" t="e">
        <f>VLOOKUP(A49,Enforcements!$C$7:$E$20,3,0)</f>
        <v>#N/A</v>
      </c>
      <c r="AD49" s="63" t="str">
        <f t="shared" si="28"/>
        <v>0137-23</v>
      </c>
      <c r="AE49" s="99" t="str">
        <f t="shared" si="12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49" s="96" t="str">
        <f t="shared" si="13"/>
        <v>"C:\Program Files (x86)\AstroGrep\AstroGrep.exe" /spath="%USERPROFILE%\AppData\Local\Temp\OnboardLogs" /stypes="app*4003*20160923*" /stext=" 14:.+((SYSTEM_STATE.+slice.+state.+changed )|(ment ac)|(system.+state.+changed )|(\|lc)|(penalty)|(\[timeout)|(PRM\|1\|D)|(kpr)|(kdp))" /e /r /s</v>
      </c>
      <c r="AG49" s="1" t="str">
        <f t="shared" si="29"/>
        <v>EC</v>
      </c>
      <c r="AH49" s="100" t="str">
        <f t="shared" si="17"/>
        <v>"%USERPROFILE%\Documents\GitHub\eaglep3\Utilities\RefineRTDCRunTimes.py" --tripid 137-23 --locoid 4003 --swversion DE.1.0.7.0 --startMP 204:431 --initTime 2016-09-23T08:09:22 --startdatetime 2016-09-23T08:15:17 --delay 1 --endMP 204:233285 --enddatetime 2016-09-23T08:50:52 --enforcementcount 0 &gt;&gt;C:\Users\stu\Documents\GitHub\eaglep3-reporting\EC\2016-09-23-refined-times.txt</v>
      </c>
      <c r="AI4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{"issue":{"subject":"","project_id":79,"tracker_id":40,"status_id":1,"priority_id":2,"assigned_to_id":23,"start_date":"2016-09-23","description":"","custom_fields":[{"id":1,"name":"Subdivision","value":"EC"},{"id":4,"name":"Milepost","value":"23.3285"},{"id":17,"name":"Train ID","value":"137-23"},{"id":16,"name":"Locomotive ID","value":"4003"},{"id":130,"name":"Impact","value":""},{"id":150,"name":"Time of Event (Mountain Time)","value":"08:50:52"},{"id":151,"name":"Denver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450</v>
      </c>
      <c r="B50" s="7">
        <v>4004</v>
      </c>
      <c r="C50" s="24" t="s">
        <v>106</v>
      </c>
      <c r="D50" s="24" t="s">
        <v>293</v>
      </c>
      <c r="E50" s="15">
        <v>42636.375763888886</v>
      </c>
      <c r="F50" s="15">
        <v>42636.3828125</v>
      </c>
      <c r="G50" s="7">
        <v>1</v>
      </c>
      <c r="H50" s="15" t="s">
        <v>635</v>
      </c>
      <c r="I50" s="15">
        <v>42636.400081018517</v>
      </c>
      <c r="J50" s="7">
        <v>0</v>
      </c>
      <c r="K50" s="121" t="str">
        <f t="shared" si="19"/>
        <v>4003/4004</v>
      </c>
      <c r="L50" s="24" t="str">
        <f>VLOOKUP(A50,'Trips&amp;Operators'!$C$1:$E$10000,3,FALSE)</f>
        <v>GEBRETEKLE</v>
      </c>
      <c r="M50" s="6">
        <f t="shared" si="20"/>
        <v>1.7268518517084885E-2</v>
      </c>
      <c r="N50" s="7"/>
      <c r="O50" s="7"/>
      <c r="P50" s="7">
        <f>24*60*SUM($M50:$M50)</f>
        <v>24.866666664602235</v>
      </c>
      <c r="Q50" s="25"/>
      <c r="R50" s="25" t="s">
        <v>735</v>
      </c>
      <c r="S50" s="37">
        <f t="shared" si="21"/>
        <v>0.25</v>
      </c>
      <c r="T50" s="52" t="str">
        <f t="shared" si="22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3</v>
      </c>
      <c r="V5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08:01:06-0600',mode:absolute,to:'2016-09-23 10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50" s="54" t="str">
        <f t="shared" si="24"/>
        <v>Y</v>
      </c>
      <c r="X50" s="168">
        <f t="shared" si="7"/>
        <v>1</v>
      </c>
      <c r="Y50" s="69">
        <f t="shared" si="25"/>
        <v>23.299299999999999</v>
      </c>
      <c r="Z50" s="69">
        <f t="shared" si="26"/>
        <v>6.4169</v>
      </c>
      <c r="AA50" s="69">
        <f t="shared" si="27"/>
        <v>16.882399999999997</v>
      </c>
      <c r="AB50" s="66" t="e">
        <f>VLOOKUP(A50,Enforcements!$C$7:$K$20,8,0)</f>
        <v>#N/A</v>
      </c>
      <c r="AC50" s="62" t="e">
        <f>VLOOKUP(A50,Enforcements!$C$7:$E$20,3,0)</f>
        <v>#N/A</v>
      </c>
      <c r="AD50" s="63" t="str">
        <f t="shared" si="28"/>
        <v>0138-23</v>
      </c>
      <c r="AE50" s="99" t="str">
        <f t="shared" si="12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50" s="96" t="str">
        <f t="shared" si="13"/>
        <v>"C:\Program Files (x86)\AstroGrep\AstroGrep.exe" /spath="%USERPROFILE%\AppData\Local\Temp\OnboardLogs" /stypes="app*4004*20160923*" /stext=" 15:.+((SYSTEM_STATE.+slice.+state.+changed )|(ment ac)|(system.+state.+changed )|(\|lc)|(penalty)|(\[timeout)|(PRM\|1\|D)|(kpr)|(kdp))" /e /r /s</v>
      </c>
      <c r="AG50" s="1" t="str">
        <f t="shared" si="29"/>
        <v>EC</v>
      </c>
      <c r="AH50" s="100" t="str">
        <f t="shared" si="17"/>
        <v>"%USERPROFILE%\Documents\GitHub\eaglep3\Utilities\RefineRTDCRunTimes.py" --tripid 138-23 --locoid 4004 --swversion DE.1.0.7.0 --startMP 204:232993 --initTime 2016-09-23T09:01:06 --startdatetime 2016-09-23T09:11:15 --delay 1 --endMP 204:64169 --enddatetime 2016-09-23T09:36:07 --enforcementcount 0 &gt;&gt;C:\Users\stu\Documents\GitHub\eaglep3-reporting\EC\2016-09-23-refined-times.txt</v>
      </c>
      <c r="AI50" s="134" t="str">
        <f t="shared" si="18"/>
        <v>echo {"issue":{"subject":"Wi-MAX outage","project_id":79,"tracker_id":40,"status_id":1,"priority_id":2,"assigned_to_id":23,"start_date":"2016-09-23","description":"","custom_fields":[{"id":1,"name":"Subdivision","value":"EC"},{"id":4,"name":"Milepost","value":"6.4169"},{"id":17,"name":"Train ID","value":"138-23"},{"id":16,"name":"Locomotive ID","value":"4004"},{"id":130,"name":"Impact","value":""},{"id":150,"name":"Time of Event (Mountain Time)","value":"09:36:07"},{"id":151,"name":"Denver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443</v>
      </c>
      <c r="B51" s="7">
        <v>4011</v>
      </c>
      <c r="C51" s="24" t="s">
        <v>106</v>
      </c>
      <c r="D51" s="24" t="s">
        <v>348</v>
      </c>
      <c r="E51" s="15">
        <v>42636.350972222222</v>
      </c>
      <c r="F51" s="15">
        <v>42636.354351851849</v>
      </c>
      <c r="G51" s="7">
        <v>0</v>
      </c>
      <c r="H51" s="15" t="s">
        <v>355</v>
      </c>
      <c r="I51" s="15">
        <v>42636.379791666666</v>
      </c>
      <c r="J51" s="7">
        <v>0</v>
      </c>
      <c r="K51" s="121" t="str">
        <f t="shared" si="19"/>
        <v>4011/4012</v>
      </c>
      <c r="L51" s="24" t="str">
        <f>VLOOKUP(A51,'Trips&amp;Operators'!$C$1:$E$10000,3,FALSE)</f>
        <v>SPECTOR</v>
      </c>
      <c r="M51" s="6">
        <f t="shared" si="20"/>
        <v>2.5439814817218576E-2</v>
      </c>
      <c r="N51" s="7">
        <f t="shared" ref="N51:N71" si="30">24*60*SUM($M51:$M51)</f>
        <v>36.633333336794749</v>
      </c>
      <c r="O51" s="7"/>
      <c r="P51" s="7"/>
      <c r="Q51" s="25"/>
      <c r="R51" s="25"/>
      <c r="S51" s="37">
        <f t="shared" si="21"/>
        <v>1</v>
      </c>
      <c r="T51" s="52" t="str">
        <f t="shared" si="22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07:25:24-0600',mode:absolute,to:'2016-09-23 10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51" s="54" t="str">
        <f t="shared" si="24"/>
        <v>N</v>
      </c>
      <c r="X51" s="168">
        <f t="shared" si="7"/>
        <v>1</v>
      </c>
      <c r="Y51" s="69">
        <f t="shared" si="25"/>
        <v>4.7500000000000001E-2</v>
      </c>
      <c r="Z51" s="69">
        <f t="shared" si="26"/>
        <v>23.332000000000001</v>
      </c>
      <c r="AA51" s="69">
        <f t="shared" si="27"/>
        <v>23.284500000000001</v>
      </c>
      <c r="AB51" s="66" t="e">
        <f>VLOOKUP(A51,Enforcements!$C$7:$K$20,8,0)</f>
        <v>#N/A</v>
      </c>
      <c r="AC51" s="62" t="e">
        <f>VLOOKUP(A51,Enforcements!$C$7:$E$20,3,0)</f>
        <v>#N/A</v>
      </c>
      <c r="AD51" s="63" t="str">
        <f t="shared" si="28"/>
        <v>0139-23</v>
      </c>
      <c r="AE51" s="99" t="str">
        <f t="shared" si="12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51" s="96" t="str">
        <f t="shared" si="13"/>
        <v>"C:\Program Files (x86)\AstroGrep\AstroGrep.exe" /spath="%USERPROFILE%\AppData\Local\Temp\OnboardLogs" /stypes="app*4011*20160923*" /stext=" 15:.+((SYSTEM_STATE.+slice.+state.+changed )|(ment ac)|(system.+state.+changed )|(\|lc)|(penalty)|(\[timeout)|(PRM\|1\|D)|(kpr)|(kdp))" /e /r /s</v>
      </c>
      <c r="AG51" s="1" t="str">
        <f t="shared" si="29"/>
        <v>EC</v>
      </c>
      <c r="AH51" s="100" t="str">
        <f t="shared" si="17"/>
        <v>"%USERPROFILE%\Documents\GitHub\eaglep3\Utilities\RefineRTDCRunTimes.py" --tripid 139-23 --locoid 4011 --swversion DE.1.0.7.0 --startMP 204:475 --initTime 2016-09-23T08:25:24 --startdatetime 2016-09-23T08:30:16 --delay 0 --endMP 204:233320 --enddatetime 2016-09-23T09:06:54 --enforcementcount 0 &gt;&gt;C:\Users\stu\Documents\GitHub\eaglep3-reporting\EC\2016-09-23-refined-times.txt</v>
      </c>
      <c r="AI5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{"issue":{"subject":"","project_id":79,"tracker_id":40,"status_id":1,"priority_id":2,"assigned_to_id":23,"start_date":"2016-09-23","description":"","custom_fields":[{"id":1,"name":"Subdivision","value":"EC"},{"id":4,"name":"Milepost","value":"23.332"},{"id":17,"name":"Train ID","value":"139-23"},{"id":16,"name":"Locomotive ID","value":"4011"},{"id":130,"name":"Impact","value":""},{"id":150,"name":"Time of Event (Mountain Time)","value":"09:06:54"},{"id":151,"name":"Denver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453</v>
      </c>
      <c r="B52" s="7">
        <v>4012</v>
      </c>
      <c r="C52" s="24" t="s">
        <v>106</v>
      </c>
      <c r="D52" s="24" t="s">
        <v>356</v>
      </c>
      <c r="E52" s="15">
        <v>42636.389675925922</v>
      </c>
      <c r="F52" s="15">
        <v>42636.393217592595</v>
      </c>
      <c r="G52" s="7">
        <v>1</v>
      </c>
      <c r="H52" s="15" t="s">
        <v>616</v>
      </c>
      <c r="I52" s="15">
        <v>42636.420868055553</v>
      </c>
      <c r="J52" s="7">
        <v>0</v>
      </c>
      <c r="K52" s="121" t="str">
        <f t="shared" si="19"/>
        <v>4011/4012</v>
      </c>
      <c r="L52" s="24" t="str">
        <f>VLOOKUP(A52,'Trips&amp;Operators'!$C$1:$E$10000,3,FALSE)</f>
        <v>SPECTOR</v>
      </c>
      <c r="M52" s="6">
        <f t="shared" si="20"/>
        <v>2.7650462958263233E-2</v>
      </c>
      <c r="N52" s="7">
        <f t="shared" si="30"/>
        <v>39.816666659899056</v>
      </c>
      <c r="O52" s="7"/>
      <c r="P52" s="7"/>
      <c r="Q52" s="25"/>
      <c r="R52" s="25"/>
      <c r="S52" s="37">
        <f t="shared" si="21"/>
        <v>1</v>
      </c>
      <c r="T52" s="52" t="str">
        <f t="shared" si="22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08:21:08-0600',mode:absolute,to:'2016-09-23 11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52" s="54" t="str">
        <f t="shared" si="24"/>
        <v>N</v>
      </c>
      <c r="X52" s="168">
        <f t="shared" si="7"/>
        <v>1</v>
      </c>
      <c r="Y52" s="69">
        <f t="shared" si="25"/>
        <v>23.298999999999999</v>
      </c>
      <c r="Z52" s="69">
        <f t="shared" si="26"/>
        <v>1.6500000000000001E-2</v>
      </c>
      <c r="AA52" s="69">
        <f t="shared" si="27"/>
        <v>23.282499999999999</v>
      </c>
      <c r="AB52" s="66" t="e">
        <f>VLOOKUP(A52,Enforcements!$C$7:$K$20,8,0)</f>
        <v>#N/A</v>
      </c>
      <c r="AC52" s="62" t="e">
        <f>VLOOKUP(A52,Enforcements!$C$7:$E$20,3,0)</f>
        <v>#N/A</v>
      </c>
      <c r="AD52" s="63" t="str">
        <f t="shared" si="28"/>
        <v>0140-23</v>
      </c>
      <c r="AE52" s="99" t="str">
        <f t="shared" si="12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52" s="96" t="str">
        <f t="shared" si="13"/>
        <v>"C:\Program Files (x86)\AstroGrep\AstroGrep.exe" /spath="%USERPROFILE%\AppData\Local\Temp\OnboardLogs" /stypes="app*4012*20160923*" /stext=" 16:.+((SYSTEM_STATE.+slice.+state.+changed )|(ment ac)|(system.+state.+changed )|(\|lc)|(penalty)|(\[timeout)|(PRM\|1\|D)|(kpr)|(kdp))" /e /r /s</v>
      </c>
      <c r="AG52" s="1" t="str">
        <f t="shared" si="29"/>
        <v>EC</v>
      </c>
      <c r="AH52" s="100" t="str">
        <f t="shared" si="17"/>
        <v>"%USERPROFILE%\Documents\GitHub\eaglep3\Utilities\RefineRTDCRunTimes.py" --tripid 140-23 --locoid 4012 --swversion DE.1.0.7.0 --startMP 204:232990 --initTime 2016-09-23T09:21:08 --startdatetime 2016-09-23T09:26:14 --delay 1 --endMP 204:165 --enddatetime 2016-09-23T10:06:03 --enforcementcount 0 &gt;&gt;C:\Users\stu\Documents\GitHub\eaglep3-reporting\EC\2016-09-23-refined-times.txt</v>
      </c>
      <c r="AI52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{"issue":{"subject":"","project_id":79,"tracker_id":40,"status_id":1,"priority_id":2,"assigned_to_id":23,"start_date":"2016-09-23","description":"","custom_fields":[{"id":1,"name":"Subdivision","value":"EC"},{"id":4,"name":"Milepost","value":"0.0165"},{"id":17,"name":"Train ID","value":"140-23"},{"id":16,"name":"Locomotive ID","value":"4012"},{"id":130,"name":"Impact","value":""},{"id":150,"name":"Time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446</v>
      </c>
      <c r="B53" s="7">
        <v>4044</v>
      </c>
      <c r="C53" s="24" t="s">
        <v>106</v>
      </c>
      <c r="D53" s="24" t="s">
        <v>226</v>
      </c>
      <c r="E53" s="15">
        <v>42636.359953703701</v>
      </c>
      <c r="F53" s="15">
        <v>42636.364999999998</v>
      </c>
      <c r="G53" s="7">
        <v>1</v>
      </c>
      <c r="H53" s="15" t="s">
        <v>628</v>
      </c>
      <c r="I53" s="15">
        <v>42636.390081018515</v>
      </c>
      <c r="J53" s="7">
        <v>0</v>
      </c>
      <c r="K53" s="121" t="str">
        <f t="shared" si="19"/>
        <v>4043/4044</v>
      </c>
      <c r="L53" s="24" t="str">
        <f>VLOOKUP(A53,'Trips&amp;Operators'!$C$1:$E$10000,3,FALSE)</f>
        <v>MAELZER</v>
      </c>
      <c r="M53" s="6">
        <f t="shared" si="20"/>
        <v>2.5081018517084885E-2</v>
      </c>
      <c r="N53" s="7">
        <f t="shared" si="30"/>
        <v>36.116666664602235</v>
      </c>
      <c r="O53" s="7"/>
      <c r="P53" s="7"/>
      <c r="Q53" s="25"/>
      <c r="R53" s="25"/>
      <c r="S53" s="37">
        <f t="shared" si="21"/>
        <v>1</v>
      </c>
      <c r="T53" s="52" t="str">
        <f t="shared" si="22"/>
        <v>NorthBound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07:38:20-0600',mode:absolute,to:'2016-09-23 10:21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53" s="54" t="str">
        <f t="shared" si="24"/>
        <v>N</v>
      </c>
      <c r="X53" s="168">
        <f t="shared" si="7"/>
        <v>1</v>
      </c>
      <c r="Y53" s="69">
        <f t="shared" si="25"/>
        <v>4.5100000000000001E-2</v>
      </c>
      <c r="Z53" s="69">
        <f t="shared" si="26"/>
        <v>23.332100000000001</v>
      </c>
      <c r="AA53" s="69">
        <f t="shared" si="27"/>
        <v>23.286999999999999</v>
      </c>
      <c r="AB53" s="66" t="e">
        <f>VLOOKUP(A53,Enforcements!$C$7:$K$20,8,0)</f>
        <v>#N/A</v>
      </c>
      <c r="AC53" s="62" t="e">
        <f>VLOOKUP(A53,Enforcements!$C$7:$E$20,3,0)</f>
        <v>#N/A</v>
      </c>
      <c r="AD53" s="63" t="str">
        <f t="shared" si="28"/>
        <v>0141-23</v>
      </c>
      <c r="AE53" s="99" t="str">
        <f t="shared" si="12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53" s="96" t="str">
        <f t="shared" si="13"/>
        <v>"C:\Program Files (x86)\AstroGrep\AstroGrep.exe" /spath="%USERPROFILE%\AppData\Local\Temp\OnboardLogs" /stypes="app*4044*20160923*" /stext=" 15:.+((SYSTEM_STATE.+slice.+state.+changed )|(ment ac)|(system.+state.+changed )|(\|lc)|(penalty)|(\[timeout)|(PRM\|1\|D)|(kpr)|(kdp))" /e /r /s</v>
      </c>
      <c r="AG53" s="1" t="str">
        <f t="shared" si="29"/>
        <v>EC</v>
      </c>
      <c r="AH53" s="100" t="str">
        <f t="shared" si="17"/>
        <v>"%USERPROFILE%\Documents\GitHub\eaglep3\Utilities\RefineRTDCRunTimes.py" --tripid 141-23 --locoid 4044 --swversion DE.1.0.7.0 --startMP 204:451 --initTime 2016-09-23T08:38:20 --startdatetime 2016-09-23T08:45:36 --delay 1 --endMP 204:233321 --enddatetime 2016-09-23T09:21:43 --enforcementcount 0 &gt;&gt;C:\Users\stu\Documents\GitHub\eaglep3-reporting\EC\2016-09-23-refined-times.txt</v>
      </c>
      <c r="AI5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{"issue":{"subject":"","project_id":79,"tracker_id":40,"status_id":1,"priority_id":2,"assigned_to_id":23,"start_date":"2016-09-23","description":"","custom_fields":[{"id":1,"name":"Subdivision","value":"EC"},{"id":4,"name":"Milepost","value":"23.3321"},{"id":17,"name":"Train ID","value":"141-23"},{"id":16,"name":"Locomotive ID","value":"4044"},{"id":130,"name":"Impact","value":""},{"id":150,"name":"Time of Event (Mountain Time)","value":"09:21:43"},{"id":151,"name":"Denver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455</v>
      </c>
      <c r="B54" s="7">
        <v>4043</v>
      </c>
      <c r="C54" s="24" t="s">
        <v>106</v>
      </c>
      <c r="D54" s="24" t="s">
        <v>636</v>
      </c>
      <c r="E54" s="15">
        <v>42636.395138888889</v>
      </c>
      <c r="F54" s="15">
        <v>42636.403831018521</v>
      </c>
      <c r="G54" s="7">
        <v>1</v>
      </c>
      <c r="H54" s="15" t="s">
        <v>234</v>
      </c>
      <c r="I54" s="15">
        <v>42636.430347222224</v>
      </c>
      <c r="J54" s="7">
        <v>0</v>
      </c>
      <c r="K54" s="121" t="str">
        <f t="shared" si="19"/>
        <v>4043/4044</v>
      </c>
      <c r="L54" s="24" t="str">
        <f>VLOOKUP(A54,'Trips&amp;Operators'!$C$1:$E$10000,3,FALSE)</f>
        <v>MAELZER</v>
      </c>
      <c r="M54" s="6">
        <f t="shared" si="20"/>
        <v>2.6516203703067731E-2</v>
      </c>
      <c r="N54" s="7">
        <f t="shared" si="30"/>
        <v>38.183333332417533</v>
      </c>
      <c r="O54" s="7"/>
      <c r="P54" s="7"/>
      <c r="Q54" s="25"/>
      <c r="R54" s="25"/>
      <c r="S54" s="37">
        <f t="shared" si="21"/>
        <v>1</v>
      </c>
      <c r="T54" s="52" t="str">
        <f t="shared" si="22"/>
        <v>Southbound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08:29:00-0600',mode:absolute,to:'2016-09-23 11:19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54" s="54" t="str">
        <f t="shared" si="24"/>
        <v>N</v>
      </c>
      <c r="X54" s="168">
        <f t="shared" si="7"/>
        <v>1</v>
      </c>
      <c r="Y54" s="69">
        <f t="shared" si="25"/>
        <v>23.300599999999999</v>
      </c>
      <c r="Z54" s="69">
        <f t="shared" si="26"/>
        <v>1.38E-2</v>
      </c>
      <c r="AA54" s="69">
        <f t="shared" si="27"/>
        <v>23.286799999999999</v>
      </c>
      <c r="AB54" s="66" t="e">
        <f>VLOOKUP(A54,Enforcements!$C$7:$K$20,8,0)</f>
        <v>#N/A</v>
      </c>
      <c r="AC54" s="62" t="e">
        <f>VLOOKUP(A54,Enforcements!$C$7:$E$20,3,0)</f>
        <v>#N/A</v>
      </c>
      <c r="AD54" s="63" t="str">
        <f t="shared" si="28"/>
        <v>0142-23</v>
      </c>
      <c r="AE54" s="99" t="str">
        <f t="shared" si="12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54" s="96" t="str">
        <f t="shared" si="13"/>
        <v>"C:\Program Files (x86)\AstroGrep\AstroGrep.exe" /spath="%USERPROFILE%\AppData\Local\Temp\OnboardLogs" /stypes="app*4043*20160923*" /stext=" 16:.+((SYSTEM_STATE.+slice.+state.+changed )|(ment ac)|(system.+state.+changed )|(\|lc)|(penalty)|(\[timeout)|(PRM\|1\|D)|(kpr)|(kdp))" /e /r /s</v>
      </c>
      <c r="AG54" s="1" t="str">
        <f t="shared" si="29"/>
        <v>EC</v>
      </c>
      <c r="AH54" s="100" t="str">
        <f t="shared" si="17"/>
        <v>"%USERPROFILE%\Documents\GitHub\eaglep3\Utilities\RefineRTDCRunTimes.py" --tripid 142-23 --locoid 4043 --swversion DE.1.0.7.0 --startMP 204:233006 --initTime 2016-09-23T09:29:00 --startdatetime 2016-09-23T09:41:31 --delay 1 --endMP 204:138 --enddatetime 2016-09-23T10:19:42 --enforcementcount 0 &gt;&gt;C:\Users\stu\Documents\GitHub\eaglep3-reporting\EC\2016-09-23-refined-times.txt</v>
      </c>
      <c r="AI5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{"issue":{"subject":"","project_id":79,"tracker_id":40,"status_id":1,"priority_id":2,"assigned_to_id":23,"start_date":"2016-09-23","description":"","custom_fields":[{"id":1,"name":"Subdivision","value":"EC"},{"id":4,"name":"Milepost","value":"0.0138"},{"id":17,"name":"Train ID","value":"142-23"},{"id":16,"name":"Locomotive ID","value":"4043"},{"id":130,"name":"Impact","value":""},{"id":150,"name":"Time of Event (Mountain Time)","value":"10:19:42"},{"id":151,"name":"Denver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449</v>
      </c>
      <c r="B55" s="7">
        <v>4027</v>
      </c>
      <c r="C55" s="24" t="s">
        <v>106</v>
      </c>
      <c r="D55" s="24" t="s">
        <v>225</v>
      </c>
      <c r="E55" s="15">
        <v>42636.371296296296</v>
      </c>
      <c r="F55" s="15">
        <v>42636.375335648147</v>
      </c>
      <c r="G55" s="7">
        <v>1</v>
      </c>
      <c r="H55" s="15" t="s">
        <v>316</v>
      </c>
      <c r="I55" s="15">
        <v>42636.401053240741</v>
      </c>
      <c r="J55" s="7">
        <v>0</v>
      </c>
      <c r="K55" s="121" t="str">
        <f t="shared" si="19"/>
        <v>4027/4028</v>
      </c>
      <c r="L55" s="24" t="str">
        <f>VLOOKUP(A55,'Trips&amp;Operators'!$C$1:$E$10000,3,FALSE)</f>
        <v>ROCHA</v>
      </c>
      <c r="M55" s="6">
        <f t="shared" si="20"/>
        <v>2.5717592594446614E-2</v>
      </c>
      <c r="N55" s="7">
        <f t="shared" si="30"/>
        <v>37.033333336003125</v>
      </c>
      <c r="O55" s="7"/>
      <c r="P55" s="7"/>
      <c r="Q55" s="25"/>
      <c r="R55" s="25"/>
      <c r="S55" s="37">
        <f t="shared" si="21"/>
        <v>1</v>
      </c>
      <c r="T55" s="52" t="str">
        <f t="shared" si="22"/>
        <v>NorthBound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07:54:40-0600',mode:absolute,to:'2016-09-23 10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5" s="54" t="str">
        <f t="shared" si="24"/>
        <v>N</v>
      </c>
      <c r="X55" s="168">
        <f t="shared" si="7"/>
        <v>1</v>
      </c>
      <c r="Y55" s="69">
        <f t="shared" si="25"/>
        <v>4.6600000000000003E-2</v>
      </c>
      <c r="Z55" s="69">
        <f t="shared" si="26"/>
        <v>23.328399999999998</v>
      </c>
      <c r="AA55" s="69">
        <f t="shared" si="27"/>
        <v>23.281799999999997</v>
      </c>
      <c r="AB55" s="66" t="e">
        <f>VLOOKUP(A55,Enforcements!$C$7:$K$20,8,0)</f>
        <v>#N/A</v>
      </c>
      <c r="AC55" s="62" t="e">
        <f>VLOOKUP(A55,Enforcements!$C$7:$E$20,3,0)</f>
        <v>#N/A</v>
      </c>
      <c r="AD55" s="63" t="str">
        <f t="shared" si="28"/>
        <v>0143-23</v>
      </c>
      <c r="AE55" s="99" t="str">
        <f t="shared" si="12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55" s="96" t="str">
        <f t="shared" si="13"/>
        <v>"C:\Program Files (x86)\AstroGrep\AstroGrep.exe" /spath="%USERPROFILE%\AppData\Local\Temp\OnboardLogs" /stypes="app*4027*20160923*" /stext=" 15:.+((SYSTEM_STATE.+slice.+state.+changed )|(ment ac)|(system.+state.+changed )|(\|lc)|(penalty)|(\[timeout)|(PRM\|1\|D)|(kpr)|(kdp))" /e /r /s</v>
      </c>
      <c r="AG55" s="1" t="str">
        <f t="shared" si="29"/>
        <v>EC</v>
      </c>
      <c r="AH55" s="100" t="str">
        <f t="shared" si="17"/>
        <v>"%USERPROFILE%\Documents\GitHub\eaglep3\Utilities\RefineRTDCRunTimes.py" --tripid 143-23 --locoid 4027 --swversion DE.1.0.7.0 --startMP 204:466 --initTime 2016-09-23T08:54:40 --startdatetime 2016-09-23T09:00:29 --delay 1 --endMP 204:233284 --enddatetime 2016-09-23T09:37:31 --enforcementcount 0 &gt;&gt;C:\Users\stu\Documents\GitHub\eaglep3-reporting\EC\2016-09-23-refined-times.txt</v>
      </c>
      <c r="AI5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{"issue":{"subject":"","project_id":79,"tracker_id":40,"status_id":1,"priority_id":2,"assigned_to_id":23,"start_date":"2016-09-23","description":"","custom_fields":[{"id":1,"name":"Subdivision","value":"EC"},{"id":4,"name":"Milepost","value":"23.3284"},{"id":17,"name":"Train ID","value":"143-23"},{"id":16,"name":"Locomotive ID","value":"4027"},{"id":130,"name":"Impact","value":""},{"id":150,"name":"Time of Event (Mountain Time)","value":"09:37:31"},{"id":151,"name":"Denver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458</v>
      </c>
      <c r="B56" s="7">
        <v>4028</v>
      </c>
      <c r="C56" s="24" t="s">
        <v>106</v>
      </c>
      <c r="D56" s="24" t="s">
        <v>637</v>
      </c>
      <c r="E56" s="15">
        <v>42636.402997685182</v>
      </c>
      <c r="F56" s="15">
        <v>42636.414375</v>
      </c>
      <c r="G56" s="7">
        <v>2</v>
      </c>
      <c r="H56" s="15" t="s">
        <v>222</v>
      </c>
      <c r="I56" s="15">
        <v>42636.44054398148</v>
      </c>
      <c r="J56" s="7">
        <v>0</v>
      </c>
      <c r="K56" s="121" t="str">
        <f t="shared" si="19"/>
        <v>4027/4028</v>
      </c>
      <c r="L56" s="24" t="str">
        <f>VLOOKUP(A56,'Trips&amp;Operators'!$C$1:$E$10000,3,FALSE)</f>
        <v>ROCHA</v>
      </c>
      <c r="M56" s="6">
        <f t="shared" si="20"/>
        <v>2.6168981479713693E-2</v>
      </c>
      <c r="N56" s="7">
        <f t="shared" si="30"/>
        <v>37.683333330787718</v>
      </c>
      <c r="O56" s="7"/>
      <c r="P56" s="7"/>
      <c r="Q56" s="25"/>
      <c r="R56" s="25"/>
      <c r="S56" s="37">
        <f t="shared" si="21"/>
        <v>1</v>
      </c>
      <c r="T56" s="52" t="str">
        <f t="shared" si="22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08:40:19-0600',mode:absolute,to:'2016-09-23 11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24"/>
        <v>N</v>
      </c>
      <c r="X56" s="168">
        <f t="shared" si="7"/>
        <v>1</v>
      </c>
      <c r="Y56" s="69">
        <f t="shared" si="25"/>
        <v>23.296700000000001</v>
      </c>
      <c r="Z56" s="69">
        <f t="shared" si="26"/>
        <v>1.52E-2</v>
      </c>
      <c r="AA56" s="69">
        <f t="shared" si="27"/>
        <v>23.281500000000001</v>
      </c>
      <c r="AB56" s="66" t="e">
        <f>VLOOKUP(A56,Enforcements!$C$7:$K$20,8,0)</f>
        <v>#N/A</v>
      </c>
      <c r="AC56" s="62" t="e">
        <f>VLOOKUP(A56,Enforcements!$C$7:$E$20,3,0)</f>
        <v>#N/A</v>
      </c>
      <c r="AD56" s="63" t="str">
        <f t="shared" si="28"/>
        <v>0144-23</v>
      </c>
      <c r="AE56" s="99" t="str">
        <f t="shared" si="12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56" s="96" t="str">
        <f t="shared" si="13"/>
        <v>"C:\Program Files (x86)\AstroGrep\AstroGrep.exe" /spath="%USERPROFILE%\AppData\Local\Temp\OnboardLogs" /stypes="app*4028*20160923*" /stext=" 16:.+((SYSTEM_STATE.+slice.+state.+changed )|(ment ac)|(system.+state.+changed )|(\|lc)|(penalty)|(\[timeout)|(PRM\|1\|D)|(kpr)|(kdp))" /e /r /s</v>
      </c>
      <c r="AG56" s="1" t="str">
        <f t="shared" si="29"/>
        <v>EC</v>
      </c>
      <c r="AH56" s="100" t="str">
        <f t="shared" si="17"/>
        <v>"%USERPROFILE%\Documents\GitHub\eaglep3\Utilities\RefineRTDCRunTimes.py" --tripid 144-23 --locoid 4028 --swversion DE.1.0.7.0 --startMP 204:232967 --initTime 2016-09-23T09:40:19 --startdatetime 2016-09-23T09:56:42 --delay 2 --endMP 204:152 --enddatetime 2016-09-23T10:34:23 --enforcementcount 0 &gt;&gt;C:\Users\stu\Documents\GitHub\eaglep3-reporting\EC\2016-09-23-refined-times.txt</v>
      </c>
      <c r="AI5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ID","value":"144-23"},{"id":16,"name":"Locomotive ID","value":"4028"},{"id":130,"name":"Impact","value":""},{"id":150,"name":"Time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452</v>
      </c>
      <c r="B57" s="7">
        <v>4029</v>
      </c>
      <c r="C57" s="24" t="s">
        <v>106</v>
      </c>
      <c r="D57" s="24" t="s">
        <v>223</v>
      </c>
      <c r="E57" s="15">
        <v>42636.383784722224</v>
      </c>
      <c r="F57" s="15">
        <v>42636.385578703703</v>
      </c>
      <c r="G57" s="7">
        <v>1</v>
      </c>
      <c r="H57" s="15" t="s">
        <v>638</v>
      </c>
      <c r="I57" s="15">
        <v>42636.410891203705</v>
      </c>
      <c r="J57" s="7">
        <v>0</v>
      </c>
      <c r="K57" s="121" t="str">
        <f t="shared" si="19"/>
        <v>4029/4030</v>
      </c>
      <c r="L57" s="24" t="str">
        <f>VLOOKUP(A57,'Trips&amp;Operators'!$C$1:$E$10000,3,FALSE)</f>
        <v>DAVIS</v>
      </c>
      <c r="M57" s="6">
        <f t="shared" si="20"/>
        <v>2.531250000174623E-2</v>
      </c>
      <c r="N57" s="7">
        <f t="shared" si="30"/>
        <v>36.450000002514571</v>
      </c>
      <c r="O57" s="7"/>
      <c r="P57" s="7"/>
      <c r="Q57" s="25"/>
      <c r="R57" s="25"/>
      <c r="S57" s="37">
        <f t="shared" si="21"/>
        <v>1</v>
      </c>
      <c r="T57" s="52" t="str">
        <f t="shared" si="22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08:12:39-0600',mode:absolute,to:'2016-09-23 10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57" s="54" t="str">
        <f t="shared" si="24"/>
        <v>N</v>
      </c>
      <c r="X57" s="168">
        <f t="shared" ref="X57:X61" si="31">VALUE(LEFT(AD57,4))-VALUE(LEFT(AD56,4))</f>
        <v>1</v>
      </c>
      <c r="Y57" s="69">
        <f t="shared" si="25"/>
        <v>4.5699999999999998E-2</v>
      </c>
      <c r="Z57" s="69">
        <f t="shared" si="26"/>
        <v>23.328099999999999</v>
      </c>
      <c r="AA57" s="69">
        <f t="shared" si="27"/>
        <v>23.282399999999999</v>
      </c>
      <c r="AB57" s="66" t="e">
        <f>VLOOKUP(A57,Enforcements!$C$7:$K$20,8,0)</f>
        <v>#N/A</v>
      </c>
      <c r="AC57" s="62" t="e">
        <f>VLOOKUP(A57,Enforcements!$C$7:$E$20,3,0)</f>
        <v>#N/A</v>
      </c>
      <c r="AD57" s="63" t="str">
        <f t="shared" si="28"/>
        <v>0145-23</v>
      </c>
      <c r="AE57" s="99" t="str">
        <f t="shared" si="12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57" s="96" t="str">
        <f t="shared" si="13"/>
        <v>"C:\Program Files (x86)\AstroGrep\AstroGrep.exe" /spath="%USERPROFILE%\AppData\Local\Temp\OnboardLogs" /stypes="app*4029*20160923*" /stext=" 15:.+((SYSTEM_STATE.+slice.+state.+changed )|(ment ac)|(system.+state.+changed )|(\|lc)|(penalty)|(\[timeout)|(PRM\|1\|D)|(kpr)|(kdp))" /e /r /s</v>
      </c>
      <c r="AG57" s="1" t="str">
        <f t="shared" si="29"/>
        <v>EC</v>
      </c>
      <c r="AH57" s="100" t="str">
        <f t="shared" si="17"/>
        <v>"%USERPROFILE%\Documents\GitHub\eaglep3\Utilities\RefineRTDCRunTimes.py" --tripid 145-23 --locoid 4029 --swversion DE.1.0.7.0 --startMP 204:457 --initTime 2016-09-23T09:12:39 --startdatetime 2016-09-23T09:15:14 --delay 1 --endMP 204:233281 --enddatetime 2016-09-23T09:51:41 --enforcementcount 0 &gt;&gt;C:\Users\stu\Documents\GitHub\eaglep3-reporting\EC\2016-09-23-refined-times.txt</v>
      </c>
      <c r="AI5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{"issue":{"subject":"","project_id":79,"tracker_id":40,"status_id":1,"priority_id":2,"assigned_to_id":23,"start_date":"2016-09-23","description":"","custom_fields":[{"id":1,"name":"Subdivision","value":"EC"},{"id":4,"name":"Milepost","value":"23.3281"},{"id":17,"name":"Train ID","value":"145-23"},{"id":16,"name":"Locomotive ID","value":"4029"},{"id":130,"name":"Impact","value":""},{"id":150,"name":"Time of Event (Mountain Time)","value":"09:51:41"},{"id":151,"name":"Denver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461</v>
      </c>
      <c r="B58" s="7">
        <v>4030</v>
      </c>
      <c r="C58" s="24" t="s">
        <v>106</v>
      </c>
      <c r="D58" s="24" t="s">
        <v>639</v>
      </c>
      <c r="E58" s="15">
        <v>42636.420034722221</v>
      </c>
      <c r="F58" s="15">
        <v>42636.425000000003</v>
      </c>
      <c r="G58" s="7">
        <v>1</v>
      </c>
      <c r="H58" s="15" t="s">
        <v>267</v>
      </c>
      <c r="I58" s="15">
        <v>42636.45480324074</v>
      </c>
      <c r="J58" s="7">
        <v>0</v>
      </c>
      <c r="K58" s="121" t="str">
        <f t="shared" si="19"/>
        <v>4029/4030</v>
      </c>
      <c r="L58" s="24" t="str">
        <f>VLOOKUP(A58,'Trips&amp;Operators'!$C$1:$E$10000,3,FALSE)</f>
        <v>DAVIS</v>
      </c>
      <c r="M58" s="6">
        <f t="shared" si="20"/>
        <v>2.9803240737237502E-2</v>
      </c>
      <c r="N58" s="7">
        <f t="shared" si="30"/>
        <v>42.916666661622003</v>
      </c>
      <c r="O58" s="7"/>
      <c r="P58" s="7"/>
      <c r="Q58" s="25"/>
      <c r="R58" s="25"/>
      <c r="S58" s="37">
        <f t="shared" si="21"/>
        <v>1</v>
      </c>
      <c r="T58" s="52" t="str">
        <f t="shared" si="22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09:04:51-0600',mode:absolute,to:'2016-09-23 11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58" s="54" t="str">
        <f t="shared" si="24"/>
        <v>N</v>
      </c>
      <c r="X58" s="168">
        <f t="shared" si="31"/>
        <v>1</v>
      </c>
      <c r="Y58" s="69">
        <f t="shared" si="25"/>
        <v>23.2972</v>
      </c>
      <c r="Z58" s="69">
        <f t="shared" si="26"/>
        <v>1.41E-2</v>
      </c>
      <c r="AA58" s="69">
        <f t="shared" si="27"/>
        <v>23.283100000000001</v>
      </c>
      <c r="AB58" s="66" t="e">
        <f>VLOOKUP(A58,Enforcements!$C$7:$K$20,8,0)</f>
        <v>#N/A</v>
      </c>
      <c r="AC58" s="62" t="e">
        <f>VLOOKUP(A58,Enforcements!$C$7:$E$20,3,0)</f>
        <v>#N/A</v>
      </c>
      <c r="AD58" s="63" t="str">
        <f t="shared" si="28"/>
        <v>0146-23</v>
      </c>
      <c r="AE58" s="99" t="str">
        <f t="shared" si="12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58" s="96" t="str">
        <f t="shared" si="13"/>
        <v>"C:\Program Files (x86)\AstroGrep\AstroGrep.exe" /spath="%USERPROFILE%\AppData\Local\Temp\OnboardLogs" /stypes="app*4030*20160923*" /stext=" 16:.+((SYSTEM_STATE.+slice.+state.+changed )|(ment ac)|(system.+state.+changed )|(\|lc)|(penalty)|(\[timeout)|(PRM\|1\|D)|(kpr)|(kdp))" /e /r /s</v>
      </c>
      <c r="AG58" s="1" t="str">
        <f t="shared" si="29"/>
        <v>EC</v>
      </c>
      <c r="AH58" s="100" t="str">
        <f t="shared" si="17"/>
        <v>"%USERPROFILE%\Documents\GitHub\eaglep3\Utilities\RefineRTDCRunTimes.py" --tripid 146-23 --locoid 4030 --swversion DE.1.0.7.0 --startMP 204:232972 --initTime 2016-09-23T10:04:51 --startdatetime 2016-09-23T10:12:00 --delay 1 --endMP 204:141 --enddatetime 2016-09-23T10:54:55 --enforcementcount 0 &gt;&gt;C:\Users\stu\Documents\GitHub\eaglep3-reporting\EC\2016-09-23-refined-times.txt</v>
      </c>
      <c r="AI5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{"issue":{"subject":"","project_id":79,"tracker_id":40,"status_id":1,"priority_id":2,"assigned_to_id":23,"start_date":"2016-09-23","description":"","custom_fields":[{"id":1,"name":"Subdivision","value":"EC"},{"id":4,"name":"Milepost","value":"0.0141"},{"id":17,"name":"Train ID","value":"146-23"},{"id":16,"name":"Locomotive ID","value":"4030"},{"id":130,"name":"Impact","value":""},{"id":150,"name":"Time of Event (Mountain Time)","value":"10:54:55"},{"id":151,"name":"Denver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454</v>
      </c>
      <c r="B59" s="7">
        <v>4040</v>
      </c>
      <c r="C59" s="24" t="s">
        <v>106</v>
      </c>
      <c r="D59" s="24" t="s">
        <v>231</v>
      </c>
      <c r="E59" s="15">
        <v>42636.394618055558</v>
      </c>
      <c r="F59" s="15">
        <v>42636.396273148152</v>
      </c>
      <c r="G59" s="7">
        <v>1</v>
      </c>
      <c r="H59" s="15" t="s">
        <v>640</v>
      </c>
      <c r="I59" s="15">
        <v>42636.4218287037</v>
      </c>
      <c r="J59" s="7">
        <v>0</v>
      </c>
      <c r="K59" s="121" t="str">
        <f t="shared" si="19"/>
        <v>4039/4040</v>
      </c>
      <c r="L59" s="24" t="str">
        <f>VLOOKUP(A59,'Trips&amp;Operators'!$C$1:$E$10000,3,FALSE)</f>
        <v>MALAVE</v>
      </c>
      <c r="M59" s="6">
        <f t="shared" si="20"/>
        <v>2.5555555548635311E-2</v>
      </c>
      <c r="N59" s="7">
        <f t="shared" si="30"/>
        <v>36.799999990034848</v>
      </c>
      <c r="O59" s="7"/>
      <c r="P59" s="7"/>
      <c r="Q59" s="25"/>
      <c r="R59" s="25"/>
      <c r="S59" s="37">
        <f t="shared" si="21"/>
        <v>1</v>
      </c>
      <c r="T59" s="52" t="str">
        <f t="shared" si="22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08:28:15-0600',mode:absolute,to:'2016-09-23 11:07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59" s="54" t="str">
        <f t="shared" si="24"/>
        <v>N</v>
      </c>
      <c r="X59" s="168">
        <f t="shared" si="31"/>
        <v>1</v>
      </c>
      <c r="Y59" s="69">
        <f t="shared" si="25"/>
        <v>4.5999999999999999E-2</v>
      </c>
      <c r="Z59" s="69">
        <f t="shared" si="26"/>
        <v>23.3264</v>
      </c>
      <c r="AA59" s="69">
        <f t="shared" si="27"/>
        <v>23.2804</v>
      </c>
      <c r="AB59" s="66" t="e">
        <f>VLOOKUP(A59,Enforcements!$C$7:$K$20,8,0)</f>
        <v>#N/A</v>
      </c>
      <c r="AC59" s="62" t="e">
        <f>VLOOKUP(A59,Enforcements!$C$7:$E$20,3,0)</f>
        <v>#N/A</v>
      </c>
      <c r="AD59" s="63" t="str">
        <f t="shared" si="28"/>
        <v>0147-23</v>
      </c>
      <c r="AE59" s="99" t="str">
        <f t="shared" si="12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59" s="96" t="str">
        <f t="shared" si="13"/>
        <v>"C:\Program Files (x86)\AstroGrep\AstroGrep.exe" /spath="%USERPROFILE%\AppData\Local\Temp\OnboardLogs" /stypes="app*4040*20160923*" /stext=" 16:.+((SYSTEM_STATE.+slice.+state.+changed )|(ment ac)|(system.+state.+changed )|(\|lc)|(penalty)|(\[timeout)|(PRM\|1\|D)|(kpr)|(kdp))" /e /r /s</v>
      </c>
      <c r="AG59" s="1" t="str">
        <f t="shared" si="29"/>
        <v>EC</v>
      </c>
      <c r="AH59" s="100" t="str">
        <f t="shared" si="17"/>
        <v>"%USERPROFILE%\Documents\GitHub\eaglep3\Utilities\RefineRTDCRunTimes.py" --tripid 147-23 --locoid 4040 --swversion DE.1.0.7.0 --startMP 204:460 --initTime 2016-09-23T09:28:15 --startdatetime 2016-09-23T09:30:38 --delay 1 --endMP 204:233264 --enddatetime 2016-09-23T10:07:26 --enforcementcount 0 &gt;&gt;C:\Users\stu\Documents\GitHub\eaglep3-reporting\EC\2016-09-23-refined-times.txt</v>
      </c>
      <c r="AI5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{"issue":{"subject":"","project_id":79,"tracker_id":40,"status_id":1,"priority_id":2,"assigned_to_id":23,"start_date":"2016-09-23","description":"","custom_fields":[{"id":1,"name":"Subdivision","value":"EC"},{"id":4,"name":"Milepost","value":"23.3264"},{"id":17,"name":"Train ID","value":"147-23"},{"id":16,"name":"Locomotive ID","value":"4040"},{"id":130,"name":"Impact","value":""},{"id":150,"name":"Time of Event (Mountain Time)","value":"10:07:26"},{"id":151,"name":"Denver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466</v>
      </c>
      <c r="B60" s="7">
        <v>4039</v>
      </c>
      <c r="C60" s="24" t="s">
        <v>106</v>
      </c>
      <c r="D60" s="24" t="s">
        <v>641</v>
      </c>
      <c r="E60" s="15">
        <v>42636.433252314811</v>
      </c>
      <c r="F60" s="15">
        <v>42636.434930555559</v>
      </c>
      <c r="G60" s="7">
        <v>1</v>
      </c>
      <c r="H60" s="15" t="s">
        <v>127</v>
      </c>
      <c r="I60" s="15">
        <v>42636.465370370373</v>
      </c>
      <c r="J60" s="7">
        <v>0</v>
      </c>
      <c r="K60" s="121" t="str">
        <f t="shared" si="19"/>
        <v>4039/4040</v>
      </c>
      <c r="L60" s="24" t="str">
        <f>VLOOKUP(A60,'Trips&amp;Operators'!$C$1:$E$10000,3,FALSE)</f>
        <v>MALAVE</v>
      </c>
      <c r="M60" s="6">
        <f t="shared" si="20"/>
        <v>3.0439814814599231E-2</v>
      </c>
      <c r="N60" s="7">
        <f t="shared" si="30"/>
        <v>43.833333333022892</v>
      </c>
      <c r="O60" s="7"/>
      <c r="P60" s="7"/>
      <c r="Q60" s="25"/>
      <c r="R60" s="25"/>
      <c r="S60" s="37">
        <f t="shared" si="21"/>
        <v>1</v>
      </c>
      <c r="T60" s="52" t="str">
        <f t="shared" si="22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09:23:53-0600',mode:absolute,to:'2016-09-23 12:10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0" s="54" t="str">
        <f t="shared" si="24"/>
        <v>N</v>
      </c>
      <c r="X60" s="168">
        <f t="shared" si="31"/>
        <v>1</v>
      </c>
      <c r="Y60" s="69">
        <f t="shared" si="25"/>
        <v>23.295500000000001</v>
      </c>
      <c r="Z60" s="69">
        <f t="shared" si="26"/>
        <v>1.54E-2</v>
      </c>
      <c r="AA60" s="69">
        <f t="shared" si="27"/>
        <v>23.280100000000001</v>
      </c>
      <c r="AB60" s="66" t="e">
        <f>VLOOKUP(A60,Enforcements!$C$7:$K$20,8,0)</f>
        <v>#N/A</v>
      </c>
      <c r="AC60" s="62" t="e">
        <f>VLOOKUP(A60,Enforcements!$C$7:$E$20,3,0)</f>
        <v>#N/A</v>
      </c>
      <c r="AD60" s="63" t="str">
        <f t="shared" si="28"/>
        <v>0148-23</v>
      </c>
      <c r="AE60" s="99" t="str">
        <f t="shared" si="12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60" s="96" t="str">
        <f t="shared" si="13"/>
        <v>"C:\Program Files (x86)\AstroGrep\AstroGrep.exe" /spath="%USERPROFILE%\AppData\Local\Temp\OnboardLogs" /stypes="app*4039*20160923*" /stext=" 17:.+((SYSTEM_STATE.+slice.+state.+changed )|(ment ac)|(system.+state.+changed )|(\|lc)|(penalty)|(\[timeout)|(PRM\|1\|D)|(kpr)|(kdp))" /e /r /s</v>
      </c>
      <c r="AG60" s="1" t="str">
        <f t="shared" si="29"/>
        <v>EC</v>
      </c>
      <c r="AH60" s="100" t="str">
        <f t="shared" si="17"/>
        <v>"%USERPROFILE%\Documents\GitHub\eaglep3\Utilities\RefineRTDCRunTimes.py" --tripid 148-23 --locoid 4039 --swversion DE.1.0.7.0 --startMP 204:232955 --initTime 2016-09-23T10:23:53 --startdatetime 2016-09-23T10:26:18 --delay 1 --endMP 204:154 --enddatetime 2016-09-23T11:10:08 --enforcementcount 0 &gt;&gt;C:\Users\stu\Documents\GitHub\eaglep3-reporting\EC\2016-09-23-refined-times.txt</v>
      </c>
      <c r="AI60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ID","value":"148-23"},{"id":16,"name":"Locomotive ID","value":"4039"},{"id":130,"name":"Impact","value":""},{"id":150,"name":"Time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457</v>
      </c>
      <c r="B61" s="7">
        <v>4016</v>
      </c>
      <c r="C61" s="24" t="s">
        <v>106</v>
      </c>
      <c r="D61" s="24" t="s">
        <v>225</v>
      </c>
      <c r="E61" s="15">
        <v>42636.403020833335</v>
      </c>
      <c r="F61" s="15">
        <v>42636.406435185185</v>
      </c>
      <c r="G61" s="7">
        <v>1</v>
      </c>
      <c r="H61" s="15" t="s">
        <v>312</v>
      </c>
      <c r="I61" s="15">
        <v>42636.432638888888</v>
      </c>
      <c r="J61" s="7">
        <v>0</v>
      </c>
      <c r="K61" s="121" t="str">
        <f t="shared" si="19"/>
        <v>4015/4016</v>
      </c>
      <c r="L61" s="24" t="str">
        <f>VLOOKUP(A61,'Trips&amp;Operators'!$C$1:$E$10000,3,FALSE)</f>
        <v>BRANNON</v>
      </c>
      <c r="M61" s="6">
        <f t="shared" si="20"/>
        <v>2.6203703702776693E-2</v>
      </c>
      <c r="N61" s="7">
        <f t="shared" si="30"/>
        <v>37.733333331998438</v>
      </c>
      <c r="O61" s="7"/>
      <c r="P61" s="7"/>
      <c r="Q61" s="25"/>
      <c r="R61" s="25"/>
      <c r="S61" s="37">
        <f t="shared" si="21"/>
        <v>1</v>
      </c>
      <c r="T61" s="52" t="str">
        <f t="shared" si="22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08:40:21-0600',mode:absolute,to:'2016-09-23 11:23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61" s="54" t="str">
        <f t="shared" si="24"/>
        <v>N</v>
      </c>
      <c r="X61" s="168">
        <f t="shared" si="31"/>
        <v>1</v>
      </c>
      <c r="Y61" s="69">
        <f t="shared" si="25"/>
        <v>4.6600000000000003E-2</v>
      </c>
      <c r="Z61" s="69">
        <f t="shared" si="26"/>
        <v>23.330400000000001</v>
      </c>
      <c r="AA61" s="69">
        <f t="shared" si="27"/>
        <v>23.283799999999999</v>
      </c>
      <c r="AB61" s="66" t="e">
        <f>VLOOKUP(A61,Enforcements!$C$7:$K$20,8,0)</f>
        <v>#N/A</v>
      </c>
      <c r="AC61" s="62" t="e">
        <f>VLOOKUP(A61,Enforcements!$C$7:$E$20,3,0)</f>
        <v>#N/A</v>
      </c>
      <c r="AD61" s="63" t="str">
        <f t="shared" si="28"/>
        <v>0149-23</v>
      </c>
      <c r="AE61" s="99" t="str">
        <f t="shared" si="12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61" s="96" t="str">
        <f t="shared" si="13"/>
        <v>"C:\Program Files (x86)\AstroGrep\AstroGrep.exe" /spath="%USERPROFILE%\AppData\Local\Temp\OnboardLogs" /stypes="app*4016*20160923*" /stext=" 16:.+((SYSTEM_STATE.+slice.+state.+changed )|(ment ac)|(system.+state.+changed )|(\|lc)|(penalty)|(\[timeout)|(PRM\|1\|D)|(kpr)|(kdp))" /e /r /s</v>
      </c>
      <c r="AG61" s="1" t="str">
        <f t="shared" si="29"/>
        <v>EC</v>
      </c>
      <c r="AH61" s="100" t="str">
        <f t="shared" si="17"/>
        <v>"%USERPROFILE%\Documents\GitHub\eaglep3\Utilities\RefineRTDCRunTimes.py" --tripid 149-23 --locoid 4016 --swversion DE.1.0.7.0 --startMP 204:466 --initTime 2016-09-23T09:40:21 --startdatetime 2016-09-23T09:45:16 --delay 1 --endMP 204:233304 --enddatetime 2016-09-23T10:23:00 --enforcementcount 0 &gt;&gt;C:\Users\stu\Documents\GitHub\eaglep3-reporting\EC\2016-09-23-refined-times.txt</v>
      </c>
      <c r="AI6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{"issue":{"subject":"","project_id":79,"tracker_id":40,"status_id":1,"priority_id":2,"assigned_to_id":23,"start_date":"2016-09-23","description":"","custom_fields":[{"id":1,"name":"Subdivision","value":"EC"},{"id":4,"name":"Milepost","value":"23.3304"},{"id":17,"name":"Train ID","value":"149-23"},{"id":16,"name":"Locomotive ID","value":"4016"},{"id":130,"name":"Impact","value":""},{"id":150,"name":"Time of Event (Mountain Time)","value":"10:23:00"},{"id":151,"name":"Denver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467</v>
      </c>
      <c r="B62" s="7">
        <v>4015</v>
      </c>
      <c r="C62" s="24" t="s">
        <v>106</v>
      </c>
      <c r="D62" s="24" t="s">
        <v>293</v>
      </c>
      <c r="E62" s="15">
        <v>42636.440405092595</v>
      </c>
      <c r="F62" s="15">
        <v>42636.445300925923</v>
      </c>
      <c r="G62" s="7">
        <v>1</v>
      </c>
      <c r="H62" s="15" t="s">
        <v>267</v>
      </c>
      <c r="I62" s="15">
        <v>42636.47283564815</v>
      </c>
      <c r="J62" s="7">
        <v>0</v>
      </c>
      <c r="K62" s="121" t="str">
        <f t="shared" si="19"/>
        <v>4015/4016</v>
      </c>
      <c r="L62" s="24" t="str">
        <f>VLOOKUP(A62,'Trips&amp;Operators'!$C$1:$E$10000,3,FALSE)</f>
        <v>BRANNON</v>
      </c>
      <c r="M62" s="6">
        <f t="shared" si="20"/>
        <v>2.7534722226846498E-2</v>
      </c>
      <c r="N62" s="7">
        <f t="shared" si="30"/>
        <v>39.650000006658956</v>
      </c>
      <c r="O62" s="7"/>
      <c r="P62" s="7"/>
      <c r="Q62" s="25"/>
      <c r="R62" s="25"/>
      <c r="S62" s="37">
        <f t="shared" si="21"/>
        <v>1</v>
      </c>
      <c r="T62" s="52" t="str">
        <f t="shared" si="22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09:34:11-0600',mode:absolute,to:'2016-09-23 12:20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62" s="54" t="str">
        <f t="shared" si="24"/>
        <v>N</v>
      </c>
      <c r="X62" s="168">
        <f t="shared" ref="X62:X71" si="32">VALUE(LEFT(AD62,4))-VALUE(LEFT(AD61,4))</f>
        <v>1</v>
      </c>
      <c r="Y62" s="69">
        <f t="shared" si="25"/>
        <v>23.299299999999999</v>
      </c>
      <c r="Z62" s="69">
        <f t="shared" si="26"/>
        <v>1.41E-2</v>
      </c>
      <c r="AA62" s="69">
        <f t="shared" si="27"/>
        <v>23.2852</v>
      </c>
      <c r="AB62" s="66" t="e">
        <f>VLOOKUP(A62,Enforcements!$C$7:$K$20,8,0)</f>
        <v>#N/A</v>
      </c>
      <c r="AC62" s="62" t="e">
        <f>VLOOKUP(A62,Enforcements!$C$7:$E$20,3,0)</f>
        <v>#N/A</v>
      </c>
      <c r="AD62" s="63" t="str">
        <f t="shared" si="28"/>
        <v>0150-23</v>
      </c>
      <c r="AE62" s="99" t="str">
        <f t="shared" si="12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62" s="96" t="str">
        <f t="shared" si="13"/>
        <v>"C:\Program Files (x86)\AstroGrep\AstroGrep.exe" /spath="%USERPROFILE%\AppData\Local\Temp\OnboardLogs" /stypes="app*4015*20160923*" /stext=" 17:.+((SYSTEM_STATE.+slice.+state.+changed )|(ment ac)|(system.+state.+changed )|(\|lc)|(penalty)|(\[timeout)|(PRM\|1\|D)|(kpr)|(kdp))" /e /r /s</v>
      </c>
      <c r="AG62" s="1" t="str">
        <f t="shared" si="29"/>
        <v>EC</v>
      </c>
      <c r="AH62" s="100" t="str">
        <f t="shared" si="17"/>
        <v>"%USERPROFILE%\Documents\GitHub\eaglep3\Utilities\RefineRTDCRunTimes.py" --tripid 150-23 --locoid 4015 --swversion DE.1.0.7.0 --startMP 204:232993 --initTime 2016-09-23T10:34:11 --startdatetime 2016-09-23T10:41:14 --delay 1 --endMP 204:141 --enddatetime 2016-09-23T11:20:53 --enforcementcount 0 &gt;&gt;C:\Users\stu\Documents\GitHub\eaglep3-reporting\EC\2016-09-23-refined-times.txt</v>
      </c>
      <c r="AI62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{"issue":{"subject":"","project_id":79,"tracker_id":40,"status_id":1,"priority_id":2,"assigned_to_id":23,"start_date":"2016-09-23","description":"","custom_fields":[{"id":1,"name":"Subdivision","value":"EC"},{"id":4,"name":"Milepost","value":"0.0141"},{"id":17,"name":"Train ID","value":"150-23"},{"id":16,"name":"Locomotive ID","value":"4015"},{"id":130,"name":"Impact","value":""},{"id":150,"name":"Time of Event (Mountain Time)","value":"11:20:53"},{"id":151,"name":"Denver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460</v>
      </c>
      <c r="B63" s="7">
        <v>4003</v>
      </c>
      <c r="C63" s="24" t="s">
        <v>106</v>
      </c>
      <c r="D63" s="24" t="s">
        <v>642</v>
      </c>
      <c r="E63" s="15">
        <v>42636.418634259258</v>
      </c>
      <c r="F63" s="15">
        <v>42636.420810185184</v>
      </c>
      <c r="G63" s="7">
        <v>3</v>
      </c>
      <c r="H63" s="15" t="s">
        <v>257</v>
      </c>
      <c r="I63" s="15">
        <v>42636.445509259262</v>
      </c>
      <c r="J63" s="7">
        <v>0</v>
      </c>
      <c r="K63" s="121" t="str">
        <f t="shared" si="19"/>
        <v>4003/4004</v>
      </c>
      <c r="L63" s="24" t="str">
        <f>VLOOKUP(A63,'Trips&amp;Operators'!$C$1:$E$10000,3,FALSE)</f>
        <v>GEBRETEKLE</v>
      </c>
      <c r="M63" s="6">
        <f t="shared" si="20"/>
        <v>2.4699074077943806E-2</v>
      </c>
      <c r="N63" s="7">
        <f t="shared" si="30"/>
        <v>35.56666667223908</v>
      </c>
      <c r="O63" s="7"/>
      <c r="P63" s="7"/>
      <c r="Q63" s="25"/>
      <c r="R63" s="25"/>
      <c r="S63" s="37">
        <f t="shared" si="21"/>
        <v>1</v>
      </c>
      <c r="T63" s="52" t="str">
        <f t="shared" si="22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09:02:50-0600',mode:absolute,to:'2016-09-23 11:41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63" s="54" t="str">
        <f t="shared" si="24"/>
        <v>N</v>
      </c>
      <c r="X63" s="168">
        <f t="shared" si="32"/>
        <v>1</v>
      </c>
      <c r="Y63" s="69">
        <f t="shared" si="25"/>
        <v>5.5100000000000003E-2</v>
      </c>
      <c r="Z63" s="69">
        <f t="shared" si="26"/>
        <v>23.329499999999999</v>
      </c>
      <c r="AA63" s="69">
        <f t="shared" si="27"/>
        <v>23.2744</v>
      </c>
      <c r="AB63" s="66" t="e">
        <f>VLOOKUP(A63,Enforcements!$C$7:$K$20,8,0)</f>
        <v>#N/A</v>
      </c>
      <c r="AC63" s="62" t="e">
        <f>VLOOKUP(A63,Enforcements!$C$7:$E$20,3,0)</f>
        <v>#N/A</v>
      </c>
      <c r="AD63" s="63" t="str">
        <f t="shared" si="28"/>
        <v>0151-23</v>
      </c>
      <c r="AE63" s="99" t="str">
        <f t="shared" si="12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63" s="96" t="str">
        <f t="shared" si="13"/>
        <v>"C:\Program Files (x86)\AstroGrep\AstroGrep.exe" /spath="%USERPROFILE%\AppData\Local\Temp\OnboardLogs" /stypes="app*4003*20160923*" /stext=" 16:.+((SYSTEM_STATE.+slice.+state.+changed )|(ment ac)|(system.+state.+changed )|(\|lc)|(penalty)|(\[timeout)|(PRM\|1\|D)|(kpr)|(kdp))" /e /r /s</v>
      </c>
      <c r="AG63" s="1" t="str">
        <f t="shared" si="29"/>
        <v>EC</v>
      </c>
      <c r="AH63" s="100" t="str">
        <f t="shared" si="17"/>
        <v>"%USERPROFILE%\Documents\GitHub\eaglep3\Utilities\RefineRTDCRunTimes.py" --tripid 151-23 --locoid 4003 --swversion DE.1.0.7.0 --startMP 204:551 --initTime 2016-09-23T10:02:50 --startdatetime 2016-09-23T10:05:58 --delay 3 --endMP 204:233295 --enddatetime 2016-09-23T10:41:32 --enforcementcount 0 &gt;&gt;C:\Users\stu\Documents\GitHub\eaglep3-reporting\EC\2016-09-23-refined-times.txt</v>
      </c>
      <c r="AI6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{"issue":{"subject":"","project_id":79,"tracker_id":40,"status_id":1,"priority_id":2,"assigned_to_id":23,"start_date":"2016-09-23","description":"","custom_fields":[{"id":1,"name":"Subdivision","value":"EC"},{"id":4,"name":"Milepost","value":"23.3295"},{"id":17,"name":"Train ID","value":"151-23"},{"id":16,"name":"Locomotive ID","value":"4003"},{"id":130,"name":"Impact","value":""},{"id":150,"name":"Time of Event (Mountain Time)","value":"10:41:32"},{"id":151,"name":"Denver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470</v>
      </c>
      <c r="B64" s="7">
        <v>4004</v>
      </c>
      <c r="C64" s="24" t="s">
        <v>106</v>
      </c>
      <c r="D64" s="24" t="s">
        <v>270</v>
      </c>
      <c r="E64" s="15">
        <v>42636.449259259258</v>
      </c>
      <c r="F64" s="15">
        <v>42636.455740740741</v>
      </c>
      <c r="G64" s="7">
        <v>2</v>
      </c>
      <c r="H64" s="15" t="s">
        <v>258</v>
      </c>
      <c r="I64" s="15">
        <v>42636.483506944445</v>
      </c>
      <c r="J64" s="7">
        <v>0</v>
      </c>
      <c r="K64" s="121" t="str">
        <f t="shared" si="19"/>
        <v>4003/4004</v>
      </c>
      <c r="L64" s="24" t="str">
        <f>VLOOKUP(A64,'Trips&amp;Operators'!$C$1:$E$10000,3,FALSE)</f>
        <v>GEBRETEKLE</v>
      </c>
      <c r="M64" s="6">
        <f t="shared" si="20"/>
        <v>2.7766203704231884E-2</v>
      </c>
      <c r="N64" s="7">
        <f t="shared" si="30"/>
        <v>39.983333334093913</v>
      </c>
      <c r="O64" s="7"/>
      <c r="P64" s="7"/>
      <c r="Q64" s="25"/>
      <c r="R64" s="25"/>
      <c r="S64" s="37">
        <f t="shared" si="21"/>
        <v>1</v>
      </c>
      <c r="T64" s="52" t="str">
        <f t="shared" si="22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09:46:56-0600',mode:absolute,to:'2016-09-23 12:36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64" s="54" t="str">
        <f t="shared" si="24"/>
        <v>N</v>
      </c>
      <c r="X64" s="168">
        <f t="shared" si="32"/>
        <v>1</v>
      </c>
      <c r="Y64" s="69">
        <f t="shared" si="25"/>
        <v>23.296299999999999</v>
      </c>
      <c r="Z64" s="69">
        <f t="shared" si="26"/>
        <v>1.4500000000000001E-2</v>
      </c>
      <c r="AA64" s="69">
        <f t="shared" si="27"/>
        <v>23.281799999999997</v>
      </c>
      <c r="AB64" s="66" t="e">
        <f>VLOOKUP(A64,Enforcements!$C$7:$K$20,8,0)</f>
        <v>#N/A</v>
      </c>
      <c r="AC64" s="62" t="e">
        <f>VLOOKUP(A64,Enforcements!$C$7:$E$20,3,0)</f>
        <v>#N/A</v>
      </c>
      <c r="AD64" s="63" t="str">
        <f t="shared" si="28"/>
        <v>0152-23</v>
      </c>
      <c r="AE64" s="99" t="str">
        <f t="shared" si="12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64" s="96" t="str">
        <f t="shared" si="13"/>
        <v>"C:\Program Files (x86)\AstroGrep\AstroGrep.exe" /spath="%USERPROFILE%\AppData\Local\Temp\OnboardLogs" /stypes="app*4004*20160923*" /stext=" 17:.+((SYSTEM_STATE.+slice.+state.+changed )|(ment ac)|(system.+state.+changed )|(\|lc)|(penalty)|(\[timeout)|(PRM\|1\|D)|(kpr)|(kdp))" /e /r /s</v>
      </c>
      <c r="AG64" s="1" t="str">
        <f t="shared" si="29"/>
        <v>EC</v>
      </c>
      <c r="AH64" s="100" t="str">
        <f t="shared" si="17"/>
        <v>"%USERPROFILE%\Documents\GitHub\eaglep3\Utilities\RefineRTDCRunTimes.py" --tripid 152-23 --locoid 4004 --swversion DE.1.0.7.0 --startMP 204:232963 --initTime 2016-09-23T10:46:56 --startdatetime 2016-09-23T10:56:16 --delay 2 --endMP 204:145 --enddatetime 2016-09-23T11:36:15 --enforcementcount 0 &gt;&gt;C:\Users\stu\Documents\GitHub\eaglep3-reporting\EC\2016-09-23-refined-times.txt</v>
      </c>
      <c r="AI6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ID","value":"152-23"},{"id":16,"name":"Locomotive ID","value":"4004"},{"id":130,"name":"Impact","value":""},{"id":150,"name":"Time of Event (Mountain Time)","value":"11:36:15"},{"id":151,"name":"Denver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462</v>
      </c>
      <c r="B65" s="7">
        <v>4011</v>
      </c>
      <c r="C65" s="24" t="s">
        <v>106</v>
      </c>
      <c r="D65" s="24" t="s">
        <v>643</v>
      </c>
      <c r="E65" s="15">
        <v>42636.424803240741</v>
      </c>
      <c r="F65" s="15">
        <v>42636.427245370367</v>
      </c>
      <c r="G65" s="7">
        <v>2</v>
      </c>
      <c r="H65" s="15" t="s">
        <v>629</v>
      </c>
      <c r="I65" s="15">
        <v>42636.452743055554</v>
      </c>
      <c r="J65" s="7">
        <v>0</v>
      </c>
      <c r="K65" s="121" t="str">
        <f t="shared" si="19"/>
        <v>4011/4012</v>
      </c>
      <c r="L65" s="24" t="str">
        <f>VLOOKUP(A65,'Trips&amp;Operators'!$C$1:$E$10000,3,FALSE)</f>
        <v>SPECTOR</v>
      </c>
      <c r="M65" s="6">
        <f t="shared" si="20"/>
        <v>2.5497685186564922E-2</v>
      </c>
      <c r="N65" s="7">
        <f t="shared" si="30"/>
        <v>36.716666668653488</v>
      </c>
      <c r="O65" s="7"/>
      <c r="P65" s="7"/>
      <c r="Q65" s="25"/>
      <c r="R65" s="25"/>
      <c r="S65" s="37">
        <f t="shared" si="21"/>
        <v>1</v>
      </c>
      <c r="T65" s="52" t="str">
        <f t="shared" si="22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09:11:43-0600',mode:absolute,to:'2016-09-23 11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65" s="54" t="str">
        <f t="shared" si="24"/>
        <v>N</v>
      </c>
      <c r="X65" s="168">
        <f t="shared" si="32"/>
        <v>1</v>
      </c>
      <c r="Y65" s="69">
        <f t="shared" si="25"/>
        <v>4.7699999999999999E-2</v>
      </c>
      <c r="Z65" s="69">
        <f t="shared" si="26"/>
        <v>23.331900000000001</v>
      </c>
      <c r="AA65" s="69">
        <f t="shared" si="27"/>
        <v>23.284200000000002</v>
      </c>
      <c r="AB65" s="66" t="e">
        <f>VLOOKUP(A65,Enforcements!$C$7:$K$20,8,0)</f>
        <v>#N/A</v>
      </c>
      <c r="AC65" s="62" t="e">
        <f>VLOOKUP(A65,Enforcements!$C$7:$E$20,3,0)</f>
        <v>#N/A</v>
      </c>
      <c r="AD65" s="63" t="str">
        <f t="shared" si="28"/>
        <v>0153-23</v>
      </c>
      <c r="AE65" s="99" t="str">
        <f t="shared" si="12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65" s="96" t="str">
        <f t="shared" si="13"/>
        <v>"C:\Program Files (x86)\AstroGrep\AstroGrep.exe" /spath="%USERPROFILE%\AppData\Local\Temp\OnboardLogs" /stypes="app*4011*20160923*" /stext=" 16:.+((SYSTEM_STATE.+slice.+state.+changed )|(ment ac)|(system.+state.+changed )|(\|lc)|(penalty)|(\[timeout)|(PRM\|1\|D)|(kpr)|(kdp))" /e /r /s</v>
      </c>
      <c r="AG65" s="1" t="str">
        <f t="shared" si="29"/>
        <v>EC</v>
      </c>
      <c r="AH65" s="100" t="str">
        <f t="shared" si="17"/>
        <v>"%USERPROFILE%\Documents\GitHub\eaglep3\Utilities\RefineRTDCRunTimes.py" --tripid 153-23 --locoid 4011 --swversion DE.1.0.7.0 --startMP 204:477 --initTime 2016-09-23T10:11:43 --startdatetime 2016-09-23T10:15:14 --delay 2 --endMP 204:233319 --enddatetime 2016-09-23T10:51:57 --enforcementcount 0 &gt;&gt;C:\Users\stu\Documents\GitHub\eaglep3-reporting\EC\2016-09-23-refined-times.txt</v>
      </c>
      <c r="AI6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{"issue":{"subject":"","project_id":79,"tracker_id":40,"status_id":1,"priority_id":2,"assigned_to_id":23,"start_date":"2016-09-23","description":"","custom_fields":[{"id":1,"name":"Subdivision","value":"EC"},{"id":4,"name":"Milepost","value":"23.3319"},{"id":17,"name":"Train ID","value":"153-23"},{"id":16,"name":"Locomotive ID","value":"4011"},{"id":130,"name":"Impact","value":""},{"id":150,"name":"Time of Event (Mountain Time)","value":"10:51:57"},{"id":151,"name":"Denver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473</v>
      </c>
      <c r="B66" s="7">
        <v>4012</v>
      </c>
      <c r="C66" s="24" t="s">
        <v>106</v>
      </c>
      <c r="D66" s="24" t="s">
        <v>293</v>
      </c>
      <c r="E66" s="15">
        <v>42636.459930555553</v>
      </c>
      <c r="F66" s="15">
        <v>42636.466284722221</v>
      </c>
      <c r="G66" s="7">
        <v>1</v>
      </c>
      <c r="H66" s="15" t="s">
        <v>218</v>
      </c>
      <c r="I66" s="15">
        <v>42636.493067129632</v>
      </c>
      <c r="J66" s="7">
        <v>0</v>
      </c>
      <c r="K66" s="121" t="str">
        <f t="shared" si="19"/>
        <v>4011/4012</v>
      </c>
      <c r="L66" s="24" t="str">
        <f>VLOOKUP(A66,'Trips&amp;Operators'!$C$1:$E$10000,3,FALSE)</f>
        <v>SPECTOR</v>
      </c>
      <c r="M66" s="6">
        <f t="shared" si="20"/>
        <v>2.6782407410792075E-2</v>
      </c>
      <c r="N66" s="7">
        <f t="shared" si="30"/>
        <v>38.566666671540588</v>
      </c>
      <c r="O66" s="7"/>
      <c r="P66" s="7"/>
      <c r="Q66" s="25"/>
      <c r="R66" s="25"/>
      <c r="S66" s="37">
        <f t="shared" si="21"/>
        <v>1</v>
      </c>
      <c r="T66" s="52" t="str">
        <f t="shared" si="22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10:02:18-0600',mode:absolute,to:'2016-09-23 12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66" s="54" t="str">
        <f t="shared" si="24"/>
        <v>N</v>
      </c>
      <c r="X66" s="168">
        <f t="shared" si="32"/>
        <v>1</v>
      </c>
      <c r="Y66" s="69">
        <f t="shared" si="25"/>
        <v>23.299299999999999</v>
      </c>
      <c r="Z66" s="69">
        <f t="shared" si="26"/>
        <v>1.47E-2</v>
      </c>
      <c r="AA66" s="69">
        <f t="shared" si="27"/>
        <v>23.284599999999998</v>
      </c>
      <c r="AB66" s="66" t="e">
        <f>VLOOKUP(A66,Enforcements!$C$7:$K$20,8,0)</f>
        <v>#N/A</v>
      </c>
      <c r="AC66" s="62" t="e">
        <f>VLOOKUP(A66,Enforcements!$C$7:$E$20,3,0)</f>
        <v>#N/A</v>
      </c>
      <c r="AD66" s="63" t="str">
        <f t="shared" si="28"/>
        <v>0154-23</v>
      </c>
      <c r="AE66" s="99" t="str">
        <f t="shared" si="12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66" s="96" t="str">
        <f t="shared" si="13"/>
        <v>"C:\Program Files (x86)\AstroGrep\AstroGrep.exe" /spath="%USERPROFILE%\AppData\Local\Temp\OnboardLogs" /stypes="app*4012*20160923*" /stext=" 17:.+((SYSTEM_STATE.+slice.+state.+changed )|(ment ac)|(system.+state.+changed )|(\|lc)|(penalty)|(\[timeout)|(PRM\|1\|D)|(kpr)|(kdp))" /e /r /s</v>
      </c>
      <c r="AG66" s="1" t="str">
        <f t="shared" si="29"/>
        <v>EC</v>
      </c>
      <c r="AH66" s="100" t="str">
        <f t="shared" si="17"/>
        <v>"%USERPROFILE%\Documents\GitHub\eaglep3\Utilities\RefineRTDCRunTimes.py" --tripid 154-23 --locoid 4012 --swversion DE.1.0.7.0 --startMP 204:232993 --initTime 2016-09-23T11:02:18 --startdatetime 2016-09-23T11:11:27 --delay 1 --endMP 204:147 --enddatetime 2016-09-23T11:50:01 --enforcementcount 0 &gt;&gt;C:\Users\stu\Documents\GitHub\eaglep3-reporting\EC\2016-09-23-refined-times.txt</v>
      </c>
      <c r="AI6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{"issue":{"subject":"","project_id":79,"tracker_id":40,"status_id":1,"priority_id":2,"assigned_to_id":23,"start_date":"2016-09-23","description":"","custom_fields":[{"id":1,"name":"Subdivision","value":"EC"},{"id":4,"name":"Milepost","value":"0.0147"},{"id":17,"name":"Train ID","value":"154-23"},{"id":16,"name":"Locomotive ID","value":"4012"},{"id":130,"name":"Impact","value":""},{"id":150,"name":"Time of Event (Mountain Time)","value":"11:50:01"},{"id":151,"name":"Denver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465</v>
      </c>
      <c r="B67" s="7">
        <v>4044</v>
      </c>
      <c r="C67" s="24" t="s">
        <v>106</v>
      </c>
      <c r="D67" s="24" t="s">
        <v>322</v>
      </c>
      <c r="E67" s="15">
        <v>42636.431585648148</v>
      </c>
      <c r="F67" s="15">
        <v>42636.437789351854</v>
      </c>
      <c r="G67" s="7">
        <v>2</v>
      </c>
      <c r="H67" s="15" t="s">
        <v>620</v>
      </c>
      <c r="I67" s="15">
        <v>42636.464409722219</v>
      </c>
      <c r="J67" s="7">
        <v>0</v>
      </c>
      <c r="K67" s="121" t="str">
        <f t="shared" si="19"/>
        <v>4043/4044</v>
      </c>
      <c r="L67" s="24" t="str">
        <f>VLOOKUP(A67,'Trips&amp;Operators'!$C$1:$E$10000,3,FALSE)</f>
        <v>STRICKLAND</v>
      </c>
      <c r="M67" s="6">
        <f t="shared" si="20"/>
        <v>2.6620370364980772E-2</v>
      </c>
      <c r="N67" s="7">
        <f t="shared" si="30"/>
        <v>38.333333325572312</v>
      </c>
      <c r="O67" s="7"/>
      <c r="P67" s="7"/>
      <c r="Q67" s="25"/>
      <c r="R67" s="25"/>
      <c r="S67" s="37">
        <f t="shared" si="21"/>
        <v>1</v>
      </c>
      <c r="T67" s="52" t="str">
        <f t="shared" si="22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09:21:29-0600',mode:absolute,to:'2016-09-23 12:08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67" s="54" t="str">
        <f t="shared" si="24"/>
        <v>N</v>
      </c>
      <c r="X67" s="168">
        <f t="shared" si="32"/>
        <v>1</v>
      </c>
      <c r="Y67" s="69">
        <f t="shared" si="25"/>
        <v>4.3299999999999998E-2</v>
      </c>
      <c r="Z67" s="69">
        <f t="shared" si="26"/>
        <v>23.330100000000002</v>
      </c>
      <c r="AA67" s="69">
        <f t="shared" si="27"/>
        <v>23.286800000000003</v>
      </c>
      <c r="AB67" s="66" t="e">
        <f>VLOOKUP(A67,Enforcements!$C$7:$K$20,8,0)</f>
        <v>#N/A</v>
      </c>
      <c r="AC67" s="62" t="e">
        <f>VLOOKUP(A67,Enforcements!$C$7:$E$20,3,0)</f>
        <v>#N/A</v>
      </c>
      <c r="AD67" s="63" t="str">
        <f t="shared" si="28"/>
        <v>0155-23</v>
      </c>
      <c r="AE67" s="99" t="str">
        <f t="shared" si="12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67" s="96" t="str">
        <f t="shared" si="13"/>
        <v>"C:\Program Files (x86)\AstroGrep\AstroGrep.exe" /spath="%USERPROFILE%\AppData\Local\Temp\OnboardLogs" /stypes="app*4044*20160923*" /stext=" 17:.+((SYSTEM_STATE.+slice.+state.+changed )|(ment ac)|(system.+state.+changed )|(\|lc)|(penalty)|(\[timeout)|(PRM\|1\|D)|(kpr)|(kdp))" /e /r /s</v>
      </c>
      <c r="AG67" s="1" t="str">
        <f t="shared" si="29"/>
        <v>EC</v>
      </c>
      <c r="AH67" s="100" t="str">
        <f t="shared" si="17"/>
        <v>"%USERPROFILE%\Documents\GitHub\eaglep3\Utilities\RefineRTDCRunTimes.py" --tripid 155-23 --locoid 4044 --swversion DE.1.0.7.0 --startMP 204:433 --initTime 2016-09-23T10:21:29 --startdatetime 2016-09-23T10:30:25 --delay 2 --endMP 204:233301 --enddatetime 2016-09-23T11:08:45 --enforcementcount 0 &gt;&gt;C:\Users\stu\Documents\GitHub\eaglep3-reporting\EC\2016-09-23-refined-times.txt</v>
      </c>
      <c r="AI6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{"issue":{"subject":"","project_id":79,"tracker_id":40,"status_id":1,"priority_id":2,"assigned_to_id":23,"start_date":"2016-09-23","description":"","custom_fields":[{"id":1,"name":"Subdivision","value":"EC"},{"id":4,"name":"Milepost","value":"23.3301"},{"id":17,"name":"Train ID","value":"155-23"},{"id":16,"name":"Locomotive ID","value":"4044"},{"id":130,"name":"Impact","value":""},{"id":150,"name":"Time of Event (Mountain Time)","value":"11:08:45"},{"id":151,"name":"Denver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479</v>
      </c>
      <c r="B68" s="7">
        <v>4043</v>
      </c>
      <c r="C68" s="24" t="s">
        <v>106</v>
      </c>
      <c r="D68" s="24" t="s">
        <v>323</v>
      </c>
      <c r="E68" s="15">
        <v>42636.470625000002</v>
      </c>
      <c r="F68" s="15">
        <v>42636.4768287037</v>
      </c>
      <c r="G68" s="7">
        <v>2</v>
      </c>
      <c r="H68" s="15" t="s">
        <v>222</v>
      </c>
      <c r="I68" s="15">
        <v>42636.494155092594</v>
      </c>
      <c r="J68" s="7">
        <v>0</v>
      </c>
      <c r="K68" s="121" t="str">
        <f t="shared" si="19"/>
        <v>4043/4044</v>
      </c>
      <c r="L68" s="24" t="str">
        <f>VLOOKUP(A68,'Trips&amp;Operators'!$C$1:$E$10000,3,FALSE)</f>
        <v>STRICKLAND</v>
      </c>
      <c r="M68" s="6">
        <f t="shared" si="20"/>
        <v>1.732638889370719E-2</v>
      </c>
      <c r="N68" s="7">
        <f t="shared" si="30"/>
        <v>24.950000006938353</v>
      </c>
      <c r="O68" s="7"/>
      <c r="P68" s="7"/>
      <c r="Q68" s="25"/>
      <c r="R68" s="25"/>
      <c r="S68" s="37">
        <f t="shared" si="21"/>
        <v>1</v>
      </c>
      <c r="T68" s="52" t="str">
        <f t="shared" si="22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10:17:42-0600',mode:absolute,to:'2016-09-23 12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68" s="54" t="str">
        <f t="shared" si="24"/>
        <v>N</v>
      </c>
      <c r="X68" s="168">
        <f t="shared" si="32"/>
        <v>1</v>
      </c>
      <c r="Y68" s="69">
        <f t="shared" si="25"/>
        <v>23.299199999999999</v>
      </c>
      <c r="Z68" s="69">
        <f t="shared" si="26"/>
        <v>1.52E-2</v>
      </c>
      <c r="AA68" s="69">
        <f t="shared" si="27"/>
        <v>23.283999999999999</v>
      </c>
      <c r="AB68" s="66" t="str">
        <f>VLOOKUP(A68,Enforcements!$C$7:$K$20,8,0)</f>
        <v>PTC function (8)</v>
      </c>
      <c r="AC68" s="62" t="str">
        <f>VLOOKUP(A68,Enforcements!$C$7:$E$20,3,0)</f>
        <v>NON SYNCHRONIZED SUBDIV</v>
      </c>
      <c r="AD68" s="63" t="str">
        <f t="shared" si="28"/>
        <v>0156-23</v>
      </c>
      <c r="AE68" s="99" t="str">
        <f t="shared" si="12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68" s="96" t="str">
        <f t="shared" si="13"/>
        <v>"C:\Program Files (x86)\AstroGrep\AstroGrep.exe" /spath="%USERPROFILE%\AppData\Local\Temp\OnboardLogs" /stypes="app*4043*20160923*" /stext=" 17:.+((SYSTEM_STATE.+slice.+state.+changed )|(ment ac)|(system.+state.+changed )|(\|lc)|(penalty)|(\[timeout)|(PRM\|1\|D)|(kpr)|(kdp))" /e /r /s</v>
      </c>
      <c r="AG68" s="1" t="str">
        <f t="shared" si="29"/>
        <v>EC</v>
      </c>
      <c r="AH68" s="100" t="str">
        <f t="shared" si="17"/>
        <v>"%USERPROFILE%\Documents\GitHub\eaglep3\Utilities\RefineRTDCRunTimes.py" --tripid 156-23 --locoid 4043 --swversion DE.1.0.7.0 --startMP 204:232992 --initTime 2016-09-23T11:17:42 --startdatetime 2016-09-23T11:26:38 --delay 2 --endMP 204:152 --enddatetime 2016-09-23T11:51:35 --enforcementcount 0 &gt;&gt;C:\Users\stu\Documents\GitHub\eaglep3-reporting\EC\2016-09-23-refined-times.txt</v>
      </c>
      <c r="AI68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ID","value":"156-23"},{"id":16,"name":"Locomotive ID","value":"4043"},{"id":130,"name":"Impact","value":""},{"id":150,"name":"Time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469</v>
      </c>
      <c r="B69" s="7">
        <v>4027</v>
      </c>
      <c r="C69" s="24" t="s">
        <v>106</v>
      </c>
      <c r="D69" s="24" t="s">
        <v>295</v>
      </c>
      <c r="E69" s="15">
        <v>42636.442743055559</v>
      </c>
      <c r="F69" s="15">
        <v>42636.448240740741</v>
      </c>
      <c r="G69" s="7">
        <v>1</v>
      </c>
      <c r="H69" s="15" t="s">
        <v>324</v>
      </c>
      <c r="I69" s="15">
        <v>42636.473113425927</v>
      </c>
      <c r="J69" s="7">
        <v>0</v>
      </c>
      <c r="K69" s="121" t="str">
        <f t="shared" si="19"/>
        <v>4027/4028</v>
      </c>
      <c r="L69" s="24" t="str">
        <f>VLOOKUP(A69,'Trips&amp;Operators'!$C$1:$E$10000,3,FALSE)</f>
        <v>ROCHA</v>
      </c>
      <c r="M69" s="6">
        <f t="shared" si="20"/>
        <v>2.4872685185982846E-2</v>
      </c>
      <c r="N69" s="7">
        <f t="shared" si="30"/>
        <v>35.816666667815298</v>
      </c>
      <c r="O69" s="7"/>
      <c r="P69" s="7"/>
      <c r="Q69" s="25"/>
      <c r="R69" s="25"/>
      <c r="S69" s="37">
        <f t="shared" si="21"/>
        <v>1</v>
      </c>
      <c r="T69" s="52" t="str">
        <f t="shared" si="22"/>
        <v>NorthBound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09:37:33-0600',mode:absolute,to:'2016-09-23 12:21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69" s="54" t="str">
        <f t="shared" si="24"/>
        <v>N</v>
      </c>
      <c r="X69" s="168">
        <f t="shared" si="32"/>
        <v>1</v>
      </c>
      <c r="Y69" s="69">
        <f t="shared" si="25"/>
        <v>4.4600000000000001E-2</v>
      </c>
      <c r="Z69" s="69">
        <f t="shared" si="26"/>
        <v>23.329799999999999</v>
      </c>
      <c r="AA69" s="69">
        <f t="shared" si="27"/>
        <v>23.2852</v>
      </c>
      <c r="AB69" s="66" t="e">
        <f>VLOOKUP(A69,Enforcements!$C$7:$K$20,8,0)</f>
        <v>#N/A</v>
      </c>
      <c r="AC69" s="62" t="e">
        <f>VLOOKUP(A69,Enforcements!$C$7:$E$20,3,0)</f>
        <v>#N/A</v>
      </c>
      <c r="AD69" s="63" t="str">
        <f t="shared" si="28"/>
        <v>0157-23</v>
      </c>
      <c r="AE69" s="99" t="str">
        <f t="shared" si="12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69" s="96" t="str">
        <f t="shared" si="13"/>
        <v>"C:\Program Files (x86)\AstroGrep\AstroGrep.exe" /spath="%USERPROFILE%\AppData\Local\Temp\OnboardLogs" /stypes="app*4027*20160923*" /stext=" 17:.+((SYSTEM_STATE.+slice.+state.+changed )|(ment ac)|(system.+state.+changed )|(\|lc)|(penalty)|(\[timeout)|(PRM\|1\|D)|(kpr)|(kdp))" /e /r /s</v>
      </c>
      <c r="AG69" s="1" t="str">
        <f t="shared" si="29"/>
        <v>EC</v>
      </c>
      <c r="AH69" s="100" t="str">
        <f t="shared" si="17"/>
        <v>"%USERPROFILE%\Documents\GitHub\eaglep3\Utilities\RefineRTDCRunTimes.py" --tripid 157-23 --locoid 4027 --swversion DE.1.0.7.0 --startMP 204:446 --initTime 2016-09-23T10:37:33 --startdatetime 2016-09-23T10:45:28 --delay 1 --endMP 204:233298 --enddatetime 2016-09-23T11:21:17 --enforcementcount 0 &gt;&gt;C:\Users\stu\Documents\GitHub\eaglep3-reporting\EC\2016-09-23-refined-times.txt</v>
      </c>
      <c r="AI69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{"issue":{"subject":"","project_id":79,"tracker_id":40,"status_id":1,"priority_id":2,"assigned_to_id":23,"start_date":"2016-09-23","description":"","custom_fields":[{"id":1,"name":"Subdivision","value":"EC"},{"id":4,"name":"Milepost","value":"23.3298"},{"id":17,"name":"Train ID","value":"157-23"},{"id":16,"name":"Locomotive ID","value":"4027"},{"id":130,"name":"Impact","value":""},{"id":150,"name":"Time of Event (Mountain Time)","value":"11:21:17"},{"id":151,"name":"Denver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482</v>
      </c>
      <c r="B70" s="7">
        <v>4028</v>
      </c>
      <c r="C70" s="24" t="s">
        <v>106</v>
      </c>
      <c r="D70" s="24" t="s">
        <v>644</v>
      </c>
      <c r="E70" s="15">
        <v>42636.480543981481</v>
      </c>
      <c r="F70" s="15">
        <v>42636.487002314818</v>
      </c>
      <c r="G70" s="7">
        <v>1</v>
      </c>
      <c r="H70" s="15" t="s">
        <v>645</v>
      </c>
      <c r="I70" s="15">
        <v>42636.515162037038</v>
      </c>
      <c r="J70" s="7">
        <v>0</v>
      </c>
      <c r="K70" s="121" t="str">
        <f t="shared" si="19"/>
        <v>4027/4028</v>
      </c>
      <c r="L70" s="24" t="str">
        <f>VLOOKUP(A70,'Trips&amp;Operators'!$C$1:$E$10000,3,FALSE)</f>
        <v>ROCHA</v>
      </c>
      <c r="M70" s="6">
        <f t="shared" si="20"/>
        <v>2.8159722220152617E-2</v>
      </c>
      <c r="N70" s="7">
        <f t="shared" si="30"/>
        <v>40.549999997019768</v>
      </c>
      <c r="O70" s="7"/>
      <c r="P70" s="7"/>
      <c r="Q70" s="25"/>
      <c r="R70" s="25"/>
      <c r="S70" s="37">
        <f t="shared" si="21"/>
        <v>1</v>
      </c>
      <c r="T70" s="52" t="str">
        <f t="shared" si="22"/>
        <v>Southbound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10:31:59-0600',mode:absolute,to:'2016-09-23 13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0" s="54" t="str">
        <f t="shared" si="24"/>
        <v>N</v>
      </c>
      <c r="X70" s="168">
        <f t="shared" si="32"/>
        <v>1</v>
      </c>
      <c r="Y70" s="69">
        <f t="shared" si="25"/>
        <v>23.2989</v>
      </c>
      <c r="Z70" s="69">
        <f t="shared" si="26"/>
        <v>2.1100000000000001E-2</v>
      </c>
      <c r="AA70" s="69">
        <f t="shared" si="27"/>
        <v>23.277799999999999</v>
      </c>
      <c r="AB70" s="66" t="e">
        <f>VLOOKUP(A70,Enforcements!$C$7:$K$20,8,0)</f>
        <v>#N/A</v>
      </c>
      <c r="AC70" s="62" t="e">
        <f>VLOOKUP(A70,Enforcements!$C$7:$E$20,3,0)</f>
        <v>#N/A</v>
      </c>
      <c r="AD70" s="63" t="str">
        <f t="shared" si="28"/>
        <v>0158-23</v>
      </c>
      <c r="AE70" s="99" t="str">
        <f t="shared" si="12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70" s="96" t="str">
        <f t="shared" si="13"/>
        <v>"C:\Program Files (x86)\AstroGrep\AstroGrep.exe" /spath="%USERPROFILE%\AppData\Local\Temp\OnboardLogs" /stypes="app*4028*20160923*" /stext=" 18:.+((SYSTEM_STATE.+slice.+state.+changed )|(ment ac)|(system.+state.+changed )|(\|lc)|(penalty)|(\[timeout)|(PRM\|1\|D)|(kpr)|(kdp))" /e /r /s</v>
      </c>
      <c r="AG70" s="1" t="str">
        <f t="shared" si="29"/>
        <v>EC</v>
      </c>
      <c r="AH70" s="100" t="str">
        <f t="shared" si="17"/>
        <v>"%USERPROFILE%\Documents\GitHub\eaglep3\Utilities\RefineRTDCRunTimes.py" --tripid 158-23 --locoid 4028 --swversion DE.1.0.7.0 --startMP 204:232989 --initTime 2016-09-23T11:31:59 --startdatetime 2016-09-23T11:41:17 --delay 1 --endMP 204:211 --enddatetime 2016-09-23T12:21:50 --enforcementcount 0 &gt;&gt;C:\Users\stu\Documents\GitHub\eaglep3-reporting\EC\2016-09-23-refined-times.txt</v>
      </c>
      <c r="AI70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{"issue":{"subject":"","project_id":79,"tracker_id":40,"status_id":1,"priority_id":2,"assigned_to_id":23,"start_date":"2016-09-23","description":"","custom_fields":[{"id":1,"name":"Subdivision","value":"EC"},{"id":4,"name":"Milepost","value":"0.0211"},{"id":17,"name":"Train ID","value":"158-23"},{"id":16,"name":"Locomotive ID","value":"4028"},{"id":130,"name":"Impact","value":""},{"id":150,"name":"Time of Event (Mountain Time)","value":"12:21:50"},{"id":151,"name":"Denver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472</v>
      </c>
      <c r="B71" s="7">
        <v>4029</v>
      </c>
      <c r="C71" s="24" t="s">
        <v>106</v>
      </c>
      <c r="D71" s="24" t="s">
        <v>348</v>
      </c>
      <c r="E71" s="15">
        <v>42636.456643518519</v>
      </c>
      <c r="F71" s="15">
        <v>42636.45888888889</v>
      </c>
      <c r="G71" s="7">
        <v>2</v>
      </c>
      <c r="H71" s="15" t="s">
        <v>354</v>
      </c>
      <c r="I71" s="15">
        <v>42636.484178240738</v>
      </c>
      <c r="J71" s="7">
        <v>0</v>
      </c>
      <c r="K71" s="121" t="str">
        <f t="shared" si="19"/>
        <v>4029/4030</v>
      </c>
      <c r="L71" s="24" t="str">
        <f>VLOOKUP(A71,'Trips&amp;Operators'!$C$1:$E$10000,3,FALSE)</f>
        <v>STEWART</v>
      </c>
      <c r="M71" s="6">
        <f t="shared" si="20"/>
        <v>2.5289351848186925E-2</v>
      </c>
      <c r="N71" s="7">
        <f t="shared" si="30"/>
        <v>36.416666661389172</v>
      </c>
      <c r="O71" s="7"/>
      <c r="P71" s="7"/>
      <c r="Q71" s="25"/>
      <c r="R71" s="25"/>
      <c r="S71" s="37">
        <f t="shared" si="21"/>
        <v>1</v>
      </c>
      <c r="T71" s="52" t="str">
        <f t="shared" si="22"/>
        <v>NorthBound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09:57:34-0600',mode:absolute,to:'2016-09-23 12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71" s="54" t="str">
        <f t="shared" si="24"/>
        <v>N</v>
      </c>
      <c r="X71" s="168">
        <f t="shared" si="32"/>
        <v>1</v>
      </c>
      <c r="Y71" s="69">
        <f t="shared" si="25"/>
        <v>4.7500000000000001E-2</v>
      </c>
      <c r="Z71" s="69">
        <f t="shared" si="26"/>
        <v>23.329899999999999</v>
      </c>
      <c r="AA71" s="69">
        <f t="shared" si="27"/>
        <v>23.282399999999999</v>
      </c>
      <c r="AB71" s="66" t="e">
        <f>VLOOKUP(A71,Enforcements!$C$7:$K$20,8,0)</f>
        <v>#N/A</v>
      </c>
      <c r="AC71" s="62" t="e">
        <f>VLOOKUP(A71,Enforcements!$C$7:$E$20,3,0)</f>
        <v>#N/A</v>
      </c>
      <c r="AD71" s="63" t="str">
        <f t="shared" si="28"/>
        <v>0159-23</v>
      </c>
      <c r="AE71" s="99" t="str">
        <f t="shared" si="12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71" s="96" t="str">
        <f t="shared" si="13"/>
        <v>"C:\Program Files (x86)\AstroGrep\AstroGrep.exe" /spath="%USERPROFILE%\AppData\Local\Temp\OnboardLogs" /stypes="app*4029*20160923*" /stext=" 17:.+((SYSTEM_STATE.+slice.+state.+changed )|(ment ac)|(system.+state.+changed )|(\|lc)|(penalty)|(\[timeout)|(PRM\|1\|D)|(kpr)|(kdp))" /e /r /s</v>
      </c>
      <c r="AG71" s="1" t="str">
        <f t="shared" si="29"/>
        <v>EC</v>
      </c>
      <c r="AH71" s="100" t="str">
        <f t="shared" si="17"/>
        <v>"%USERPROFILE%\Documents\GitHub\eaglep3\Utilities\RefineRTDCRunTimes.py" --tripid 159-23 --locoid 4029 --swversion DE.1.0.7.0 --startMP 204:475 --initTime 2016-09-23T10:57:34 --startdatetime 2016-09-23T11:00:48 --delay 2 --endMP 204:233299 --enddatetime 2016-09-23T11:37:13 --enforcementcount 0 &gt;&gt;C:\Users\stu\Documents\GitHub\eaglep3-reporting\EC\2016-09-23-refined-times.txt</v>
      </c>
      <c r="AI71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{"issue":{"subject":"","project_id":79,"tracker_id":40,"status_id":1,"priority_id":2,"assigned_to_id":23,"start_date":"2016-09-23","description":"","custom_fields":[{"id":1,"name":"Subdivision","value":"EC"},{"id":4,"name":"Milepost","value":"23.3299"},{"id":17,"name":"Train ID","value":"159-23"},{"id":16,"name":"Locomotive ID","value":"4029"},{"id":130,"name":"Impact","value":""},{"id":150,"name":"Time of Event (Mountain Time)","value":"11:37:13"},{"id":151,"name":"Denver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739</v>
      </c>
      <c r="B72" s="7"/>
      <c r="C72" s="24" t="s">
        <v>106</v>
      </c>
      <c r="D72" s="24" t="s">
        <v>348</v>
      </c>
      <c r="E72" s="15">
        <v>42636.456643518519</v>
      </c>
      <c r="F72" s="15"/>
      <c r="G72" s="7">
        <v>2</v>
      </c>
      <c r="H72" s="15" t="s">
        <v>354</v>
      </c>
      <c r="I72" s="15"/>
      <c r="J72" s="7">
        <v>0</v>
      </c>
      <c r="K72" s="121" t="str">
        <f t="shared" si="19"/>
        <v>-1/</v>
      </c>
      <c r="L72" s="24" t="e">
        <f>VLOOKUP(A72,'Trips&amp;Operators'!$C$1:$E$10000,3,FALSE)</f>
        <v>#N/A</v>
      </c>
      <c r="M72" s="6">
        <f t="shared" si="20"/>
        <v>0</v>
      </c>
      <c r="N72" s="7"/>
      <c r="O72" s="7"/>
      <c r="P72" s="7">
        <v>1</v>
      </c>
      <c r="Q72" s="25"/>
      <c r="R72" s="25" t="s">
        <v>746</v>
      </c>
      <c r="S72" s="37">
        <f t="shared" si="21"/>
        <v>0</v>
      </c>
      <c r="T72" s="52" t="str">
        <f t="shared" si="22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09:57:34-0600',mode:absolute,to:'1900-01-00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72" s="54" t="str">
        <f t="shared" si="24"/>
        <v>N</v>
      </c>
      <c r="X72" s="168">
        <f t="shared" ref="X72:X75" si="33">VALUE(LEFT(AD72,4))-VALUE(LEFT(AD71,4))</f>
        <v>1</v>
      </c>
      <c r="Y72" s="69">
        <f t="shared" si="25"/>
        <v>4.7500000000000001E-2</v>
      </c>
      <c r="Z72" s="69">
        <f t="shared" si="26"/>
        <v>23.329899999999999</v>
      </c>
      <c r="AA72" s="69">
        <f t="shared" si="27"/>
        <v>23.282399999999999</v>
      </c>
      <c r="AB72" s="66" t="e">
        <f>VLOOKUP(A72,Enforcements!$C$7:$K$20,8,0)</f>
        <v>#N/A</v>
      </c>
      <c r="AC72" s="62" t="e">
        <f>VLOOKUP(A72,Enforcements!$C$7:$E$20,3,0)</f>
        <v>#N/A</v>
      </c>
      <c r="AD72" s="63" t="str">
        <f t="shared" si="28"/>
        <v>0160-23</v>
      </c>
      <c r="AE72" s="99" t="str">
        <f t="shared" si="12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72" s="96" t="str">
        <f t="shared" si="13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72" s="1" t="str">
        <f t="shared" si="29"/>
        <v>EC</v>
      </c>
      <c r="AH72" s="100" t="str">
        <f t="shared" ref="AH72" si="34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160-23 --locoid  --swversion DE.1.0.7.0 --startMP 204:475 --initTime 2016-09-23T10:57:34 --startdatetime 1900-01-00T00:00:00 --delay 2 --endMP 204:233299 --enddatetime 1900-01-00T00:00:00 --enforcementcount 0 &gt;&gt;C:\Users\stu\Documents\GitHub\eaglep3-reporting\EC\2016-09-23-refined-times.txt</v>
      </c>
      <c r="AI72" s="134" t="str">
        <f t="shared" ref="AI72" si="35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{"issue":{"subject":"BOS issue","project_id":79,"tracker_id":40,"status_id":1,"priority_id":2,"assigned_to_id":23,"start_date":"1900-01-00","description":"","custom_fields":[{"id":1,"name":"Subdivision","value":"EC"},{"id":4,"name":"Milepost","value":"23.3299"},{"id":17,"name":"Train ID","value":"160-23"},{"id":16,"name":"Locomotive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476</v>
      </c>
      <c r="B73" s="7">
        <v>4040</v>
      </c>
      <c r="C73" s="24" t="s">
        <v>106</v>
      </c>
      <c r="D73" s="24" t="s">
        <v>227</v>
      </c>
      <c r="E73" s="15">
        <v>42636.467048611114</v>
      </c>
      <c r="F73" s="15">
        <v>42636.469108796293</v>
      </c>
      <c r="G73" s="7">
        <v>1</v>
      </c>
      <c r="H73" s="15" t="s">
        <v>646</v>
      </c>
      <c r="I73" s="15">
        <v>42636.493680555555</v>
      </c>
      <c r="J73" s="7">
        <v>0</v>
      </c>
      <c r="K73" s="121" t="str">
        <f t="shared" si="19"/>
        <v>4039/4040</v>
      </c>
      <c r="L73" s="24" t="str">
        <f>VLOOKUP(A73,'Trips&amp;Operators'!$C$1:$E$10000,3,FALSE)</f>
        <v>CLARK</v>
      </c>
      <c r="M73" s="6">
        <f t="shared" si="20"/>
        <v>2.457175926247146E-2</v>
      </c>
      <c r="N73" s="7">
        <f t="shared" ref="N73:N78" si="36">24*60*SUM($M73:$M73)</f>
        <v>35.383333337958902</v>
      </c>
      <c r="O73" s="7"/>
      <c r="P73" s="7"/>
      <c r="Q73" s="25"/>
      <c r="R73" s="25"/>
      <c r="S73" s="37">
        <f t="shared" si="21"/>
        <v>1</v>
      </c>
      <c r="T73" s="52" t="str">
        <f t="shared" si="22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10:12:33-0600',mode:absolute,to:'2016-09-23 12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3" s="54" t="str">
        <f t="shared" si="24"/>
        <v>N</v>
      </c>
      <c r="X73" s="168">
        <f t="shared" si="33"/>
        <v>1</v>
      </c>
      <c r="Y73" s="69">
        <f t="shared" si="25"/>
        <v>4.5499999999999999E-2</v>
      </c>
      <c r="Z73" s="69">
        <f t="shared" si="26"/>
        <v>23.111599999999999</v>
      </c>
      <c r="AA73" s="69">
        <f t="shared" si="27"/>
        <v>23.066099999999999</v>
      </c>
      <c r="AB73" s="66" t="str">
        <f>VLOOKUP(A73,Enforcements!$C$7:$K$20,8,0)</f>
        <v>PTC function (8)</v>
      </c>
      <c r="AC73" s="62" t="str">
        <f>VLOOKUP(A73,Enforcements!$C$7:$E$20,3,0)</f>
        <v>NON SYNCHRONIZED SUBDIV</v>
      </c>
      <c r="AD73" s="63" t="str">
        <f t="shared" si="28"/>
        <v>0161-23</v>
      </c>
      <c r="AE73" s="99" t="str">
        <f t="shared" si="12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73" s="96" t="str">
        <f t="shared" si="13"/>
        <v>"C:\Program Files (x86)\AstroGrep\AstroGrep.exe" /spath="%USERPROFILE%\AppData\Local\Temp\OnboardLogs" /stypes="app*4040*20160923*" /stext=" 17:.+((SYSTEM_STATE.+slice.+state.+changed )|(ment ac)|(system.+state.+changed )|(\|lc)|(penalty)|(\[timeout)|(PRM\|1\|D)|(kpr)|(kdp))" /e /r /s</v>
      </c>
      <c r="AG73" s="1" t="str">
        <f t="shared" si="29"/>
        <v>EC</v>
      </c>
      <c r="AH73" s="100" t="str">
        <f t="shared" si="17"/>
        <v>"%USERPROFILE%\Documents\GitHub\eaglep3\Utilities\RefineRTDCRunTimes.py" --tripid 161-23 --locoid 4040 --swversion DE.1.0.7.0 --startMP 204:455 --initTime 2016-09-23T11:12:33 --startdatetime 2016-09-23T11:15:31 --delay 1 --endMP 204:231116 --enddatetime 2016-09-23T11:50:54 --enforcementcount 0 &gt;&gt;C:\Users\stu\Documents\GitHub\eaglep3-reporting\EC\2016-09-23-refined-times.txt</v>
      </c>
      <c r="AI73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{"issue":{"subject":"","project_id":79,"tracker_id":40,"status_id":1,"priority_id":2,"assigned_to_id":23,"start_date":"2016-09-23","description":"","custom_fields":[{"id":1,"name":"Subdivision","value":"EC"},{"id":4,"name":"Milepost","value":"23.1116"},{"id":17,"name":"Train ID","value":"161-23"},{"id":16,"name":"Locomotive ID","value":"4040"},{"id":130,"name":"Impact","value":""},{"id":150,"name":"Time of Event (Mountain Time)","value":"11:50:54"},{"id":151,"name":"Denver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485</v>
      </c>
      <c r="B74" s="7">
        <v>4039</v>
      </c>
      <c r="C74" s="24" t="s">
        <v>106</v>
      </c>
      <c r="D74" s="24" t="s">
        <v>293</v>
      </c>
      <c r="E74" s="15">
        <v>42636.504421296297</v>
      </c>
      <c r="F74" s="15">
        <v>42636.508067129631</v>
      </c>
      <c r="G74" s="7">
        <v>1</v>
      </c>
      <c r="H74" s="15" t="s">
        <v>127</v>
      </c>
      <c r="I74" s="15">
        <v>42636.537638888891</v>
      </c>
      <c r="J74" s="7">
        <v>0</v>
      </c>
      <c r="K74" s="121" t="str">
        <f t="shared" si="19"/>
        <v>4039/4040</v>
      </c>
      <c r="L74" s="24" t="str">
        <f>VLOOKUP(A74,'Trips&amp;Operators'!$C$1:$E$10000,3,FALSE)</f>
        <v>CLARK</v>
      </c>
      <c r="M74" s="6">
        <f t="shared" si="20"/>
        <v>2.9571759259852115E-2</v>
      </c>
      <c r="N74" s="7">
        <f t="shared" si="36"/>
        <v>42.583333334187046</v>
      </c>
      <c r="O74" s="7"/>
      <c r="P74" s="7"/>
      <c r="Q74" s="25"/>
      <c r="R74" s="25"/>
      <c r="S74" s="37">
        <f t="shared" si="21"/>
        <v>1</v>
      </c>
      <c r="T74" s="52" t="str">
        <f t="shared" si="22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11:06:22-0600',mode:absolute,to:'2016-09-23 13:54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4" s="54" t="str">
        <f t="shared" si="24"/>
        <v>N</v>
      </c>
      <c r="X74" s="168">
        <f t="shared" si="33"/>
        <v>1</v>
      </c>
      <c r="Y74" s="69">
        <f t="shared" si="25"/>
        <v>23.299299999999999</v>
      </c>
      <c r="Z74" s="69">
        <f t="shared" si="26"/>
        <v>1.54E-2</v>
      </c>
      <c r="AA74" s="69">
        <f t="shared" si="27"/>
        <v>23.283899999999999</v>
      </c>
      <c r="AB74" s="66" t="e">
        <f>VLOOKUP(A74,Enforcements!$C$7:$K$20,8,0)</f>
        <v>#N/A</v>
      </c>
      <c r="AC74" s="62" t="e">
        <f>VLOOKUP(A74,Enforcements!$C$7:$E$20,3,0)</f>
        <v>#N/A</v>
      </c>
      <c r="AD74" s="63" t="str">
        <f t="shared" si="28"/>
        <v>0162-23</v>
      </c>
      <c r="AE74" s="99" t="str">
        <f t="shared" si="12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74" s="96" t="str">
        <f t="shared" si="13"/>
        <v>"C:\Program Files (x86)\AstroGrep\AstroGrep.exe" /spath="%USERPROFILE%\AppData\Local\Temp\OnboardLogs" /stypes="app*4039*20160923*" /stext=" 18:.+((SYSTEM_STATE.+slice.+state.+changed )|(ment ac)|(system.+state.+changed )|(\|lc)|(penalty)|(\[timeout)|(PRM\|1\|D)|(kpr)|(kdp))" /e /r /s</v>
      </c>
      <c r="AG74" s="1" t="str">
        <f t="shared" si="29"/>
        <v>EC</v>
      </c>
      <c r="AH74" s="100" t="str">
        <f t="shared" si="17"/>
        <v>"%USERPROFILE%\Documents\GitHub\eaglep3\Utilities\RefineRTDCRunTimes.py" --tripid 162-23 --locoid 4039 --swversion DE.1.0.7.0 --startMP 204:232993 --initTime 2016-09-23T12:06:22 --startdatetime 2016-09-23T12:11:37 --delay 1 --endMP 204:154 --enddatetime 2016-09-23T12:54:12 --enforcementcount 0 &gt;&gt;C:\Users\stu\Documents\GitHub\eaglep3-reporting\EC\2016-09-23-refined-times.txt</v>
      </c>
      <c r="AI74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ID","value":"162-23"},{"id":16,"name":"Locomotive ID","value":"4039"},{"id":130,"name":"Impact","value":""},{"id":150,"name":"Time of Event (Mountain Time)","value":"12:54:12"},{"id":151,"name":"Denver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480</v>
      </c>
      <c r="B75" s="7">
        <v>4016</v>
      </c>
      <c r="C75" s="24" t="s">
        <v>106</v>
      </c>
      <c r="D75" s="24" t="s">
        <v>236</v>
      </c>
      <c r="E75" s="15">
        <v>42636.474791666667</v>
      </c>
      <c r="F75" s="15">
        <v>42636.479421296295</v>
      </c>
      <c r="G75" s="7">
        <v>1</v>
      </c>
      <c r="H75" s="15" t="s">
        <v>292</v>
      </c>
      <c r="I75" s="15">
        <v>42636.49796296296</v>
      </c>
      <c r="J75" s="7">
        <v>0</v>
      </c>
      <c r="K75" s="121" t="str">
        <f t="shared" si="19"/>
        <v>4015/4016</v>
      </c>
      <c r="L75" s="24" t="str">
        <f>VLOOKUP(A75,'Trips&amp;Operators'!$C$1:$E$10000,3,FALSE)</f>
        <v>BONDS</v>
      </c>
      <c r="M75" s="6">
        <f t="shared" si="20"/>
        <v>1.8541666664532386E-2</v>
      </c>
      <c r="N75" s="7">
        <f t="shared" si="36"/>
        <v>26.699999996926636</v>
      </c>
      <c r="O75" s="7"/>
      <c r="P75" s="7"/>
      <c r="Q75" s="25"/>
      <c r="R75" s="25"/>
      <c r="S75" s="37">
        <f t="shared" si="21"/>
        <v>1</v>
      </c>
      <c r="T75" s="52" t="str">
        <f t="shared" si="22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10:23:42-0600',mode:absolute,to:'2016-09-23 12:57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75" s="54" t="str">
        <f t="shared" si="24"/>
        <v>N</v>
      </c>
      <c r="X75" s="168">
        <f t="shared" si="33"/>
        <v>1</v>
      </c>
      <c r="Y75" s="69">
        <f t="shared" si="25"/>
        <v>4.6899999999999997E-2</v>
      </c>
      <c r="Z75" s="69">
        <f t="shared" si="26"/>
        <v>23.328800000000001</v>
      </c>
      <c r="AA75" s="69">
        <f t="shared" si="27"/>
        <v>23.2819</v>
      </c>
      <c r="AB75" s="66" t="e">
        <f>VLOOKUP(A75,Enforcements!$C$7:$K$20,8,0)</f>
        <v>#N/A</v>
      </c>
      <c r="AC75" s="62" t="e">
        <f>VLOOKUP(A75,Enforcements!$C$7:$E$20,3,0)</f>
        <v>#N/A</v>
      </c>
      <c r="AD75" s="63" t="str">
        <f t="shared" si="28"/>
        <v>0163-23</v>
      </c>
      <c r="AE75" s="99" t="str">
        <f t="shared" si="12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75" s="96" t="str">
        <f t="shared" si="13"/>
        <v>"C:\Program Files (x86)\AstroGrep\AstroGrep.exe" /spath="%USERPROFILE%\AppData\Local\Temp\OnboardLogs" /stypes="app*4016*20160923*" /stext=" 17:.+((SYSTEM_STATE.+slice.+state.+changed )|(ment ac)|(system.+state.+changed )|(\|lc)|(penalty)|(\[timeout)|(PRM\|1\|D)|(kpr)|(kdp))" /e /r /s</v>
      </c>
      <c r="AG75" s="1" t="str">
        <f t="shared" si="29"/>
        <v>EC</v>
      </c>
      <c r="AH75" s="100" t="str">
        <f t="shared" si="17"/>
        <v>"%USERPROFILE%\Documents\GitHub\eaglep3\Utilities\RefineRTDCRunTimes.py" --tripid 163-23 --locoid 4016 --swversion DE.1.0.7.0 --startMP 204:469 --initTime 2016-09-23T11:23:42 --startdatetime 2016-09-23T11:30:22 --delay 1 --endMP 204:233288 --enddatetime 2016-09-23T11:57:04 --enforcementcount 0 &gt;&gt;C:\Users\stu\Documents\GitHub\eaglep3-reporting\EC\2016-09-23-refined-times.txt</v>
      </c>
      <c r="AI75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{"issue":{"subject":"","project_id":79,"tracker_id":40,"status_id":1,"priority_id":2,"assigned_to_id":23,"start_date":"2016-09-23","description":"","custom_fields":[{"id":1,"name":"Subdivision","value":"EC"},{"id":4,"name":"Milepost","value":"23.3288"},{"id":17,"name":"Train ID","value":"163-23"},{"id":16,"name":"Locomotive ID","value":"4016"},{"id":130,"name":"Impact","value":""},{"id":150,"name":"Time of Event (Mountain Time)","value":"11:57:04"},{"id":151,"name":"Denver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488</v>
      </c>
      <c r="B76" s="7">
        <v>4015</v>
      </c>
      <c r="C76" s="24" t="s">
        <v>106</v>
      </c>
      <c r="D76" s="24" t="s">
        <v>268</v>
      </c>
      <c r="E76" s="15">
        <v>42636.514409722222</v>
      </c>
      <c r="F76" s="15">
        <v>42636.518252314818</v>
      </c>
      <c r="G76" s="7">
        <v>1</v>
      </c>
      <c r="H76" s="15" t="s">
        <v>218</v>
      </c>
      <c r="I76" s="15">
        <v>42636.54546296296</v>
      </c>
      <c r="J76" s="7">
        <v>0</v>
      </c>
      <c r="K76" s="121" t="str">
        <f t="shared" si="19"/>
        <v>4015/4016</v>
      </c>
      <c r="L76" s="24" t="str">
        <f>VLOOKUP(A76,'Trips&amp;Operators'!$C$1:$E$10000,3,FALSE)</f>
        <v>BONDS</v>
      </c>
      <c r="M76" s="6">
        <f t="shared" si="20"/>
        <v>2.7210648142499849E-2</v>
      </c>
      <c r="N76" s="7">
        <f t="shared" si="36"/>
        <v>39.183333325199783</v>
      </c>
      <c r="O76" s="7"/>
      <c r="P76" s="7"/>
      <c r="Q76" s="25"/>
      <c r="R76" s="25"/>
      <c r="S76" s="37">
        <f t="shared" si="21"/>
        <v>1</v>
      </c>
      <c r="T76" s="52" t="str">
        <f t="shared" si="22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23"/>
        <v>https://search-rtdc-monitor-bjffxe2xuh6vdkpspy63sjmuny.us-east-1.es.amazonaws.com/_plugin/kibana/#/discover/Steve-Slow-Train-Analysis-(2080s-and-2083s)?_g=(refreshInterval:(display:Off,section:0,value:0),time:(from:'2016-09-23 11:20:45-0600',mode:absolute,to:'2016-09-23 14:05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76" s="54" t="str">
        <f t="shared" si="24"/>
        <v>N</v>
      </c>
      <c r="X76" s="168">
        <f>VALUE(LEFT(AD76,4))-VALUE(LEFT(AD75,4))</f>
        <v>1</v>
      </c>
      <c r="Y76" s="69">
        <f t="shared" si="25"/>
        <v>23.2959</v>
      </c>
      <c r="Z76" s="69">
        <f t="shared" si="26"/>
        <v>1.47E-2</v>
      </c>
      <c r="AA76" s="69">
        <f t="shared" si="27"/>
        <v>23.281199999999998</v>
      </c>
      <c r="AB76" s="66" t="e">
        <f>VLOOKUP(A76,Enforcements!$C$7:$K$20,8,0)</f>
        <v>#N/A</v>
      </c>
      <c r="AC76" s="62" t="e">
        <f>VLOOKUP(A76,Enforcements!$C$7:$E$20,3,0)</f>
        <v>#N/A</v>
      </c>
      <c r="AD76" s="63" t="str">
        <f t="shared" si="28"/>
        <v>0164-23</v>
      </c>
      <c r="AE76" s="99" t="str">
        <f t="shared" si="12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76" s="96" t="str">
        <f t="shared" si="13"/>
        <v>"C:\Program Files (x86)\AstroGrep\AstroGrep.exe" /spath="%USERPROFILE%\AppData\Local\Temp\OnboardLogs" /stypes="app*4015*20160923*" /stext=" 19:.+((SYSTEM_STATE.+slice.+state.+changed )|(ment ac)|(system.+state.+changed )|(\|lc)|(penalty)|(\[timeout)|(PRM\|1\|D)|(kpr)|(kdp))" /e /r /s</v>
      </c>
      <c r="AG76" s="1" t="str">
        <f t="shared" si="29"/>
        <v>EC</v>
      </c>
      <c r="AH76" s="100" t="str">
        <f t="shared" si="17"/>
        <v>"%USERPROFILE%\Documents\GitHub\eaglep3\Utilities\RefineRTDCRunTimes.py" --tripid 164-23 --locoid 4015 --swversion DE.1.0.7.0 --startMP 204:232959 --initTime 2016-09-23T12:20:45 --startdatetime 2016-09-23T12:26:17 --delay 1 --endMP 204:147 --enddatetime 2016-09-23T13:05:28 --enforcementcount 0 &gt;&gt;C:\Users\stu\Documents\GitHub\eaglep3-reporting\EC\2016-09-23-refined-times.txt</v>
      </c>
      <c r="AI76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{"issue":{"subject":"","project_id":79,"tracker_id":40,"status_id":1,"priority_id":2,"assigned_to_id":23,"start_date":"2016-09-23","description":"","custom_fields":[{"id":1,"name":"Subdivision","value":"EC"},{"id":4,"name":"Milepost","value":"0.0147"},{"id":17,"name":"Train ID","value":"164-23"},{"id":16,"name":"Locomotive ID","value":"4015"},{"id":130,"name":"Impact","value":""},{"id":150,"name":"Time of Event (Mountain Time)","value":"13:05:28"},{"id":151,"name":"Denver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484</v>
      </c>
      <c r="B77" s="7">
        <v>4003</v>
      </c>
      <c r="C77" s="24" t="s">
        <v>106</v>
      </c>
      <c r="D77" s="24" t="s">
        <v>236</v>
      </c>
      <c r="E77" s="15">
        <v>42636.487129629626</v>
      </c>
      <c r="F77" s="15">
        <v>42636.489768518521</v>
      </c>
      <c r="G77" s="7">
        <v>2</v>
      </c>
      <c r="H77" s="15" t="s">
        <v>312</v>
      </c>
      <c r="I77" s="15">
        <v>42636.516898148147</v>
      </c>
      <c r="J77" s="7">
        <v>0</v>
      </c>
      <c r="K77" s="121" t="str">
        <f t="shared" ref="K77:K108" si="37">IF(ISEVEN(B77),(B77-1)&amp;"/"&amp;B77,B77&amp;"/"&amp;(B77+1))</f>
        <v>4003/4004</v>
      </c>
      <c r="L77" s="24" t="str">
        <f>VLOOKUP(A77,'Trips&amp;Operators'!$C$1:$E$10000,3,FALSE)</f>
        <v>MOSES</v>
      </c>
      <c r="M77" s="6">
        <f t="shared" ref="M77:M108" si="38">I77-F77</f>
        <v>2.7129629626870155E-2</v>
      </c>
      <c r="N77" s="7">
        <f t="shared" si="36"/>
        <v>39.066666662693024</v>
      </c>
      <c r="O77" s="7"/>
      <c r="P77" s="7"/>
      <c r="Q77" s="25"/>
      <c r="R77" s="25"/>
      <c r="S77" s="37">
        <f t="shared" ref="S77:S97" si="39">SUM(U77:U77)/IF(AG77="EC",12,1)</f>
        <v>1</v>
      </c>
      <c r="T77" s="52" t="str">
        <f t="shared" ref="T77:T108" si="40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08" si="41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https://search-rtdc-monitor-bjffxe2xuh6vdkpspy63sjmuny.us-east-1.es.amazonaws.com/_plugin/kibana/#/discover/Steve-Slow-Train-Analysis-(2080s-and-2083s)?_g=(refreshInterval:(display:Off,section:0,value:0),time:(from:'2016-09-23 10:41:28-0600',mode:absolute,to:'2016-09-23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77" s="54" t="str">
        <f t="shared" ref="W77:W108" si="42">IF(AA77&lt;IF(AG77="EC",23,5.65),"Y","N")</f>
        <v>N</v>
      </c>
      <c r="X77" s="168">
        <f>VALUE(LEFT(AD77,4))-VALUE(LEFT(AD76,4))</f>
        <v>1</v>
      </c>
      <c r="Y77" s="69">
        <f t="shared" ref="Y77:Y108" si="43">RIGHT(D77,LEN(D77)-4)/10000</f>
        <v>4.6899999999999997E-2</v>
      </c>
      <c r="Z77" s="69">
        <f t="shared" ref="Z77:Z108" si="44">RIGHT(H77,LEN(H77)-4)/10000</f>
        <v>23.330400000000001</v>
      </c>
      <c r="AA77" s="69">
        <f t="shared" ref="AA77:AA108" si="45">ABS(Z77-Y77)</f>
        <v>23.2835</v>
      </c>
      <c r="AB77" s="66" t="str">
        <f>VLOOKUP(A77,Enforcements!$C$7:$K$20,8,0)</f>
        <v>PTC function (8)</v>
      </c>
      <c r="AC77" s="62" t="str">
        <f>VLOOKUP(A77,Enforcements!$C$7:$E$20,3,0)</f>
        <v>NON SYNCHRONIZED SUBDIV</v>
      </c>
      <c r="AD77" s="63" t="str">
        <f t="shared" ref="AD77:AD113" si="46">IF(LEN(A77)=6,"0"&amp;A77,A77)</f>
        <v>0165-23</v>
      </c>
      <c r="AE77" s="99" t="str">
        <f t="shared" ref="AE77:AE140" si="47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77" s="96" t="str">
        <f t="shared" ref="AF77:AF140" si="4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/stypes="app*4003*20160923*" /stext=" 18:.+((SYSTEM_STATE.+slice.+state.+changed )|(ment ac)|(system.+state.+changed )|(\|lc)|(penalty)|(\[timeout)|(PRM\|1\|D)|(kpr)|(kdp))" /e /r /s</v>
      </c>
      <c r="AG77" s="1" t="str">
        <f t="shared" ref="AG77:AG112" si="49">IFERROR(IF(VALUE(LEFT(AD77,2))&lt;=2,"EC",IF(OR(VALUE(LEFT(AD77,2))=8,VALUE(LEFT(AD77,2))=18),"NW","Other")),"Other")</f>
        <v>EC</v>
      </c>
      <c r="AH77" s="100" t="str">
        <f t="shared" si="17"/>
        <v>"%USERPROFILE%\Documents\GitHub\eaglep3\Utilities\RefineRTDCRunTimes.py" --tripid 165-23 --locoid 4003 --swversion DE.1.0.7.0 --startMP 204:469 --initTime 2016-09-23T11:41:28 --startdatetime 2016-09-23T11:45:16 --delay 2 --endMP 204:233304 --enddatetime 2016-09-23T12:24:20 --enforcementcount 0 &gt;&gt;C:\Users\stu\Documents\GitHub\eaglep3-reporting\EC\2016-09-23-refined-times.txt</v>
      </c>
      <c r="AI77" s="134" t="str">
        <f t="shared" si="18"/>
        <v>echo {"issue":{"subject":"","project_id":79,"tracker_id":40,"status_id":1,"priority_id":2,"assigned_to_id":23,"start_date":"2016-09-23","description":"","custom_fields":[{"id":1,"name":"Subdivision","value":"EC"},{"id":4,"name":"Milepost","value":"23.3304"},{"id":17,"name":"Train ID","value":"165-23"},{"id":16,"name":"Locomotive ID","value":"4003"},{"id":130,"name":"Impact","value":""},{"id":150,"name":"Time of Event (Mountain Time)","value":"12:24:20"},{"id":151,"name":"Denver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491</v>
      </c>
      <c r="B78" s="7">
        <v>4004</v>
      </c>
      <c r="C78" s="24" t="s">
        <v>106</v>
      </c>
      <c r="D78" s="24" t="s">
        <v>636</v>
      </c>
      <c r="E78" s="15">
        <v>42636.526018518518</v>
      </c>
      <c r="F78" s="15">
        <v>42636.529502314814</v>
      </c>
      <c r="G78" s="7">
        <v>1</v>
      </c>
      <c r="H78" s="15" t="s">
        <v>220</v>
      </c>
      <c r="I78" s="15">
        <v>42636.556250000001</v>
      </c>
      <c r="J78" s="7">
        <v>0</v>
      </c>
      <c r="K78" s="121" t="str">
        <f t="shared" si="37"/>
        <v>4003/4004</v>
      </c>
      <c r="L78" s="24" t="str">
        <f>VLOOKUP(A78,'Trips&amp;Operators'!$C$1:$E$10000,3,FALSE)</f>
        <v>MOSES</v>
      </c>
      <c r="M78" s="6">
        <f t="shared" si="38"/>
        <v>2.6747685187729076E-2</v>
      </c>
      <c r="N78" s="7">
        <f t="shared" si="36"/>
        <v>38.516666670329869</v>
      </c>
      <c r="O78" s="7"/>
      <c r="P78" s="7"/>
      <c r="Q78" s="25"/>
      <c r="R78" s="25"/>
      <c r="S78" s="37">
        <f t="shared" si="39"/>
        <v>1</v>
      </c>
      <c r="T78" s="52" t="str">
        <f t="shared" si="40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11:37:28-0600',mode:absolute,to:'2016-09-23 14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78" s="54" t="str">
        <f t="shared" si="42"/>
        <v>N</v>
      </c>
      <c r="X78" s="168">
        <f>VALUE(LEFT(AD78,4))-VALUE(LEFT(AD77,4))</f>
        <v>1</v>
      </c>
      <c r="Y78" s="69">
        <f t="shared" si="43"/>
        <v>23.300599999999999</v>
      </c>
      <c r="Z78" s="69">
        <f t="shared" si="44"/>
        <v>1.4999999999999999E-2</v>
      </c>
      <c r="AA78" s="69">
        <f t="shared" si="45"/>
        <v>23.285599999999999</v>
      </c>
      <c r="AB78" s="66" t="e">
        <f>VLOOKUP(A78,Enforcements!$C$7:$K$20,8,0)</f>
        <v>#N/A</v>
      </c>
      <c r="AC78" s="62" t="e">
        <f>VLOOKUP(A78,Enforcements!$C$7:$E$20,3,0)</f>
        <v>#N/A</v>
      </c>
      <c r="AD78" s="63" t="str">
        <f t="shared" si="46"/>
        <v>0166-23</v>
      </c>
      <c r="AE78" s="99" t="str">
        <f t="shared" si="47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78" s="96" t="str">
        <f t="shared" si="48"/>
        <v>"C:\Program Files (x86)\AstroGrep\AstroGrep.exe" /spath="%USERPROFILE%\AppData\Local\Temp\OnboardLogs" /stypes="app*4004*20160923*" /stext=" 19:.+((SYSTEM_STATE.+slice.+state.+changed )|(ment ac)|(system.+state.+changed )|(\|lc)|(penalty)|(\[timeout)|(PRM\|1\|D)|(kpr)|(kdp))" /e /r /s</v>
      </c>
      <c r="AG78" s="1" t="str">
        <f t="shared" si="49"/>
        <v>EC</v>
      </c>
      <c r="AH78" s="100" t="str">
        <f t="shared" ref="AH78:AH146" si="5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4004 --swversion DE.1.0.7.0 --startMP 204:233006 --initTime 2016-09-23T12:37:28 --startdatetime 2016-09-23T12:42:29 --delay 1 --endMP 204:150 --enddatetime 2016-09-23T13:21:00 --enforcementcount 0 &gt;&gt;C:\Users\stu\Documents\GitHub\eaglep3-reporting\EC\2016-09-23-refined-times.txt</v>
      </c>
      <c r="AI78" s="134" t="str">
        <f t="shared" ref="AI78:AI146" si="5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{"issue":{"subject":"","project_id":79,"tracker_id":40,"status_id":1,"priority_id":2,"assigned_to_id":23,"start_date":"2016-09-23","description":"","custom_fields":[{"id":1,"name":"Subdivision","value":"EC"},{"id":4,"name":"Milepost","value":"0.015"},{"id":17,"name":"Train ID","value":"166-23"},{"id":16,"name":"Locomotive ID","value":"4004"},{"id":130,"name":"Impact","value":""},{"id":150,"name":"Time of Event (Mountain Time)","value":"13:21:00"},{"id":151,"name":"Denver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741</v>
      </c>
      <c r="B79" s="7"/>
      <c r="C79" s="24" t="s">
        <v>106</v>
      </c>
      <c r="D79" s="24" t="s">
        <v>348</v>
      </c>
      <c r="E79" s="15">
        <v>42636.456643518519</v>
      </c>
      <c r="F79" s="15"/>
      <c r="G79" s="7">
        <v>2</v>
      </c>
      <c r="H79" s="15" t="s">
        <v>354</v>
      </c>
      <c r="I79" s="15"/>
      <c r="J79" s="7">
        <v>0</v>
      </c>
      <c r="K79" s="121" t="str">
        <f t="shared" si="37"/>
        <v>-1/</v>
      </c>
      <c r="L79" s="24" t="e">
        <f>VLOOKUP(A79,'Trips&amp;Operators'!$C$1:$E$10000,3,FALSE)</f>
        <v>#N/A</v>
      </c>
      <c r="M79" s="6">
        <f t="shared" si="38"/>
        <v>0</v>
      </c>
      <c r="N79" s="7"/>
      <c r="O79" s="7"/>
      <c r="P79" s="7">
        <v>1</v>
      </c>
      <c r="Q79" s="25"/>
      <c r="R79" s="25" t="s">
        <v>740</v>
      </c>
      <c r="S79" s="37">
        <f t="shared" si="39"/>
        <v>0</v>
      </c>
      <c r="T79" s="52" t="str">
        <f t="shared" si="40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0</v>
      </c>
      <c r="V7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09:57:34-0600',mode:absolute,to:'1900-01-00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79" s="54" t="str">
        <f t="shared" si="42"/>
        <v>Y</v>
      </c>
      <c r="X79" s="168">
        <f t="shared" ref="X79:X82" si="52">VALUE(LEFT(AD79,4))-VALUE(LEFT(AD78,4))</f>
        <v>1</v>
      </c>
      <c r="Y79" s="69">
        <f t="shared" si="43"/>
        <v>4.7500000000000001E-2</v>
      </c>
      <c r="Z79" s="69">
        <v>0.04</v>
      </c>
      <c r="AA79" s="69">
        <f t="shared" si="45"/>
        <v>7.4999999999999997E-3</v>
      </c>
      <c r="AB79" s="66" t="e">
        <f>VLOOKUP(A79,Enforcements!$C$7:$K$20,8,0)</f>
        <v>#N/A</v>
      </c>
      <c r="AC79" s="62" t="e">
        <f>VLOOKUP(A79,Enforcements!$C$7:$E$20,3,0)</f>
        <v>#N/A</v>
      </c>
      <c r="AD79" s="63" t="str">
        <f t="shared" si="46"/>
        <v>0167-23</v>
      </c>
      <c r="AE79" s="99" t="str">
        <f t="shared" si="47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79" s="96" t="str">
        <f t="shared" si="48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79" s="1" t="str">
        <f t="shared" si="49"/>
        <v>EC</v>
      </c>
      <c r="AH79" s="100" t="str">
        <f t="shared" si="50"/>
        <v>"%USERPROFILE%\Documents\GitHub\eaglep3\Utilities\RefineRTDCRunTimes.py" --tripid 167-23 --locoid  --swversion DE.1.0.7.0 --startMP 204:475 --initTime 2016-09-23T10:57:34 --startdatetime 1900-01-00T00:00:00 --delay 2 --endMP 204:233299 --enddatetime 1900-01-00T00:00:00 --enforcementcount 0 &gt;&gt;C:\Users\stu\Documents\GitHub\eaglep3-reporting\EC\2016-09-23-refined-times.txt</v>
      </c>
      <c r="AI79" s="134" t="str">
        <f t="shared" si="51"/>
        <v>echo {"issue":{"subject":"Did not init","project_id":79,"tracker_id":40,"status_id":1,"priority_id":2,"assigned_to_id":23,"start_date":"1900-01-00","description":"","custom_fields":[{"id":1,"name":"Subdivision","value":"EC"},{"id":4,"name":"Milepost","value":"0.04"},{"id":17,"name":"Train ID","value":"167-23"},{"id":16,"name":"Locomotive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492</v>
      </c>
      <c r="B80" s="7">
        <v>4012</v>
      </c>
      <c r="C80" s="24" t="s">
        <v>106</v>
      </c>
      <c r="D80" s="24" t="s">
        <v>349</v>
      </c>
      <c r="E80" s="15">
        <v>42636.527731481481</v>
      </c>
      <c r="F80" s="15">
        <v>42636.539247685185</v>
      </c>
      <c r="G80" s="7">
        <v>1</v>
      </c>
      <c r="H80" s="15" t="s">
        <v>228</v>
      </c>
      <c r="I80" s="15">
        <v>42636.570347222223</v>
      </c>
      <c r="J80" s="7">
        <v>0</v>
      </c>
      <c r="K80" s="121" t="str">
        <f t="shared" si="37"/>
        <v>4011/4012</v>
      </c>
      <c r="L80" s="24" t="str">
        <f>VLOOKUP(A80,'Trips&amp;Operators'!$C$1:$E$10000,3,FALSE)</f>
        <v>SWANSON</v>
      </c>
      <c r="M80" s="6">
        <f t="shared" si="38"/>
        <v>3.1099537038244307E-2</v>
      </c>
      <c r="N80" s="7">
        <f t="shared" ref="N80:N96" si="53">24*60*SUM($M80:$M80)</f>
        <v>44.783333335071802</v>
      </c>
      <c r="O80" s="7"/>
      <c r="P80" s="7"/>
      <c r="Q80" s="25"/>
      <c r="R80" s="25"/>
      <c r="S80" s="37">
        <f t="shared" si="39"/>
        <v>1</v>
      </c>
      <c r="T80" s="52" t="str">
        <f t="shared" si="40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11:39:56-0600',mode:absolute,to:'2016-09-23 14:41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80" s="54" t="str">
        <f t="shared" si="42"/>
        <v>N</v>
      </c>
      <c r="X80" s="168">
        <f t="shared" si="52"/>
        <v>1</v>
      </c>
      <c r="Y80" s="69">
        <f t="shared" si="43"/>
        <v>23.297499999999999</v>
      </c>
      <c r="Z80" s="69">
        <f t="shared" si="44"/>
        <v>1.3899999999999999E-2</v>
      </c>
      <c r="AA80" s="69">
        <f t="shared" si="45"/>
        <v>23.2836</v>
      </c>
      <c r="AB80" s="66" t="e">
        <f>VLOOKUP(A80,Enforcements!$C$7:$K$20,8,0)</f>
        <v>#N/A</v>
      </c>
      <c r="AC80" s="62" t="e">
        <f>VLOOKUP(A80,Enforcements!$C$7:$E$20,3,0)</f>
        <v>#N/A</v>
      </c>
      <c r="AD80" s="63" t="str">
        <f t="shared" si="46"/>
        <v>0168-23</v>
      </c>
      <c r="AE80" s="99" t="str">
        <f t="shared" si="47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80" s="96" t="str">
        <f t="shared" si="48"/>
        <v>"C:\Program Files (x86)\AstroGrep\AstroGrep.exe" /spath="%USERPROFILE%\AppData\Local\Temp\OnboardLogs" /stypes="app*4012*20160923*" /stext=" 19:.+((SYSTEM_STATE.+slice.+state.+changed )|(ment ac)|(system.+state.+changed )|(\|lc)|(penalty)|(\[timeout)|(PRM\|1\|D)|(kpr)|(kdp))" /e /r /s</v>
      </c>
      <c r="AG80" s="1" t="str">
        <f t="shared" si="49"/>
        <v>EC</v>
      </c>
      <c r="AH80" s="100" t="str">
        <f t="shared" si="50"/>
        <v>"%USERPROFILE%\Documents\GitHub\eaglep3\Utilities\RefineRTDCRunTimes.py" --tripid 168-23 --locoid 4012 --swversion DE.1.0.7.0 --startMP 204:232975 --initTime 2016-09-23T12:39:56 --startdatetime 2016-09-23T12:56:31 --delay 1 --endMP 204:139 --enddatetime 2016-09-23T13:41:18 --enforcementcount 0 &gt;&gt;C:\Users\stu\Documents\GitHub\eaglep3-reporting\EC\2016-09-23-refined-times.txt</v>
      </c>
      <c r="AI8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{"issue":{"subject":"","project_id":79,"tracker_id":40,"status_id":1,"priority_id":2,"assigned_to_id":23,"start_date":"2016-09-23","description":"","custom_fields":[{"id":1,"name":"Subdivision","value":"EC"},{"id":4,"name":"Milepost","value":"0.0139"},{"id":17,"name":"Train ID","value":"168-23"},{"id":16,"name":"Locomotive ID","value":"4012"},{"id":130,"name":"Impact","value":""},{"id":150,"name":"Time of Event (Mountain Time)","value":"13:41:18"},{"id":151,"name":"Denver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486</v>
      </c>
      <c r="B81" s="7">
        <v>4044</v>
      </c>
      <c r="C81" s="24" t="s">
        <v>106</v>
      </c>
      <c r="D81" s="24" t="s">
        <v>643</v>
      </c>
      <c r="E81" s="15">
        <v>42636.509745370371</v>
      </c>
      <c r="F81" s="15">
        <v>42636.511967592596</v>
      </c>
      <c r="G81" s="7">
        <v>1</v>
      </c>
      <c r="H81" s="15" t="s">
        <v>345</v>
      </c>
      <c r="I81" s="15">
        <v>42636.536817129629</v>
      </c>
      <c r="J81" s="7">
        <v>0</v>
      </c>
      <c r="K81" s="121" t="str">
        <f t="shared" si="37"/>
        <v>4043/4044</v>
      </c>
      <c r="L81" s="24" t="str">
        <f>VLOOKUP(A81,'Trips&amp;Operators'!$C$1:$E$10000,3,FALSE)</f>
        <v>SHOOK</v>
      </c>
      <c r="M81" s="6">
        <f t="shared" si="38"/>
        <v>2.4849537032423541E-2</v>
      </c>
      <c r="N81" s="7">
        <f t="shared" si="53"/>
        <v>35.783333326689899</v>
      </c>
      <c r="O81" s="7"/>
      <c r="P81" s="7"/>
      <c r="Q81" s="25"/>
      <c r="R81" s="25"/>
      <c r="S81" s="37">
        <f t="shared" si="39"/>
        <v>1</v>
      </c>
      <c r="T81" s="52" t="str">
        <f t="shared" si="40"/>
        <v>NorthBound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11:14:02-0600',mode:absolute,to:'2016-09-23 13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81" s="54" t="str">
        <f t="shared" si="42"/>
        <v>N</v>
      </c>
      <c r="X81" s="168">
        <f t="shared" si="52"/>
        <v>1</v>
      </c>
      <c r="Y81" s="69">
        <f t="shared" si="43"/>
        <v>4.7699999999999999E-2</v>
      </c>
      <c r="Z81" s="69">
        <f t="shared" si="44"/>
        <v>23.327000000000002</v>
      </c>
      <c r="AA81" s="69">
        <f t="shared" si="45"/>
        <v>23.279300000000003</v>
      </c>
      <c r="AB81" s="66" t="e">
        <f>VLOOKUP(A81,Enforcements!$C$7:$K$20,8,0)</f>
        <v>#N/A</v>
      </c>
      <c r="AC81" s="62" t="e">
        <f>VLOOKUP(A81,Enforcements!$C$7:$E$20,3,0)</f>
        <v>#N/A</v>
      </c>
      <c r="AD81" s="63" t="str">
        <f t="shared" si="46"/>
        <v>0169-23</v>
      </c>
      <c r="AE81" s="99" t="str">
        <f t="shared" si="47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81" s="96" t="str">
        <f t="shared" si="48"/>
        <v>"C:\Program Files (x86)\AstroGrep\AstroGrep.exe" /spath="%USERPROFILE%\AppData\Local\Temp\OnboardLogs" /stypes="app*4044*20160923*" /stext=" 18:.+((SYSTEM_STATE.+slice.+state.+changed )|(ment ac)|(system.+state.+changed )|(\|lc)|(penalty)|(\[timeout)|(PRM\|1\|D)|(kpr)|(kdp))" /e /r /s</v>
      </c>
      <c r="AG81" s="1" t="str">
        <f t="shared" si="49"/>
        <v>EC</v>
      </c>
      <c r="AH81" s="100" t="str">
        <f t="shared" si="50"/>
        <v>"%USERPROFILE%\Documents\GitHub\eaglep3\Utilities\RefineRTDCRunTimes.py" --tripid 169-23 --locoid 4044 --swversion DE.1.0.7.0 --startMP 204:477 --initTime 2016-09-23T12:14:02 --startdatetime 2016-09-23T12:17:14 --delay 1 --endMP 204:233270 --enddatetime 2016-09-23T12:53:01 --enforcementcount 0 &gt;&gt;C:\Users\stu\Documents\GitHub\eaglep3-reporting\EC\2016-09-23-refined-times.txt</v>
      </c>
      <c r="AI8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{"issue":{"subject":"","project_id":79,"tracker_id":40,"status_id":1,"priority_id":2,"assigned_to_id":23,"start_date":"2016-09-23","description":"","custom_fields":[{"id":1,"name":"Subdivision","value":"EC"},{"id":4,"name":"Milepost","value":"23.327"},{"id":17,"name":"Train ID","value":"169-23"},{"id":16,"name":"Locomotive ID","value":"4044"},{"id":130,"name":"Impact","value":""},{"id":150,"name":"Time of Event (Mountain Time)","value":"12:53:01"},{"id":151,"name":"Denver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496</v>
      </c>
      <c r="B82" s="7">
        <v>4043</v>
      </c>
      <c r="C82" s="24" t="s">
        <v>106</v>
      </c>
      <c r="D82" s="24" t="s">
        <v>268</v>
      </c>
      <c r="E82" s="15">
        <v>42636.543449074074</v>
      </c>
      <c r="F82" s="15">
        <v>42636.549502314818</v>
      </c>
      <c r="G82" s="7">
        <v>1</v>
      </c>
      <c r="H82" s="15" t="s">
        <v>220</v>
      </c>
      <c r="I82" s="15">
        <v>42636.58221064815</v>
      </c>
      <c r="J82" s="7">
        <v>0</v>
      </c>
      <c r="K82" s="121" t="str">
        <f t="shared" si="37"/>
        <v>4043/4044</v>
      </c>
      <c r="L82" s="24" t="str">
        <f>VLOOKUP(A82,'Trips&amp;Operators'!$C$1:$E$10000,3,FALSE)</f>
        <v>SHOOK</v>
      </c>
      <c r="M82" s="6">
        <f t="shared" si="38"/>
        <v>3.2708333332266193E-2</v>
      </c>
      <c r="N82" s="7">
        <f t="shared" si="53"/>
        <v>47.099999998463318</v>
      </c>
      <c r="O82" s="7"/>
      <c r="P82" s="7"/>
      <c r="Q82" s="25"/>
      <c r="R82" s="25"/>
      <c r="S82" s="37">
        <f t="shared" si="39"/>
        <v>1</v>
      </c>
      <c r="T82" s="52" t="str">
        <f t="shared" si="40"/>
        <v>Southbound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12:02:34-0600',mode:absolute,to:'2016-09-23 14:58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82" s="54" t="str">
        <f t="shared" si="42"/>
        <v>N</v>
      </c>
      <c r="X82" s="168">
        <f t="shared" si="52"/>
        <v>1</v>
      </c>
      <c r="Y82" s="69">
        <f t="shared" si="43"/>
        <v>23.2959</v>
      </c>
      <c r="Z82" s="69">
        <f t="shared" si="44"/>
        <v>1.4999999999999999E-2</v>
      </c>
      <c r="AA82" s="69">
        <f t="shared" si="45"/>
        <v>23.280899999999999</v>
      </c>
      <c r="AB82" s="66" t="e">
        <f>VLOOKUP(A82,Enforcements!$C$7:$K$20,8,0)</f>
        <v>#N/A</v>
      </c>
      <c r="AC82" s="62" t="e">
        <f>VLOOKUP(A82,Enforcements!$C$7:$E$20,3,0)</f>
        <v>#N/A</v>
      </c>
      <c r="AD82" s="63" t="str">
        <f t="shared" si="46"/>
        <v>0170-23</v>
      </c>
      <c r="AE82" s="99" t="str">
        <f t="shared" si="47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82" s="96" t="str">
        <f t="shared" si="48"/>
        <v>"C:\Program Files (x86)\AstroGrep\AstroGrep.exe" /spath="%USERPROFILE%\AppData\Local\Temp\OnboardLogs" /stypes="app*4043*20160923*" /stext=" 19:.+((SYSTEM_STATE.+slice.+state.+changed )|(ment ac)|(system.+state.+changed )|(\|lc)|(penalty)|(\[timeout)|(PRM\|1\|D)|(kpr)|(kdp))" /e /r /s</v>
      </c>
      <c r="AG82" s="1" t="str">
        <f t="shared" si="49"/>
        <v>EC</v>
      </c>
      <c r="AH82" s="100" t="str">
        <f t="shared" si="50"/>
        <v>"%USERPROFILE%\Documents\GitHub\eaglep3\Utilities\RefineRTDCRunTimes.py" --tripid 170-23 --locoid 4043 --swversion DE.1.0.7.0 --startMP 204:232959 --initTime 2016-09-23T13:02:34 --startdatetime 2016-09-23T13:11:17 --delay 1 --endMP 204:150 --enddatetime 2016-09-23T13:58:23 --enforcementcount 0 &gt;&gt;C:\Users\stu\Documents\GitHub\eaglep3-reporting\EC\2016-09-23-refined-times.txt</v>
      </c>
      <c r="AI8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{"issue":{"subject":"","project_id":79,"tracker_id":40,"status_id":1,"priority_id":2,"assigned_to_id":23,"start_date":"2016-09-23","description":"","custom_fields":[{"id":1,"name":"Subdivision","value":"EC"},{"id":4,"name":"Milepost","value":"0.015"},{"id":17,"name":"Train ID","value":"170-23"},{"id":16,"name":"Locomotive ID","value":"4043"},{"id":130,"name":"Impact","value":""},{"id":150,"name":"Time of Event (Mountain Time)","value":"13:58:23"},{"id":151,"name":"Denver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489</v>
      </c>
      <c r="B83" s="7">
        <v>4027</v>
      </c>
      <c r="C83" s="24" t="s">
        <v>106</v>
      </c>
      <c r="D83" s="24" t="s">
        <v>647</v>
      </c>
      <c r="E83" s="15">
        <v>42636.518553240741</v>
      </c>
      <c r="F83" s="15">
        <v>42636.521516203706</v>
      </c>
      <c r="G83" s="7">
        <v>2</v>
      </c>
      <c r="H83" s="15" t="s">
        <v>346</v>
      </c>
      <c r="I83" s="15">
        <v>42636.546932870369</v>
      </c>
      <c r="J83" s="7">
        <v>0</v>
      </c>
      <c r="K83" s="121" t="str">
        <f t="shared" si="37"/>
        <v>4027/4028</v>
      </c>
      <c r="L83" s="24" t="str">
        <f>VLOOKUP(A83,'Trips&amp;Operators'!$C$1:$E$10000,3,FALSE)</f>
        <v>YOUNG</v>
      </c>
      <c r="M83" s="6">
        <f t="shared" si="38"/>
        <v>2.5416666663659271E-2</v>
      </c>
      <c r="N83" s="7">
        <f t="shared" si="53"/>
        <v>36.59999999566935</v>
      </c>
      <c r="O83" s="7"/>
      <c r="P83" s="7"/>
      <c r="Q83" s="25"/>
      <c r="R83" s="25"/>
      <c r="S83" s="37">
        <f t="shared" si="39"/>
        <v>1</v>
      </c>
      <c r="T83" s="52" t="str">
        <f t="shared" si="40"/>
        <v>NorthBound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11:26:43-0600',mode:absolute,to:'2016-09-23 14:07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3" s="54" t="str">
        <f t="shared" si="42"/>
        <v>N</v>
      </c>
      <c r="X83" s="168">
        <f t="shared" ref="X83:X113" si="54">VALUE(LEFT(AD83,4))-VALUE(LEFT(AD82,4))</f>
        <v>1</v>
      </c>
      <c r="Y83" s="69">
        <f t="shared" si="43"/>
        <v>5.1999999999999998E-2</v>
      </c>
      <c r="Z83" s="69">
        <f t="shared" si="44"/>
        <v>23.327999999999999</v>
      </c>
      <c r="AA83" s="69">
        <f t="shared" si="45"/>
        <v>23.276</v>
      </c>
      <c r="AB83" s="66" t="e">
        <f>VLOOKUP(A83,Enforcements!$C$7:$K$20,8,0)</f>
        <v>#N/A</v>
      </c>
      <c r="AC83" s="62" t="e">
        <f>VLOOKUP(A83,Enforcements!$C$7:$E$20,3,0)</f>
        <v>#N/A</v>
      </c>
      <c r="AD83" s="63" t="str">
        <f t="shared" si="46"/>
        <v>0171-23</v>
      </c>
      <c r="AE83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83" s="96" t="str">
        <f t="shared" si="48"/>
        <v>"C:\Program Files (x86)\AstroGrep\AstroGrep.exe" /spath="%USERPROFILE%\AppData\Local\Temp\OnboardLogs" /stypes="app*4027*20160923*" /stext=" 19:.+((SYSTEM_STATE.+slice.+state.+changed )|(ment ac)|(system.+state.+changed )|(\|lc)|(penalty)|(\[timeout)|(PRM\|1\|D)|(kpr)|(kdp))" /e /r /s</v>
      </c>
      <c r="AG83" s="1" t="str">
        <f t="shared" si="49"/>
        <v>EC</v>
      </c>
      <c r="AH83" s="100" t="str">
        <f t="shared" si="50"/>
        <v>"%USERPROFILE%\Documents\GitHub\eaglep3\Utilities\RefineRTDCRunTimes.py" --tripid 171-23 --locoid 4027 --swversion DE.1.0.7.0 --startMP 204:520 --initTime 2016-09-23T12:26:43 --startdatetime 2016-09-23T12:30:59 --delay 2 --endMP 204:233280 --enddatetime 2016-09-23T13:07:35 --enforcementcount 0 &gt;&gt;C:\Users\stu\Documents\GitHub\eaglep3-reporting\EC\2016-09-23-refined-times.txt</v>
      </c>
      <c r="AI8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{"issue":{"subject":"","project_id":79,"tracker_id":40,"status_id":1,"priority_id":2,"assigned_to_id":23,"start_date":"2016-09-23","description":"","custom_fields":[{"id":1,"name":"Subdivision","value":"EC"},{"id":4,"name":"Milepost","value":"23.328"},{"id":17,"name":"Train ID","value":"171-23"},{"id":16,"name":"Locomotive ID","value":"4027"},{"id":130,"name":"Impact","value":""},{"id":150,"name":"Time of Event (Mountain Time)","value":"13:07:35"},{"id":151,"name":"Denver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499</v>
      </c>
      <c r="B84" s="7">
        <v>4028</v>
      </c>
      <c r="C84" s="24" t="s">
        <v>106</v>
      </c>
      <c r="D84" s="24" t="s">
        <v>637</v>
      </c>
      <c r="E84" s="15">
        <v>42636.554618055554</v>
      </c>
      <c r="F84" s="15">
        <v>42636.560196759259</v>
      </c>
      <c r="G84" s="7">
        <v>1</v>
      </c>
      <c r="H84" s="15" t="s">
        <v>217</v>
      </c>
      <c r="I84" s="15">
        <v>42636.591620370367</v>
      </c>
      <c r="J84" s="7">
        <v>0</v>
      </c>
      <c r="K84" s="121" t="str">
        <f t="shared" si="37"/>
        <v>4027/4028</v>
      </c>
      <c r="L84" s="24" t="str">
        <f>VLOOKUP(A84,'Trips&amp;Operators'!$C$1:$E$10000,3,FALSE)</f>
        <v>YOUNG</v>
      </c>
      <c r="M84" s="6">
        <f t="shared" si="38"/>
        <v>3.142361110803904E-2</v>
      </c>
      <c r="N84" s="7">
        <f t="shared" si="53"/>
        <v>45.249999995576218</v>
      </c>
      <c r="O84" s="7"/>
      <c r="P84" s="7"/>
      <c r="Q84" s="25"/>
      <c r="R84" s="25"/>
      <c r="S84" s="37">
        <f t="shared" si="39"/>
        <v>1</v>
      </c>
      <c r="T84" s="52" t="str">
        <f t="shared" si="40"/>
        <v>Southbound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12:18:39-0600',mode:absolute,to:'2016-09-23 15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4" s="54" t="str">
        <f t="shared" si="42"/>
        <v>N</v>
      </c>
      <c r="X84" s="168">
        <f t="shared" si="54"/>
        <v>1</v>
      </c>
      <c r="Y84" s="69">
        <f t="shared" si="43"/>
        <v>23.296700000000001</v>
      </c>
      <c r="Z84" s="69">
        <f t="shared" si="44"/>
        <v>1.5800000000000002E-2</v>
      </c>
      <c r="AA84" s="69">
        <f t="shared" si="45"/>
        <v>23.280900000000003</v>
      </c>
      <c r="AB84" s="66" t="e">
        <f>VLOOKUP(A84,Enforcements!$C$7:$K$20,8,0)</f>
        <v>#N/A</v>
      </c>
      <c r="AC84" s="62" t="e">
        <f>VLOOKUP(A84,Enforcements!$C$7:$E$20,3,0)</f>
        <v>#N/A</v>
      </c>
      <c r="AD84" s="63" t="str">
        <f t="shared" si="46"/>
        <v>0172-23</v>
      </c>
      <c r="AE84" s="99" t="str">
        <f t="shared" si="47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84" s="96" t="str">
        <f t="shared" si="48"/>
        <v>"C:\Program Files (x86)\AstroGrep\AstroGrep.exe" /spath="%USERPROFILE%\AppData\Local\Temp\OnboardLogs" /stypes="app*4028*20160923*" /stext=" 20:.+((SYSTEM_STATE.+slice.+state.+changed )|(ment ac)|(system.+state.+changed )|(\|lc)|(penalty)|(\[timeout)|(PRM\|1\|D)|(kpr)|(kdp))" /e /r /s</v>
      </c>
      <c r="AG84" s="1" t="str">
        <f t="shared" si="49"/>
        <v>EC</v>
      </c>
      <c r="AH84" s="100" t="str">
        <f t="shared" si="50"/>
        <v>"%USERPROFILE%\Documents\GitHub\eaglep3\Utilities\RefineRTDCRunTimes.py" --tripid 172-23 --locoid 4028 --swversion DE.1.0.7.0 --startMP 204:232967 --initTime 2016-09-23T13:18:39 --startdatetime 2016-09-23T13:26:41 --delay 1 --endMP 204:158 --enddatetime 2016-09-23T14:11:56 --enforcementcount 0 &gt;&gt;C:\Users\stu\Documents\GitHub\eaglep3-reporting\EC\2016-09-23-refined-times.txt</v>
      </c>
      <c r="AI8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{"issue":{"subject":"","project_id":79,"tracker_id":40,"status_id":1,"priority_id":2,"assigned_to_id":23,"start_date":"2016-09-23","description":"","custom_fields":[{"id":1,"name":"Subdivision","value":"EC"},{"id":4,"name":"Milepost","value":"0.0158"},{"id":17,"name":"Train ID","value":"172-23"},{"id":16,"name":"Locomotive ID","value":"4028"},{"id":130,"name":"Impact","value":""},{"id":150,"name":"Time of Event (Mountain Time)","value":"14:11:56"},{"id":151,"name":"Denver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494</v>
      </c>
      <c r="B85" s="7">
        <v>4029</v>
      </c>
      <c r="C85" s="24" t="s">
        <v>106</v>
      </c>
      <c r="D85" s="24" t="s">
        <v>216</v>
      </c>
      <c r="E85" s="15">
        <v>42636.529421296298</v>
      </c>
      <c r="F85" s="15">
        <v>42636.531574074077</v>
      </c>
      <c r="G85" s="7">
        <v>1</v>
      </c>
      <c r="H85" s="15" t="s">
        <v>347</v>
      </c>
      <c r="I85" s="15">
        <v>42636.557893518519</v>
      </c>
      <c r="J85" s="7">
        <v>0</v>
      </c>
      <c r="K85" s="121" t="str">
        <f t="shared" si="37"/>
        <v>4029/4030</v>
      </c>
      <c r="L85" s="24" t="str">
        <f>VLOOKUP(A85,'Trips&amp;Operators'!$C$1:$E$10000,3,FALSE)</f>
        <v>STEWART</v>
      </c>
      <c r="M85" s="6">
        <f t="shared" si="38"/>
        <v>2.6319444441469386E-2</v>
      </c>
      <c r="N85" s="7">
        <f t="shared" si="53"/>
        <v>37.899999995715916</v>
      </c>
      <c r="O85" s="7"/>
      <c r="P85" s="7"/>
      <c r="Q85" s="25"/>
      <c r="R85" s="25"/>
      <c r="S85" s="37">
        <f t="shared" si="39"/>
        <v>1</v>
      </c>
      <c r="T85" s="52" t="str">
        <f t="shared" si="40"/>
        <v>NorthBound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11:42:22-0600',mode:absolute,to:'2016-09-23 14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85" s="54" t="str">
        <f t="shared" si="42"/>
        <v>N</v>
      </c>
      <c r="X85" s="168">
        <f t="shared" si="54"/>
        <v>1</v>
      </c>
      <c r="Y85" s="69">
        <f t="shared" si="43"/>
        <v>4.7100000000000003E-2</v>
      </c>
      <c r="Z85" s="69">
        <f t="shared" si="44"/>
        <v>23.331</v>
      </c>
      <c r="AA85" s="69">
        <f t="shared" si="45"/>
        <v>23.283899999999999</v>
      </c>
      <c r="AB85" s="66" t="e">
        <f>VLOOKUP(A85,Enforcements!$C$7:$K$20,8,0)</f>
        <v>#N/A</v>
      </c>
      <c r="AC85" s="62" t="e">
        <f>VLOOKUP(A85,Enforcements!$C$7:$E$20,3,0)</f>
        <v>#N/A</v>
      </c>
      <c r="AD85" s="63" t="str">
        <f t="shared" si="46"/>
        <v>0173-23</v>
      </c>
      <c r="AE85" s="99" t="str">
        <f t="shared" si="47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85" s="96" t="str">
        <f t="shared" si="48"/>
        <v>"C:\Program Files (x86)\AstroGrep\AstroGrep.exe" /spath="%USERPROFILE%\AppData\Local\Temp\OnboardLogs" /stypes="app*4029*20160923*" /stext=" 19:.+((SYSTEM_STATE.+slice.+state.+changed )|(ment ac)|(system.+state.+changed )|(\|lc)|(penalty)|(\[timeout)|(PRM\|1\|D)|(kpr)|(kdp))" /e /r /s</v>
      </c>
      <c r="AG85" s="1" t="str">
        <f t="shared" si="49"/>
        <v>EC</v>
      </c>
      <c r="AH85" s="100" t="str">
        <f t="shared" si="50"/>
        <v>"%USERPROFILE%\Documents\GitHub\eaglep3\Utilities\RefineRTDCRunTimes.py" --tripid 173-23 --locoid 4029 --swversion DE.1.0.7.0 --startMP 204:471 --initTime 2016-09-23T12:42:22 --startdatetime 2016-09-23T12:45:28 --delay 1 --endMP 204:233310 --enddatetime 2016-09-23T13:23:22 --enforcementcount 0 &gt;&gt;C:\Users\stu\Documents\GitHub\eaglep3-reporting\EC\2016-09-23-refined-times.txt</v>
      </c>
      <c r="AI85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{"issue":{"subject":"","project_id":79,"tracker_id":40,"status_id":1,"priority_id":2,"assigned_to_id":23,"start_date":"2016-09-23","description":"","custom_fields":[{"id":1,"name":"Subdivision","value":"EC"},{"id":4,"name":"Milepost","value":"23.331"},{"id":17,"name":"Train ID","value":"173-23"},{"id":16,"name":"Locomotive ID","value":"4029"},{"id":130,"name":"Impact","value":""},{"id":150,"name":"Time of Event (Mountain Time)","value":"13:23:22"},{"id":151,"name":"Denver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501</v>
      </c>
      <c r="B86" s="7">
        <v>4030</v>
      </c>
      <c r="C86" s="24" t="s">
        <v>106</v>
      </c>
      <c r="D86" s="24" t="s">
        <v>648</v>
      </c>
      <c r="E86" s="15">
        <v>42636.566793981481</v>
      </c>
      <c r="F86" s="15">
        <v>42636.570462962962</v>
      </c>
      <c r="G86" s="7">
        <v>3</v>
      </c>
      <c r="H86" s="15" t="s">
        <v>214</v>
      </c>
      <c r="I86" s="15">
        <v>42636.601527777777</v>
      </c>
      <c r="J86" s="7">
        <v>0</v>
      </c>
      <c r="K86" s="121" t="str">
        <f t="shared" si="37"/>
        <v>4029/4030</v>
      </c>
      <c r="L86" s="24" t="str">
        <f>VLOOKUP(A86,'Trips&amp;Operators'!$C$1:$E$10000,3,FALSE)</f>
        <v>STEWART</v>
      </c>
      <c r="M86" s="6">
        <f t="shared" si="38"/>
        <v>3.1064814815181307E-2</v>
      </c>
      <c r="N86" s="7">
        <f t="shared" si="53"/>
        <v>44.733333333861083</v>
      </c>
      <c r="O86" s="7"/>
      <c r="P86" s="7"/>
      <c r="Q86" s="25"/>
      <c r="R86" s="25"/>
      <c r="S86" s="37">
        <f t="shared" si="39"/>
        <v>1</v>
      </c>
      <c r="T86" s="52" t="str">
        <f t="shared" si="40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12:36:11-0600',mode:absolute,to:'2016-09-23 15:26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86" s="54" t="str">
        <f t="shared" si="42"/>
        <v>N</v>
      </c>
      <c r="X86" s="168">
        <f t="shared" si="54"/>
        <v>1</v>
      </c>
      <c r="Y86" s="69">
        <f t="shared" si="43"/>
        <v>23.297899999999998</v>
      </c>
      <c r="Z86" s="69">
        <f t="shared" si="44"/>
        <v>1.6E-2</v>
      </c>
      <c r="AA86" s="69">
        <f t="shared" si="45"/>
        <v>23.2819</v>
      </c>
      <c r="AB86" s="66" t="e">
        <f>VLOOKUP(A86,Enforcements!$C$7:$K$20,8,0)</f>
        <v>#N/A</v>
      </c>
      <c r="AC86" s="62" t="e">
        <f>VLOOKUP(A86,Enforcements!$C$7:$E$20,3,0)</f>
        <v>#N/A</v>
      </c>
      <c r="AD86" s="63" t="str">
        <f t="shared" si="46"/>
        <v>0174-23</v>
      </c>
      <c r="AE86" s="99" t="str">
        <f t="shared" si="47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86" s="96" t="str">
        <f t="shared" si="48"/>
        <v>"C:\Program Files (x86)\AstroGrep\AstroGrep.exe" /spath="%USERPROFILE%\AppData\Local\Temp\OnboardLogs" /stypes="app*4030*20160923*" /stext=" 20:.+((SYSTEM_STATE.+slice.+state.+changed )|(ment ac)|(system.+state.+changed )|(\|lc)|(penalty)|(\[timeout)|(PRM\|1\|D)|(kpr)|(kdp))" /e /r /s</v>
      </c>
      <c r="AG86" s="1" t="str">
        <f t="shared" si="49"/>
        <v>EC</v>
      </c>
      <c r="AH86" s="100" t="str">
        <f t="shared" si="50"/>
        <v>"%USERPROFILE%\Documents\GitHub\eaglep3\Utilities\RefineRTDCRunTimes.py" --tripid 174-23 --locoid 4030 --swversion DE.1.0.7.0 --startMP 204:232979 --initTime 2016-09-23T13:36:11 --startdatetime 2016-09-23T13:41:28 --delay 3 --endMP 204:160 --enddatetime 2016-09-23T14:26:12 --enforcementcount 0 &gt;&gt;C:\Users\stu\Documents\GitHub\eaglep3-reporting\EC\2016-09-23-refined-times.txt</v>
      </c>
      <c r="AI8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{"issue":{"subject":"","project_id":79,"tracker_id":40,"status_id":1,"priority_id":2,"assigned_to_id":23,"start_date":"2016-09-23","description":"","custom_fields":[{"id":1,"name":"Subdivision","value":"EC"},{"id":4,"name":"Milepost","value":"0.016"},{"id":17,"name":"Train ID","value":"174-23"},{"id":16,"name":"Locomotive ID","value":"4030"},{"id":130,"name":"Impact","value":""},{"id":150,"name":"Time of Event (Mountain Time)","value":"14:26:12"},{"id":151,"name":"Denver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495</v>
      </c>
      <c r="B87" s="7">
        <v>4040</v>
      </c>
      <c r="C87" s="24" t="s">
        <v>106</v>
      </c>
      <c r="D87" s="24" t="s">
        <v>231</v>
      </c>
      <c r="E87" s="15">
        <v>42636.53875</v>
      </c>
      <c r="F87" s="15">
        <v>42636.542256944442</v>
      </c>
      <c r="G87" s="7">
        <v>1</v>
      </c>
      <c r="H87" s="15" t="s">
        <v>649</v>
      </c>
      <c r="I87" s="15">
        <v>42636.574826388889</v>
      </c>
      <c r="J87" s="7">
        <v>0</v>
      </c>
      <c r="K87" s="121" t="str">
        <f t="shared" si="37"/>
        <v>4039/4040</v>
      </c>
      <c r="L87" s="24" t="str">
        <f>VLOOKUP(A87,'Trips&amp;Operators'!$C$1:$E$10000,3,FALSE)</f>
        <v>CLARK</v>
      </c>
      <c r="M87" s="6">
        <f t="shared" si="38"/>
        <v>3.2569444447290152E-2</v>
      </c>
      <c r="N87" s="7">
        <f t="shared" si="53"/>
        <v>46.900000004097819</v>
      </c>
      <c r="O87" s="7"/>
      <c r="P87" s="7"/>
      <c r="Q87" s="25"/>
      <c r="R87" s="25"/>
      <c r="S87" s="37">
        <f t="shared" si="39"/>
        <v>1</v>
      </c>
      <c r="T87" s="52" t="str">
        <f t="shared" si="40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11:55:48-0600',mode:absolute,to:'2016-09-23 14:47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7" s="54" t="str">
        <f t="shared" si="42"/>
        <v>N</v>
      </c>
      <c r="X87" s="168">
        <f t="shared" si="54"/>
        <v>1</v>
      </c>
      <c r="Y87" s="69">
        <f t="shared" si="43"/>
        <v>4.5999999999999999E-2</v>
      </c>
      <c r="Z87" s="69">
        <f t="shared" si="44"/>
        <v>23.327400000000001</v>
      </c>
      <c r="AA87" s="69">
        <f t="shared" si="45"/>
        <v>23.281400000000001</v>
      </c>
      <c r="AB87" s="66" t="e">
        <f>VLOOKUP(A87,Enforcements!$C$7:$K$20,8,0)</f>
        <v>#N/A</v>
      </c>
      <c r="AC87" s="62" t="e">
        <f>VLOOKUP(A87,Enforcements!$C$7:$E$20,3,0)</f>
        <v>#N/A</v>
      </c>
      <c r="AD87" s="63" t="str">
        <f t="shared" si="46"/>
        <v>0175-23</v>
      </c>
      <c r="AE87" s="99" t="str">
        <f t="shared" si="47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87" s="96" t="str">
        <f t="shared" si="48"/>
        <v>"C:\Program Files (x86)\AstroGrep\AstroGrep.exe" /spath="%USERPROFILE%\AppData\Local\Temp\OnboardLogs" /stypes="app*4040*20160923*" /stext=" 19:.+((SYSTEM_STATE.+slice.+state.+changed )|(ment ac)|(system.+state.+changed )|(\|lc)|(penalty)|(\[timeout)|(PRM\|1\|D)|(kpr)|(kdp))" /e /r /s</v>
      </c>
      <c r="AG87" s="1" t="str">
        <f t="shared" si="49"/>
        <v>EC</v>
      </c>
      <c r="AH87" s="100" t="str">
        <f t="shared" si="50"/>
        <v>"%USERPROFILE%\Documents\GitHub\eaglep3\Utilities\RefineRTDCRunTimes.py" --tripid 175-23 --locoid 4040 --swversion DE.1.0.7.0 --startMP 204:460 --initTime 2016-09-23T12:55:48 --startdatetime 2016-09-23T13:00:51 --delay 1 --endMP 204:233274 --enddatetime 2016-09-23T13:47:45 --enforcementcount 0 &gt;&gt;C:\Users\stu\Documents\GitHub\eaglep3-reporting\EC\2016-09-23-refined-times.txt</v>
      </c>
      <c r="AI87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{"issue":{"subject":"","project_id":79,"tracker_id":40,"status_id":1,"priority_id":2,"assigned_to_id":23,"start_date":"2016-09-23","description":"","custom_fields":[{"id":1,"name":"Subdivision","value":"EC"},{"id":4,"name":"Milepost","value":"23.3274"},{"id":17,"name":"Train ID","value":"175-23"},{"id":16,"name":"Locomotive ID","value":"4040"},{"id":130,"name":"Impact","value":""},{"id":150,"name":"Time of Event (Mountain Time)","value":"13:47:45"},{"id":151,"name":"Denver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504</v>
      </c>
      <c r="B88" s="7">
        <v>4039</v>
      </c>
      <c r="C88" s="24" t="s">
        <v>106</v>
      </c>
      <c r="D88" s="24" t="s">
        <v>650</v>
      </c>
      <c r="E88" s="15">
        <v>42636.578055555554</v>
      </c>
      <c r="F88" s="15">
        <v>42636.580729166664</v>
      </c>
      <c r="G88" s="7">
        <v>1</v>
      </c>
      <c r="H88" s="15" t="s">
        <v>258</v>
      </c>
      <c r="I88" s="15">
        <v>42636.61278935185</v>
      </c>
      <c r="J88" s="7">
        <v>0</v>
      </c>
      <c r="K88" s="121" t="str">
        <f t="shared" si="37"/>
        <v>4039/4040</v>
      </c>
      <c r="L88" s="24" t="str">
        <f>VLOOKUP(A88,'Trips&amp;Operators'!$C$1:$E$10000,3,FALSE)</f>
        <v>CLARK</v>
      </c>
      <c r="M88" s="6">
        <f t="shared" si="38"/>
        <v>3.2060185185400769E-2</v>
      </c>
      <c r="N88" s="7">
        <f t="shared" si="53"/>
        <v>46.166666666977108</v>
      </c>
      <c r="O88" s="7"/>
      <c r="P88" s="7"/>
      <c r="Q88" s="25"/>
      <c r="R88" s="25"/>
      <c r="S88" s="37">
        <f t="shared" si="39"/>
        <v>1</v>
      </c>
      <c r="T88" s="52" t="str">
        <f t="shared" si="40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12:52:24-0600',mode:absolute,to:'2016-09-23 15:42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88" s="54" t="str">
        <f t="shared" si="42"/>
        <v>N</v>
      </c>
      <c r="X88" s="168">
        <f t="shared" si="54"/>
        <v>1</v>
      </c>
      <c r="Y88" s="69">
        <f t="shared" si="43"/>
        <v>23.294599999999999</v>
      </c>
      <c r="Z88" s="69">
        <f t="shared" si="44"/>
        <v>1.4500000000000001E-2</v>
      </c>
      <c r="AA88" s="69">
        <f t="shared" si="45"/>
        <v>23.280099999999997</v>
      </c>
      <c r="AB88" s="66" t="e">
        <f>VLOOKUP(A88,Enforcements!$C$7:$K$20,8,0)</f>
        <v>#N/A</v>
      </c>
      <c r="AC88" s="62" t="e">
        <f>VLOOKUP(A88,Enforcements!$C$7:$E$20,3,0)</f>
        <v>#N/A</v>
      </c>
      <c r="AD88" s="63" t="str">
        <f t="shared" si="46"/>
        <v>0176-23</v>
      </c>
      <c r="AE88" s="99" t="str">
        <f t="shared" si="47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88" s="96" t="str">
        <f t="shared" si="48"/>
        <v>"C:\Program Files (x86)\AstroGrep\AstroGrep.exe" /spath="%USERPROFILE%\AppData\Local\Temp\OnboardLogs" /stypes="app*4039*20160923*" /stext=" 20:.+((SYSTEM_STATE.+slice.+state.+changed )|(ment ac)|(system.+state.+changed )|(\|lc)|(penalty)|(\[timeout)|(PRM\|1\|D)|(kpr)|(kdp))" /e /r /s</v>
      </c>
      <c r="AG88" s="1" t="str">
        <f t="shared" si="49"/>
        <v>EC</v>
      </c>
      <c r="AH88" s="100" t="str">
        <f t="shared" si="50"/>
        <v>"%USERPROFILE%\Documents\GitHub\eaglep3\Utilities\RefineRTDCRunTimes.py" --tripid 176-23 --locoid 4039 --swversion DE.1.0.7.0 --startMP 204:232946 --initTime 2016-09-23T13:52:24 --startdatetime 2016-09-23T13:56:15 --delay 1 --endMP 204:145 --enddatetime 2016-09-23T14:42:25 --enforcementcount 0 &gt;&gt;C:\Users\stu\Documents\GitHub\eaglep3-reporting\EC\2016-09-23-refined-times.txt</v>
      </c>
      <c r="AI8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{"issue":{"subject":"","project_id":79,"tracker_id":40,"status_id":1,"priority_id":2,"assigned_to_id":23,"start_date":"2016-09-23","description":"","custom_fields":[{"id":1,"name":"Subdivision","value":"EC"},{"id":4,"name":"Milepost","value":"0.0145"},{"id":17,"name":"Train ID","value":"176-23"},{"id":16,"name":"Locomotive ID","value":"4039"},{"id":130,"name":"Impact","value":""},{"id":150,"name":"Time of Event (Mountain Time)","value":"14:42:25"},{"id":151,"name":"Denver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497</v>
      </c>
      <c r="B89" s="7">
        <v>4016</v>
      </c>
      <c r="C89" s="24" t="s">
        <v>106</v>
      </c>
      <c r="D89" s="24" t="s">
        <v>643</v>
      </c>
      <c r="E89" s="15">
        <v>42636.547060185185</v>
      </c>
      <c r="F89" s="15">
        <v>42636.552395833336</v>
      </c>
      <c r="G89" s="7">
        <v>1</v>
      </c>
      <c r="H89" s="15" t="s">
        <v>352</v>
      </c>
      <c r="I89" s="15">
        <v>42636.580138888887</v>
      </c>
      <c r="J89" s="7">
        <v>0</v>
      </c>
      <c r="K89" s="121" t="str">
        <f t="shared" si="37"/>
        <v>4015/4016</v>
      </c>
      <c r="L89" s="24" t="str">
        <f>VLOOKUP(A89,'Trips&amp;Operators'!$C$1:$E$10000,3,FALSE)</f>
        <v>BONDS</v>
      </c>
      <c r="M89" s="6">
        <f t="shared" si="38"/>
        <v>2.774305555067258E-2</v>
      </c>
      <c r="N89" s="7">
        <f t="shared" si="53"/>
        <v>39.949999992968515</v>
      </c>
      <c r="O89" s="7"/>
      <c r="P89" s="7"/>
      <c r="Q89" s="25"/>
      <c r="R89" s="25"/>
      <c r="S89" s="37">
        <f t="shared" si="39"/>
        <v>1</v>
      </c>
      <c r="T89" s="52" t="str">
        <f t="shared" si="40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12:07:46-0600',mode:absolute,to:'2016-09-23 14:55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89" s="54" t="str">
        <f t="shared" si="42"/>
        <v>N</v>
      </c>
      <c r="X89" s="168">
        <f t="shared" si="54"/>
        <v>1</v>
      </c>
      <c r="Y89" s="69">
        <f t="shared" si="43"/>
        <v>4.7699999999999999E-2</v>
      </c>
      <c r="Z89" s="69">
        <f t="shared" si="44"/>
        <v>23.333200000000001</v>
      </c>
      <c r="AA89" s="69">
        <f t="shared" si="45"/>
        <v>23.285500000000003</v>
      </c>
      <c r="AB89" s="66" t="e">
        <f>VLOOKUP(A89,Enforcements!$C$7:$K$20,8,0)</f>
        <v>#N/A</v>
      </c>
      <c r="AC89" s="62" t="e">
        <f>VLOOKUP(A89,Enforcements!$C$7:$E$20,3,0)</f>
        <v>#N/A</v>
      </c>
      <c r="AD89" s="63" t="str">
        <f t="shared" si="46"/>
        <v>0177-23</v>
      </c>
      <c r="AE89" s="99" t="str">
        <f t="shared" si="47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89" s="96" t="str">
        <f t="shared" si="48"/>
        <v>"C:\Program Files (x86)\AstroGrep\AstroGrep.exe" /spath="%USERPROFILE%\AppData\Local\Temp\OnboardLogs" /stypes="app*4016*20160923*" /stext=" 19:.+((SYSTEM_STATE.+slice.+state.+changed )|(ment ac)|(system.+state.+changed )|(\|lc)|(penalty)|(\[timeout)|(PRM\|1\|D)|(kpr)|(kdp))" /e /r /s</v>
      </c>
      <c r="AG89" s="1" t="str">
        <f t="shared" si="49"/>
        <v>EC</v>
      </c>
      <c r="AH89" s="100" t="str">
        <f t="shared" si="50"/>
        <v>"%USERPROFILE%\Documents\GitHub\eaglep3\Utilities\RefineRTDCRunTimes.py" --tripid 177-23 --locoid 4016 --swversion DE.1.0.7.0 --startMP 204:477 --initTime 2016-09-23T13:07:46 --startdatetime 2016-09-23T13:15:27 --delay 1 --endMP 204:233332 --enddatetime 2016-09-23T13:55:24 --enforcementcount 0 &gt;&gt;C:\Users\stu\Documents\GitHub\eaglep3-reporting\EC\2016-09-23-refined-times.txt</v>
      </c>
      <c r="AI89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{"issue":{"subject":"","project_id":79,"tracker_id":40,"status_id":1,"priority_id":2,"assigned_to_id":23,"start_date":"2016-09-23","description":"","custom_fields":[{"id":1,"name":"Subdivision","value":"EC"},{"id":4,"name":"Milepost","value":"23.3332"},{"id":17,"name":"Train ID","value":"177-23"},{"id":16,"name":"Locomotive ID","value":"4016"},{"id":130,"name":"Impact","value":""},{"id":150,"name":"Time of Event (Mountain Time)","value":"13:55:24"},{"id":151,"name":"Denver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506</v>
      </c>
      <c r="B90" s="7">
        <v>4015</v>
      </c>
      <c r="C90" s="24" t="s">
        <v>106</v>
      </c>
      <c r="D90" s="24" t="s">
        <v>350</v>
      </c>
      <c r="E90" s="15">
        <v>42636.584432870368</v>
      </c>
      <c r="F90" s="15">
        <v>42636.591157407405</v>
      </c>
      <c r="G90" s="7">
        <v>1</v>
      </c>
      <c r="H90" s="15" t="s">
        <v>222</v>
      </c>
      <c r="I90" s="15">
        <v>42636.620717592596</v>
      </c>
      <c r="J90" s="7">
        <v>0</v>
      </c>
      <c r="K90" s="121" t="str">
        <f t="shared" si="37"/>
        <v>4015/4016</v>
      </c>
      <c r="L90" s="24" t="str">
        <f>VLOOKUP(A90,'Trips&amp;Operators'!$C$1:$E$10000,3,FALSE)</f>
        <v>BONDS</v>
      </c>
      <c r="M90" s="6">
        <f t="shared" si="38"/>
        <v>2.956018519034842E-2</v>
      </c>
      <c r="N90" s="7">
        <f t="shared" si="53"/>
        <v>42.566666674101725</v>
      </c>
      <c r="O90" s="7"/>
      <c r="P90" s="7"/>
      <c r="Q90" s="25"/>
      <c r="R90" s="25"/>
      <c r="S90" s="37">
        <f t="shared" si="39"/>
        <v>1</v>
      </c>
      <c r="T90" s="52" t="str">
        <f t="shared" si="40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13:01:35-0600',mode:absolute,to:'2016-09-23 15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90" s="54" t="str">
        <f t="shared" si="42"/>
        <v>N</v>
      </c>
      <c r="X90" s="168">
        <f t="shared" si="54"/>
        <v>1</v>
      </c>
      <c r="Y90" s="69">
        <f t="shared" si="43"/>
        <v>23.301100000000002</v>
      </c>
      <c r="Z90" s="69">
        <f t="shared" si="44"/>
        <v>1.52E-2</v>
      </c>
      <c r="AA90" s="69">
        <f t="shared" si="45"/>
        <v>23.285900000000002</v>
      </c>
      <c r="AB90" s="66" t="e">
        <f>VLOOKUP(A90,Enforcements!$C$7:$K$20,8,0)</f>
        <v>#N/A</v>
      </c>
      <c r="AC90" s="62" t="e">
        <f>VLOOKUP(A90,Enforcements!$C$7:$E$20,3,0)</f>
        <v>#N/A</v>
      </c>
      <c r="AD90" s="63" t="str">
        <f t="shared" si="46"/>
        <v>0178-23</v>
      </c>
      <c r="AE90" s="99" t="str">
        <f t="shared" si="47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90" s="96" t="str">
        <f t="shared" si="48"/>
        <v>"C:\Program Files (x86)\AstroGrep\AstroGrep.exe" /spath="%USERPROFILE%\AppData\Local\Temp\OnboardLogs" /stypes="app*4015*20160923*" /stext=" 20:.+((SYSTEM_STATE.+slice.+state.+changed )|(ment ac)|(system.+state.+changed )|(\|lc)|(penalty)|(\[timeout)|(PRM\|1\|D)|(kpr)|(kdp))" /e /r /s</v>
      </c>
      <c r="AG90" s="1" t="str">
        <f t="shared" si="49"/>
        <v>EC</v>
      </c>
      <c r="AH90" s="100" t="str">
        <f t="shared" si="50"/>
        <v>"%USERPROFILE%\Documents\GitHub\eaglep3\Utilities\RefineRTDCRunTimes.py" --tripid 178-23 --locoid 4015 --swversion DE.1.0.7.0 --startMP 204:233011 --initTime 2016-09-23T14:01:35 --startdatetime 2016-09-23T14:11:16 --delay 1 --endMP 204:152 --enddatetime 2016-09-23T14:53:50 --enforcementcount 0 &gt;&gt;C:\Users\stu\Documents\GitHub\eaglep3-reporting\EC\2016-09-23-refined-times.txt</v>
      </c>
      <c r="AI9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ID","value":"178-23"},{"id":16,"name":"Locomotive ID","value":"4015"},{"id":130,"name":"Impact","value":""},{"id":150,"name":"Time of Event (Mountain Time)","value":"14:53:50"},{"id":151,"name":"Denver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500</v>
      </c>
      <c r="B91" s="7">
        <v>4003</v>
      </c>
      <c r="C91" s="24" t="s">
        <v>106</v>
      </c>
      <c r="D91" s="24" t="s">
        <v>358</v>
      </c>
      <c r="E91" s="15">
        <v>42636.558831018519</v>
      </c>
      <c r="F91" s="15">
        <v>42636.562986111108</v>
      </c>
      <c r="G91" s="7">
        <v>1</v>
      </c>
      <c r="H91" s="15" t="s">
        <v>651</v>
      </c>
      <c r="I91" s="15">
        <v>42636.591435185182</v>
      </c>
      <c r="J91" s="7">
        <v>0</v>
      </c>
      <c r="K91" s="121" t="str">
        <f t="shared" si="37"/>
        <v>4003/4004</v>
      </c>
      <c r="L91" s="24" t="str">
        <f>VLOOKUP(A91,'Trips&amp;Operators'!$C$1:$E$10000,3,FALSE)</f>
        <v>MOSES</v>
      </c>
      <c r="M91" s="6">
        <f t="shared" si="38"/>
        <v>2.8449074074160308E-2</v>
      </c>
      <c r="N91" s="7">
        <f t="shared" si="53"/>
        <v>40.966666666790843</v>
      </c>
      <c r="O91" s="7"/>
      <c r="P91" s="7"/>
      <c r="Q91" s="25"/>
      <c r="R91" s="25"/>
      <c r="S91" s="37">
        <f t="shared" si="39"/>
        <v>1</v>
      </c>
      <c r="T91" s="52" t="str">
        <f t="shared" si="40"/>
        <v>NorthBound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12:24:43-0600',mode:absolute,to:'2016-09-23 15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91" s="54" t="str">
        <f t="shared" si="42"/>
        <v>N</v>
      </c>
      <c r="X91" s="168">
        <f t="shared" si="54"/>
        <v>1</v>
      </c>
      <c r="Y91" s="69">
        <f t="shared" si="43"/>
        <v>4.3799999999999999E-2</v>
      </c>
      <c r="Z91" s="69">
        <f t="shared" si="44"/>
        <v>23.328600000000002</v>
      </c>
      <c r="AA91" s="69">
        <f t="shared" si="45"/>
        <v>23.284800000000001</v>
      </c>
      <c r="AB91" s="66" t="e">
        <f>VLOOKUP(A91,Enforcements!$C$7:$K$20,8,0)</f>
        <v>#N/A</v>
      </c>
      <c r="AC91" s="62" t="e">
        <f>VLOOKUP(A91,Enforcements!$C$7:$E$20,3,0)</f>
        <v>#N/A</v>
      </c>
      <c r="AD91" s="63" t="str">
        <f t="shared" si="46"/>
        <v>0179-23</v>
      </c>
      <c r="AE91" s="99" t="str">
        <f t="shared" si="47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91" s="96" t="str">
        <f t="shared" si="48"/>
        <v>"C:\Program Files (x86)\AstroGrep\AstroGrep.exe" /spath="%USERPROFILE%\AppData\Local\Temp\OnboardLogs" /stypes="app*4003*20160923*" /stext=" 20:.+((SYSTEM_STATE.+slice.+state.+changed )|(ment ac)|(system.+state.+changed )|(\|lc)|(penalty)|(\[timeout)|(PRM\|1\|D)|(kpr)|(kdp))" /e /r /s</v>
      </c>
      <c r="AG91" s="1" t="str">
        <f t="shared" si="49"/>
        <v>EC</v>
      </c>
      <c r="AH91" s="100" t="str">
        <f t="shared" si="50"/>
        <v>"%USERPROFILE%\Documents\GitHub\eaglep3\Utilities\RefineRTDCRunTimes.py" --tripid 179-23 --locoid 4003 --swversion DE.1.0.7.0 --startMP 204:438 --initTime 2016-09-23T13:24:43 --startdatetime 2016-09-23T13:30:42 --delay 1 --endMP 204:233286 --enddatetime 2016-09-23T14:11:40 --enforcementcount 0 &gt;&gt;C:\Users\stu\Documents\GitHub\eaglep3-reporting\EC\2016-09-23-refined-times.txt</v>
      </c>
      <c r="AI9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{"issue":{"subject":"","project_id":79,"tracker_id":40,"status_id":1,"priority_id":2,"assigned_to_id":23,"start_date":"2016-09-23","description":"","custom_fields":[{"id":1,"name":"Subdivision","value":"EC"},{"id":4,"name":"Milepost","value":"23.3286"},{"id":17,"name":"Train ID","value":"179-23"},{"id":16,"name":"Locomotive ID","value":"4003"},{"id":130,"name":"Impact","value":""},{"id":150,"name":"Time of Event (Mountain Time)","value":"14:11:40"},{"id":151,"name":"Denver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509</v>
      </c>
      <c r="B92" s="7">
        <v>4004</v>
      </c>
      <c r="C92" s="24" t="s">
        <v>106</v>
      </c>
      <c r="D92" s="24" t="s">
        <v>268</v>
      </c>
      <c r="E92" s="15">
        <v>42636.597395833334</v>
      </c>
      <c r="F92" s="15">
        <v>42636.601597222223</v>
      </c>
      <c r="G92" s="7">
        <v>1</v>
      </c>
      <c r="H92" s="15" t="s">
        <v>127</v>
      </c>
      <c r="I92" s="15">
        <v>42636.635254629633</v>
      </c>
      <c r="J92" s="7">
        <v>0</v>
      </c>
      <c r="K92" s="121" t="str">
        <f t="shared" si="37"/>
        <v>4003/4004</v>
      </c>
      <c r="L92" s="24" t="str">
        <f>VLOOKUP(A92,'Trips&amp;Operators'!$C$1:$E$10000,3,FALSE)</f>
        <v>MOSES</v>
      </c>
      <c r="M92" s="6">
        <f t="shared" si="38"/>
        <v>3.365740740991896E-2</v>
      </c>
      <c r="N92" s="7">
        <f t="shared" si="53"/>
        <v>48.466666670283303</v>
      </c>
      <c r="O92" s="7"/>
      <c r="P92" s="7"/>
      <c r="Q92" s="25"/>
      <c r="R92" s="25"/>
      <c r="S92" s="37">
        <f t="shared" si="39"/>
        <v>1</v>
      </c>
      <c r="T92" s="52" t="str">
        <f t="shared" si="40"/>
        <v>Southbound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13:20:15-0600',mode:absolute,to:'2016-09-23 16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92" s="54" t="str">
        <f t="shared" si="42"/>
        <v>N</v>
      </c>
      <c r="X92" s="168">
        <f t="shared" si="54"/>
        <v>1</v>
      </c>
      <c r="Y92" s="69">
        <f t="shared" si="43"/>
        <v>23.2959</v>
      </c>
      <c r="Z92" s="69">
        <f t="shared" si="44"/>
        <v>1.54E-2</v>
      </c>
      <c r="AA92" s="69">
        <f t="shared" si="45"/>
        <v>23.2805</v>
      </c>
      <c r="AB92" s="66" t="e">
        <f>VLOOKUP(A92,Enforcements!$C$7:$K$20,8,0)</f>
        <v>#N/A</v>
      </c>
      <c r="AC92" s="62" t="e">
        <f>VLOOKUP(A92,Enforcements!$C$7:$E$20,3,0)</f>
        <v>#N/A</v>
      </c>
      <c r="AD92" s="63" t="str">
        <f t="shared" si="46"/>
        <v>0180-23</v>
      </c>
      <c r="AE92" s="99" t="str">
        <f t="shared" si="47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92" s="96" t="str">
        <f t="shared" si="48"/>
        <v>"C:\Program Files (x86)\AstroGrep\AstroGrep.exe" /spath="%USERPROFILE%\AppData\Local\Temp\OnboardLogs" /stypes="app*4004*20160923*" /stext=" 21:.+((SYSTEM_STATE.+slice.+state.+changed )|(ment ac)|(system.+state.+changed )|(\|lc)|(penalty)|(\[timeout)|(PRM\|1\|D)|(kpr)|(kdp))" /e /r /s</v>
      </c>
      <c r="AG92" s="1" t="str">
        <f t="shared" si="49"/>
        <v>EC</v>
      </c>
      <c r="AH92" s="100" t="str">
        <f t="shared" si="50"/>
        <v>"%USERPROFILE%\Documents\GitHub\eaglep3\Utilities\RefineRTDCRunTimes.py" --tripid 180-23 --locoid 4004 --swversion DE.1.0.7.0 --startMP 204:232959 --initTime 2016-09-23T14:20:15 --startdatetime 2016-09-23T14:26:18 --delay 1 --endMP 204:154 --enddatetime 2016-09-23T15:14:46 --enforcementcount 0 &gt;&gt;C:\Users\stu\Documents\GitHub\eaglep3-reporting\EC\2016-09-23-refined-times.txt</v>
      </c>
      <c r="AI9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ID","value":"180-23"},{"id":16,"name":"Locomotive ID","value":"4004"},{"id":130,"name":"Impact","value":""},{"id":150,"name":"Time of Event (Mountain Time)","value":"15:14:46"},{"id":151,"name":"Denver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503</v>
      </c>
      <c r="B93" s="7">
        <v>4011</v>
      </c>
      <c r="C93" s="24" t="s">
        <v>106</v>
      </c>
      <c r="D93" s="24" t="s">
        <v>226</v>
      </c>
      <c r="E93" s="15">
        <v>42636.571851851855</v>
      </c>
      <c r="F93" s="15">
        <v>42636.573553240742</v>
      </c>
      <c r="G93" s="7">
        <v>1</v>
      </c>
      <c r="H93" s="15" t="s">
        <v>351</v>
      </c>
      <c r="I93" s="15">
        <v>42636.604548611111</v>
      </c>
      <c r="J93" s="7">
        <v>0</v>
      </c>
      <c r="K93" s="121" t="str">
        <f t="shared" si="37"/>
        <v>4011/4012</v>
      </c>
      <c r="L93" s="24" t="str">
        <f>VLOOKUP(A93,'Trips&amp;Operators'!$C$1:$E$10000,3,FALSE)</f>
        <v>SWANSON</v>
      </c>
      <c r="M93" s="6">
        <f t="shared" si="38"/>
        <v>3.0995370369055308E-2</v>
      </c>
      <c r="N93" s="7">
        <f t="shared" si="53"/>
        <v>44.633333331439644</v>
      </c>
      <c r="O93" s="7"/>
      <c r="P93" s="7"/>
      <c r="Q93" s="25"/>
      <c r="R93" s="25"/>
      <c r="S93" s="37">
        <f t="shared" si="39"/>
        <v>1</v>
      </c>
      <c r="T93" s="52" t="str">
        <f t="shared" si="40"/>
        <v>NorthBound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12:43:28-0600',mode:absolute,to:'2016-09-23 15:30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93" s="54" t="str">
        <f t="shared" si="42"/>
        <v>N</v>
      </c>
      <c r="X93" s="168">
        <f t="shared" si="54"/>
        <v>1</v>
      </c>
      <c r="Y93" s="69">
        <f t="shared" si="43"/>
        <v>4.5100000000000001E-2</v>
      </c>
      <c r="Z93" s="69">
        <f t="shared" si="44"/>
        <v>23.3306</v>
      </c>
      <c r="AA93" s="69">
        <f t="shared" si="45"/>
        <v>23.285499999999999</v>
      </c>
      <c r="AB93" s="66" t="e">
        <f>VLOOKUP(A93,Enforcements!$C$7:$K$20,8,0)</f>
        <v>#N/A</v>
      </c>
      <c r="AC93" s="62" t="e">
        <f>VLOOKUP(A93,Enforcements!$C$7:$E$20,3,0)</f>
        <v>#N/A</v>
      </c>
      <c r="AD93" s="63" t="str">
        <f t="shared" si="46"/>
        <v>0181-23</v>
      </c>
      <c r="AE93" s="99" t="str">
        <f t="shared" si="47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93" s="96" t="str">
        <f t="shared" si="48"/>
        <v>"C:\Program Files (x86)\AstroGrep\AstroGrep.exe" /spath="%USERPROFILE%\AppData\Local\Temp\OnboardLogs" /stypes="app*4011*20160923*" /stext=" 20:.+((SYSTEM_STATE.+slice.+state.+changed )|(ment ac)|(system.+state.+changed )|(\|lc)|(penalty)|(\[timeout)|(PRM\|1\|D)|(kpr)|(kdp))" /e /r /s</v>
      </c>
      <c r="AG93" s="1" t="str">
        <f t="shared" si="49"/>
        <v>EC</v>
      </c>
      <c r="AH93" s="100" t="str">
        <f t="shared" si="50"/>
        <v>"%USERPROFILE%\Documents\GitHub\eaglep3\Utilities\RefineRTDCRunTimes.py" --tripid 181-23 --locoid 4011 --swversion DE.1.0.7.0 --startMP 204:451 --initTime 2016-09-23T13:43:28 --startdatetime 2016-09-23T13:45:55 --delay 1 --endMP 204:233306 --enddatetime 2016-09-23T14:30:33 --enforcementcount 0 &gt;&gt;C:\Users\stu\Documents\GitHub\eaglep3-reporting\EC\2016-09-23-refined-times.txt</v>
      </c>
      <c r="AI9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{"issue":{"subject":"","project_id":79,"tracker_id":40,"status_id":1,"priority_id":2,"assigned_to_id":23,"start_date":"2016-09-23","description":"","custom_fields":[{"id":1,"name":"Subdivision","value":"EC"},{"id":4,"name":"Milepost","value":"23.3306"},{"id":17,"name":"Train ID","value":"181-23"},{"id":16,"name":"Locomotive ID","value":"4011"},{"id":130,"name":"Impact","value":""},{"id":150,"name":"Time of Event (Mountain Time)","value":"14:30:33"},{"id":151,"name":"Denver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x14ac:dyDescent="0.25">
      <c r="A94" s="39" t="s">
        <v>511</v>
      </c>
      <c r="B94" s="7">
        <v>4012</v>
      </c>
      <c r="C94" s="24" t="s">
        <v>106</v>
      </c>
      <c r="D94" s="24" t="s">
        <v>644</v>
      </c>
      <c r="E94" s="15">
        <v>42636.606770833336</v>
      </c>
      <c r="F94" s="15">
        <v>42636.612175925926</v>
      </c>
      <c r="G94" s="7">
        <v>1</v>
      </c>
      <c r="H94" s="15" t="s">
        <v>260</v>
      </c>
      <c r="I94" s="15">
        <v>42636.641226851854</v>
      </c>
      <c r="J94" s="7">
        <v>0</v>
      </c>
      <c r="K94" s="121" t="str">
        <f t="shared" si="37"/>
        <v>4011/4012</v>
      </c>
      <c r="L94" s="24" t="str">
        <f>VLOOKUP(A94,'Trips&amp;Operators'!$C$1:$E$10000,3,FALSE)</f>
        <v>SWANSON</v>
      </c>
      <c r="M94" s="6">
        <f t="shared" si="38"/>
        <v>2.9050925928459037E-2</v>
      </c>
      <c r="N94" s="7">
        <f t="shared" si="53"/>
        <v>41.833333336981013</v>
      </c>
      <c r="O94" s="7"/>
      <c r="P94" s="7"/>
      <c r="Q94" s="25"/>
      <c r="R94" s="25"/>
      <c r="S94" s="37">
        <f t="shared" si="39"/>
        <v>1</v>
      </c>
      <c r="T94" s="52" t="str">
        <f t="shared" si="40"/>
        <v>Southbound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13:33:45-0600',mode:absolute,to:'2016-09-23 16:23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94" s="54" t="str">
        <f t="shared" si="42"/>
        <v>N</v>
      </c>
      <c r="X94" s="168">
        <f t="shared" si="54"/>
        <v>1</v>
      </c>
      <c r="Y94" s="69">
        <f t="shared" si="43"/>
        <v>23.2989</v>
      </c>
      <c r="Z94" s="69">
        <f t="shared" si="44"/>
        <v>1.3599999999999999E-2</v>
      </c>
      <c r="AA94" s="69">
        <f t="shared" si="45"/>
        <v>23.285299999999999</v>
      </c>
      <c r="AB94" s="66" t="e">
        <f>VLOOKUP(A94,Enforcements!$C$7:$K$20,8,0)</f>
        <v>#N/A</v>
      </c>
      <c r="AC94" s="62" t="e">
        <f>VLOOKUP(A94,Enforcements!$C$7:$E$20,3,0)</f>
        <v>#N/A</v>
      </c>
      <c r="AD94" s="63" t="str">
        <f t="shared" si="46"/>
        <v>0182-23</v>
      </c>
      <c r="AE94" s="99" t="str">
        <f t="shared" si="47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94" s="96" t="str">
        <f t="shared" si="48"/>
        <v>"C:\Program Files (x86)\AstroGrep\AstroGrep.exe" /spath="%USERPROFILE%\AppData\Local\Temp\OnboardLogs" /stypes="app*4012*20160923*" /stext=" 21:.+((SYSTEM_STATE.+slice.+state.+changed )|(ment ac)|(system.+state.+changed )|(\|lc)|(penalty)|(\[timeout)|(PRM\|1\|D)|(kpr)|(kdp))" /e /r /s</v>
      </c>
      <c r="AG94" s="1" t="str">
        <f t="shared" si="49"/>
        <v>EC</v>
      </c>
      <c r="AH94" s="100" t="str">
        <f t="shared" si="50"/>
        <v>"%USERPROFILE%\Documents\GitHub\eaglep3\Utilities\RefineRTDCRunTimes.py" --tripid 182-23 --locoid 4012 --swversion DE.1.0.7.0 --startMP 204:232989 --initTime 2016-09-23T14:33:45 --startdatetime 2016-09-23T14:41:32 --delay 1 --endMP 204:136 --enddatetime 2016-09-23T15:23:22 --enforcementcount 0 &gt;&gt;C:\Users\stu\Documents\GitHub\eaglep3-reporting\EC\2016-09-23-refined-times.txt</v>
      </c>
      <c r="AI9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{"issue":{"subject":"","project_id":79,"tracker_id":40,"status_id":1,"priority_id":2,"assigned_to_id":23,"start_date":"2016-09-23","description":"","custom_fields":[{"id":1,"name":"Subdivision","value":"EC"},{"id":4,"name":"Milepost","value":"0.0136"},{"id":17,"name":"Train ID","value":"182-23"},{"id":16,"name":"Locomotive ID","value":"4012"},{"id":130,"name":"Impact","value":""},{"id":150,"name":"Time of Event (Mountain Time)","value":"15:23:22"},{"id":151,"name":"Denver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505</v>
      </c>
      <c r="B95" s="7">
        <v>4044</v>
      </c>
      <c r="C95" s="24" t="s">
        <v>106</v>
      </c>
      <c r="D95" s="24" t="s">
        <v>224</v>
      </c>
      <c r="E95" s="15">
        <v>42636.583391203705</v>
      </c>
      <c r="F95" s="15">
        <v>42636.585289351853</v>
      </c>
      <c r="G95" s="7">
        <v>1</v>
      </c>
      <c r="H95" s="15" t="s">
        <v>264</v>
      </c>
      <c r="I95" s="15">
        <v>42636.611516203702</v>
      </c>
      <c r="J95" s="7">
        <v>0</v>
      </c>
      <c r="K95" s="121" t="str">
        <f t="shared" si="37"/>
        <v>4043/4044</v>
      </c>
      <c r="L95" s="24" t="str">
        <f>VLOOKUP(A95,'Trips&amp;Operators'!$C$1:$E$10000,3,FALSE)</f>
        <v>SHOOK</v>
      </c>
      <c r="M95" s="6">
        <f t="shared" si="38"/>
        <v>2.622685184906004E-2</v>
      </c>
      <c r="N95" s="7">
        <f t="shared" si="53"/>
        <v>37.766666662646458</v>
      </c>
      <c r="O95" s="7"/>
      <c r="P95" s="7"/>
      <c r="Q95" s="25"/>
      <c r="R95" s="25"/>
      <c r="S95" s="37">
        <f t="shared" si="39"/>
        <v>1</v>
      </c>
      <c r="T95" s="52" t="str">
        <f t="shared" si="40"/>
        <v>NorthBound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13:00:05-0600',mode:absolute,to:'2016-09-23 15:40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95" s="54" t="str">
        <f t="shared" si="42"/>
        <v>N</v>
      </c>
      <c r="X95" s="168">
        <f t="shared" si="54"/>
        <v>1</v>
      </c>
      <c r="Y95" s="69">
        <f t="shared" si="43"/>
        <v>4.4699999999999997E-2</v>
      </c>
      <c r="Z95" s="69">
        <f t="shared" si="44"/>
        <v>23.333400000000001</v>
      </c>
      <c r="AA95" s="69">
        <f t="shared" si="45"/>
        <v>23.288700000000002</v>
      </c>
      <c r="AB95" s="66" t="e">
        <f>VLOOKUP(A95,Enforcements!$C$7:$K$20,8,0)</f>
        <v>#N/A</v>
      </c>
      <c r="AC95" s="62" t="e">
        <f>VLOOKUP(A95,Enforcements!$C$7:$E$20,3,0)</f>
        <v>#N/A</v>
      </c>
      <c r="AD95" s="63" t="str">
        <f t="shared" si="46"/>
        <v>0183-23</v>
      </c>
      <c r="AE95" s="99" t="str">
        <f t="shared" si="47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95" s="96" t="str">
        <f t="shared" si="48"/>
        <v>"C:\Program Files (x86)\AstroGrep\AstroGrep.exe" /spath="%USERPROFILE%\AppData\Local\Temp\OnboardLogs" /stypes="app*4044*20160923*" /stext=" 20:.+((SYSTEM_STATE.+slice.+state.+changed )|(ment ac)|(system.+state.+changed )|(\|lc)|(penalty)|(\[timeout)|(PRM\|1\|D)|(kpr)|(kdp))" /e /r /s</v>
      </c>
      <c r="AG95" s="1" t="str">
        <f t="shared" si="49"/>
        <v>EC</v>
      </c>
      <c r="AH95" s="100" t="str">
        <f t="shared" si="50"/>
        <v>"%USERPROFILE%\Documents\GitHub\eaglep3\Utilities\RefineRTDCRunTimes.py" --tripid 183-23 --locoid 4044 --swversion DE.1.0.7.0 --startMP 204:447 --initTime 2016-09-23T14:00:05 --startdatetime 2016-09-23T14:02:49 --delay 1 --endMP 204:233334 --enddatetime 2016-09-23T14:40:35 --enforcementcount 0 &gt;&gt;C:\Users\stu\Documents\GitHub\eaglep3-reporting\EC\2016-09-23-refined-times.txt</v>
      </c>
      <c r="AI95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{"issue":{"subject":"","project_id":79,"tracker_id":40,"status_id":1,"priority_id":2,"assigned_to_id":23,"start_date":"2016-09-23","description":"","custom_fields":[{"id":1,"name":"Subdivision","value":"EC"},{"id":4,"name":"Milepost","value":"23.3334"},{"id":17,"name":"Train ID","value":"183-23"},{"id":16,"name":"Locomotive ID","value":"4044"},{"id":130,"name":"Impact","value":""},{"id":150,"name":"Time of Event (Mountain Time)","value":"14:40:35"},{"id":151,"name":"Denver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23" customFormat="1" x14ac:dyDescent="0.25">
      <c r="A96" s="39" t="s">
        <v>514</v>
      </c>
      <c r="B96" s="7">
        <v>4043</v>
      </c>
      <c r="C96" s="24" t="s">
        <v>106</v>
      </c>
      <c r="D96" s="24" t="s">
        <v>652</v>
      </c>
      <c r="E96" s="15">
        <v>42636.617210648146</v>
      </c>
      <c r="F96" s="15">
        <v>42636.622442129628</v>
      </c>
      <c r="G96" s="7">
        <v>1</v>
      </c>
      <c r="H96" s="15" t="s">
        <v>616</v>
      </c>
      <c r="I96" s="15">
        <v>42636.652719907404</v>
      </c>
      <c r="J96" s="7">
        <v>0</v>
      </c>
      <c r="K96" s="121" t="str">
        <f t="shared" si="37"/>
        <v>4043/4044</v>
      </c>
      <c r="L96" s="24" t="str">
        <f>VLOOKUP(A96,'Trips&amp;Operators'!$C$1:$E$10000,3,FALSE)</f>
        <v>SHOOK</v>
      </c>
      <c r="M96" s="6">
        <f t="shared" si="38"/>
        <v>3.0277777776063886E-2</v>
      </c>
      <c r="N96" s="7">
        <f t="shared" si="53"/>
        <v>43.599999997531995</v>
      </c>
      <c r="O96" s="7"/>
      <c r="P96" s="7"/>
      <c r="Q96" s="25"/>
      <c r="R96" s="25"/>
      <c r="S96" s="37">
        <f t="shared" si="39"/>
        <v>1</v>
      </c>
      <c r="T96" s="52" t="str">
        <f t="shared" si="40"/>
        <v>Southbound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13:48:47-0600',mode:absolute,to:'2016-09-23 16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96" s="54" t="str">
        <f t="shared" si="42"/>
        <v>N</v>
      </c>
      <c r="X96" s="168">
        <f t="shared" si="54"/>
        <v>1</v>
      </c>
      <c r="Y96" s="69">
        <f t="shared" si="43"/>
        <v>23.304400000000001</v>
      </c>
      <c r="Z96" s="69">
        <f t="shared" si="44"/>
        <v>1.6500000000000001E-2</v>
      </c>
      <c r="AA96" s="69">
        <f t="shared" si="45"/>
        <v>23.2879</v>
      </c>
      <c r="AB96" s="66" t="e">
        <f>VLOOKUP(A96,Enforcements!$C$7:$K$20,8,0)</f>
        <v>#N/A</v>
      </c>
      <c r="AC96" s="62" t="e">
        <f>VLOOKUP(A96,Enforcements!$C$7:$E$20,3,0)</f>
        <v>#N/A</v>
      </c>
      <c r="AD96" s="63" t="str">
        <f t="shared" si="46"/>
        <v>0184-23</v>
      </c>
      <c r="AE96" s="99" t="str">
        <f t="shared" si="47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96" s="96" t="str">
        <f t="shared" si="48"/>
        <v>"C:\Program Files (x86)\AstroGrep\AstroGrep.exe" /spath="%USERPROFILE%\AppData\Local\Temp\OnboardLogs" /stypes="app*4043*20160923*" /stext=" 21:.+((SYSTEM_STATE.+slice.+state.+changed )|(ment ac)|(system.+state.+changed )|(\|lc)|(penalty)|(\[timeout)|(PRM\|1\|D)|(kpr)|(kdp))" /e /r /s</v>
      </c>
      <c r="AG96" s="1" t="str">
        <f t="shared" si="49"/>
        <v>EC</v>
      </c>
      <c r="AH96" s="100" t="str">
        <f t="shared" si="50"/>
        <v>"%USERPROFILE%\Documents\GitHub\eaglep3\Utilities\RefineRTDCRunTimes.py" --tripid 184-23 --locoid 4043 --swversion DE.1.0.7.0 --startMP 204:233044 --initTime 2016-09-23T14:48:47 --startdatetime 2016-09-23T14:56:19 --delay 1 --endMP 204:165 --enddatetime 2016-09-23T15:39:55 --enforcementcount 0 &gt;&gt;C:\Users\stu\Documents\GitHub\eaglep3-reporting\EC\2016-09-23-refined-times.txt</v>
      </c>
      <c r="AI9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{"issue":{"subject":"","project_id":79,"tracker_id":40,"status_id":1,"priority_id":2,"assigned_to_id":23,"start_date":"2016-09-23","description":"","custom_fields":[{"id":1,"name":"Subdivision","value":"EC"},{"id":4,"name":"Milepost","value":"0.0165"},{"id":17,"name":"Train ID","value":"184-23"},{"id":16,"name":"Locomotive ID","value":"4043"},{"id":130,"name":"Impact","value":""},{"id":150,"name":"Time of Event (Mountain Time)","value":"15:39:55"},{"id":151,"name":"Denver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507</v>
      </c>
      <c r="B97" s="7">
        <v>4027</v>
      </c>
      <c r="C97" s="24" t="s">
        <v>106</v>
      </c>
      <c r="D97" s="24" t="s">
        <v>653</v>
      </c>
      <c r="E97" s="15">
        <v>42636.602407407408</v>
      </c>
      <c r="F97" s="15">
        <v>42636.603379629632</v>
      </c>
      <c r="G97" s="7">
        <v>0</v>
      </c>
      <c r="H97" s="15" t="s">
        <v>289</v>
      </c>
      <c r="I97" s="15">
        <v>42636.626134259262</v>
      </c>
      <c r="J97" s="7">
        <v>0</v>
      </c>
      <c r="K97" s="121" t="str">
        <f t="shared" si="37"/>
        <v>4027/4028</v>
      </c>
      <c r="L97" s="24" t="str">
        <f>VLOOKUP(A97,'Trips&amp;Operators'!$C$1:$E$10000,3,FALSE)</f>
        <v>YOUNG</v>
      </c>
      <c r="M97" s="6">
        <f t="shared" si="38"/>
        <v>2.2754629630071577E-2</v>
      </c>
      <c r="N97" s="7"/>
      <c r="O97" s="7"/>
      <c r="P97" s="7">
        <f>24*60*SUM($M97:$M97)</f>
        <v>32.76666666730307</v>
      </c>
      <c r="Q97" s="25"/>
      <c r="R97" s="25" t="s">
        <v>736</v>
      </c>
      <c r="S97" s="37">
        <f t="shared" si="39"/>
        <v>0.75</v>
      </c>
      <c r="T97" s="52" t="str">
        <f t="shared" si="40"/>
        <v>NorthBound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9</v>
      </c>
      <c r="V9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13:27:28-0600',mode:absolute,to:'2016-09-23 16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7" s="54" t="str">
        <f t="shared" si="42"/>
        <v>Y</v>
      </c>
      <c r="X97" s="168">
        <f t="shared" si="54"/>
        <v>1</v>
      </c>
      <c r="Y97" s="69">
        <f t="shared" si="43"/>
        <v>3.7162000000000002</v>
      </c>
      <c r="Z97" s="69">
        <f t="shared" si="44"/>
        <v>23.331499999999998</v>
      </c>
      <c r="AA97" s="69">
        <f t="shared" si="45"/>
        <v>19.615299999999998</v>
      </c>
      <c r="AB97" s="66" t="e">
        <f>VLOOKUP(A97,Enforcements!$C$7:$K$20,8,0)</f>
        <v>#N/A</v>
      </c>
      <c r="AC97" s="62" t="e">
        <f>VLOOKUP(A97,Enforcements!$C$7:$E$20,3,0)</f>
        <v>#N/A</v>
      </c>
      <c r="AD97" s="63" t="str">
        <f t="shared" si="46"/>
        <v>0185-23</v>
      </c>
      <c r="AE97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97" s="96" t="str">
        <f t="shared" si="48"/>
        <v>"C:\Program Files (x86)\AstroGrep\AstroGrep.exe" /spath="%USERPROFILE%\AppData\Local\Temp\OnboardLogs" /stypes="app*4027*20160923*" /stext=" 21:.+((SYSTEM_STATE.+slice.+state.+changed )|(ment ac)|(system.+state.+changed )|(\|lc)|(penalty)|(\[timeout)|(PRM\|1\|D)|(kpr)|(kdp))" /e /r /s</v>
      </c>
      <c r="AG97" s="1" t="str">
        <f t="shared" si="49"/>
        <v>EC</v>
      </c>
      <c r="AH97" s="100" t="str">
        <f t="shared" si="50"/>
        <v>"%USERPROFILE%\Documents\GitHub\eaglep3\Utilities\RefineRTDCRunTimes.py" --tripid 185-23 --locoid 4027 --swversion DE.1.0.7.0 --startMP 204:37162 --initTime 2016-09-23T14:27:28 --startdatetime 2016-09-23T14:28:52 --delay 0 --endMP 204:233315 --enddatetime 2016-09-23T15:01:38 --enforcementcount 0 &gt;&gt;C:\Users\stu\Documents\GitHub\eaglep3-reporting\EC\2016-09-23-refined-times.txt</v>
      </c>
      <c r="AI97" s="134" t="str">
        <f t="shared" si="51"/>
        <v>echo {"issue":{"subject":"DUS 4N not cleared because 22N not cleared","project_id":79,"tracker_id":40,"status_id":1,"priority_id":2,"assigned_to_id":23,"start_date":"2016-09-23","description":"","custom_fields":[{"id":1,"name":"Subdivision","value":"EC"},{"id":4,"name":"Milepost","value":"23.3315"},{"id":17,"name":"Train ID","value":"185-23"},{"id":16,"name":"Locomotive ID","value":"4027"},{"id":130,"name":"Impact","value":""},{"id":150,"name":"Time of Event (Mountain Time)","value":"15:01:38"},{"id":151,"name":"Denver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507</v>
      </c>
      <c r="B98" s="7">
        <v>4027</v>
      </c>
      <c r="C98" s="24" t="s">
        <v>106</v>
      </c>
      <c r="D98" s="24" t="s">
        <v>348</v>
      </c>
      <c r="E98" s="15">
        <v>42636.593310185184</v>
      </c>
      <c r="F98" s="15">
        <v>42636.603379629632</v>
      </c>
      <c r="G98" s="7">
        <v>1</v>
      </c>
      <c r="H98" s="15" t="s">
        <v>373</v>
      </c>
      <c r="I98" s="15">
        <v>42636.626134259262</v>
      </c>
      <c r="J98" s="7">
        <v>0</v>
      </c>
      <c r="K98" s="121" t="str">
        <f t="shared" si="37"/>
        <v>4027/4028</v>
      </c>
      <c r="L98" s="24" t="str">
        <f>VLOOKUP(A98,'Trips&amp;Operators'!$C$1:$E$10000,3,FALSE)</f>
        <v>YOUNG</v>
      </c>
      <c r="M98" s="6">
        <f t="shared" si="38"/>
        <v>2.2754629630071577E-2</v>
      </c>
      <c r="N98" s="7"/>
      <c r="O98" s="7"/>
      <c r="P98" s="7"/>
      <c r="Q98" s="25"/>
      <c r="R98" s="25"/>
      <c r="S98" s="37"/>
      <c r="T98" s="52" t="str">
        <f t="shared" si="40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13:14:22-0600',mode:absolute,to:'2016-09-23 16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98" s="54" t="str">
        <f t="shared" si="42"/>
        <v>Y</v>
      </c>
      <c r="X98" s="168">
        <f t="shared" si="54"/>
        <v>0</v>
      </c>
      <c r="Y98" s="69">
        <f t="shared" si="43"/>
        <v>4.7500000000000001E-2</v>
      </c>
      <c r="Z98" s="69">
        <f t="shared" si="44"/>
        <v>0.1118</v>
      </c>
      <c r="AA98" s="69">
        <f t="shared" si="45"/>
        <v>6.4299999999999996E-2</v>
      </c>
      <c r="AB98" s="66" t="e">
        <f>VLOOKUP(A98,Enforcements!$C$7:$K$20,8,0)</f>
        <v>#N/A</v>
      </c>
      <c r="AC98" s="62" t="e">
        <f>VLOOKUP(A98,Enforcements!$C$7:$E$20,3,0)</f>
        <v>#N/A</v>
      </c>
      <c r="AD98" s="63" t="str">
        <f t="shared" si="46"/>
        <v>0185-23</v>
      </c>
      <c r="AE98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98" s="96" t="str">
        <f t="shared" si="48"/>
        <v>"C:\Program Files (x86)\AstroGrep\AstroGrep.exe" /spath="%USERPROFILE%\AppData\Local\Temp\OnboardLogs" /stypes="app*4027*20160923*" /stext=" 21:.+((SYSTEM_STATE.+slice.+state.+changed )|(ment ac)|(system.+state.+changed )|(\|lc)|(penalty)|(\[timeout)|(PRM\|1\|D)|(kpr)|(kdp))" /e /r /s</v>
      </c>
      <c r="AG98" s="1" t="str">
        <f t="shared" si="49"/>
        <v>EC</v>
      </c>
      <c r="AH98" s="100" t="str">
        <f t="shared" si="50"/>
        <v>"%USERPROFILE%\Documents\GitHub\eaglep3\Utilities\RefineRTDCRunTimes.py" --tripid 185-23 --locoid 4027 --swversion DE.1.0.7.0 --startMP 204:475 --initTime 2016-09-23T14:14:22 --startdatetime 2016-09-23T14:28:52 --delay 1 --endMP 204:1118 --enddatetime 2016-09-23T15:01:38 --enforcementcount 0 &gt;&gt;C:\Users\stu\Documents\GitHub\eaglep3-reporting\EC\2016-09-23-refined-times.txt</v>
      </c>
      <c r="AI9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{"issue":{"subject":"","project_id":79,"tracker_id":40,"status_id":1,"priority_id":2,"assigned_to_id":23,"start_date":"2016-09-23","description":"","custom_fields":[{"id":1,"name":"Subdivision","value":"EC"},{"id":4,"name":"Milepost","value":"0.1118"},{"id":17,"name":"Train ID","value":"185-23"},{"id":16,"name":"Locomotive ID","value":"4027"},{"id":130,"name":"Impact","value":""},{"id":150,"name":"Time of Event (Mountain Time)","value":"15:01:38"},{"id":151,"name":"Denver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517</v>
      </c>
      <c r="B99" s="7">
        <v>4028</v>
      </c>
      <c r="C99" s="24" t="s">
        <v>106</v>
      </c>
      <c r="D99" s="24" t="s">
        <v>294</v>
      </c>
      <c r="E99" s="15">
        <v>42636.631122685183</v>
      </c>
      <c r="F99" s="15">
        <v>42636.633206018516</v>
      </c>
      <c r="G99" s="7">
        <v>2</v>
      </c>
      <c r="H99" s="15" t="s">
        <v>267</v>
      </c>
      <c r="I99" s="15">
        <v>42636.663344907407</v>
      </c>
      <c r="J99" s="7">
        <v>0</v>
      </c>
      <c r="K99" s="121" t="str">
        <f t="shared" si="37"/>
        <v>4027/4028</v>
      </c>
      <c r="L99" s="24" t="str">
        <f>VLOOKUP(A99,'Trips&amp;Operators'!$C$1:$E$10000,3,FALSE)</f>
        <v>STORY</v>
      </c>
      <c r="M99" s="6">
        <f t="shared" si="38"/>
        <v>3.0138888891087845E-2</v>
      </c>
      <c r="N99" s="7">
        <f t="shared" ref="N99:N114" si="55">24*60*SUM($M99:$M99)</f>
        <v>43.400000003166497</v>
      </c>
      <c r="O99" s="7"/>
      <c r="P99" s="7"/>
      <c r="Q99" s="25"/>
      <c r="R99" s="25"/>
      <c r="S99" s="37">
        <f t="shared" ref="S99:S130" si="56">SUM(U99:U99)/IF(AG99="EC",12,1)</f>
        <v>1</v>
      </c>
      <c r="T99" s="52" t="str">
        <f t="shared" si="40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14:08:49-0600',mode:absolute,to:'2016-09-23 16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99" s="54" t="str">
        <f t="shared" si="42"/>
        <v>N</v>
      </c>
      <c r="X99" s="168">
        <f t="shared" si="54"/>
        <v>1</v>
      </c>
      <c r="Y99" s="69">
        <f t="shared" si="43"/>
        <v>23.299099999999999</v>
      </c>
      <c r="Z99" s="69">
        <f t="shared" si="44"/>
        <v>1.41E-2</v>
      </c>
      <c r="AA99" s="69">
        <f t="shared" si="45"/>
        <v>23.285</v>
      </c>
      <c r="AB99" s="66" t="e">
        <f>VLOOKUP(A99,Enforcements!$C$7:$K$20,8,0)</f>
        <v>#N/A</v>
      </c>
      <c r="AC99" s="62" t="e">
        <f>VLOOKUP(A99,Enforcements!$C$7:$E$20,3,0)</f>
        <v>#N/A</v>
      </c>
      <c r="AD99" s="63" t="str">
        <f t="shared" si="46"/>
        <v>0186-23</v>
      </c>
      <c r="AE99" s="99" t="str">
        <f t="shared" si="47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99" s="96" t="str">
        <f t="shared" si="48"/>
        <v>"C:\Program Files (x86)\AstroGrep\AstroGrep.exe" /spath="%USERPROFILE%\AppData\Local\Temp\OnboardLogs" /stypes="app*4028*20160923*" /stext=" 21:.+((SYSTEM_STATE.+slice.+state.+changed )|(ment ac)|(system.+state.+changed )|(\|lc)|(penalty)|(\[timeout)|(PRM\|1\|D)|(kpr)|(kdp))" /e /r /s</v>
      </c>
      <c r="AG99" s="1" t="str">
        <f t="shared" si="49"/>
        <v>EC</v>
      </c>
      <c r="AH99" s="100" t="str">
        <f t="shared" si="50"/>
        <v>"%USERPROFILE%\Documents\GitHub\eaglep3\Utilities\RefineRTDCRunTimes.py" --tripid 186-23 --locoid 4028 --swversion DE.1.0.7.0 --startMP 204:232991 --initTime 2016-09-23T15:08:49 --startdatetime 2016-09-23T15:11:49 --delay 2 --endMP 204:141 --enddatetime 2016-09-23T15:55:13 --enforcementcount 0 &gt;&gt;C:\Users\stu\Documents\GitHub\eaglep3-reporting\EC\2016-09-23-refined-times.txt</v>
      </c>
      <c r="AI99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{"issue":{"subject":"","project_id":79,"tracker_id":40,"status_id":1,"priority_id":2,"assigned_to_id":23,"start_date":"2016-09-23","description":"","custom_fields":[{"id":1,"name":"Subdivision","value":"EC"},{"id":4,"name":"Milepost","value":"0.0141"},{"id":17,"name":"Train ID","value":"186-23"},{"id":16,"name":"Locomotive ID","value":"4028"},{"id":130,"name":"Impact","value":""},{"id":150,"name":"Time of Event (Mountain Time)","value":"15:55:13"},{"id":151,"name":"Denver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510</v>
      </c>
      <c r="B100" s="7">
        <v>4029</v>
      </c>
      <c r="C100" s="24" t="s">
        <v>106</v>
      </c>
      <c r="D100" s="24" t="s">
        <v>227</v>
      </c>
      <c r="E100" s="15">
        <v>42636.603252314817</v>
      </c>
      <c r="F100" s="15">
        <v>42636.605081018519</v>
      </c>
      <c r="G100" s="7">
        <v>1</v>
      </c>
      <c r="H100" s="15" t="s">
        <v>359</v>
      </c>
      <c r="I100" s="15">
        <v>42636.631342592591</v>
      </c>
      <c r="J100" s="7">
        <v>0</v>
      </c>
      <c r="K100" s="121" t="str">
        <f t="shared" si="37"/>
        <v>4029/4030</v>
      </c>
      <c r="L100" s="24" t="str">
        <f>VLOOKUP(A100,'Trips&amp;Operators'!$C$1:$E$10000,3,FALSE)</f>
        <v>STEWART</v>
      </c>
      <c r="M100" s="6">
        <f t="shared" si="38"/>
        <v>2.626157407212304E-2</v>
      </c>
      <c r="N100" s="7">
        <f t="shared" si="55"/>
        <v>37.816666663857177</v>
      </c>
      <c r="O100" s="7"/>
      <c r="P100" s="7"/>
      <c r="Q100" s="25"/>
      <c r="R100" s="25"/>
      <c r="S100" s="37">
        <f t="shared" si="56"/>
        <v>1</v>
      </c>
      <c r="T100" s="52" t="str">
        <f t="shared" si="40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13:28:41-0600',mode:absolute,to:'2016-09-23 16:09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00" s="54" t="str">
        <f t="shared" si="42"/>
        <v>N</v>
      </c>
      <c r="X100" s="168">
        <f t="shared" si="54"/>
        <v>1</v>
      </c>
      <c r="Y100" s="69">
        <f t="shared" si="43"/>
        <v>4.5499999999999999E-2</v>
      </c>
      <c r="Z100" s="69">
        <f t="shared" si="44"/>
        <v>23.3309</v>
      </c>
      <c r="AA100" s="69">
        <f t="shared" si="45"/>
        <v>23.285399999999999</v>
      </c>
      <c r="AB100" s="66" t="e">
        <f>VLOOKUP(A100,Enforcements!$C$7:$K$20,8,0)</f>
        <v>#N/A</v>
      </c>
      <c r="AC100" s="62" t="e">
        <f>VLOOKUP(A100,Enforcements!$C$7:$E$20,3,0)</f>
        <v>#N/A</v>
      </c>
      <c r="AD100" s="63" t="str">
        <f t="shared" si="46"/>
        <v>0187-23</v>
      </c>
      <c r="AE100" s="99" t="str">
        <f t="shared" si="47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100" s="96" t="str">
        <f t="shared" si="48"/>
        <v>"C:\Program Files (x86)\AstroGrep\AstroGrep.exe" /spath="%USERPROFILE%\AppData\Local\Temp\OnboardLogs" /stypes="app*4029*20160923*" /stext=" 21:.+((SYSTEM_STATE.+slice.+state.+changed )|(ment ac)|(system.+state.+changed )|(\|lc)|(penalty)|(\[timeout)|(PRM\|1\|D)|(kpr)|(kdp))" /e /r /s</v>
      </c>
      <c r="AG100" s="1" t="str">
        <f t="shared" si="49"/>
        <v>EC</v>
      </c>
      <c r="AH100" s="100" t="str">
        <f t="shared" si="50"/>
        <v>"%USERPROFILE%\Documents\GitHub\eaglep3\Utilities\RefineRTDCRunTimes.py" --tripid 187-23 --locoid 4029 --swversion DE.1.0.7.0 --startMP 204:455 --initTime 2016-09-23T14:28:41 --startdatetime 2016-09-23T14:31:19 --delay 1 --endMP 204:233309 --enddatetime 2016-09-23T15:09:08 --enforcementcount 0 &gt;&gt;C:\Users\stu\Documents\GitHub\eaglep3-reporting\EC\2016-09-23-refined-times.txt</v>
      </c>
      <c r="AI10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{"issue":{"subject":"","project_id":79,"tracker_id":40,"status_id":1,"priority_id":2,"assigned_to_id":23,"start_date":"2016-09-23","description":"","custom_fields":[{"id":1,"name":"Subdivision","value":"EC"},{"id":4,"name":"Milepost","value":"23.3309"},{"id":17,"name":"Train ID","value":"187-23"},{"id":16,"name":"Locomotive ID","value":"4029"},{"id":130,"name":"Impact","value":""},{"id":150,"name":"Time of Event (Mountain Time)","value":"15:09:08"},{"id":151,"name":"Denver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520</v>
      </c>
      <c r="B101" s="7">
        <v>4030</v>
      </c>
      <c r="C101" s="24" t="s">
        <v>106</v>
      </c>
      <c r="D101" s="24" t="s">
        <v>270</v>
      </c>
      <c r="E101" s="15">
        <v>42636.639791666668</v>
      </c>
      <c r="F101" s="15">
        <v>42636.643877314818</v>
      </c>
      <c r="G101" s="7">
        <v>3</v>
      </c>
      <c r="H101" s="15" t="s">
        <v>217</v>
      </c>
      <c r="I101" s="15">
        <v>42636.674618055556</v>
      </c>
      <c r="J101" s="7">
        <v>0</v>
      </c>
      <c r="K101" s="121" t="str">
        <f t="shared" si="37"/>
        <v>4029/4030</v>
      </c>
      <c r="L101" s="24" t="str">
        <f>VLOOKUP(A101,'Trips&amp;Operators'!$C$1:$E$10000,3,FALSE)</f>
        <v>STEWART</v>
      </c>
      <c r="M101" s="6">
        <f t="shared" si="38"/>
        <v>3.0740740738110617E-2</v>
      </c>
      <c r="N101" s="7">
        <f t="shared" si="55"/>
        <v>44.266666662879288</v>
      </c>
      <c r="O101" s="7"/>
      <c r="P101" s="7"/>
      <c r="Q101" s="25"/>
      <c r="R101" s="25"/>
      <c r="S101" s="37">
        <f t="shared" si="56"/>
        <v>1</v>
      </c>
      <c r="T101" s="52" t="str">
        <f t="shared" si="40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14:21:18-0600',mode:absolute,to:'2016-09-23 17:11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01" s="54" t="str">
        <f t="shared" si="42"/>
        <v>N</v>
      </c>
      <c r="X101" s="168">
        <f t="shared" si="54"/>
        <v>1</v>
      </c>
      <c r="Y101" s="69">
        <f t="shared" si="43"/>
        <v>23.296299999999999</v>
      </c>
      <c r="Z101" s="69">
        <f t="shared" si="44"/>
        <v>1.5800000000000002E-2</v>
      </c>
      <c r="AA101" s="69">
        <f t="shared" si="45"/>
        <v>23.2805</v>
      </c>
      <c r="AB101" s="66" t="e">
        <f>VLOOKUP(A101,Enforcements!$C$7:$K$20,8,0)</f>
        <v>#N/A</v>
      </c>
      <c r="AC101" s="62" t="e">
        <f>VLOOKUP(A101,Enforcements!$C$7:$E$20,3,0)</f>
        <v>#N/A</v>
      </c>
      <c r="AD101" s="63" t="str">
        <f t="shared" si="46"/>
        <v>0188-23</v>
      </c>
      <c r="AE101" s="99" t="str">
        <f t="shared" si="47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101" s="96" t="str">
        <f t="shared" si="48"/>
        <v>"C:\Program Files (x86)\AstroGrep\AstroGrep.exe" /spath="%USERPROFILE%\AppData\Local\Temp\OnboardLogs" /stypes="app*4030*20160923*" /stext=" 22:.+((SYSTEM_STATE.+slice.+state.+changed )|(ment ac)|(system.+state.+changed )|(\|lc)|(penalty)|(\[timeout)|(PRM\|1\|D)|(kpr)|(kdp))" /e /r /s</v>
      </c>
      <c r="AG101" s="1" t="str">
        <f t="shared" si="49"/>
        <v>EC</v>
      </c>
      <c r="AH101" s="100" t="str">
        <f t="shared" si="50"/>
        <v>"%USERPROFILE%\Documents\GitHub\eaglep3\Utilities\RefineRTDCRunTimes.py" --tripid 188-23 --locoid 4030 --swversion DE.1.0.7.0 --startMP 204:232963 --initTime 2016-09-23T15:21:18 --startdatetime 2016-09-23T15:27:11 --delay 3 --endMP 204:158 --enddatetime 2016-09-23T16:11:27 --enforcementcount 0 &gt;&gt;C:\Users\stu\Documents\GitHub\eaglep3-reporting\EC\2016-09-23-refined-times.txt</v>
      </c>
      <c r="AI10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{"issue":{"subject":"","project_id":79,"tracker_id":40,"status_id":1,"priority_id":2,"assigned_to_id":23,"start_date":"2016-09-23","description":"","custom_fields":[{"id":1,"name":"Subdivision","value":"EC"},{"id":4,"name":"Milepost","value":"0.0158"},{"id":17,"name":"Train ID","value":"188-23"},{"id":16,"name":"Locomotive ID","value":"4030"},{"id":130,"name":"Impact","value":""},{"id":150,"name":"Time of Event (Mountain Time)","value":"16:11:27"},{"id":151,"name":"Denver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513</v>
      </c>
      <c r="B102" s="7">
        <v>4040</v>
      </c>
      <c r="C102" s="24" t="s">
        <v>106</v>
      </c>
      <c r="D102" s="24" t="s">
        <v>231</v>
      </c>
      <c r="E102" s="15">
        <v>42636.613877314812</v>
      </c>
      <c r="F102" s="15">
        <v>42636.615486111114</v>
      </c>
      <c r="G102" s="7">
        <v>1</v>
      </c>
      <c r="H102" s="15" t="s">
        <v>629</v>
      </c>
      <c r="I102" s="15">
        <v>42636.642708333333</v>
      </c>
      <c r="J102" s="7">
        <v>0</v>
      </c>
      <c r="K102" s="121" t="str">
        <f t="shared" si="37"/>
        <v>4039/4040</v>
      </c>
      <c r="L102" s="24" t="str">
        <f>VLOOKUP(A102,'Trips&amp;Operators'!$C$1:$E$10000,3,FALSE)</f>
        <v>CLARK</v>
      </c>
      <c r="M102" s="6">
        <f t="shared" si="38"/>
        <v>2.7222222219279502E-2</v>
      </c>
      <c r="N102" s="7">
        <f t="shared" si="55"/>
        <v>39.199999995762482</v>
      </c>
      <c r="O102" s="7"/>
      <c r="P102" s="7"/>
      <c r="Q102" s="25"/>
      <c r="R102" s="25"/>
      <c r="S102" s="37">
        <f t="shared" si="56"/>
        <v>1</v>
      </c>
      <c r="T102" s="52" t="str">
        <f t="shared" si="40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13:43:59-0600',mode:absolute,to:'2016-09-23 16:25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2" s="54" t="str">
        <f t="shared" si="42"/>
        <v>N</v>
      </c>
      <c r="X102" s="168">
        <f t="shared" si="54"/>
        <v>1</v>
      </c>
      <c r="Y102" s="69">
        <f t="shared" si="43"/>
        <v>4.5999999999999999E-2</v>
      </c>
      <c r="Z102" s="69">
        <f t="shared" si="44"/>
        <v>23.331900000000001</v>
      </c>
      <c r="AA102" s="69">
        <f t="shared" si="45"/>
        <v>23.285900000000002</v>
      </c>
      <c r="AB102" s="66" t="e">
        <f>VLOOKUP(A102,Enforcements!$C$7:$K$20,8,0)</f>
        <v>#N/A</v>
      </c>
      <c r="AC102" s="62" t="e">
        <f>VLOOKUP(A102,Enforcements!$C$7:$E$20,3,0)</f>
        <v>#N/A</v>
      </c>
      <c r="AD102" s="63" t="str">
        <f t="shared" si="46"/>
        <v>0189-23</v>
      </c>
      <c r="AE102" s="99" t="str">
        <f t="shared" si="47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02" s="96" t="str">
        <f t="shared" si="48"/>
        <v>"C:\Program Files (x86)\AstroGrep\AstroGrep.exe" /spath="%USERPROFILE%\AppData\Local\Temp\OnboardLogs" /stypes="app*4040*20160923*" /stext=" 21:.+((SYSTEM_STATE.+slice.+state.+changed )|(ment ac)|(system.+state.+changed )|(\|lc)|(penalty)|(\[timeout)|(PRM\|1\|D)|(kpr)|(kdp))" /e /r /s</v>
      </c>
      <c r="AG102" s="1" t="str">
        <f t="shared" si="49"/>
        <v>EC</v>
      </c>
      <c r="AH102" s="100" t="str">
        <f t="shared" si="50"/>
        <v>"%USERPROFILE%\Documents\GitHub\eaglep3\Utilities\RefineRTDCRunTimes.py" --tripid 189-23 --locoid 4040 --swversion DE.1.0.7.0 --startMP 204:460 --initTime 2016-09-23T14:43:59 --startdatetime 2016-09-23T14:46:18 --delay 1 --endMP 204:233319 --enddatetime 2016-09-23T15:25:30 --enforcementcount 0 &gt;&gt;C:\Users\stu\Documents\GitHub\eaglep3-reporting\EC\2016-09-23-refined-times.txt</v>
      </c>
      <c r="AI10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{"issue":{"subject":"","project_id":79,"tracker_id":40,"status_id":1,"priority_id":2,"assigned_to_id":23,"start_date":"2016-09-23","description":"","custom_fields":[{"id":1,"name":"Subdivision","value":"EC"},{"id":4,"name":"Milepost","value":"23.3319"},{"id":17,"name":"Train ID","value":"189-23"},{"id":16,"name":"Locomotive ID","value":"4040"},{"id":130,"name":"Impact","value":""},{"id":150,"name":"Time of Event (Mountain Time)","value":"15:25:30"},{"id":151,"name":"Denver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523</v>
      </c>
      <c r="B103" s="7">
        <v>4039</v>
      </c>
      <c r="C103" s="24" t="s">
        <v>106</v>
      </c>
      <c r="D103" s="24" t="s">
        <v>235</v>
      </c>
      <c r="E103" s="15">
        <v>42636.648900462962</v>
      </c>
      <c r="F103" s="15">
        <v>42636.653715277775</v>
      </c>
      <c r="G103" s="7">
        <v>1</v>
      </c>
      <c r="H103" s="15" t="s">
        <v>245</v>
      </c>
      <c r="I103" s="15">
        <v>42636.685162037036</v>
      </c>
      <c r="J103" s="7">
        <v>0</v>
      </c>
      <c r="K103" s="121" t="str">
        <f t="shared" si="37"/>
        <v>4039/4040</v>
      </c>
      <c r="L103" s="24" t="str">
        <f>VLOOKUP(A103,'Trips&amp;Operators'!$C$1:$E$10000,3,FALSE)</f>
        <v>CLARK</v>
      </c>
      <c r="M103" s="6">
        <f t="shared" si="38"/>
        <v>3.1446759261598345E-2</v>
      </c>
      <c r="N103" s="7">
        <f t="shared" si="55"/>
        <v>45.283333336701617</v>
      </c>
      <c r="O103" s="7"/>
      <c r="P103" s="7"/>
      <c r="Q103" s="25"/>
      <c r="R103" s="25"/>
      <c r="S103" s="37">
        <f t="shared" si="56"/>
        <v>1</v>
      </c>
      <c r="T103" s="52" t="str">
        <f t="shared" si="40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14:34:25-0600',mode:absolute,to:'2016-09-23 17:26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3" s="54" t="str">
        <f t="shared" si="42"/>
        <v>N</v>
      </c>
      <c r="X103" s="168">
        <f t="shared" si="54"/>
        <v>1</v>
      </c>
      <c r="Y103" s="69">
        <f t="shared" si="43"/>
        <v>23.299399999999999</v>
      </c>
      <c r="Z103" s="69">
        <f t="shared" si="44"/>
        <v>1.61E-2</v>
      </c>
      <c r="AA103" s="69">
        <f t="shared" si="45"/>
        <v>23.283299999999997</v>
      </c>
      <c r="AB103" s="66" t="e">
        <f>VLOOKUP(A103,Enforcements!$C$7:$K$20,8,0)</f>
        <v>#N/A</v>
      </c>
      <c r="AC103" s="62" t="e">
        <f>VLOOKUP(A103,Enforcements!$C$7:$E$20,3,0)</f>
        <v>#N/A</v>
      </c>
      <c r="AD103" s="63" t="str">
        <f t="shared" si="46"/>
        <v>0190-23</v>
      </c>
      <c r="AE103" s="99" t="str">
        <f t="shared" si="47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103" s="96" t="str">
        <f t="shared" si="48"/>
        <v>"C:\Program Files (x86)\AstroGrep\AstroGrep.exe" /spath="%USERPROFILE%\AppData\Local\Temp\OnboardLogs" /stypes="app*4039*20160923*" /stext=" 22:.+((SYSTEM_STATE.+slice.+state.+changed )|(ment ac)|(system.+state.+changed )|(\|lc)|(penalty)|(\[timeout)|(PRM\|1\|D)|(kpr)|(kdp))" /e /r /s</v>
      </c>
      <c r="AG103" s="1" t="str">
        <f t="shared" si="49"/>
        <v>EC</v>
      </c>
      <c r="AH103" s="100" t="str">
        <f t="shared" si="50"/>
        <v>"%USERPROFILE%\Documents\GitHub\eaglep3\Utilities\RefineRTDCRunTimes.py" --tripid 190-23 --locoid 4039 --swversion DE.1.0.7.0 --startMP 204:232994 --initTime 2016-09-23T15:34:25 --startdatetime 2016-09-23T15:41:21 --delay 1 --endMP 204:161 --enddatetime 2016-09-23T16:26:38 --enforcementcount 0 &gt;&gt;C:\Users\stu\Documents\GitHub\eaglep3-reporting\EC\2016-09-23-refined-times.txt</v>
      </c>
      <c r="AI10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{"issue":{"subject":"","project_id":79,"tracker_id":40,"status_id":1,"priority_id":2,"assigned_to_id":23,"start_date":"2016-09-23","description":"","custom_fields":[{"id":1,"name":"Subdivision","value":"EC"},{"id":4,"name":"Milepost","value":"0.0161"},{"id":17,"name":"Train ID","value":"190-23"},{"id":16,"name":"Locomotive ID","value":"4039"},{"id":130,"name":"Impact","value":""},{"id":150,"name":"Time of Event (Mountain Time)","value":"16:26:38"},{"id":151,"name":"Denver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x14ac:dyDescent="0.25">
      <c r="A104" s="39" t="s">
        <v>515</v>
      </c>
      <c r="B104" s="7">
        <v>4016</v>
      </c>
      <c r="C104" s="24" t="s">
        <v>106</v>
      </c>
      <c r="D104" s="24" t="s">
        <v>219</v>
      </c>
      <c r="E104" s="15">
        <v>42636.622129629628</v>
      </c>
      <c r="F104" s="15">
        <v>42636.625185185185</v>
      </c>
      <c r="G104" s="7">
        <v>1</v>
      </c>
      <c r="H104" s="15" t="s">
        <v>292</v>
      </c>
      <c r="I104" s="15">
        <v>42636.653194444443</v>
      </c>
      <c r="J104" s="7">
        <v>0</v>
      </c>
      <c r="K104" s="121" t="str">
        <f t="shared" si="37"/>
        <v>4015/4016</v>
      </c>
      <c r="L104" s="24" t="str">
        <f>VLOOKUP(A104,'Trips&amp;Operators'!$C$1:$E$10000,3,FALSE)</f>
        <v>BONDS</v>
      </c>
      <c r="M104" s="6">
        <f t="shared" si="38"/>
        <v>2.8009259258396924E-2</v>
      </c>
      <c r="N104" s="7">
        <f t="shared" si="55"/>
        <v>40.33333333209157</v>
      </c>
      <c r="O104" s="7"/>
      <c r="P104" s="7"/>
      <c r="Q104" s="25"/>
      <c r="R104" s="25"/>
      <c r="S104" s="37">
        <f t="shared" si="56"/>
        <v>1</v>
      </c>
      <c r="T104" s="52" t="str">
        <f t="shared" si="40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13:55:52-0600',mode:absolute,to:'2016-09-23 16:40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4" s="54" t="str">
        <f t="shared" si="42"/>
        <v>N</v>
      </c>
      <c r="X104" s="168">
        <f t="shared" si="54"/>
        <v>1</v>
      </c>
      <c r="Y104" s="69">
        <f t="shared" si="43"/>
        <v>4.53E-2</v>
      </c>
      <c r="Z104" s="69">
        <f t="shared" si="44"/>
        <v>23.328800000000001</v>
      </c>
      <c r="AA104" s="69">
        <f t="shared" si="45"/>
        <v>23.2835</v>
      </c>
      <c r="AB104" s="66" t="e">
        <f>VLOOKUP(A104,Enforcements!$C$7:$K$20,8,0)</f>
        <v>#N/A</v>
      </c>
      <c r="AC104" s="62" t="e">
        <f>VLOOKUP(A104,Enforcements!$C$7:$E$20,3,0)</f>
        <v>#N/A</v>
      </c>
      <c r="AD104" s="63" t="str">
        <f t="shared" si="46"/>
        <v>0191-23</v>
      </c>
      <c r="AE104" s="99" t="str">
        <f t="shared" si="47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04" s="96" t="str">
        <f t="shared" si="48"/>
        <v>"C:\Program Files (x86)\AstroGrep\AstroGrep.exe" /spath="%USERPROFILE%\AppData\Local\Temp\OnboardLogs" /stypes="app*4016*20160923*" /stext=" 21:.+((SYSTEM_STATE.+slice.+state.+changed )|(ment ac)|(system.+state.+changed )|(\|lc)|(penalty)|(\[timeout)|(PRM\|1\|D)|(kpr)|(kdp))" /e /r /s</v>
      </c>
      <c r="AG104" s="1" t="str">
        <f t="shared" si="49"/>
        <v>EC</v>
      </c>
      <c r="AH104" s="100" t="str">
        <f t="shared" si="50"/>
        <v>"%USERPROFILE%\Documents\GitHub\eaglep3\Utilities\RefineRTDCRunTimes.py" --tripid 191-23 --locoid 4016 --swversion DE.1.0.7.0 --startMP 204:453 --initTime 2016-09-23T14:55:52 --startdatetime 2016-09-23T15:00:16 --delay 1 --endMP 204:233288 --enddatetime 2016-09-23T15:40:36 --enforcementcount 0 &gt;&gt;C:\Users\stu\Documents\GitHub\eaglep3-reporting\EC\2016-09-23-refined-times.txt</v>
      </c>
      <c r="AI10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{"issue":{"subject":"","project_id":79,"tracker_id":40,"status_id":1,"priority_id":2,"assigned_to_id":23,"start_date":"2016-09-23","description":"","custom_fields":[{"id":1,"name":"Subdivision","value":"EC"},{"id":4,"name":"Milepost","value":"23.3288"},{"id":17,"name":"Train ID","value":"191-23"},{"id":16,"name":"Locomotive ID","value":"4016"},{"id":130,"name":"Impact","value":""},{"id":150,"name":"Time of Event (Mountain Time)","value":"15:40:36"},{"id":151,"name":"Denver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527</v>
      </c>
      <c r="B105" s="7">
        <v>4015</v>
      </c>
      <c r="C105" s="24" t="s">
        <v>106</v>
      </c>
      <c r="D105" s="24" t="s">
        <v>654</v>
      </c>
      <c r="E105" s="15">
        <v>42636.658703703702</v>
      </c>
      <c r="F105" s="15">
        <v>42636.664409722223</v>
      </c>
      <c r="G105" s="7">
        <v>1</v>
      </c>
      <c r="H105" s="15" t="s">
        <v>267</v>
      </c>
      <c r="I105" s="15">
        <v>42636.694282407407</v>
      </c>
      <c r="J105" s="7">
        <v>0</v>
      </c>
      <c r="K105" s="121" t="str">
        <f t="shared" si="37"/>
        <v>4015/4016</v>
      </c>
      <c r="L105" s="24" t="str">
        <f>VLOOKUP(A105,'Trips&amp;Operators'!$C$1:$E$10000,3,FALSE)</f>
        <v>BONDS</v>
      </c>
      <c r="M105" s="6">
        <f t="shared" si="38"/>
        <v>2.9872685183363501E-2</v>
      </c>
      <c r="N105" s="7">
        <f t="shared" si="55"/>
        <v>43.016666664043441</v>
      </c>
      <c r="O105" s="7"/>
      <c r="P105" s="7"/>
      <c r="Q105" s="25"/>
      <c r="R105" s="25"/>
      <c r="S105" s="37">
        <f t="shared" si="56"/>
        <v>1</v>
      </c>
      <c r="T105" s="52" t="str">
        <f t="shared" si="40"/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14:48:32-0600',mode:absolute,to:'2016-09-23 17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5" s="54" t="str">
        <f t="shared" si="42"/>
        <v>N</v>
      </c>
      <c r="X105" s="168">
        <f t="shared" si="54"/>
        <v>1</v>
      </c>
      <c r="Y105" s="69">
        <f t="shared" si="43"/>
        <v>23.2986</v>
      </c>
      <c r="Z105" s="69">
        <f t="shared" si="44"/>
        <v>1.41E-2</v>
      </c>
      <c r="AA105" s="69">
        <f t="shared" si="45"/>
        <v>23.284500000000001</v>
      </c>
      <c r="AB105" s="66" t="str">
        <f>VLOOKUP(A105,Enforcements!$C$7:$K$20,8,0)</f>
        <v>Bulletin (2)</v>
      </c>
      <c r="AC105" s="62" t="str">
        <f>VLOOKUP(A105,Enforcements!$C$7:$E$20,3,0)</f>
        <v>GRADE CROSSING</v>
      </c>
      <c r="AD105" s="63" t="str">
        <f t="shared" si="46"/>
        <v>0192-23</v>
      </c>
      <c r="AE105" s="99" t="str">
        <f t="shared" si="47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105" s="96" t="str">
        <f t="shared" si="48"/>
        <v>"C:\Program Files (x86)\AstroGrep\AstroGrep.exe" /spath="%USERPROFILE%\AppData\Local\Temp\OnboardLogs" /stypes="app*4015*20160923*" /stext=" 22:.+((SYSTEM_STATE.+slice.+state.+changed )|(ment ac)|(system.+state.+changed )|(\|lc)|(penalty)|(\[timeout)|(PRM\|1\|D)|(kpr)|(kdp))" /e /r /s</v>
      </c>
      <c r="AG105" s="1" t="str">
        <f t="shared" si="49"/>
        <v>EC</v>
      </c>
      <c r="AH105" s="100" t="str">
        <f t="shared" si="50"/>
        <v>"%USERPROFILE%\Documents\GitHub\eaglep3\Utilities\RefineRTDCRunTimes.py" --tripid 192-23 --locoid 4015 --swversion DE.1.0.7.0 --startMP 204:232986 --initTime 2016-09-23T15:48:32 --startdatetime 2016-09-23T15:56:45 --delay 1 --endMP 204:141 --enddatetime 2016-09-23T16:39:46 --enforcementcount 0 &gt;&gt;C:\Users\stu\Documents\GitHub\eaglep3-reporting\EC\2016-09-23-refined-times.txt</v>
      </c>
      <c r="AI105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{"issue":{"subject":"","project_id":79,"tracker_id":40,"status_id":1,"priority_id":2,"assigned_to_id":23,"start_date":"2016-09-23","description":"","custom_fields":[{"id":1,"name":"Subdivision","value":"EC"},{"id":4,"name":"Milepost","value":"0.0141"},{"id":17,"name":"Train ID","value":"192-23"},{"id":16,"name":"Locomotive ID","value":"4015"},{"id":130,"name":"Impact","value":""},{"id":150,"name":"Time of Event (Mountain Time)","value":"16:39:46"},{"id":151,"name":"Denver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519</v>
      </c>
      <c r="B106" s="7">
        <v>4003</v>
      </c>
      <c r="C106" s="24" t="s">
        <v>106</v>
      </c>
      <c r="D106" s="24" t="s">
        <v>224</v>
      </c>
      <c r="E106" s="15">
        <v>42636.636689814812</v>
      </c>
      <c r="F106" s="15">
        <v>42636.638923611114</v>
      </c>
      <c r="G106" s="7">
        <v>2</v>
      </c>
      <c r="H106" s="15" t="s">
        <v>254</v>
      </c>
      <c r="I106" s="15">
        <v>42636.667129629626</v>
      </c>
      <c r="J106" s="7">
        <v>0</v>
      </c>
      <c r="K106" s="121" t="str">
        <f t="shared" si="37"/>
        <v>4003/4004</v>
      </c>
      <c r="L106" s="24" t="str">
        <f>VLOOKUP(A106,'Trips&amp;Operators'!$C$1:$E$10000,3,FALSE)</f>
        <v>MOSES</v>
      </c>
      <c r="M106" s="6">
        <f t="shared" si="38"/>
        <v>2.8206018512719311E-2</v>
      </c>
      <c r="N106" s="7">
        <f t="shared" si="55"/>
        <v>40.616666658315808</v>
      </c>
      <c r="O106" s="7"/>
      <c r="P106" s="7"/>
      <c r="Q106" s="25"/>
      <c r="R106" s="25"/>
      <c r="S106" s="37">
        <f t="shared" si="56"/>
        <v>1</v>
      </c>
      <c r="T106" s="52" t="str">
        <f t="shared" si="40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14:16:50-0600',mode:absolute,to:'2016-09-23 17:00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06" s="54" t="str">
        <f t="shared" si="42"/>
        <v>N</v>
      </c>
      <c r="X106" s="168">
        <f t="shared" si="54"/>
        <v>1</v>
      </c>
      <c r="Y106" s="69">
        <f t="shared" si="43"/>
        <v>4.4699999999999997E-2</v>
      </c>
      <c r="Z106" s="69">
        <f t="shared" si="44"/>
        <v>23.3293</v>
      </c>
      <c r="AA106" s="69">
        <f t="shared" si="45"/>
        <v>23.284600000000001</v>
      </c>
      <c r="AB106" s="66" t="e">
        <f>VLOOKUP(A106,Enforcements!$C$7:$K$20,8,0)</f>
        <v>#N/A</v>
      </c>
      <c r="AC106" s="62" t="e">
        <f>VLOOKUP(A106,Enforcements!$C$7:$E$20,3,0)</f>
        <v>#N/A</v>
      </c>
      <c r="AD106" s="63" t="str">
        <f t="shared" si="46"/>
        <v>0193-23</v>
      </c>
      <c r="AE106" s="99" t="str">
        <f t="shared" si="47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106" s="96" t="str">
        <f t="shared" si="48"/>
        <v>"C:\Program Files (x86)\AstroGrep\AstroGrep.exe" /spath="%USERPROFILE%\AppData\Local\Temp\OnboardLogs" /stypes="app*4003*20160923*" /stext=" 22:.+((SYSTEM_STATE.+slice.+state.+changed )|(ment ac)|(system.+state.+changed )|(\|lc)|(penalty)|(\[timeout)|(PRM\|1\|D)|(kpr)|(kdp))" /e /r /s</v>
      </c>
      <c r="AG106" s="1" t="str">
        <f t="shared" si="49"/>
        <v>EC</v>
      </c>
      <c r="AH106" s="100" t="str">
        <f t="shared" si="50"/>
        <v>"%USERPROFILE%\Documents\GitHub\eaglep3\Utilities\RefineRTDCRunTimes.py" --tripid 193-23 --locoid 4003 --swversion DE.1.0.7.0 --startMP 204:447 --initTime 2016-09-23T15:16:50 --startdatetime 2016-09-23T15:20:03 --delay 2 --endMP 204:233293 --enddatetime 2016-09-23T16:00:40 --enforcementcount 0 &gt;&gt;C:\Users\stu\Documents\GitHub\eaglep3-reporting\EC\2016-09-23-refined-times.txt</v>
      </c>
      <c r="AI10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{"issue":{"subject":"","project_id":79,"tracker_id":40,"status_id":1,"priority_id":2,"assigned_to_id":23,"start_date":"2016-09-23","description":"","custom_fields":[{"id":1,"name":"Subdivision","value":"EC"},{"id":4,"name":"Milepost","value":"23.3293"},{"id":17,"name":"Train ID","value":"193-23"},{"id":16,"name":"Locomotive ID","value":"4003"},{"id":130,"name":"Impact","value":""},{"id":150,"name":"Time of Event (Mountain Time)","value":"16:00:40"},{"id":151,"name":"Denver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529</v>
      </c>
      <c r="B107" s="7">
        <v>4004</v>
      </c>
      <c r="C107" s="24" t="s">
        <v>106</v>
      </c>
      <c r="D107" s="24" t="s">
        <v>639</v>
      </c>
      <c r="E107" s="15">
        <v>42636.67292824074</v>
      </c>
      <c r="F107" s="15">
        <v>42636.676145833335</v>
      </c>
      <c r="G107" s="7">
        <v>3</v>
      </c>
      <c r="H107" s="15" t="s">
        <v>213</v>
      </c>
      <c r="I107" s="15">
        <v>42636.703969907408</v>
      </c>
      <c r="J107" s="7">
        <v>0</v>
      </c>
      <c r="K107" s="121" t="str">
        <f t="shared" si="37"/>
        <v>4003/4004</v>
      </c>
      <c r="L107" s="24" t="str">
        <f>VLOOKUP(A107,'Trips&amp;Operators'!$C$1:$E$10000,3,FALSE)</f>
        <v>MOSES</v>
      </c>
      <c r="M107" s="6">
        <f t="shared" si="38"/>
        <v>2.7824074073578231E-2</v>
      </c>
      <c r="N107" s="7">
        <f t="shared" si="55"/>
        <v>40.066666665952653</v>
      </c>
      <c r="O107" s="7"/>
      <c r="P107" s="7"/>
      <c r="Q107" s="25"/>
      <c r="R107" s="25"/>
      <c r="S107" s="37">
        <f t="shared" si="56"/>
        <v>1</v>
      </c>
      <c r="T107" s="52" t="str">
        <f t="shared" si="40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15:09:01-0600',mode:absolute,to:'2016-09-23 17:53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07" s="54" t="str">
        <f t="shared" si="42"/>
        <v>N</v>
      </c>
      <c r="X107" s="168">
        <f t="shared" si="54"/>
        <v>1</v>
      </c>
      <c r="Y107" s="69">
        <f t="shared" si="43"/>
        <v>23.2972</v>
      </c>
      <c r="Z107" s="69">
        <f t="shared" si="44"/>
        <v>1.49E-2</v>
      </c>
      <c r="AA107" s="69">
        <f t="shared" si="45"/>
        <v>23.282299999999999</v>
      </c>
      <c r="AB107" s="66" t="e">
        <f>VLOOKUP(A107,Enforcements!$C$7:$K$20,8,0)</f>
        <v>#N/A</v>
      </c>
      <c r="AC107" s="62" t="e">
        <f>VLOOKUP(A107,Enforcements!$C$7:$E$20,3,0)</f>
        <v>#N/A</v>
      </c>
      <c r="AD107" s="63" t="str">
        <f t="shared" si="46"/>
        <v>0194-23</v>
      </c>
      <c r="AE107" s="99" t="str">
        <f t="shared" si="47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107" s="96" t="str">
        <f t="shared" si="48"/>
        <v>"C:\Program Files (x86)\AstroGrep\AstroGrep.exe" /spath="%USERPROFILE%\AppData\Local\Temp\OnboardLogs" /stypes="app*4004*20160923*" /stext=" 22:.+((SYSTEM_STATE.+slice.+state.+changed )|(ment ac)|(system.+state.+changed )|(\|lc)|(penalty)|(\[timeout)|(PRM\|1\|D)|(kpr)|(kdp))" /e /r /s</v>
      </c>
      <c r="AG107" s="1" t="str">
        <f t="shared" si="49"/>
        <v>EC</v>
      </c>
      <c r="AH107" s="100" t="str">
        <f t="shared" si="50"/>
        <v>"%USERPROFILE%\Documents\GitHub\eaglep3\Utilities\RefineRTDCRunTimes.py" --tripid 194-23 --locoid 4004 --swversion DE.1.0.7.0 --startMP 204:232972 --initTime 2016-09-23T16:09:01 --startdatetime 2016-09-23T16:13:39 --delay 3 --endMP 204:149 --enddatetime 2016-09-23T16:53:43 --enforcementcount 0 &gt;&gt;C:\Users\stu\Documents\GitHub\eaglep3-reporting\EC\2016-09-23-refined-times.txt</v>
      </c>
      <c r="AI107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{"issue":{"subject":"","project_id":79,"tracker_id":40,"status_id":1,"priority_id":2,"assigned_to_id":23,"start_date":"2016-09-23","description":"","custom_fields":[{"id":1,"name":"Subdivision","value":"EC"},{"id":4,"name":"Milepost","value":"0.0149"},{"id":17,"name":"Train ID","value":"194-23"},{"id":16,"name":"Locomotive ID","value":"4004"},{"id":130,"name":"Impact","value":""},{"id":150,"name":"Time of Event (Mountain Time)","value":"16:53:43"},{"id":151,"name":"Denver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522</v>
      </c>
      <c r="B108" s="7">
        <v>4011</v>
      </c>
      <c r="C108" s="24" t="s">
        <v>106</v>
      </c>
      <c r="D108" s="24" t="s">
        <v>265</v>
      </c>
      <c r="E108" s="15">
        <v>42636.64271990741</v>
      </c>
      <c r="F108" s="15">
        <v>42636.64634259259</v>
      </c>
      <c r="G108" s="7">
        <v>1</v>
      </c>
      <c r="H108" s="15" t="s">
        <v>255</v>
      </c>
      <c r="I108" s="15">
        <v>42636.677997685183</v>
      </c>
      <c r="J108" s="7">
        <v>0</v>
      </c>
      <c r="K108" s="121" t="str">
        <f t="shared" si="37"/>
        <v>4011/4012</v>
      </c>
      <c r="L108" s="24" t="str">
        <f>VLOOKUP(A108,'Trips&amp;Operators'!$C$1:$E$10000,3,FALSE)</f>
        <v>SWANSON</v>
      </c>
      <c r="M108" s="6">
        <f t="shared" si="38"/>
        <v>3.1655092592700385E-2</v>
      </c>
      <c r="N108" s="7">
        <f t="shared" si="55"/>
        <v>45.583333333488554</v>
      </c>
      <c r="O108" s="7"/>
      <c r="P108" s="7"/>
      <c r="Q108" s="25"/>
      <c r="R108" s="25"/>
      <c r="S108" s="37">
        <f t="shared" si="56"/>
        <v>1</v>
      </c>
      <c r="T108" s="52" t="str">
        <f t="shared" si="40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41"/>
        <v>https://search-rtdc-monitor-bjffxe2xuh6vdkpspy63sjmuny.us-east-1.es.amazonaws.com/_plugin/kibana/#/discover/Steve-Slow-Train-Analysis-(2080s-and-2083s)?_g=(refreshInterval:(display:Off,section:0,value:0),time:(from:'2016-09-23 14:25:31-0600',mode:absolute,to:'2016-09-23 17:16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08" s="54" t="str">
        <f t="shared" si="42"/>
        <v>N</v>
      </c>
      <c r="X108" s="168">
        <f t="shared" si="54"/>
        <v>1</v>
      </c>
      <c r="Y108" s="69">
        <f t="shared" si="43"/>
        <v>4.4400000000000002E-2</v>
      </c>
      <c r="Z108" s="69">
        <f t="shared" si="44"/>
        <v>23.331399999999999</v>
      </c>
      <c r="AA108" s="69">
        <f t="shared" si="45"/>
        <v>23.286999999999999</v>
      </c>
      <c r="AB108" s="66" t="e">
        <f>VLOOKUP(A108,Enforcements!$C$7:$K$20,8,0)</f>
        <v>#N/A</v>
      </c>
      <c r="AC108" s="62" t="e">
        <f>VLOOKUP(A108,Enforcements!$C$7:$E$20,3,0)</f>
        <v>#N/A</v>
      </c>
      <c r="AD108" s="63" t="str">
        <f t="shared" si="46"/>
        <v>0195-23</v>
      </c>
      <c r="AE108" s="99" t="str">
        <f t="shared" si="47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08" s="96" t="str">
        <f t="shared" si="48"/>
        <v>"C:\Program Files (x86)\AstroGrep\AstroGrep.exe" /spath="%USERPROFILE%\AppData\Local\Temp\OnboardLogs" /stypes="app*4011*20160923*" /stext=" 22:.+((SYSTEM_STATE.+slice.+state.+changed )|(ment ac)|(system.+state.+changed )|(\|lc)|(penalty)|(\[timeout)|(PRM\|1\|D)|(kpr)|(kdp))" /e /r /s</v>
      </c>
      <c r="AG108" s="1" t="str">
        <f t="shared" si="49"/>
        <v>EC</v>
      </c>
      <c r="AH108" s="100" t="str">
        <f t="shared" si="50"/>
        <v>"%USERPROFILE%\Documents\GitHub\eaglep3\Utilities\RefineRTDCRunTimes.py" --tripid 195-23 --locoid 4011 --swversion DE.1.0.7.0 --startMP 204:444 --initTime 2016-09-23T15:25:31 --startdatetime 2016-09-23T15:30:44 --delay 1 --endMP 204:233314 --enddatetime 2016-09-23T16:16:19 --enforcementcount 0 &gt;&gt;C:\Users\stu\Documents\GitHub\eaglep3-reporting\EC\2016-09-23-refined-times.txt</v>
      </c>
      <c r="AI10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{"issue":{"subject":"","project_id":79,"tracker_id":40,"status_id":1,"priority_id":2,"assigned_to_id":23,"start_date":"2016-09-23","description":"","custom_fields":[{"id":1,"name":"Subdivision","value":"EC"},{"id":4,"name":"Milepost","value":"23.3314"},{"id":17,"name":"Train ID","value":"195-23"},{"id":16,"name":"Locomotive ID","value":"4011"},{"id":130,"name":"Impact","value":""},{"id":150,"name":"Time of Event (Mountain Time)","value":"16:16:19"},{"id":151,"name":"Denver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532</v>
      </c>
      <c r="B109" s="7">
        <v>4012</v>
      </c>
      <c r="C109" s="24" t="s">
        <v>106</v>
      </c>
      <c r="D109" s="24" t="s">
        <v>313</v>
      </c>
      <c r="E109" s="15">
        <v>42636.681527777779</v>
      </c>
      <c r="F109" s="15">
        <v>42636.68513888889</v>
      </c>
      <c r="G109" s="7">
        <v>1</v>
      </c>
      <c r="H109" s="15" t="s">
        <v>218</v>
      </c>
      <c r="I109" s="15">
        <v>42636.716469907406</v>
      </c>
      <c r="J109" s="7">
        <v>0</v>
      </c>
      <c r="K109" s="121" t="str">
        <f t="shared" ref="K109:K140" si="57">IF(ISEVEN(B109),(B109-1)&amp;"/"&amp;B109,B109&amp;"/"&amp;(B109+1))</f>
        <v>4011/4012</v>
      </c>
      <c r="L109" s="24" t="str">
        <f>VLOOKUP(A109,'Trips&amp;Operators'!$C$1:$E$10000,3,FALSE)</f>
        <v>SWANSON</v>
      </c>
      <c r="M109" s="6">
        <f t="shared" ref="M109:M140" si="58">I109-F109</f>
        <v>3.1331018515629694E-2</v>
      </c>
      <c r="N109" s="7">
        <f t="shared" si="55"/>
        <v>45.116666662506759</v>
      </c>
      <c r="O109" s="7"/>
      <c r="P109" s="7"/>
      <c r="Q109" s="25"/>
      <c r="R109" s="25"/>
      <c r="S109" s="37">
        <f t="shared" si="56"/>
        <v>1</v>
      </c>
      <c r="T109" s="52" t="str">
        <f t="shared" ref="T109:T140" si="59">IF(ISEVEN(LEFT(AD109,4)),"Southbound","NorthBound")</f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ref="V109:V140" si="60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https://search-rtdc-monitor-bjffxe2xuh6vdkpspy63sjmuny.us-east-1.es.amazonaws.com/_plugin/kibana/#/discover/Steve-Slow-Train-Analysis-(2080s-and-2083s)?_g=(refreshInterval:(display:Off,section:0,value:0),time:(from:'2016-09-23 15:21:24-0600',mode:absolute,to:'2016-09-23 18:11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09" s="54" t="str">
        <f t="shared" ref="W109:W140" si="61">IF(AA109&lt;IF(AG109="EC",23,5.65),"Y","N")</f>
        <v>N</v>
      </c>
      <c r="X109" s="168">
        <f t="shared" si="54"/>
        <v>1</v>
      </c>
      <c r="Y109" s="69">
        <f t="shared" ref="Y109:Y114" si="62">RIGHT(D109,LEN(D109)-4)/10000</f>
        <v>23.296900000000001</v>
      </c>
      <c r="Z109" s="69">
        <f t="shared" ref="Z109:Z114" si="63">RIGHT(H109,LEN(H109)-4)/10000</f>
        <v>1.47E-2</v>
      </c>
      <c r="AA109" s="69">
        <f t="shared" ref="AA109:AA140" si="64">ABS(Z109-Y109)</f>
        <v>23.2822</v>
      </c>
      <c r="AB109" s="66" t="e">
        <f>VLOOKUP(A109,Enforcements!$C$7:$K$20,8,0)</f>
        <v>#N/A</v>
      </c>
      <c r="AC109" s="62" t="e">
        <f>VLOOKUP(A109,Enforcements!$C$7:$E$20,3,0)</f>
        <v>#N/A</v>
      </c>
      <c r="AD109" s="63" t="str">
        <f t="shared" si="46"/>
        <v>0196-23</v>
      </c>
      <c r="AE109" s="99" t="str">
        <f t="shared" si="47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109" s="96" t="str">
        <f t="shared" si="48"/>
        <v>"C:\Program Files (x86)\AstroGrep\AstroGrep.exe" /spath="%USERPROFILE%\AppData\Local\Temp\OnboardLogs" /stypes="app*4012*20160923*" /stext=" 23:.+((SYSTEM_STATE.+slice.+state.+changed )|(ment ac)|(system.+state.+changed )|(\|lc)|(penalty)|(\[timeout)|(PRM\|1\|D)|(kpr)|(kdp))" /e /r /s</v>
      </c>
      <c r="AG109" s="1" t="str">
        <f t="shared" si="49"/>
        <v>EC</v>
      </c>
      <c r="AH109" s="100" t="str">
        <f t="shared" si="50"/>
        <v>"%USERPROFILE%\Documents\GitHub\eaglep3\Utilities\RefineRTDCRunTimes.py" --tripid 196-23 --locoid 4012 --swversion DE.1.0.7.0 --startMP 204:232969 --initTime 2016-09-23T16:21:24 --startdatetime 2016-09-23T16:26:36 --delay 1 --endMP 204:147 --enddatetime 2016-09-23T17:11:43 --enforcementcount 0 &gt;&gt;C:\Users\stu\Documents\GitHub\eaglep3-reporting\EC\2016-09-23-refined-times.txt</v>
      </c>
      <c r="AI109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{"issue":{"subject":"","project_id":79,"tracker_id":40,"status_id":1,"priority_id":2,"assigned_to_id":23,"start_date":"2016-09-23","description":"","custom_fields":[{"id":1,"name":"Subdivision","value":"EC"},{"id":4,"name":"Milepost","value":"0.0147"},{"id":17,"name":"Train ID","value":"196-23"},{"id":16,"name":"Locomotive ID","value":"4012"},{"id":130,"name":"Impact","value":""},{"id":150,"name":"Time of Event (Mountain Time)","value":"17:11:43"},{"id":151,"name":"Denver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526</v>
      </c>
      <c r="B110" s="7">
        <v>4044</v>
      </c>
      <c r="C110" s="24" t="s">
        <v>106</v>
      </c>
      <c r="D110" s="24" t="s">
        <v>227</v>
      </c>
      <c r="E110" s="15">
        <v>42636.65384259259</v>
      </c>
      <c r="F110" s="15">
        <v>42636.656458333331</v>
      </c>
      <c r="G110" s="7">
        <v>1</v>
      </c>
      <c r="H110" s="15" t="s">
        <v>353</v>
      </c>
      <c r="I110" s="15">
        <v>42636.682800925926</v>
      </c>
      <c r="J110" s="7">
        <v>0</v>
      </c>
      <c r="K110" s="121" t="str">
        <f t="shared" si="57"/>
        <v>4043/4044</v>
      </c>
      <c r="L110" s="24" t="str">
        <f>VLOOKUP(A110,'Trips&amp;Operators'!$C$1:$E$10000,3,FALSE)</f>
        <v>SHOOK</v>
      </c>
      <c r="M110" s="6">
        <f t="shared" si="58"/>
        <v>2.6342592595028691E-2</v>
      </c>
      <c r="N110" s="7">
        <f t="shared" si="55"/>
        <v>37.933333336841315</v>
      </c>
      <c r="O110" s="7"/>
      <c r="P110" s="7"/>
      <c r="Q110" s="25"/>
      <c r="R110" s="25"/>
      <c r="S110" s="37">
        <f t="shared" si="56"/>
        <v>1</v>
      </c>
      <c r="T110" s="52" t="str">
        <f t="shared" si="59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14:41:32-0600',mode:absolute,to:'2016-09-23 17:23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10" s="54" t="str">
        <f t="shared" si="61"/>
        <v>N</v>
      </c>
      <c r="X110" s="168">
        <f t="shared" si="54"/>
        <v>1</v>
      </c>
      <c r="Y110" s="69">
        <f t="shared" si="62"/>
        <v>4.5499999999999999E-2</v>
      </c>
      <c r="Z110" s="69">
        <f t="shared" si="63"/>
        <v>23.332899999999999</v>
      </c>
      <c r="AA110" s="69">
        <f t="shared" si="64"/>
        <v>23.287399999999998</v>
      </c>
      <c r="AB110" s="66" t="e">
        <f>VLOOKUP(A110,Enforcements!$C$7:$K$20,8,0)</f>
        <v>#N/A</v>
      </c>
      <c r="AC110" s="62" t="e">
        <f>VLOOKUP(A110,Enforcements!$C$7:$E$20,3,0)</f>
        <v>#N/A</v>
      </c>
      <c r="AD110" s="63" t="str">
        <f t="shared" si="46"/>
        <v>0197-23</v>
      </c>
      <c r="AE110" s="99" t="str">
        <f t="shared" si="47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110" s="96" t="str">
        <f t="shared" si="48"/>
        <v>"C:\Program Files (x86)\AstroGrep\AstroGrep.exe" /spath="%USERPROFILE%\AppData\Local\Temp\OnboardLogs" /stypes="app*4044*20160923*" /stext=" 22:.+((SYSTEM_STATE.+slice.+state.+changed )|(ment ac)|(system.+state.+changed )|(\|lc)|(penalty)|(\[timeout)|(PRM\|1\|D)|(kpr)|(kdp))" /e /r /s</v>
      </c>
      <c r="AG110" s="1" t="str">
        <f t="shared" si="49"/>
        <v>EC</v>
      </c>
      <c r="AH110" s="100" t="str">
        <f t="shared" si="50"/>
        <v>"%USERPROFILE%\Documents\GitHub\eaglep3\Utilities\RefineRTDCRunTimes.py" --tripid 197-23 --locoid 4044 --swversion DE.1.0.7.0 --startMP 204:455 --initTime 2016-09-23T15:41:32 --startdatetime 2016-09-23T15:45:18 --delay 1 --endMP 204:233329 --enddatetime 2016-09-23T16:23:14 --enforcementcount 0 &gt;&gt;C:\Users\stu\Documents\GitHub\eaglep3-reporting\EC\2016-09-23-refined-times.txt</v>
      </c>
      <c r="AI11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{"issue":{"subject":"","project_id":79,"tracker_id":40,"status_id":1,"priority_id":2,"assigned_to_id":23,"start_date":"2016-09-23","description":"","custom_fields":[{"id":1,"name":"Subdivision","value":"EC"},{"id":4,"name":"Milepost","value":"23.3329"},{"id":17,"name":"Train ID","value":"197-23"},{"id":16,"name":"Locomotive ID","value":"4044"},{"id":130,"name":"Impact","value":""},{"id":150,"name":"Time of Event (Mountain Time)","value":"16:23:14"},{"id":151,"name":"Denver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535</v>
      </c>
      <c r="B111" s="7">
        <v>4043</v>
      </c>
      <c r="C111" s="24" t="s">
        <v>106</v>
      </c>
      <c r="D111" s="24" t="s">
        <v>655</v>
      </c>
      <c r="E111" s="15">
        <v>42636.689895833333</v>
      </c>
      <c r="F111" s="15">
        <v>42636.695416666669</v>
      </c>
      <c r="G111" s="7">
        <v>3</v>
      </c>
      <c r="H111" s="15" t="s">
        <v>250</v>
      </c>
      <c r="I111" s="15">
        <v>42636.728333333333</v>
      </c>
      <c r="J111" s="7">
        <v>0</v>
      </c>
      <c r="K111" s="121" t="str">
        <f t="shared" si="57"/>
        <v>4043/4044</v>
      </c>
      <c r="L111" s="24" t="str">
        <f>VLOOKUP(A111,'Trips&amp;Operators'!$C$1:$E$10000,3,FALSE)</f>
        <v>SHOOK</v>
      </c>
      <c r="M111" s="6">
        <f t="shared" si="58"/>
        <v>3.2916666663368233E-2</v>
      </c>
      <c r="N111" s="7">
        <f t="shared" si="55"/>
        <v>47.399999995250255</v>
      </c>
      <c r="O111" s="7"/>
      <c r="P111" s="7"/>
      <c r="Q111" s="25"/>
      <c r="R111" s="25"/>
      <c r="S111" s="37">
        <f t="shared" si="56"/>
        <v>1</v>
      </c>
      <c r="T111" s="52" t="str">
        <f t="shared" si="59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15:33:27-0600',mode:absolute,to:'2016-09-23 18:28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11" s="54" t="str">
        <f t="shared" si="61"/>
        <v>N</v>
      </c>
      <c r="X111" s="168">
        <f t="shared" si="54"/>
        <v>1</v>
      </c>
      <c r="Y111" s="69">
        <f t="shared" si="62"/>
        <v>23.3047</v>
      </c>
      <c r="Z111" s="69">
        <f t="shared" si="63"/>
        <v>1.5599999999999999E-2</v>
      </c>
      <c r="AA111" s="69">
        <f t="shared" si="64"/>
        <v>23.289100000000001</v>
      </c>
      <c r="AB111" s="66" t="e">
        <f>VLOOKUP(A111,Enforcements!$C$7:$K$20,8,0)</f>
        <v>#N/A</v>
      </c>
      <c r="AC111" s="62" t="e">
        <f>VLOOKUP(A111,Enforcements!$C$7:$E$20,3,0)</f>
        <v>#N/A</v>
      </c>
      <c r="AD111" s="63" t="str">
        <f t="shared" si="46"/>
        <v>0198-23</v>
      </c>
      <c r="AE111" s="99" t="str">
        <f t="shared" si="47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111" s="96" t="str">
        <f t="shared" si="48"/>
        <v>"C:\Program Files (x86)\AstroGrep\AstroGrep.exe" /spath="%USERPROFILE%\AppData\Local\Temp\OnboardLogs" /stypes="app*4043*20160923*" /stext=" 23:.+((SYSTEM_STATE.+slice.+state.+changed )|(ment ac)|(system.+state.+changed )|(\|lc)|(penalty)|(\[timeout)|(PRM\|1\|D)|(kpr)|(kdp))" /e /r /s</v>
      </c>
      <c r="AG111" s="1" t="str">
        <f t="shared" si="49"/>
        <v>EC</v>
      </c>
      <c r="AH111" s="100" t="str">
        <f t="shared" si="50"/>
        <v>"%USERPROFILE%\Documents\GitHub\eaglep3\Utilities\RefineRTDCRunTimes.py" --tripid 198-23 --locoid 4043 --swversion DE.1.0.7.0 --startMP 204:233047 --initTime 2016-09-23T16:33:27 --startdatetime 2016-09-23T16:41:24 --delay 3 --endMP 204:156 --enddatetime 2016-09-23T17:28:48 --enforcementcount 0 &gt;&gt;C:\Users\stu\Documents\GitHub\eaglep3-reporting\EC\2016-09-23-refined-times.txt</v>
      </c>
      <c r="AI11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{"issue":{"subject":"","project_id":79,"tracker_id":40,"status_id":1,"priority_id":2,"assigned_to_id":23,"start_date":"2016-09-23","description":"","custom_fields":[{"id":1,"name":"Subdivision","value":"EC"},{"id":4,"name":"Milepost","value":"0.0156"},{"id":17,"name":"Train ID","value":"198-23"},{"id":16,"name":"Locomotive ID","value":"4043"},{"id":130,"name":"Impact","value":""},{"id":150,"name":"Time of Event (Mountain Time)","value":"17:28:48"},{"id":151,"name":"Denver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516</v>
      </c>
      <c r="B112" s="7">
        <v>4027</v>
      </c>
      <c r="C112" s="24" t="s">
        <v>106</v>
      </c>
      <c r="D112" s="24" t="s">
        <v>656</v>
      </c>
      <c r="E112" s="15">
        <v>42636.664537037039</v>
      </c>
      <c r="F112" s="15">
        <v>42636.667199074072</v>
      </c>
      <c r="G112" s="7">
        <v>1</v>
      </c>
      <c r="H112" s="15" t="s">
        <v>221</v>
      </c>
      <c r="I112" s="15">
        <v>42636.694745370369</v>
      </c>
      <c r="J112" s="7">
        <v>0</v>
      </c>
      <c r="K112" s="121" t="str">
        <f t="shared" si="57"/>
        <v>4027/4028</v>
      </c>
      <c r="L112" s="24" t="str">
        <f>VLOOKUP(A112,'Trips&amp;Operators'!$C$1:$E$10000,3,FALSE)</f>
        <v>YOUNG</v>
      </c>
      <c r="M112" s="6">
        <f t="shared" si="58"/>
        <v>2.7546296296350192E-2</v>
      </c>
      <c r="N112" s="7">
        <f t="shared" si="55"/>
        <v>39.666666666744277</v>
      </c>
      <c r="O112" s="7"/>
      <c r="P112" s="7"/>
      <c r="Q112" s="25"/>
      <c r="R112" s="25"/>
      <c r="S112" s="37">
        <f t="shared" si="56"/>
        <v>1</v>
      </c>
      <c r="T112" s="52" t="str">
        <f t="shared" si="59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14:56:56-0600',mode:absolute,to:'2016-09-23 17:40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2" s="54" t="str">
        <f t="shared" si="61"/>
        <v>N</v>
      </c>
      <c r="X112" s="168">
        <f t="shared" si="54"/>
        <v>1</v>
      </c>
      <c r="Y112" s="69">
        <f t="shared" si="62"/>
        <v>4.2900000000000001E-2</v>
      </c>
      <c r="Z112" s="69">
        <f t="shared" si="63"/>
        <v>23.3291</v>
      </c>
      <c r="AA112" s="69">
        <f t="shared" si="64"/>
        <v>23.286200000000001</v>
      </c>
      <c r="AB112" s="66" t="e">
        <f>VLOOKUP(A112,Enforcements!$C$7:$K$20,8,0)</f>
        <v>#N/A</v>
      </c>
      <c r="AC112" s="62" t="e">
        <f>VLOOKUP(A112,Enforcements!$C$7:$E$20,3,0)</f>
        <v>#N/A</v>
      </c>
      <c r="AD112" s="63" t="str">
        <f t="shared" si="46"/>
        <v>0199-23</v>
      </c>
      <c r="AE112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12" s="96" t="str">
        <f t="shared" si="48"/>
        <v>"C:\Program Files (x86)\AstroGrep\AstroGrep.exe" /spath="%USERPROFILE%\AppData\Local\Temp\OnboardLogs" /stypes="app*4027*20160923*" /stext=" 22:.+((SYSTEM_STATE.+slice.+state.+changed )|(ment ac)|(system.+state.+changed )|(\|lc)|(penalty)|(\[timeout)|(PRM\|1\|D)|(kpr)|(kdp))" /e /r /s</v>
      </c>
      <c r="AG112" s="1" t="str">
        <f t="shared" si="49"/>
        <v>EC</v>
      </c>
      <c r="AH112" s="100" t="str">
        <f t="shared" si="50"/>
        <v>"%USERPROFILE%\Documents\GitHub\eaglep3\Utilities\RefineRTDCRunTimes.py" --tripid 199-23 --locoid 4027 --swversion DE.1.0.7.0 --startMP 204:429 --initTime 2016-09-23T15:56:56 --startdatetime 2016-09-23T16:00:46 --delay 1 --endMP 204:233291 --enddatetime 2016-09-23T16:40:26 --enforcementcount 0 &gt;&gt;C:\Users\stu\Documents\GitHub\eaglep3-reporting\EC\2016-09-23-refined-times.txt</v>
      </c>
      <c r="AI11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{"issue":{"subject":"","project_id":79,"tracker_id":40,"status_id":1,"priority_id":2,"assigned_to_id":23,"start_date":"2016-09-23","description":"","custom_fields":[{"id":1,"name":"Subdivision","value":"EC"},{"id":4,"name":"Milepost","value":"23.3291"},{"id":17,"name":"Train ID","value":"199-23"},{"id":16,"name":"Locomotive ID","value":"4027"},{"id":130,"name":"Impact","value":""},{"id":150,"name":"Time of Event (Mountain Time)","value":"16:40:26"},{"id":151,"name":"Denver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s="23" customFormat="1" x14ac:dyDescent="0.25">
      <c r="A113" s="39" t="s">
        <v>538</v>
      </c>
      <c r="B113" s="7">
        <v>4028</v>
      </c>
      <c r="C113" s="24" t="s">
        <v>106</v>
      </c>
      <c r="D113" s="24" t="s">
        <v>313</v>
      </c>
      <c r="E113" s="15">
        <v>42636.702210648145</v>
      </c>
      <c r="F113" s="15">
        <v>42636.705891203703</v>
      </c>
      <c r="G113" s="7">
        <v>1</v>
      </c>
      <c r="H113" s="15" t="s">
        <v>213</v>
      </c>
      <c r="I113" s="15">
        <v>42636.736793981479</v>
      </c>
      <c r="J113" s="7">
        <v>0</v>
      </c>
      <c r="K113" s="121" t="str">
        <f t="shared" si="57"/>
        <v>4027/4028</v>
      </c>
      <c r="L113" s="24" t="str">
        <f>VLOOKUP(A113,'Trips&amp;Operators'!$C$1:$E$10000,3,FALSE)</f>
        <v>STORY</v>
      </c>
      <c r="M113" s="6">
        <f t="shared" si="58"/>
        <v>3.0902777776645962E-2</v>
      </c>
      <c r="N113" s="7">
        <f t="shared" si="55"/>
        <v>44.499999998370185</v>
      </c>
      <c r="O113" s="7"/>
      <c r="P113" s="7"/>
      <c r="Q113" s="25"/>
      <c r="R113" s="25"/>
      <c r="S113" s="37">
        <f t="shared" si="56"/>
        <v>1</v>
      </c>
      <c r="T113" s="52" t="str">
        <f t="shared" si="59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15:51:11-0600',mode:absolute,to:'2016-09-23 18:40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3" s="54" t="str">
        <f t="shared" si="61"/>
        <v>N</v>
      </c>
      <c r="X113" s="168">
        <f t="shared" si="54"/>
        <v>1</v>
      </c>
      <c r="Y113" s="69">
        <f t="shared" si="62"/>
        <v>23.296900000000001</v>
      </c>
      <c r="Z113" s="69">
        <f t="shared" si="63"/>
        <v>1.49E-2</v>
      </c>
      <c r="AA113" s="69">
        <f t="shared" si="64"/>
        <v>23.282</v>
      </c>
      <c r="AB113" s="66" t="e">
        <f>VLOOKUP(A113,Enforcements!$C$7:$K$20,8,0)</f>
        <v>#N/A</v>
      </c>
      <c r="AC113" s="62" t="e">
        <f>VLOOKUP(A113,Enforcements!$C$7:$E$20,3,0)</f>
        <v>#N/A</v>
      </c>
      <c r="AD113" s="63" t="str">
        <f t="shared" si="46"/>
        <v>0200-23</v>
      </c>
      <c r="AE113" s="99" t="str">
        <f t="shared" si="47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113" s="96" t="str">
        <f t="shared" si="48"/>
        <v>"C:\Program Files (x86)\AstroGrep\AstroGrep.exe" /spath="%USERPROFILE%\AppData\Local\Temp\OnboardLogs" /stypes="app*4028*20160923*" /stext=" 23:.+((SYSTEM_STATE.+slice.+state.+changed )|(ment ac)|(system.+state.+changed )|(\|lc)|(penalty)|(\[timeout)|(PRM\|1\|D)|(kpr)|(kdp))" /e /r /s</v>
      </c>
      <c r="AG113" s="1" t="str">
        <f t="shared" ref="AG113:AG129" si="65">IFERROR(IF(VALUE(LEFT(AD113,2))&lt;=2,"EC",IF(OR(VALUE(LEFT(AD113,2))=8,VALUE(LEFT(AD113,2))=18),"NW","Other")),"Other")</f>
        <v>EC</v>
      </c>
      <c r="AH113" s="100" t="str">
        <f t="shared" si="50"/>
        <v>"%USERPROFILE%\Documents\GitHub\eaglep3\Utilities\RefineRTDCRunTimes.py" --tripid 200-23 --locoid 4028 --swversion DE.1.0.7.0 --startMP 204:232969 --initTime 2016-09-23T16:51:11 --startdatetime 2016-09-23T16:56:29 --delay 1 --endMP 204:149 --enddatetime 2016-09-23T17:40:59 --enforcementcount 0 &gt;&gt;C:\Users\stu\Documents\GitHub\eaglep3-reporting\EC\2016-09-23-refined-times.txt</v>
      </c>
      <c r="AI11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{"issue":{"subject":"","project_id":79,"tracker_id":40,"status_id":1,"priority_id":2,"assigned_to_id":23,"start_date":"2016-09-23","description":"","custom_fields":[{"id":1,"name":"Subdivision","value":"EC"},{"id":4,"name":"Milepost","value":"0.0149"},{"id":17,"name":"Train ID","value":"200-23"},{"id":16,"name":"Locomotive ID","value":"4028"},{"id":130,"name":"Impact","value":""},{"id":150,"name":"Time of Event (Mountain Time)","value":"17:40:59"},{"id":151,"name":"Denver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530</v>
      </c>
      <c r="B114" s="7">
        <v>4029</v>
      </c>
      <c r="C114" s="24" t="s">
        <v>106</v>
      </c>
      <c r="D114" s="24" t="s">
        <v>238</v>
      </c>
      <c r="E114" s="15">
        <v>42636.676458333335</v>
      </c>
      <c r="F114" s="15">
        <v>42636.678356481483</v>
      </c>
      <c r="G114" s="7">
        <v>2</v>
      </c>
      <c r="H114" s="15" t="s">
        <v>628</v>
      </c>
      <c r="I114" s="15">
        <v>42636.708819444444</v>
      </c>
      <c r="J114" s="7">
        <v>0</v>
      </c>
      <c r="K114" s="121" t="str">
        <f t="shared" si="57"/>
        <v>4029/4030</v>
      </c>
      <c r="L114" s="24" t="str">
        <f>VLOOKUP(A114,'Trips&amp;Operators'!$C$1:$E$10000,3,FALSE)</f>
        <v>STEWART</v>
      </c>
      <c r="M114" s="6">
        <f t="shared" si="58"/>
        <v>3.0462962960882578E-2</v>
      </c>
      <c r="N114" s="7">
        <f t="shared" si="55"/>
        <v>43.866666663670912</v>
      </c>
      <c r="O114" s="7"/>
      <c r="P114" s="7"/>
      <c r="Q114" s="25"/>
      <c r="R114" s="25"/>
      <c r="S114" s="37">
        <f t="shared" si="56"/>
        <v>1</v>
      </c>
      <c r="T114" s="52" t="str">
        <f t="shared" si="59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15:14:06-0600',mode:absolute,to:'2016-09-23 18:00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4" s="54" t="str">
        <f t="shared" si="61"/>
        <v>N</v>
      </c>
      <c r="X114" s="168">
        <f t="shared" ref="X114:X128" si="66">VALUE(LEFT(AD114,4))-VALUE(LEFT(AD113,4))</f>
        <v>1</v>
      </c>
      <c r="Y114" s="69">
        <f t="shared" si="62"/>
        <v>4.6199999999999998E-2</v>
      </c>
      <c r="Z114" s="69">
        <f t="shared" si="63"/>
        <v>23.332100000000001</v>
      </c>
      <c r="AA114" s="69">
        <f t="shared" si="64"/>
        <v>23.285900000000002</v>
      </c>
      <c r="AB114" s="66" t="e">
        <f>VLOOKUP(A114,Enforcements!$C$7:$K$20,8,0)</f>
        <v>#N/A</v>
      </c>
      <c r="AC114" s="62" t="e">
        <f>VLOOKUP(A114,Enforcements!$C$7:$E$20,3,0)</f>
        <v>#N/A</v>
      </c>
      <c r="AD114" s="63" t="str">
        <f t="shared" ref="AD114:AD130" si="67">IF(LEN(A114)=6,"0"&amp;A114,A114)</f>
        <v>0201-23</v>
      </c>
      <c r="AE114" s="99" t="str">
        <f t="shared" si="47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114" s="96" t="str">
        <f t="shared" si="48"/>
        <v>"C:\Program Files (x86)\AstroGrep\AstroGrep.exe" /spath="%USERPROFILE%\AppData\Local\Temp\OnboardLogs" /stypes="app*4029*20160923*" /stext=" 23:.+((SYSTEM_STATE.+slice.+state.+changed )|(ment ac)|(system.+state.+changed )|(\|lc)|(penalty)|(\[timeout)|(PRM\|1\|D)|(kpr)|(kdp))" /e /r /s</v>
      </c>
      <c r="AG114" s="1" t="str">
        <f t="shared" si="65"/>
        <v>EC</v>
      </c>
      <c r="AH114" s="100" t="str">
        <f t="shared" si="50"/>
        <v>"%USERPROFILE%\Documents\GitHub\eaglep3\Utilities\RefineRTDCRunTimes.py" --tripid 201-23 --locoid 4029 --swversion DE.1.0.7.0 --startMP 204:462 --initTime 2016-09-23T16:14:06 --startdatetime 2016-09-23T16:16:50 --delay 2 --endMP 204:233321 --enddatetime 2016-09-23T17:00:42 --enforcementcount 0 &gt;&gt;C:\Users\stu\Documents\GitHub\eaglep3-reporting\EC\2016-09-23-refined-times.txt</v>
      </c>
      <c r="AI11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{"issue":{"subject":"","project_id":79,"tracker_id":40,"status_id":1,"priority_id":2,"assigned_to_id":23,"start_date":"2016-09-23","description":"","custom_fields":[{"id":1,"name":"Subdivision","value":"EC"},{"id":4,"name":"Milepost","value":"23.3321"},{"id":17,"name":"Train ID","value":"201-23"},{"id":16,"name":"Locomotive ID","value":"4029"},{"id":130,"name":"Impact","value":""},{"id":150,"name":"Time of Event (Mountain Time)","value":"17:00:42"},{"id":151,"name":"Denver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542</v>
      </c>
      <c r="B115" s="7">
        <v>4030</v>
      </c>
      <c r="C115" s="24" t="s">
        <v>106</v>
      </c>
      <c r="D115" s="24" t="s">
        <v>238</v>
      </c>
      <c r="E115" s="15">
        <v>42636.676458333335</v>
      </c>
      <c r="F115" s="15">
        <v>42636.719513888886</v>
      </c>
      <c r="G115" s="7"/>
      <c r="H115" s="15"/>
      <c r="I115" s="15">
        <f>F115+1/24/60</f>
        <v>42636.720208333332</v>
      </c>
      <c r="J115" s="7">
        <v>0</v>
      </c>
      <c r="K115" s="121" t="str">
        <f t="shared" si="57"/>
        <v>4029/4030</v>
      </c>
      <c r="L115" s="24" t="str">
        <f>VLOOKUP(A115,'Trips&amp;Operators'!$C$1:$E$10000,3,FALSE)</f>
        <v>STEWART</v>
      </c>
      <c r="M115" s="6">
        <f t="shared" si="58"/>
        <v>6.944444467080757E-4</v>
      </c>
      <c r="N115" s="7"/>
      <c r="O115" s="7"/>
      <c r="P115" s="7">
        <f>24*60*SUM($M115:$M115)</f>
        <v>1.000000003259629</v>
      </c>
      <c r="Q115" s="25"/>
      <c r="R115" s="25" t="s">
        <v>738</v>
      </c>
      <c r="S115" s="37">
        <f t="shared" si="56"/>
        <v>0</v>
      </c>
      <c r="T115" s="52" t="str">
        <f t="shared" si="59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0</v>
      </c>
      <c r="V11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15:14:06-0600',mode:absolute,to:'2016-09-23 18:17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5" s="54" t="str">
        <f t="shared" si="61"/>
        <v>Y</v>
      </c>
      <c r="X115" s="168">
        <f t="shared" si="66"/>
        <v>1</v>
      </c>
      <c r="Y115" s="69">
        <v>0</v>
      </c>
      <c r="Z115" s="69">
        <v>0</v>
      </c>
      <c r="AA115" s="69">
        <f t="shared" si="64"/>
        <v>0</v>
      </c>
      <c r="AB115" s="66" t="e">
        <f>VLOOKUP(A115,Enforcements!$C$7:$K$20,8,0)</f>
        <v>#N/A</v>
      </c>
      <c r="AC115" s="62" t="e">
        <f>VLOOKUP(A115,Enforcements!$C$7:$E$20,3,0)</f>
        <v>#N/A</v>
      </c>
      <c r="AD115" s="63" t="str">
        <f t="shared" si="67"/>
        <v>0202-23</v>
      </c>
      <c r="AE115" s="99" t="str">
        <f t="shared" si="47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115" s="96" t="str">
        <f t="shared" si="48"/>
        <v>"C:\Program Files (x86)\AstroGrep\AstroGrep.exe" /spath="%USERPROFILE%\AppData\Local\Temp\OnboardLogs" /stypes="app*4030*20160923*" /stext=" 23:.+((SYSTEM_STATE.+slice.+state.+changed )|(ment ac)|(system.+state.+changed )|(\|lc)|(penalty)|(\[timeout)|(PRM\|1\|D)|(kpr)|(kdp))" /e /r /s</v>
      </c>
      <c r="AG115" s="1" t="str">
        <f t="shared" si="65"/>
        <v>EC</v>
      </c>
      <c r="AH115" s="100" t="str">
        <f t="shared" ref="AH115" si="68"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"&amp;J115&amp;IF(outputrefinedruntimes," &gt;&gt;"&amp;RefinedRTDCRunTimesOutputFile,"")</f>
        <v>"%USERPROFILE%\Documents\GitHub\eaglep3\Utilities\RefineRTDCRunTimes.py" --tripid 202-23 --locoid 4030 --swversion DE.1.0.7.0 --startMP 204:462 --initTime 2016-09-23T16:14:06 --startdatetime 2016-09-23T17:16:06 --delay  --endMP  --enddatetime 2016-09-23T17:17:06 --enforcementcount 0 &gt;&gt;C:\Users\stu\Documents\GitHub\eaglep3-reporting\EC\2016-09-23-refined-times.txt</v>
      </c>
      <c r="AI115" s="134" t="str">
        <f t="shared" ref="AI115" si="69"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Z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-X POST -H ""Content-Type: application/json"" -H ""X-Redmine-API-Key: "&amp;redm_api_key&amp;""" "&amp;redm_url&amp;" --data @-"</f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error","project_id":79,"tracker_id":40,"status_id":1,"priority_id":2,"assigned_to_id":23,"start_date":"2016-09-23","description":"","custom_fields":[{"id":1,"name":"Subdivision","value":"EC"},{"id":4,"name":"Milepost","value":"0"},{"id":17,"name":"Train ID","value":"202-23"},{"id":16,"name":"Locomotive ID","value":"4030"},{"id":130,"name":"Impact","value":""},{"id":150,"name":"Time of Event (Mountain Time)","value":"17:17:06"},{"id":151,"name":"Denver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x14ac:dyDescent="0.25">
      <c r="A116" s="39" t="s">
        <v>534</v>
      </c>
      <c r="B116" s="7">
        <v>4040</v>
      </c>
      <c r="C116" s="24" t="s">
        <v>106</v>
      </c>
      <c r="D116" s="24" t="s">
        <v>657</v>
      </c>
      <c r="E116" s="15">
        <v>42636.686435185184</v>
      </c>
      <c r="F116" s="15">
        <v>42636.697094907409</v>
      </c>
      <c r="G116" s="7">
        <v>14</v>
      </c>
      <c r="H116" s="15" t="s">
        <v>296</v>
      </c>
      <c r="I116" s="15">
        <v>42636.720601851855</v>
      </c>
      <c r="J116" s="7">
        <v>0</v>
      </c>
      <c r="K116" s="121" t="str">
        <f t="shared" si="57"/>
        <v>4039/4040</v>
      </c>
      <c r="L116" s="24" t="str">
        <f>VLOOKUP(A116,'Trips&amp;Operators'!$C$1:$E$10000,3,FALSE)</f>
        <v>CLARK</v>
      </c>
      <c r="M116" s="6">
        <f t="shared" si="58"/>
        <v>2.3506944446125999E-2</v>
      </c>
      <c r="N116" s="7"/>
      <c r="O116" s="7"/>
      <c r="P116" s="7">
        <f>24*60*SUM($M116:$M116)</f>
        <v>33.850000002421439</v>
      </c>
      <c r="Q116" s="25"/>
      <c r="R116" s="25" t="s">
        <v>737</v>
      </c>
      <c r="S116" s="37">
        <f t="shared" si="56"/>
        <v>0.75</v>
      </c>
      <c r="T116" s="52" t="str">
        <f t="shared" si="59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9</v>
      </c>
      <c r="V11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15:28:28-0600',mode:absolute,to:'2016-09-23 18:17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6" s="54" t="str">
        <f t="shared" si="61"/>
        <v>Y</v>
      </c>
      <c r="X116" s="168">
        <f t="shared" si="66"/>
        <v>1</v>
      </c>
      <c r="Y116" s="69">
        <f>RIGHT(D116,LEN(D116)-4)/10000</f>
        <v>3.7193000000000001</v>
      </c>
      <c r="Z116" s="69">
        <f>RIGHT(H116,LEN(H116)-4)/10000</f>
        <v>23.328900000000001</v>
      </c>
      <c r="AA116" s="69">
        <f t="shared" si="64"/>
        <v>19.6096</v>
      </c>
      <c r="AB116" s="66" t="e">
        <f>VLOOKUP(A116,Enforcements!$C$7:$K$20,8,0)</f>
        <v>#N/A</v>
      </c>
      <c r="AC116" s="62" t="e">
        <f>VLOOKUP(A116,Enforcements!$C$7:$E$20,3,0)</f>
        <v>#N/A</v>
      </c>
      <c r="AD116" s="63" t="str">
        <f t="shared" si="67"/>
        <v>0203-23</v>
      </c>
      <c r="AE116" s="99" t="str">
        <f t="shared" si="47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16" s="96" t="str">
        <f t="shared" si="48"/>
        <v>"C:\Program Files (x86)\AstroGrep\AstroGrep.exe" /spath="%USERPROFILE%\AppData\Local\Temp\OnboardLogs" /stypes="app*4040*20160923*" /stext=" 23:.+((SYSTEM_STATE.+slice.+state.+changed )|(ment ac)|(system.+state.+changed )|(\|lc)|(penalty)|(\[timeout)|(PRM\|1\|D)|(kpr)|(kdp))" /e /r /s</v>
      </c>
      <c r="AG116" s="1" t="str">
        <f t="shared" si="65"/>
        <v>EC</v>
      </c>
      <c r="AH116" s="100" t="str">
        <f t="shared" si="50"/>
        <v>"%USERPROFILE%\Documents\GitHub\eaglep3\Utilities\RefineRTDCRunTimes.py" --tripid 203-23 --locoid 4040 --swversion DE.1.0.7.0 --startMP 204:37193 --initTime 2016-09-23T16:28:28 --startdatetime 2016-09-23T16:43:49 --delay 14 --endMP 204:233289 --enddatetime 2016-09-23T17:17:40 --enforcementcount 0 &gt;&gt;C:\Users\stu\Documents\GitHub\eaglep3-reporting\EC\2016-09-23-refined-times.txt</v>
      </c>
      <c r="AI116" s="134" t="str">
        <f t="shared" si="51"/>
        <v>echo {"issue":{"subject":"Poor GPS at DUS","project_id":79,"tracker_id":40,"status_id":1,"priority_id":2,"assigned_to_id":23,"start_date":"2016-09-23","description":"","custom_fields":[{"id":1,"name":"Subdivision","value":"EC"},{"id":4,"name":"Milepost","value":"23.3289"},{"id":17,"name":"Train ID","value":"203-23"},{"id":16,"name":"Locomotive ID","value":"4040"},{"id":130,"name":"Impact","value":""},{"id":150,"name":"Time of Event (Mountain Time)","value":"17:17:40"},{"id":151,"name":"Denver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544</v>
      </c>
      <c r="B117" s="7">
        <v>4039</v>
      </c>
      <c r="C117" s="24" t="s">
        <v>106</v>
      </c>
      <c r="D117" s="24" t="s">
        <v>657</v>
      </c>
      <c r="E117" s="15">
        <v>42636.686435185184</v>
      </c>
      <c r="F117" s="15">
        <v>42636.727766203701</v>
      </c>
      <c r="G117" s="7">
        <v>14</v>
      </c>
      <c r="H117" s="15" t="s">
        <v>296</v>
      </c>
      <c r="I117" s="15">
        <f>F117+1/24/60</f>
        <v>42636.728460648148</v>
      </c>
      <c r="J117" s="7">
        <v>0</v>
      </c>
      <c r="K117" s="121" t="str">
        <f t="shared" si="57"/>
        <v>4039/4040</v>
      </c>
      <c r="L117" s="24" t="str">
        <f>VLOOKUP(A117,'Trips&amp;Operators'!$C$1:$E$10000,3,FALSE)</f>
        <v>CLARK</v>
      </c>
      <c r="M117" s="6">
        <f t="shared" si="58"/>
        <v>6.944444467080757E-4</v>
      </c>
      <c r="N117" s="7"/>
      <c r="O117" s="7"/>
      <c r="P117" s="7">
        <f>24*60*SUM($M117:$M117)</f>
        <v>1.000000003259629</v>
      </c>
      <c r="Q117" s="25"/>
      <c r="R117" s="25" t="s">
        <v>738</v>
      </c>
      <c r="S117" s="37">
        <f t="shared" si="56"/>
        <v>0</v>
      </c>
      <c r="T117" s="52" t="str">
        <f t="shared" si="59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0</v>
      </c>
      <c r="V11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15:28:28-0600',mode:absolute,to:'2016-09-23 18:28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7" s="54" t="str">
        <f t="shared" si="61"/>
        <v>Y</v>
      </c>
      <c r="X117" s="168">
        <f t="shared" ref="X117" si="70">VALUE(LEFT(AD117,4))-VALUE(LEFT(AD116,4))</f>
        <v>1</v>
      </c>
      <c r="Y117" s="69">
        <v>0</v>
      </c>
      <c r="Z117" s="69">
        <v>0</v>
      </c>
      <c r="AA117" s="69">
        <f t="shared" si="64"/>
        <v>0</v>
      </c>
      <c r="AB117" s="66" t="e">
        <f>VLOOKUP(A117,Enforcements!$C$7:$K$20,8,0)</f>
        <v>#N/A</v>
      </c>
      <c r="AC117" s="62" t="e">
        <f>VLOOKUP(A117,Enforcements!$C$7:$E$20,3,0)</f>
        <v>#N/A</v>
      </c>
      <c r="AD117" s="63" t="str">
        <f t="shared" ref="AD117" si="71">IF(LEN(A117)=6,"0"&amp;A117,A117)</f>
        <v>0204-23</v>
      </c>
      <c r="AE117" s="99" t="str">
        <f t="shared" si="47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117" s="96" t="str">
        <f t="shared" si="48"/>
        <v>"C:\Program Files (x86)\AstroGrep\AstroGrep.exe" /spath="%USERPROFILE%\AppData\Local\Temp\OnboardLogs" /stypes="app*4039*20160923*" /stext=" 23:.+((SYSTEM_STATE.+slice.+state.+changed )|(ment ac)|(system.+state.+changed )|(\|lc)|(penalty)|(\[timeout)|(PRM\|1\|D)|(kpr)|(kdp))" /e /r /s</v>
      </c>
      <c r="AG117" s="1" t="str">
        <f t="shared" ref="AG117" si="72">IFERROR(IF(VALUE(LEFT(AD117,2))&lt;=2,"EC",IF(OR(VALUE(LEFT(AD117,2))=8,VALUE(LEFT(AD117,2))=18),"NW","Other")),"Other")</f>
        <v>EC</v>
      </c>
      <c r="AH117" s="100" t="str">
        <f t="shared" ref="AH117" si="73"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204-23 --locoid 4039 --swversion DE.1.0.7.0 --startMP 204:37193 --initTime 2016-09-23T16:28:28 --startdatetime 2016-09-23T17:27:59 --delay 14 --endMP 204:233289 --enddatetime 2016-09-23T17:28:59 --enforcementcount 0 &gt;&gt;C:\Users\stu\Documents\GitHub\eaglep3-reporting\EC\2016-09-23-refined-times.txt</v>
      </c>
      <c r="AI117" s="134" t="str">
        <f t="shared" ref="AI117" si="74"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-X POST -H ""Content-Type: application/json"" -H ""X-Redmine-API-Key: "&amp;redm_api_key&amp;""" "&amp;redm_url&amp;" --data @-"</f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error","project_id":79,"tracker_id":40,"status_id":1,"priority_id":2,"assigned_to_id":23,"start_date":"2016-09-23","description":"","custom_fields":[{"id":1,"name":"Subdivision","value":"EC"},{"id":4,"name":"Milepost","value":"0"},{"id":17,"name":"Train ID","value":"204-23"},{"id":16,"name":"Locomotive ID","value":"4039"},{"id":130,"name":"Impact","value":""},{"id":150,"name":"Time of Event (Mountain Time)","value":"17:28:59"},{"id":151,"name":"Denver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537</v>
      </c>
      <c r="B118" s="7">
        <v>4016</v>
      </c>
      <c r="C118" s="24" t="s">
        <v>106</v>
      </c>
      <c r="D118" s="24" t="s">
        <v>231</v>
      </c>
      <c r="E118" s="15">
        <v>42636.695671296293</v>
      </c>
      <c r="F118" s="15">
        <v>42636.698159722226</v>
      </c>
      <c r="G118" s="7">
        <v>1</v>
      </c>
      <c r="H118" s="15" t="s">
        <v>357</v>
      </c>
      <c r="I118" s="15">
        <v>42636.725810185184</v>
      </c>
      <c r="J118" s="7">
        <v>0</v>
      </c>
      <c r="K118" s="121" t="str">
        <f t="shared" si="57"/>
        <v>4015/4016</v>
      </c>
      <c r="L118" s="24" t="str">
        <f>VLOOKUP(A118,'Trips&amp;Operators'!$C$1:$E$10000,3,FALSE)</f>
        <v>BONDS</v>
      </c>
      <c r="M118" s="6">
        <f t="shared" si="58"/>
        <v>2.7650462958263233E-2</v>
      </c>
      <c r="N118" s="7">
        <f>24*60*SUM($M118:$M118)</f>
        <v>39.816666659899056</v>
      </c>
      <c r="O118" s="7"/>
      <c r="P118" s="7"/>
      <c r="Q118" s="25"/>
      <c r="R118" s="25"/>
      <c r="S118" s="37">
        <f t="shared" si="56"/>
        <v>1</v>
      </c>
      <c r="T118" s="52" t="str">
        <f t="shared" si="59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15:41:46-0600',mode:absolute,to:'2016-09-23 18:25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18" s="54" t="str">
        <f t="shared" si="61"/>
        <v>N</v>
      </c>
      <c r="X118" s="168">
        <f t="shared" si="66"/>
        <v>1</v>
      </c>
      <c r="Y118" s="69">
        <f>RIGHT(D118,LEN(D118)-4)/10000</f>
        <v>4.5999999999999999E-2</v>
      </c>
      <c r="Z118" s="69">
        <f>RIGHT(H118,LEN(H118)-4)/10000</f>
        <v>23.330200000000001</v>
      </c>
      <c r="AA118" s="69">
        <f t="shared" si="64"/>
        <v>23.284200000000002</v>
      </c>
      <c r="AB118" s="66" t="e">
        <f>VLOOKUP(A118,Enforcements!$C$7:$K$20,8,0)</f>
        <v>#N/A</v>
      </c>
      <c r="AC118" s="62" t="e">
        <f>VLOOKUP(A118,Enforcements!$C$7:$E$20,3,0)</f>
        <v>#N/A</v>
      </c>
      <c r="AD118" s="63" t="str">
        <f t="shared" si="67"/>
        <v>0205-23</v>
      </c>
      <c r="AE118" s="99" t="str">
        <f t="shared" si="47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18" s="96" t="str">
        <f t="shared" si="48"/>
        <v>"C:\Program Files (x86)\AstroGrep\AstroGrep.exe" /spath="%USERPROFILE%\AppData\Local\Temp\OnboardLogs" /stypes="app*4016*20160923*" /stext=" 23:.+((SYSTEM_STATE.+slice.+state.+changed )|(ment ac)|(system.+state.+changed )|(\|lc)|(penalty)|(\[timeout)|(PRM\|1\|D)|(kpr)|(kdp))" /e /r /s</v>
      </c>
      <c r="AG118" s="1" t="str">
        <f t="shared" si="65"/>
        <v>EC</v>
      </c>
      <c r="AH118" s="100" t="str">
        <f t="shared" si="50"/>
        <v>"%USERPROFILE%\Documents\GitHub\eaglep3\Utilities\RefineRTDCRunTimes.py" --tripid 205-23 --locoid 4016 --swversion DE.1.0.7.0 --startMP 204:460 --initTime 2016-09-23T16:41:46 --startdatetime 2016-09-23T16:45:21 --delay 1 --endMP 204:233302 --enddatetime 2016-09-23T17:25:10 --enforcementcount 0 &gt;&gt;C:\Users\stu\Documents\GitHub\eaglep3-reporting\EC\2016-09-23-refined-times.txt</v>
      </c>
      <c r="AI11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{"issue":{"subject":"","project_id":79,"tracker_id":40,"status_id":1,"priority_id":2,"assigned_to_id":23,"start_date":"2016-09-23","description":"","custom_fields":[{"id":1,"name":"Subdivision","value":"EC"},{"id":4,"name":"Milepost","value":"23.3302"},{"id":17,"name":"Train ID","value":"205-23"},{"id":16,"name":"Locomotive ID","value":"4016"},{"id":130,"name":"Impact","value":""},{"id":150,"name":"Time of Event (Mountain Time)","value":"17:25:10"},{"id":151,"name":"Denver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546</v>
      </c>
      <c r="B119" s="7">
        <v>4015</v>
      </c>
      <c r="C119" s="24" t="s">
        <v>106</v>
      </c>
      <c r="D119" s="24" t="s">
        <v>657</v>
      </c>
      <c r="E119" s="15">
        <v>42636.686435185184</v>
      </c>
      <c r="F119" s="15">
        <v>42636.73096064815</v>
      </c>
      <c r="G119" s="7">
        <v>14</v>
      </c>
      <c r="H119" s="15" t="s">
        <v>296</v>
      </c>
      <c r="I119" s="15">
        <f>F119+1/24/60</f>
        <v>42636.731655092597</v>
      </c>
      <c r="J119" s="7">
        <v>0</v>
      </c>
      <c r="K119" s="121" t="str">
        <f t="shared" si="57"/>
        <v>4015/4016</v>
      </c>
      <c r="L119" s="24" t="str">
        <f>VLOOKUP(A119,'Trips&amp;Operators'!$C$1:$E$10000,3,FALSE)</f>
        <v>BONDS</v>
      </c>
      <c r="M119" s="6">
        <f t="shared" si="58"/>
        <v>6.944444467080757E-4</v>
      </c>
      <c r="N119" s="7"/>
      <c r="O119" s="7"/>
      <c r="P119" s="7">
        <f>24*60*SUM($M119:$M119)</f>
        <v>1.000000003259629</v>
      </c>
      <c r="Q119" s="25"/>
      <c r="R119" s="25" t="s">
        <v>738</v>
      </c>
      <c r="S119" s="37">
        <f t="shared" si="56"/>
        <v>0</v>
      </c>
      <c r="T119" s="52" t="str">
        <f t="shared" si="59"/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15:28:28-0600',mode:absolute,to:'2016-09-23 18:33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19" s="54" t="str">
        <f t="shared" si="61"/>
        <v>Y</v>
      </c>
      <c r="X119" s="168">
        <f t="shared" si="66"/>
        <v>1</v>
      </c>
      <c r="Y119" s="69">
        <v>0</v>
      </c>
      <c r="Z119" s="69">
        <v>0</v>
      </c>
      <c r="AA119" s="69">
        <f t="shared" si="64"/>
        <v>0</v>
      </c>
      <c r="AB119" s="66" t="e">
        <f>VLOOKUP(A119,Enforcements!$C$7:$K$20,8,0)</f>
        <v>#N/A</v>
      </c>
      <c r="AC119" s="62" t="e">
        <f>VLOOKUP(A119,Enforcements!$C$7:$E$20,3,0)</f>
        <v>#N/A</v>
      </c>
      <c r="AD119" s="63" t="str">
        <f t="shared" si="67"/>
        <v>0206-23</v>
      </c>
      <c r="AE119" s="99" t="str">
        <f t="shared" si="47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119" s="96" t="str">
        <f t="shared" si="48"/>
        <v>"C:\Program Files (x86)\AstroGrep\AstroGrep.exe" /spath="%USERPROFILE%\AppData\Local\Temp\OnboardLogs" /stypes="app*4015*20160923*" /stext=" 23:.+((SYSTEM_STATE.+slice.+state.+changed )|(ment ac)|(system.+state.+changed )|(\|lc)|(penalty)|(\[timeout)|(PRM\|1\|D)|(kpr)|(kdp))" /e /r /s</v>
      </c>
      <c r="AG119" s="1" t="str">
        <f t="shared" si="65"/>
        <v>EC</v>
      </c>
      <c r="AH119" s="100" t="str">
        <f t="shared" si="50"/>
        <v>"%USERPROFILE%\Documents\GitHub\eaglep3\Utilities\RefineRTDCRunTimes.py" --tripid 206-23 --locoid 4015 --swversion DE.1.0.7.0 --startMP 204:37193 --initTime 2016-09-23T16:28:28 --startdatetime 2016-09-23T17:32:35 --delay 14 --endMP 204:233289 --enddatetime 2016-09-23T17:33:35 --enforcementcount 0 &gt;&gt;C:\Users\stu\Documents\GitHub\eaglep3-reporting\EC\2016-09-23-refined-times.txt</v>
      </c>
      <c r="AI119" s="134" t="str">
        <f t="shared" si="51"/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error","project_id":79,"tracker_id":40,"status_id":1,"priority_id":2,"assigned_to_id":23,"start_date":"2016-09-23","description":"","custom_fields":[{"id":1,"name":"Subdivision","value":"EC"},{"id":4,"name":"Milepost","value":"0"},{"id":17,"name":"Train ID","value":"206-23"},{"id":16,"name":"Locomotive ID","value":"4015"},{"id":130,"name":"Impact","value":""},{"id":150,"name":"Time of Event (Mountain Time)","value":"17:33:35"},{"id":151,"name":"Denver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x14ac:dyDescent="0.25">
      <c r="A120" s="39" t="s">
        <v>539</v>
      </c>
      <c r="B120" s="7">
        <v>4003</v>
      </c>
      <c r="C120" s="24" t="s">
        <v>106</v>
      </c>
      <c r="D120" s="24" t="s">
        <v>219</v>
      </c>
      <c r="E120" s="15">
        <v>42636.706631944442</v>
      </c>
      <c r="F120" s="15">
        <v>42636.711550925924</v>
      </c>
      <c r="G120" s="7">
        <v>5</v>
      </c>
      <c r="H120" s="15" t="s">
        <v>658</v>
      </c>
      <c r="I120" s="15">
        <v>42636.73847222222</v>
      </c>
      <c r="J120" s="7">
        <v>0</v>
      </c>
      <c r="K120" s="121" t="str">
        <f t="shared" si="57"/>
        <v>4003/4004</v>
      </c>
      <c r="L120" s="24" t="str">
        <f>VLOOKUP(A120,'Trips&amp;Operators'!$C$1:$E$10000,3,FALSE)</f>
        <v>MOSES</v>
      </c>
      <c r="M120" s="6">
        <f t="shared" si="58"/>
        <v>2.6921296295768116E-2</v>
      </c>
      <c r="N120" s="7">
        <f>24*60*SUM($M120:$M120)</f>
        <v>38.766666665906087</v>
      </c>
      <c r="O120" s="7"/>
      <c r="P120" s="7"/>
      <c r="Q120" s="25"/>
      <c r="R120" s="25"/>
      <c r="S120" s="37">
        <f t="shared" si="56"/>
        <v>1</v>
      </c>
      <c r="T120" s="52" t="str">
        <f t="shared" si="59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15:57:33-0600',mode:absolute,to:'2016-09-23 18:43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120" s="54" t="str">
        <f t="shared" si="61"/>
        <v>N</v>
      </c>
      <c r="X120" s="168">
        <f t="shared" si="66"/>
        <v>1</v>
      </c>
      <c r="Y120" s="69">
        <f>RIGHT(D120,LEN(D120)-4)/10000</f>
        <v>4.53E-2</v>
      </c>
      <c r="Z120" s="69">
        <f>RIGHT(H120,LEN(H120)-4)/10000</f>
        <v>23.322399999999998</v>
      </c>
      <c r="AA120" s="69">
        <f t="shared" si="64"/>
        <v>23.277099999999997</v>
      </c>
      <c r="AB120" s="66" t="e">
        <f>VLOOKUP(A120,Enforcements!$C$7:$K$20,8,0)</f>
        <v>#N/A</v>
      </c>
      <c r="AC120" s="62" t="e">
        <f>VLOOKUP(A120,Enforcements!$C$7:$E$20,3,0)</f>
        <v>#N/A</v>
      </c>
      <c r="AD120" s="63" t="str">
        <f t="shared" si="67"/>
        <v>0207-23</v>
      </c>
      <c r="AE120" s="99" t="str">
        <f t="shared" si="47"/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AF120" s="96" t="str">
        <f t="shared" si="48"/>
        <v>"C:\Program Files (x86)\AstroGrep\AstroGrep.exe" /spath="%USERPROFILE%\AppData\Local\Temp\OnboardLogs" /stypes="app*4003*20160923*" /stext=" 23:.+((SYSTEM_STATE.+slice.+state.+changed )|(ment ac)|(system.+state.+changed )|(\|lc)|(penalty)|(\[timeout)|(PRM\|1\|D)|(kpr)|(kdp))" /e /r /s</v>
      </c>
      <c r="AG120" s="1" t="str">
        <f t="shared" si="65"/>
        <v>EC</v>
      </c>
      <c r="AH120" s="100" t="str">
        <f t="shared" si="50"/>
        <v>"%USERPROFILE%\Documents\GitHub\eaglep3\Utilities\RefineRTDCRunTimes.py" --tripid 207-23 --locoid 4003 --swversion DE.1.0.7.0 --startMP 204:453 --initTime 2016-09-23T16:57:33 --startdatetime 2016-09-23T17:04:38 --delay 5 --endMP 204:233224 --enddatetime 2016-09-23T17:43:24 --enforcementcount 0 &gt;&gt;C:\Users\stu\Documents\GitHub\eaglep3-reporting\EC\2016-09-23-refined-times.txt</v>
      </c>
      <c r="AI12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{"issue":{"subject":"","project_id":79,"tracker_id":40,"status_id":1,"priority_id":2,"assigned_to_id":23,"start_date":"2016-09-23","description":"","custom_fields":[{"id":1,"name":"Subdivision","value":"EC"},{"id":4,"name":"Milepost","value":"23.3224"},{"id":17,"name":"Train ID","value":"207-23"},{"id":16,"name":"Locomotive ID","value":"4003"},{"id":130,"name":"Impact","value":""},{"id":150,"name":"Time of Event (Mountain Time)","value":"17:43:24"},{"id":151,"name":"Denver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551</v>
      </c>
      <c r="B121" s="7">
        <v>4004</v>
      </c>
      <c r="C121" s="24" t="s">
        <v>106</v>
      </c>
      <c r="D121" s="24" t="s">
        <v>657</v>
      </c>
      <c r="E121" s="15">
        <v>42636.686435185184</v>
      </c>
      <c r="F121" s="15">
        <v>42636.745636574073</v>
      </c>
      <c r="G121" s="7">
        <v>14</v>
      </c>
      <c r="H121" s="15" t="s">
        <v>296</v>
      </c>
      <c r="I121" s="15">
        <f>F121+1/24/60</f>
        <v>42636.746331018519</v>
      </c>
      <c r="J121" s="7">
        <v>0</v>
      </c>
      <c r="K121" s="121" t="str">
        <f t="shared" si="57"/>
        <v>4003/4004</v>
      </c>
      <c r="L121" s="24" t="str">
        <f>VLOOKUP(A121,'Trips&amp;Operators'!$C$1:$E$10000,3,FALSE)</f>
        <v>MOSES</v>
      </c>
      <c r="M121" s="6">
        <f t="shared" si="58"/>
        <v>6.944444467080757E-4</v>
      </c>
      <c r="N121" s="7"/>
      <c r="O121" s="7"/>
      <c r="P121" s="7">
        <f>24*60*SUM($M121:$M121)</f>
        <v>1.000000003259629</v>
      </c>
      <c r="Q121" s="25"/>
      <c r="R121" s="25" t="s">
        <v>738</v>
      </c>
      <c r="S121" s="37">
        <f t="shared" si="56"/>
        <v>0</v>
      </c>
      <c r="T121" s="52" t="str">
        <f t="shared" si="59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0</v>
      </c>
      <c r="V12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15:28:28-0600',mode:absolute,to:'2016-09-23 18:54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W121" s="54" t="str">
        <f t="shared" si="61"/>
        <v>Y</v>
      </c>
      <c r="X121" s="168">
        <f t="shared" ref="X121" si="75">VALUE(LEFT(AD121,4))-VALUE(LEFT(AD120,4))</f>
        <v>1</v>
      </c>
      <c r="Y121" s="69">
        <v>0</v>
      </c>
      <c r="Z121" s="69">
        <v>0</v>
      </c>
      <c r="AA121" s="69">
        <f t="shared" si="64"/>
        <v>0</v>
      </c>
      <c r="AB121" s="66" t="e">
        <f>VLOOKUP(A121,Enforcements!$C$7:$K$20,8,0)</f>
        <v>#N/A</v>
      </c>
      <c r="AC121" s="62" t="e">
        <f>VLOOKUP(A121,Enforcements!$C$7:$E$20,3,0)</f>
        <v>#N/A</v>
      </c>
      <c r="AD121" s="63" t="str">
        <f t="shared" ref="AD121" si="76">IF(LEN(A121)=6,"0"&amp;A121,A121)</f>
        <v>0208-23</v>
      </c>
      <c r="AE121" s="99" t="str">
        <f t="shared" si="47"/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AF121" s="96" t="str">
        <f t="shared" si="48"/>
        <v>"C:\Program Files (x86)\AstroGrep\AstroGrep.exe" /spath="%USERPROFILE%\AppData\Local\Temp\OnboardLogs" /stypes="app*4004*20160923*" /stext=" 23:.+((SYSTEM_STATE.+slice.+state.+changed )|(ment ac)|(system.+state.+changed )|(\|lc)|(penalty)|(\[timeout)|(PRM\|1\|D)|(kpr)|(kdp))" /e /r /s</v>
      </c>
      <c r="AG121" s="1" t="str">
        <f t="shared" ref="AG121" si="77">IFERROR(IF(VALUE(LEFT(AD121,2))&lt;=2,"EC",IF(OR(VALUE(LEFT(AD121,2))=8,VALUE(LEFT(AD121,2))=18),"NW","Other")),"Other")</f>
        <v>EC</v>
      </c>
      <c r="AH121" s="100" t="str">
        <f t="shared" ref="AH121" si="78"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208-23 --locoid 4004 --swversion DE.1.0.7.0 --startMP 204:37193 --initTime 2016-09-23T16:28:28 --startdatetime 2016-09-23T17:53:43 --delay 14 --endMP 204:233289 --enddatetime 2016-09-23T17:54:43 --enforcementcount 0 &gt;&gt;C:\Users\stu\Documents\GitHub\eaglep3-reporting\EC\2016-09-23-refined-times.txt</v>
      </c>
      <c r="AI121" s="134" t="str">
        <f t="shared" ref="AI121" si="79"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error","project_id":79,"tracker_id":40,"status_id":1,"priority_id":2,"assigned_to_id":23,"start_date":"2016-09-23","description":"","custom_fields":[{"id":1,"name":"Subdivision","value":"EC"},{"id":4,"name":"Milepost","value":"0"},{"id":17,"name":"Train ID","value":"208-23"},{"id":16,"name":"Locomotive ID","value":"4004"},{"id":130,"name":"Impact","value":""},{"id":150,"name":"Time of Event (Mountain Time)","value":"17:54:43"},{"id":151,"name":"Denver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541</v>
      </c>
      <c r="B122" s="7">
        <v>4011</v>
      </c>
      <c r="C122" s="24" t="s">
        <v>106</v>
      </c>
      <c r="D122" s="24" t="s">
        <v>216</v>
      </c>
      <c r="E122" s="15">
        <v>42636.717581018522</v>
      </c>
      <c r="F122" s="15">
        <v>42636.720821759256</v>
      </c>
      <c r="G122" s="7">
        <v>1</v>
      </c>
      <c r="H122" s="15" t="s">
        <v>629</v>
      </c>
      <c r="I122" s="15">
        <v>42636.751759259256</v>
      </c>
      <c r="J122" s="7">
        <v>0</v>
      </c>
      <c r="K122" s="121" t="str">
        <f t="shared" si="57"/>
        <v>4011/4012</v>
      </c>
      <c r="L122" s="24" t="str">
        <f>VLOOKUP(A122,'Trips&amp;Operators'!$C$1:$E$10000,3,FALSE)</f>
        <v>SWANSON</v>
      </c>
      <c r="M122" s="6">
        <f t="shared" si="58"/>
        <v>3.0937499999708962E-2</v>
      </c>
      <c r="N122" s="7">
        <f>24*60*SUM($M122:$M122)</f>
        <v>44.549999999580905</v>
      </c>
      <c r="O122" s="7"/>
      <c r="P122" s="7"/>
      <c r="Q122" s="25"/>
      <c r="R122" s="25"/>
      <c r="S122" s="37">
        <f t="shared" si="56"/>
        <v>1</v>
      </c>
      <c r="T122" s="52" t="str">
        <f t="shared" si="59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16:13:19-0600',mode:absolute,to:'2016-09-23 19:02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22" s="54" t="str">
        <f t="shared" si="61"/>
        <v>N</v>
      </c>
      <c r="X122" s="168">
        <f t="shared" si="66"/>
        <v>1</v>
      </c>
      <c r="Y122" s="69">
        <f>RIGHT(D122,LEN(D122)-4)/10000</f>
        <v>4.7100000000000003E-2</v>
      </c>
      <c r="Z122" s="69">
        <f>RIGHT(H122,LEN(H122)-4)/10000</f>
        <v>23.331900000000001</v>
      </c>
      <c r="AA122" s="69">
        <f t="shared" si="64"/>
        <v>23.284800000000001</v>
      </c>
      <c r="AB122" s="66" t="e">
        <f>VLOOKUP(A122,Enforcements!$C$7:$K$20,8,0)</f>
        <v>#N/A</v>
      </c>
      <c r="AC122" s="62" t="e">
        <f>VLOOKUP(A122,Enforcements!$C$7:$E$20,3,0)</f>
        <v>#N/A</v>
      </c>
      <c r="AD122" s="63" t="str">
        <f t="shared" si="67"/>
        <v>0209-23</v>
      </c>
      <c r="AE122" s="99" t="str">
        <f t="shared" si="47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22" s="96" t="str">
        <f t="shared" si="48"/>
        <v>"C:\Program Files (x86)\AstroGrep\AstroGrep.exe" /spath="%USERPROFILE%\AppData\Local\Temp\OnboardLogs" /stypes="app*4011*20160924*" /stext=" 00:.+((SYSTEM_STATE.+slice.+state.+changed )|(ment ac)|(system.+state.+changed )|(\|lc)|(penalty)|(\[timeout)|(PRM\|1\|D)|(kpr)|(kdp))" /e /r /s</v>
      </c>
      <c r="AG122" s="1" t="str">
        <f t="shared" si="65"/>
        <v>EC</v>
      </c>
      <c r="AH122" s="100" t="str">
        <f t="shared" si="50"/>
        <v>"%USERPROFILE%\Documents\GitHub\eaglep3\Utilities\RefineRTDCRunTimes.py" --tripid 209-23 --locoid 4011 --swversion DE.1.0.7.0 --startMP 204:471 --initTime 2016-09-23T17:13:19 --startdatetime 2016-09-23T17:17:59 --delay 1 --endMP 204:233319 --enddatetime 2016-09-23T18:02:32 --enforcementcount 0 &gt;&gt;C:\Users\stu\Documents\GitHub\eaglep3-reporting\EC\2016-09-23-refined-times.txt</v>
      </c>
      <c r="AI12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{"issue":{"subject":"","project_id":79,"tracker_id":40,"status_id":1,"priority_id":2,"assigned_to_id":23,"start_date":"2016-09-23","description":"","custom_fields":[{"id":1,"name":"Subdivision","value":"EC"},{"id":4,"name":"Milepost","value":"23.3319"},{"id":17,"name":"Train ID","value":"209-23"},{"id":16,"name":"Locomotive ID","value":"4011"},{"id":130,"name":"Impact","value":""},{"id":150,"name":"Time of Event (Mountain Time)","value":"18:02:32"},{"id":151,"name":"Denver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553</v>
      </c>
      <c r="B123" s="7">
        <v>4012</v>
      </c>
      <c r="C123" s="24" t="s">
        <v>106</v>
      </c>
      <c r="D123" s="24" t="s">
        <v>657</v>
      </c>
      <c r="E123" s="15">
        <v>42636.686435185184</v>
      </c>
      <c r="F123" s="15">
        <v>42636.754791666666</v>
      </c>
      <c r="G123" s="7">
        <v>14</v>
      </c>
      <c r="H123" s="15" t="s">
        <v>296</v>
      </c>
      <c r="I123" s="15">
        <f>F123+1/24/60</f>
        <v>42636.755486111113</v>
      </c>
      <c r="J123" s="7">
        <v>0</v>
      </c>
      <c r="K123" s="121" t="str">
        <f t="shared" si="57"/>
        <v>4011/4012</v>
      </c>
      <c r="L123" s="24" t="str">
        <f>VLOOKUP(A123,'Trips&amp;Operators'!$C$1:$E$10000,3,FALSE)</f>
        <v>SWANSON</v>
      </c>
      <c r="M123" s="6">
        <f t="shared" si="58"/>
        <v>6.944444467080757E-4</v>
      </c>
      <c r="N123" s="7"/>
      <c r="O123" s="7"/>
      <c r="P123" s="7">
        <f>24*60*SUM($M123:$M123)</f>
        <v>1.000000003259629</v>
      </c>
      <c r="Q123" s="25"/>
      <c r="R123" s="25" t="s">
        <v>738</v>
      </c>
      <c r="S123" s="37">
        <f t="shared" si="56"/>
        <v>0</v>
      </c>
      <c r="T123" s="52" t="str">
        <f t="shared" si="59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0</v>
      </c>
      <c r="V12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15:28:28-0600',mode:absolute,to:'2016-09-23 19:07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23" s="54" t="str">
        <f t="shared" si="61"/>
        <v>Y</v>
      </c>
      <c r="X123" s="168">
        <f t="shared" si="66"/>
        <v>1</v>
      </c>
      <c r="Y123" s="69">
        <v>0</v>
      </c>
      <c r="Z123" s="69">
        <v>0</v>
      </c>
      <c r="AA123" s="69">
        <f t="shared" si="64"/>
        <v>0</v>
      </c>
      <c r="AB123" s="66" t="e">
        <f>VLOOKUP(A123,Enforcements!$C$7:$K$20,8,0)</f>
        <v>#N/A</v>
      </c>
      <c r="AC123" s="62" t="e">
        <f>VLOOKUP(A123,Enforcements!$C$7:$E$20,3,0)</f>
        <v>#N/A</v>
      </c>
      <c r="AD123" s="63" t="str">
        <f t="shared" si="67"/>
        <v>0210-23</v>
      </c>
      <c r="AE123" s="99" t="str">
        <f t="shared" si="47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123" s="96" t="str">
        <f t="shared" si="48"/>
        <v>"C:\Program Files (x86)\AstroGrep\AstroGrep.exe" /spath="%USERPROFILE%\AppData\Local\Temp\OnboardLogs" /stypes="app*4012*20160924*" /stext=" 00:.+((SYSTEM_STATE.+slice.+state.+changed )|(ment ac)|(system.+state.+changed )|(\|lc)|(penalty)|(\[timeout)|(PRM\|1\|D)|(kpr)|(kdp))" /e /r /s</v>
      </c>
      <c r="AG123" s="1" t="str">
        <f t="shared" si="65"/>
        <v>EC</v>
      </c>
      <c r="AH123" s="100" t="str">
        <f t="shared" si="50"/>
        <v>"%USERPROFILE%\Documents\GitHub\eaglep3\Utilities\RefineRTDCRunTimes.py" --tripid 210-23 --locoid 4012 --swversion DE.1.0.7.0 --startMP 204:37193 --initTime 2016-09-23T16:28:28 --startdatetime 2016-09-23T18:06:54 --delay 14 --endMP 204:233289 --enddatetime 2016-09-23T18:07:54 --enforcementcount 0 &gt;&gt;C:\Users\stu\Documents\GitHub\eaglep3-reporting\EC\2016-09-23-refined-times.txt</v>
      </c>
      <c r="AI123" s="134" t="str">
        <f t="shared" si="51"/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error","project_id":79,"tracker_id":40,"status_id":1,"priority_id":2,"assigned_to_id":23,"start_date":"2016-09-23","description":"","custom_fields":[{"id":1,"name":"Subdivision","value":"EC"},{"id":4,"name":"Milepost","value":"0"},{"id":17,"name":"Train ID","value":"210-23"},{"id":16,"name":"Locomotive ID","value":"4012"},{"id":130,"name":"Impact","value":""},{"id":150,"name":"Time of Event (Mountain Time)","value":"18:07:54"},{"id":151,"name":"Denver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547</v>
      </c>
      <c r="B124" s="7">
        <v>4044</v>
      </c>
      <c r="C124" s="24" t="s">
        <v>106</v>
      </c>
      <c r="D124" s="24" t="s">
        <v>229</v>
      </c>
      <c r="E124" s="15">
        <v>42636.73028935185</v>
      </c>
      <c r="F124" s="15">
        <v>42636.732546296298</v>
      </c>
      <c r="G124" s="7">
        <v>2</v>
      </c>
      <c r="H124" s="15" t="s">
        <v>659</v>
      </c>
      <c r="I124" s="15">
        <v>42636.75917824074</v>
      </c>
      <c r="J124" s="7">
        <v>0</v>
      </c>
      <c r="K124" s="121" t="str">
        <f t="shared" si="57"/>
        <v>4043/4044</v>
      </c>
      <c r="L124" s="24" t="str">
        <f>VLOOKUP(A124,'Trips&amp;Operators'!$C$1:$E$10000,3,FALSE)</f>
        <v>SHOOK</v>
      </c>
      <c r="M124" s="6">
        <f t="shared" si="58"/>
        <v>2.6631944441760425E-2</v>
      </c>
      <c r="N124" s="7">
        <f>24*60*SUM($M124:$M124)</f>
        <v>38.349999996135011</v>
      </c>
      <c r="O124" s="7"/>
      <c r="P124" s="7"/>
      <c r="Q124" s="25"/>
      <c r="R124" s="25"/>
      <c r="S124" s="37">
        <f t="shared" si="56"/>
        <v>1</v>
      </c>
      <c r="T124" s="52" t="str">
        <f t="shared" si="59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16:31:37-0600',mode:absolute,to:'2016-09-23 19:13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124" s="54" t="str">
        <f t="shared" si="61"/>
        <v>N</v>
      </c>
      <c r="X124" s="168">
        <f t="shared" si="66"/>
        <v>1</v>
      </c>
      <c r="Y124" s="69">
        <f t="shared" ref="Y124:Y155" si="80">RIGHT(D124,LEN(D124)-4)/10000</f>
        <v>4.58E-2</v>
      </c>
      <c r="Z124" s="69">
        <f t="shared" ref="Z124:Z155" si="81">RIGHT(H124,LEN(H124)-4)/10000</f>
        <v>23.334700000000002</v>
      </c>
      <c r="AA124" s="69">
        <f t="shared" si="64"/>
        <v>23.288900000000002</v>
      </c>
      <c r="AB124" s="66" t="e">
        <f>VLOOKUP(A124,Enforcements!$C$7:$K$20,8,0)</f>
        <v>#N/A</v>
      </c>
      <c r="AC124" s="62" t="e">
        <f>VLOOKUP(A124,Enforcements!$C$7:$E$20,3,0)</f>
        <v>#N/A</v>
      </c>
      <c r="AD124" s="63" t="str">
        <f t="shared" si="67"/>
        <v>0211-23</v>
      </c>
      <c r="AE124" s="99" t="str">
        <f t="shared" si="47"/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AF124" s="96" t="str">
        <f t="shared" si="48"/>
        <v>"C:\Program Files (x86)\AstroGrep\AstroGrep.exe" /spath="%USERPROFILE%\AppData\Local\Temp\OnboardLogs" /stypes="app*4044*20160924*" /stext=" 00:.+((SYSTEM_STATE.+slice.+state.+changed )|(ment ac)|(system.+state.+changed )|(\|lc)|(penalty)|(\[timeout)|(PRM\|1\|D)|(kpr)|(kdp))" /e /r /s</v>
      </c>
      <c r="AG124" s="1" t="str">
        <f t="shared" si="65"/>
        <v>EC</v>
      </c>
      <c r="AH124" s="100" t="str">
        <f t="shared" si="50"/>
        <v>"%USERPROFILE%\Documents\GitHub\eaglep3\Utilities\RefineRTDCRunTimes.py" --tripid 211-23 --locoid 4044 --swversion DE.1.0.7.0 --startMP 204:458 --initTime 2016-09-23T17:31:37 --startdatetime 2016-09-23T17:34:52 --delay 2 --endMP 204:233347 --enddatetime 2016-09-23T18:13:13 --enforcementcount 0 &gt;&gt;C:\Users\stu\Documents\GitHub\eaglep3-reporting\EC\2016-09-23-refined-times.txt</v>
      </c>
      <c r="AI12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{"issue":{"subject":"","project_id":79,"tracker_id":40,"status_id":1,"priority_id":2,"assigned_to_id":23,"start_date":"2016-09-23","description":"","custom_fields":[{"id":1,"name":"Subdivision","value":"EC"},{"id":4,"name":"Milepost","value":"23.3347"},{"id":17,"name":"Train ID","value":"211-23"},{"id":16,"name":"Locomotive ID","value":"4044"},{"id":130,"name":"Impact","value":""},{"id":150,"name":"Time of Event (Mountain Time)","value":"18:13:13"},{"id":151,"name":"Denver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558</v>
      </c>
      <c r="B125" s="7">
        <v>4043</v>
      </c>
      <c r="C125" s="24" t="s">
        <v>106</v>
      </c>
      <c r="D125" s="24" t="s">
        <v>660</v>
      </c>
      <c r="E125" s="15">
        <v>42636.785046296296</v>
      </c>
      <c r="F125" s="15">
        <v>42636.786249999997</v>
      </c>
      <c r="G125" s="7">
        <v>1</v>
      </c>
      <c r="H125" s="15" t="s">
        <v>213</v>
      </c>
      <c r="I125" s="15">
        <v>42636.803472222222</v>
      </c>
      <c r="J125" s="7">
        <v>0</v>
      </c>
      <c r="K125" s="121" t="str">
        <f t="shared" si="57"/>
        <v>4043/4044</v>
      </c>
      <c r="L125" s="24" t="str">
        <f>VLOOKUP(A125,'Trips&amp;Operators'!$C$1:$E$10000,3,FALSE)</f>
        <v>SHOOK</v>
      </c>
      <c r="M125" s="6">
        <f t="shared" si="58"/>
        <v>1.7222222224518191E-2</v>
      </c>
      <c r="N125" s="7"/>
      <c r="O125" s="7"/>
      <c r="P125" s="7">
        <f>24*60*SUM($M125:$M125)</f>
        <v>24.800000003306195</v>
      </c>
      <c r="Q125" s="25"/>
      <c r="R125" s="25" t="s">
        <v>738</v>
      </c>
      <c r="S125" s="37">
        <f t="shared" si="56"/>
        <v>1</v>
      </c>
      <c r="T125" s="52" t="str">
        <f t="shared" si="59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17:50:28-0600',mode:absolute,to:'2016-09-23 20:17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25" s="54" t="str">
        <f t="shared" si="61"/>
        <v>Y</v>
      </c>
      <c r="X125" s="168">
        <f t="shared" si="66"/>
        <v>1</v>
      </c>
      <c r="Y125" s="69">
        <f t="shared" si="80"/>
        <v>12.788</v>
      </c>
      <c r="Z125" s="69">
        <f t="shared" si="81"/>
        <v>1.49E-2</v>
      </c>
      <c r="AA125" s="69">
        <f t="shared" si="64"/>
        <v>12.773099999999999</v>
      </c>
      <c r="AB125" s="66" t="e">
        <f>VLOOKUP(A125,Enforcements!$C$7:$K$20,8,0)</f>
        <v>#N/A</v>
      </c>
      <c r="AC125" s="62" t="e">
        <f>VLOOKUP(A125,Enforcements!$C$7:$E$20,3,0)</f>
        <v>#N/A</v>
      </c>
      <c r="AD125" s="63" t="str">
        <f t="shared" si="67"/>
        <v>0212-23</v>
      </c>
      <c r="AE125" s="99" t="str">
        <f t="shared" si="47"/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AF125" s="96" t="str">
        <f t="shared" si="48"/>
        <v>"C:\Program Files (x86)\AstroGrep\AstroGrep.exe" /spath="%USERPROFILE%\AppData\Local\Temp\OnboardLogs" /stypes="app*4043*20160924*" /stext=" 01:.+((SYSTEM_STATE.+slice.+state.+changed )|(ment ac)|(system.+state.+changed )|(\|lc)|(penalty)|(\[timeout)|(PRM\|1\|D)|(kpr)|(kdp))" /e /r /s</v>
      </c>
      <c r="AG125" s="1" t="str">
        <f t="shared" si="65"/>
        <v>EC</v>
      </c>
      <c r="AH125" s="100" t="str">
        <f t="shared" si="50"/>
        <v>"%USERPROFILE%\Documents\GitHub\eaglep3\Utilities\RefineRTDCRunTimes.py" --tripid 212-23 --locoid 4043 --swversion DE.1.0.7.0 --startMP 204:127880 --initTime 2016-09-23T18:50:28 --startdatetime 2016-09-23T18:52:12 --delay 1 --endMP 204:149 --enddatetime 2016-09-23T19:17:00 --enforcementcount 0 &gt;&gt;C:\Users\stu\Documents\GitHub\eaglep3-reporting\EC\2016-09-23-refined-times.txt</v>
      </c>
      <c r="AI125" s="134" t="str">
        <f t="shared" si="51"/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error","project_id":79,"tracker_id":40,"status_id":1,"priority_id":2,"assigned_to_id":23,"start_date":"2016-09-23","description":"","custom_fields":[{"id":1,"name":"Subdivision","value":"EC"},{"id":4,"name":"Milepost","value":"0.0149"},{"id":17,"name":"Train ID","value":"212-23"},{"id":16,"name":"Locomotive ID","value":"4043"},{"id":130,"name":"Impact","value":""},{"id":150,"name":"Time of Event (Mountain Time)","value":"19:17:00"},{"id":151,"name":"Denver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549</v>
      </c>
      <c r="B126" s="7">
        <v>4027</v>
      </c>
      <c r="C126" s="24" t="s">
        <v>106</v>
      </c>
      <c r="D126" s="24" t="s">
        <v>358</v>
      </c>
      <c r="E126" s="15">
        <v>42636.739074074074</v>
      </c>
      <c r="F126" s="15">
        <v>42636.74050925926</v>
      </c>
      <c r="G126" s="7">
        <v>1</v>
      </c>
      <c r="H126" s="15" t="s">
        <v>640</v>
      </c>
      <c r="I126" s="15">
        <v>42636.765092592592</v>
      </c>
      <c r="J126" s="7">
        <v>0</v>
      </c>
      <c r="K126" s="121" t="str">
        <f t="shared" si="57"/>
        <v>4027/4028</v>
      </c>
      <c r="L126" s="24" t="str">
        <f>VLOOKUP(A126,'Trips&amp;Operators'!$C$1:$E$10000,3,FALSE)</f>
        <v>YANAI</v>
      </c>
      <c r="M126" s="6">
        <f t="shared" si="58"/>
        <v>2.4583333331975155E-2</v>
      </c>
      <c r="N126" s="7">
        <f>24*60*SUM($M126:$M126)</f>
        <v>35.399999998044223</v>
      </c>
      <c r="O126" s="7"/>
      <c r="P126" s="7"/>
      <c r="Q126" s="25"/>
      <c r="R126" s="25"/>
      <c r="S126" s="37">
        <f t="shared" si="56"/>
        <v>1</v>
      </c>
      <c r="T126" s="52" t="str">
        <f t="shared" si="59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16:44:16-0600',mode:absolute,to:'2016-09-23 19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26" s="54" t="str">
        <f t="shared" si="61"/>
        <v>N</v>
      </c>
      <c r="X126" s="168">
        <f t="shared" si="66"/>
        <v>1</v>
      </c>
      <c r="Y126" s="69">
        <f t="shared" si="80"/>
        <v>4.3799999999999999E-2</v>
      </c>
      <c r="Z126" s="69">
        <f t="shared" si="81"/>
        <v>23.3264</v>
      </c>
      <c r="AA126" s="69">
        <f t="shared" si="64"/>
        <v>23.282599999999999</v>
      </c>
      <c r="AB126" s="66" t="e">
        <f>VLOOKUP(A126,Enforcements!$C$7:$K$20,8,0)</f>
        <v>#N/A</v>
      </c>
      <c r="AC126" s="62" t="e">
        <f>VLOOKUP(A126,Enforcements!$C$7:$E$20,3,0)</f>
        <v>#N/A</v>
      </c>
      <c r="AD126" s="63" t="str">
        <f t="shared" si="67"/>
        <v>0213-23</v>
      </c>
      <c r="AE126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26" s="96" t="str">
        <f t="shared" si="48"/>
        <v>"C:\Program Files (x86)\AstroGrep\AstroGrep.exe" /spath="%USERPROFILE%\AppData\Local\Temp\OnboardLogs" /stypes="app*4027*20160924*" /stext=" 00:.+((SYSTEM_STATE.+slice.+state.+changed )|(ment ac)|(system.+state.+changed )|(\|lc)|(penalty)|(\[timeout)|(PRM\|1\|D)|(kpr)|(kdp))" /e /r /s</v>
      </c>
      <c r="AG126" s="1" t="str">
        <f t="shared" si="65"/>
        <v>EC</v>
      </c>
      <c r="AH126" s="100" t="str">
        <f t="shared" si="50"/>
        <v>"%USERPROFILE%\Documents\GitHub\eaglep3\Utilities\RefineRTDCRunTimes.py" --tripid 213-23 --locoid 4027 --swversion DE.1.0.7.0 --startMP 204:438 --initTime 2016-09-23T17:44:16 --startdatetime 2016-09-23T17:46:20 --delay 1 --endMP 204:233264 --enddatetime 2016-09-23T18:21:44 --enforcementcount 0 &gt;&gt;C:\Users\stu\Documents\GitHub\eaglep3-reporting\EC\2016-09-23-refined-times.txt</v>
      </c>
      <c r="AI12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{"issue":{"subject":"","project_id":79,"tracker_id":40,"status_id":1,"priority_id":2,"assigned_to_id":23,"start_date":"2016-09-23","description":"","custom_fields":[{"id":1,"name":"Subdivision","value":"EC"},{"id":4,"name":"Milepost","value":"23.3264"},{"id":17,"name":"Train ID","value":"213-23"},{"id":16,"name":"Locomotive ID","value":"4027"},{"id":130,"name":"Impact","value":""},{"id":150,"name":"Time of Event (Mountain Time)","value":"18:21:44"},{"id":151,"name":"Denver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562</v>
      </c>
      <c r="B127" s="7">
        <v>4028</v>
      </c>
      <c r="C127" s="24" t="s">
        <v>106</v>
      </c>
      <c r="D127" s="24" t="s">
        <v>661</v>
      </c>
      <c r="E127" s="15">
        <v>42636.785405092596</v>
      </c>
      <c r="F127" s="15">
        <v>42636.788981481484</v>
      </c>
      <c r="G127" s="7">
        <v>4</v>
      </c>
      <c r="H127" s="15" t="s">
        <v>245</v>
      </c>
      <c r="I127" s="15">
        <v>42636.807210648149</v>
      </c>
      <c r="J127" s="7">
        <v>0</v>
      </c>
      <c r="K127" s="121" t="str">
        <f t="shared" si="57"/>
        <v>4027/4028</v>
      </c>
      <c r="L127" s="24" t="str">
        <f>VLOOKUP(A127,'Trips&amp;Operators'!$C$1:$E$10000,3,FALSE)</f>
        <v>YANAI</v>
      </c>
      <c r="M127" s="6">
        <f t="shared" si="58"/>
        <v>1.8229166664241347E-2</v>
      </c>
      <c r="N127" s="7"/>
      <c r="O127" s="7"/>
      <c r="P127" s="7">
        <f>24*60*SUM($M127:$M127)</f>
        <v>26.24999999650754</v>
      </c>
      <c r="Q127" s="25"/>
      <c r="R127" s="25" t="s">
        <v>738</v>
      </c>
      <c r="S127" s="37">
        <f t="shared" si="56"/>
        <v>1</v>
      </c>
      <c r="T127" s="52" t="str">
        <f t="shared" si="59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17:50:59-0600',mode:absolute,to:'2016-09-23 20:22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27" s="54" t="str">
        <f t="shared" si="61"/>
        <v>Y</v>
      </c>
      <c r="X127" s="168">
        <f t="shared" si="66"/>
        <v>1</v>
      </c>
      <c r="Y127" s="69">
        <f t="shared" si="80"/>
        <v>12.7866</v>
      </c>
      <c r="Z127" s="69">
        <f t="shared" si="81"/>
        <v>1.61E-2</v>
      </c>
      <c r="AA127" s="69">
        <f t="shared" si="64"/>
        <v>12.7705</v>
      </c>
      <c r="AB127" s="66" t="e">
        <f>VLOOKUP(A127,Enforcements!$C$7:$K$20,8,0)</f>
        <v>#N/A</v>
      </c>
      <c r="AC127" s="62" t="e">
        <f>VLOOKUP(A127,Enforcements!$C$7:$E$20,3,0)</f>
        <v>#N/A</v>
      </c>
      <c r="AD127" s="63" t="str">
        <f t="shared" si="67"/>
        <v>0214-23</v>
      </c>
      <c r="AE127" s="99" t="str">
        <f t="shared" si="47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127" s="96" t="str">
        <f t="shared" si="48"/>
        <v>"C:\Program Files (x86)\AstroGrep\AstroGrep.exe" /spath="%USERPROFILE%\AppData\Local\Temp\OnboardLogs" /stypes="app*4028*20160924*" /stext=" 01:.+((SYSTEM_STATE.+slice.+state.+changed )|(ment ac)|(system.+state.+changed )|(\|lc)|(penalty)|(\[timeout)|(PRM\|1\|D)|(kpr)|(kdp))" /e /r /s</v>
      </c>
      <c r="AG127" s="1" t="str">
        <f t="shared" si="65"/>
        <v>EC</v>
      </c>
      <c r="AH127" s="100" t="str">
        <f t="shared" si="50"/>
        <v>"%USERPROFILE%\Documents\GitHub\eaglep3\Utilities\RefineRTDCRunTimes.py" --tripid 214-23 --locoid 4028 --swversion DE.1.0.7.0 --startMP 204:127866 --initTime 2016-09-23T18:50:59 --startdatetime 2016-09-23T18:56:08 --delay 4 --endMP 204:161 --enddatetime 2016-09-23T19:22:23 --enforcementcount 0 &gt;&gt;C:\Users\stu\Documents\GitHub\eaglep3-reporting\EC\2016-09-23-refined-times.txt</v>
      </c>
      <c r="AI127" s="134" t="str">
        <f t="shared" si="51"/>
        <v>echo {"issue":{"subject":"Dispatcher error - CCROC/equipment/crew error","project_id":79,"tracker_id":40,"status_id":1,"priority_id":2,"assigned_to_id":23,"start_date":"2016-09-23","description":"","custom_fields":[{"id":1,"name":"Subdivision","value":"EC"},{"id":4,"name":"Milepost","value":"0.0161"},{"id":17,"name":"Train ID","value":"214-23"},{"id":16,"name":"Locomotive ID","value":"4028"},{"id":130,"name":"Impact","value":""},{"id":150,"name":"Time of Event (Mountain Time)","value":"19:22:23"},{"id":151,"name":"Denver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552</v>
      </c>
      <c r="B128" s="7">
        <v>4029</v>
      </c>
      <c r="C128" s="24" t="s">
        <v>106</v>
      </c>
      <c r="D128" s="24" t="s">
        <v>236</v>
      </c>
      <c r="E128" s="15">
        <v>42636.75199074074</v>
      </c>
      <c r="F128" s="15">
        <v>42636.753842592596</v>
      </c>
      <c r="G128" s="7">
        <v>1</v>
      </c>
      <c r="H128" s="15" t="s">
        <v>221</v>
      </c>
      <c r="I128" s="15">
        <v>42636.781990740739</v>
      </c>
      <c r="J128" s="7">
        <v>0</v>
      </c>
      <c r="K128" s="121" t="str">
        <f t="shared" si="57"/>
        <v>4029/4030</v>
      </c>
      <c r="L128" s="24" t="str">
        <f>VLOOKUP(A128,'Trips&amp;Operators'!$C$1:$E$10000,3,FALSE)</f>
        <v>STORY</v>
      </c>
      <c r="M128" s="6">
        <f t="shared" si="58"/>
        <v>2.8148148143372964E-2</v>
      </c>
      <c r="N128" s="7">
        <f t="shared" ref="N128:N159" si="82">24*60*SUM($M128:$M128)</f>
        <v>40.533333326457068</v>
      </c>
      <c r="O128" s="7"/>
      <c r="P128" s="7"/>
      <c r="Q128" s="25"/>
      <c r="R128" s="25"/>
      <c r="S128" s="37">
        <f t="shared" si="56"/>
        <v>1</v>
      </c>
      <c r="T128" s="52" t="str">
        <f t="shared" si="59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17:02:52-0600',mode:absolute,to:'2016-09-23 19:46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28" s="54" t="str">
        <f t="shared" si="61"/>
        <v>N</v>
      </c>
      <c r="X128" s="168">
        <f t="shared" si="66"/>
        <v>1</v>
      </c>
      <c r="Y128" s="69">
        <f t="shared" si="80"/>
        <v>4.6899999999999997E-2</v>
      </c>
      <c r="Z128" s="69">
        <f t="shared" si="81"/>
        <v>23.3291</v>
      </c>
      <c r="AA128" s="69">
        <f t="shared" si="64"/>
        <v>23.2822</v>
      </c>
      <c r="AB128" s="66" t="e">
        <f>VLOOKUP(A128,Enforcements!$C$7:$K$20,8,0)</f>
        <v>#N/A</v>
      </c>
      <c r="AC128" s="62" t="e">
        <f>VLOOKUP(A128,Enforcements!$C$7:$E$20,3,0)</f>
        <v>#N/A</v>
      </c>
      <c r="AD128" s="63" t="str">
        <f t="shared" si="67"/>
        <v>0215-23</v>
      </c>
      <c r="AE128" s="99" t="str">
        <f t="shared" si="47"/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AF128" s="96" t="str">
        <f t="shared" si="48"/>
        <v>"C:\Program Files (x86)\AstroGrep\AstroGrep.exe" /spath="%USERPROFILE%\AppData\Local\Temp\OnboardLogs" /stypes="app*4029*20160924*" /stext=" 00:.+((SYSTEM_STATE.+slice.+state.+changed )|(ment ac)|(system.+state.+changed )|(\|lc)|(penalty)|(\[timeout)|(PRM\|1\|D)|(kpr)|(kdp))" /e /r /s</v>
      </c>
      <c r="AG128" s="1" t="str">
        <f t="shared" si="65"/>
        <v>EC</v>
      </c>
      <c r="AH128" s="100" t="str">
        <f t="shared" si="50"/>
        <v>"%USERPROFILE%\Documents\GitHub\eaglep3\Utilities\RefineRTDCRunTimes.py" --tripid 215-23 --locoid 4029 --swversion DE.1.0.7.0 --startMP 204:469 --initTime 2016-09-23T18:02:52 --startdatetime 2016-09-23T18:05:32 --delay 1 --endMP 204:233291 --enddatetime 2016-09-23T18:46:04 --enforcementcount 0 &gt;&gt;C:\Users\stu\Documents\GitHub\eaglep3-reporting\EC\2016-09-23-refined-times.txt</v>
      </c>
      <c r="AI12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{"issue":{"subject":"","project_id":79,"tracker_id":40,"status_id":1,"priority_id":2,"assigned_to_id":23,"start_date":"2016-09-23","description":"","custom_fields":[{"id":1,"name":"Subdivision","value":"EC"},{"id":4,"name":"Milepost","value":"23.3291"},{"id":17,"name":"Train ID","value":"215-23"},{"id":16,"name":"Locomotive ID","value":"4029"},{"id":130,"name":"Impact","value":""},{"id":150,"name":"Time of Event (Mountain Time)","value":"18:46:04"},{"id":151,"name":"Denver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564</v>
      </c>
      <c r="B129" s="7">
        <v>4030</v>
      </c>
      <c r="C129" s="24" t="s">
        <v>106</v>
      </c>
      <c r="D129" s="24" t="s">
        <v>349</v>
      </c>
      <c r="E129" s="15">
        <v>42636.783113425925</v>
      </c>
      <c r="F129" s="15">
        <v>42636.789131944446</v>
      </c>
      <c r="G129" s="7">
        <v>2</v>
      </c>
      <c r="H129" s="15" t="s">
        <v>315</v>
      </c>
      <c r="I129" s="15">
        <v>42636.82068287037</v>
      </c>
      <c r="J129" s="7">
        <v>0</v>
      </c>
      <c r="K129" s="121" t="str">
        <f t="shared" si="57"/>
        <v>4029/4030</v>
      </c>
      <c r="L129" s="24" t="str">
        <f>VLOOKUP(A129,'Trips&amp;Operators'!$C$1:$E$10000,3,FALSE)</f>
        <v>STORY</v>
      </c>
      <c r="M129" s="6">
        <f t="shared" si="58"/>
        <v>3.1550925923511386E-2</v>
      </c>
      <c r="N129" s="7">
        <f t="shared" si="82"/>
        <v>45.433333329856396</v>
      </c>
      <c r="O129" s="7"/>
      <c r="P129" s="7"/>
      <c r="Q129" s="25"/>
      <c r="R129" s="25"/>
      <c r="S129" s="37">
        <f t="shared" si="56"/>
        <v>1</v>
      </c>
      <c r="T129" s="52" t="str">
        <f t="shared" si="59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17:47:41-0600',mode:absolute,to:'2016-09-23 20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29" s="54" t="str">
        <f t="shared" si="61"/>
        <v>N</v>
      </c>
      <c r="X129" s="168">
        <f t="shared" ref="X129:X160" si="83">VALUE(LEFT(AD129,4))-VALUE(LEFT(AD128,4))</f>
        <v>1</v>
      </c>
      <c r="Y129" s="69">
        <f t="shared" si="80"/>
        <v>23.297499999999999</v>
      </c>
      <c r="Z129" s="69">
        <f t="shared" si="81"/>
        <v>1.67E-2</v>
      </c>
      <c r="AA129" s="69">
        <f t="shared" si="64"/>
        <v>23.280799999999999</v>
      </c>
      <c r="AB129" s="66" t="str">
        <f>VLOOKUP(A129,Enforcements!$C$7:$K$20,8,0)</f>
        <v>Bulletin (2)</v>
      </c>
      <c r="AC129" s="62" t="str">
        <f>VLOOKUP(A129,Enforcements!$C$7:$E$20,3,0)</f>
        <v>GRADE CROSSING</v>
      </c>
      <c r="AD129" s="63" t="str">
        <f t="shared" si="67"/>
        <v>0216-23</v>
      </c>
      <c r="AE129" s="99" t="str">
        <f t="shared" si="47"/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AF129" s="96" t="str">
        <f t="shared" si="48"/>
        <v>"C:\Program Files (x86)\AstroGrep\AstroGrep.exe" /spath="%USERPROFILE%\AppData\Local\Temp\OnboardLogs" /stypes="app*4030*20160924*" /stext=" 01:.+((SYSTEM_STATE.+slice.+state.+changed )|(ment ac)|(system.+state.+changed )|(\|lc)|(penalty)|(\[timeout)|(PRM\|1\|D)|(kpr)|(kdp))" /e /r /s</v>
      </c>
      <c r="AG129" s="1" t="str">
        <f t="shared" si="65"/>
        <v>EC</v>
      </c>
      <c r="AH129" s="100" t="str">
        <f t="shared" si="50"/>
        <v>"%USERPROFILE%\Documents\GitHub\eaglep3\Utilities\RefineRTDCRunTimes.py" --tripid 216-23 --locoid 4030 --swversion DE.1.0.7.0 --startMP 204:232975 --initTime 2016-09-23T18:47:41 --startdatetime 2016-09-23T18:56:21 --delay 2 --endMP 204:167 --enddatetime 2016-09-23T19:41:47 --enforcementcount 0 &gt;&gt;C:\Users\stu\Documents\GitHub\eaglep3-reporting\EC\2016-09-23-refined-times.txt</v>
      </c>
      <c r="AI129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{"issue":{"subject":"","project_id":79,"tracker_id":40,"status_id":1,"priority_id":2,"assigned_to_id":23,"start_date":"2016-09-23","description":"","custom_fields":[{"id":1,"name":"Subdivision","value":"EC"},{"id":4,"name":"Milepost","value":"0.0167"},{"id":17,"name":"Train ID","value":"216-23"},{"id":16,"name":"Locomotive ID","value":"4030"},{"id":130,"name":"Impact","value":""},{"id":150,"name":"Time of Event (Mountain Time)","value":"19:41:47"},{"id":151,"name":"Denver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557</v>
      </c>
      <c r="B130" s="7">
        <v>4040</v>
      </c>
      <c r="C130" s="24" t="s">
        <v>106</v>
      </c>
      <c r="D130" s="24" t="s">
        <v>662</v>
      </c>
      <c r="E130" s="15">
        <v>42636.764780092592</v>
      </c>
      <c r="F130" s="15">
        <v>42636.768020833333</v>
      </c>
      <c r="G130" s="7">
        <v>4</v>
      </c>
      <c r="H130" s="15" t="s">
        <v>297</v>
      </c>
      <c r="I130" s="15">
        <v>42636.794999999998</v>
      </c>
      <c r="J130" s="7">
        <v>0</v>
      </c>
      <c r="K130" s="121" t="str">
        <f t="shared" si="57"/>
        <v>4039/4040</v>
      </c>
      <c r="L130" s="24" t="str">
        <f>VLOOKUP(A130,'Trips&amp;Operators'!$C$1:$E$10000,3,FALSE)</f>
        <v>CHANDLER</v>
      </c>
      <c r="M130" s="6">
        <f t="shared" si="58"/>
        <v>2.6979166665114462E-2</v>
      </c>
      <c r="N130" s="7">
        <f t="shared" si="82"/>
        <v>38.849999997764826</v>
      </c>
      <c r="O130" s="7"/>
      <c r="P130" s="7"/>
      <c r="Q130" s="25"/>
      <c r="R130" s="25"/>
      <c r="S130" s="37">
        <f t="shared" si="56"/>
        <v>1</v>
      </c>
      <c r="T130" s="52" t="str">
        <f t="shared" si="59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17:21:17-0600',mode:absolute,to:'2016-09-23 20:04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0" s="54" t="str">
        <f t="shared" si="61"/>
        <v>N</v>
      </c>
      <c r="X130" s="168">
        <f t="shared" si="83"/>
        <v>1</v>
      </c>
      <c r="Y130" s="69">
        <f t="shared" si="80"/>
        <v>5.8400000000000001E-2</v>
      </c>
      <c r="Z130" s="69">
        <f t="shared" si="81"/>
        <v>23.33</v>
      </c>
      <c r="AA130" s="69">
        <f t="shared" si="64"/>
        <v>23.271599999999999</v>
      </c>
      <c r="AB130" s="66" t="e">
        <f>VLOOKUP(A130,Enforcements!$C$7:$K$20,8,0)</f>
        <v>#N/A</v>
      </c>
      <c r="AC130" s="62" t="e">
        <f>VLOOKUP(A130,Enforcements!$C$7:$E$20,3,0)</f>
        <v>#N/A</v>
      </c>
      <c r="AD130" s="63" t="str">
        <f t="shared" si="67"/>
        <v>0217-23</v>
      </c>
      <c r="AE130" s="99" t="str">
        <f t="shared" si="47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30" s="96" t="str">
        <f t="shared" si="48"/>
        <v>"C:\Program Files (x86)\AstroGrep\AstroGrep.exe" /spath="%USERPROFILE%\AppData\Local\Temp\OnboardLogs" /stypes="app*4040*20160924*" /stext=" 01:.+((SYSTEM_STATE.+slice.+state.+changed )|(ment ac)|(system.+state.+changed )|(\|lc)|(penalty)|(\[timeout)|(PRM\|1\|D)|(kpr)|(kdp))" /e /r /s</v>
      </c>
      <c r="AG130" s="1" t="str">
        <f t="shared" ref="AG130:AG161" si="84">IFERROR(IF(VALUE(LEFT(AD130,2))&lt;=2,"EC",IF(OR(VALUE(LEFT(AD130,2))=8,VALUE(LEFT(AD130,2))=18),"NW","Other")),"Other")</f>
        <v>EC</v>
      </c>
      <c r="AH130" s="100" t="str">
        <f t="shared" si="50"/>
        <v>"%USERPROFILE%\Documents\GitHub\eaglep3\Utilities\RefineRTDCRunTimes.py" --tripid 217-23 --locoid 4040 --swversion DE.1.0.7.0 --startMP 204:584 --initTime 2016-09-23T18:21:17 --startdatetime 2016-09-23T18:25:57 --delay 4 --endMP 204:233300 --enddatetime 2016-09-23T19:04:48 --enforcementcount 0 &gt;&gt;C:\Users\stu\Documents\GitHub\eaglep3-reporting\EC\2016-09-23-refined-times.txt</v>
      </c>
      <c r="AI13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{"issue":{"subject":"","project_id":79,"tracker_id":40,"status_id":1,"priority_id":2,"assigned_to_id":23,"start_date":"2016-09-23","description":"","custom_fields":[{"id":1,"name":"Subdivision","value":"EC"},{"id":4,"name":"Milepost","value":"23.33"},{"id":17,"name":"Train ID","value":"217-23"},{"id":16,"name":"Locomotive ID","value":"4040"},{"id":130,"name":"Impact","value":""},{"id":150,"name":"Time of Event (Mountain Time)","value":"19:04:48"},{"id":151,"name":"Denver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568</v>
      </c>
      <c r="B131" s="7">
        <v>4039</v>
      </c>
      <c r="C131" s="24" t="s">
        <v>106</v>
      </c>
      <c r="D131" s="24" t="s">
        <v>266</v>
      </c>
      <c r="E131" s="15">
        <v>42636.798483796294</v>
      </c>
      <c r="F131" s="15">
        <v>42636.799872685187</v>
      </c>
      <c r="G131" s="7">
        <v>1</v>
      </c>
      <c r="H131" s="15" t="s">
        <v>663</v>
      </c>
      <c r="I131" s="15">
        <v>42636.829050925924</v>
      </c>
      <c r="J131" s="7">
        <v>0</v>
      </c>
      <c r="K131" s="121" t="str">
        <f t="shared" si="57"/>
        <v>4039/4040</v>
      </c>
      <c r="L131" s="24" t="str">
        <f>VLOOKUP(A131,'Trips&amp;Operators'!$C$1:$E$10000,3,FALSE)</f>
        <v>CHANDLER</v>
      </c>
      <c r="M131" s="6">
        <f t="shared" si="58"/>
        <v>2.9178240736655425E-2</v>
      </c>
      <c r="N131" s="7">
        <f t="shared" si="82"/>
        <v>42.016666660783812</v>
      </c>
      <c r="O131" s="7"/>
      <c r="P131" s="7"/>
      <c r="Q131" s="25"/>
      <c r="R131" s="25"/>
      <c r="S131" s="37">
        <f t="shared" ref="S131:S162" si="85">SUM(U131:U131)/IF(AG131="EC",12,1)</f>
        <v>1</v>
      </c>
      <c r="T131" s="52" t="str">
        <f t="shared" si="59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18:09:49-0600',mode:absolute,to:'2016-09-23 20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1" s="54" t="str">
        <f t="shared" si="61"/>
        <v>N</v>
      </c>
      <c r="X131" s="168">
        <f t="shared" si="83"/>
        <v>1</v>
      </c>
      <c r="Y131" s="69">
        <f t="shared" si="80"/>
        <v>23.298100000000002</v>
      </c>
      <c r="Z131" s="69">
        <f t="shared" si="81"/>
        <v>1.7399999999999999E-2</v>
      </c>
      <c r="AA131" s="69">
        <f t="shared" si="64"/>
        <v>23.280700000000003</v>
      </c>
      <c r="AB131" s="66" t="e">
        <f>VLOOKUP(A131,Enforcements!$C$7:$K$20,8,0)</f>
        <v>#N/A</v>
      </c>
      <c r="AC131" s="62" t="e">
        <f>VLOOKUP(A131,Enforcements!$C$7:$E$20,3,0)</f>
        <v>#N/A</v>
      </c>
      <c r="AD131" s="63" t="str">
        <f t="shared" ref="AD131:AD162" si="86">IF(LEN(A131)=6,"0"&amp;A131,A131)</f>
        <v>0218-23</v>
      </c>
      <c r="AE131" s="99" t="str">
        <f t="shared" si="47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131" s="96" t="str">
        <f t="shared" si="48"/>
        <v>"C:\Program Files (x86)\AstroGrep\AstroGrep.exe" /spath="%USERPROFILE%\AppData\Local\Temp\OnboardLogs" /stypes="app*4039*20160924*" /stext=" 01:.+((SYSTEM_STATE.+slice.+state.+changed )|(ment ac)|(system.+state.+changed )|(\|lc)|(penalty)|(\[timeout)|(PRM\|1\|D)|(kpr)|(kdp))" /e /r /s</v>
      </c>
      <c r="AG131" s="1" t="str">
        <f t="shared" si="84"/>
        <v>EC</v>
      </c>
      <c r="AH131" s="100" t="str">
        <f t="shared" si="50"/>
        <v>"%USERPROFILE%\Documents\GitHub\eaglep3\Utilities\RefineRTDCRunTimes.py" --tripid 218-23 --locoid 4039 --swversion DE.1.0.7.0 --startMP 204:232981 --initTime 2016-09-23T19:09:49 --startdatetime 2016-09-23T19:11:49 --delay 1 --endMP 204:174 --enddatetime 2016-09-23T19:53:50 --enforcementcount 0 &gt;&gt;C:\Users\stu\Documents\GitHub\eaglep3-reporting\EC\2016-09-23-refined-times.txt</v>
      </c>
      <c r="AI13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{"issue":{"subject":"","project_id":79,"tracker_id":40,"status_id":1,"priority_id":2,"assigned_to_id":23,"start_date":"2016-09-23","description":"","custom_fields":[{"id":1,"name":"Subdivision","value":"EC"},{"id":4,"name":"Milepost","value":"0.0174"},{"id":17,"name":"Train ID","value":"218-23"},{"id":16,"name":"Locomotive ID","value":"4039"},{"id":130,"name":"Impact","value":""},{"id":150,"name":"Time of Event (Mountain Time)","value":"19:53:50"},{"id":151,"name":"Denver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560</v>
      </c>
      <c r="B132" s="7">
        <v>4016</v>
      </c>
      <c r="C132" s="24" t="s">
        <v>106</v>
      </c>
      <c r="D132" s="24" t="s">
        <v>348</v>
      </c>
      <c r="E132" s="15">
        <v>42636.772291666668</v>
      </c>
      <c r="F132" s="15">
        <v>42636.77579861111</v>
      </c>
      <c r="G132" s="7">
        <v>2</v>
      </c>
      <c r="H132" s="15" t="s">
        <v>664</v>
      </c>
      <c r="I132" s="15">
        <v>42636.80541666667</v>
      </c>
      <c r="J132" s="7">
        <v>0</v>
      </c>
      <c r="K132" s="121" t="str">
        <f t="shared" si="57"/>
        <v>4015/4016</v>
      </c>
      <c r="L132" s="24" t="str">
        <f>VLOOKUP(A132,'Trips&amp;Operators'!$C$1:$E$10000,3,FALSE)</f>
        <v>STURGEON</v>
      </c>
      <c r="M132" s="6">
        <f t="shared" si="58"/>
        <v>2.9618055559694767E-2</v>
      </c>
      <c r="N132" s="7">
        <f t="shared" si="82"/>
        <v>42.650000005960464</v>
      </c>
      <c r="O132" s="7"/>
      <c r="P132" s="7"/>
      <c r="Q132" s="25"/>
      <c r="R132" s="25"/>
      <c r="S132" s="37">
        <f t="shared" si="85"/>
        <v>1</v>
      </c>
      <c r="T132" s="52" t="str">
        <f t="shared" si="59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17:32:06-0600',mode:absolute,to:'2016-09-23 20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2" s="54" t="str">
        <f t="shared" si="61"/>
        <v>N</v>
      </c>
      <c r="X132" s="168">
        <f t="shared" si="83"/>
        <v>1</v>
      </c>
      <c r="Y132" s="69">
        <f t="shared" si="80"/>
        <v>4.7500000000000001E-2</v>
      </c>
      <c r="Z132" s="69">
        <f t="shared" si="81"/>
        <v>23.332799999999999</v>
      </c>
      <c r="AA132" s="69">
        <f t="shared" si="64"/>
        <v>23.285299999999999</v>
      </c>
      <c r="AB132" s="66" t="e">
        <f>VLOOKUP(A132,Enforcements!$C$7:$K$20,8,0)</f>
        <v>#N/A</v>
      </c>
      <c r="AC132" s="62" t="e">
        <f>VLOOKUP(A132,Enforcements!$C$7:$E$20,3,0)</f>
        <v>#N/A</v>
      </c>
      <c r="AD132" s="63" t="str">
        <f t="shared" si="86"/>
        <v>0219-23</v>
      </c>
      <c r="AE132" s="99" t="str">
        <f t="shared" si="47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32" s="96" t="str">
        <f t="shared" si="48"/>
        <v>"C:\Program Files (x86)\AstroGrep\AstroGrep.exe" /spath="%USERPROFILE%\AppData\Local\Temp\OnboardLogs" /stypes="app*4016*20160924*" /stext=" 01:.+((SYSTEM_STATE.+slice.+state.+changed )|(ment ac)|(system.+state.+changed )|(\|lc)|(penalty)|(\[timeout)|(PRM\|1\|D)|(kpr)|(kdp))" /e /r /s</v>
      </c>
      <c r="AG132" s="1" t="str">
        <f t="shared" si="84"/>
        <v>EC</v>
      </c>
      <c r="AH132" s="100" t="str">
        <f t="shared" si="50"/>
        <v>"%USERPROFILE%\Documents\GitHub\eaglep3\Utilities\RefineRTDCRunTimes.py" --tripid 219-23 --locoid 4016 --swversion DE.1.0.7.0 --startMP 204:475 --initTime 2016-09-23T18:32:06 --startdatetime 2016-09-23T18:37:09 --delay 2 --endMP 204:233328 --enddatetime 2016-09-23T19:19:48 --enforcementcount 0 &gt;&gt;C:\Users\stu\Documents\GitHub\eaglep3-reporting\EC\2016-09-23-refined-times.txt</v>
      </c>
      <c r="AI13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{"issue":{"subject":"","project_id":79,"tracker_id":40,"status_id":1,"priority_id":2,"assigned_to_id":23,"start_date":"2016-09-23","description":"","custom_fields":[{"id":1,"name":"Subdivision","value":"EC"},{"id":4,"name":"Milepost","value":"23.3328"},{"id":17,"name":"Train ID","value":"219-23"},{"id":16,"name":"Locomotive ID","value":"4016"},{"id":130,"name":"Impact","value":""},{"id":150,"name":"Time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573</v>
      </c>
      <c r="B133" s="7">
        <v>4015</v>
      </c>
      <c r="C133" s="24" t="s">
        <v>106</v>
      </c>
      <c r="D133" s="24" t="s">
        <v>235</v>
      </c>
      <c r="E133" s="15">
        <v>42636.807847222219</v>
      </c>
      <c r="F133" s="15">
        <v>42636.810995370368</v>
      </c>
      <c r="G133" s="7">
        <v>4</v>
      </c>
      <c r="H133" s="15" t="s">
        <v>127</v>
      </c>
      <c r="I133" s="15">
        <v>42636.839317129627</v>
      </c>
      <c r="J133" s="7">
        <v>0</v>
      </c>
      <c r="K133" s="121" t="str">
        <f t="shared" si="57"/>
        <v>4015/4016</v>
      </c>
      <c r="L133" s="24" t="str">
        <f>VLOOKUP(A133,'Trips&amp;Operators'!$C$1:$E$10000,3,FALSE)</f>
        <v>STURGEON</v>
      </c>
      <c r="M133" s="6">
        <f t="shared" si="58"/>
        <v>2.8321759258687962E-2</v>
      </c>
      <c r="N133" s="7">
        <f t="shared" si="82"/>
        <v>40.783333332510665</v>
      </c>
      <c r="O133" s="7"/>
      <c r="P133" s="7"/>
      <c r="Q133" s="25"/>
      <c r="R133" s="25"/>
      <c r="S133" s="37">
        <f t="shared" si="85"/>
        <v>1</v>
      </c>
      <c r="T133" s="52" t="str">
        <f t="shared" si="59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18:23:18-0600',mode:absolute,to:'2016-09-23 21:08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3" s="54" t="str">
        <f t="shared" si="61"/>
        <v>N</v>
      </c>
      <c r="X133" s="168">
        <f t="shared" si="83"/>
        <v>1</v>
      </c>
      <c r="Y133" s="69">
        <f t="shared" si="80"/>
        <v>23.299399999999999</v>
      </c>
      <c r="Z133" s="69">
        <f t="shared" si="81"/>
        <v>1.54E-2</v>
      </c>
      <c r="AA133" s="69">
        <f t="shared" si="64"/>
        <v>23.283999999999999</v>
      </c>
      <c r="AB133" s="66" t="e">
        <f>VLOOKUP(A133,Enforcements!$C$7:$K$20,8,0)</f>
        <v>#N/A</v>
      </c>
      <c r="AC133" s="62" t="e">
        <f>VLOOKUP(A133,Enforcements!$C$7:$E$20,3,0)</f>
        <v>#N/A</v>
      </c>
      <c r="AD133" s="63" t="str">
        <f t="shared" si="86"/>
        <v>0220-23</v>
      </c>
      <c r="AE133" s="99" t="str">
        <f t="shared" si="47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133" s="96" t="str">
        <f t="shared" si="48"/>
        <v>"C:\Program Files (x86)\AstroGrep\AstroGrep.exe" /spath="%USERPROFILE%\AppData\Local\Temp\OnboardLogs" /stypes="app*4015*20160924*" /stext=" 02:.+((SYSTEM_STATE.+slice.+state.+changed )|(ment ac)|(system.+state.+changed )|(\|lc)|(penalty)|(\[timeout)|(PRM\|1\|D)|(kpr)|(kdp))" /e /r /s</v>
      </c>
      <c r="AG133" s="1" t="str">
        <f t="shared" si="84"/>
        <v>EC</v>
      </c>
      <c r="AH133" s="100" t="str">
        <f t="shared" si="50"/>
        <v>"%USERPROFILE%\Documents\GitHub\eaglep3\Utilities\RefineRTDCRunTimes.py" --tripid 220-23 --locoid 4015 --swversion DE.1.0.7.0 --startMP 204:232994 --initTime 2016-09-23T19:23:18 --startdatetime 2016-09-23T19:27:50 --delay 4 --endMP 204:154 --enddatetime 2016-09-23T20:08:37 --enforcementcount 0 &gt;&gt;C:\Users\stu\Documents\GitHub\eaglep3-reporting\EC\2016-09-23-refined-times.txt</v>
      </c>
      <c r="AI13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{"issue":{"subject":"","project_id":79,"tracker_id":40,"status_id":1,"priority_id":2,"assigned_to_id":23,"start_date":"2016-09-23","description":"","custom_fields":[{"id":1,"name":"Subdivision","value":"EC"},{"id":4,"name":"Milepost","value":"0.0154"},{"id":17,"name":"Train ID","value":"220-23"},{"id":16,"name":"Locomotive ID","value":"4015"},{"id":130,"name":"Impact","value":""},{"id":150,"name":"Time of Event (Mountain Time)","value":"20:08:37"},{"id":151,"name":"Denver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566</v>
      </c>
      <c r="B134" s="7">
        <v>4011</v>
      </c>
      <c r="C134" s="24" t="s">
        <v>106</v>
      </c>
      <c r="D134" s="24" t="s">
        <v>238</v>
      </c>
      <c r="E134" s="15">
        <v>42636.792395833334</v>
      </c>
      <c r="F134" s="15">
        <v>42636.793668981481</v>
      </c>
      <c r="G134" s="7">
        <v>1</v>
      </c>
      <c r="H134" s="15" t="s">
        <v>629</v>
      </c>
      <c r="I134" s="15">
        <v>42636.818391203706</v>
      </c>
      <c r="J134" s="7">
        <v>0</v>
      </c>
      <c r="K134" s="121" t="str">
        <f t="shared" si="57"/>
        <v>4011/4012</v>
      </c>
      <c r="L134" s="24" t="str">
        <f>VLOOKUP(A134,'Trips&amp;Operators'!$C$1:$E$10000,3,FALSE)</f>
        <v>LEVIN</v>
      </c>
      <c r="M134" s="6">
        <f t="shared" si="58"/>
        <v>2.4722222224227153E-2</v>
      </c>
      <c r="N134" s="7">
        <f t="shared" si="82"/>
        <v>35.6000000028871</v>
      </c>
      <c r="O134" s="7"/>
      <c r="P134" s="7"/>
      <c r="Q134" s="25"/>
      <c r="R134" s="25"/>
      <c r="S134" s="37">
        <f t="shared" si="85"/>
        <v>1</v>
      </c>
      <c r="T134" s="52" t="str">
        <f t="shared" si="59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18:01:03-0600',mode:absolute,to:'2016-09-23 20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34" s="54" t="str">
        <f t="shared" si="61"/>
        <v>N</v>
      </c>
      <c r="X134" s="168">
        <f t="shared" si="83"/>
        <v>1</v>
      </c>
      <c r="Y134" s="69">
        <f t="shared" si="80"/>
        <v>4.6199999999999998E-2</v>
      </c>
      <c r="Z134" s="69">
        <f t="shared" si="81"/>
        <v>23.331900000000001</v>
      </c>
      <c r="AA134" s="69">
        <f t="shared" si="64"/>
        <v>23.285700000000002</v>
      </c>
      <c r="AB134" s="66" t="e">
        <f>VLOOKUP(A134,Enforcements!$C$7:$K$20,8,0)</f>
        <v>#N/A</v>
      </c>
      <c r="AC134" s="62" t="e">
        <f>VLOOKUP(A134,Enforcements!$C$7:$E$20,3,0)</f>
        <v>#N/A</v>
      </c>
      <c r="AD134" s="63" t="str">
        <f t="shared" si="86"/>
        <v>0221-23</v>
      </c>
      <c r="AE134" s="99" t="str">
        <f t="shared" si="47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34" s="96" t="str">
        <f t="shared" si="48"/>
        <v>"C:\Program Files (x86)\AstroGrep\AstroGrep.exe" /spath="%USERPROFILE%\AppData\Local\Temp\OnboardLogs" /stypes="app*4011*20160924*" /stext=" 01:.+((SYSTEM_STATE.+slice.+state.+changed )|(ment ac)|(system.+state.+changed )|(\|lc)|(penalty)|(\[timeout)|(PRM\|1\|D)|(kpr)|(kdp))" /e /r /s</v>
      </c>
      <c r="AG134" s="1" t="str">
        <f t="shared" si="84"/>
        <v>EC</v>
      </c>
      <c r="AH134" s="100" t="str">
        <f t="shared" si="50"/>
        <v>"%USERPROFILE%\Documents\GitHub\eaglep3\Utilities\RefineRTDCRunTimes.py" --tripid 221-23 --locoid 4011 --swversion DE.1.0.7.0 --startMP 204:462 --initTime 2016-09-23T19:01:03 --startdatetime 2016-09-23T19:02:53 --delay 1 --endMP 204:233319 --enddatetime 2016-09-23T19:38:29 --enforcementcount 0 &gt;&gt;C:\Users\stu\Documents\GitHub\eaglep3-reporting\EC\2016-09-23-refined-times.txt</v>
      </c>
      <c r="AI13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{"issue":{"subject":"","project_id":79,"tracker_id":40,"status_id":1,"priority_id":2,"assigned_to_id":23,"start_date":"2016-09-23","description":"","custom_fields":[{"id":1,"name":"Subdivision","value":"EC"},{"id":4,"name":"Milepost","value":"23.3319"},{"id":17,"name":"Train ID","value":"221-23"},{"id":16,"name":"Locomotive ID","value":"4011"},{"id":130,"name":"Impact","value":""},{"id":150,"name":"Time of Event (Mountain Time)","value":"19:38:29"},{"id":151,"name":"Denver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577</v>
      </c>
      <c r="B135" s="7">
        <v>4012</v>
      </c>
      <c r="C135" s="24" t="s">
        <v>106</v>
      </c>
      <c r="D135" s="24" t="s">
        <v>350</v>
      </c>
      <c r="E135" s="15">
        <v>42636.82576388889</v>
      </c>
      <c r="F135" s="15">
        <v>42636.830775462964</v>
      </c>
      <c r="G135" s="7">
        <v>1</v>
      </c>
      <c r="H135" s="15" t="s">
        <v>234</v>
      </c>
      <c r="I135" s="15">
        <v>42636.858923611115</v>
      </c>
      <c r="J135" s="7">
        <v>0</v>
      </c>
      <c r="K135" s="121" t="str">
        <f t="shared" si="57"/>
        <v>4011/4012</v>
      </c>
      <c r="L135" s="24" t="str">
        <f>VLOOKUP(A135,'Trips&amp;Operators'!$C$1:$E$10000,3,FALSE)</f>
        <v>LEVIN</v>
      </c>
      <c r="M135" s="6">
        <f t="shared" si="58"/>
        <v>2.8148148150648922E-2</v>
      </c>
      <c r="N135" s="7">
        <f t="shared" si="82"/>
        <v>40.533333336934447</v>
      </c>
      <c r="O135" s="7"/>
      <c r="P135" s="7"/>
      <c r="Q135" s="25"/>
      <c r="R135" s="25"/>
      <c r="S135" s="37">
        <f t="shared" si="85"/>
        <v>1</v>
      </c>
      <c r="T135" s="52" t="str">
        <f t="shared" si="59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18:49:06-0600',mode:absolute,to:'2016-09-23 21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35" s="54" t="str">
        <f t="shared" si="61"/>
        <v>N</v>
      </c>
      <c r="X135" s="168">
        <f t="shared" si="83"/>
        <v>1</v>
      </c>
      <c r="Y135" s="69">
        <f t="shared" si="80"/>
        <v>23.301100000000002</v>
      </c>
      <c r="Z135" s="69">
        <f t="shared" si="81"/>
        <v>1.38E-2</v>
      </c>
      <c r="AA135" s="69">
        <f t="shared" si="64"/>
        <v>23.287300000000002</v>
      </c>
      <c r="AB135" s="66" t="e">
        <f>VLOOKUP(A135,Enforcements!$C$7:$K$20,8,0)</f>
        <v>#N/A</v>
      </c>
      <c r="AC135" s="62" t="e">
        <f>VLOOKUP(A135,Enforcements!$C$7:$E$20,3,0)</f>
        <v>#N/A</v>
      </c>
      <c r="AD135" s="63" t="str">
        <f t="shared" si="86"/>
        <v>0222-23</v>
      </c>
      <c r="AE135" s="99" t="str">
        <f t="shared" si="47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135" s="96" t="str">
        <f t="shared" si="48"/>
        <v>"C:\Program Files (x86)\AstroGrep\AstroGrep.exe" /spath="%USERPROFILE%\AppData\Local\Temp\OnboardLogs" /stypes="app*4012*20160924*" /stext=" 02:.+((SYSTEM_STATE.+slice.+state.+changed )|(ment ac)|(system.+state.+changed )|(\|lc)|(penalty)|(\[timeout)|(PRM\|1\|D)|(kpr)|(kdp))" /e /r /s</v>
      </c>
      <c r="AG135" s="1" t="str">
        <f t="shared" si="84"/>
        <v>EC</v>
      </c>
      <c r="AH135" s="100" t="str">
        <f t="shared" si="50"/>
        <v>"%USERPROFILE%\Documents\GitHub\eaglep3\Utilities\RefineRTDCRunTimes.py" --tripid 222-23 --locoid 4012 --swversion DE.1.0.7.0 --startMP 204:233011 --initTime 2016-09-23T19:49:06 --startdatetime 2016-09-23T19:56:19 --delay 1 --endMP 204:138 --enddatetime 2016-09-23T20:36:51 --enforcementcount 0 &gt;&gt;C:\Users\stu\Documents\GitHub\eaglep3-reporting\EC\2016-09-23-refined-times.txt</v>
      </c>
      <c r="AI135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{"issue":{"subject":"","project_id":79,"tracker_id":40,"status_id":1,"priority_id":2,"assigned_to_id":23,"start_date":"2016-09-23","description":"","custom_fields":[{"id":1,"name":"Subdivision","value":"EC"},{"id":4,"name":"Milepost","value":"0.0138"},{"id":17,"name":"Train ID","value":"222-23"},{"id":16,"name":"Locomotive ID","value":"4012"},{"id":130,"name":"Impact","value":""},{"id":150,"name":"Time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574</v>
      </c>
      <c r="B136" s="7">
        <v>4027</v>
      </c>
      <c r="C136" s="24" t="s">
        <v>106</v>
      </c>
      <c r="D136" s="24" t="s">
        <v>225</v>
      </c>
      <c r="E136" s="15">
        <v>42636.809004629627</v>
      </c>
      <c r="F136" s="15">
        <v>42636.812662037039</v>
      </c>
      <c r="G136" s="7">
        <v>1</v>
      </c>
      <c r="H136" s="15" t="s">
        <v>221</v>
      </c>
      <c r="I136" s="15">
        <v>42636.837395833332</v>
      </c>
      <c r="J136" s="7">
        <v>0</v>
      </c>
      <c r="K136" s="121" t="str">
        <f t="shared" si="57"/>
        <v>4027/4028</v>
      </c>
      <c r="L136" s="24" t="str">
        <f>VLOOKUP(A136,'Trips&amp;Operators'!$C$1:$E$10000,3,FALSE)</f>
        <v>YANAI</v>
      </c>
      <c r="M136" s="6">
        <f t="shared" si="58"/>
        <v>2.4733796293730848E-2</v>
      </c>
      <c r="N136" s="7">
        <f t="shared" si="82"/>
        <v>35.61666666297242</v>
      </c>
      <c r="O136" s="7"/>
      <c r="P136" s="7"/>
      <c r="Q136" s="25"/>
      <c r="R136" s="25"/>
      <c r="S136" s="37">
        <f t="shared" si="85"/>
        <v>1</v>
      </c>
      <c r="T136" s="52" t="str">
        <f t="shared" si="59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18:24:58-0600',mode:absolute,to:'2016-09-23 21:05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6" s="54" t="str">
        <f t="shared" si="61"/>
        <v>N</v>
      </c>
      <c r="X136" s="168">
        <f t="shared" si="83"/>
        <v>1</v>
      </c>
      <c r="Y136" s="69">
        <f t="shared" si="80"/>
        <v>4.6600000000000003E-2</v>
      </c>
      <c r="Z136" s="69">
        <f t="shared" si="81"/>
        <v>23.3291</v>
      </c>
      <c r="AA136" s="69">
        <f t="shared" si="64"/>
        <v>23.282499999999999</v>
      </c>
      <c r="AB136" s="66" t="e">
        <f>VLOOKUP(A136,Enforcements!$C$7:$K$20,8,0)</f>
        <v>#N/A</v>
      </c>
      <c r="AC136" s="62" t="e">
        <f>VLOOKUP(A136,Enforcements!$C$7:$E$20,3,0)</f>
        <v>#N/A</v>
      </c>
      <c r="AD136" s="63" t="str">
        <f t="shared" si="86"/>
        <v>0223-23</v>
      </c>
      <c r="AE136" s="99" t="str">
        <f t="shared" si="47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36" s="96" t="str">
        <f t="shared" si="48"/>
        <v>"C:\Program Files (x86)\AstroGrep\AstroGrep.exe" /spath="%USERPROFILE%\AppData\Local\Temp\OnboardLogs" /stypes="app*4027*20160924*" /stext=" 02:.+((SYSTEM_STATE.+slice.+state.+changed )|(ment ac)|(system.+state.+changed )|(\|lc)|(penalty)|(\[timeout)|(PRM\|1\|D)|(kpr)|(kdp))" /e /r /s</v>
      </c>
      <c r="AG136" s="1" t="str">
        <f t="shared" si="84"/>
        <v>EC</v>
      </c>
      <c r="AH136" s="100" t="str">
        <f t="shared" si="50"/>
        <v>"%USERPROFILE%\Documents\GitHub\eaglep3\Utilities\RefineRTDCRunTimes.py" --tripid 223-23 --locoid 4027 --swversion DE.1.0.7.0 --startMP 204:466 --initTime 2016-09-23T19:24:58 --startdatetime 2016-09-23T19:30:14 --delay 1 --endMP 204:233291 --enddatetime 2016-09-23T20:05:51 --enforcementcount 0 &gt;&gt;C:\Users\stu\Documents\GitHub\eaglep3-reporting\EC\2016-09-23-refined-times.txt</v>
      </c>
      <c r="AI13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{"issue":{"subject":"","project_id":79,"tracker_id":40,"status_id":1,"priority_id":2,"assigned_to_id":23,"start_date":"2016-09-23","description":"","custom_fields":[{"id":1,"name":"Subdivision","value":"EC"},{"id":4,"name":"Milepost","value":"23.3291"},{"id":17,"name":"Train ID","value":"223-23"},{"id":16,"name":"Locomotive ID","value":"4027"},{"id":130,"name":"Impact","value":""},{"id":150,"name":"Time of Event (Mountain Time)","value":"20:05:51"},{"id":151,"name":"Denver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580</v>
      </c>
      <c r="B137" s="7">
        <v>4028</v>
      </c>
      <c r="C137" s="24" t="s">
        <v>106</v>
      </c>
      <c r="D137" s="24" t="s">
        <v>344</v>
      </c>
      <c r="E137" s="15">
        <v>42636.847881944443</v>
      </c>
      <c r="F137" s="15">
        <v>42636.855347222219</v>
      </c>
      <c r="G137" s="7">
        <v>1</v>
      </c>
      <c r="H137" s="15" t="s">
        <v>217</v>
      </c>
      <c r="I137" s="15">
        <v>42636.882013888891</v>
      </c>
      <c r="J137" s="7">
        <v>0</v>
      </c>
      <c r="K137" s="121" t="str">
        <f t="shared" si="57"/>
        <v>4027/4028</v>
      </c>
      <c r="L137" s="24" t="str">
        <f>VLOOKUP(A137,'Trips&amp;Operators'!$C$1:$E$10000,3,FALSE)</f>
        <v>YANAI</v>
      </c>
      <c r="M137" s="6">
        <f t="shared" si="58"/>
        <v>2.6666666672099382E-2</v>
      </c>
      <c r="N137" s="7">
        <f t="shared" si="82"/>
        <v>38.40000000782311</v>
      </c>
      <c r="O137" s="7"/>
      <c r="P137" s="7"/>
      <c r="Q137" s="25"/>
      <c r="R137" s="25"/>
      <c r="S137" s="37">
        <f t="shared" si="85"/>
        <v>1</v>
      </c>
      <c r="T137" s="52" t="str">
        <f t="shared" si="59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19:20:57-0600',mode:absolute,to:'2016-09-23 22:10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7" s="54" t="str">
        <f t="shared" si="61"/>
        <v>N</v>
      </c>
      <c r="X137" s="168">
        <f t="shared" si="83"/>
        <v>1</v>
      </c>
      <c r="Y137" s="69">
        <f t="shared" si="80"/>
        <v>23.297699999999999</v>
      </c>
      <c r="Z137" s="69">
        <f t="shared" si="81"/>
        <v>1.5800000000000002E-2</v>
      </c>
      <c r="AA137" s="69">
        <f t="shared" si="64"/>
        <v>23.2819</v>
      </c>
      <c r="AB137" s="66" t="e">
        <f>VLOOKUP(A137,Enforcements!$C$7:$K$20,8,0)</f>
        <v>#N/A</v>
      </c>
      <c r="AC137" s="62" t="e">
        <f>VLOOKUP(A137,Enforcements!$C$7:$E$20,3,0)</f>
        <v>#N/A</v>
      </c>
      <c r="AD137" s="63" t="str">
        <f t="shared" si="86"/>
        <v>0224-23</v>
      </c>
      <c r="AE137" s="99" t="str">
        <f t="shared" si="47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137" s="96" t="str">
        <f t="shared" si="48"/>
        <v>"C:\Program Files (x86)\AstroGrep\AstroGrep.exe" /spath="%USERPROFILE%\AppData\Local\Temp\OnboardLogs" /stypes="app*4028*20160924*" /stext=" 03:.+((SYSTEM_STATE.+slice.+state.+changed )|(ment ac)|(system.+state.+changed )|(\|lc)|(penalty)|(\[timeout)|(PRM\|1\|D)|(kpr)|(kdp))" /e /r /s</v>
      </c>
      <c r="AG137" s="1" t="str">
        <f t="shared" si="84"/>
        <v>EC</v>
      </c>
      <c r="AH137" s="100" t="str">
        <f t="shared" si="50"/>
        <v>"%USERPROFILE%\Documents\GitHub\eaglep3\Utilities\RefineRTDCRunTimes.py" --tripid 224-23 --locoid 4028 --swversion DE.1.0.7.0 --startMP 204:232977 --initTime 2016-09-23T20:20:57 --startdatetime 2016-09-23T20:31:42 --delay 1 --endMP 204:158 --enddatetime 2016-09-23T21:10:06 --enforcementcount 0 &gt;&gt;C:\Users\stu\Documents\GitHub\eaglep3-reporting\EC\2016-09-23-refined-times.txt</v>
      </c>
      <c r="AI137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{"issue":{"subject":"","project_id":79,"tracker_id":40,"status_id":1,"priority_id":2,"assigned_to_id":23,"start_date":"2016-09-23","description":"","custom_fields":[{"id":1,"name":"Subdivision","value":"EC"},{"id":4,"name":"Milepost","value":"0.0158"},{"id":17,"name":"Train ID","value":"224-23"},{"id":16,"name":"Locomotive ID","value":"4028"},{"id":130,"name":"Impact","value":""},{"id":150,"name":"Time of Event (Mountain Time)","value":"21:10:06"},{"id":151,"name":"Denver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578</v>
      </c>
      <c r="B138" s="7">
        <v>4040</v>
      </c>
      <c r="C138" s="24" t="s">
        <v>106</v>
      </c>
      <c r="D138" s="24" t="s">
        <v>321</v>
      </c>
      <c r="E138" s="15">
        <v>42636.833229166667</v>
      </c>
      <c r="F138" s="15">
        <v>42636.835069444445</v>
      </c>
      <c r="G138" s="7">
        <v>2</v>
      </c>
      <c r="H138" s="15" t="s">
        <v>665</v>
      </c>
      <c r="I138" s="15">
        <v>42636.86142361111</v>
      </c>
      <c r="J138" s="7">
        <v>0</v>
      </c>
      <c r="K138" s="121" t="str">
        <f t="shared" si="57"/>
        <v>4039/4040</v>
      </c>
      <c r="L138" s="24" t="str">
        <f>VLOOKUP(A138,'Trips&amp;Operators'!$C$1:$E$10000,3,FALSE)</f>
        <v>CHANDLER</v>
      </c>
      <c r="M138" s="6">
        <f t="shared" si="58"/>
        <v>2.6354166664532386E-2</v>
      </c>
      <c r="N138" s="7">
        <f t="shared" si="82"/>
        <v>37.949999996926636</v>
      </c>
      <c r="O138" s="7"/>
      <c r="P138" s="7"/>
      <c r="Q138" s="25"/>
      <c r="R138" s="25"/>
      <c r="S138" s="37">
        <f t="shared" si="85"/>
        <v>1</v>
      </c>
      <c r="T138" s="52" t="str">
        <f t="shared" si="59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18:59:51-0600',mode:absolute,to:'2016-09-23 21:40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8" s="54" t="str">
        <f t="shared" si="61"/>
        <v>N</v>
      </c>
      <c r="X138" s="168">
        <f t="shared" si="83"/>
        <v>1</v>
      </c>
      <c r="Y138" s="69">
        <f t="shared" si="80"/>
        <v>4.6399999999999997E-2</v>
      </c>
      <c r="Z138" s="69">
        <f t="shared" si="81"/>
        <v>23.3323</v>
      </c>
      <c r="AA138" s="69">
        <f t="shared" si="64"/>
        <v>23.285900000000002</v>
      </c>
      <c r="AB138" s="66" t="e">
        <f>VLOOKUP(A138,Enforcements!$C$7:$K$20,8,0)</f>
        <v>#N/A</v>
      </c>
      <c r="AC138" s="62" t="e">
        <f>VLOOKUP(A138,Enforcements!$C$7:$E$20,3,0)</f>
        <v>#N/A</v>
      </c>
      <c r="AD138" s="63" t="str">
        <f t="shared" si="86"/>
        <v>0225-23</v>
      </c>
      <c r="AE138" s="99" t="str">
        <f t="shared" si="47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38" s="96" t="str">
        <f t="shared" si="48"/>
        <v>"C:\Program Files (x86)\AstroGrep\AstroGrep.exe" /spath="%USERPROFILE%\AppData\Local\Temp\OnboardLogs" /stypes="app*4040*20160924*" /stext=" 02:.+((SYSTEM_STATE.+slice.+state.+changed )|(ment ac)|(system.+state.+changed )|(\|lc)|(penalty)|(\[timeout)|(PRM\|1\|D)|(kpr)|(kdp))" /e /r /s</v>
      </c>
      <c r="AG138" s="1" t="str">
        <f t="shared" si="84"/>
        <v>EC</v>
      </c>
      <c r="AH138" s="100" t="str">
        <f t="shared" si="50"/>
        <v>"%USERPROFILE%\Documents\GitHub\eaglep3\Utilities\RefineRTDCRunTimes.py" --tripid 225-23 --locoid 4040 --swversion DE.1.0.7.0 --startMP 204:464 --initTime 2016-09-23T19:59:51 --startdatetime 2016-09-23T20:02:30 --delay 2 --endMP 204:233323 --enddatetime 2016-09-23T20:40:27 --enforcementcount 0 &gt;&gt;C:\Users\stu\Documents\GitHub\eaglep3-reporting\EC\2016-09-23-refined-times.txt</v>
      </c>
      <c r="AI138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{"issue":{"subject":"","project_id":79,"tracker_id":40,"status_id":1,"priority_id":2,"assigned_to_id":23,"start_date":"2016-09-23","description":"","custom_fields":[{"id":1,"name":"Subdivision","value":"EC"},{"id":4,"name":"Milepost","value":"23.3323"},{"id":17,"name":"Train ID","value":"225-23"},{"id":16,"name":"Locomotive ID","value":"4040"},{"id":130,"name":"Impact","value":""},{"id":150,"name":"Time of Event (Mountain Time)","value":"20:40:27"},{"id":151,"name":"Denver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584</v>
      </c>
      <c r="B139" s="7">
        <v>4039</v>
      </c>
      <c r="C139" s="24" t="s">
        <v>106</v>
      </c>
      <c r="D139" s="24" t="s">
        <v>648</v>
      </c>
      <c r="E139" s="15">
        <v>42636.871631944443</v>
      </c>
      <c r="F139" s="15">
        <v>42636.872581018521</v>
      </c>
      <c r="G139" s="7">
        <v>1</v>
      </c>
      <c r="H139" s="15" t="s">
        <v>222</v>
      </c>
      <c r="I139" s="15">
        <v>42636.904363425929</v>
      </c>
      <c r="J139" s="7">
        <v>0</v>
      </c>
      <c r="K139" s="121" t="str">
        <f t="shared" si="57"/>
        <v>4039/4040</v>
      </c>
      <c r="L139" s="24" t="str">
        <f>VLOOKUP(A139,'Trips&amp;Operators'!$C$1:$E$10000,3,FALSE)</f>
        <v>CHANDLER</v>
      </c>
      <c r="M139" s="6">
        <f t="shared" si="58"/>
        <v>3.178240740817273E-2</v>
      </c>
      <c r="N139" s="7">
        <f t="shared" si="82"/>
        <v>45.766666667768732</v>
      </c>
      <c r="O139" s="7"/>
      <c r="P139" s="7"/>
      <c r="Q139" s="25"/>
      <c r="R139" s="25"/>
      <c r="S139" s="37">
        <f t="shared" si="85"/>
        <v>1</v>
      </c>
      <c r="T139" s="52" t="str">
        <f t="shared" si="59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19:55:09-0600',mode:absolute,to:'2016-09-23 22:42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9" s="54" t="str">
        <f t="shared" si="61"/>
        <v>N</v>
      </c>
      <c r="X139" s="168">
        <f t="shared" si="83"/>
        <v>1</v>
      </c>
      <c r="Y139" s="69">
        <f t="shared" si="80"/>
        <v>23.297899999999998</v>
      </c>
      <c r="Z139" s="69">
        <f t="shared" si="81"/>
        <v>1.52E-2</v>
      </c>
      <c r="AA139" s="69">
        <f t="shared" si="64"/>
        <v>23.282699999999998</v>
      </c>
      <c r="AB139" s="66" t="e">
        <f>VLOOKUP(A139,Enforcements!$C$7:$K$20,8,0)</f>
        <v>#N/A</v>
      </c>
      <c r="AC139" s="62" t="e">
        <f>VLOOKUP(A139,Enforcements!$C$7:$E$20,3,0)</f>
        <v>#N/A</v>
      </c>
      <c r="AD139" s="63" t="str">
        <f t="shared" si="86"/>
        <v>0226-23</v>
      </c>
      <c r="AE139" s="99" t="str">
        <f t="shared" si="47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139" s="96" t="str">
        <f t="shared" si="48"/>
        <v>"C:\Program Files (x86)\AstroGrep\AstroGrep.exe" /spath="%USERPROFILE%\AppData\Local\Temp\OnboardLogs" /stypes="app*4039*20160924*" /stext=" 03:.+((SYSTEM_STATE.+slice.+state.+changed )|(ment ac)|(system.+state.+changed )|(\|lc)|(penalty)|(\[timeout)|(PRM\|1\|D)|(kpr)|(kdp))" /e /r /s</v>
      </c>
      <c r="AG139" s="1" t="str">
        <f t="shared" si="84"/>
        <v>EC</v>
      </c>
      <c r="AH139" s="100" t="str">
        <f t="shared" si="50"/>
        <v>"%USERPROFILE%\Documents\GitHub\eaglep3\Utilities\RefineRTDCRunTimes.py" --tripid 226-23 --locoid 4039 --swversion DE.1.0.7.0 --startMP 204:232979 --initTime 2016-09-23T20:55:09 --startdatetime 2016-09-23T20:56:31 --delay 1 --endMP 204:152 --enddatetime 2016-09-23T21:42:17 --enforcementcount 0 &gt;&gt;C:\Users\stu\Documents\GitHub\eaglep3-reporting\EC\2016-09-23-refined-times.txt</v>
      </c>
      <c r="AI139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ID","value":"226-23"},{"id":16,"name":"Locomotive ID","value":"4039"},{"id":130,"name":"Impact","value":""},{"id":150,"name":"Time of Event (Mountain Time)","value":"21:42:17"},{"id":151,"name":"Denver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581</v>
      </c>
      <c r="B140" s="7">
        <v>4016</v>
      </c>
      <c r="C140" s="24" t="s">
        <v>106</v>
      </c>
      <c r="D140" s="24" t="s">
        <v>236</v>
      </c>
      <c r="E140" s="15">
        <v>42636.848576388889</v>
      </c>
      <c r="F140" s="15">
        <v>42636.854687500003</v>
      </c>
      <c r="G140" s="7">
        <v>2</v>
      </c>
      <c r="H140" s="15" t="s">
        <v>353</v>
      </c>
      <c r="I140" s="15">
        <v>42636.881539351853</v>
      </c>
      <c r="J140" s="7">
        <v>0</v>
      </c>
      <c r="K140" s="121" t="str">
        <f t="shared" si="57"/>
        <v>4015/4016</v>
      </c>
      <c r="L140" s="24" t="str">
        <f>VLOOKUP(A140,'Trips&amp;Operators'!$C$1:$E$10000,3,FALSE)</f>
        <v>STURGEON</v>
      </c>
      <c r="M140" s="6">
        <f t="shared" si="58"/>
        <v>2.6851851849642117E-2</v>
      </c>
      <c r="N140" s="7">
        <f t="shared" si="82"/>
        <v>38.666666663484648</v>
      </c>
      <c r="O140" s="7"/>
      <c r="P140" s="7"/>
      <c r="Q140" s="25"/>
      <c r="R140" s="25"/>
      <c r="S140" s="37">
        <f t="shared" si="85"/>
        <v>1</v>
      </c>
      <c r="T140" s="52" t="str">
        <f t="shared" si="59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60"/>
        <v>https://search-rtdc-monitor-bjffxe2xuh6vdkpspy63sjmuny.us-east-1.es.amazonaws.com/_plugin/kibana/#/discover/Steve-Slow-Train-Analysis-(2080s-and-2083s)?_g=(refreshInterval:(display:Off,section:0,value:0),time:(from:'2016-09-23 19:21:57-0600',mode:absolute,to:'2016-09-23 22:09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0" s="54" t="str">
        <f t="shared" si="61"/>
        <v>N</v>
      </c>
      <c r="X140" s="168">
        <f t="shared" si="83"/>
        <v>1</v>
      </c>
      <c r="Y140" s="69">
        <f t="shared" si="80"/>
        <v>4.6899999999999997E-2</v>
      </c>
      <c r="Z140" s="69">
        <f t="shared" si="81"/>
        <v>23.332899999999999</v>
      </c>
      <c r="AA140" s="69">
        <f t="shared" si="64"/>
        <v>23.285999999999998</v>
      </c>
      <c r="AB140" s="66" t="e">
        <f>VLOOKUP(A140,Enforcements!$C$7:$K$20,8,0)</f>
        <v>#N/A</v>
      </c>
      <c r="AC140" s="62" t="e">
        <f>VLOOKUP(A140,Enforcements!$C$7:$E$20,3,0)</f>
        <v>#N/A</v>
      </c>
      <c r="AD140" s="63" t="str">
        <f t="shared" si="86"/>
        <v>0227-23</v>
      </c>
      <c r="AE140" s="99" t="str">
        <f t="shared" si="47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40" s="96" t="str">
        <f t="shared" si="48"/>
        <v>"C:\Program Files (x86)\AstroGrep\AstroGrep.exe" /spath="%USERPROFILE%\AppData\Local\Temp\OnboardLogs" /stypes="app*4016*20160924*" /stext=" 03:.+((SYSTEM_STATE.+slice.+state.+changed )|(ment ac)|(system.+state.+changed )|(\|lc)|(penalty)|(\[timeout)|(PRM\|1\|D)|(kpr)|(kdp))" /e /r /s</v>
      </c>
      <c r="AG140" s="1" t="str">
        <f t="shared" si="84"/>
        <v>EC</v>
      </c>
      <c r="AH140" s="100" t="str">
        <f t="shared" si="50"/>
        <v>"%USERPROFILE%\Documents\GitHub\eaglep3\Utilities\RefineRTDCRunTimes.py" --tripid 227-23 --locoid 4016 --swversion DE.1.0.7.0 --startMP 204:469 --initTime 2016-09-23T20:21:57 --startdatetime 2016-09-23T20:30:45 --delay 2 --endMP 204:233329 --enddatetime 2016-09-23T21:09:25 --enforcementcount 0 &gt;&gt;C:\Users\stu\Documents\GitHub\eaglep3-reporting\EC\2016-09-23-refined-times.txt</v>
      </c>
      <c r="AI140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{"issue":{"subject":"","project_id":79,"tracker_id":40,"status_id":1,"priority_id":2,"assigned_to_id":23,"start_date":"2016-09-23","description":"","custom_fields":[{"id":1,"name":"Subdivision","value":"EC"},{"id":4,"name":"Milepost","value":"23.3329"},{"id":17,"name":"Train ID","value":"227-23"},{"id":16,"name":"Locomotive ID","value":"4016"},{"id":130,"name":"Impact","value":""},{"id":150,"name":"Time of Event (Mountain Time)","value":"21:09:25"},{"id":151,"name":"Denver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586</v>
      </c>
      <c r="B141" s="7">
        <v>4015</v>
      </c>
      <c r="C141" s="24" t="s">
        <v>106</v>
      </c>
      <c r="D141" s="24" t="s">
        <v>288</v>
      </c>
      <c r="E141" s="15">
        <v>42636.886574074073</v>
      </c>
      <c r="F141" s="15">
        <v>42636.893692129626</v>
      </c>
      <c r="G141" s="7">
        <v>1</v>
      </c>
      <c r="H141" s="15" t="s">
        <v>245</v>
      </c>
      <c r="I141" s="15">
        <v>42636.923622685186</v>
      </c>
      <c r="J141" s="7">
        <v>0</v>
      </c>
      <c r="K141" s="121" t="str">
        <f t="shared" ref="K141:K172" si="87">IF(ISEVEN(B141),(B141-1)&amp;"/"&amp;B141,B141&amp;"/"&amp;(B141+1))</f>
        <v>4015/4016</v>
      </c>
      <c r="L141" s="24" t="str">
        <f>VLOOKUP(A141,'Trips&amp;Operators'!$C$1:$E$10000,3,FALSE)</f>
        <v>STURGEON</v>
      </c>
      <c r="M141" s="6">
        <f t="shared" ref="M141:M172" si="88">I141-F141</f>
        <v>2.9930555559985805E-2</v>
      </c>
      <c r="N141" s="7">
        <f t="shared" si="82"/>
        <v>43.10000000637956</v>
      </c>
      <c r="O141" s="7"/>
      <c r="P141" s="7"/>
      <c r="Q141" s="25"/>
      <c r="R141" s="25"/>
      <c r="S141" s="37">
        <f t="shared" si="85"/>
        <v>1</v>
      </c>
      <c r="T141" s="52" t="str">
        <f t="shared" ref="T141:T172" si="89">IF(ISEVEN(LEFT(AD141,4)),"Southbound","NorthBound")</f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ref="V141:V172" si="9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https://search-rtdc-monitor-bjffxe2xuh6vdkpspy63sjmuny.us-east-1.es.amazonaws.com/_plugin/kibana/#/discover/Steve-Slow-Train-Analysis-(2080s-and-2083s)?_g=(refreshInterval:(display:Off,section:0,value:0),time:(from:'2016-09-23 20:16:40-0600',mode:absolute,to:'2016-09-23 23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1" s="54" t="str">
        <f t="shared" ref="W141:W172" si="91">IF(AA141&lt;IF(AG141="EC",23,5.65),"Y","N")</f>
        <v>N</v>
      </c>
      <c r="X141" s="168">
        <f t="shared" si="83"/>
        <v>1</v>
      </c>
      <c r="Y141" s="69">
        <f t="shared" si="80"/>
        <v>23.299600000000002</v>
      </c>
      <c r="Z141" s="69">
        <f t="shared" si="81"/>
        <v>1.61E-2</v>
      </c>
      <c r="AA141" s="69">
        <f t="shared" ref="AA141:AA172" si="92">ABS(Z141-Y141)</f>
        <v>23.2835</v>
      </c>
      <c r="AB141" s="66" t="e">
        <f>VLOOKUP(A141,Enforcements!$C$7:$K$20,8,0)</f>
        <v>#N/A</v>
      </c>
      <c r="AC141" s="62" t="e">
        <f>VLOOKUP(A141,Enforcements!$C$7:$E$20,3,0)</f>
        <v>#N/A</v>
      </c>
      <c r="AD141" s="63" t="str">
        <f t="shared" si="86"/>
        <v>0228-23</v>
      </c>
      <c r="AE141" s="99" t="str">
        <f t="shared" ref="AE141:AE204" si="93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141" s="96" t="str">
        <f t="shared" ref="AF141:AF204" si="94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/stypes="app*4015*20160924*" /stext=" 04:.+((SYSTEM_STATE.+slice.+state.+changed )|(ment ac)|(system.+state.+changed )|(\|lc)|(penalty)|(\[timeout)|(PRM\|1\|D)|(kpr)|(kdp))" /e /r /s</v>
      </c>
      <c r="AG141" s="1" t="str">
        <f t="shared" si="84"/>
        <v>EC</v>
      </c>
      <c r="AH141" s="100" t="str">
        <f t="shared" si="50"/>
        <v>"%USERPROFILE%\Documents\GitHub\eaglep3\Utilities\RefineRTDCRunTimes.py" --tripid 228-23 --locoid 4015 --swversion DE.1.0.7.0 --startMP 204:232996 --initTime 2016-09-23T21:16:40 --startdatetime 2016-09-23T21:26:55 --delay 1 --endMP 204:161 --enddatetime 2016-09-23T22:10:01 --enforcementcount 0 &gt;&gt;C:\Users\stu\Documents\GitHub\eaglep3-reporting\EC\2016-09-23-refined-times.txt</v>
      </c>
      <c r="AI141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{"issue":{"subject":"","project_id":79,"tracker_id":40,"status_id":1,"priority_id":2,"assigned_to_id":23,"start_date":"2016-09-23","description":"","custom_fields":[{"id":1,"name":"Subdivision","value":"EC"},{"id":4,"name":"Milepost","value":"0.0161"},{"id":17,"name":"Train ID","value":"228-23"},{"id":16,"name":"Locomotive ID","value":"4015"},{"id":130,"name":"Impact","value":""},{"id":150,"name":"Time of Event (Mountain Time)","value":"22:10:01"},{"id":151,"name":"Denver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583</v>
      </c>
      <c r="B142" s="7">
        <v>4011</v>
      </c>
      <c r="C142" s="24" t="s">
        <v>106</v>
      </c>
      <c r="D142" s="24" t="s">
        <v>226</v>
      </c>
      <c r="E142" s="15">
        <v>42636.870682870373</v>
      </c>
      <c r="F142" s="15">
        <v>42636.875219907408</v>
      </c>
      <c r="G142" s="7">
        <v>1</v>
      </c>
      <c r="H142" s="15" t="s">
        <v>317</v>
      </c>
      <c r="I142" s="15">
        <v>42636.900671296295</v>
      </c>
      <c r="J142" s="7">
        <v>0</v>
      </c>
      <c r="K142" s="121" t="str">
        <f t="shared" si="87"/>
        <v>4011/4012</v>
      </c>
      <c r="L142" s="24" t="str">
        <f>VLOOKUP(A142,'Trips&amp;Operators'!$C$1:$E$10000,3,FALSE)</f>
        <v>LEVIN</v>
      </c>
      <c r="M142" s="6">
        <f t="shared" si="88"/>
        <v>2.545138888672227E-2</v>
      </c>
      <c r="N142" s="7">
        <f t="shared" si="82"/>
        <v>36.649999996880069</v>
      </c>
      <c r="O142" s="7"/>
      <c r="P142" s="7"/>
      <c r="Q142" s="25"/>
      <c r="R142" s="25"/>
      <c r="S142" s="37">
        <f t="shared" si="85"/>
        <v>1</v>
      </c>
      <c r="T142" s="52" t="str">
        <f t="shared" si="89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19:53:47-0600',mode:absolute,to:'2016-09-23 22:36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42" s="54" t="str">
        <f t="shared" si="91"/>
        <v>N</v>
      </c>
      <c r="X142" s="168">
        <f t="shared" si="83"/>
        <v>1</v>
      </c>
      <c r="Y142" s="69">
        <f t="shared" si="80"/>
        <v>4.5100000000000001E-2</v>
      </c>
      <c r="Z142" s="69">
        <f t="shared" si="81"/>
        <v>23.331700000000001</v>
      </c>
      <c r="AA142" s="69">
        <f t="shared" si="92"/>
        <v>23.2866</v>
      </c>
      <c r="AB142" s="66" t="e">
        <f>VLOOKUP(A142,Enforcements!$C$7:$K$20,8,0)</f>
        <v>#N/A</v>
      </c>
      <c r="AC142" s="62" t="e">
        <f>VLOOKUP(A142,Enforcements!$C$7:$E$20,3,0)</f>
        <v>#N/A</v>
      </c>
      <c r="AD142" s="63" t="str">
        <f t="shared" si="86"/>
        <v>0229-23</v>
      </c>
      <c r="AE142" s="99" t="str">
        <f t="shared" si="93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42" s="96" t="str">
        <f t="shared" si="94"/>
        <v>"C:\Program Files (x86)\AstroGrep\AstroGrep.exe" /spath="%USERPROFILE%\AppData\Local\Temp\OnboardLogs" /stypes="app*4011*20160924*" /stext=" 03:.+((SYSTEM_STATE.+slice.+state.+changed )|(ment ac)|(system.+state.+changed )|(\|lc)|(penalty)|(\[timeout)|(PRM\|1\|D)|(kpr)|(kdp))" /e /r /s</v>
      </c>
      <c r="AG142" s="1" t="str">
        <f t="shared" si="84"/>
        <v>EC</v>
      </c>
      <c r="AH142" s="100" t="str">
        <f t="shared" si="50"/>
        <v>"%USERPROFILE%\Documents\GitHub\eaglep3\Utilities\RefineRTDCRunTimes.py" --tripid 229-23 --locoid 4011 --swversion DE.1.0.7.0 --startMP 204:451 --initTime 2016-09-23T20:53:47 --startdatetime 2016-09-23T21:00:19 --delay 1 --endMP 204:233317 --enddatetime 2016-09-23T21:36:58 --enforcementcount 0 &gt;&gt;C:\Users\stu\Documents\GitHub\eaglep3-reporting\EC\2016-09-23-refined-times.txt</v>
      </c>
      <c r="AI142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{"issue":{"subject":"","project_id":79,"tracker_id":40,"status_id":1,"priority_id":2,"assigned_to_id":23,"start_date":"2016-09-23","description":"","custom_fields":[{"id":1,"name":"Subdivision","value":"EC"},{"id":4,"name":"Milepost","value":"23.3317"},{"id":17,"name":"Train ID","value":"229-23"},{"id":16,"name":"Locomotive ID","value":"4011"},{"id":130,"name":"Impact","value":""},{"id":150,"name":"Time of Event (Mountain Time)","value":"21:36:58"},{"id":151,"name":"Denver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587</v>
      </c>
      <c r="B143" s="7">
        <v>4012</v>
      </c>
      <c r="C143" s="24" t="s">
        <v>106</v>
      </c>
      <c r="D143" s="24" t="s">
        <v>636</v>
      </c>
      <c r="E143" s="15">
        <v>42636.91138888889</v>
      </c>
      <c r="F143" s="15">
        <v>42636.914270833331</v>
      </c>
      <c r="G143" s="7">
        <v>1</v>
      </c>
      <c r="H143" s="15" t="s">
        <v>666</v>
      </c>
      <c r="I143" s="15">
        <v>42636.940937500003</v>
      </c>
      <c r="J143" s="7">
        <v>0</v>
      </c>
      <c r="K143" s="121" t="str">
        <f t="shared" si="87"/>
        <v>4011/4012</v>
      </c>
      <c r="L143" s="24" t="str">
        <f>VLOOKUP(A143,'Trips&amp;Operators'!$C$1:$E$10000,3,FALSE)</f>
        <v>LEVIN</v>
      </c>
      <c r="M143" s="6">
        <f t="shared" si="88"/>
        <v>2.6666666672099382E-2</v>
      </c>
      <c r="N143" s="7">
        <f t="shared" si="82"/>
        <v>38.40000000782311</v>
      </c>
      <c r="O143" s="7"/>
      <c r="P143" s="7"/>
      <c r="Q143" s="25"/>
      <c r="R143" s="25"/>
      <c r="S143" s="37">
        <f t="shared" si="85"/>
        <v>1</v>
      </c>
      <c r="T143" s="52" t="str">
        <f t="shared" si="89"/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20:52:24-0600',mode:absolute,to:'2016-09-23 23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43" s="54" t="str">
        <f t="shared" si="91"/>
        <v>N</v>
      </c>
      <c r="X143" s="168">
        <f t="shared" si="83"/>
        <v>1</v>
      </c>
      <c r="Y143" s="69">
        <f t="shared" si="80"/>
        <v>23.300599999999999</v>
      </c>
      <c r="Z143" s="69">
        <f t="shared" si="81"/>
        <v>1.34E-2</v>
      </c>
      <c r="AA143" s="69">
        <f t="shared" si="92"/>
        <v>23.287199999999999</v>
      </c>
      <c r="AB143" s="66" t="e">
        <f>VLOOKUP(A143,Enforcements!$C$7:$K$20,8,0)</f>
        <v>#N/A</v>
      </c>
      <c r="AC143" s="62" t="e">
        <f>VLOOKUP(A143,Enforcements!$C$7:$E$20,3,0)</f>
        <v>#N/A</v>
      </c>
      <c r="AD143" s="63" t="str">
        <f t="shared" si="86"/>
        <v>0230-23</v>
      </c>
      <c r="AE143" s="99" t="str">
        <f t="shared" si="93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143" s="96" t="str">
        <f t="shared" si="94"/>
        <v>"C:\Program Files (x86)\AstroGrep\AstroGrep.exe" /spath="%USERPROFILE%\AppData\Local\Temp\OnboardLogs" /stypes="app*4012*20160924*" /stext=" 04:.+((SYSTEM_STATE.+slice.+state.+changed )|(ment ac)|(system.+state.+changed )|(\|lc)|(penalty)|(\[timeout)|(PRM\|1\|D)|(kpr)|(kdp))" /e /r /s</v>
      </c>
      <c r="AG143" s="1" t="str">
        <f t="shared" si="84"/>
        <v>EC</v>
      </c>
      <c r="AH143" s="100" t="str">
        <f t="shared" si="50"/>
        <v>"%USERPROFILE%\Documents\GitHub\eaglep3\Utilities\RefineRTDCRunTimes.py" --tripid 230-23 --locoid 4012 --swversion DE.1.0.7.0 --startMP 204:233006 --initTime 2016-09-23T21:52:24 --startdatetime 2016-09-23T21:56:33 --delay 1 --endMP 204:134 --enddatetime 2016-09-23T22:34:57 --enforcementcount 0 &gt;&gt;C:\Users\stu\Documents\GitHub\eaglep3-reporting\EC\2016-09-23-refined-times.txt</v>
      </c>
      <c r="AI143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{"issue":{"subject":"","project_id":79,"tracker_id":40,"status_id":1,"priority_id":2,"assigned_to_id":23,"start_date":"2016-09-23","description":"","custom_fields":[{"id":1,"name":"Subdivision","value":"EC"},{"id":4,"name":"Milepost","value":"0.0134"},{"id":17,"name":"Train ID","value":"230-23"},{"id":16,"name":"Locomotive ID","value":"4012"},{"id":130,"name":"Impact","value":""},{"id":150,"name":"Time of Event (Mountain Time)","value":"22:34:57"},{"id":151,"name":"Denver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585</v>
      </c>
      <c r="B144" s="7">
        <v>4027</v>
      </c>
      <c r="C144" s="24" t="s">
        <v>106</v>
      </c>
      <c r="D144" s="24" t="s">
        <v>251</v>
      </c>
      <c r="E144" s="15">
        <v>42636.883483796293</v>
      </c>
      <c r="F144" s="15">
        <v>42636.896111111113</v>
      </c>
      <c r="G144" s="7">
        <v>1</v>
      </c>
      <c r="H144" s="15" t="s">
        <v>357</v>
      </c>
      <c r="I144" s="15">
        <v>42636.920694444445</v>
      </c>
      <c r="J144" s="7">
        <v>0</v>
      </c>
      <c r="K144" s="121" t="str">
        <f t="shared" si="87"/>
        <v>4027/4028</v>
      </c>
      <c r="L144" s="24" t="str">
        <f>VLOOKUP(A144,'Trips&amp;Operators'!$C$1:$E$10000,3,FALSE)</f>
        <v>YANAI</v>
      </c>
      <c r="M144" s="6">
        <f t="shared" si="88"/>
        <v>2.4583333331975155E-2</v>
      </c>
      <c r="N144" s="7">
        <f t="shared" si="82"/>
        <v>35.399999998044223</v>
      </c>
      <c r="O144" s="7"/>
      <c r="P144" s="7"/>
      <c r="Q144" s="25"/>
      <c r="R144" s="25"/>
      <c r="S144" s="37">
        <f t="shared" si="85"/>
        <v>1</v>
      </c>
      <c r="T144" s="52" t="str">
        <f t="shared" si="89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20:12:13-0600',mode:absolute,to:'2016-09-23 23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44" s="54" t="str">
        <f t="shared" si="91"/>
        <v>N</v>
      </c>
      <c r="X144" s="168">
        <f t="shared" si="83"/>
        <v>1</v>
      </c>
      <c r="Y144" s="69">
        <f t="shared" si="80"/>
        <v>4.3999999999999997E-2</v>
      </c>
      <c r="Z144" s="69">
        <f t="shared" si="81"/>
        <v>23.330200000000001</v>
      </c>
      <c r="AA144" s="69">
        <f t="shared" si="92"/>
        <v>23.286200000000001</v>
      </c>
      <c r="AB144" s="66" t="e">
        <f>VLOOKUP(A144,Enforcements!$C$7:$K$20,8,0)</f>
        <v>#N/A</v>
      </c>
      <c r="AC144" s="62" t="e">
        <f>VLOOKUP(A144,Enforcements!$C$7:$E$20,3,0)</f>
        <v>#N/A</v>
      </c>
      <c r="AD144" s="63" t="str">
        <f t="shared" si="86"/>
        <v>0231-23</v>
      </c>
      <c r="AE144" s="99" t="str">
        <f t="shared" si="93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44" s="96" t="str">
        <f t="shared" si="94"/>
        <v>"C:\Program Files (x86)\AstroGrep\AstroGrep.exe" /spath="%USERPROFILE%\AppData\Local\Temp\OnboardLogs" /stypes="app*4027*20160924*" /stext=" 04:.+((SYSTEM_STATE.+slice.+state.+changed )|(ment ac)|(system.+state.+changed )|(\|lc)|(penalty)|(\[timeout)|(PRM\|1\|D)|(kpr)|(kdp))" /e /r /s</v>
      </c>
      <c r="AG144" s="1" t="str">
        <f t="shared" si="84"/>
        <v>EC</v>
      </c>
      <c r="AH144" s="100" t="str">
        <f t="shared" si="50"/>
        <v>"%USERPROFILE%\Documents\GitHub\eaglep3\Utilities\RefineRTDCRunTimes.py" --tripid 231-23 --locoid 4027 --swversion DE.1.0.7.0 --startMP 204:440 --initTime 2016-09-23T21:12:13 --startdatetime 2016-09-23T21:30:24 --delay 1 --endMP 204:233302 --enddatetime 2016-09-23T22:05:48 --enforcementcount 0 &gt;&gt;C:\Users\stu\Documents\GitHub\eaglep3-reporting\EC\2016-09-23-refined-times.txt</v>
      </c>
      <c r="AI144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{"issue":{"subject":"","project_id":79,"tracker_id":40,"status_id":1,"priority_id":2,"assigned_to_id":23,"start_date":"2016-09-23","description":"","custom_fields":[{"id":1,"name":"Subdivision","value":"EC"},{"id":4,"name":"Milepost","value":"23.3302"},{"id":17,"name":"Train ID","value":"231-23"},{"id":16,"name":"Locomotive ID","value":"4027"},{"id":130,"name":"Impact","value":""},{"id":150,"name":"Time of Event (Mountain Time)","value":"22:05:48"},{"id":151,"name":"Denver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590</v>
      </c>
      <c r="B145" s="7">
        <v>4028</v>
      </c>
      <c r="C145" s="24" t="s">
        <v>106</v>
      </c>
      <c r="D145" s="24" t="s">
        <v>266</v>
      </c>
      <c r="E145" s="15">
        <v>42636.9296412037</v>
      </c>
      <c r="F145" s="15">
        <v>42636.934907407405</v>
      </c>
      <c r="G145" s="7">
        <v>1</v>
      </c>
      <c r="H145" s="15" t="s">
        <v>222</v>
      </c>
      <c r="I145" s="15">
        <v>42636.962488425925</v>
      </c>
      <c r="J145" s="7">
        <v>0</v>
      </c>
      <c r="K145" s="121" t="str">
        <f t="shared" si="87"/>
        <v>4027/4028</v>
      </c>
      <c r="L145" s="24" t="str">
        <f>VLOOKUP(A145,'Trips&amp;Operators'!$C$1:$E$10000,3,FALSE)</f>
        <v>YANAI</v>
      </c>
      <c r="M145" s="6">
        <f t="shared" si="88"/>
        <v>2.7581018519413192E-2</v>
      </c>
      <c r="N145" s="7">
        <f t="shared" si="82"/>
        <v>39.716666667954996</v>
      </c>
      <c r="O145" s="7"/>
      <c r="P145" s="7"/>
      <c r="Q145" s="25"/>
      <c r="R145" s="25"/>
      <c r="S145" s="37">
        <f t="shared" si="85"/>
        <v>1</v>
      </c>
      <c r="T145" s="52" t="str">
        <f t="shared" si="89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21:18:41-0600',mode:absolute,to:'2016-09-24 00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5" s="54" t="str">
        <f t="shared" si="91"/>
        <v>N</v>
      </c>
      <c r="X145" s="168">
        <f t="shared" si="83"/>
        <v>1</v>
      </c>
      <c r="Y145" s="69">
        <f t="shared" si="80"/>
        <v>23.298100000000002</v>
      </c>
      <c r="Z145" s="69">
        <f t="shared" si="81"/>
        <v>1.52E-2</v>
      </c>
      <c r="AA145" s="69">
        <f t="shared" si="92"/>
        <v>23.282900000000001</v>
      </c>
      <c r="AB145" s="66" t="e">
        <f>VLOOKUP(A145,Enforcements!$C$7:$K$20,8,0)</f>
        <v>#N/A</v>
      </c>
      <c r="AC145" s="62" t="e">
        <f>VLOOKUP(A145,Enforcements!$C$7:$E$20,3,0)</f>
        <v>#N/A</v>
      </c>
      <c r="AD145" s="63" t="str">
        <f t="shared" si="86"/>
        <v>0232-23</v>
      </c>
      <c r="AE145" s="99" t="str">
        <f t="shared" si="93"/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AF145" s="96" t="str">
        <f t="shared" si="94"/>
        <v>"C:\Program Files (x86)\AstroGrep\AstroGrep.exe" /spath="%USERPROFILE%\AppData\Local\Temp\OnboardLogs" /stypes="app*4028*20160924*" /stext=" 05:.+((SYSTEM_STATE.+slice.+state.+changed )|(ment ac)|(system.+state.+changed )|(\|lc)|(penalty)|(\[timeout)|(PRM\|1\|D)|(kpr)|(kdp))" /e /r /s</v>
      </c>
      <c r="AG145" s="1" t="str">
        <f t="shared" si="84"/>
        <v>EC</v>
      </c>
      <c r="AH145" s="100" t="str">
        <f t="shared" si="50"/>
        <v>"%USERPROFILE%\Documents\GitHub\eaglep3\Utilities\RefineRTDCRunTimes.py" --tripid 232-23 --locoid 4028 --swversion DE.1.0.7.0 --startMP 204:232981 --initTime 2016-09-23T22:18:41 --startdatetime 2016-09-23T22:26:16 --delay 1 --endMP 204:152 --enddatetime 2016-09-23T23:05:59 --enforcementcount 0 &gt;&gt;C:\Users\stu\Documents\GitHub\eaglep3-reporting\EC\2016-09-23-refined-times.txt</v>
      </c>
      <c r="AI145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ID","value":"232-23"},{"id":16,"name":"Locomotive ID","value":"4028"},{"id":130,"name":"Impact","value":""},{"id":150,"name":"Time of Event (Mountain Time)","value":"23:05:59"},{"id":151,"name":"Denver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588</v>
      </c>
      <c r="B146" s="7">
        <v>4040</v>
      </c>
      <c r="C146" s="24" t="s">
        <v>106</v>
      </c>
      <c r="D146" s="24" t="s">
        <v>227</v>
      </c>
      <c r="E146" s="15">
        <v>42636.913344907407</v>
      </c>
      <c r="F146" s="15">
        <v>42636.916909722226</v>
      </c>
      <c r="G146" s="7">
        <v>1</v>
      </c>
      <c r="H146" s="15" t="s">
        <v>255</v>
      </c>
      <c r="I146" s="15">
        <v>42636.943935185183</v>
      </c>
      <c r="J146" s="7">
        <v>0</v>
      </c>
      <c r="K146" s="121" t="str">
        <f t="shared" si="87"/>
        <v>4039/4040</v>
      </c>
      <c r="L146" s="24" t="str">
        <f>VLOOKUP(A146,'Trips&amp;Operators'!$C$1:$E$10000,3,FALSE)</f>
        <v>CHANDLER</v>
      </c>
      <c r="M146" s="6">
        <f t="shared" si="88"/>
        <v>2.7025462957681157E-2</v>
      </c>
      <c r="N146" s="7">
        <f t="shared" si="82"/>
        <v>38.916666659060866</v>
      </c>
      <c r="O146" s="7"/>
      <c r="P146" s="7"/>
      <c r="Q146" s="25"/>
      <c r="R146" s="25"/>
      <c r="S146" s="37">
        <f t="shared" si="85"/>
        <v>1</v>
      </c>
      <c r="T146" s="52" t="str">
        <f t="shared" si="89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20:55:13-0600',mode:absolute,to:'2016-09-23 23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6" s="54" t="str">
        <f t="shared" si="91"/>
        <v>N</v>
      </c>
      <c r="X146" s="168">
        <f t="shared" si="83"/>
        <v>1</v>
      </c>
      <c r="Y146" s="69">
        <f t="shared" si="80"/>
        <v>4.5499999999999999E-2</v>
      </c>
      <c r="Z146" s="69">
        <f t="shared" si="81"/>
        <v>23.331399999999999</v>
      </c>
      <c r="AA146" s="69">
        <f t="shared" si="92"/>
        <v>23.285899999999998</v>
      </c>
      <c r="AB146" s="66" t="e">
        <f>VLOOKUP(A146,Enforcements!$C$7:$K$20,8,0)</f>
        <v>#N/A</v>
      </c>
      <c r="AC146" s="62" t="e">
        <f>VLOOKUP(A146,Enforcements!$C$7:$E$20,3,0)</f>
        <v>#N/A</v>
      </c>
      <c r="AD146" s="63" t="str">
        <f t="shared" si="86"/>
        <v>0233-23</v>
      </c>
      <c r="AE146" s="99" t="str">
        <f t="shared" si="93"/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AF146" s="96" t="str">
        <f t="shared" si="94"/>
        <v>"C:\Program Files (x86)\AstroGrep\AstroGrep.exe" /spath="%USERPROFILE%\AppData\Local\Temp\OnboardLogs" /stypes="app*4040*20160924*" /stext=" 04:.+((SYSTEM_STATE.+slice.+state.+changed )|(ment ac)|(system.+state.+changed )|(\|lc)|(penalty)|(\[timeout)|(PRM\|1\|D)|(kpr)|(kdp))" /e /r /s</v>
      </c>
      <c r="AG146" s="1" t="str">
        <f t="shared" si="84"/>
        <v>EC</v>
      </c>
      <c r="AH146" s="100" t="str">
        <f t="shared" si="50"/>
        <v>"%USERPROFILE%\Documents\GitHub\eaglep3\Utilities\RefineRTDCRunTimes.py" --tripid 233-23 --locoid 4040 --swversion DE.1.0.7.0 --startMP 204:455 --initTime 2016-09-23T21:55:13 --startdatetime 2016-09-23T22:00:21 --delay 1 --endMP 204:233314 --enddatetime 2016-09-23T22:39:16 --enforcementcount 0 &gt;&gt;C:\Users\stu\Documents\GitHub\eaglep3-reporting\EC\2016-09-23-refined-times.txt</v>
      </c>
      <c r="AI146" s="134" t="str">
        <f t="shared" si="51"/>
        <v>echo {"issue":{"subject":"","project_id":79,"tracker_id":40,"status_id":1,"priority_id":2,"assigned_to_id":23,"start_date":"2016-09-23","description":"","custom_fields":[{"id":1,"name":"Subdivision","value":"EC"},{"id":4,"name":"Milepost","value":"23.3314"},{"id":17,"name":"Train ID","value":"233-23"},{"id":16,"name":"Locomotive ID","value":"4040"},{"id":130,"name":"Impact","value":""},{"id":150,"name":"Time of Event (Mountain Time)","value":"22:39:16"},{"id":151,"name":"Denver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593</v>
      </c>
      <c r="B147" s="7">
        <v>4039</v>
      </c>
      <c r="C147" s="24" t="s">
        <v>106</v>
      </c>
      <c r="D147" s="24" t="s">
        <v>290</v>
      </c>
      <c r="E147" s="15">
        <v>42636.954930555556</v>
      </c>
      <c r="F147" s="15">
        <v>42636.955972222226</v>
      </c>
      <c r="G147" s="7">
        <v>1</v>
      </c>
      <c r="H147" s="15" t="s">
        <v>222</v>
      </c>
      <c r="I147" s="15">
        <v>42636.985844907409</v>
      </c>
      <c r="J147" s="7">
        <v>0</v>
      </c>
      <c r="K147" s="121" t="str">
        <f t="shared" si="87"/>
        <v>4039/4040</v>
      </c>
      <c r="L147" s="24" t="str">
        <f>VLOOKUP(A147,'Trips&amp;Operators'!$C$1:$E$10000,3,FALSE)</f>
        <v>CHANDLER</v>
      </c>
      <c r="M147" s="6">
        <f t="shared" si="88"/>
        <v>2.9872685183363501E-2</v>
      </c>
      <c r="N147" s="7">
        <f t="shared" si="82"/>
        <v>43.016666664043441</v>
      </c>
      <c r="O147" s="7"/>
      <c r="P147" s="7"/>
      <c r="Q147" s="25"/>
      <c r="R147" s="25"/>
      <c r="S147" s="37">
        <f t="shared" si="85"/>
        <v>1</v>
      </c>
      <c r="T147" s="52" t="str">
        <f t="shared" si="89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21:55:06-0600',mode:absolute,to:'2016-09-24 00:39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7" s="54" t="str">
        <f t="shared" si="91"/>
        <v>N</v>
      </c>
      <c r="X147" s="168">
        <f t="shared" si="83"/>
        <v>1</v>
      </c>
      <c r="Y147" s="69">
        <f t="shared" si="80"/>
        <v>23.298300000000001</v>
      </c>
      <c r="Z147" s="69">
        <f t="shared" si="81"/>
        <v>1.52E-2</v>
      </c>
      <c r="AA147" s="69">
        <f t="shared" si="92"/>
        <v>23.283100000000001</v>
      </c>
      <c r="AB147" s="66" t="e">
        <f>VLOOKUP(A147,Enforcements!$C$7:$K$20,8,0)</f>
        <v>#N/A</v>
      </c>
      <c r="AC147" s="62" t="e">
        <f>VLOOKUP(A147,Enforcements!$C$7:$E$20,3,0)</f>
        <v>#N/A</v>
      </c>
      <c r="AD147" s="63" t="str">
        <f t="shared" si="86"/>
        <v>0234-23</v>
      </c>
      <c r="AE147" s="99" t="str">
        <f t="shared" si="93"/>
        <v>aws s3 cp s3://rtdc.mdm.uploadarchive/RTDC4039/2016-09-23/ "%USERPROFILE%\AppData\Local\Temp\OnboardLogs"\RTDC4039\2016-09-23 --recursive &amp; "%USERPROFILE%\Documents\GitHub\mrs-test-scripts\Headless Mode &amp; Sideloading\WalkAndUnGZ.bat" "%USERPROFILE%\AppData\Local\Temp\OnboardLogs"\RTDC4039\2016-09-23 &amp; 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</v>
      </c>
      <c r="AF147" s="96" t="str">
        <f t="shared" si="94"/>
        <v>"C:\Program Files (x86)\AstroGrep\AstroGrep.exe" /spath="%USERPROFILE%\AppData\Local\Temp\OnboardLogs" /stypes="app*4039*20160924*" /stext=" 05:.+((SYSTEM_STATE.+slice.+state.+changed )|(ment ac)|(system.+state.+changed )|(\|lc)|(penalty)|(\[timeout)|(PRM\|1\|D)|(kpr)|(kdp))" /e /r /s</v>
      </c>
      <c r="AG147" s="1" t="str">
        <f t="shared" si="84"/>
        <v>EC</v>
      </c>
      <c r="AH147" s="100" t="str">
        <f t="shared" ref="AH147:AH212" si="95"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234-23 --locoid 4039 --swversion DE.1.0.7.0 --startMP 204:232983 --initTime 2016-09-23T22:55:06 --startdatetime 2016-09-23T22:56:36 --delay 1 --endMP 204:152 --enddatetime 2016-09-23T23:39:37 --enforcementcount 0 &gt;&gt;C:\Users\stu\Documents\GitHub\eaglep3-reporting\EC\2016-09-23-refined-times.txt</v>
      </c>
      <c r="AI147" s="134" t="str">
        <f t="shared" ref="AI147:AI212" si="96"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{"issue":{"subject":"","project_id":79,"tracker_id":40,"status_id":1,"priority_id":2,"assigned_to_id":23,"start_date":"2016-09-23","description":"","custom_fields":[{"id":1,"name":"Subdivision","value":"EC"},{"id":4,"name":"Milepost","value":"0.0152"},{"id":17,"name":"Train ID","value":"234-23"},{"id":16,"name":"Locomotive ID","value":"4039"},{"id":130,"name":"Impact","value":""},{"id":150,"name":"Time of Event (Mountain Time)","value":"23:39:37"},{"id":151,"name":"Denver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591</v>
      </c>
      <c r="B148" s="7">
        <v>4016</v>
      </c>
      <c r="C148" s="24" t="s">
        <v>106</v>
      </c>
      <c r="D148" s="24" t="s">
        <v>271</v>
      </c>
      <c r="E148" s="15">
        <v>42636.93273148148</v>
      </c>
      <c r="F148" s="15">
        <v>42636.9377662037</v>
      </c>
      <c r="G148" s="7">
        <v>7</v>
      </c>
      <c r="H148" s="15" t="s">
        <v>316</v>
      </c>
      <c r="I148" s="15">
        <v>42636.963877314818</v>
      </c>
      <c r="J148" s="7">
        <v>0</v>
      </c>
      <c r="K148" s="121" t="str">
        <f t="shared" si="87"/>
        <v>4015/4016</v>
      </c>
      <c r="L148" s="24" t="str">
        <f>VLOOKUP(A148,'Trips&amp;Operators'!$C$1:$E$10000,3,FALSE)</f>
        <v>STURGEON</v>
      </c>
      <c r="M148" s="6">
        <f t="shared" si="88"/>
        <v>2.6111111117643304E-2</v>
      </c>
      <c r="N148" s="7">
        <f t="shared" si="82"/>
        <v>37.600000009406358</v>
      </c>
      <c r="O148" s="7"/>
      <c r="P148" s="7"/>
      <c r="Q148" s="25"/>
      <c r="R148" s="25"/>
      <c r="S148" s="37">
        <f t="shared" si="85"/>
        <v>1</v>
      </c>
      <c r="T148" s="52" t="str">
        <f t="shared" si="89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21:23:08-0600',mode:absolute,to:'2016-09-24 00:07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48" s="54" t="str">
        <f t="shared" si="91"/>
        <v>N</v>
      </c>
      <c r="X148" s="168">
        <f t="shared" si="83"/>
        <v>1</v>
      </c>
      <c r="Y148" s="69">
        <f t="shared" si="80"/>
        <v>4.8399999999999999E-2</v>
      </c>
      <c r="Z148" s="69">
        <f t="shared" si="81"/>
        <v>23.328399999999998</v>
      </c>
      <c r="AA148" s="69">
        <f t="shared" si="92"/>
        <v>23.279999999999998</v>
      </c>
      <c r="AB148" s="66" t="e">
        <f>VLOOKUP(A148,Enforcements!$C$7:$K$20,8,0)</f>
        <v>#N/A</v>
      </c>
      <c r="AC148" s="62" t="e">
        <f>VLOOKUP(A148,Enforcements!$C$7:$E$20,3,0)</f>
        <v>#N/A</v>
      </c>
      <c r="AD148" s="63" t="str">
        <f t="shared" si="86"/>
        <v>0235-23</v>
      </c>
      <c r="AE148" s="99" t="str">
        <f t="shared" si="93"/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AF148" s="96" t="str">
        <f t="shared" si="94"/>
        <v>"C:\Program Files (x86)\AstroGrep\AstroGrep.exe" /spath="%USERPROFILE%\AppData\Local\Temp\OnboardLogs" /stypes="app*4016*20160924*" /stext=" 05:.+((SYSTEM_STATE.+slice.+state.+changed )|(ment ac)|(system.+state.+changed )|(\|lc)|(penalty)|(\[timeout)|(PRM\|1\|D)|(kpr)|(kdp))" /e /r /s</v>
      </c>
      <c r="AG148" s="1" t="str">
        <f t="shared" si="84"/>
        <v>EC</v>
      </c>
      <c r="AH148" s="100" t="str">
        <f t="shared" si="95"/>
        <v>"%USERPROFILE%\Documents\GitHub\eaglep3\Utilities\RefineRTDCRunTimes.py" --tripid 235-23 --locoid 4016 --swversion DE.1.0.7.0 --startMP 204:484 --initTime 2016-09-23T22:23:08 --startdatetime 2016-09-23T22:30:23 --delay 7 --endMP 204:233284 --enddatetime 2016-09-23T23:07:59 --enforcementcount 0 &gt;&gt;C:\Users\stu\Documents\GitHub\eaglep3-reporting\EC\2016-09-23-refined-times.txt</v>
      </c>
      <c r="AI148" s="134" t="str">
        <f t="shared" si="96"/>
        <v>echo {"issue":{"subject":"","project_id":79,"tracker_id":40,"status_id":1,"priority_id":2,"assigned_to_id":23,"start_date":"2016-09-23","description":"","custom_fields":[{"id":1,"name":"Subdivision","value":"EC"},{"id":4,"name":"Milepost","value":"23.3284"},{"id":17,"name":"Train ID","value":"235-23"},{"id":16,"name":"Locomotive ID","value":"4016"},{"id":130,"name":"Impact","value":""},{"id":150,"name":"Time of Event (Mountain Time)","value":"23:07:59"},{"id":151,"name":"Denver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596</v>
      </c>
      <c r="B149" s="7">
        <v>4015</v>
      </c>
      <c r="C149" s="24" t="s">
        <v>106</v>
      </c>
      <c r="D149" s="24" t="s">
        <v>320</v>
      </c>
      <c r="E149" s="15">
        <v>42636.968530092592</v>
      </c>
      <c r="F149" s="15">
        <v>42636.9766087963</v>
      </c>
      <c r="G149" s="7">
        <v>1</v>
      </c>
      <c r="H149" s="15" t="s">
        <v>616</v>
      </c>
      <c r="I149" s="15">
        <v>42637.005856481483</v>
      </c>
      <c r="J149" s="7">
        <v>0</v>
      </c>
      <c r="K149" s="121" t="str">
        <f t="shared" si="87"/>
        <v>4015/4016</v>
      </c>
      <c r="L149" s="24" t="str">
        <f>VLOOKUP(A149,'Trips&amp;Operators'!$C$1:$E$10000,3,FALSE)</f>
        <v>STURGEON</v>
      </c>
      <c r="M149" s="6">
        <f t="shared" si="88"/>
        <v>2.9247685182781424E-2</v>
      </c>
      <c r="N149" s="7">
        <f t="shared" si="82"/>
        <v>42.116666663205251</v>
      </c>
      <c r="O149" s="7"/>
      <c r="P149" s="7"/>
      <c r="Q149" s="25"/>
      <c r="R149" s="25"/>
      <c r="S149" s="37">
        <f t="shared" si="85"/>
        <v>1</v>
      </c>
      <c r="T149" s="52" t="str">
        <f t="shared" si="89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22:14:41-0600',mode:absolute,to:'2016-09-24 01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49" s="54" t="str">
        <f t="shared" si="91"/>
        <v>N</v>
      </c>
      <c r="X149" s="168">
        <f t="shared" si="83"/>
        <v>1</v>
      </c>
      <c r="Y149" s="69">
        <f t="shared" si="80"/>
        <v>23.2957</v>
      </c>
      <c r="Z149" s="69">
        <f t="shared" si="81"/>
        <v>1.6500000000000001E-2</v>
      </c>
      <c r="AA149" s="69">
        <f t="shared" si="92"/>
        <v>23.279199999999999</v>
      </c>
      <c r="AB149" s="66" t="e">
        <f>VLOOKUP(A149,Enforcements!$C$7:$K$20,8,0)</f>
        <v>#N/A</v>
      </c>
      <c r="AC149" s="62" t="e">
        <f>VLOOKUP(A149,Enforcements!$C$7:$E$20,3,0)</f>
        <v>#N/A</v>
      </c>
      <c r="AD149" s="63" t="str">
        <f t="shared" si="86"/>
        <v>0236-23</v>
      </c>
      <c r="AE149" s="99" t="str">
        <f t="shared" si="93"/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AF149" s="96" t="str">
        <f t="shared" si="94"/>
        <v>"C:\Program Files (x86)\AstroGrep\AstroGrep.exe" /spath="%USERPROFILE%\AppData\Local\Temp\OnboardLogs" /stypes="app*4015*20160924*" /stext=" 06:.+((SYSTEM_STATE.+slice.+state.+changed )|(ment ac)|(system.+state.+changed )|(\|lc)|(penalty)|(\[timeout)|(PRM\|1\|D)|(kpr)|(kdp))" /e /r /s</v>
      </c>
      <c r="AG149" s="1" t="str">
        <f t="shared" si="84"/>
        <v>EC</v>
      </c>
      <c r="AH149" s="100" t="str">
        <f t="shared" si="95"/>
        <v>"%USERPROFILE%\Documents\GitHub\eaglep3\Utilities\RefineRTDCRunTimes.py" --tripid 236-23 --locoid 4015 --swversion DE.1.0.7.0 --startMP 204:232957 --initTime 2016-09-23T23:14:41 --startdatetime 2016-09-23T23:26:19 --delay 1 --endMP 204:165 --enddatetime 2016-09-24T00:08:26 --enforcementcount 0 &gt;&gt;C:\Users\stu\Documents\GitHub\eaglep3-reporting\EC\2016-09-23-refined-times.txt</v>
      </c>
      <c r="AI149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ID","value":"236-23"},{"id":16,"name":"Locomotive ID","value":"4015"},{"id":130,"name":"Impact","value":""},{"id":150,"name":"Time of Event (Mountain Time)","value":"00:08:26"},{"id":151,"name":"Denver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594</v>
      </c>
      <c r="B150" s="7">
        <v>4011</v>
      </c>
      <c r="C150" s="24" t="s">
        <v>106</v>
      </c>
      <c r="D150" s="24" t="s">
        <v>358</v>
      </c>
      <c r="E150" s="15">
        <v>42636.955034722225</v>
      </c>
      <c r="F150" s="15">
        <v>42636.95853009259</v>
      </c>
      <c r="G150" s="7">
        <v>1</v>
      </c>
      <c r="H150" s="15" t="s">
        <v>628</v>
      </c>
      <c r="I150" s="15">
        <v>42636.984363425923</v>
      </c>
      <c r="J150" s="7">
        <v>0</v>
      </c>
      <c r="K150" s="121" t="str">
        <f t="shared" si="87"/>
        <v>4011/4012</v>
      </c>
      <c r="L150" s="24" t="str">
        <f>VLOOKUP(A150,'Trips&amp;Operators'!$C$1:$E$10000,3,FALSE)</f>
        <v>LEVIN</v>
      </c>
      <c r="M150" s="6">
        <f t="shared" si="88"/>
        <v>2.5833333333139308E-2</v>
      </c>
      <c r="N150" s="7">
        <f t="shared" si="82"/>
        <v>37.199999999720603</v>
      </c>
      <c r="O150" s="7"/>
      <c r="P150" s="7"/>
      <c r="Q150" s="25"/>
      <c r="R150" s="25"/>
      <c r="S150" s="37">
        <f t="shared" si="85"/>
        <v>1</v>
      </c>
      <c r="T150" s="52" t="str">
        <f t="shared" si="89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21:55:15-0600',mode:absolute,to:'2016-09-24 00:37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0" s="54" t="str">
        <f t="shared" si="91"/>
        <v>N</v>
      </c>
      <c r="X150" s="168">
        <f t="shared" si="83"/>
        <v>1</v>
      </c>
      <c r="Y150" s="69">
        <f t="shared" si="80"/>
        <v>4.3799999999999999E-2</v>
      </c>
      <c r="Z150" s="69">
        <f t="shared" si="81"/>
        <v>23.332100000000001</v>
      </c>
      <c r="AA150" s="69">
        <f t="shared" si="92"/>
        <v>23.2883</v>
      </c>
      <c r="AB150" s="66" t="e">
        <f>VLOOKUP(A150,Enforcements!$C$7:$K$20,8,0)</f>
        <v>#N/A</v>
      </c>
      <c r="AC150" s="62" t="e">
        <f>VLOOKUP(A150,Enforcements!$C$7:$E$20,3,0)</f>
        <v>#N/A</v>
      </c>
      <c r="AD150" s="63" t="str">
        <f t="shared" si="86"/>
        <v>0237-23</v>
      </c>
      <c r="AE150" s="99" t="str">
        <f t="shared" si="93"/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AF150" s="96" t="str">
        <f t="shared" si="94"/>
        <v>"C:\Program Files (x86)\AstroGrep\AstroGrep.exe" /spath="%USERPROFILE%\AppData\Local\Temp\OnboardLogs" /stypes="app*4011*20160924*" /stext=" 05:.+((SYSTEM_STATE.+slice.+state.+changed )|(ment ac)|(system.+state.+changed )|(\|lc)|(penalty)|(\[timeout)|(PRM\|1\|D)|(kpr)|(kdp))" /e /r /s</v>
      </c>
      <c r="AG150" s="1" t="str">
        <f t="shared" si="84"/>
        <v>EC</v>
      </c>
      <c r="AH150" s="100" t="str">
        <f t="shared" si="95"/>
        <v>"%USERPROFILE%\Documents\GitHub\eaglep3\Utilities\RefineRTDCRunTimes.py" --tripid 237-23 --locoid 4011 --swversion DE.1.0.7.0 --startMP 204:438 --initTime 2016-09-23T22:55:15 --startdatetime 2016-09-23T23:00:17 --delay 1 --endMP 204:233321 --enddatetime 2016-09-23T23:37:29 --enforcementcount 0 &gt;&gt;C:\Users\stu\Documents\GitHub\eaglep3-reporting\EC\2016-09-23-refined-times.txt</v>
      </c>
      <c r="AI150" s="134" t="str">
        <f t="shared" si="96"/>
        <v>echo {"issue":{"subject":"","project_id":79,"tracker_id":40,"status_id":1,"priority_id":2,"assigned_to_id":23,"start_date":"2016-09-23","description":"","custom_fields":[{"id":1,"name":"Subdivision","value":"EC"},{"id":4,"name":"Milepost","value":"23.3321"},{"id":17,"name":"Train ID","value":"237-23"},{"id":16,"name":"Locomotive ID","value":"4011"},{"id":130,"name":"Impact","value":""},{"id":150,"name":"Time of Event (Mountain Time)","value":"23:37:29"},{"id":151,"name":"Denver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597</v>
      </c>
      <c r="B151" s="7">
        <v>4012</v>
      </c>
      <c r="C151" s="24" t="s">
        <v>106</v>
      </c>
      <c r="D151" s="24" t="s">
        <v>259</v>
      </c>
      <c r="E151" s="15">
        <v>42636.987233796295</v>
      </c>
      <c r="F151" s="15">
        <v>42636.997407407405</v>
      </c>
      <c r="G151" s="7">
        <v>1</v>
      </c>
      <c r="H151" s="15" t="s">
        <v>267</v>
      </c>
      <c r="I151" s="15">
        <v>42637.024155092593</v>
      </c>
      <c r="J151" s="7">
        <v>0</v>
      </c>
      <c r="K151" s="121" t="str">
        <f t="shared" si="87"/>
        <v>4011/4012</v>
      </c>
      <c r="L151" s="24" t="str">
        <f>VLOOKUP(A151,'Trips&amp;Operators'!$C$1:$E$10000,3,FALSE)</f>
        <v>LEVIN</v>
      </c>
      <c r="M151" s="6">
        <f t="shared" si="88"/>
        <v>2.6747685187729076E-2</v>
      </c>
      <c r="N151" s="7">
        <f t="shared" si="82"/>
        <v>38.516666670329869</v>
      </c>
      <c r="O151" s="7"/>
      <c r="P151" s="7"/>
      <c r="Q151" s="25"/>
      <c r="R151" s="25"/>
      <c r="S151" s="37">
        <f t="shared" si="85"/>
        <v>1</v>
      </c>
      <c r="T151" s="52" t="str">
        <f t="shared" si="89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22:41:37-0600',mode:absolute,to:'2016-09-24 01:34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1" s="54" t="str">
        <f t="shared" si="91"/>
        <v>N</v>
      </c>
      <c r="X151" s="168">
        <f t="shared" si="83"/>
        <v>1</v>
      </c>
      <c r="Y151" s="69">
        <f t="shared" si="80"/>
        <v>23.3</v>
      </c>
      <c r="Z151" s="69">
        <f t="shared" si="81"/>
        <v>1.41E-2</v>
      </c>
      <c r="AA151" s="69">
        <f t="shared" si="92"/>
        <v>23.285900000000002</v>
      </c>
      <c r="AB151" s="66" t="e">
        <f>VLOOKUP(A151,Enforcements!$C$7:$K$20,8,0)</f>
        <v>#N/A</v>
      </c>
      <c r="AC151" s="62" t="e">
        <f>VLOOKUP(A151,Enforcements!$C$7:$E$20,3,0)</f>
        <v>#N/A</v>
      </c>
      <c r="AD151" s="63" t="str">
        <f t="shared" si="86"/>
        <v>0238-23</v>
      </c>
      <c r="AE151" s="99" t="str">
        <f t="shared" si="93"/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AF151" s="96" t="str">
        <f t="shared" si="94"/>
        <v>"C:\Program Files (x86)\AstroGrep\AstroGrep.exe" /spath="%USERPROFILE%\AppData\Local\Temp\OnboardLogs" /stypes="app*4012*20160924*" /stext=" 06:.+((SYSTEM_STATE.+slice.+state.+changed )|(ment ac)|(system.+state.+changed )|(\|lc)|(penalty)|(\[timeout)|(PRM\|1\|D)|(kpr)|(kdp))" /e /r /s</v>
      </c>
      <c r="AG151" s="1" t="str">
        <f t="shared" si="84"/>
        <v>EC</v>
      </c>
      <c r="AH151" s="100" t="str">
        <f t="shared" si="95"/>
        <v>"%USERPROFILE%\Documents\GitHub\eaglep3\Utilities\RefineRTDCRunTimes.py" --tripid 238-23 --locoid 4012 --swversion DE.1.0.7.0 --startMP 204:233000 --initTime 2016-09-23T23:41:37 --startdatetime 2016-09-23T23:56:16 --delay 1 --endMP 204:141 --enddatetime 2016-09-24T00:34:47 --enforcementcount 0 &gt;&gt;C:\Users\stu\Documents\GitHub\eaglep3-reporting\EC\2016-09-23-refined-times.txt</v>
      </c>
      <c r="AI151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{"issue":{"subject":"","project_id":79,"tracker_id":40,"status_id":1,"priority_id":2,"assigned_to_id":23,"start_date":"2016-09-24","description":"","custom_fields":[{"id":1,"name":"Subdivision","value":"EC"},{"id":4,"name":"Milepost","value":"0.0141"},{"id":17,"name":"Train ID","value":"238-23"},{"id":16,"name":"Locomotive ID","value":"4012"},{"id":130,"name":"Impact","value":""},{"id":150,"name":"Time of Event (Mountain Time)","value":"00:34:47"},{"id":151,"name":"Denver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595</v>
      </c>
      <c r="B152" s="7">
        <v>4027</v>
      </c>
      <c r="C152" s="24" t="s">
        <v>106</v>
      </c>
      <c r="D152" s="24" t="s">
        <v>265</v>
      </c>
      <c r="E152" s="15">
        <v>42636.964097222219</v>
      </c>
      <c r="F152" s="15">
        <v>42636.979363425926</v>
      </c>
      <c r="G152" s="7">
        <v>0</v>
      </c>
      <c r="H152" s="15" t="s">
        <v>255</v>
      </c>
      <c r="I152" s="15">
        <v>42637.003622685188</v>
      </c>
      <c r="J152" s="7">
        <v>0</v>
      </c>
      <c r="K152" s="121" t="str">
        <f t="shared" si="87"/>
        <v>4027/4028</v>
      </c>
      <c r="L152" s="24" t="str">
        <f>VLOOKUP(A152,'Trips&amp;Operators'!$C$1:$E$10000,3,FALSE)</f>
        <v>YANAI</v>
      </c>
      <c r="M152" s="6">
        <f t="shared" si="88"/>
        <v>2.4259259262180422E-2</v>
      </c>
      <c r="N152" s="7">
        <f t="shared" si="82"/>
        <v>34.933333337539807</v>
      </c>
      <c r="O152" s="7"/>
      <c r="P152" s="7"/>
      <c r="Q152" s="25"/>
      <c r="R152" s="25"/>
      <c r="S152" s="37">
        <f t="shared" si="85"/>
        <v>1</v>
      </c>
      <c r="T152" s="52" t="str">
        <f t="shared" si="89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22:08:18-0600',mode:absolute,to:'2016-09-24 01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52" s="54" t="str">
        <f t="shared" si="91"/>
        <v>N</v>
      </c>
      <c r="X152" s="168">
        <f t="shared" si="83"/>
        <v>1</v>
      </c>
      <c r="Y152" s="69">
        <f t="shared" si="80"/>
        <v>4.4400000000000002E-2</v>
      </c>
      <c r="Z152" s="69">
        <f t="shared" si="81"/>
        <v>23.331399999999999</v>
      </c>
      <c r="AA152" s="69">
        <f t="shared" si="92"/>
        <v>23.286999999999999</v>
      </c>
      <c r="AB152" s="66" t="e">
        <f>VLOOKUP(A152,Enforcements!$C$7:$K$20,8,0)</f>
        <v>#N/A</v>
      </c>
      <c r="AC152" s="62" t="e">
        <f>VLOOKUP(A152,Enforcements!$C$7:$E$20,3,0)</f>
        <v>#N/A</v>
      </c>
      <c r="AD152" s="63" t="str">
        <f t="shared" si="86"/>
        <v>0239-23</v>
      </c>
      <c r="AE152" s="99" t="str">
        <f t="shared" si="93"/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AF152" s="96" t="str">
        <f t="shared" si="94"/>
        <v>"C:\Program Files (x86)\AstroGrep\AstroGrep.exe" /spath="%USERPROFILE%\AppData\Local\Temp\OnboardLogs" /stypes="app*4027*20160924*" /stext=" 06:.+((SYSTEM_STATE.+slice.+state.+changed )|(ment ac)|(system.+state.+changed )|(\|lc)|(penalty)|(\[timeout)|(PRM\|1\|D)|(kpr)|(kdp))" /e /r /s</v>
      </c>
      <c r="AG152" s="1" t="str">
        <f t="shared" si="84"/>
        <v>EC</v>
      </c>
      <c r="AH152" s="100" t="str">
        <f t="shared" si="95"/>
        <v>"%USERPROFILE%\Documents\GitHub\eaglep3\Utilities\RefineRTDCRunTimes.py" --tripid 239-23 --locoid 4027 --swversion DE.1.0.7.0 --startMP 204:444 --initTime 2016-09-23T23:08:18 --startdatetime 2016-09-23T23:30:17 --delay 0 --endMP 204:233314 --enddatetime 2016-09-24T00:05:13 --enforcementcount 0 &gt;&gt;C:\Users\stu\Documents\GitHub\eaglep3-reporting\EC\2016-09-23-refined-times.txt</v>
      </c>
      <c r="AI152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{"issue":{"subject":"","project_id":79,"tracker_id":40,"status_id":1,"priority_id":2,"assigned_to_id":23,"start_date":"2016-09-24","description":"","custom_fields":[{"id":1,"name":"Subdivision","value":"EC"},{"id":4,"name":"Milepost","value":"23.3314"},{"id":17,"name":"Train ID","value":"239-23"},{"id":16,"name":"Locomotive ID","value":"4027"},{"id":130,"name":"Impact","value":""},{"id":150,"name":"Time of Event (Mountain Time)","value":"00:05:13"},{"id":151,"name":"Denver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600</v>
      </c>
      <c r="B153" s="7">
        <v>4028</v>
      </c>
      <c r="C153" s="24" t="s">
        <v>106</v>
      </c>
      <c r="D153" s="24" t="s">
        <v>233</v>
      </c>
      <c r="E153" s="15">
        <v>42637.014085648145</v>
      </c>
      <c r="F153" s="15">
        <v>42637.018206018518</v>
      </c>
      <c r="G153" s="7">
        <v>1</v>
      </c>
      <c r="H153" s="15" t="s">
        <v>616</v>
      </c>
      <c r="I153" s="15">
        <v>42637.045555555553</v>
      </c>
      <c r="J153" s="7">
        <v>0</v>
      </c>
      <c r="K153" s="121" t="str">
        <f t="shared" si="87"/>
        <v>4027/4028</v>
      </c>
      <c r="L153" s="24" t="str">
        <f>VLOOKUP(A153,'Trips&amp;Operators'!$C$1:$E$10000,3,FALSE)</f>
        <v>YANAI</v>
      </c>
      <c r="M153" s="6">
        <f t="shared" si="88"/>
        <v>2.7349537034751847E-2</v>
      </c>
      <c r="N153" s="7">
        <f t="shared" si="82"/>
        <v>39.38333333004266</v>
      </c>
      <c r="O153" s="7"/>
      <c r="P153" s="7"/>
      <c r="Q153" s="25"/>
      <c r="R153" s="25"/>
      <c r="S153" s="37">
        <f t="shared" si="85"/>
        <v>1</v>
      </c>
      <c r="T153" s="52" t="str">
        <f t="shared" si="89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23:20:17-0600',mode:absolute,to:'2016-09-24 02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53" s="54" t="str">
        <f t="shared" si="91"/>
        <v>N</v>
      </c>
      <c r="X153" s="168">
        <f t="shared" si="83"/>
        <v>1</v>
      </c>
      <c r="Y153" s="69">
        <f t="shared" si="80"/>
        <v>23.297799999999999</v>
      </c>
      <c r="Z153" s="69">
        <f t="shared" si="81"/>
        <v>1.6500000000000001E-2</v>
      </c>
      <c r="AA153" s="69">
        <f t="shared" si="92"/>
        <v>23.281299999999998</v>
      </c>
      <c r="AB153" s="66" t="e">
        <f>VLOOKUP(A153,Enforcements!$C$7:$K$20,8,0)</f>
        <v>#N/A</v>
      </c>
      <c r="AC153" s="62" t="e">
        <f>VLOOKUP(A153,Enforcements!$C$7:$E$20,3,0)</f>
        <v>#N/A</v>
      </c>
      <c r="AD153" s="63" t="str">
        <f t="shared" si="86"/>
        <v>0240-23</v>
      </c>
      <c r="AE153" s="99" t="str">
        <f t="shared" si="93"/>
        <v>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 &amp; aws s3 cp s3://rtdc.mdm.uploadarchive/RTDC4028/2016-09-25/ "%USERPROFILE%\AppData\Local\Temp\OnboardLogs"\RTDC4028\2016-09-25 --recursive &amp; "%USERPROFILE%\Documents\GitHub\mrs-test-scripts\Headless Mode &amp; Sideloading\WalkAndUnGZ.bat" "%USERPROFILE%\AppData\Local\Temp\OnboardLogs"\RTDC4028\2016-09-25</v>
      </c>
      <c r="AF153" s="96" t="str">
        <f t="shared" si="94"/>
        <v>"C:\Program Files (x86)\AstroGrep\AstroGrep.exe" /spath="%USERPROFILE%\AppData\Local\Temp\OnboardLogs" /stypes="app*4028*20160924*" /stext=" 07:.+((SYSTEM_STATE.+slice.+state.+changed )|(ment ac)|(system.+state.+changed )|(\|lc)|(penalty)|(\[timeout)|(PRM\|1\|D)|(kpr)|(kdp))" /e /r /s</v>
      </c>
      <c r="AG153" s="1" t="str">
        <f t="shared" si="84"/>
        <v>EC</v>
      </c>
      <c r="AH153" s="100" t="str">
        <f t="shared" si="95"/>
        <v>"%USERPROFILE%\Documents\GitHub\eaglep3\Utilities\RefineRTDCRunTimes.py" --tripid 240-23 --locoid 4028 --swversion DE.1.0.7.0 --startMP 204:232978 --initTime 2016-09-24T00:20:17 --startdatetime 2016-09-24T00:26:13 --delay 1 --endMP 204:165 --enddatetime 2016-09-24T01:05:36 --enforcementcount 0 &gt;&gt;C:\Users\stu\Documents\GitHub\eaglep3-reporting\EC\2016-09-23-refined-times.txt</v>
      </c>
      <c r="AI153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{"issue":{"subject":"","project_id":79,"tracker_id":40,"status_id":1,"priority_id":2,"assigned_to_id":23,"start_date":"2016-09-24","description":"","custom_fields":[{"id":1,"name":"Subdivision","value":"EC"},{"id":4,"name":"Milepost","value":"0.0165"},{"id":17,"name":"Train ID","value":"240-23"},{"id":16,"name":"Locomotive ID","value":"4028"},{"id":130,"name":"Impact","value":""},{"id":150,"name":"Time of Event (Mountain Time)","value":"01:05:36"},{"id":151,"name":"Denver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s="23" customFormat="1" x14ac:dyDescent="0.25">
      <c r="A154" s="39" t="s">
        <v>598</v>
      </c>
      <c r="B154" s="7">
        <v>4040</v>
      </c>
      <c r="C154" s="24" t="s">
        <v>106</v>
      </c>
      <c r="D154" s="24" t="s">
        <v>231</v>
      </c>
      <c r="E154" s="15">
        <v>42636.999803240738</v>
      </c>
      <c r="F154" s="15">
        <v>42637.000833333332</v>
      </c>
      <c r="G154" s="7">
        <v>1</v>
      </c>
      <c r="H154" s="15" t="s">
        <v>257</v>
      </c>
      <c r="I154" s="15">
        <v>42637.027488425927</v>
      </c>
      <c r="J154" s="7">
        <v>0</v>
      </c>
      <c r="K154" s="121" t="str">
        <f t="shared" si="87"/>
        <v>4039/4040</v>
      </c>
      <c r="L154" s="24" t="str">
        <f>VLOOKUP(A154,'Trips&amp;Operators'!$C$1:$E$10000,3,FALSE)</f>
        <v>CHANDLER</v>
      </c>
      <c r="M154" s="6">
        <f t="shared" si="88"/>
        <v>2.6655092595319729E-2</v>
      </c>
      <c r="N154" s="7">
        <f t="shared" si="82"/>
        <v>38.38333333726041</v>
      </c>
      <c r="O154" s="7"/>
      <c r="P154" s="7"/>
      <c r="Q154" s="25"/>
      <c r="R154" s="25"/>
      <c r="S154" s="37">
        <f t="shared" si="85"/>
        <v>1</v>
      </c>
      <c r="T154" s="52" t="str">
        <f t="shared" si="89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22:59:43-0600',mode:absolute,to:'2016-09-24 01:39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4" s="54" t="str">
        <f t="shared" si="91"/>
        <v>N</v>
      </c>
      <c r="X154" s="168">
        <f t="shared" si="83"/>
        <v>1</v>
      </c>
      <c r="Y154" s="69">
        <f t="shared" si="80"/>
        <v>4.5999999999999999E-2</v>
      </c>
      <c r="Z154" s="69">
        <f t="shared" si="81"/>
        <v>23.329499999999999</v>
      </c>
      <c r="AA154" s="69">
        <f t="shared" si="92"/>
        <v>23.2835</v>
      </c>
      <c r="AB154" s="66" t="e">
        <f>VLOOKUP(A154,Enforcements!$C$7:$K$20,8,0)</f>
        <v>#N/A</v>
      </c>
      <c r="AC154" s="62" t="e">
        <f>VLOOKUP(A154,Enforcements!$C$7:$E$20,3,0)</f>
        <v>#N/A</v>
      </c>
      <c r="AD154" s="63" t="str">
        <f t="shared" si="86"/>
        <v>0241-23</v>
      </c>
      <c r="AE154" s="99" t="str">
        <f t="shared" si="93"/>
        <v>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 &amp; 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</v>
      </c>
      <c r="AF154" s="96" t="str">
        <f t="shared" si="94"/>
        <v>"C:\Program Files (x86)\AstroGrep\AstroGrep.exe" /spath="%USERPROFILE%\AppData\Local\Temp\OnboardLogs" /stypes="app*4040*20160924*" /stext=" 06:.+((SYSTEM_STATE.+slice.+state.+changed )|(ment ac)|(system.+state.+changed )|(\|lc)|(penalty)|(\[timeout)|(PRM\|1\|D)|(kpr)|(kdp))" /e /r /s</v>
      </c>
      <c r="AG154" s="1" t="str">
        <f t="shared" si="84"/>
        <v>EC</v>
      </c>
      <c r="AH154" s="100" t="str">
        <f t="shared" si="95"/>
        <v>"%USERPROFILE%\Documents\GitHub\eaglep3\Utilities\RefineRTDCRunTimes.py" --tripid 241-23 --locoid 4040 --swversion DE.1.0.7.0 --startMP 204:460 --initTime 2016-09-23T23:59:43 --startdatetime 2016-09-24T00:01:12 --delay 1 --endMP 204:233295 --enddatetime 2016-09-24T00:39:35 --enforcementcount 0 &gt;&gt;C:\Users\stu\Documents\GitHub\eaglep3-reporting\EC\2016-09-23-refined-times.txt</v>
      </c>
      <c r="AI154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{"issue":{"subject":"","project_id":79,"tracker_id":40,"status_id":1,"priority_id":2,"assigned_to_id":23,"start_date":"2016-09-24","description":"","custom_fields":[{"id":1,"name":"Subdivision","value":"EC"},{"id":4,"name":"Milepost","value":"23.3295"},{"id":17,"name":"Train ID","value":"241-23"},{"id":16,"name":"Locomotive ID","value":"4040"},{"id":130,"name":"Impact","value":""},{"id":150,"name":"Time of Event (Mountain Time)","value":"00:39:35"},{"id":151,"name":"Denver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601</v>
      </c>
      <c r="B155" s="7">
        <v>4039</v>
      </c>
      <c r="C155" s="24" t="s">
        <v>106</v>
      </c>
      <c r="D155" s="24" t="s">
        <v>314</v>
      </c>
      <c r="E155" s="15">
        <v>42637.037986111114</v>
      </c>
      <c r="F155" s="15">
        <v>42637.039189814815</v>
      </c>
      <c r="G155" s="7">
        <v>1</v>
      </c>
      <c r="H155" s="15" t="s">
        <v>343</v>
      </c>
      <c r="I155" s="15">
        <v>42637.069722222222</v>
      </c>
      <c r="J155" s="7">
        <v>0</v>
      </c>
      <c r="K155" s="121" t="str">
        <f t="shared" si="87"/>
        <v>4039/4040</v>
      </c>
      <c r="L155" s="24" t="str">
        <f>VLOOKUP(A155,'Trips&amp;Operators'!$C$1:$E$10000,3,FALSE)</f>
        <v>CHANDLER</v>
      </c>
      <c r="M155" s="6">
        <f t="shared" si="88"/>
        <v>3.0532407407008577E-2</v>
      </c>
      <c r="N155" s="7">
        <f t="shared" si="82"/>
        <v>43.966666666092351</v>
      </c>
      <c r="O155" s="7"/>
      <c r="P155" s="7"/>
      <c r="Q155" s="25"/>
      <c r="R155" s="25"/>
      <c r="S155" s="37">
        <f t="shared" si="85"/>
        <v>1</v>
      </c>
      <c r="T155" s="52" t="str">
        <f t="shared" si="89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23:54:42-0600',mode:absolute,to:'2016-09-24 02:40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5" s="54" t="str">
        <f t="shared" si="91"/>
        <v>N</v>
      </c>
      <c r="X155" s="168">
        <f t="shared" si="83"/>
        <v>1</v>
      </c>
      <c r="Y155" s="69">
        <f t="shared" si="80"/>
        <v>23.297599999999999</v>
      </c>
      <c r="Z155" s="69">
        <f t="shared" si="81"/>
        <v>1.43E-2</v>
      </c>
      <c r="AA155" s="69">
        <f t="shared" si="92"/>
        <v>23.283300000000001</v>
      </c>
      <c r="AB155" s="66" t="e">
        <f>VLOOKUP(A155,Enforcements!$C$7:$K$20,8,0)</f>
        <v>#N/A</v>
      </c>
      <c r="AC155" s="62" t="e">
        <f>VLOOKUP(A155,Enforcements!$C$7:$E$20,3,0)</f>
        <v>#N/A</v>
      </c>
      <c r="AD155" s="63" t="str">
        <f t="shared" si="86"/>
        <v>0242-23</v>
      </c>
      <c r="AE155" s="99" t="str">
        <f t="shared" si="93"/>
        <v>aws s3 cp s3://rtdc.mdm.uploadarchive/RTDC4039/2016-09-24/ "%USERPROFILE%\AppData\Local\Temp\OnboardLogs"\RTDC4039\2016-09-24 --recursive &amp; "%USERPROFILE%\Documents\GitHub\mrs-test-scripts\Headless Mode &amp; Sideloading\WalkAndUnGZ.bat" "%USERPROFILE%\AppData\Local\Temp\OnboardLogs"\RTDC4039\2016-09-24 &amp; aws s3 cp s3://rtdc.mdm.uploadarchive/RTDC4039/2016-09-25/ "%USERPROFILE%\AppData\Local\Temp\OnboardLogs"\RTDC4039\2016-09-25 --recursive &amp; "%USERPROFILE%\Documents\GitHub\mrs-test-scripts\Headless Mode &amp; Sideloading\WalkAndUnGZ.bat" "%USERPROFILE%\AppData\Local\Temp\OnboardLogs"\RTDC4039\2016-09-25</v>
      </c>
      <c r="AF155" s="96" t="str">
        <f t="shared" si="94"/>
        <v>"C:\Program Files (x86)\AstroGrep\AstroGrep.exe" /spath="%USERPROFILE%\AppData\Local\Temp\OnboardLogs" /stypes="app*4039*20160924*" /stext=" 07:.+((SYSTEM_STATE.+slice.+state.+changed )|(ment ac)|(system.+state.+changed )|(\|lc)|(penalty)|(\[timeout)|(PRM\|1\|D)|(kpr)|(kdp))" /e /r /s</v>
      </c>
      <c r="AG155" s="1" t="str">
        <f t="shared" si="84"/>
        <v>EC</v>
      </c>
      <c r="AH155" s="100" t="str">
        <f t="shared" si="95"/>
        <v>"%USERPROFILE%\Documents\GitHub\eaglep3\Utilities\RefineRTDCRunTimes.py" --tripid 242-23 --locoid 4039 --swversion DE.1.0.7.0 --startMP 204:232976 --initTime 2016-09-24T00:54:42 --startdatetime 2016-09-24T00:56:26 --delay 1 --endMP 204:143 --enddatetime 2016-09-24T01:40:24 --enforcementcount 0 &gt;&gt;C:\Users\stu\Documents\GitHub\eaglep3-reporting\EC\2016-09-23-refined-times.txt</v>
      </c>
      <c r="AI155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{"issue":{"subject":"","project_id":79,"tracker_id":40,"status_id":1,"priority_id":2,"assigned_to_id":23,"start_date":"2016-09-24","description":"","custom_fields":[{"id":1,"name":"Subdivision","value":"EC"},{"id":4,"name":"Milepost","value":"0.0143"},{"id":17,"name":"Train ID","value":"242-23"},{"id":16,"name":"Locomotive ID","value":"4039"},{"id":130,"name":"Impact","value":""},{"id":150,"name":"Time of Event (Mountain Time)","value":"01:40:24"},{"id":151,"name":"Denver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599</v>
      </c>
      <c r="B156" s="7">
        <v>4016</v>
      </c>
      <c r="C156" s="24" t="s">
        <v>106</v>
      </c>
      <c r="D156" s="24" t="s">
        <v>230</v>
      </c>
      <c r="E156" s="15">
        <v>42637.007650462961</v>
      </c>
      <c r="F156" s="15">
        <v>42637.021261574075</v>
      </c>
      <c r="G156" s="7">
        <v>1</v>
      </c>
      <c r="H156" s="15" t="s">
        <v>667</v>
      </c>
      <c r="I156" s="15">
        <v>42637.048125000001</v>
      </c>
      <c r="J156" s="7">
        <v>0</v>
      </c>
      <c r="K156" s="121" t="str">
        <f t="shared" si="87"/>
        <v>4015/4016</v>
      </c>
      <c r="L156" s="24" t="str">
        <f>VLOOKUP(A156,'Trips&amp;Operators'!$C$1:$E$10000,3,FALSE)</f>
        <v>STURGEON</v>
      </c>
      <c r="M156" s="6">
        <f t="shared" si="88"/>
        <v>2.6863425926421769E-2</v>
      </c>
      <c r="N156" s="7">
        <f t="shared" si="82"/>
        <v>38.683333334047347</v>
      </c>
      <c r="O156" s="7"/>
      <c r="P156" s="7"/>
      <c r="Q156" s="25"/>
      <c r="R156" s="25"/>
      <c r="S156" s="37">
        <f t="shared" si="85"/>
        <v>1</v>
      </c>
      <c r="T156" s="52" t="str">
        <f t="shared" si="89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23:11:01-0600',mode:absolute,to:'2016-09-24 02:09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56" s="54" t="str">
        <f t="shared" si="91"/>
        <v>N</v>
      </c>
      <c r="X156" s="168">
        <f t="shared" si="83"/>
        <v>1</v>
      </c>
      <c r="Y156" s="69">
        <f t="shared" ref="Y156:Y187" si="97">RIGHT(D156,LEN(D156)-4)/10000</f>
        <v>4.6699999999999998E-2</v>
      </c>
      <c r="Z156" s="69">
        <f t="shared" ref="Z156:Z187" si="98">RIGHT(H156,LEN(H156)-4)/10000</f>
        <v>23.326599999999999</v>
      </c>
      <c r="AA156" s="69">
        <f t="shared" si="92"/>
        <v>23.279899999999998</v>
      </c>
      <c r="AB156" s="66" t="e">
        <f>VLOOKUP(A156,Enforcements!$C$7:$K$20,8,0)</f>
        <v>#N/A</v>
      </c>
      <c r="AC156" s="62" t="e">
        <f>VLOOKUP(A156,Enforcements!$C$7:$E$20,3,0)</f>
        <v>#N/A</v>
      </c>
      <c r="AD156" s="63" t="str">
        <f t="shared" si="86"/>
        <v>0243-23</v>
      </c>
      <c r="AE156" s="99" t="str">
        <f t="shared" si="93"/>
        <v>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 &amp; 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</v>
      </c>
      <c r="AF156" s="96" t="str">
        <f t="shared" si="94"/>
        <v>"C:\Program Files (x86)\AstroGrep\AstroGrep.exe" /spath="%USERPROFILE%\AppData\Local\Temp\OnboardLogs" /stypes="app*4016*20160924*" /stext=" 07:.+((SYSTEM_STATE.+slice.+state.+changed )|(ment ac)|(system.+state.+changed )|(\|lc)|(penalty)|(\[timeout)|(PRM\|1\|D)|(kpr)|(kdp))" /e /r /s</v>
      </c>
      <c r="AG156" s="1" t="str">
        <f t="shared" si="84"/>
        <v>EC</v>
      </c>
      <c r="AH156" s="100" t="str">
        <f t="shared" si="95"/>
        <v>"%USERPROFILE%\Documents\GitHub\eaglep3\Utilities\RefineRTDCRunTimes.py" --tripid 243-23 --locoid 4016 --swversion DE.1.0.7.0 --startMP 204:467 --initTime 2016-09-24T00:11:01 --startdatetime 2016-09-24T00:30:37 --delay 1 --endMP 204:233266 --enddatetime 2016-09-24T01:09:18 --enforcementcount 0 &gt;&gt;C:\Users\stu\Documents\GitHub\eaglep3-reporting\EC\2016-09-23-refined-times.txt</v>
      </c>
      <c r="AI156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{"issue":{"subject":"","project_id":79,"tracker_id":40,"status_id":1,"priority_id":2,"assigned_to_id":23,"start_date":"2016-09-24","description":"","custom_fields":[{"id":1,"name":"Subdivision","value":"EC"},{"id":4,"name":"Milepost","value":"23.3266"},{"id":17,"name":"Train ID","value":"243-23"},{"id":16,"name":"Locomotive ID","value":"4016"},{"id":130,"name":"Impact","value":""},{"id":150,"name":"Time of Event (Mountain Time)","value":"01:09:18"},{"id":151,"name":"Denver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604</v>
      </c>
      <c r="B157" s="7">
        <v>4015</v>
      </c>
      <c r="C157" s="24" t="s">
        <v>106</v>
      </c>
      <c r="D157" s="24" t="s">
        <v>325</v>
      </c>
      <c r="E157" s="15">
        <v>42637.050659722219</v>
      </c>
      <c r="F157" s="15">
        <v>42637.060231481482</v>
      </c>
      <c r="G157" s="7">
        <v>1</v>
      </c>
      <c r="H157" s="15" t="s">
        <v>343</v>
      </c>
      <c r="I157" s="15">
        <v>42637.089965277781</v>
      </c>
      <c r="J157" s="7">
        <v>0</v>
      </c>
      <c r="K157" s="121" t="str">
        <f t="shared" si="87"/>
        <v>4015/4016</v>
      </c>
      <c r="L157" s="24" t="str">
        <f>VLOOKUP(A157,'Trips&amp;Operators'!$C$1:$E$10000,3,FALSE)</f>
        <v>STURGEON</v>
      </c>
      <c r="M157" s="6">
        <f t="shared" si="88"/>
        <v>2.973379629838746E-2</v>
      </c>
      <c r="N157" s="7">
        <f t="shared" si="82"/>
        <v>42.816666669677943</v>
      </c>
      <c r="O157" s="7"/>
      <c r="P157" s="7"/>
      <c r="Q157" s="25"/>
      <c r="R157" s="25"/>
      <c r="S157" s="37">
        <f t="shared" si="85"/>
        <v>1</v>
      </c>
      <c r="T157" s="52" t="str">
        <f t="shared" si="89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https://search-rtdc-monitor-bjffxe2xuh6vdkpspy63sjmuny.us-east-1.es.amazonaws.com/_plugin/kibana/#/discover/Steve-Slow-Train-Analysis-(2080s-and-2083s)?_g=(refreshInterval:(display:Off,section:0,value:0),time:(from:'2016-09-24 00:12:57-0600',mode:absolute,to:'2016-09-24 03:09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57" s="54" t="str">
        <f t="shared" si="91"/>
        <v>N</v>
      </c>
      <c r="X157" s="168">
        <f t="shared" si="83"/>
        <v>1</v>
      </c>
      <c r="Y157" s="69">
        <f t="shared" si="97"/>
        <v>23.2973</v>
      </c>
      <c r="Z157" s="69">
        <f t="shared" si="98"/>
        <v>1.43E-2</v>
      </c>
      <c r="AA157" s="69">
        <f t="shared" si="92"/>
        <v>23.283000000000001</v>
      </c>
      <c r="AB157" s="66" t="e">
        <f>VLOOKUP(A157,Enforcements!$C$7:$K$20,8,0)</f>
        <v>#N/A</v>
      </c>
      <c r="AC157" s="62" t="e">
        <f>VLOOKUP(A157,Enforcements!$C$7:$E$20,3,0)</f>
        <v>#N/A</v>
      </c>
      <c r="AD157" s="63" t="str">
        <f t="shared" si="86"/>
        <v>0244-23</v>
      </c>
      <c r="AE157" s="99" t="str">
        <f t="shared" si="93"/>
        <v>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 &amp; aws s3 cp s3://rtdc.mdm.uploadarchive/RTDC4015/2016-09-25/ "%USERPROFILE%\AppData\Local\Temp\OnboardLogs"\RTDC4015\2016-09-25 --recursive &amp; "%USERPROFILE%\Documents\GitHub\mrs-test-scripts\Headless Mode &amp; Sideloading\WalkAndUnGZ.bat" "%USERPROFILE%\AppData\Local\Temp\OnboardLogs"\RTDC4015\2016-09-25</v>
      </c>
      <c r="AF157" s="96" t="str">
        <f t="shared" si="94"/>
        <v>"C:\Program Files (x86)\AstroGrep\AstroGrep.exe" /spath="%USERPROFILE%\AppData\Local\Temp\OnboardLogs" /stypes="app*4015*20160924*" /stext=" 08:.+((SYSTEM_STATE.+slice.+state.+changed )|(ment ac)|(system.+state.+changed )|(\|lc)|(penalty)|(\[timeout)|(PRM\|1\|D)|(kpr)|(kdp))" /e /r /s</v>
      </c>
      <c r="AG157" s="1" t="str">
        <f t="shared" si="84"/>
        <v>EC</v>
      </c>
      <c r="AH157" s="100" t="str">
        <f t="shared" si="95"/>
        <v>"%USERPROFILE%\Documents\GitHub\eaglep3\Utilities\RefineRTDCRunTimes.py" --tripid 244-23 --locoid 4015 --swversion DE.1.0.7.0 --startMP 204:232973 --initTime 2016-09-24T01:12:57 --startdatetime 2016-09-24T01:26:44 --delay 1 --endMP 204:143 --enddatetime 2016-09-24T02:09:33 --enforcementcount 0 &gt;&gt;C:\Users\stu\Documents\GitHub\eaglep3-reporting\EC\2016-09-23-refined-times.txt</v>
      </c>
      <c r="AI157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{"issue":{"subject":"","project_id":79,"tracker_id":40,"status_id":1,"priority_id":2,"assigned_to_id":23,"start_date":"2016-09-24","description":"","custom_fields":[{"id":1,"name":"Subdivision","value":"EC"},{"id":4,"name":"Milepost","value":"0.0143"},{"id":17,"name":"Train ID","value":"244-23"},{"id":16,"name":"Locomotive ID","value":"4015"},{"id":130,"name":"Impact","value":""},{"id":150,"name":"Time of Event (Mountain Time)","value":"02:09:33"},{"id":151,"name":"Denver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602</v>
      </c>
      <c r="B158" s="7">
        <v>4011</v>
      </c>
      <c r="C158" s="24" t="s">
        <v>106</v>
      </c>
      <c r="D158" s="24" t="s">
        <v>238</v>
      </c>
      <c r="E158" s="15">
        <v>42637.039918981478</v>
      </c>
      <c r="F158" s="15">
        <v>42637.042187500003</v>
      </c>
      <c r="G158" s="7">
        <v>1</v>
      </c>
      <c r="H158" s="15" t="s">
        <v>668</v>
      </c>
      <c r="I158" s="15">
        <v>42637.0703125</v>
      </c>
      <c r="J158" s="7">
        <v>0</v>
      </c>
      <c r="K158" s="121" t="str">
        <f t="shared" si="87"/>
        <v>4011/4012</v>
      </c>
      <c r="L158" s="24" t="str">
        <f>VLOOKUP(A158,'Trips&amp;Operators'!$C$1:$E$10000,3,FALSE)</f>
        <v>ARVIDSON</v>
      </c>
      <c r="M158" s="6">
        <f t="shared" si="88"/>
        <v>2.8124999997089617E-2</v>
      </c>
      <c r="N158" s="7">
        <f t="shared" si="82"/>
        <v>40.499999995809048</v>
      </c>
      <c r="O158" s="7"/>
      <c r="P158" s="7"/>
      <c r="Q158" s="25"/>
      <c r="R158" s="25"/>
      <c r="S158" s="37">
        <f t="shared" si="85"/>
        <v>1</v>
      </c>
      <c r="T158" s="52" t="str">
        <f t="shared" si="89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23:57:29-0600',mode:absolute,to:'2016-09-24 02:41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8" s="54" t="str">
        <f t="shared" si="91"/>
        <v>N</v>
      </c>
      <c r="X158" s="168">
        <f t="shared" si="83"/>
        <v>1</v>
      </c>
      <c r="Y158" s="69">
        <f t="shared" si="97"/>
        <v>4.6199999999999998E-2</v>
      </c>
      <c r="Z158" s="69">
        <f t="shared" si="98"/>
        <v>23.327200000000001</v>
      </c>
      <c r="AA158" s="69">
        <f t="shared" si="92"/>
        <v>23.281000000000002</v>
      </c>
      <c r="AB158" s="66" t="e">
        <f>VLOOKUP(A158,Enforcements!$C$7:$K$20,8,0)</f>
        <v>#N/A</v>
      </c>
      <c r="AC158" s="62" t="e">
        <f>VLOOKUP(A158,Enforcements!$C$7:$E$20,3,0)</f>
        <v>#N/A</v>
      </c>
      <c r="AD158" s="63" t="str">
        <f t="shared" si="86"/>
        <v>0245-23</v>
      </c>
      <c r="AE158" s="99" t="str">
        <f t="shared" si="93"/>
        <v>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 &amp; aws s3 cp s3://rtdc.mdm.uploadarchive/RTDC4011/2016-09-25/ "%USERPROFILE%\AppData\Local\Temp\OnboardLogs"\RTDC4011\2016-09-25 --recursive &amp; "%USERPROFILE%\Documents\GitHub\mrs-test-scripts\Headless Mode &amp; Sideloading\WalkAndUnGZ.bat" "%USERPROFILE%\AppData\Local\Temp\OnboardLogs"\RTDC4011\2016-09-25</v>
      </c>
      <c r="AF158" s="96" t="str">
        <f t="shared" si="94"/>
        <v>"C:\Program Files (x86)\AstroGrep\AstroGrep.exe" /spath="%USERPROFILE%\AppData\Local\Temp\OnboardLogs" /stypes="app*4011*20160924*" /stext=" 07:.+((SYSTEM_STATE.+slice.+state.+changed )|(ment ac)|(system.+state.+changed )|(\|lc)|(penalty)|(\[timeout)|(PRM\|1\|D)|(kpr)|(kdp))" /e /r /s</v>
      </c>
      <c r="AG158" s="1" t="str">
        <f t="shared" si="84"/>
        <v>EC</v>
      </c>
      <c r="AH158" s="100" t="str">
        <f t="shared" si="95"/>
        <v>"%USERPROFILE%\Documents\GitHub\eaglep3\Utilities\RefineRTDCRunTimes.py" --tripid 245-23 --locoid 4011 --swversion DE.1.0.7.0 --startMP 204:462 --initTime 2016-09-24T00:57:29 --startdatetime 2016-09-24T01:00:45 --delay 1 --endMP 204:233272 --enddatetime 2016-09-24T01:41:15 --enforcementcount 0 &gt;&gt;C:\Users\stu\Documents\GitHub\eaglep3-reporting\EC\2016-09-23-refined-times.txt</v>
      </c>
      <c r="AI158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{"issue":{"subject":"","project_id":79,"tracker_id":40,"status_id":1,"priority_id":2,"assigned_to_id":23,"start_date":"2016-09-24","description":"","custom_fields":[{"id":1,"name":"Subdivision","value":"EC"},{"id":4,"name":"Milepost","value":"23.3272"},{"id":17,"name":"Train ID","value":"245-23"},{"id":16,"name":"Locomotive ID","value":"4011"},{"id":130,"name":"Impact","value":""},{"id":150,"name":"Time of Event (Mountain Time)","value":"01:41:15"},{"id":151,"name":"Denver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606</v>
      </c>
      <c r="B159" s="7">
        <v>4012</v>
      </c>
      <c r="C159" s="24" t="s">
        <v>106</v>
      </c>
      <c r="D159" s="24" t="s">
        <v>669</v>
      </c>
      <c r="E159" s="15">
        <v>42637.07671296296</v>
      </c>
      <c r="F159" s="15">
        <v>42637.080983796295</v>
      </c>
      <c r="G159" s="7">
        <v>1</v>
      </c>
      <c r="H159" s="15" t="s">
        <v>258</v>
      </c>
      <c r="I159" s="15">
        <v>42637.108530092592</v>
      </c>
      <c r="J159" s="7">
        <v>0</v>
      </c>
      <c r="K159" s="121" t="str">
        <f t="shared" si="87"/>
        <v>4011/4012</v>
      </c>
      <c r="L159" s="24" t="str">
        <f>VLOOKUP(A159,'Trips&amp;Operators'!$C$1:$E$10000,3,FALSE)</f>
        <v>ARVIDSON</v>
      </c>
      <c r="M159" s="6">
        <f t="shared" si="88"/>
        <v>2.7546296296350192E-2</v>
      </c>
      <c r="N159" s="7">
        <f t="shared" si="82"/>
        <v>39.666666666744277</v>
      </c>
      <c r="O159" s="7"/>
      <c r="P159" s="7"/>
      <c r="Q159" s="25"/>
      <c r="R159" s="25"/>
      <c r="S159" s="37">
        <f t="shared" si="85"/>
        <v>1</v>
      </c>
      <c r="T159" s="52" t="str">
        <f t="shared" si="89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https://search-rtdc-monitor-bjffxe2xuh6vdkpspy63sjmuny.us-east-1.es.amazonaws.com/_plugin/kibana/#/discover/Steve-Slow-Train-Analysis-(2080s-and-2083s)?_g=(refreshInterval:(display:Off,section:0,value:0),time:(from:'2016-09-24 00:50:28-0600',mode:absolute,to:'2016-09-24 03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9" s="54" t="str">
        <f t="shared" si="91"/>
        <v>N</v>
      </c>
      <c r="X159" s="168">
        <f t="shared" si="83"/>
        <v>1</v>
      </c>
      <c r="Y159" s="69">
        <f t="shared" si="97"/>
        <v>23.295100000000001</v>
      </c>
      <c r="Z159" s="69">
        <f t="shared" si="98"/>
        <v>1.4500000000000001E-2</v>
      </c>
      <c r="AA159" s="69">
        <f t="shared" si="92"/>
        <v>23.2806</v>
      </c>
      <c r="AB159" s="66" t="e">
        <f>VLOOKUP(A159,Enforcements!$C$7:$K$20,8,0)</f>
        <v>#N/A</v>
      </c>
      <c r="AC159" s="62" t="e">
        <f>VLOOKUP(A159,Enforcements!$C$7:$E$20,3,0)</f>
        <v>#N/A</v>
      </c>
      <c r="AD159" s="63" t="str">
        <f t="shared" si="86"/>
        <v>0246-23</v>
      </c>
      <c r="AE159" s="99" t="str">
        <f t="shared" si="93"/>
        <v>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 &amp; aws s3 cp s3://rtdc.mdm.uploadarchive/RTDC4012/2016-09-25/ "%USERPROFILE%\AppData\Local\Temp\OnboardLogs"\RTDC4012\2016-09-25 --recursive &amp; "%USERPROFILE%\Documents\GitHub\mrs-test-scripts\Headless Mode &amp; Sideloading\WalkAndUnGZ.bat" "%USERPROFILE%\AppData\Local\Temp\OnboardLogs"\RTDC4012\2016-09-25</v>
      </c>
      <c r="AF159" s="96" t="str">
        <f t="shared" si="94"/>
        <v>"C:\Program Files (x86)\AstroGrep\AstroGrep.exe" /spath="%USERPROFILE%\AppData\Local\Temp\OnboardLogs" /stypes="app*4012*20160924*" /stext=" 08:.+((SYSTEM_STATE.+slice.+state.+changed )|(ment ac)|(system.+state.+changed )|(\|lc)|(penalty)|(\[timeout)|(PRM\|1\|D)|(kpr)|(kdp))" /e /r /s</v>
      </c>
      <c r="AG159" s="1" t="str">
        <f t="shared" si="84"/>
        <v>EC</v>
      </c>
      <c r="AH159" s="100" t="str">
        <f t="shared" si="95"/>
        <v>"%USERPROFILE%\Documents\GitHub\eaglep3\Utilities\RefineRTDCRunTimes.py" --tripid 246-23 --locoid 4012 --swversion DE.1.0.7.0 --startMP 204:232951 --initTime 2016-09-24T01:50:28 --startdatetime 2016-09-24T01:56:37 --delay 1 --endMP 204:145 --enddatetime 2016-09-24T02:36:17 --enforcementcount 0 &gt;&gt;C:\Users\stu\Documents\GitHub\eaglep3-reporting\EC\2016-09-23-refined-times.txt</v>
      </c>
      <c r="AI159" s="134" t="str">
        <f t="shared" si="96"/>
        <v>echo {"issue":{"subject":"","project_id":79,"tracker_id":40,"status_id":1,"priority_id":2,"assigned_to_id":23,"start_date":"2016-09-24","description":"","custom_fields":[{"id":1,"name":"Subdivision","value":"EC"},{"id":4,"name":"Milepost","value":"0.0145"},{"id":17,"name":"Train ID","value":"246-23"},{"id":16,"name":"Locomotive ID","value":"4012"},{"id":130,"name":"Impact","value":""},{"id":150,"name":"Time of Event (Mountain Time)","value":"02:36:17"},{"id":151,"name":"Denver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401</v>
      </c>
      <c r="B160" s="7">
        <v>4017</v>
      </c>
      <c r="C160" s="24" t="s">
        <v>106</v>
      </c>
      <c r="D160" s="24" t="s">
        <v>686</v>
      </c>
      <c r="E160" s="15">
        <v>42636.206296296295</v>
      </c>
      <c r="F160" s="15">
        <v>42636.208645833336</v>
      </c>
      <c r="G160" s="7">
        <v>2</v>
      </c>
      <c r="H160" s="15" t="s">
        <v>319</v>
      </c>
      <c r="I160" s="15">
        <v>42636.226921296293</v>
      </c>
      <c r="J160" s="7">
        <v>0</v>
      </c>
      <c r="K160" s="121" t="str">
        <f t="shared" si="87"/>
        <v>4017/4018</v>
      </c>
      <c r="L160" s="24" t="str">
        <f>VLOOKUP(A160,'Trips&amp;Operators'!$C$1:$E$10000,3,FALSE)</f>
        <v>STRICKLAND</v>
      </c>
      <c r="M160" s="6">
        <f t="shared" si="88"/>
        <v>1.8275462956808042E-2</v>
      </c>
      <c r="N160" s="7">
        <f t="shared" ref="N160:N191" si="99">24*60*SUM($M160:$M160)</f>
        <v>26.31666665780358</v>
      </c>
      <c r="O160" s="7"/>
      <c r="P160" s="7"/>
      <c r="Q160" s="25"/>
      <c r="R160" s="25"/>
      <c r="S160" s="37">
        <f t="shared" si="85"/>
        <v>1</v>
      </c>
      <c r="T160" s="52" t="str">
        <f t="shared" si="89"/>
        <v>Southbound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03:57:04-0600',mode:absolute,to:'2016-09-23 06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0" s="54" t="str">
        <f t="shared" si="91"/>
        <v>N</v>
      </c>
      <c r="X160" s="168">
        <f t="shared" si="83"/>
        <v>554</v>
      </c>
      <c r="Y160" s="69">
        <f t="shared" si="97"/>
        <v>5.8654999999999999</v>
      </c>
      <c r="Z160" s="69">
        <f t="shared" si="98"/>
        <v>1.6899999999999998E-2</v>
      </c>
      <c r="AA160" s="69">
        <f t="shared" si="92"/>
        <v>5.8486000000000002</v>
      </c>
      <c r="AB160" s="66" t="e">
        <f>VLOOKUP(A160,Enforcements!$C$7:$K$20,8,0)</f>
        <v>#N/A</v>
      </c>
      <c r="AC160" s="62" t="e">
        <f>VLOOKUP(A160,Enforcements!$C$7:$E$20,3,0)</f>
        <v>#N/A</v>
      </c>
      <c r="AD160" s="63" t="str">
        <f t="shared" si="86"/>
        <v>0800-23</v>
      </c>
      <c r="AE160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60" s="96" t="str">
        <f t="shared" si="94"/>
        <v>"C:\Program Files (x86)\AstroGrep\AstroGrep.exe" /spath="%USERPROFILE%\AppData\Local\Temp\OnboardLogs" /stypes="app*4017*20160923*" /stext=" 11:.+((SYSTEM_STATE.+slice.+state.+changed )|(ment ac)|(system.+state.+changed )|(\|lc)|(penalty)|(\[timeout)|(PRM\|1\|D)|(kpr)|(kdp))" /e /r /s</v>
      </c>
      <c r="AG160" s="1" t="str">
        <f t="shared" si="84"/>
        <v>NW</v>
      </c>
      <c r="AH160" s="100" t="str">
        <f t="shared" si="95"/>
        <v>"%USERPROFILE%\Documents\GitHub\eaglep3\Utilities\RefineRTDCRunTimes.py" --tripid 800-23 --locoid 4017 --swversion DE.1.0.7.0 --startMP 300:58655 --initTime 2016-09-23T04:57:04 --startdatetime 2016-09-23T05:00:27 --delay 2 --endMP 204:169 --enddatetime 2016-09-23T05:26:46 --enforcementcount 0 &gt;&gt;C:\Users\stu\Documents\GitHub\eaglep3-reporting\EC\2016-09-23-refined-times.txt</v>
      </c>
      <c r="AI160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{"issue":{"subject":"","project_id":79,"tracker_id":40,"status_id":1,"priority_id":2,"assigned_to_id":23,"start_date":"2016-09-23","description":"","custom_fields":[{"id":1,"name":"Subdivision","value":"NW"},{"id":4,"name":"Milepost","value":"0.0169"},{"id":17,"name":"Train ID","value":"800-23"},{"id":16,"name":"Locomotive ID","value":"4017"},{"id":130,"name":"Impact","value":""},{"id":150,"name":"Time of Event (Mountain Time)","value":"05:26:46"},{"id":151,"name":"Denver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410</v>
      </c>
      <c r="B161" s="7">
        <v>4018</v>
      </c>
      <c r="C161" s="24" t="s">
        <v>106</v>
      </c>
      <c r="D161" s="24" t="s">
        <v>687</v>
      </c>
      <c r="E161" s="15">
        <v>42636.238067129627</v>
      </c>
      <c r="F161" s="15">
        <v>42636.244143518517</v>
      </c>
      <c r="G161" s="7">
        <v>1</v>
      </c>
      <c r="H161" s="15" t="s">
        <v>378</v>
      </c>
      <c r="I161" s="15">
        <v>42636.254340277781</v>
      </c>
      <c r="J161" s="7">
        <v>0</v>
      </c>
      <c r="K161" s="121" t="str">
        <f t="shared" si="87"/>
        <v>4017/4018</v>
      </c>
      <c r="L161" s="24" t="str">
        <f>VLOOKUP(A161,'Trips&amp;Operators'!$C$1:$E$10000,3,FALSE)</f>
        <v>STRICKLAND</v>
      </c>
      <c r="M161" s="6">
        <f t="shared" si="88"/>
        <v>1.0196759263635613E-2</v>
      </c>
      <c r="N161" s="7">
        <f t="shared" si="99"/>
        <v>14.683333339635283</v>
      </c>
      <c r="O161" s="7"/>
      <c r="P161" s="7"/>
      <c r="Q161" s="25"/>
      <c r="R161" s="25"/>
      <c r="S161" s="37">
        <f t="shared" si="85"/>
        <v>1</v>
      </c>
      <c r="T161" s="52" t="str">
        <f t="shared" si="89"/>
        <v>NorthBound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04:42:49-0600',mode:absolute,to:'2016-09-23 07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1" s="54" t="str">
        <f t="shared" si="91"/>
        <v>N</v>
      </c>
      <c r="X161" s="168">
        <f t="shared" ref="X161:X192" si="100">VALUE(LEFT(AD161,4))-VALUE(LEFT(AD160,4))</f>
        <v>1</v>
      </c>
      <c r="Y161" s="69">
        <f t="shared" si="97"/>
        <v>4.5900000000000003E-2</v>
      </c>
      <c r="Z161" s="69">
        <f t="shared" si="98"/>
        <v>5.8949999999999996</v>
      </c>
      <c r="AA161" s="69">
        <f t="shared" si="92"/>
        <v>5.8491</v>
      </c>
      <c r="AB161" s="66" t="e">
        <f>VLOOKUP(A161,Enforcements!$C$7:$K$20,8,0)</f>
        <v>#N/A</v>
      </c>
      <c r="AC161" s="62" t="e">
        <f>VLOOKUP(A161,Enforcements!$C$7:$E$20,3,0)</f>
        <v>#N/A</v>
      </c>
      <c r="AD161" s="63" t="str">
        <f t="shared" si="86"/>
        <v>0801-23</v>
      </c>
      <c r="AE161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61" s="96" t="str">
        <f t="shared" si="94"/>
        <v>"C:\Program Files (x86)\AstroGrep\AstroGrep.exe" /spath="%USERPROFILE%\AppData\Local\Temp\OnboardLogs" /stypes="app*4018*20160923*" /stext=" 12:.+((SYSTEM_STATE.+slice.+state.+changed )|(ment ac)|(system.+state.+changed )|(\|lc)|(penalty)|(\[timeout)|(PRM\|1\|D)|(kpr)|(kdp))" /e /r /s</v>
      </c>
      <c r="AG161" s="1" t="str">
        <f t="shared" si="84"/>
        <v>NW</v>
      </c>
      <c r="AH161" s="100" t="str">
        <f t="shared" si="95"/>
        <v>"%USERPROFILE%\Documents\GitHub\eaglep3\Utilities\RefineRTDCRunTimes.py" --tripid 801-23 --locoid 4018 --swversion DE.1.0.7.0 --startMP 204:459 --initTime 2016-09-23T05:42:49 --startdatetime 2016-09-23T05:51:34 --delay 1 --endMP 300:58950 --enddatetime 2016-09-23T06:06:15 --enforcementcount 0 &gt;&gt;C:\Users\stu\Documents\GitHub\eaglep3-reporting\EC\2016-09-23-refined-times.txt</v>
      </c>
      <c r="AI161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{"issue":{"subject":"","project_id":79,"tracker_id":40,"status_id":1,"priority_id":2,"assigned_to_id":23,"start_date":"2016-09-23","description":"","custom_fields":[{"id":1,"name":"Subdivision","value":"NW"},{"id":4,"name":"Milepost","value":"5.895"},{"id":17,"name":"Train ID","value":"801-23"},{"id":16,"name":"Locomotive ID","value":"4018"},{"id":130,"name":"Impact","value":""},{"id":150,"name":"Time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414</v>
      </c>
      <c r="B162" s="7">
        <v>4017</v>
      </c>
      <c r="C162" s="24" t="s">
        <v>106</v>
      </c>
      <c r="D162" s="24" t="s">
        <v>688</v>
      </c>
      <c r="E162" s="15">
        <v>42636.255462962959</v>
      </c>
      <c r="F162" s="15">
        <v>42636.256886574076</v>
      </c>
      <c r="G162" s="7">
        <v>1</v>
      </c>
      <c r="H162" s="15" t="s">
        <v>340</v>
      </c>
      <c r="I162" s="15">
        <v>42636.268472222226</v>
      </c>
      <c r="J162" s="7">
        <v>0</v>
      </c>
      <c r="K162" s="121" t="str">
        <f t="shared" si="87"/>
        <v>4017/4018</v>
      </c>
      <c r="L162" s="24" t="str">
        <f>VLOOKUP(A162,'Trips&amp;Operators'!$C$1:$E$10000,3,FALSE)</f>
        <v>STRICKLAND</v>
      </c>
      <c r="M162" s="6">
        <f t="shared" si="88"/>
        <v>1.1585648149775807E-2</v>
      </c>
      <c r="N162" s="7">
        <f t="shared" si="99"/>
        <v>16.683333335677162</v>
      </c>
      <c r="O162" s="7"/>
      <c r="P162" s="7"/>
      <c r="Q162" s="25"/>
      <c r="R162" s="25"/>
      <c r="S162" s="37">
        <f t="shared" si="85"/>
        <v>1</v>
      </c>
      <c r="T162" s="52" t="str">
        <f t="shared" si="89"/>
        <v>Southbound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05:07:52-0600',mode:absolute,to:'2016-09-23 07:26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2" s="54" t="str">
        <f t="shared" si="91"/>
        <v>N</v>
      </c>
      <c r="X162" s="168">
        <f t="shared" si="100"/>
        <v>1</v>
      </c>
      <c r="Y162" s="69">
        <f t="shared" si="97"/>
        <v>5.8635999999999999</v>
      </c>
      <c r="Z162" s="69">
        <f t="shared" si="98"/>
        <v>7.2599999999999998E-2</v>
      </c>
      <c r="AA162" s="69">
        <f t="shared" si="92"/>
        <v>5.7910000000000004</v>
      </c>
      <c r="AB162" s="66" t="e">
        <f>VLOOKUP(A162,Enforcements!$C$7:$K$20,8,0)</f>
        <v>#N/A</v>
      </c>
      <c r="AC162" s="62" t="e">
        <f>VLOOKUP(A162,Enforcements!$C$7:$E$20,3,0)</f>
        <v>#N/A</v>
      </c>
      <c r="AD162" s="63" t="str">
        <f t="shared" si="86"/>
        <v>0802-23</v>
      </c>
      <c r="AE162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62" s="96" t="str">
        <f t="shared" si="94"/>
        <v>"C:\Program Files (x86)\AstroGrep\AstroGrep.exe" /spath="%USERPROFILE%\AppData\Local\Temp\OnboardLogs" /stypes="app*4017*20160923*" /stext=" 12:.+((SYSTEM_STATE.+slice.+state.+changed )|(ment ac)|(system.+state.+changed )|(\|lc)|(penalty)|(\[timeout)|(PRM\|1\|D)|(kpr)|(kdp))" /e /r /s</v>
      </c>
      <c r="AG162" s="1" t="str">
        <f t="shared" ref="AG162:AG193" si="101">IFERROR(IF(VALUE(LEFT(AD162,2))&lt;=2,"EC",IF(OR(VALUE(LEFT(AD162,2))=8,VALUE(LEFT(AD162,2))=18),"NW","Other")),"Other")</f>
        <v>NW</v>
      </c>
      <c r="AH162" s="100" t="str">
        <f t="shared" si="95"/>
        <v>"%USERPROFILE%\Documents\GitHub\eaglep3\Utilities\RefineRTDCRunTimes.py" --tripid 802-23 --locoid 4017 --swversion DE.1.0.7.0 --startMP 300:58636 --initTime 2016-09-23T06:07:52 --startdatetime 2016-09-23T06:09:55 --delay 1 --endMP 204:726 --enddatetime 2016-09-23T06:26:36 --enforcementcount 0 &gt;&gt;C:\Users\stu\Documents\GitHub\eaglep3-reporting\EC\2016-09-23-refined-times.txt</v>
      </c>
      <c r="AI162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{"issue":{"subject":"","project_id":79,"tracker_id":40,"status_id":1,"priority_id":2,"assigned_to_id":23,"start_date":"2016-09-23","description":"","custom_fields":[{"id":1,"name":"Subdivision","value":"NW"},{"id":4,"name":"Milepost","value":"0.0726"},{"id":17,"name":"Train ID","value":"802-23"},{"id":16,"name":"Locomotive ID","value":"4017"},{"id":130,"name":"Impact","value":""},{"id":150,"name":"Time of Event (Mountain Time)","value":"06:26:36"},{"id":151,"name":"Denver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416</v>
      </c>
      <c r="B163" s="7">
        <v>4020</v>
      </c>
      <c r="C163" s="24" t="s">
        <v>106</v>
      </c>
      <c r="D163" s="24" t="s">
        <v>375</v>
      </c>
      <c r="E163" s="15">
        <v>42636.257731481484</v>
      </c>
      <c r="F163" s="15">
        <v>42636.265104166669</v>
      </c>
      <c r="G163" s="7">
        <v>1</v>
      </c>
      <c r="H163" s="15" t="s">
        <v>369</v>
      </c>
      <c r="I163" s="15">
        <v>42636.274305555555</v>
      </c>
      <c r="J163" s="7">
        <v>0</v>
      </c>
      <c r="K163" s="121" t="str">
        <f t="shared" si="87"/>
        <v>4019/4020</v>
      </c>
      <c r="L163" s="24" t="str">
        <f>VLOOKUP(A163,'Trips&amp;Operators'!$C$1:$E$10000,3,FALSE)</f>
        <v>YORK</v>
      </c>
      <c r="M163" s="6">
        <f t="shared" si="88"/>
        <v>9.2013888861401938E-3</v>
      </c>
      <c r="N163" s="7">
        <f t="shared" si="99"/>
        <v>13.249999996041879</v>
      </c>
      <c r="O163" s="7"/>
      <c r="P163" s="7"/>
      <c r="Q163" s="25"/>
      <c r="R163" s="25"/>
      <c r="S163" s="37">
        <f t="shared" ref="S163:S194" si="102">SUM(U163:U163)/IF(AG163="EC",12,1)</f>
        <v>1</v>
      </c>
      <c r="T163" s="52" t="str">
        <f t="shared" si="89"/>
        <v>NorthBound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05:11:08-0600',mode:absolute,to:'2016-09-23 07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3" s="54" t="str">
        <f t="shared" si="91"/>
        <v>N</v>
      </c>
      <c r="X163" s="168">
        <f t="shared" si="100"/>
        <v>1</v>
      </c>
      <c r="Y163" s="69">
        <f t="shared" si="97"/>
        <v>0.10199999999999999</v>
      </c>
      <c r="Z163" s="69">
        <f t="shared" si="98"/>
        <v>5.8929</v>
      </c>
      <c r="AA163" s="69">
        <f t="shared" si="92"/>
        <v>5.7908999999999997</v>
      </c>
      <c r="AB163" s="66" t="e">
        <f>VLOOKUP(A163,Enforcements!$C$7:$K$20,8,0)</f>
        <v>#N/A</v>
      </c>
      <c r="AC163" s="62" t="e">
        <f>VLOOKUP(A163,Enforcements!$C$7:$E$20,3,0)</f>
        <v>#N/A</v>
      </c>
      <c r="AD163" s="63" t="str">
        <f t="shared" ref="AD163:AD194" si="103">IF(LEN(A163)=6,"0"&amp;A163,A163)</f>
        <v>0803-23</v>
      </c>
      <c r="AE163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63" s="96" t="str">
        <f t="shared" si="94"/>
        <v>"C:\Program Files (x86)\AstroGrep\AstroGrep.exe" /spath="%USERPROFILE%\AppData\Local\Temp\OnboardLogs" /stypes="app*4020*20160923*" /stext=" 12:.+((SYSTEM_STATE.+slice.+state.+changed )|(ment ac)|(system.+state.+changed )|(\|lc)|(penalty)|(\[timeout)|(PRM\|1\|D)|(kpr)|(kdp))" /e /r /s</v>
      </c>
      <c r="AG163" s="1" t="str">
        <f t="shared" si="101"/>
        <v>NW</v>
      </c>
      <c r="AH163" s="100" t="str">
        <f t="shared" si="95"/>
        <v>"%USERPROFILE%\Documents\GitHub\eaglep3\Utilities\RefineRTDCRunTimes.py" --tripid 803-23 --locoid 4020 --swversion DE.1.0.7.0 --startMP 204:1020 --initTime 2016-09-23T06:11:08 --startdatetime 2016-09-23T06:21:45 --delay 1 --endMP 300:58929 --enddatetime 2016-09-23T06:35:00 --enforcementcount 0 &gt;&gt;C:\Users\stu\Documents\GitHub\eaglep3-reporting\EC\2016-09-23-refined-times.txt</v>
      </c>
      <c r="AI163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{"issue":{"subject":"","project_id":79,"tracker_id":40,"status_id":1,"priority_id":2,"assigned_to_id":23,"start_date":"2016-09-23","description":"","custom_fields":[{"id":1,"name":"Subdivision","value":"NW"},{"id":4,"name":"Milepost","value":"5.8929"},{"id":17,"name":"Train ID","value":"803-23"},{"id":16,"name":"Locomotive ID","value":"4020"},{"id":130,"name":"Impact","value":""},{"id":150,"name":"Time of Event (Mountain Time)","value":"06:35:00"},{"id":151,"name":"Denver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419</v>
      </c>
      <c r="B164" s="7">
        <v>4019</v>
      </c>
      <c r="C164" s="24" t="s">
        <v>106</v>
      </c>
      <c r="D164" s="24" t="s">
        <v>382</v>
      </c>
      <c r="E164" s="15">
        <v>42636.275243055556</v>
      </c>
      <c r="F164" s="15">
        <v>42636.277430555558</v>
      </c>
      <c r="G164" s="7">
        <v>1</v>
      </c>
      <c r="H164" s="15" t="s">
        <v>689</v>
      </c>
      <c r="I164" s="15">
        <v>42636.288321759261</v>
      </c>
      <c r="J164" s="7">
        <v>0</v>
      </c>
      <c r="K164" s="121" t="str">
        <f t="shared" si="87"/>
        <v>4019/4020</v>
      </c>
      <c r="L164" s="24" t="str">
        <f>VLOOKUP(A164,'Trips&amp;Operators'!$C$1:$E$10000,3,FALSE)</f>
        <v>YORK</v>
      </c>
      <c r="M164" s="6">
        <f t="shared" si="88"/>
        <v>1.0891203703067731E-2</v>
      </c>
      <c r="N164" s="7">
        <f t="shared" si="99"/>
        <v>15.683333332417533</v>
      </c>
      <c r="O164" s="7"/>
      <c r="P164" s="7"/>
      <c r="Q164" s="25"/>
      <c r="R164" s="25"/>
      <c r="S164" s="37">
        <f t="shared" si="102"/>
        <v>1</v>
      </c>
      <c r="T164" s="52" t="str">
        <f t="shared" si="89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05:36:21-0600',mode:absolute,to:'2016-09-23 07:55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4" s="54" t="str">
        <f t="shared" si="91"/>
        <v>N</v>
      </c>
      <c r="X164" s="168">
        <f t="shared" si="100"/>
        <v>1</v>
      </c>
      <c r="Y164" s="69">
        <f t="shared" si="97"/>
        <v>5.8609</v>
      </c>
      <c r="Z164" s="69">
        <f t="shared" si="98"/>
        <v>7.4499999999999997E-2</v>
      </c>
      <c r="AA164" s="69">
        <f t="shared" si="92"/>
        <v>5.7864000000000004</v>
      </c>
      <c r="AB164" s="66" t="e">
        <f>VLOOKUP(A164,Enforcements!$C$7:$K$20,8,0)</f>
        <v>#N/A</v>
      </c>
      <c r="AC164" s="62" t="e">
        <f>VLOOKUP(A164,Enforcements!$C$7:$E$20,3,0)</f>
        <v>#N/A</v>
      </c>
      <c r="AD164" s="63" t="str">
        <f t="shared" si="103"/>
        <v>0804-23</v>
      </c>
      <c r="AE164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64" s="96" t="str">
        <f t="shared" si="94"/>
        <v>"C:\Program Files (x86)\AstroGrep\AstroGrep.exe" /spath="%USERPROFILE%\AppData\Local\Temp\OnboardLogs" /stypes="app*4019*20160923*" /stext=" 12:.+((SYSTEM_STATE.+slice.+state.+changed )|(ment ac)|(system.+state.+changed )|(\|lc)|(penalty)|(\[timeout)|(PRM\|1\|D)|(kpr)|(kdp))" /e /r /s</v>
      </c>
      <c r="AG164" s="1" t="str">
        <f t="shared" si="101"/>
        <v>NW</v>
      </c>
      <c r="AH164" s="100" t="str">
        <f t="shared" si="95"/>
        <v>"%USERPROFILE%\Documents\GitHub\eaglep3\Utilities\RefineRTDCRunTimes.py" --tripid 804-23 --locoid 4019 --swversion DE.1.0.7.0 --startMP 300:58609 --initTime 2016-09-23T06:36:21 --startdatetime 2016-09-23T06:39:30 --delay 1 --endMP 204:745 --enddatetime 2016-09-23T06:55:11 --enforcementcount 0 &gt;&gt;C:\Users\stu\Documents\GitHub\eaglep3-reporting\EC\2016-09-23-refined-times.txt</v>
      </c>
      <c r="AI164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{"issue":{"subject":"","project_id":79,"tracker_id":40,"status_id":1,"priority_id":2,"assigned_to_id":23,"start_date":"2016-09-23","description":"","custom_fields":[{"id":1,"name":"Subdivision","value":"NW"},{"id":4,"name":"Milepost","value":"0.0745"},{"id":17,"name":"Train ID","value":"804-23"},{"id":16,"name":"Locomotive ID","value":"4019"},{"id":130,"name":"Impact","value":""},{"id":150,"name":"Time of Event (Mountain Time)","value":"06:55:11"},{"id":151,"name":"Denver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421</v>
      </c>
      <c r="B165" s="7">
        <v>4018</v>
      </c>
      <c r="C165" s="24" t="s">
        <v>106</v>
      </c>
      <c r="D165" s="24" t="s">
        <v>690</v>
      </c>
      <c r="E165" s="15">
        <v>42636.276875000003</v>
      </c>
      <c r="F165" s="15">
        <v>42636.28564814815</v>
      </c>
      <c r="G165" s="7">
        <v>2</v>
      </c>
      <c r="H165" s="15" t="s">
        <v>691</v>
      </c>
      <c r="I165" s="15">
        <v>42636.295798611114</v>
      </c>
      <c r="J165" s="7">
        <v>0</v>
      </c>
      <c r="K165" s="121" t="str">
        <f t="shared" si="87"/>
        <v>4017/4018</v>
      </c>
      <c r="L165" s="24" t="str">
        <f>VLOOKUP(A165,'Trips&amp;Operators'!$C$1:$E$10000,3,FALSE)</f>
        <v>STRICKLAND</v>
      </c>
      <c r="M165" s="6">
        <f t="shared" si="88"/>
        <v>1.0150462963792961E-2</v>
      </c>
      <c r="N165" s="7">
        <f t="shared" si="99"/>
        <v>14.616666667861864</v>
      </c>
      <c r="O165" s="7"/>
      <c r="P165" s="7"/>
      <c r="Q165" s="25"/>
      <c r="R165" s="25"/>
      <c r="S165" s="37">
        <f t="shared" si="102"/>
        <v>1</v>
      </c>
      <c r="T165" s="52" t="str">
        <f t="shared" si="89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05:38:42-0600',mode:absolute,to:'2016-09-23 08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5" s="54" t="str">
        <f t="shared" si="91"/>
        <v>N</v>
      </c>
      <c r="X165" s="168">
        <f t="shared" si="100"/>
        <v>1</v>
      </c>
      <c r="Y165" s="69">
        <f t="shared" si="97"/>
        <v>0.1014</v>
      </c>
      <c r="Z165" s="69">
        <f t="shared" si="98"/>
        <v>5.8952</v>
      </c>
      <c r="AA165" s="69">
        <f t="shared" si="92"/>
        <v>5.7938000000000001</v>
      </c>
      <c r="AB165" s="66" t="e">
        <f>VLOOKUP(A165,Enforcements!$C$7:$K$20,8,0)</f>
        <v>#N/A</v>
      </c>
      <c r="AC165" s="62" t="e">
        <f>VLOOKUP(A165,Enforcements!$C$7:$E$20,3,0)</f>
        <v>#N/A</v>
      </c>
      <c r="AD165" s="63" t="str">
        <f t="shared" si="103"/>
        <v>0805-23</v>
      </c>
      <c r="AE165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65" s="96" t="str">
        <f t="shared" si="94"/>
        <v>"C:\Program Files (x86)\AstroGrep\AstroGrep.exe" /spath="%USERPROFILE%\AppData\Local\Temp\OnboardLogs" /stypes="app*4018*20160923*" /stext=" 13:.+((SYSTEM_STATE.+slice.+state.+changed )|(ment ac)|(system.+state.+changed )|(\|lc)|(penalty)|(\[timeout)|(PRM\|1\|D)|(kpr)|(kdp))" /e /r /s</v>
      </c>
      <c r="AG165" s="1" t="str">
        <f t="shared" si="101"/>
        <v>NW</v>
      </c>
      <c r="AH165" s="100" t="str">
        <f t="shared" si="95"/>
        <v>"%USERPROFILE%\Documents\GitHub\eaglep3\Utilities\RefineRTDCRunTimes.py" --tripid 805-23 --locoid 4018 --swversion DE.1.0.7.0 --startMP 204:1014 --initTime 2016-09-23T06:38:42 --startdatetime 2016-09-23T06:51:20 --delay 2 --endMP 300:58952 --enddatetime 2016-09-23T07:05:57 --enforcementcount 0 &gt;&gt;C:\Users\stu\Documents\GitHub\eaglep3-reporting\EC\2016-09-23-refined-times.txt</v>
      </c>
      <c r="AI165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{"issue":{"subject":"","project_id":79,"tracker_id":40,"status_id":1,"priority_id":2,"assigned_to_id":23,"start_date":"2016-09-23","description":"","custom_fields":[{"id":1,"name":"Subdivision","value":"NW"},{"id":4,"name":"Milepost","value":"5.8952"},{"id":17,"name":"Train ID","value":"805-23"},{"id":16,"name":"Locomotive ID","value":"4018"},{"id":130,"name":"Impact","value":""},{"id":150,"name":"Time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428</v>
      </c>
      <c r="B166" s="7">
        <v>4017</v>
      </c>
      <c r="C166" s="24" t="s">
        <v>106</v>
      </c>
      <c r="D166" s="24" t="s">
        <v>692</v>
      </c>
      <c r="E166" s="15">
        <v>42636.297291666669</v>
      </c>
      <c r="F166" s="15">
        <v>42636.298819444448</v>
      </c>
      <c r="G166" s="7">
        <v>1</v>
      </c>
      <c r="H166" s="15" t="s">
        <v>693</v>
      </c>
      <c r="I166" s="15">
        <v>42636.310393518521</v>
      </c>
      <c r="J166" s="7">
        <v>0</v>
      </c>
      <c r="K166" s="121" t="str">
        <f t="shared" si="87"/>
        <v>4017/4018</v>
      </c>
      <c r="L166" s="24" t="str">
        <f>VLOOKUP(A166,'Trips&amp;Operators'!$C$1:$E$10000,3,FALSE)</f>
        <v>STRICKLAND</v>
      </c>
      <c r="M166" s="6">
        <f t="shared" si="88"/>
        <v>1.1574074072996154E-2</v>
      </c>
      <c r="N166" s="7">
        <f t="shared" si="99"/>
        <v>16.666666665114462</v>
      </c>
      <c r="O166" s="7"/>
      <c r="P166" s="7"/>
      <c r="Q166" s="25"/>
      <c r="R166" s="25"/>
      <c r="S166" s="37">
        <f t="shared" si="102"/>
        <v>1</v>
      </c>
      <c r="T166" s="52" t="str">
        <f t="shared" si="89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06:08:06-0600',mode:absolute,to:'2016-09-23 08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66" s="54" t="str">
        <f t="shared" si="91"/>
        <v>N</v>
      </c>
      <c r="X166" s="168">
        <f t="shared" si="100"/>
        <v>1</v>
      </c>
      <c r="Y166" s="69">
        <f t="shared" si="97"/>
        <v>5.8638000000000003</v>
      </c>
      <c r="Z166" s="69">
        <f t="shared" si="98"/>
        <v>8.2699999999999996E-2</v>
      </c>
      <c r="AA166" s="69">
        <f t="shared" si="92"/>
        <v>5.7811000000000003</v>
      </c>
      <c r="AB166" s="66" t="e">
        <f>VLOOKUP(A166,Enforcements!$C$7:$K$20,8,0)</f>
        <v>#N/A</v>
      </c>
      <c r="AC166" s="62" t="e">
        <f>VLOOKUP(A166,Enforcements!$C$7:$E$20,3,0)</f>
        <v>#N/A</v>
      </c>
      <c r="AD166" s="63" t="str">
        <f t="shared" si="103"/>
        <v>0806-23</v>
      </c>
      <c r="AE166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66" s="96" t="str">
        <f t="shared" si="94"/>
        <v>"C:\Program Files (x86)\AstroGrep\AstroGrep.exe" /spath="%USERPROFILE%\AppData\Local\Temp\OnboardLogs" /stypes="app*4017*20160923*" /stext=" 13:.+((SYSTEM_STATE.+slice.+state.+changed )|(ment ac)|(system.+state.+changed )|(\|lc)|(penalty)|(\[timeout)|(PRM\|1\|D)|(kpr)|(kdp))" /e /r /s</v>
      </c>
      <c r="AG166" s="1" t="str">
        <f t="shared" si="101"/>
        <v>NW</v>
      </c>
      <c r="AH166" s="100" t="str">
        <f t="shared" si="95"/>
        <v>"%USERPROFILE%\Documents\GitHub\eaglep3\Utilities\RefineRTDCRunTimes.py" --tripid 806-23 --locoid 4017 --swversion DE.1.0.7.0 --startMP 300:58638 --initTime 2016-09-23T07:08:06 --startdatetime 2016-09-23T07:10:18 --delay 1 --endMP 204:827 --enddatetime 2016-09-23T07:26:58 --enforcementcount 0 &gt;&gt;C:\Users\stu\Documents\GitHub\eaglep3-reporting\EC\2016-09-23-refined-times.txt</v>
      </c>
      <c r="AI166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{"issue":{"subject":"","project_id":79,"tracker_id":40,"status_id":1,"priority_id":2,"assigned_to_id":23,"start_date":"2016-09-23","description":"","custom_fields":[{"id":1,"name":"Subdivision","value":"NW"},{"id":4,"name":"Milepost","value":"0.0827"},{"id":17,"name":"Train ID","value":"806-23"},{"id":16,"name":"Locomotive ID","value":"4017"},{"id":130,"name":"Impact","value":""},{"id":150,"name":"Time of Event (Mountain Time)","value":"07:26:58"},{"id":151,"name":"Denver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426</v>
      </c>
      <c r="B167" s="7">
        <v>4020</v>
      </c>
      <c r="C167" s="24" t="s">
        <v>106</v>
      </c>
      <c r="D167" s="24" t="s">
        <v>694</v>
      </c>
      <c r="E167" s="15">
        <v>42636.290023148147</v>
      </c>
      <c r="F167" s="15">
        <v>42636.306747685187</v>
      </c>
      <c r="G167" s="7">
        <v>0</v>
      </c>
      <c r="H167" s="15" t="s">
        <v>381</v>
      </c>
      <c r="I167" s="15">
        <v>42636.315555555557</v>
      </c>
      <c r="J167" s="7">
        <v>0</v>
      </c>
      <c r="K167" s="121" t="str">
        <f t="shared" si="87"/>
        <v>4019/4020</v>
      </c>
      <c r="L167" s="24" t="str">
        <f>VLOOKUP(A167,'Trips&amp;Operators'!$C$1:$E$10000,3,FALSE)</f>
        <v>YORK</v>
      </c>
      <c r="M167" s="6">
        <f t="shared" si="88"/>
        <v>8.8078703702194616E-3</v>
      </c>
      <c r="N167" s="7">
        <f t="shared" si="99"/>
        <v>12.683333333116025</v>
      </c>
      <c r="O167" s="7"/>
      <c r="P167" s="7"/>
      <c r="Q167" s="25"/>
      <c r="R167" s="25"/>
      <c r="S167" s="37">
        <f t="shared" si="102"/>
        <v>1</v>
      </c>
      <c r="T167" s="52" t="str">
        <f t="shared" si="89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05:57:38-0600',mode:absolute,to:'2016-09-23 08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7" s="54" t="str">
        <f t="shared" si="91"/>
        <v>N</v>
      </c>
      <c r="X167" s="168">
        <f t="shared" si="100"/>
        <v>1</v>
      </c>
      <c r="Y167" s="69">
        <f t="shared" si="97"/>
        <v>0.1032</v>
      </c>
      <c r="Z167" s="69">
        <f t="shared" si="98"/>
        <v>5.8930999999999996</v>
      </c>
      <c r="AA167" s="69">
        <f t="shared" si="92"/>
        <v>5.7898999999999994</v>
      </c>
      <c r="AB167" s="66" t="e">
        <f>VLOOKUP(A167,Enforcements!$C$7:$K$20,8,0)</f>
        <v>#N/A</v>
      </c>
      <c r="AC167" s="62" t="e">
        <f>VLOOKUP(A167,Enforcements!$C$7:$E$20,3,0)</f>
        <v>#N/A</v>
      </c>
      <c r="AD167" s="63" t="str">
        <f t="shared" si="103"/>
        <v>0807-23</v>
      </c>
      <c r="AE167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67" s="96" t="str">
        <f t="shared" si="94"/>
        <v>"C:\Program Files (x86)\AstroGrep\AstroGrep.exe" /spath="%USERPROFILE%\AppData\Local\Temp\OnboardLogs" /stypes="app*4020*20160923*" /stext=" 13:.+((SYSTEM_STATE.+slice.+state.+changed )|(ment ac)|(system.+state.+changed )|(\|lc)|(penalty)|(\[timeout)|(PRM\|1\|D)|(kpr)|(kdp))" /e /r /s</v>
      </c>
      <c r="AG167" s="1" t="str">
        <f t="shared" si="101"/>
        <v>NW</v>
      </c>
      <c r="AH167" s="100" t="str">
        <f t="shared" si="95"/>
        <v>"%USERPROFILE%\Documents\GitHub\eaglep3\Utilities\RefineRTDCRunTimes.py" --tripid 807-23 --locoid 4020 --swversion DE.1.0.7.0 --startMP 204:1032 --initTime 2016-09-23T06:57:38 --startdatetime 2016-09-23T07:21:43 --delay 0 --endMP 300:58931 --enddatetime 2016-09-23T07:34:24 --enforcementcount 0 &gt;&gt;C:\Users\stu\Documents\GitHub\eaglep3-reporting\EC\2016-09-23-refined-times.txt</v>
      </c>
      <c r="AI167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{"issue":{"subject":"","project_id":79,"tracker_id":40,"status_id":1,"priority_id":2,"assigned_to_id":23,"start_date":"2016-09-23","description":"","custom_fields":[{"id":1,"name":"Subdivision","value":"NW"},{"id":4,"name":"Milepost","value":"5.8931"},{"id":17,"name":"Train ID","value":"807-23"},{"id":16,"name":"Locomotive ID","value":"4020"},{"id":130,"name":"Impact","value":""},{"id":150,"name":"Time of Event (Mountain Time)","value":"07:34:24"},{"id":151,"name":"Denver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432</v>
      </c>
      <c r="B168" s="7">
        <v>4019</v>
      </c>
      <c r="C168" s="24" t="s">
        <v>106</v>
      </c>
      <c r="D168" s="24" t="s">
        <v>372</v>
      </c>
      <c r="E168" s="15">
        <v>42636.317129629628</v>
      </c>
      <c r="F168" s="15">
        <v>42636.319490740738</v>
      </c>
      <c r="G168" s="7">
        <v>0</v>
      </c>
      <c r="H168" s="15" t="s">
        <v>695</v>
      </c>
      <c r="I168" s="15">
        <v>42636.330046296294</v>
      </c>
      <c r="J168" s="7">
        <v>0</v>
      </c>
      <c r="K168" s="121" t="str">
        <f t="shared" si="87"/>
        <v>4019/4020</v>
      </c>
      <c r="L168" s="24" t="str">
        <f>VLOOKUP(A168,'Trips&amp;Operators'!$C$1:$E$10000,3,FALSE)</f>
        <v>YORK</v>
      </c>
      <c r="M168" s="6">
        <f t="shared" si="88"/>
        <v>1.0555555556493346E-2</v>
      </c>
      <c r="N168" s="7">
        <f t="shared" si="99"/>
        <v>15.200000001350418</v>
      </c>
      <c r="O168" s="7"/>
      <c r="P168" s="7"/>
      <c r="Q168" s="25"/>
      <c r="R168" s="25"/>
      <c r="S168" s="37">
        <f t="shared" si="102"/>
        <v>1</v>
      </c>
      <c r="T168" s="52" t="str">
        <f t="shared" si="89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06:36:40-0600',mode:absolute,to:'2016-09-23 08:55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8" s="54" t="str">
        <f t="shared" si="91"/>
        <v>N</v>
      </c>
      <c r="X168" s="168">
        <f t="shared" si="100"/>
        <v>1</v>
      </c>
      <c r="Y168" s="69">
        <f t="shared" si="97"/>
        <v>5.8613</v>
      </c>
      <c r="Z168" s="69">
        <f t="shared" si="98"/>
        <v>7.6399999999999996E-2</v>
      </c>
      <c r="AA168" s="69">
        <f t="shared" si="92"/>
        <v>5.7849000000000004</v>
      </c>
      <c r="AB168" s="66" t="e">
        <f>VLOOKUP(A168,Enforcements!$C$7:$K$20,8,0)</f>
        <v>#N/A</v>
      </c>
      <c r="AC168" s="62" t="e">
        <f>VLOOKUP(A168,Enforcements!$C$7:$E$20,3,0)</f>
        <v>#N/A</v>
      </c>
      <c r="AD168" s="63" t="str">
        <f t="shared" si="103"/>
        <v>0808-23</v>
      </c>
      <c r="AE168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68" s="96" t="str">
        <f t="shared" si="94"/>
        <v>"C:\Program Files (x86)\AstroGrep\AstroGrep.exe" /spath="%USERPROFILE%\AppData\Local\Temp\OnboardLogs" /stypes="app*4019*20160923*" /stext=" 13:.+((SYSTEM_STATE.+slice.+state.+changed )|(ment ac)|(system.+state.+changed )|(\|lc)|(penalty)|(\[timeout)|(PRM\|1\|D)|(kpr)|(kdp))" /e /r /s</v>
      </c>
      <c r="AG168" s="1" t="str">
        <f t="shared" si="101"/>
        <v>NW</v>
      </c>
      <c r="AH168" s="100" t="str">
        <f t="shared" si="95"/>
        <v>"%USERPROFILE%\Documents\GitHub\eaglep3\Utilities\RefineRTDCRunTimes.py" --tripid 808-23 --locoid 4019 --swversion DE.1.0.7.0 --startMP 300:58613 --initTime 2016-09-23T07:36:40 --startdatetime 2016-09-23T07:40:04 --delay 0 --endMP 204:764 --enddatetime 2016-09-23T07:55:16 --enforcementcount 0 &gt;&gt;C:\Users\stu\Documents\GitHub\eaglep3-reporting\EC\2016-09-23-refined-times.txt</v>
      </c>
      <c r="AI168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{"issue":{"subject":"","project_id":79,"tracker_id":40,"status_id":1,"priority_id":2,"assigned_to_id":23,"start_date":"2016-09-23","description":"","custom_fields":[{"id":1,"name":"Subdivision","value":"NW"},{"id":4,"name":"Milepost","value":"0.0764"},{"id":17,"name":"Train ID","value":"808-23"},{"id":16,"name":"Locomotive ID","value":"4019"},{"id":130,"name":"Impact","value":""},{"id":150,"name":"Time of Event (Mountain Time)","value":"07:55:16"},{"id":151,"name":"Denver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435</v>
      </c>
      <c r="B169" s="7">
        <v>4018</v>
      </c>
      <c r="C169" s="24" t="s">
        <v>106</v>
      </c>
      <c r="D169" s="24" t="s">
        <v>696</v>
      </c>
      <c r="E169" s="15">
        <v>42636.320648148147</v>
      </c>
      <c r="F169" s="15">
        <v>42636.327326388891</v>
      </c>
      <c r="G169" s="7">
        <v>3</v>
      </c>
      <c r="H169" s="15" t="s">
        <v>691</v>
      </c>
      <c r="I169" s="15">
        <v>42636.337835648148</v>
      </c>
      <c r="J169" s="7">
        <v>0</v>
      </c>
      <c r="K169" s="121" t="str">
        <f t="shared" si="87"/>
        <v>4017/4018</v>
      </c>
      <c r="L169" s="24" t="str">
        <f>VLOOKUP(A169,'Trips&amp;Operators'!$C$1:$E$10000,3,FALSE)</f>
        <v>STRICKLAND</v>
      </c>
      <c r="M169" s="6">
        <f t="shared" si="88"/>
        <v>1.0509259256650694E-2</v>
      </c>
      <c r="N169" s="7">
        <f t="shared" si="99"/>
        <v>15.133333329576999</v>
      </c>
      <c r="O169" s="7"/>
      <c r="P169" s="7"/>
      <c r="Q169" s="25"/>
      <c r="R169" s="25"/>
      <c r="S169" s="37">
        <f t="shared" si="102"/>
        <v>1</v>
      </c>
      <c r="T169" s="52" t="str">
        <f t="shared" si="89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06:41:44-0600',mode:absolute,to:'2016-09-23 09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69" s="54" t="str">
        <f t="shared" si="91"/>
        <v>N</v>
      </c>
      <c r="X169" s="168">
        <f t="shared" si="100"/>
        <v>1</v>
      </c>
      <c r="Y169" s="69">
        <f t="shared" si="97"/>
        <v>0.1123</v>
      </c>
      <c r="Z169" s="69">
        <f t="shared" si="98"/>
        <v>5.8952</v>
      </c>
      <c r="AA169" s="69">
        <f t="shared" si="92"/>
        <v>5.7828999999999997</v>
      </c>
      <c r="AB169" s="66" t="e">
        <f>VLOOKUP(A169,Enforcements!$C$7:$K$20,8,0)</f>
        <v>#N/A</v>
      </c>
      <c r="AC169" s="62" t="e">
        <f>VLOOKUP(A169,Enforcements!$C$7:$E$20,3,0)</f>
        <v>#N/A</v>
      </c>
      <c r="AD169" s="63" t="str">
        <f t="shared" si="103"/>
        <v>0809-23</v>
      </c>
      <c r="AE169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69" s="96" t="str">
        <f t="shared" si="94"/>
        <v>"C:\Program Files (x86)\AstroGrep\AstroGrep.exe" /spath="%USERPROFILE%\AppData\Local\Temp\OnboardLogs" /stypes="app*4018*20160923*" /stext=" 14:.+((SYSTEM_STATE.+slice.+state.+changed )|(ment ac)|(system.+state.+changed )|(\|lc)|(penalty)|(\[timeout)|(PRM\|1\|D)|(kpr)|(kdp))" /e /r /s</v>
      </c>
      <c r="AG169" s="1" t="str">
        <f t="shared" si="101"/>
        <v>NW</v>
      </c>
      <c r="AH169" s="100" t="str">
        <f t="shared" si="95"/>
        <v>"%USERPROFILE%\Documents\GitHub\eaglep3\Utilities\RefineRTDCRunTimes.py" --tripid 809-23 --locoid 4018 --swversion DE.1.0.7.0 --startMP 204:1123 --initTime 2016-09-23T07:41:44 --startdatetime 2016-09-23T07:51:21 --delay 3 --endMP 300:58952 --enddatetime 2016-09-23T08:06:29 --enforcementcount 0 &gt;&gt;C:\Users\stu\Documents\GitHub\eaglep3-reporting\EC\2016-09-23-refined-times.txt</v>
      </c>
      <c r="AI169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{"issue":{"subject":"","project_id":79,"tracker_id":40,"status_id":1,"priority_id":2,"assigned_to_id":23,"start_date":"2016-09-23","description":"","custom_fields":[{"id":1,"name":"Subdivision","value":"NW"},{"id":4,"name":"Milepost","value":"5.8952"},{"id":17,"name":"Train ID","value":"809-23"},{"id":16,"name":"Locomotive ID","value":"4018"},{"id":130,"name":"Impact","value":""},{"id":150,"name":"Time of Event (Mountain Time)","value":"08:06:29"},{"id":151,"name":"Denver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440</v>
      </c>
      <c r="B170" s="7">
        <v>4017</v>
      </c>
      <c r="C170" s="24" t="s">
        <v>106</v>
      </c>
      <c r="D170" s="24" t="s">
        <v>298</v>
      </c>
      <c r="E170" s="15">
        <v>42636.338819444441</v>
      </c>
      <c r="F170" s="15">
        <v>42636.340115740742</v>
      </c>
      <c r="G170" s="7">
        <v>1</v>
      </c>
      <c r="H170" s="15" t="s">
        <v>697</v>
      </c>
      <c r="I170" s="15">
        <v>42636.35355324074</v>
      </c>
      <c r="J170" s="7">
        <v>0</v>
      </c>
      <c r="K170" s="121" t="str">
        <f t="shared" si="87"/>
        <v>4017/4018</v>
      </c>
      <c r="L170" s="24" t="str">
        <f>VLOOKUP(A170,'Trips&amp;Operators'!$C$1:$E$10000,3,FALSE)</f>
        <v>STRICKLAND</v>
      </c>
      <c r="M170" s="6">
        <f t="shared" si="88"/>
        <v>1.3437499997962732E-2</v>
      </c>
      <c r="N170" s="7">
        <f t="shared" si="99"/>
        <v>19.349999997066334</v>
      </c>
      <c r="O170" s="7"/>
      <c r="P170" s="7"/>
      <c r="Q170" s="25"/>
      <c r="R170" s="25"/>
      <c r="S170" s="37">
        <f t="shared" si="102"/>
        <v>1</v>
      </c>
      <c r="T170" s="52" t="str">
        <f t="shared" si="89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07:07:54-0600',mode:absolute,to:'2016-09-23 09:29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70" s="54" t="str">
        <f t="shared" si="91"/>
        <v>N</v>
      </c>
      <c r="X170" s="168">
        <f t="shared" si="100"/>
        <v>1</v>
      </c>
      <c r="Y170" s="69">
        <f t="shared" si="97"/>
        <v>5.8634000000000004</v>
      </c>
      <c r="Z170" s="69">
        <f t="shared" si="98"/>
        <v>7.0999999999999994E-2</v>
      </c>
      <c r="AA170" s="69">
        <f t="shared" si="92"/>
        <v>5.7924000000000007</v>
      </c>
      <c r="AB170" s="66" t="e">
        <f>VLOOKUP(A170,Enforcements!$C$7:$K$20,8,0)</f>
        <v>#N/A</v>
      </c>
      <c r="AC170" s="62" t="e">
        <f>VLOOKUP(A170,Enforcements!$C$7:$E$20,3,0)</f>
        <v>#N/A</v>
      </c>
      <c r="AD170" s="63" t="str">
        <f t="shared" si="103"/>
        <v>0810-23</v>
      </c>
      <c r="AE170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70" s="96" t="str">
        <f t="shared" si="94"/>
        <v>"C:\Program Files (x86)\AstroGrep\AstroGrep.exe" /spath="%USERPROFILE%\AppData\Local\Temp\OnboardLogs" /stypes="app*4017*20160923*" /stext=" 14:.+((SYSTEM_STATE.+slice.+state.+changed )|(ment ac)|(system.+state.+changed )|(\|lc)|(penalty)|(\[timeout)|(PRM\|1\|D)|(kpr)|(kdp))" /e /r /s</v>
      </c>
      <c r="AG170" s="1" t="str">
        <f t="shared" si="101"/>
        <v>NW</v>
      </c>
      <c r="AH170" s="100" t="str">
        <f t="shared" si="95"/>
        <v>"%USERPROFILE%\Documents\GitHub\eaglep3\Utilities\RefineRTDCRunTimes.py" --tripid 810-23 --locoid 4017 --swversion DE.1.0.7.0 --startMP 300:58634 --initTime 2016-09-23T08:07:54 --startdatetime 2016-09-23T08:09:46 --delay 1 --endMP 204:710 --enddatetime 2016-09-23T08:29:07 --enforcementcount 0 &gt;&gt;C:\Users\stu\Documents\GitHub\eaglep3-reporting\EC\2016-09-23-refined-times.txt</v>
      </c>
      <c r="AI170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{"issue":{"subject":"","project_id":79,"tracker_id":40,"status_id":1,"priority_id":2,"assigned_to_id":23,"start_date":"2016-09-23","description":"","custom_fields":[{"id":1,"name":"Subdivision","value":"NW"},{"id":4,"name":"Milepost","value":"0.071"},{"id":17,"name":"Train ID","value":"810-23"},{"id":16,"name":"Locomotive ID","value":"4017"},{"id":130,"name":"Impact","value":""},{"id":150,"name":"Time of Event (Mountain Time)","value":"08:29:07"},{"id":151,"name":"Denver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438</v>
      </c>
      <c r="B171" s="7">
        <v>4020</v>
      </c>
      <c r="C171" s="24" t="s">
        <v>106</v>
      </c>
      <c r="D171" s="24" t="s">
        <v>368</v>
      </c>
      <c r="E171" s="15">
        <v>42636.331585648149</v>
      </c>
      <c r="F171" s="15">
        <v>42636.348333333335</v>
      </c>
      <c r="G171" s="7">
        <v>1</v>
      </c>
      <c r="H171" s="15" t="s">
        <v>698</v>
      </c>
      <c r="I171" s="15">
        <v>42636.356944444444</v>
      </c>
      <c r="J171" s="7">
        <v>0</v>
      </c>
      <c r="K171" s="121" t="str">
        <f t="shared" si="87"/>
        <v>4019/4020</v>
      </c>
      <c r="L171" s="24" t="str">
        <f>VLOOKUP(A171,'Trips&amp;Operators'!$C$1:$E$10000,3,FALSE)</f>
        <v>YORK</v>
      </c>
      <c r="M171" s="6">
        <f t="shared" si="88"/>
        <v>8.6111111086211167E-3</v>
      </c>
      <c r="N171" s="7">
        <f t="shared" si="99"/>
        <v>12.399999996414408</v>
      </c>
      <c r="O171" s="7"/>
      <c r="P171" s="7"/>
      <c r="Q171" s="25"/>
      <c r="R171" s="25"/>
      <c r="S171" s="37">
        <f t="shared" si="102"/>
        <v>1</v>
      </c>
      <c r="T171" s="52" t="str">
        <f t="shared" si="89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06:57:29-0600',mode:absolute,to:'2016-09-23 09:34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1" s="54" t="str">
        <f t="shared" si="91"/>
        <v>N</v>
      </c>
      <c r="X171" s="168">
        <f t="shared" si="100"/>
        <v>1</v>
      </c>
      <c r="Y171" s="69">
        <f t="shared" si="97"/>
        <v>0.1053</v>
      </c>
      <c r="Z171" s="69">
        <f t="shared" si="98"/>
        <v>5.8917999999999999</v>
      </c>
      <c r="AA171" s="69">
        <f t="shared" si="92"/>
        <v>5.7865000000000002</v>
      </c>
      <c r="AB171" s="66" t="e">
        <f>VLOOKUP(A171,Enforcements!$C$7:$K$20,8,0)</f>
        <v>#N/A</v>
      </c>
      <c r="AC171" s="62" t="e">
        <f>VLOOKUP(A171,Enforcements!$C$7:$E$20,3,0)</f>
        <v>#N/A</v>
      </c>
      <c r="AD171" s="63" t="str">
        <f t="shared" si="103"/>
        <v>0811-23</v>
      </c>
      <c r="AE171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71" s="96" t="str">
        <f t="shared" si="94"/>
        <v>"C:\Program Files (x86)\AstroGrep\AstroGrep.exe" /spath="%USERPROFILE%\AppData\Local\Temp\OnboardLogs" /stypes="app*4020*20160923*" /stext=" 14:.+((SYSTEM_STATE.+slice.+state.+changed )|(ment ac)|(system.+state.+changed )|(\|lc)|(penalty)|(\[timeout)|(PRM\|1\|D)|(kpr)|(kdp))" /e /r /s</v>
      </c>
      <c r="AG171" s="1" t="str">
        <f t="shared" si="101"/>
        <v>NW</v>
      </c>
      <c r="AH171" s="100" t="str">
        <f t="shared" si="95"/>
        <v>"%USERPROFILE%\Documents\GitHub\eaglep3\Utilities\RefineRTDCRunTimes.py" --tripid 811-23 --locoid 4020 --swversion DE.1.0.7.0 --startMP 204:1053 --initTime 2016-09-23T07:57:29 --startdatetime 2016-09-23T08:21:36 --delay 1 --endMP 300:58918 --enddatetime 2016-09-23T08:34:00 --enforcementcount 0 &gt;&gt;C:\Users\stu\Documents\GitHub\eaglep3-reporting\EC\2016-09-23-refined-times.txt</v>
      </c>
      <c r="AI171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{"issue":{"subject":"","project_id":79,"tracker_id":40,"status_id":1,"priority_id":2,"assigned_to_id":23,"start_date":"2016-09-23","description":"","custom_fields":[{"id":1,"name":"Subdivision","value":"NW"},{"id":4,"name":"Milepost","value":"5.8918"},{"id":17,"name":"Train ID","value":"811-23"},{"id":16,"name":"Locomotive ID","value":"4020"},{"id":130,"name":"Impact","value":""},{"id":150,"name":"Time of Event (Mountain Time)","value":"08:34:00"},{"id":151,"name":"Denver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445</v>
      </c>
      <c r="B172" s="7">
        <v>4019</v>
      </c>
      <c r="C172" s="24" t="s">
        <v>106</v>
      </c>
      <c r="D172" s="24" t="s">
        <v>326</v>
      </c>
      <c r="E172" s="15">
        <v>42636.358078703706</v>
      </c>
      <c r="F172" s="15">
        <v>42636.360115740739</v>
      </c>
      <c r="G172" s="7">
        <v>0</v>
      </c>
      <c r="H172" s="15" t="s">
        <v>699</v>
      </c>
      <c r="I172" s="15">
        <v>42636.370659722219</v>
      </c>
      <c r="J172" s="7">
        <v>0</v>
      </c>
      <c r="K172" s="121" t="str">
        <f t="shared" si="87"/>
        <v>4019/4020</v>
      </c>
      <c r="L172" s="24" t="str">
        <f>VLOOKUP(A172,'Trips&amp;Operators'!$C$1:$E$10000,3,FALSE)</f>
        <v>YORK</v>
      </c>
      <c r="M172" s="6">
        <f t="shared" si="88"/>
        <v>1.0543981479713693E-2</v>
      </c>
      <c r="N172" s="7">
        <f t="shared" si="99"/>
        <v>15.183333330787718</v>
      </c>
      <c r="O172" s="7"/>
      <c r="P172" s="7"/>
      <c r="Q172" s="25"/>
      <c r="R172" s="25"/>
      <c r="S172" s="37">
        <f t="shared" si="102"/>
        <v>1</v>
      </c>
      <c r="T172" s="52" t="str">
        <f t="shared" si="89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https://search-rtdc-monitor-bjffxe2xuh6vdkpspy63sjmuny.us-east-1.es.amazonaws.com/_plugin/kibana/#/discover/Steve-Slow-Train-Analysis-(2080s-and-2083s)?_g=(refreshInterval:(display:Off,section:0,value:0),time:(from:'2016-09-23 07:35:38-0600',mode:absolute,to:'2016-09-23 09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2" s="54" t="str">
        <f t="shared" si="91"/>
        <v>N</v>
      </c>
      <c r="X172" s="168">
        <f t="shared" si="100"/>
        <v>1</v>
      </c>
      <c r="Y172" s="69">
        <f t="shared" si="97"/>
        <v>5.8601999999999999</v>
      </c>
      <c r="Z172" s="69">
        <f t="shared" si="98"/>
        <v>7.5899999999999995E-2</v>
      </c>
      <c r="AA172" s="69">
        <f t="shared" si="92"/>
        <v>5.7843</v>
      </c>
      <c r="AB172" s="66" t="e">
        <f>VLOOKUP(A172,Enforcements!$C$7:$K$20,8,0)</f>
        <v>#N/A</v>
      </c>
      <c r="AC172" s="62" t="e">
        <f>VLOOKUP(A172,Enforcements!$C$7:$E$20,3,0)</f>
        <v>#N/A</v>
      </c>
      <c r="AD172" s="63" t="str">
        <f t="shared" si="103"/>
        <v>0812-23</v>
      </c>
      <c r="AE172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72" s="96" t="str">
        <f t="shared" si="94"/>
        <v>"C:\Program Files (x86)\AstroGrep\AstroGrep.exe" /spath="%USERPROFILE%\AppData\Local\Temp\OnboardLogs" /stypes="app*4019*20160923*" /stext=" 14:.+((SYSTEM_STATE.+slice.+state.+changed )|(ment ac)|(system.+state.+changed )|(\|lc)|(penalty)|(\[timeout)|(PRM\|1\|D)|(kpr)|(kdp))" /e /r /s</v>
      </c>
      <c r="AG172" s="1" t="str">
        <f t="shared" si="101"/>
        <v>NW</v>
      </c>
      <c r="AH172" s="100" t="str">
        <f t="shared" si="95"/>
        <v>"%USERPROFILE%\Documents\GitHub\eaglep3\Utilities\RefineRTDCRunTimes.py" --tripid 812-23 --locoid 4019 --swversion DE.1.0.7.0 --startMP 300:58602 --initTime 2016-09-23T08:35:38 --startdatetime 2016-09-23T08:38:34 --delay 0 --endMP 204:759 --enddatetime 2016-09-23T08:53:45 --enforcementcount 0 &gt;&gt;C:\Users\stu\Documents\GitHub\eaglep3-reporting\EC\2016-09-23-refined-times.txt</v>
      </c>
      <c r="AI172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{"issue":{"subject":"","project_id":79,"tracker_id":40,"status_id":1,"priority_id":2,"assigned_to_id":23,"start_date":"2016-09-23","description":"","custom_fields":[{"id":1,"name":"Subdivision","value":"NW"},{"id":4,"name":"Milepost","value":"0.0759"},{"id":17,"name":"Train ID","value":"812-23"},{"id":16,"name":"Locomotive ID","value":"4019"},{"id":130,"name":"Impact","value":""},{"id":150,"name":"Time of Event (Mountain Time)","value":"08:53:45"},{"id":151,"name":"Denver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451</v>
      </c>
      <c r="B173" s="7">
        <v>4020</v>
      </c>
      <c r="C173" s="24" t="s">
        <v>106</v>
      </c>
      <c r="D173" s="24" t="s">
        <v>700</v>
      </c>
      <c r="E173" s="15">
        <v>42636.379374999997</v>
      </c>
      <c r="F173" s="15">
        <v>42636.389884259261</v>
      </c>
      <c r="G173" s="7">
        <v>1</v>
      </c>
      <c r="H173" s="15" t="s">
        <v>369</v>
      </c>
      <c r="I173" s="15">
        <v>42636.398842592593</v>
      </c>
      <c r="J173" s="7">
        <v>0</v>
      </c>
      <c r="K173" s="121" t="str">
        <f t="shared" ref="K173:K203" si="104">IF(ISEVEN(B173),(B173-1)&amp;"/"&amp;B173,B173&amp;"/"&amp;(B173+1))</f>
        <v>4019/4020</v>
      </c>
      <c r="L173" s="24" t="str">
        <f>VLOOKUP(A173,'Trips&amp;Operators'!$C$1:$E$10000,3,FALSE)</f>
        <v>YORK</v>
      </c>
      <c r="M173" s="6">
        <f t="shared" ref="M173:M203" si="105">I173-F173</f>
        <v>8.9583333319751546E-3</v>
      </c>
      <c r="N173" s="7">
        <f t="shared" si="99"/>
        <v>12.899999998044223</v>
      </c>
      <c r="O173" s="7"/>
      <c r="P173" s="7"/>
      <c r="Q173" s="25"/>
      <c r="R173" s="25"/>
      <c r="S173" s="37">
        <f t="shared" si="102"/>
        <v>1</v>
      </c>
      <c r="T173" s="52" t="str">
        <f t="shared" ref="T173:T203" si="106">IF(ISEVEN(LEFT(AD173,4)),"Southbound","NorthBound")</f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ref="V173:V203" si="107"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https://search-rtdc-monitor-bjffxe2xuh6vdkpspy63sjmuny.us-east-1.es.amazonaws.com/_plugin/kibana/#/discover/Steve-Slow-Train-Analysis-(2080s-and-2083s)?_g=(refreshInterval:(display:Off,section:0,value:0),time:(from:'2016-09-23 08:06:18-0600',mode:absolute,to:'2016-09-23 10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ref="W173:W203" si="108">IF(AA173&lt;IF(AG173="EC",23,5.65),"Y","N")</f>
        <v>N</v>
      </c>
      <c r="X173" s="168">
        <f t="shared" si="100"/>
        <v>1</v>
      </c>
      <c r="Y173" s="69">
        <f t="shared" si="97"/>
        <v>0.10489999999999999</v>
      </c>
      <c r="Z173" s="69">
        <f t="shared" si="98"/>
        <v>5.8929</v>
      </c>
      <c r="AA173" s="69">
        <f t="shared" ref="AA173:AA203" si="109">ABS(Z173-Y173)</f>
        <v>5.7880000000000003</v>
      </c>
      <c r="AB173" s="66" t="e">
        <f>VLOOKUP(A173,Enforcements!$C$7:$K$20,8,0)</f>
        <v>#N/A</v>
      </c>
      <c r="AC173" s="62" t="e">
        <f>VLOOKUP(A173,Enforcements!$C$7:$E$20,3,0)</f>
        <v>#N/A</v>
      </c>
      <c r="AD173" s="63" t="str">
        <f t="shared" si="103"/>
        <v>0813-23</v>
      </c>
      <c r="AE173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73" s="96" t="str">
        <f t="shared" si="94"/>
        <v>"C:\Program Files (x86)\AstroGrep\AstroGrep.exe" /spath="%USERPROFILE%\AppData\Local\Temp\OnboardLogs" /stypes="app*4020*20160923*" /stext=" 15:.+((SYSTEM_STATE.+slice.+state.+changed )|(ment ac)|(system.+state.+changed )|(\|lc)|(penalty)|(\[timeout)|(PRM\|1\|D)|(kpr)|(kdp))" /e /r /s</v>
      </c>
      <c r="AG173" s="1" t="str">
        <f t="shared" si="101"/>
        <v>NW</v>
      </c>
      <c r="AH173" s="100" t="str">
        <f t="shared" si="95"/>
        <v>"%USERPROFILE%\Documents\GitHub\eaglep3\Utilities\RefineRTDCRunTimes.py" --tripid 813-23 --locoid 4020 --swversion DE.1.0.7.0 --startMP 204:1049 --initTime 2016-09-23T09:06:18 --startdatetime 2016-09-23T09:21:26 --delay 1 --endMP 300:58929 --enddatetime 2016-09-23T09:34:20 --enforcementcount 0 &gt;&gt;C:\Users\stu\Documents\GitHub\eaglep3-reporting\EC\2016-09-23-refined-times.txt</v>
      </c>
      <c r="AI173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{"issue":{"subject":"","project_id":79,"tracker_id":40,"status_id":1,"priority_id":2,"assigned_to_id":23,"start_date":"2016-09-23","description":"","custom_fields":[{"id":1,"name":"Subdivision","value":"NW"},{"id":4,"name":"Milepost","value":"5.8929"},{"id":17,"name":"Train ID","value":"813-23"},{"id":16,"name":"Locomotive ID","value":"4020"},{"id":130,"name":"Impact","value":""},{"id":150,"name":"Time of Event (Mountain Time)","value":"09:34:20"},{"id":151,"name":"Denver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s="23" customFormat="1" x14ac:dyDescent="0.25">
      <c r="A174" s="39" t="s">
        <v>456</v>
      </c>
      <c r="B174" s="7">
        <v>4019</v>
      </c>
      <c r="C174" s="24" t="s">
        <v>106</v>
      </c>
      <c r="D174" s="24" t="s">
        <v>701</v>
      </c>
      <c r="E174" s="15">
        <v>42636.399722222224</v>
      </c>
      <c r="F174" s="15">
        <v>42636.403749999998</v>
      </c>
      <c r="G174" s="7">
        <v>1</v>
      </c>
      <c r="H174" s="15" t="s">
        <v>699</v>
      </c>
      <c r="I174" s="15">
        <v>42636.412488425929</v>
      </c>
      <c r="J174" s="7">
        <v>0</v>
      </c>
      <c r="K174" s="121" t="str">
        <f t="shared" si="104"/>
        <v>4019/4020</v>
      </c>
      <c r="L174" s="24" t="str">
        <f>VLOOKUP(A174,'Trips&amp;Operators'!$C$1:$E$10000,3,FALSE)</f>
        <v>YORK</v>
      </c>
      <c r="M174" s="6">
        <f t="shared" si="105"/>
        <v>8.7384259313694201E-3</v>
      </c>
      <c r="N174" s="7">
        <f t="shared" si="99"/>
        <v>12.583333341171965</v>
      </c>
      <c r="O174" s="7"/>
      <c r="P174" s="7"/>
      <c r="Q174" s="25"/>
      <c r="R174" s="25"/>
      <c r="S174" s="37">
        <f t="shared" si="102"/>
        <v>1</v>
      </c>
      <c r="T174" s="52" t="str">
        <f t="shared" si="106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08:35:36-0600',mode:absolute,to:'2016-09-23 10:53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108"/>
        <v>N</v>
      </c>
      <c r="X174" s="168">
        <f t="shared" si="100"/>
        <v>1</v>
      </c>
      <c r="Y174" s="69">
        <f t="shared" si="97"/>
        <v>5.8616999999999999</v>
      </c>
      <c r="Z174" s="69">
        <f t="shared" si="98"/>
        <v>7.5899999999999995E-2</v>
      </c>
      <c r="AA174" s="69">
        <f t="shared" si="109"/>
        <v>5.7858000000000001</v>
      </c>
      <c r="AB174" s="66" t="e">
        <f>VLOOKUP(A174,Enforcements!$C$7:$K$20,8,0)</f>
        <v>#N/A</v>
      </c>
      <c r="AC174" s="62" t="e">
        <f>VLOOKUP(A174,Enforcements!$C$7:$E$20,3,0)</f>
        <v>#N/A</v>
      </c>
      <c r="AD174" s="63" t="str">
        <f t="shared" si="103"/>
        <v>0814-23</v>
      </c>
      <c r="AE174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74" s="96" t="str">
        <f t="shared" si="94"/>
        <v>"C:\Program Files (x86)\AstroGrep\AstroGrep.exe" /spath="%USERPROFILE%\AppData\Local\Temp\OnboardLogs" /stypes="app*4019*20160923*" /stext=" 15:.+((SYSTEM_STATE.+slice.+state.+changed )|(ment ac)|(system.+state.+changed )|(\|lc)|(penalty)|(\[timeout)|(PRM\|1\|D)|(kpr)|(kdp))" /e /r /s</v>
      </c>
      <c r="AG174" s="1" t="str">
        <f t="shared" si="101"/>
        <v>NW</v>
      </c>
      <c r="AH174" s="100" t="str">
        <f t="shared" si="95"/>
        <v>"%USERPROFILE%\Documents\GitHub\eaglep3\Utilities\RefineRTDCRunTimes.py" --tripid 814-23 --locoid 4019 --swversion DE.1.0.7.0 --startMP 300:58617 --initTime 2016-09-23T09:35:36 --startdatetime 2016-09-23T09:41:24 --delay 1 --endMP 204:759 --enddatetime 2016-09-23T09:53:59 --enforcementcount 0 &gt;&gt;C:\Users\stu\Documents\GitHub\eaglep3-reporting\EC\2016-09-23-refined-times.txt</v>
      </c>
      <c r="AI174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{"issue":{"subject":"","project_id":79,"tracker_id":40,"status_id":1,"priority_id":2,"assigned_to_id":23,"start_date":"2016-09-23","description":"","custom_fields":[{"id":1,"name":"Subdivision","value":"NW"},{"id":4,"name":"Milepost","value":"0.0759"},{"id":17,"name":"Train ID","value":"814-23"},{"id":16,"name":"Locomotive ID","value":"4019"},{"id":130,"name":"Impact","value":""},{"id":150,"name":"Time of Event (Mountain Time)","value":"09:53:59"},{"id":151,"name":"Denver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459</v>
      </c>
      <c r="B175" s="7">
        <v>4020</v>
      </c>
      <c r="C175" s="24" t="s">
        <v>106</v>
      </c>
      <c r="D175" s="24" t="s">
        <v>702</v>
      </c>
      <c r="E175" s="15">
        <v>42636.413935185185</v>
      </c>
      <c r="F175" s="15">
        <v>42636.431400462963</v>
      </c>
      <c r="G175" s="7">
        <v>0</v>
      </c>
      <c r="H175" s="15" t="s">
        <v>366</v>
      </c>
      <c r="I175" s="15">
        <v>42636.440196759257</v>
      </c>
      <c r="J175" s="7">
        <v>0</v>
      </c>
      <c r="K175" s="121" t="str">
        <f t="shared" si="104"/>
        <v>4019/4020</v>
      </c>
      <c r="L175" s="24" t="str">
        <f>VLOOKUP(A175,'Trips&amp;Operators'!$C$1:$E$10000,3,FALSE)</f>
        <v>YORK</v>
      </c>
      <c r="M175" s="6">
        <f t="shared" si="105"/>
        <v>8.7962962934398092E-3</v>
      </c>
      <c r="N175" s="7">
        <f t="shared" si="99"/>
        <v>12.666666662553325</v>
      </c>
      <c r="O175" s="7"/>
      <c r="P175" s="7"/>
      <c r="Q175" s="25"/>
      <c r="R175" s="25"/>
      <c r="S175" s="37">
        <f t="shared" si="102"/>
        <v>1</v>
      </c>
      <c r="T175" s="52" t="str">
        <f t="shared" si="106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08:56:04-0600',mode:absolute,to:'2016-09-23 11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5" s="54" t="str">
        <f t="shared" si="108"/>
        <v>N</v>
      </c>
      <c r="X175" s="168">
        <f t="shared" si="100"/>
        <v>1</v>
      </c>
      <c r="Y175" s="69">
        <f t="shared" si="97"/>
        <v>0.1056</v>
      </c>
      <c r="Z175" s="69">
        <f t="shared" si="98"/>
        <v>5.8924000000000003</v>
      </c>
      <c r="AA175" s="69">
        <f t="shared" si="109"/>
        <v>5.7868000000000004</v>
      </c>
      <c r="AB175" s="66" t="e">
        <f>VLOOKUP(A175,Enforcements!$C$7:$K$20,8,0)</f>
        <v>#N/A</v>
      </c>
      <c r="AC175" s="62" t="e">
        <f>VLOOKUP(A175,Enforcements!$C$7:$E$20,3,0)</f>
        <v>#N/A</v>
      </c>
      <c r="AD175" s="63" t="str">
        <f t="shared" si="103"/>
        <v>0815-23</v>
      </c>
      <c r="AE175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75" s="96" t="str">
        <f t="shared" si="94"/>
        <v>"C:\Program Files (x86)\AstroGrep\AstroGrep.exe" /spath="%USERPROFILE%\AppData\Local\Temp\OnboardLogs" /stypes="app*4020*20160923*" /stext=" 16:.+((SYSTEM_STATE.+slice.+state.+changed )|(ment ac)|(system.+state.+changed )|(\|lc)|(penalty)|(\[timeout)|(PRM\|1\|D)|(kpr)|(kdp))" /e /r /s</v>
      </c>
      <c r="AG175" s="1" t="str">
        <f t="shared" si="101"/>
        <v>NW</v>
      </c>
      <c r="AH175" s="100" t="str">
        <f t="shared" si="95"/>
        <v>"%USERPROFILE%\Documents\GitHub\eaglep3\Utilities\RefineRTDCRunTimes.py" --tripid 815-23 --locoid 4020 --swversion DE.1.0.7.0 --startMP 204:1056 --initTime 2016-09-23T09:56:04 --startdatetime 2016-09-23T10:21:13 --delay 0 --endMP 300:58924 --enddatetime 2016-09-23T10:33:53 --enforcementcount 0 &gt;&gt;C:\Users\stu\Documents\GitHub\eaglep3-reporting\EC\2016-09-23-refined-times.txt</v>
      </c>
      <c r="AI175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ID","value":"815-23"},{"id":16,"name":"Locomotive ID","value":"4020"},{"id":130,"name":"Impact","value":""},{"id":150,"name":"Time of Event (Mountain Time)","value":"10:33:53"},{"id":151,"name":"Denver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468</v>
      </c>
      <c r="B176" s="7">
        <v>4019</v>
      </c>
      <c r="C176" s="24" t="s">
        <v>106</v>
      </c>
      <c r="D176" s="24" t="s">
        <v>380</v>
      </c>
      <c r="E176" s="15">
        <v>42636.441620370373</v>
      </c>
      <c r="F176" s="15">
        <v>42636.442893518521</v>
      </c>
      <c r="G176" s="7">
        <v>1</v>
      </c>
      <c r="H176" s="15" t="s">
        <v>695</v>
      </c>
      <c r="I176" s="15">
        <v>42636.454039351855</v>
      </c>
      <c r="J176" s="7">
        <v>0</v>
      </c>
      <c r="K176" s="121" t="str">
        <f t="shared" si="104"/>
        <v>4019/4020</v>
      </c>
      <c r="L176" s="24" t="str">
        <f>VLOOKUP(A176,'Trips&amp;Operators'!$C$1:$E$10000,3,FALSE)</f>
        <v>YORK</v>
      </c>
      <c r="M176" s="6">
        <f t="shared" si="105"/>
        <v>1.1145833334012423E-2</v>
      </c>
      <c r="N176" s="7">
        <f t="shared" si="99"/>
        <v>16.050000000977889</v>
      </c>
      <c r="O176" s="7"/>
      <c r="P176" s="7"/>
      <c r="Q176" s="25"/>
      <c r="R176" s="25"/>
      <c r="S176" s="37">
        <f t="shared" si="102"/>
        <v>1</v>
      </c>
      <c r="T176" s="52" t="str">
        <f t="shared" si="106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09:35:56-0600',mode:absolute,to:'2016-09-23 11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6" s="54" t="str">
        <f t="shared" si="108"/>
        <v>N</v>
      </c>
      <c r="X176" s="168">
        <f t="shared" si="100"/>
        <v>1</v>
      </c>
      <c r="Y176" s="69">
        <f t="shared" si="97"/>
        <v>5.8605999999999998</v>
      </c>
      <c r="Z176" s="69">
        <f t="shared" si="98"/>
        <v>7.6399999999999996E-2</v>
      </c>
      <c r="AA176" s="69">
        <f t="shared" si="109"/>
        <v>5.7842000000000002</v>
      </c>
      <c r="AB176" s="66" t="e">
        <f>VLOOKUP(A176,Enforcements!$C$7:$K$20,8,0)</f>
        <v>#N/A</v>
      </c>
      <c r="AC176" s="62" t="e">
        <f>VLOOKUP(A176,Enforcements!$C$7:$E$20,3,0)</f>
        <v>#N/A</v>
      </c>
      <c r="AD176" s="63" t="str">
        <f t="shared" si="103"/>
        <v>0816-23</v>
      </c>
      <c r="AE176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76" s="96" t="str">
        <f t="shared" si="94"/>
        <v>"C:\Program Files (x86)\AstroGrep\AstroGrep.exe" /spath="%USERPROFILE%\AppData\Local\Temp\OnboardLogs" /stypes="app*4019*20160923*" /stext=" 16:.+((SYSTEM_STATE.+slice.+state.+changed )|(ment ac)|(system.+state.+changed )|(\|lc)|(penalty)|(\[timeout)|(PRM\|1\|D)|(kpr)|(kdp))" /e /r /s</v>
      </c>
      <c r="AG176" s="1" t="str">
        <f t="shared" si="101"/>
        <v>NW</v>
      </c>
      <c r="AH176" s="100" t="str">
        <f t="shared" si="95"/>
        <v>"%USERPROFILE%\Documents\GitHub\eaglep3\Utilities\RefineRTDCRunTimes.py" --tripid 816-23 --locoid 4019 --swversion DE.1.0.7.0 --startMP 300:58606 --initTime 2016-09-23T10:35:56 --startdatetime 2016-09-23T10:37:46 --delay 1 --endMP 204:764 --enddatetime 2016-09-23T10:53:49 --enforcementcount 0 &gt;&gt;C:\Users\stu\Documents\GitHub\eaglep3-reporting\EC\2016-09-23-refined-times.txt</v>
      </c>
      <c r="AI176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{"issue":{"subject":"","project_id":79,"tracker_id":40,"status_id":1,"priority_id":2,"assigned_to_id":23,"start_date":"2016-09-23","description":"","custom_fields":[{"id":1,"name":"Subdivision","value":"NW"},{"id":4,"name":"Milepost","value":"0.0764"},{"id":17,"name":"Train ID","value":"816-23"},{"id":16,"name":"Locomotive ID","value":"4019"},{"id":130,"name":"Impact","value":""},{"id":150,"name":"Time of Event (Mountain Time)","value":"10:53:49"},{"id":151,"name":"Denver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471</v>
      </c>
      <c r="B177" s="7">
        <v>4020</v>
      </c>
      <c r="C177" s="24" t="s">
        <v>106</v>
      </c>
      <c r="D177" s="24" t="s">
        <v>363</v>
      </c>
      <c r="E177" s="15">
        <v>42636.455069444448</v>
      </c>
      <c r="F177" s="15">
        <v>42636.47315972222</v>
      </c>
      <c r="G177" s="7">
        <v>1</v>
      </c>
      <c r="H177" s="15" t="s">
        <v>371</v>
      </c>
      <c r="I177" s="15">
        <v>42636.482187499998</v>
      </c>
      <c r="J177" s="7">
        <v>0</v>
      </c>
      <c r="K177" s="121" t="str">
        <f t="shared" si="104"/>
        <v>4019/4020</v>
      </c>
      <c r="L177" s="24" t="str">
        <f>VLOOKUP(A177,'Trips&amp;Operators'!$C$1:$E$10000,3,FALSE)</f>
        <v>YORK</v>
      </c>
      <c r="M177" s="6">
        <f t="shared" si="105"/>
        <v>9.0277777781011537E-3</v>
      </c>
      <c r="N177" s="7">
        <f t="shared" si="99"/>
        <v>13.000000000465661</v>
      </c>
      <c r="O177" s="7"/>
      <c r="P177" s="7"/>
      <c r="Q177" s="25"/>
      <c r="R177" s="25"/>
      <c r="S177" s="37">
        <f t="shared" si="102"/>
        <v>1</v>
      </c>
      <c r="T177" s="52" t="str">
        <f t="shared" si="106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09:55:18-0600',mode:absolute,to:'2016-09-23 12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7" s="54" t="str">
        <f t="shared" si="108"/>
        <v>N</v>
      </c>
      <c r="X177" s="168">
        <f t="shared" si="100"/>
        <v>1</v>
      </c>
      <c r="Y177" s="69">
        <f t="shared" si="97"/>
        <v>0.1062</v>
      </c>
      <c r="Z177" s="69">
        <f t="shared" si="98"/>
        <v>5.8925999999999998</v>
      </c>
      <c r="AA177" s="69">
        <f t="shared" si="109"/>
        <v>5.7863999999999995</v>
      </c>
      <c r="AB177" s="66" t="e">
        <f>VLOOKUP(A177,Enforcements!$C$7:$K$20,8,0)</f>
        <v>#N/A</v>
      </c>
      <c r="AC177" s="62" t="e">
        <f>VLOOKUP(A177,Enforcements!$C$7:$E$20,3,0)</f>
        <v>#N/A</v>
      </c>
      <c r="AD177" s="63" t="str">
        <f t="shared" si="103"/>
        <v>0817-23</v>
      </c>
      <c r="AE177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77" s="96" t="str">
        <f t="shared" si="94"/>
        <v>"C:\Program Files (x86)\AstroGrep\AstroGrep.exe" /spath="%USERPROFILE%\AppData\Local\Temp\OnboardLogs" /stypes="app*4020*20160923*" /stext=" 17:.+((SYSTEM_STATE.+slice.+state.+changed )|(ment ac)|(system.+state.+changed )|(\|lc)|(penalty)|(\[timeout)|(PRM\|1\|D)|(kpr)|(kdp))" /e /r /s</v>
      </c>
      <c r="AG177" s="1" t="str">
        <f t="shared" si="101"/>
        <v>NW</v>
      </c>
      <c r="AH177" s="100" t="str">
        <f t="shared" si="95"/>
        <v>"%USERPROFILE%\Documents\GitHub\eaglep3\Utilities\RefineRTDCRunTimes.py" --tripid 817-23 --locoid 4020 --swversion DE.1.0.7.0 --startMP 204:1062 --initTime 2016-09-23T10:55:18 --startdatetime 2016-09-23T11:21:21 --delay 1 --endMP 300:58926 --enddatetime 2016-09-23T11:34:21 --enforcementcount 0 &gt;&gt;C:\Users\stu\Documents\GitHub\eaglep3-reporting\EC\2016-09-23-refined-times.txt</v>
      </c>
      <c r="AI177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{"issue":{"subject":"","project_id":79,"tracker_id":40,"status_id":1,"priority_id":2,"assigned_to_id":23,"start_date":"2016-09-23","description":"","custom_fields":[{"id":1,"name":"Subdivision","value":"NW"},{"id":4,"name":"Milepost","value":"5.8926"},{"id":17,"name":"Train ID","value":"817-23"},{"id":16,"name":"Locomotive ID","value":"4020"},{"id":130,"name":"Impact","value":""},{"id":150,"name":"Time of Event (Mountain Time)","value":"11:34:21"},{"id":151,"name":"Denver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483</v>
      </c>
      <c r="B178" s="7">
        <v>4019</v>
      </c>
      <c r="C178" s="24" t="s">
        <v>106</v>
      </c>
      <c r="D178" s="24" t="s">
        <v>364</v>
      </c>
      <c r="E178" s="15">
        <v>42636.484918981485</v>
      </c>
      <c r="F178" s="15">
        <v>42636.486076388886</v>
      </c>
      <c r="G178" s="7">
        <v>0</v>
      </c>
      <c r="H178" s="15" t="s">
        <v>703</v>
      </c>
      <c r="I178" s="15">
        <v>42636.495856481481</v>
      </c>
      <c r="J178" s="7">
        <v>0</v>
      </c>
      <c r="K178" s="121" t="str">
        <f t="shared" si="104"/>
        <v>4019/4020</v>
      </c>
      <c r="L178" s="24" t="str">
        <f>VLOOKUP(A178,'Trips&amp;Operators'!$C$1:$E$10000,3,FALSE)</f>
        <v>YORK</v>
      </c>
      <c r="M178" s="6">
        <f t="shared" si="105"/>
        <v>9.7800925941555761E-3</v>
      </c>
      <c r="N178" s="7">
        <f t="shared" si="99"/>
        <v>14.08333333558403</v>
      </c>
      <c r="O178" s="7"/>
      <c r="P178" s="7"/>
      <c r="Q178" s="25"/>
      <c r="R178" s="25"/>
      <c r="S178" s="37">
        <f t="shared" si="102"/>
        <v>1</v>
      </c>
      <c r="T178" s="52" t="str">
        <f t="shared" si="106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10:38:17-0600',mode:absolute,to:'2016-09-23 12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8" s="54" t="str">
        <f t="shared" si="108"/>
        <v>N</v>
      </c>
      <c r="X178" s="168">
        <f t="shared" si="100"/>
        <v>1</v>
      </c>
      <c r="Y178" s="69">
        <f t="shared" si="97"/>
        <v>5.8611000000000004</v>
      </c>
      <c r="Z178" s="69">
        <f t="shared" si="98"/>
        <v>8.5000000000000006E-2</v>
      </c>
      <c r="AA178" s="69">
        <f t="shared" si="109"/>
        <v>5.7761000000000005</v>
      </c>
      <c r="AB178" s="66" t="e">
        <f>VLOOKUP(A178,Enforcements!$C$7:$K$20,8,0)</f>
        <v>#N/A</v>
      </c>
      <c r="AC178" s="62" t="e">
        <f>VLOOKUP(A178,Enforcements!$C$7:$E$20,3,0)</f>
        <v>#N/A</v>
      </c>
      <c r="AD178" s="63" t="str">
        <f t="shared" si="103"/>
        <v>0818-23</v>
      </c>
      <c r="AE178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78" s="96" t="str">
        <f t="shared" si="94"/>
        <v>"C:\Program Files (x86)\AstroGrep\AstroGrep.exe" /spath="%USERPROFILE%\AppData\Local\Temp\OnboardLogs" /stypes="app*4019*20160923*" /stext=" 17:.+((SYSTEM_STATE.+slice.+state.+changed )|(ment ac)|(system.+state.+changed )|(\|lc)|(penalty)|(\[timeout)|(PRM\|1\|D)|(kpr)|(kdp))" /e /r /s</v>
      </c>
      <c r="AG178" s="1" t="str">
        <f t="shared" si="101"/>
        <v>NW</v>
      </c>
      <c r="AH178" s="100" t="str">
        <f t="shared" si="95"/>
        <v>"%USERPROFILE%\Documents\GitHub\eaglep3\Utilities\RefineRTDCRunTimes.py" --tripid 818-23 --locoid 4019 --swversion DE.1.0.7.0 --startMP 300:58611 --initTime 2016-09-23T11:38:17 --startdatetime 2016-09-23T11:39:57 --delay 0 --endMP 204:850 --enddatetime 2016-09-23T11:54:02 --enforcementcount 0 &gt;&gt;C:\Users\stu\Documents\GitHub\eaglep3-reporting\EC\2016-09-23-refined-times.txt</v>
      </c>
      <c r="AI178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{"issue":{"subject":"","project_id":79,"tracker_id":40,"status_id":1,"priority_id":2,"assigned_to_id":23,"start_date":"2016-09-23","description":"","custom_fields":[{"id":1,"name":"Subdivision","value":"NW"},{"id":4,"name":"Milepost","value":"0.085"},{"id":17,"name":"Train ID","value":"818-23"},{"id":16,"name":"Locomotive ID","value":"4019"},{"id":130,"name":"Impact","value":""},{"id":150,"name":"Time of Event (Mountain Time)","value":"11:54:02"},{"id":151,"name":"Denver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487</v>
      </c>
      <c r="B179" s="7">
        <v>4020</v>
      </c>
      <c r="C179" s="24" t="s">
        <v>106</v>
      </c>
      <c r="D179" s="24" t="s">
        <v>704</v>
      </c>
      <c r="E179" s="15">
        <v>42636.498518518521</v>
      </c>
      <c r="F179" s="15">
        <v>42636.514756944445</v>
      </c>
      <c r="G179" s="7">
        <v>21</v>
      </c>
      <c r="H179" s="15" t="s">
        <v>381</v>
      </c>
      <c r="I179" s="15">
        <v>42636.523576388892</v>
      </c>
      <c r="J179" s="7">
        <v>0</v>
      </c>
      <c r="K179" s="121" t="str">
        <f t="shared" si="104"/>
        <v>4019/4020</v>
      </c>
      <c r="L179" s="24" t="str">
        <f>VLOOKUP(A179,'Trips&amp;Operators'!$C$1:$E$10000,3,FALSE)</f>
        <v>YORK</v>
      </c>
      <c r="M179" s="6">
        <f t="shared" si="105"/>
        <v>8.819444446999114E-3</v>
      </c>
      <c r="N179" s="7">
        <f t="shared" si="99"/>
        <v>12.700000003678724</v>
      </c>
      <c r="O179" s="7"/>
      <c r="P179" s="7"/>
      <c r="Q179" s="25"/>
      <c r="R179" s="25"/>
      <c r="S179" s="37">
        <f t="shared" si="102"/>
        <v>1</v>
      </c>
      <c r="T179" s="52" t="str">
        <f t="shared" si="106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10:57:52-0600',mode:absolute,to:'2016-09-23 13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9" s="54" t="str">
        <f t="shared" si="108"/>
        <v>N</v>
      </c>
      <c r="X179" s="168">
        <f t="shared" si="100"/>
        <v>1</v>
      </c>
      <c r="Y179" s="69">
        <f t="shared" si="97"/>
        <v>0.1142</v>
      </c>
      <c r="Z179" s="69">
        <f t="shared" si="98"/>
        <v>5.8930999999999996</v>
      </c>
      <c r="AA179" s="69">
        <f t="shared" si="109"/>
        <v>5.7788999999999993</v>
      </c>
      <c r="AB179" s="66" t="e">
        <f>VLOOKUP(A179,Enforcements!$C$7:$K$20,8,0)</f>
        <v>#N/A</v>
      </c>
      <c r="AC179" s="62" t="e">
        <f>VLOOKUP(A179,Enforcements!$C$7:$E$20,3,0)</f>
        <v>#N/A</v>
      </c>
      <c r="AD179" s="63" t="str">
        <f t="shared" si="103"/>
        <v>0819-23</v>
      </c>
      <c r="AE179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79" s="96" t="str">
        <f t="shared" si="94"/>
        <v>"C:\Program Files (x86)\AstroGrep\AstroGrep.exe" /spath="%USERPROFILE%\AppData\Local\Temp\OnboardLogs" /stypes="app*4020*20160923*" /stext=" 18:.+((SYSTEM_STATE.+slice.+state.+changed )|(ment ac)|(system.+state.+changed )|(\|lc)|(penalty)|(\[timeout)|(PRM\|1\|D)|(kpr)|(kdp))" /e /r /s</v>
      </c>
      <c r="AG179" s="1" t="str">
        <f t="shared" si="101"/>
        <v>NW</v>
      </c>
      <c r="AH179" s="100" t="str">
        <f t="shared" si="95"/>
        <v>"%USERPROFILE%\Documents\GitHub\eaglep3\Utilities\RefineRTDCRunTimes.py" --tripid 819-23 --locoid 4020 --swversion DE.1.0.7.0 --startMP 204:1142 --initTime 2016-09-23T11:57:52 --startdatetime 2016-09-23T12:21:15 --delay 21 --endMP 300:58931 --enddatetime 2016-09-23T12:33:57 --enforcementcount 0 &gt;&gt;C:\Users\stu\Documents\GitHub\eaglep3-reporting\EC\2016-09-23-refined-times.txt</v>
      </c>
      <c r="AI179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{"issue":{"subject":"","project_id":79,"tracker_id":40,"status_id":1,"priority_id":2,"assigned_to_id":23,"start_date":"2016-09-23","description":"","custom_fields":[{"id":1,"name":"Subdivision","value":"NW"},{"id":4,"name":"Milepost","value":"5.8931"},{"id":17,"name":"Train ID","value":"819-23"},{"id":16,"name":"Locomotive ID","value":"4020"},{"id":130,"name":"Impact","value":""},{"id":150,"name":"Time of Event (Mountain Time)","value":"12:33:57"},{"id":151,"name":"Denver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x14ac:dyDescent="0.25">
      <c r="A180" s="39" t="s">
        <v>490</v>
      </c>
      <c r="B180" s="7">
        <v>4019</v>
      </c>
      <c r="C180" s="24" t="s">
        <v>106</v>
      </c>
      <c r="D180" s="24" t="s">
        <v>372</v>
      </c>
      <c r="E180" s="15">
        <v>42636.525613425925</v>
      </c>
      <c r="F180" s="15">
        <v>42636.527268518519</v>
      </c>
      <c r="G180" s="7">
        <v>1</v>
      </c>
      <c r="H180" s="15" t="s">
        <v>367</v>
      </c>
      <c r="I180" s="15">
        <v>42636.537395833337</v>
      </c>
      <c r="J180" s="7">
        <v>0</v>
      </c>
      <c r="K180" s="121" t="str">
        <f t="shared" si="104"/>
        <v>4019/4020</v>
      </c>
      <c r="L180" s="24" t="str">
        <f>VLOOKUP(A180,'Trips&amp;Operators'!$C$1:$E$10000,3,FALSE)</f>
        <v>YORK</v>
      </c>
      <c r="M180" s="6">
        <f t="shared" si="105"/>
        <v>1.0127314817509614E-2</v>
      </c>
      <c r="N180" s="7">
        <f t="shared" si="99"/>
        <v>14.583333337213844</v>
      </c>
      <c r="O180" s="7"/>
      <c r="P180" s="7"/>
      <c r="Q180" s="25"/>
      <c r="R180" s="25"/>
      <c r="S180" s="37">
        <f t="shared" si="102"/>
        <v>1</v>
      </c>
      <c r="T180" s="52" t="str">
        <f t="shared" si="106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11:36:53-0600',mode:absolute,to:'2016-09-23 13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0" s="54" t="str">
        <f t="shared" si="108"/>
        <v>N</v>
      </c>
      <c r="X180" s="168">
        <f t="shared" si="100"/>
        <v>1</v>
      </c>
      <c r="Y180" s="69">
        <f t="shared" si="97"/>
        <v>5.8613</v>
      </c>
      <c r="Z180" s="69">
        <f t="shared" si="98"/>
        <v>7.7100000000000002E-2</v>
      </c>
      <c r="AA180" s="69">
        <f t="shared" si="109"/>
        <v>5.7842000000000002</v>
      </c>
      <c r="AB180" s="66" t="e">
        <f>VLOOKUP(A180,Enforcements!$C$7:$K$20,8,0)</f>
        <v>#N/A</v>
      </c>
      <c r="AC180" s="62" t="e">
        <f>VLOOKUP(A180,Enforcements!$C$7:$E$20,3,0)</f>
        <v>#N/A</v>
      </c>
      <c r="AD180" s="63" t="str">
        <f t="shared" si="103"/>
        <v>0820-23</v>
      </c>
      <c r="AE180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80" s="96" t="str">
        <f t="shared" si="94"/>
        <v>"C:\Program Files (x86)\AstroGrep\AstroGrep.exe" /spath="%USERPROFILE%\AppData\Local\Temp\OnboardLogs" /stypes="app*4019*20160923*" /stext=" 18:.+((SYSTEM_STATE.+slice.+state.+changed )|(ment ac)|(system.+state.+changed )|(\|lc)|(penalty)|(\[timeout)|(PRM\|1\|D)|(kpr)|(kdp))" /e /r /s</v>
      </c>
      <c r="AG180" s="1" t="str">
        <f t="shared" si="101"/>
        <v>NW</v>
      </c>
      <c r="AH180" s="100" t="str">
        <f t="shared" si="95"/>
        <v>"%USERPROFILE%\Documents\GitHub\eaglep3\Utilities\RefineRTDCRunTimes.py" --tripid 820-23 --locoid 4019 --swversion DE.1.0.7.0 --startMP 300:58613 --initTime 2016-09-23T12:36:53 --startdatetime 2016-09-23T12:39:16 --delay 1 --endMP 204:771 --enddatetime 2016-09-23T12:53:51 --enforcementcount 0 &gt;&gt;C:\Users\stu\Documents\GitHub\eaglep3-reporting\EC\2016-09-23-refined-times.txt</v>
      </c>
      <c r="AI180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{"issue":{"subject":"","project_id":79,"tracker_id":40,"status_id":1,"priority_id":2,"assigned_to_id":23,"start_date":"2016-09-23","description":"","custom_fields":[{"id":1,"name":"Subdivision","value":"NW"},{"id":4,"name":"Milepost","value":"0.0771"},{"id":17,"name":"Train ID","value":"820-23"},{"id":16,"name":"Locomotive ID","value":"4019"},{"id":130,"name":"Impact","value":""},{"id":150,"name":"Time of Event (Mountain Time)","value":"12:53:51"},{"id":151,"name":"Denver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498</v>
      </c>
      <c r="B181" s="7">
        <v>4020</v>
      </c>
      <c r="C181" s="24" t="s">
        <v>106</v>
      </c>
      <c r="D181" s="24" t="s">
        <v>705</v>
      </c>
      <c r="E181" s="15">
        <v>42636.552048611113</v>
      </c>
      <c r="F181" s="15">
        <v>42636.556481481479</v>
      </c>
      <c r="G181" s="7">
        <v>1</v>
      </c>
      <c r="H181" s="15" t="s">
        <v>376</v>
      </c>
      <c r="I181" s="15">
        <v>42636.567256944443</v>
      </c>
      <c r="J181" s="7">
        <v>0</v>
      </c>
      <c r="K181" s="121" t="str">
        <f t="shared" si="104"/>
        <v>4019/4020</v>
      </c>
      <c r="L181" s="24" t="str">
        <f>VLOOKUP(A181,'Trips&amp;Operators'!$C$1:$E$10000,3,FALSE)</f>
        <v>HELVIE</v>
      </c>
      <c r="M181" s="6">
        <f t="shared" si="105"/>
        <v>1.0775462964375038E-2</v>
      </c>
      <c r="N181" s="7">
        <f t="shared" si="99"/>
        <v>15.516666668700054</v>
      </c>
      <c r="O181" s="7"/>
      <c r="P181" s="7"/>
      <c r="Q181" s="25"/>
      <c r="R181" s="25"/>
      <c r="S181" s="37">
        <f t="shared" si="102"/>
        <v>1</v>
      </c>
      <c r="T181" s="52" t="str">
        <f t="shared" si="106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12:14:57-0600',mode:absolute,to:'2016-09-23 14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1" s="54" t="str">
        <f t="shared" si="108"/>
        <v>N</v>
      </c>
      <c r="X181" s="168">
        <f t="shared" si="100"/>
        <v>1</v>
      </c>
      <c r="Y181" s="69">
        <f t="shared" si="97"/>
        <v>0.106</v>
      </c>
      <c r="Z181" s="69">
        <f t="shared" si="98"/>
        <v>5.8921999999999999</v>
      </c>
      <c r="AA181" s="69">
        <f t="shared" si="109"/>
        <v>5.7862</v>
      </c>
      <c r="AB181" s="66" t="e">
        <f>VLOOKUP(A181,Enforcements!$C$7:$K$20,8,0)</f>
        <v>#N/A</v>
      </c>
      <c r="AC181" s="62" t="e">
        <f>VLOOKUP(A181,Enforcements!$C$7:$E$20,3,0)</f>
        <v>#N/A</v>
      </c>
      <c r="AD181" s="63" t="str">
        <f t="shared" si="103"/>
        <v>0821-23</v>
      </c>
      <c r="AE181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81" s="96" t="str">
        <f t="shared" si="94"/>
        <v>"C:\Program Files (x86)\AstroGrep\AstroGrep.exe" /spath="%USERPROFILE%\AppData\Local\Temp\OnboardLogs" /stypes="app*4020*20160923*" /stext=" 19:.+((SYSTEM_STATE.+slice.+state.+changed )|(ment ac)|(system.+state.+changed )|(\|lc)|(penalty)|(\[timeout)|(PRM\|1\|D)|(kpr)|(kdp))" /e /r /s</v>
      </c>
      <c r="AG181" s="1" t="str">
        <f t="shared" si="101"/>
        <v>NW</v>
      </c>
      <c r="AH181" s="100" t="str">
        <f t="shared" si="95"/>
        <v>"%USERPROFILE%\Documents\GitHub\eaglep3\Utilities\RefineRTDCRunTimes.py" --tripid 821-23 --locoid 4020 --swversion DE.1.0.7.0 --startMP 204:1060 --initTime 2016-09-23T13:14:57 --startdatetime 2016-09-23T13:21:20 --delay 1 --endMP 300:58922 --enddatetime 2016-09-23T13:36:51 --enforcementcount 0 &gt;&gt;C:\Users\stu\Documents\GitHub\eaglep3-reporting\EC\2016-09-23-refined-times.txt</v>
      </c>
      <c r="AI181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{"issue":{"subject":"","project_id":79,"tracker_id":40,"status_id":1,"priority_id":2,"assigned_to_id":23,"start_date":"2016-09-23","description":"","custom_fields":[{"id":1,"name":"Subdivision","value":"NW"},{"id":4,"name":"Milepost","value":"5.8922"},{"id":17,"name":"Train ID","value":"821-23"},{"id":16,"name":"Locomotive ID","value":"4020"},{"id":130,"name":"Impact","value":""},{"id":150,"name":"Time of Event (Mountain Time)","value":"13:36:51"},{"id":151,"name":"Denver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502</v>
      </c>
      <c r="B182" s="7">
        <v>4019</v>
      </c>
      <c r="C182" s="24" t="s">
        <v>106</v>
      </c>
      <c r="D182" s="24" t="s">
        <v>382</v>
      </c>
      <c r="E182" s="15">
        <v>42636.569016203706</v>
      </c>
      <c r="F182" s="15">
        <v>42636.571076388886</v>
      </c>
      <c r="G182" s="7">
        <v>1</v>
      </c>
      <c r="H182" s="15" t="s">
        <v>706</v>
      </c>
      <c r="I182" s="15">
        <v>42636.58085648148</v>
      </c>
      <c r="J182" s="7">
        <v>0</v>
      </c>
      <c r="K182" s="121" t="str">
        <f t="shared" si="104"/>
        <v>4019/4020</v>
      </c>
      <c r="L182" s="24" t="str">
        <f>VLOOKUP(A182,'Trips&amp;Operators'!$C$1:$E$10000,3,FALSE)</f>
        <v>HELVIE</v>
      </c>
      <c r="M182" s="6">
        <f t="shared" si="105"/>
        <v>9.7800925941555761E-3</v>
      </c>
      <c r="N182" s="7">
        <f t="shared" si="99"/>
        <v>14.08333333558403</v>
      </c>
      <c r="O182" s="7"/>
      <c r="P182" s="7"/>
      <c r="Q182" s="25"/>
      <c r="R182" s="25"/>
      <c r="S182" s="37">
        <f t="shared" si="102"/>
        <v>1</v>
      </c>
      <c r="T182" s="52" t="str">
        <f t="shared" si="106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12:39:23-0600',mode:absolute,to:'2016-09-23 14:56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2" s="54" t="str">
        <f t="shared" si="108"/>
        <v>N</v>
      </c>
      <c r="X182" s="168">
        <f t="shared" si="100"/>
        <v>1</v>
      </c>
      <c r="Y182" s="69">
        <f t="shared" si="97"/>
        <v>5.8609</v>
      </c>
      <c r="Z182" s="69">
        <f t="shared" si="98"/>
        <v>7.3400000000000007E-2</v>
      </c>
      <c r="AA182" s="69">
        <f t="shared" si="109"/>
        <v>5.7874999999999996</v>
      </c>
      <c r="AB182" s="66" t="e">
        <f>VLOOKUP(A182,Enforcements!$C$7:$K$20,8,0)</f>
        <v>#N/A</v>
      </c>
      <c r="AC182" s="62" t="e">
        <f>VLOOKUP(A182,Enforcements!$C$7:$E$20,3,0)</f>
        <v>#N/A</v>
      </c>
      <c r="AD182" s="63" t="str">
        <f t="shared" si="103"/>
        <v>0822-23</v>
      </c>
      <c r="AE182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82" s="96" t="str">
        <f t="shared" si="94"/>
        <v>"C:\Program Files (x86)\AstroGrep\AstroGrep.exe" /spath="%USERPROFILE%\AppData\Local\Temp\OnboardLogs" /stypes="app*4019*20160923*" /stext=" 19:.+((SYSTEM_STATE.+slice.+state.+changed )|(ment ac)|(system.+state.+changed )|(\|lc)|(penalty)|(\[timeout)|(PRM\|1\|D)|(kpr)|(kdp))" /e /r /s</v>
      </c>
      <c r="AG182" s="1" t="str">
        <f t="shared" si="101"/>
        <v>NW</v>
      </c>
      <c r="AH182" s="100" t="str">
        <f t="shared" si="95"/>
        <v>"%USERPROFILE%\Documents\GitHub\eaglep3\Utilities\RefineRTDCRunTimes.py" --tripid 822-23 --locoid 4019 --swversion DE.1.0.7.0 --startMP 300:58609 --initTime 2016-09-23T13:39:23 --startdatetime 2016-09-23T13:42:21 --delay 1 --endMP 204:734 --enddatetime 2016-09-23T13:56:26 --enforcementcount 0 &gt;&gt;C:\Users\stu\Documents\GitHub\eaglep3-reporting\EC\2016-09-23-refined-times.txt</v>
      </c>
      <c r="AI182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{"issue":{"subject":"","project_id":79,"tracker_id":40,"status_id":1,"priority_id":2,"assigned_to_id":23,"start_date":"2016-09-23","description":"","custom_fields":[{"id":1,"name":"Subdivision","value":"NW"},{"id":4,"name":"Milepost","value":"0.0734"},{"id":17,"name":"Train ID","value":"822-23"},{"id":16,"name":"Locomotive ID","value":"4019"},{"id":130,"name":"Impact","value":""},{"id":150,"name":"Time of Event (Mountain Time)","value":"13:56:26"},{"id":151,"name":"Denver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508</v>
      </c>
      <c r="B183" s="7">
        <v>4020</v>
      </c>
      <c r="C183" s="24" t="s">
        <v>106</v>
      </c>
      <c r="D183" s="24" t="s">
        <v>707</v>
      </c>
      <c r="E183" s="15">
        <v>42636.594641203701</v>
      </c>
      <c r="F183" s="15">
        <v>42636.598194444443</v>
      </c>
      <c r="G183" s="7">
        <v>1</v>
      </c>
      <c r="H183" s="15" t="s">
        <v>708</v>
      </c>
      <c r="I183" s="15">
        <v>42636.608784722222</v>
      </c>
      <c r="J183" s="7">
        <v>0</v>
      </c>
      <c r="K183" s="121" t="str">
        <f t="shared" si="104"/>
        <v>4019/4020</v>
      </c>
      <c r="L183" s="24" t="str">
        <f>VLOOKUP(A183,'Trips&amp;Operators'!$C$1:$E$10000,3,FALSE)</f>
        <v>HELVIE</v>
      </c>
      <c r="M183" s="6">
        <f t="shared" si="105"/>
        <v>1.0590277779556345E-2</v>
      </c>
      <c r="N183" s="7">
        <f t="shared" si="99"/>
        <v>15.250000002561137</v>
      </c>
      <c r="O183" s="7"/>
      <c r="P183" s="7"/>
      <c r="Q183" s="25"/>
      <c r="R183" s="25"/>
      <c r="S183" s="37">
        <f t="shared" si="102"/>
        <v>1</v>
      </c>
      <c r="T183" s="52" t="str">
        <f t="shared" si="106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13:16:17-0600',mode:absolute,to:'2016-09-23 15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3" s="54" t="str">
        <f t="shared" si="108"/>
        <v>N</v>
      </c>
      <c r="X183" s="168">
        <f t="shared" si="100"/>
        <v>1</v>
      </c>
      <c r="Y183" s="69">
        <f t="shared" si="97"/>
        <v>0.10299999999999999</v>
      </c>
      <c r="Z183" s="69">
        <f t="shared" si="98"/>
        <v>5.8928000000000003</v>
      </c>
      <c r="AA183" s="69">
        <f t="shared" si="109"/>
        <v>5.7898000000000005</v>
      </c>
      <c r="AB183" s="66" t="e">
        <f>VLOOKUP(A183,Enforcements!$C$7:$K$20,8,0)</f>
        <v>#N/A</v>
      </c>
      <c r="AC183" s="62" t="e">
        <f>VLOOKUP(A183,Enforcements!$C$7:$E$20,3,0)</f>
        <v>#N/A</v>
      </c>
      <c r="AD183" s="63" t="str">
        <f t="shared" si="103"/>
        <v>0823-23</v>
      </c>
      <c r="AE183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83" s="96" t="str">
        <f t="shared" si="94"/>
        <v>"C:\Program Files (x86)\AstroGrep\AstroGrep.exe" /spath="%USERPROFILE%\AppData\Local\Temp\OnboardLogs" /stypes="app*4020*20160923*" /stext=" 20:.+((SYSTEM_STATE.+slice.+state.+changed )|(ment ac)|(system.+state.+changed )|(\|lc)|(penalty)|(\[timeout)|(PRM\|1\|D)|(kpr)|(kdp))" /e /r /s</v>
      </c>
      <c r="AG183" s="1" t="str">
        <f t="shared" si="101"/>
        <v>NW</v>
      </c>
      <c r="AH183" s="100" t="str">
        <f t="shared" si="95"/>
        <v>"%USERPROFILE%\Documents\GitHub\eaglep3\Utilities\RefineRTDCRunTimes.py" --tripid 823-23 --locoid 4020 --swversion DE.1.0.7.0 --startMP 204:1030 --initTime 2016-09-23T14:16:17 --startdatetime 2016-09-23T14:21:24 --delay 1 --endMP 300:58928 --enddatetime 2016-09-23T14:36:39 --enforcementcount 0 &gt;&gt;C:\Users\stu\Documents\GitHub\eaglep3-reporting\EC\2016-09-23-refined-times.txt</v>
      </c>
      <c r="AI183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{"issue":{"subject":"","project_id":79,"tracker_id":40,"status_id":1,"priority_id":2,"assigned_to_id":23,"start_date":"2016-09-23","description":"","custom_fields":[{"id":1,"name":"Subdivision","value":"NW"},{"id":4,"name":"Milepost","value":"5.8928"},{"id":17,"name":"Train ID","value":"823-23"},{"id":16,"name":"Locomotive ID","value":"4020"},{"id":130,"name":"Impact","value":""},{"id":150,"name":"Time of Event (Mountain Time)","value":"14:36:39"},{"id":151,"name":"Denver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512</v>
      </c>
      <c r="B184" s="7">
        <v>4019</v>
      </c>
      <c r="C184" s="24" t="s">
        <v>106</v>
      </c>
      <c r="D184" s="24" t="s">
        <v>372</v>
      </c>
      <c r="E184" s="15">
        <v>42636.610081018516</v>
      </c>
      <c r="F184" s="15">
        <v>42636.611458333333</v>
      </c>
      <c r="G184" s="7">
        <v>0</v>
      </c>
      <c r="H184" s="15" t="s">
        <v>374</v>
      </c>
      <c r="I184" s="15">
        <v>42636.625972222224</v>
      </c>
      <c r="J184" s="7">
        <v>0</v>
      </c>
      <c r="K184" s="121" t="str">
        <f t="shared" si="104"/>
        <v>4019/4020</v>
      </c>
      <c r="L184" s="24" t="str">
        <f>VLOOKUP(A184,'Trips&amp;Operators'!$C$1:$E$10000,3,FALSE)</f>
        <v>HELVIE</v>
      </c>
      <c r="M184" s="6">
        <f t="shared" si="105"/>
        <v>1.4513888891087845E-2</v>
      </c>
      <c r="N184" s="7">
        <f t="shared" si="99"/>
        <v>20.900000003166497</v>
      </c>
      <c r="O184" s="7"/>
      <c r="P184" s="7"/>
      <c r="Q184" s="25"/>
      <c r="R184" s="25"/>
      <c r="S184" s="37">
        <f t="shared" si="102"/>
        <v>1</v>
      </c>
      <c r="T184" s="52" t="str">
        <f t="shared" si="106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13:38:31-0600',mode:absolute,to:'2016-09-23 16:01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4" s="54" t="str">
        <f t="shared" si="108"/>
        <v>N</v>
      </c>
      <c r="X184" s="168">
        <f t="shared" si="100"/>
        <v>1</v>
      </c>
      <c r="Y184" s="69">
        <f t="shared" si="97"/>
        <v>5.8613</v>
      </c>
      <c r="Z184" s="69">
        <f t="shared" si="98"/>
        <v>7.4099999999999999E-2</v>
      </c>
      <c r="AA184" s="69">
        <f t="shared" si="109"/>
        <v>5.7872000000000003</v>
      </c>
      <c r="AB184" s="66" t="e">
        <f>VLOOKUP(A184,Enforcements!$C$7:$K$20,8,0)</f>
        <v>#N/A</v>
      </c>
      <c r="AC184" s="62" t="e">
        <f>VLOOKUP(A184,Enforcements!$C$7:$E$20,3,0)</f>
        <v>#N/A</v>
      </c>
      <c r="AD184" s="63" t="str">
        <f t="shared" si="103"/>
        <v>0824-23</v>
      </c>
      <c r="AE184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84" s="96" t="str">
        <f t="shared" si="94"/>
        <v>"C:\Program Files (x86)\AstroGrep\AstroGrep.exe" /spath="%USERPROFILE%\AppData\Local\Temp\OnboardLogs" /stypes="app*4019*20160923*" /stext=" 21:.+((SYSTEM_STATE.+slice.+state.+changed )|(ment ac)|(system.+state.+changed )|(\|lc)|(penalty)|(\[timeout)|(PRM\|1\|D)|(kpr)|(kdp))" /e /r /s</v>
      </c>
      <c r="AG184" s="1" t="str">
        <f t="shared" si="101"/>
        <v>NW</v>
      </c>
      <c r="AH184" s="100" t="str">
        <f t="shared" si="95"/>
        <v>"%USERPROFILE%\Documents\GitHub\eaglep3\Utilities\RefineRTDCRunTimes.py" --tripid 824-23 --locoid 4019 --swversion DE.1.0.7.0 --startMP 300:58613 --initTime 2016-09-23T14:38:31 --startdatetime 2016-09-23T14:40:30 --delay 0 --endMP 204:741 --enddatetime 2016-09-23T15:01:24 --enforcementcount 0 &gt;&gt;C:\Users\stu\Documents\GitHub\eaglep3-reporting\EC\2016-09-23-refined-times.txt</v>
      </c>
      <c r="AI184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{"issue":{"subject":"","project_id":79,"tracker_id":40,"status_id":1,"priority_id":2,"assigned_to_id":23,"start_date":"2016-09-23","description":"","custom_fields":[{"id":1,"name":"Subdivision","value":"NW"},{"id":4,"name":"Milepost","value":"0.0741"},{"id":17,"name":"Train ID","value":"824-23"},{"id":16,"name":"Locomotive ID","value":"4019"},{"id":130,"name":"Impact","value":""},{"id":150,"name":"Time of Event (Mountain Time)","value":"15:01:24"},{"id":151,"name":"Denver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518</v>
      </c>
      <c r="B185" s="7">
        <v>4020</v>
      </c>
      <c r="C185" s="24" t="s">
        <v>106</v>
      </c>
      <c r="D185" s="24" t="s">
        <v>707</v>
      </c>
      <c r="E185" s="15">
        <v>42636.636828703704</v>
      </c>
      <c r="F185" s="15">
        <v>42636.639722222222</v>
      </c>
      <c r="G185" s="7">
        <v>0</v>
      </c>
      <c r="H185" s="15" t="s">
        <v>366</v>
      </c>
      <c r="I185" s="15">
        <v>42636.649363425924</v>
      </c>
      <c r="J185" s="7">
        <v>0</v>
      </c>
      <c r="K185" s="121" t="str">
        <f t="shared" si="104"/>
        <v>4019/4020</v>
      </c>
      <c r="L185" s="24" t="str">
        <f>VLOOKUP(A185,'Trips&amp;Operators'!$C$1:$E$10000,3,FALSE)</f>
        <v>HELVIE</v>
      </c>
      <c r="M185" s="6">
        <f t="shared" si="105"/>
        <v>9.6412037019035779E-3</v>
      </c>
      <c r="N185" s="7">
        <f t="shared" si="99"/>
        <v>13.883333330741152</v>
      </c>
      <c r="O185" s="7"/>
      <c r="P185" s="7"/>
      <c r="Q185" s="25"/>
      <c r="R185" s="25"/>
      <c r="S185" s="37">
        <f t="shared" si="102"/>
        <v>1</v>
      </c>
      <c r="T185" s="52" t="str">
        <f t="shared" si="106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14:17:02-0600',mode:absolute,to:'2016-09-23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5" s="54" t="str">
        <f t="shared" si="108"/>
        <v>N</v>
      </c>
      <c r="X185" s="168">
        <f t="shared" si="100"/>
        <v>1</v>
      </c>
      <c r="Y185" s="69">
        <f t="shared" si="97"/>
        <v>0.10299999999999999</v>
      </c>
      <c r="Z185" s="69">
        <f t="shared" si="98"/>
        <v>5.8924000000000003</v>
      </c>
      <c r="AA185" s="69">
        <f t="shared" si="109"/>
        <v>5.7894000000000005</v>
      </c>
      <c r="AB185" s="66" t="e">
        <f>VLOOKUP(A185,Enforcements!$C$7:$K$20,8,0)</f>
        <v>#N/A</v>
      </c>
      <c r="AC185" s="62" t="e">
        <f>VLOOKUP(A185,Enforcements!$C$7:$E$20,3,0)</f>
        <v>#N/A</v>
      </c>
      <c r="AD185" s="63" t="str">
        <f t="shared" si="103"/>
        <v>0825-23</v>
      </c>
      <c r="AE185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85" s="96" t="str">
        <f t="shared" si="94"/>
        <v>"C:\Program Files (x86)\AstroGrep\AstroGrep.exe" /spath="%USERPROFILE%\AppData\Local\Temp\OnboardLogs" /stypes="app*4020*20160923*" /stext=" 21:.+((SYSTEM_STATE.+slice.+state.+changed )|(ment ac)|(system.+state.+changed )|(\|lc)|(penalty)|(\[timeout)|(PRM\|1\|D)|(kpr)|(kdp))" /e /r /s</v>
      </c>
      <c r="AG185" s="1" t="str">
        <f t="shared" si="101"/>
        <v>NW</v>
      </c>
      <c r="AH185" s="100" t="str">
        <f t="shared" si="95"/>
        <v>"%USERPROFILE%\Documents\GitHub\eaglep3\Utilities\RefineRTDCRunTimes.py" --tripid 825-23 --locoid 4020 --swversion DE.1.0.7.0 --startMP 204:1030 --initTime 2016-09-23T15:17:02 --startdatetime 2016-09-23T15:21:12 --delay 0 --endMP 300:58924 --enddatetime 2016-09-23T15:35:05 --enforcementcount 0 &gt;&gt;C:\Users\stu\Documents\GitHub\eaglep3-reporting\EC\2016-09-23-refined-times.txt</v>
      </c>
      <c r="AI185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ID","value":"825-23"},{"id":16,"name":"Locomotive ID","value":"4020"},{"id":130,"name":"Impact","value":""},{"id":150,"name":"Time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525</v>
      </c>
      <c r="B186" s="7">
        <v>4019</v>
      </c>
      <c r="C186" s="24" t="s">
        <v>106</v>
      </c>
      <c r="D186" s="24" t="s">
        <v>364</v>
      </c>
      <c r="E186" s="15">
        <v>42636.650694444441</v>
      </c>
      <c r="F186" s="15">
        <v>42636.695555555554</v>
      </c>
      <c r="G186" s="7">
        <v>0</v>
      </c>
      <c r="H186" s="15" t="s">
        <v>709</v>
      </c>
      <c r="I186" s="15">
        <v>42636.706307870372</v>
      </c>
      <c r="J186" s="7">
        <v>0</v>
      </c>
      <c r="K186" s="121" t="str">
        <f t="shared" si="104"/>
        <v>4019/4020</v>
      </c>
      <c r="L186" s="24" t="str">
        <f>VLOOKUP(A186,'Trips&amp;Operators'!$C$1:$E$10000,3,FALSE)</f>
        <v>HELVIE</v>
      </c>
      <c r="M186" s="6">
        <f t="shared" si="105"/>
        <v>1.0752314818091691E-2</v>
      </c>
      <c r="N186" s="7">
        <f t="shared" si="99"/>
        <v>15.483333338052034</v>
      </c>
      <c r="O186" s="7"/>
      <c r="P186" s="7"/>
      <c r="Q186" s="25"/>
      <c r="R186" s="25"/>
      <c r="S186" s="37">
        <f t="shared" si="102"/>
        <v>1</v>
      </c>
      <c r="T186" s="52" t="str">
        <f t="shared" si="106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14:37:00-0600',mode:absolute,to:'2016-09-23 17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86" s="54" t="str">
        <f t="shared" si="108"/>
        <v>N</v>
      </c>
      <c r="X186" s="168">
        <f t="shared" si="100"/>
        <v>1</v>
      </c>
      <c r="Y186" s="69">
        <f t="shared" si="97"/>
        <v>5.8611000000000004</v>
      </c>
      <c r="Z186" s="69">
        <f t="shared" si="98"/>
        <v>6.8699999999999997E-2</v>
      </c>
      <c r="AA186" s="69">
        <f t="shared" si="109"/>
        <v>5.7924000000000007</v>
      </c>
      <c r="AB186" s="66" t="e">
        <f>VLOOKUP(A186,Enforcements!$C$7:$K$20,8,0)</f>
        <v>#N/A</v>
      </c>
      <c r="AC186" s="62" t="e">
        <f>VLOOKUP(A186,Enforcements!$C$7:$E$20,3,0)</f>
        <v>#N/A</v>
      </c>
      <c r="AD186" s="63" t="str">
        <f t="shared" si="103"/>
        <v>0826-23</v>
      </c>
      <c r="AE186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86" s="96" t="str">
        <f t="shared" si="94"/>
        <v>"C:\Program Files (x86)\AstroGrep\AstroGrep.exe" /spath="%USERPROFILE%\AppData\Local\Temp\OnboardLogs" /stypes="app*4019*20160923*" /stext=" 22:.+((SYSTEM_STATE.+slice.+state.+changed )|(ment ac)|(system.+state.+changed )|(\|lc)|(penalty)|(\[timeout)|(PRM\|1\|D)|(kpr)|(kdp))" /e /r /s</v>
      </c>
      <c r="AG186" s="1" t="str">
        <f t="shared" si="101"/>
        <v>NW</v>
      </c>
      <c r="AH186" s="100" t="str">
        <f t="shared" si="95"/>
        <v>"%USERPROFILE%\Documents\GitHub\eaglep3\Utilities\RefineRTDCRunTimes.py" --tripid 826-23 --locoid 4019 --swversion DE.1.0.7.0 --startMP 300:58611 --initTime 2016-09-23T15:37:00 --startdatetime 2016-09-23T16:41:36 --delay 0 --endMP 204:687 --enddatetime 2016-09-23T16:57:05 --enforcementcount 0 &gt;&gt;C:\Users\stu\Documents\GitHub\eaglep3-reporting\EC\2016-09-23-refined-times.txt</v>
      </c>
      <c r="AI186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{"issue":{"subject":"","project_id":79,"tracker_id":40,"status_id":1,"priority_id":2,"assigned_to_id":23,"start_date":"2016-09-23","description":"","custom_fields":[{"id":1,"name":"Subdivision","value":"NW"},{"id":4,"name":"Milepost","value":"0.0687"},{"id":17,"name":"Train ID","value":"826-23"},{"id":16,"name":"Locomotive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524</v>
      </c>
      <c r="B187" s="7">
        <v>4018</v>
      </c>
      <c r="C187" s="24" t="s">
        <v>106</v>
      </c>
      <c r="D187" s="24" t="s">
        <v>710</v>
      </c>
      <c r="E187" s="15">
        <v>42636.650081018517</v>
      </c>
      <c r="F187" s="15">
        <v>42636.660613425927</v>
      </c>
      <c r="G187" s="7">
        <v>1</v>
      </c>
      <c r="H187" s="15" t="s">
        <v>711</v>
      </c>
      <c r="I187" s="15">
        <v>42636.669872685183</v>
      </c>
      <c r="J187" s="7">
        <v>0</v>
      </c>
      <c r="K187" s="121" t="str">
        <f t="shared" si="104"/>
        <v>4017/4018</v>
      </c>
      <c r="L187" s="24" t="str">
        <f>VLOOKUP(A187,'Trips&amp;Operators'!$C$1:$E$10000,3,FALSE)</f>
        <v>NEWELL</v>
      </c>
      <c r="M187" s="6">
        <f t="shared" si="105"/>
        <v>9.2592592554865405E-3</v>
      </c>
      <c r="N187" s="7">
        <f t="shared" si="99"/>
        <v>13.333333327900618</v>
      </c>
      <c r="O187" s="7"/>
      <c r="P187" s="7"/>
      <c r="Q187" s="25"/>
      <c r="R187" s="25"/>
      <c r="S187" s="37">
        <f t="shared" si="102"/>
        <v>1</v>
      </c>
      <c r="T187" s="52" t="str">
        <f t="shared" si="106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14:36:07-0600',mode:absolute,to:'2016-09-23 17:04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87" s="54" t="str">
        <f t="shared" si="108"/>
        <v>N</v>
      </c>
      <c r="X187" s="168">
        <f t="shared" si="100"/>
        <v>1</v>
      </c>
      <c r="Y187" s="69">
        <f t="shared" si="97"/>
        <v>9.2700000000000005E-2</v>
      </c>
      <c r="Z187" s="69">
        <f t="shared" si="98"/>
        <v>5.8914</v>
      </c>
      <c r="AA187" s="69">
        <f t="shared" si="109"/>
        <v>5.7987000000000002</v>
      </c>
      <c r="AB187" s="66" t="e">
        <f>VLOOKUP(A187,Enforcements!$C$7:$K$20,8,0)</f>
        <v>#N/A</v>
      </c>
      <c r="AC187" s="62" t="e">
        <f>VLOOKUP(A187,Enforcements!$C$7:$E$20,3,0)</f>
        <v>#N/A</v>
      </c>
      <c r="AD187" s="63" t="str">
        <f t="shared" si="103"/>
        <v>0827-23</v>
      </c>
      <c r="AE187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87" s="96" t="str">
        <f t="shared" si="94"/>
        <v>"C:\Program Files (x86)\AstroGrep\AstroGrep.exe" /spath="%USERPROFILE%\AppData\Local\Temp\OnboardLogs" /stypes="app*4018*20160923*" /stext=" 22:.+((SYSTEM_STATE.+slice.+state.+changed )|(ment ac)|(system.+state.+changed )|(\|lc)|(penalty)|(\[timeout)|(PRM\|1\|D)|(kpr)|(kdp))" /e /r /s</v>
      </c>
      <c r="AG187" s="1" t="str">
        <f t="shared" si="101"/>
        <v>NW</v>
      </c>
      <c r="AH187" s="100" t="str">
        <f t="shared" si="95"/>
        <v>"%USERPROFILE%\Documents\GitHub\eaglep3\Utilities\RefineRTDCRunTimes.py" --tripid 827-23 --locoid 4018 --swversion DE.1.0.7.0 --startMP 204:927 --initTime 2016-09-23T15:36:07 --startdatetime 2016-09-23T15:51:17 --delay 1 --endMP 300:58914 --enddatetime 2016-09-23T16:04:37 --enforcementcount 0 &gt;&gt;C:\Users\stu\Documents\GitHub\eaglep3-reporting\EC\2016-09-23-refined-times.txt</v>
      </c>
      <c r="AI187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{"issue":{"subject":"","project_id":79,"tracker_id":40,"status_id":1,"priority_id":2,"assigned_to_id":23,"start_date":"2016-09-23","description":"","custom_fields":[{"id":1,"name":"Subdivision","value":"NW"},{"id":4,"name":"Milepost","value":"5.8914"},{"id":17,"name":"Train ID","value":"827-23"},{"id":16,"name":"Locomotive ID","value":"4018"},{"id":130,"name":"Impact","value":""},{"id":150,"name":"Time of Event (Mountain Time)","value":"16:04:37"},{"id":151,"name":"Denver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528</v>
      </c>
      <c r="B188" s="7">
        <v>4017</v>
      </c>
      <c r="C188" s="24" t="s">
        <v>106</v>
      </c>
      <c r="D188" s="24" t="s">
        <v>712</v>
      </c>
      <c r="E188" s="15">
        <v>42636.670810185184</v>
      </c>
      <c r="F188" s="15">
        <v>42636.672118055554</v>
      </c>
      <c r="G188" s="7">
        <v>1</v>
      </c>
      <c r="H188" s="15" t="s">
        <v>713</v>
      </c>
      <c r="I188" s="15">
        <v>42636.684814814813</v>
      </c>
      <c r="J188" s="7">
        <v>0</v>
      </c>
      <c r="K188" s="121" t="str">
        <f t="shared" si="104"/>
        <v>4017/4018</v>
      </c>
      <c r="L188" s="24" t="str">
        <f>VLOOKUP(A188,'Trips&amp;Operators'!$C$1:$E$10000,3,FALSE)</f>
        <v>NEWELL</v>
      </c>
      <c r="M188" s="6">
        <f t="shared" si="105"/>
        <v>1.2696759258687962E-2</v>
      </c>
      <c r="N188" s="7">
        <f t="shared" si="99"/>
        <v>18.283333332510665</v>
      </c>
      <c r="O188" s="7"/>
      <c r="P188" s="7"/>
      <c r="Q188" s="25"/>
      <c r="R188" s="25"/>
      <c r="S188" s="37">
        <f t="shared" si="102"/>
        <v>1</v>
      </c>
      <c r="T188" s="52" t="str">
        <f t="shared" si="106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15:05:58-0600',mode:absolute,to:'2016-09-23 17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88" s="54" t="str">
        <f t="shared" si="108"/>
        <v>N</v>
      </c>
      <c r="X188" s="168">
        <f t="shared" si="100"/>
        <v>1</v>
      </c>
      <c r="Y188" s="69">
        <f t="shared" ref="Y188:Y203" si="110">RIGHT(D188,LEN(D188)-4)/10000</f>
        <v>5.8596000000000004</v>
      </c>
      <c r="Z188" s="69">
        <f t="shared" ref="Z188:Z203" si="111">RIGHT(H188,LEN(H188)-4)/10000</f>
        <v>6.5699999999999995E-2</v>
      </c>
      <c r="AA188" s="69">
        <f t="shared" si="109"/>
        <v>5.7939000000000007</v>
      </c>
      <c r="AB188" s="66" t="e">
        <f>VLOOKUP(A188,Enforcements!$C$7:$K$20,8,0)</f>
        <v>#N/A</v>
      </c>
      <c r="AC188" s="62" t="e">
        <f>VLOOKUP(A188,Enforcements!$C$7:$E$20,3,0)</f>
        <v>#N/A</v>
      </c>
      <c r="AD188" s="63" t="str">
        <f t="shared" si="103"/>
        <v>0828-23</v>
      </c>
      <c r="AE188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88" s="96" t="str">
        <f t="shared" si="94"/>
        <v>"C:\Program Files (x86)\AstroGrep\AstroGrep.exe" /spath="%USERPROFILE%\AppData\Local\Temp\OnboardLogs" /stypes="app*4017*20160923*" /stext=" 22:.+((SYSTEM_STATE.+slice.+state.+changed )|(ment ac)|(system.+state.+changed )|(\|lc)|(penalty)|(\[timeout)|(PRM\|1\|D)|(kpr)|(kdp))" /e /r /s</v>
      </c>
      <c r="AG188" s="1" t="str">
        <f t="shared" si="101"/>
        <v>NW</v>
      </c>
      <c r="AH188" s="100" t="str">
        <f t="shared" si="95"/>
        <v>"%USERPROFILE%\Documents\GitHub\eaglep3\Utilities\RefineRTDCRunTimes.py" --tripid 828-23 --locoid 4017 --swversion DE.1.0.7.0 --startMP 300:58596 --initTime 2016-09-23T16:05:58 --startdatetime 2016-09-23T16:07:51 --delay 1 --endMP 204:657 --enddatetime 2016-09-23T16:26:08 --enforcementcount 0 &gt;&gt;C:\Users\stu\Documents\GitHub\eaglep3-reporting\EC\2016-09-23-refined-times.txt</v>
      </c>
      <c r="AI188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{"issue":{"subject":"","project_id":79,"tracker_id":40,"status_id":1,"priority_id":2,"assigned_to_id":23,"start_date":"2016-09-23","description":"","custom_fields":[{"id":1,"name":"Subdivision","value":"NW"},{"id":4,"name":"Milepost","value":"0.0657"},{"id":17,"name":"Train ID","value":"828-23"},{"id":16,"name":"Locomotive ID","value":"4017"},{"id":130,"name":"Impact","value":""},{"id":150,"name":"Time of Event (Mountain Time)","value":"16:26:08"},{"id":151,"name":"Denver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531</v>
      </c>
      <c r="B189" s="7">
        <v>4020</v>
      </c>
      <c r="C189" s="24" t="s">
        <v>106</v>
      </c>
      <c r="D189" s="24" t="s">
        <v>714</v>
      </c>
      <c r="E189" s="15">
        <v>42636.678217592591</v>
      </c>
      <c r="F189" s="15">
        <v>42636.681597222225</v>
      </c>
      <c r="G189" s="7">
        <v>4</v>
      </c>
      <c r="H189" s="15" t="s">
        <v>366</v>
      </c>
      <c r="I189" s="15">
        <v>42636.691168981481</v>
      </c>
      <c r="J189" s="7">
        <v>0</v>
      </c>
      <c r="K189" s="121" t="str">
        <f t="shared" si="104"/>
        <v>4019/4020</v>
      </c>
      <c r="L189" s="24" t="str">
        <f>VLOOKUP(A189,'Trips&amp;Operators'!$C$1:$E$10000,3,FALSE)</f>
        <v>HELVIE</v>
      </c>
      <c r="M189" s="6">
        <f t="shared" si="105"/>
        <v>9.5717592557775788E-3</v>
      </c>
      <c r="N189" s="7">
        <f t="shared" si="99"/>
        <v>13.783333328319713</v>
      </c>
      <c r="O189" s="7"/>
      <c r="P189" s="7"/>
      <c r="Q189" s="25"/>
      <c r="R189" s="25"/>
      <c r="S189" s="37">
        <f t="shared" si="102"/>
        <v>1</v>
      </c>
      <c r="T189" s="52" t="str">
        <f t="shared" si="106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15:16:38-0600',mode:absolute,to:'2016-09-23 17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89" s="54" t="str">
        <f t="shared" si="108"/>
        <v>N</v>
      </c>
      <c r="X189" s="168">
        <f t="shared" si="100"/>
        <v>1</v>
      </c>
      <c r="Y189" s="69">
        <f t="shared" si="110"/>
        <v>9.7799999999999998E-2</v>
      </c>
      <c r="Z189" s="69">
        <f t="shared" si="111"/>
        <v>5.8924000000000003</v>
      </c>
      <c r="AA189" s="69">
        <f t="shared" si="109"/>
        <v>5.7946</v>
      </c>
      <c r="AB189" s="66" t="e">
        <f>VLOOKUP(A189,Enforcements!$C$7:$K$20,8,0)</f>
        <v>#N/A</v>
      </c>
      <c r="AC189" s="62" t="e">
        <f>VLOOKUP(A189,Enforcements!$C$7:$E$20,3,0)</f>
        <v>#N/A</v>
      </c>
      <c r="AD189" s="63" t="str">
        <f t="shared" si="103"/>
        <v>0829-23</v>
      </c>
      <c r="AE189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89" s="96" t="str">
        <f t="shared" si="94"/>
        <v>"C:\Program Files (x86)\AstroGrep\AstroGrep.exe" /spath="%USERPROFILE%\AppData\Local\Temp\OnboardLogs" /stypes="app*4020*20160923*" /stext=" 22:.+((SYSTEM_STATE.+slice.+state.+changed )|(ment ac)|(system.+state.+changed )|(\|lc)|(penalty)|(\[timeout)|(PRM\|1\|D)|(kpr)|(kdp))" /e /r /s</v>
      </c>
      <c r="AG189" s="1" t="str">
        <f t="shared" si="101"/>
        <v>NW</v>
      </c>
      <c r="AH189" s="100" t="str">
        <f t="shared" si="95"/>
        <v>"%USERPROFILE%\Documents\GitHub\eaglep3\Utilities\RefineRTDCRunTimes.py" --tripid 829-23 --locoid 4020 --swversion DE.1.0.7.0 --startMP 204:978 --initTime 2016-09-23T16:16:38 --startdatetime 2016-09-23T16:21:30 --delay 4 --endMP 300:58924 --enddatetime 2016-09-23T16:35:17 --enforcementcount 0 &gt;&gt;C:\Users\stu\Documents\GitHub\eaglep3-reporting\EC\2016-09-23-refined-times.txt</v>
      </c>
      <c r="AI189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ID","value":"829-23"},{"id":16,"name":"Locomotive ID","value":"4020"},{"id":130,"name":"Impact","value":""},{"id":150,"name":"Time of Event (Mountain Time)","value":"16:35:17"},{"id":151,"name":"Denver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536</v>
      </c>
      <c r="B190" s="7">
        <v>4019</v>
      </c>
      <c r="C190" s="24" t="s">
        <v>106</v>
      </c>
      <c r="D190" s="24" t="s">
        <v>715</v>
      </c>
      <c r="E190" s="15">
        <v>42636.692152777781</v>
      </c>
      <c r="F190" s="15">
        <v>42636.695555555554</v>
      </c>
      <c r="G190" s="7">
        <v>3</v>
      </c>
      <c r="H190" s="15" t="s">
        <v>709</v>
      </c>
      <c r="I190" s="15">
        <v>42636.706307870372</v>
      </c>
      <c r="J190" s="7">
        <v>0</v>
      </c>
      <c r="K190" s="121" t="str">
        <f t="shared" si="104"/>
        <v>4019/4020</v>
      </c>
      <c r="L190" s="24" t="str">
        <f>VLOOKUP(A190,'Trips&amp;Operators'!$C$1:$E$10000,3,FALSE)</f>
        <v>HELVIE</v>
      </c>
      <c r="M190" s="6">
        <f t="shared" si="105"/>
        <v>1.0752314818091691E-2</v>
      </c>
      <c r="N190" s="7">
        <f t="shared" si="99"/>
        <v>15.483333338052034</v>
      </c>
      <c r="O190" s="7"/>
      <c r="P190" s="7"/>
      <c r="Q190" s="25"/>
      <c r="R190" s="25"/>
      <c r="S190" s="37">
        <f t="shared" si="102"/>
        <v>1</v>
      </c>
      <c r="T190" s="52" t="str">
        <f t="shared" si="106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15:36:42-0600',mode:absolute,to:'2016-09-23 17:57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0" s="54" t="str">
        <f t="shared" si="108"/>
        <v>N</v>
      </c>
      <c r="X190" s="168">
        <f t="shared" si="100"/>
        <v>1</v>
      </c>
      <c r="Y190" s="69">
        <f t="shared" si="110"/>
        <v>5.8615000000000004</v>
      </c>
      <c r="Z190" s="69">
        <f t="shared" si="111"/>
        <v>6.8699999999999997E-2</v>
      </c>
      <c r="AA190" s="69">
        <f t="shared" si="109"/>
        <v>5.7928000000000006</v>
      </c>
      <c r="AB190" s="66" t="e">
        <f>VLOOKUP(A190,Enforcements!$C$7:$K$20,8,0)</f>
        <v>#N/A</v>
      </c>
      <c r="AC190" s="62" t="e">
        <f>VLOOKUP(A190,Enforcements!$C$7:$E$20,3,0)</f>
        <v>#N/A</v>
      </c>
      <c r="AD190" s="63" t="str">
        <f t="shared" si="103"/>
        <v>0830-23</v>
      </c>
      <c r="AE190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90" s="96" t="str">
        <f t="shared" si="94"/>
        <v>"C:\Program Files (x86)\AstroGrep\AstroGrep.exe" /spath="%USERPROFILE%\AppData\Local\Temp\OnboardLogs" /stypes="app*4019*20160923*" /stext=" 22:.+((SYSTEM_STATE.+slice.+state.+changed )|(ment ac)|(system.+state.+changed )|(\|lc)|(penalty)|(\[timeout)|(PRM\|1\|D)|(kpr)|(kdp))" /e /r /s</v>
      </c>
      <c r="AG190" s="1" t="str">
        <f t="shared" si="101"/>
        <v>NW</v>
      </c>
      <c r="AH190" s="100" t="str">
        <f t="shared" si="95"/>
        <v>"%USERPROFILE%\Documents\GitHub\eaglep3\Utilities\RefineRTDCRunTimes.py" --tripid 830-23 --locoid 4019 --swversion DE.1.0.7.0 --startMP 300:58615 --initTime 2016-09-23T16:36:42 --startdatetime 2016-09-23T16:41:36 --delay 3 --endMP 204:687 --enddatetime 2016-09-23T16:57:05 --enforcementcount 0 &gt;&gt;C:\Users\stu\Documents\GitHub\eaglep3-reporting\EC\2016-09-23-refined-times.txt</v>
      </c>
      <c r="AI190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{"issue":{"subject":"","project_id":79,"tracker_id":40,"status_id":1,"priority_id":2,"assigned_to_id":23,"start_date":"2016-09-23","description":"","custom_fields":[{"id":1,"name":"Subdivision","value":"NW"},{"id":4,"name":"Milepost","value":"0.0687"},{"id":17,"name":"Train ID","value":"830-23"},{"id":16,"name":"Locomotive ID","value":"4019"},{"id":130,"name":"Impact","value":""},{"id":150,"name":"Time of Event (Mountain Time)","value":"16:57:05"},{"id":151,"name":"Denver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533</v>
      </c>
      <c r="B191" s="7">
        <v>4018</v>
      </c>
      <c r="C191" s="24" t="s">
        <v>106</v>
      </c>
      <c r="D191" s="24" t="s">
        <v>716</v>
      </c>
      <c r="E191" s="15">
        <v>42636.686273148145</v>
      </c>
      <c r="F191" s="15">
        <v>42636.702511574076</v>
      </c>
      <c r="G191" s="7">
        <v>1</v>
      </c>
      <c r="H191" s="15" t="s">
        <v>717</v>
      </c>
      <c r="I191" s="15">
        <v>42636.712071759262</v>
      </c>
      <c r="J191" s="7">
        <v>0</v>
      </c>
      <c r="K191" s="121" t="str">
        <f t="shared" si="104"/>
        <v>4017/4018</v>
      </c>
      <c r="L191" s="24" t="str">
        <f>VLOOKUP(A191,'Trips&amp;Operators'!$C$1:$E$10000,3,FALSE)</f>
        <v>NEWELL</v>
      </c>
      <c r="M191" s="6">
        <f t="shared" si="105"/>
        <v>9.560185186273884E-3</v>
      </c>
      <c r="N191" s="7">
        <f t="shared" si="99"/>
        <v>13.766666668234393</v>
      </c>
      <c r="O191" s="7"/>
      <c r="P191" s="7"/>
      <c r="Q191" s="25"/>
      <c r="R191" s="25"/>
      <c r="S191" s="37">
        <f t="shared" si="102"/>
        <v>1</v>
      </c>
      <c r="T191" s="52" t="str">
        <f t="shared" si="106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15:28:14-0600',mode:absolute,to:'2016-09-23 18:05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1" s="54" t="str">
        <f t="shared" si="108"/>
        <v>N</v>
      </c>
      <c r="X191" s="168">
        <f t="shared" si="100"/>
        <v>1</v>
      </c>
      <c r="Y191" s="69">
        <f t="shared" si="110"/>
        <v>9.4100000000000003E-2</v>
      </c>
      <c r="Z191" s="69">
        <f t="shared" si="111"/>
        <v>5.8916000000000004</v>
      </c>
      <c r="AA191" s="69">
        <f t="shared" si="109"/>
        <v>5.7975000000000003</v>
      </c>
      <c r="AB191" s="66" t="e">
        <f>VLOOKUP(A191,Enforcements!$C$7:$K$20,8,0)</f>
        <v>#N/A</v>
      </c>
      <c r="AC191" s="62" t="e">
        <f>VLOOKUP(A191,Enforcements!$C$7:$E$20,3,0)</f>
        <v>#N/A</v>
      </c>
      <c r="AD191" s="63" t="str">
        <f t="shared" si="103"/>
        <v>0831-23</v>
      </c>
      <c r="AE191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91" s="96" t="str">
        <f t="shared" si="94"/>
        <v>"C:\Program Files (x86)\AstroGrep\AstroGrep.exe" /spath="%USERPROFILE%\AppData\Local\Temp\OnboardLogs" /stypes="app*4018*20160923*" /stext=" 23:.+((SYSTEM_STATE.+slice.+state.+changed )|(ment ac)|(system.+state.+changed )|(\|lc)|(penalty)|(\[timeout)|(PRM\|1\|D)|(kpr)|(kdp))" /e /r /s</v>
      </c>
      <c r="AG191" s="1" t="str">
        <f t="shared" si="101"/>
        <v>NW</v>
      </c>
      <c r="AH191" s="100" t="str">
        <f t="shared" si="95"/>
        <v>"%USERPROFILE%\Documents\GitHub\eaglep3\Utilities\RefineRTDCRunTimes.py" --tripid 831-23 --locoid 4018 --swversion DE.1.0.7.0 --startMP 204:941 --initTime 2016-09-23T16:28:14 --startdatetime 2016-09-23T16:51:37 --delay 1 --endMP 300:58916 --enddatetime 2016-09-23T17:05:23 --enforcementcount 0 &gt;&gt;C:\Users\stu\Documents\GitHub\eaglep3-reporting\EC\2016-09-23-refined-times.txt</v>
      </c>
      <c r="AI191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{"issue":{"subject":"","project_id":79,"tracker_id":40,"status_id":1,"priority_id":2,"assigned_to_id":23,"start_date":"2016-09-23","description":"","custom_fields":[{"id":1,"name":"Subdivision","value":"NW"},{"id":4,"name":"Milepost","value":"5.8916"},{"id":17,"name":"Train ID","value":"831-23"},{"id":16,"name":"Locomotive ID","value":"4018"},{"id":130,"name":"Impact","value":""},{"id":150,"name":"Time of Event (Mountain Time)","value":"17:05:23"},{"id":151,"name":"Denver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540</v>
      </c>
      <c r="B192" s="7">
        <v>4017</v>
      </c>
      <c r="C192" s="24" t="s">
        <v>106</v>
      </c>
      <c r="D192" s="24" t="s">
        <v>718</v>
      </c>
      <c r="E192" s="15">
        <v>42636.713414351849</v>
      </c>
      <c r="F192" s="15">
        <v>42636.715601851851</v>
      </c>
      <c r="G192" s="7">
        <v>1</v>
      </c>
      <c r="H192" s="15" t="s">
        <v>719</v>
      </c>
      <c r="I192" s="15">
        <v>42636.726585648146</v>
      </c>
      <c r="J192" s="7">
        <v>0</v>
      </c>
      <c r="K192" s="121" t="str">
        <f t="shared" si="104"/>
        <v>4017/4018</v>
      </c>
      <c r="L192" s="24" t="str">
        <f>VLOOKUP(A192,'Trips&amp;Operators'!$C$1:$E$10000,3,FALSE)</f>
        <v>NEWELL</v>
      </c>
      <c r="M192" s="6">
        <f t="shared" si="105"/>
        <v>1.0983796295477077E-2</v>
      </c>
      <c r="N192" s="7">
        <f t="shared" ref="N192:N203" si="112">24*60*SUM($M192:$M192)</f>
        <v>15.816666665486991</v>
      </c>
      <c r="O192" s="7"/>
      <c r="P192" s="7"/>
      <c r="Q192" s="25"/>
      <c r="R192" s="25"/>
      <c r="S192" s="37">
        <f t="shared" si="102"/>
        <v>1</v>
      </c>
      <c r="T192" s="52" t="str">
        <f t="shared" si="106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16:07:19-0600',mode:absolute,to:'2016-09-23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2" s="54" t="str">
        <f t="shared" si="108"/>
        <v>N</v>
      </c>
      <c r="X192" s="168">
        <f t="shared" si="100"/>
        <v>1</v>
      </c>
      <c r="Y192" s="69">
        <f t="shared" si="110"/>
        <v>5.8597999999999999</v>
      </c>
      <c r="Z192" s="69">
        <f t="shared" si="111"/>
        <v>7.2700000000000001E-2</v>
      </c>
      <c r="AA192" s="69">
        <f t="shared" si="109"/>
        <v>5.7870999999999997</v>
      </c>
      <c r="AB192" s="66" t="e">
        <f>VLOOKUP(A192,Enforcements!$C$7:$K$20,8,0)</f>
        <v>#N/A</v>
      </c>
      <c r="AC192" s="62" t="e">
        <f>VLOOKUP(A192,Enforcements!$C$7:$E$20,3,0)</f>
        <v>#N/A</v>
      </c>
      <c r="AD192" s="63" t="str">
        <f t="shared" si="103"/>
        <v>0832-23</v>
      </c>
      <c r="AE192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92" s="96" t="str">
        <f t="shared" si="94"/>
        <v>"C:\Program Files (x86)\AstroGrep\AstroGrep.exe" /spath="%USERPROFILE%\AppData\Local\Temp\OnboardLogs" /stypes="app*4017*20160923*" /stext=" 23:.+((SYSTEM_STATE.+slice.+state.+changed )|(ment ac)|(system.+state.+changed )|(\|lc)|(penalty)|(\[timeout)|(PRM\|1\|D)|(kpr)|(kdp))" /e /r /s</v>
      </c>
      <c r="AG192" s="1" t="str">
        <f t="shared" si="101"/>
        <v>NW</v>
      </c>
      <c r="AH192" s="100" t="str">
        <f t="shared" si="95"/>
        <v>"%USERPROFILE%\Documents\GitHub\eaglep3\Utilities\RefineRTDCRunTimes.py" --tripid 832-23 --locoid 4017 --swversion DE.1.0.7.0 --startMP 300:58598 --initTime 2016-09-23T17:07:19 --startdatetime 2016-09-23T17:10:28 --delay 1 --endMP 204:727 --enddatetime 2016-09-23T17:26:17 --enforcementcount 0 &gt;&gt;C:\Users\stu\Documents\GitHub\eaglep3-reporting\EC\2016-09-23-refined-times.txt</v>
      </c>
      <c r="AI192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{"issue":{"subject":"","project_id":79,"tracker_id":40,"status_id":1,"priority_id":2,"assigned_to_id":23,"start_date":"2016-09-23","description":"","custom_fields":[{"id":1,"name":"Subdivision","value":"NW"},{"id":4,"name":"Milepost","value":"0.0727"},{"id":17,"name":"Train ID","value":"832-23"},{"id":16,"name":"Locomotive ID","value":"4017"},{"id":130,"name":"Impact","value":""},{"id":150,"name":"Time of Event (Mountain Time)","value":"17:26:17"},{"id":151,"name":"Denver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543</v>
      </c>
      <c r="B193" s="7">
        <v>4020</v>
      </c>
      <c r="C193" s="24" t="s">
        <v>106</v>
      </c>
      <c r="D193" s="24" t="s">
        <v>720</v>
      </c>
      <c r="E193" s="15">
        <v>42636.721377314818</v>
      </c>
      <c r="F193" s="15">
        <v>42636.723229166666</v>
      </c>
      <c r="G193" s="7">
        <v>1</v>
      </c>
      <c r="H193" s="15" t="s">
        <v>366</v>
      </c>
      <c r="I193" s="15">
        <v>42636.733159722222</v>
      </c>
      <c r="J193" s="7">
        <v>0</v>
      </c>
      <c r="K193" s="121" t="str">
        <f t="shared" si="104"/>
        <v>4019/4020</v>
      </c>
      <c r="L193" s="24" t="str">
        <f>VLOOKUP(A193,'Trips&amp;Operators'!$C$1:$E$10000,3,FALSE)</f>
        <v>HELVIE</v>
      </c>
      <c r="M193" s="6">
        <f t="shared" si="105"/>
        <v>9.930555555911269E-3</v>
      </c>
      <c r="N193" s="7">
        <f t="shared" si="112"/>
        <v>14.300000000512227</v>
      </c>
      <c r="O193" s="7"/>
      <c r="P193" s="7"/>
      <c r="Q193" s="25"/>
      <c r="R193" s="25"/>
      <c r="S193" s="37">
        <f t="shared" si="102"/>
        <v>1</v>
      </c>
      <c r="T193" s="52" t="str">
        <f t="shared" si="106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16:18:47-0600',mode:absolute,to:'2016-09-23 18:35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3" s="54" t="str">
        <f t="shared" si="108"/>
        <v>N</v>
      </c>
      <c r="X193" s="168">
        <f t="shared" ref="X193:X203" si="113">VALUE(LEFT(AD193,4))-VALUE(LEFT(AD192,4))</f>
        <v>1</v>
      </c>
      <c r="Y193" s="69">
        <f t="shared" si="110"/>
        <v>9.9199999999999997E-2</v>
      </c>
      <c r="Z193" s="69">
        <f t="shared" si="111"/>
        <v>5.8924000000000003</v>
      </c>
      <c r="AA193" s="69">
        <f t="shared" si="109"/>
        <v>5.7932000000000006</v>
      </c>
      <c r="AB193" s="66" t="e">
        <f>VLOOKUP(A193,Enforcements!$C$7:$K$20,8,0)</f>
        <v>#N/A</v>
      </c>
      <c r="AC193" s="62" t="e">
        <f>VLOOKUP(A193,Enforcements!$C$7:$E$20,3,0)</f>
        <v>#N/A</v>
      </c>
      <c r="AD193" s="63" t="str">
        <f t="shared" si="103"/>
        <v>0833-23</v>
      </c>
      <c r="AE193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93" s="96" t="str">
        <f t="shared" si="94"/>
        <v>"C:\Program Files (x86)\AstroGrep\AstroGrep.exe" /spath="%USERPROFILE%\AppData\Local\Temp\OnboardLogs" /stypes="app*4020*20160923*" /stext=" 23:.+((SYSTEM_STATE.+slice.+state.+changed )|(ment ac)|(system.+state.+changed )|(\|lc)|(penalty)|(\[timeout)|(PRM\|1\|D)|(kpr)|(kdp))" /e /r /s</v>
      </c>
      <c r="AG193" s="1" t="str">
        <f t="shared" si="101"/>
        <v>NW</v>
      </c>
      <c r="AH193" s="100" t="str">
        <f t="shared" si="95"/>
        <v>"%USERPROFILE%\Documents\GitHub\eaglep3\Utilities\RefineRTDCRunTimes.py" --tripid 833-23 --locoid 4020 --swversion DE.1.0.7.0 --startMP 204:992 --initTime 2016-09-23T17:18:47 --startdatetime 2016-09-23T17:21:27 --delay 1 --endMP 300:58924 --enddatetime 2016-09-23T17:35:45 --enforcementcount 0 &gt;&gt;C:\Users\stu\Documents\GitHub\eaglep3-reporting\EC\2016-09-23-refined-times.txt</v>
      </c>
      <c r="AI193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ID","value":"833-23"},{"id":16,"name":"Locomotive ID","value":"4020"},{"id":130,"name":"Impact","value":""},{"id":150,"name":"Time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548</v>
      </c>
      <c r="B194" s="7">
        <v>4019</v>
      </c>
      <c r="C194" s="24" t="s">
        <v>106</v>
      </c>
      <c r="D194" s="24" t="s">
        <v>701</v>
      </c>
      <c r="E194" s="15">
        <v>42636.734849537039</v>
      </c>
      <c r="F194" s="15">
        <v>42636.736539351848</v>
      </c>
      <c r="G194" s="7">
        <v>1</v>
      </c>
      <c r="H194" s="15" t="s">
        <v>311</v>
      </c>
      <c r="I194" s="15">
        <v>42636.746747685182</v>
      </c>
      <c r="J194" s="7">
        <v>0</v>
      </c>
      <c r="K194" s="121" t="str">
        <f t="shared" si="104"/>
        <v>4019/4020</v>
      </c>
      <c r="L194" s="24" t="str">
        <f>VLOOKUP(A194,'Trips&amp;Operators'!$C$1:$E$10000,3,FALSE)</f>
        <v>HELVIE</v>
      </c>
      <c r="M194" s="6">
        <f t="shared" si="105"/>
        <v>1.0208333333139308E-2</v>
      </c>
      <c r="N194" s="7">
        <f t="shared" si="112"/>
        <v>14.699999999720603</v>
      </c>
      <c r="O194" s="7"/>
      <c r="P194" s="7"/>
      <c r="Q194" s="25"/>
      <c r="R194" s="25"/>
      <c r="S194" s="37">
        <f t="shared" si="102"/>
        <v>1</v>
      </c>
      <c r="T194" s="52" t="str">
        <f t="shared" si="106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16:38:11-0600',mode:absolute,to:'2016-09-23 18:55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4" s="54" t="str">
        <f t="shared" si="108"/>
        <v>N</v>
      </c>
      <c r="X194" s="168">
        <f t="shared" si="113"/>
        <v>1</v>
      </c>
      <c r="Y194" s="69">
        <f t="shared" si="110"/>
        <v>5.8616999999999999</v>
      </c>
      <c r="Z194" s="69">
        <f t="shared" si="111"/>
        <v>7.5499999999999998E-2</v>
      </c>
      <c r="AA194" s="69">
        <f t="shared" si="109"/>
        <v>5.7862</v>
      </c>
      <c r="AB194" s="66" t="e">
        <f>VLOOKUP(A194,Enforcements!$C$7:$K$20,8,0)</f>
        <v>#N/A</v>
      </c>
      <c r="AC194" s="62" t="e">
        <f>VLOOKUP(A194,Enforcements!$C$7:$E$20,3,0)</f>
        <v>#N/A</v>
      </c>
      <c r="AD194" s="63" t="str">
        <f t="shared" si="103"/>
        <v>0834-23</v>
      </c>
      <c r="AE194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94" s="96" t="str">
        <f t="shared" si="94"/>
        <v>"C:\Program Files (x86)\AstroGrep\AstroGrep.exe" /spath="%USERPROFILE%\AppData\Local\Temp\OnboardLogs" /stypes="app*4019*20160923*" /stext=" 23:.+((SYSTEM_STATE.+slice.+state.+changed )|(ment ac)|(system.+state.+changed )|(\|lc)|(penalty)|(\[timeout)|(PRM\|1\|D)|(kpr)|(kdp))" /e /r /s</v>
      </c>
      <c r="AG194" s="1" t="str">
        <f t="shared" ref="AG194:AG203" si="114">IFERROR(IF(VALUE(LEFT(AD194,2))&lt;=2,"EC",IF(OR(VALUE(LEFT(AD194,2))=8,VALUE(LEFT(AD194,2))=18),"NW","Other")),"Other")</f>
        <v>NW</v>
      </c>
      <c r="AH194" s="100" t="str">
        <f t="shared" si="95"/>
        <v>"%USERPROFILE%\Documents\GitHub\eaglep3\Utilities\RefineRTDCRunTimes.py" --tripid 834-23 --locoid 4019 --swversion DE.1.0.7.0 --startMP 300:58617 --initTime 2016-09-23T17:38:11 --startdatetime 2016-09-23T17:40:37 --delay 1 --endMP 204:755 --enddatetime 2016-09-23T17:55:19 --enforcementcount 0 &gt;&gt;C:\Users\stu\Documents\GitHub\eaglep3-reporting\EC\2016-09-23-refined-times.txt</v>
      </c>
      <c r="AI194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{"issue":{"subject":"","project_id":79,"tracker_id":40,"status_id":1,"priority_id":2,"assigned_to_id":23,"start_date":"2016-09-23","description":"","custom_fields":[{"id":1,"name":"Subdivision","value":"NW"},{"id":4,"name":"Milepost","value":"0.0755"},{"id":17,"name":"Train ID","value":"834-23"},{"id":16,"name":"Locomotive ID","value":"4019"},{"id":130,"name":"Impact","value":""},{"id":150,"name":"Time of Event (Mountain Time)","value":"17:55:19"},{"id":151,"name":"Denver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545</v>
      </c>
      <c r="B195" s="7">
        <v>4018</v>
      </c>
      <c r="C195" s="24" t="s">
        <v>106</v>
      </c>
      <c r="D195" s="24" t="s">
        <v>721</v>
      </c>
      <c r="E195" s="15">
        <v>42636.728368055556</v>
      </c>
      <c r="F195" s="15">
        <v>42636.743969907409</v>
      </c>
      <c r="G195" s="7">
        <v>1</v>
      </c>
      <c r="H195" s="15" t="s">
        <v>369</v>
      </c>
      <c r="I195" s="15">
        <v>42636.753483796296</v>
      </c>
      <c r="J195" s="7">
        <v>0</v>
      </c>
      <c r="K195" s="121" t="str">
        <f t="shared" si="104"/>
        <v>4017/4018</v>
      </c>
      <c r="L195" s="24" t="str">
        <f>VLOOKUP(A195,'Trips&amp;Operators'!$C$1:$E$10000,3,FALSE)</f>
        <v>NEWELL</v>
      </c>
      <c r="M195" s="6">
        <f t="shared" si="105"/>
        <v>9.5138888864312321E-3</v>
      </c>
      <c r="N195" s="7">
        <f t="shared" si="112"/>
        <v>13.699999996460974</v>
      </c>
      <c r="O195" s="7"/>
      <c r="P195" s="7"/>
      <c r="Q195" s="25"/>
      <c r="R195" s="25"/>
      <c r="S195" s="37">
        <f t="shared" ref="S195:S203" si="115">SUM(U195:U195)/IF(AG195="EC",12,1)</f>
        <v>1</v>
      </c>
      <c r="T195" s="52" t="str">
        <f t="shared" si="106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16:28:51-0600',mode:absolute,to:'2016-09-23 19:05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5" s="54" t="str">
        <f t="shared" si="108"/>
        <v>N</v>
      </c>
      <c r="X195" s="168">
        <f t="shared" si="113"/>
        <v>1</v>
      </c>
      <c r="Y195" s="69">
        <f t="shared" si="110"/>
        <v>0.1013</v>
      </c>
      <c r="Z195" s="69">
        <f t="shared" si="111"/>
        <v>5.8929</v>
      </c>
      <c r="AA195" s="69">
        <f t="shared" si="109"/>
        <v>5.7915999999999999</v>
      </c>
      <c r="AB195" s="66" t="e">
        <f>VLOOKUP(A195,Enforcements!$C$7:$K$20,8,0)</f>
        <v>#N/A</v>
      </c>
      <c r="AC195" s="62" t="e">
        <f>VLOOKUP(A195,Enforcements!$C$7:$E$20,3,0)</f>
        <v>#N/A</v>
      </c>
      <c r="AD195" s="63" t="str">
        <f t="shared" ref="AD195:AD203" si="116">IF(LEN(A195)=6,"0"&amp;A195,A195)</f>
        <v>0835-23</v>
      </c>
      <c r="AE195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95" s="96" t="str">
        <f t="shared" si="94"/>
        <v>"C:\Program Files (x86)\AstroGrep\AstroGrep.exe" /spath="%USERPROFILE%\AppData\Local\Temp\OnboardLogs" /stypes="app*4018*20160924*" /stext=" 00:.+((SYSTEM_STATE.+slice.+state.+changed )|(ment ac)|(system.+state.+changed )|(\|lc)|(penalty)|(\[timeout)|(PRM\|1\|D)|(kpr)|(kdp))" /e /r /s</v>
      </c>
      <c r="AG195" s="1" t="str">
        <f t="shared" si="114"/>
        <v>NW</v>
      </c>
      <c r="AH195" s="100" t="str">
        <f t="shared" si="95"/>
        <v>"%USERPROFILE%\Documents\GitHub\eaglep3\Utilities\RefineRTDCRunTimes.py" --tripid 835-23 --locoid 4018 --swversion DE.1.0.7.0 --startMP 204:1013 --initTime 2016-09-23T17:28:51 --startdatetime 2016-09-23T17:51:19 --delay 1 --endMP 300:58929 --enddatetime 2016-09-23T18:05:01 --enforcementcount 0 &gt;&gt;C:\Users\stu\Documents\GitHub\eaglep3-reporting\EC\2016-09-23-refined-times.txt</v>
      </c>
      <c r="AI195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{"issue":{"subject":"","project_id":79,"tracker_id":40,"status_id":1,"priority_id":2,"assigned_to_id":23,"start_date":"2016-09-23","description":"","custom_fields":[{"id":1,"name":"Subdivision","value":"NW"},{"id":4,"name":"Milepost","value":"5.8929"},{"id":17,"name":"Train ID","value":"835-23"},{"id":16,"name":"Locomotive ID","value":"4018"},{"id":130,"name":"Impact","value":""},{"id":150,"name":"Time of Event (Mountain Time)","value":"18:05:01"},{"id":151,"name":"Denver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555</v>
      </c>
      <c r="B196" s="7">
        <v>4017</v>
      </c>
      <c r="C196" s="24" t="s">
        <v>106</v>
      </c>
      <c r="D196" s="24" t="s">
        <v>377</v>
      </c>
      <c r="E196" s="15">
        <v>42636.754861111112</v>
      </c>
      <c r="F196" s="15">
        <v>42636.756574074076</v>
      </c>
      <c r="G196" s="7">
        <v>1</v>
      </c>
      <c r="H196" s="15" t="s">
        <v>722</v>
      </c>
      <c r="I196" s="15">
        <v>42636.769537037035</v>
      </c>
      <c r="J196" s="7">
        <v>0</v>
      </c>
      <c r="K196" s="121" t="str">
        <f t="shared" si="104"/>
        <v>4017/4018</v>
      </c>
      <c r="L196" s="24" t="str">
        <f>VLOOKUP(A196,'Trips&amp;Operators'!$C$1:$E$10000,3,FALSE)</f>
        <v>NEWELL</v>
      </c>
      <c r="M196" s="6">
        <f t="shared" si="105"/>
        <v>1.2962962959136348E-2</v>
      </c>
      <c r="N196" s="7">
        <f t="shared" si="112"/>
        <v>18.666666661156341</v>
      </c>
      <c r="O196" s="7"/>
      <c r="P196" s="7"/>
      <c r="Q196" s="25"/>
      <c r="R196" s="25"/>
      <c r="S196" s="37">
        <f t="shared" si="115"/>
        <v>1</v>
      </c>
      <c r="T196" s="52" t="str">
        <f t="shared" si="106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17:07:00-0600',mode:absolute,to:'2016-09-23 19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196" s="54" t="str">
        <f t="shared" si="108"/>
        <v>N</v>
      </c>
      <c r="X196" s="168">
        <f t="shared" si="113"/>
        <v>1</v>
      </c>
      <c r="Y196" s="69">
        <f t="shared" si="110"/>
        <v>5.8624000000000001</v>
      </c>
      <c r="Z196" s="69">
        <f t="shared" si="111"/>
        <v>8.0399999999999999E-2</v>
      </c>
      <c r="AA196" s="69">
        <f t="shared" si="109"/>
        <v>5.782</v>
      </c>
      <c r="AB196" s="66" t="e">
        <f>VLOOKUP(A196,Enforcements!$C$7:$K$20,8,0)</f>
        <v>#N/A</v>
      </c>
      <c r="AC196" s="62" t="e">
        <f>VLOOKUP(A196,Enforcements!$C$7:$E$20,3,0)</f>
        <v>#N/A</v>
      </c>
      <c r="AD196" s="63" t="str">
        <f t="shared" si="116"/>
        <v>0836-23</v>
      </c>
      <c r="AE196" s="99" t="str">
        <f t="shared" si="93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196" s="96" t="str">
        <f t="shared" si="94"/>
        <v>"C:\Program Files (x86)\AstroGrep\AstroGrep.exe" /spath="%USERPROFILE%\AppData\Local\Temp\OnboardLogs" /stypes="app*4017*20160924*" /stext=" 00:.+((SYSTEM_STATE.+slice.+state.+changed )|(ment ac)|(system.+state.+changed )|(\|lc)|(penalty)|(\[timeout)|(PRM\|1\|D)|(kpr)|(kdp))" /e /r /s</v>
      </c>
      <c r="AG196" s="1" t="str">
        <f t="shared" si="114"/>
        <v>NW</v>
      </c>
      <c r="AH196" s="100" t="str">
        <f t="shared" si="95"/>
        <v>"%USERPROFILE%\Documents\GitHub\eaglep3\Utilities\RefineRTDCRunTimes.py" --tripid 836-23 --locoid 4017 --swversion DE.1.0.7.0 --startMP 300:58624 --initTime 2016-09-23T18:07:00 --startdatetime 2016-09-23T18:09:28 --delay 1 --endMP 204:804 --enddatetime 2016-09-23T18:28:08 --enforcementcount 0 &gt;&gt;C:\Users\stu\Documents\GitHub\eaglep3-reporting\EC\2016-09-23-refined-times.txt</v>
      </c>
      <c r="AI196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{"issue":{"subject":"","project_id":79,"tracker_id":40,"status_id":1,"priority_id":2,"assigned_to_id":23,"start_date":"2016-09-23","description":"","custom_fields":[{"id":1,"name":"Subdivision","value":"NW"},{"id":4,"name":"Milepost","value":"0.0804"},{"id":17,"name":"Train ID","value":"836-23"},{"id":16,"name":"Locomotive ID","value":"4017"},{"id":130,"name":"Impact","value":""},{"id":150,"name":"Time of Event (Mountain Time)","value":"18:28:08"},{"id":151,"name":"Denver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556</v>
      </c>
      <c r="B197" s="7">
        <v>4020</v>
      </c>
      <c r="C197" s="24" t="s">
        <v>106</v>
      </c>
      <c r="D197" s="24" t="s">
        <v>370</v>
      </c>
      <c r="E197" s="15">
        <v>42636.761863425927</v>
      </c>
      <c r="F197" s="15">
        <v>42636.764872685184</v>
      </c>
      <c r="G197" s="7">
        <v>1</v>
      </c>
      <c r="H197" s="15" t="s">
        <v>366</v>
      </c>
      <c r="I197" s="15">
        <v>42636.774039351854</v>
      </c>
      <c r="J197" s="7">
        <v>0</v>
      </c>
      <c r="K197" s="121" t="str">
        <f t="shared" si="104"/>
        <v>4019/4020</v>
      </c>
      <c r="L197" s="24" t="str">
        <f>VLOOKUP(A197,'Trips&amp;Operators'!$C$1:$E$10000,3,FALSE)</f>
        <v>HELVIE</v>
      </c>
      <c r="M197" s="6">
        <f t="shared" si="105"/>
        <v>9.1666666703531519E-3</v>
      </c>
      <c r="N197" s="7">
        <f t="shared" si="112"/>
        <v>13.200000005308539</v>
      </c>
      <c r="O197" s="7"/>
      <c r="P197" s="7"/>
      <c r="Q197" s="25"/>
      <c r="R197" s="25"/>
      <c r="S197" s="37">
        <f t="shared" si="115"/>
        <v>1</v>
      </c>
      <c r="T197" s="52" t="str">
        <f t="shared" si="106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17:17:05-0600',mode:absolute,to:'2016-09-23 19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7" s="54" t="str">
        <f t="shared" si="108"/>
        <v>N</v>
      </c>
      <c r="X197" s="168">
        <f t="shared" si="113"/>
        <v>1</v>
      </c>
      <c r="Y197" s="69">
        <f t="shared" si="110"/>
        <v>0.1037</v>
      </c>
      <c r="Z197" s="69">
        <f t="shared" si="111"/>
        <v>5.8924000000000003</v>
      </c>
      <c r="AA197" s="69">
        <f t="shared" si="109"/>
        <v>5.7887000000000004</v>
      </c>
      <c r="AB197" s="66" t="e">
        <f>VLOOKUP(A197,Enforcements!$C$7:$K$20,8,0)</f>
        <v>#N/A</v>
      </c>
      <c r="AC197" s="62" t="e">
        <f>VLOOKUP(A197,Enforcements!$C$7:$E$20,3,0)</f>
        <v>#N/A</v>
      </c>
      <c r="AD197" s="63" t="str">
        <f t="shared" si="116"/>
        <v>0837-23</v>
      </c>
      <c r="AE197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197" s="96" t="str">
        <f t="shared" si="94"/>
        <v>"C:\Program Files (x86)\AstroGrep\AstroGrep.exe" /spath="%USERPROFILE%\AppData\Local\Temp\OnboardLogs" /stypes="app*4020*20160924*" /stext=" 00:.+((SYSTEM_STATE.+slice.+state.+changed )|(ment ac)|(system.+state.+changed )|(\|lc)|(penalty)|(\[timeout)|(PRM\|1\|D)|(kpr)|(kdp))" /e /r /s</v>
      </c>
      <c r="AG197" s="1" t="str">
        <f t="shared" si="114"/>
        <v>NW</v>
      </c>
      <c r="AH197" s="100" t="str">
        <f t="shared" si="95"/>
        <v>"%USERPROFILE%\Documents\GitHub\eaglep3\Utilities\RefineRTDCRunTimes.py" --tripid 837-23 --locoid 4020 --swversion DE.1.0.7.0 --startMP 204:1037 --initTime 2016-09-23T18:17:05 --startdatetime 2016-09-23T18:21:25 --delay 1 --endMP 300:58924 --enddatetime 2016-09-23T18:34:37 --enforcementcount 0 &gt;&gt;C:\Users\stu\Documents\GitHub\eaglep3-reporting\EC\2016-09-23-refined-times.txt</v>
      </c>
      <c r="AI197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ID","value":"837-23"},{"id":16,"name":"Locomotive ID","value":"4020"},{"id":130,"name":"Impact","value":""},{"id":150,"name":"Time of Event (Mountain Time)","value":"18:34:37"},{"id":151,"name":"Denver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561</v>
      </c>
      <c r="B198" s="7">
        <v>4019</v>
      </c>
      <c r="C198" s="24" t="s">
        <v>106</v>
      </c>
      <c r="D198" s="24" t="s">
        <v>723</v>
      </c>
      <c r="E198" s="15">
        <v>42636.775219907409</v>
      </c>
      <c r="F198" s="15">
        <v>42636.776516203703</v>
      </c>
      <c r="G198" s="7">
        <v>0</v>
      </c>
      <c r="H198" s="15" t="s">
        <v>724</v>
      </c>
      <c r="I198" s="15">
        <v>42636.789351851854</v>
      </c>
      <c r="J198" s="7">
        <v>0</v>
      </c>
      <c r="K198" s="121" t="str">
        <f t="shared" si="104"/>
        <v>4019/4020</v>
      </c>
      <c r="L198" s="24" t="str">
        <f>VLOOKUP(A198,'Trips&amp;Operators'!$C$1:$E$10000,3,FALSE)</f>
        <v>HELVIE</v>
      </c>
      <c r="M198" s="6">
        <f t="shared" si="105"/>
        <v>1.283564815093996E-2</v>
      </c>
      <c r="N198" s="7">
        <f t="shared" si="112"/>
        <v>18.483333337353542</v>
      </c>
      <c r="O198" s="7"/>
      <c r="P198" s="7"/>
      <c r="Q198" s="25"/>
      <c r="R198" s="25"/>
      <c r="S198" s="37">
        <f t="shared" si="115"/>
        <v>1</v>
      </c>
      <c r="T198" s="52" t="str">
        <f t="shared" si="106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17:36:19-0600',mode:absolute,to:'2016-09-23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8" s="54" t="str">
        <f t="shared" si="108"/>
        <v>N</v>
      </c>
      <c r="X198" s="168">
        <f t="shared" si="113"/>
        <v>1</v>
      </c>
      <c r="Y198" s="69">
        <f t="shared" si="110"/>
        <v>5.8608000000000002</v>
      </c>
      <c r="Z198" s="69">
        <f t="shared" si="111"/>
        <v>7.3300000000000004E-2</v>
      </c>
      <c r="AA198" s="69">
        <f t="shared" si="109"/>
        <v>5.7875000000000005</v>
      </c>
      <c r="AB198" s="66" t="e">
        <f>VLOOKUP(A198,Enforcements!$C$7:$K$20,8,0)</f>
        <v>#N/A</v>
      </c>
      <c r="AC198" s="62" t="e">
        <f>VLOOKUP(A198,Enforcements!$C$7:$E$20,3,0)</f>
        <v>#N/A</v>
      </c>
      <c r="AD198" s="63" t="str">
        <f t="shared" si="116"/>
        <v>0838-23</v>
      </c>
      <c r="AE198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198" s="96" t="str">
        <f t="shared" si="94"/>
        <v>"C:\Program Files (x86)\AstroGrep\AstroGrep.exe" /spath="%USERPROFILE%\AppData\Local\Temp\OnboardLogs" /stypes="app*4019*20160924*" /stext=" 00:.+((SYSTEM_STATE.+slice.+state.+changed )|(ment ac)|(system.+state.+changed )|(\|lc)|(penalty)|(\[timeout)|(PRM\|1\|D)|(kpr)|(kdp))" /e /r /s</v>
      </c>
      <c r="AG198" s="1" t="str">
        <f t="shared" si="114"/>
        <v>NW</v>
      </c>
      <c r="AH198" s="100" t="str">
        <f t="shared" si="95"/>
        <v>"%USERPROFILE%\Documents\GitHub\eaglep3\Utilities\RefineRTDCRunTimes.py" --tripid 838-23 --locoid 4019 --swversion DE.1.0.7.0 --startMP 300:58608 --initTime 2016-09-23T18:36:19 --startdatetime 2016-09-23T18:38:11 --delay 0 --endMP 204:733 --enddatetime 2016-09-23T18:56:40 --enforcementcount 0 &gt;&gt;C:\Users\stu\Documents\GitHub\eaglep3-reporting\EC\2016-09-23-refined-times.txt</v>
      </c>
      <c r="AI198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{"issue":{"subject":"","project_id":79,"tracker_id":40,"status_id":1,"priority_id":2,"assigned_to_id":23,"start_date":"2016-09-23","description":"","custom_fields":[{"id":1,"name":"Subdivision","value":"NW"},{"id":4,"name":"Milepost","value":"0.0733"},{"id":17,"name":"Train ID","value":"838-23"},{"id":16,"name":"Locomotive ID","value":"4019"},{"id":130,"name":"Impact","value":""},{"id":150,"name":"Time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559</v>
      </c>
      <c r="B199" s="7">
        <v>4018</v>
      </c>
      <c r="C199" s="24" t="s">
        <v>106</v>
      </c>
      <c r="D199" s="24" t="s">
        <v>365</v>
      </c>
      <c r="E199" s="15">
        <v>42636.77103009259</v>
      </c>
      <c r="F199" s="15">
        <v>42636.785578703704</v>
      </c>
      <c r="G199" s="7">
        <v>1</v>
      </c>
      <c r="H199" s="15" t="s">
        <v>369</v>
      </c>
      <c r="I199" s="15">
        <v>42636.794722222221</v>
      </c>
      <c r="J199" s="7">
        <v>0</v>
      </c>
      <c r="K199" s="121" t="str">
        <f t="shared" si="104"/>
        <v>4017/4018</v>
      </c>
      <c r="L199" s="24" t="str">
        <f>VLOOKUP(A199,'Trips&amp;Operators'!$C$1:$E$10000,3,FALSE)</f>
        <v>NEWELL</v>
      </c>
      <c r="M199" s="6">
        <f t="shared" si="105"/>
        <v>9.1435185167938471E-3</v>
      </c>
      <c r="N199" s="7">
        <f t="shared" si="112"/>
        <v>13.16666666418314</v>
      </c>
      <c r="O199" s="7"/>
      <c r="P199" s="7"/>
      <c r="Q199" s="25"/>
      <c r="R199" s="25"/>
      <c r="S199" s="37">
        <f t="shared" si="115"/>
        <v>1</v>
      </c>
      <c r="T199" s="52" t="str">
        <f t="shared" si="106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17:30:17-0600',mode:absolute,to:'2016-09-23 20:04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199" s="54" t="str">
        <f t="shared" si="108"/>
        <v>N</v>
      </c>
      <c r="X199" s="168">
        <f t="shared" si="113"/>
        <v>1</v>
      </c>
      <c r="Y199" s="69">
        <f t="shared" si="110"/>
        <v>0.1081</v>
      </c>
      <c r="Z199" s="69">
        <f t="shared" si="111"/>
        <v>5.8929</v>
      </c>
      <c r="AA199" s="69">
        <f t="shared" si="109"/>
        <v>5.7847999999999997</v>
      </c>
      <c r="AB199" s="66" t="e">
        <f>VLOOKUP(A199,Enforcements!$C$7:$K$20,8,0)</f>
        <v>#N/A</v>
      </c>
      <c r="AC199" s="62" t="e">
        <f>VLOOKUP(A199,Enforcements!$C$7:$E$20,3,0)</f>
        <v>#N/A</v>
      </c>
      <c r="AD199" s="63" t="str">
        <f t="shared" si="116"/>
        <v>0839-23</v>
      </c>
      <c r="AE199" s="99" t="str">
        <f t="shared" si="93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199" s="96" t="str">
        <f t="shared" si="94"/>
        <v>"C:\Program Files (x86)\AstroGrep\AstroGrep.exe" /spath="%USERPROFILE%\AppData\Local\Temp\OnboardLogs" /stypes="app*4018*20160924*" /stext=" 01:.+((SYSTEM_STATE.+slice.+state.+changed )|(ment ac)|(system.+state.+changed )|(\|lc)|(penalty)|(\[timeout)|(PRM\|1\|D)|(kpr)|(kdp))" /e /r /s</v>
      </c>
      <c r="AG199" s="1" t="str">
        <f t="shared" si="114"/>
        <v>NW</v>
      </c>
      <c r="AH199" s="100" t="str">
        <f t="shared" si="95"/>
        <v>"%USERPROFILE%\Documents\GitHub\eaglep3\Utilities\RefineRTDCRunTimes.py" --tripid 839-23 --locoid 4018 --swversion DE.1.0.7.0 --startMP 204:1081 --initTime 2016-09-23T18:30:17 --startdatetime 2016-09-23T18:51:14 --delay 1 --endMP 300:58929 --enddatetime 2016-09-23T19:04:24 --enforcementcount 0 &gt;&gt;C:\Users\stu\Documents\GitHub\eaglep3-reporting\EC\2016-09-23-refined-times.txt</v>
      </c>
      <c r="AI199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{"issue":{"subject":"","project_id":79,"tracker_id":40,"status_id":1,"priority_id":2,"assigned_to_id":23,"start_date":"2016-09-23","description":"","custom_fields":[{"id":1,"name":"Subdivision","value":"NW"},{"id":4,"name":"Milepost","value":"5.8929"},{"id":17,"name":"Train ID","value":"839-23"},{"id":16,"name":"Locomotive ID","value":"4018"},{"id":130,"name":"Impact","value":""},{"id":150,"name":"Time of Event (Mountain Time)","value":"19:04:24"},{"id":151,"name":"Denver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s="23" customFormat="1" x14ac:dyDescent="0.25">
      <c r="A200" s="39" t="s">
        <v>575</v>
      </c>
      <c r="B200" s="7">
        <v>4019</v>
      </c>
      <c r="C200" s="24" t="s">
        <v>106</v>
      </c>
      <c r="D200" s="24" t="s">
        <v>701</v>
      </c>
      <c r="E200" s="15">
        <v>42636.817997685182</v>
      </c>
      <c r="F200" s="15">
        <v>42636.819687499999</v>
      </c>
      <c r="G200" s="7">
        <v>1</v>
      </c>
      <c r="H200" s="15" t="s">
        <v>725</v>
      </c>
      <c r="I200" s="15">
        <v>42636.830868055556</v>
      </c>
      <c r="J200" s="7">
        <v>0</v>
      </c>
      <c r="K200" s="121" t="str">
        <f t="shared" si="104"/>
        <v>4019/4020</v>
      </c>
      <c r="L200" s="24" t="str">
        <f>VLOOKUP(A200,'Trips&amp;Operators'!$C$1:$E$10000,3,FALSE)</f>
        <v>HELVIE</v>
      </c>
      <c r="M200" s="6">
        <f t="shared" si="105"/>
        <v>1.1180555557075422E-2</v>
      </c>
      <c r="N200" s="7">
        <f t="shared" si="112"/>
        <v>16.100000002188608</v>
      </c>
      <c r="O200" s="7"/>
      <c r="P200" s="7"/>
      <c r="Q200" s="25"/>
      <c r="R200" s="25"/>
      <c r="S200" s="37">
        <f t="shared" si="115"/>
        <v>1</v>
      </c>
      <c r="T200" s="52" t="str">
        <f t="shared" si="106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18:37:55-0600',mode:absolute,to:'2016-09-23 20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108"/>
        <v>N</v>
      </c>
      <c r="X200" s="168">
        <f t="shared" si="113"/>
        <v>1</v>
      </c>
      <c r="Y200" s="69">
        <f t="shared" si="110"/>
        <v>5.8616999999999999</v>
      </c>
      <c r="Z200" s="69">
        <f t="shared" si="111"/>
        <v>6.8500000000000005E-2</v>
      </c>
      <c r="AA200" s="69">
        <f t="shared" si="109"/>
        <v>5.7931999999999997</v>
      </c>
      <c r="AB200" s="66" t="e">
        <f>VLOOKUP(A200,Enforcements!$C$7:$K$20,8,0)</f>
        <v>#N/A</v>
      </c>
      <c r="AC200" s="62" t="e">
        <f>VLOOKUP(A200,Enforcements!$C$7:$E$20,3,0)</f>
        <v>#N/A</v>
      </c>
      <c r="AD200" s="63" t="str">
        <f t="shared" si="116"/>
        <v>0840-23</v>
      </c>
      <c r="AE200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200" s="96" t="str">
        <f t="shared" si="94"/>
        <v>"C:\Program Files (x86)\AstroGrep\AstroGrep.exe" /spath="%USERPROFILE%\AppData\Local\Temp\OnboardLogs" /stypes="app*4019*20160924*" /stext=" 01:.+((SYSTEM_STATE.+slice.+state.+changed )|(ment ac)|(system.+state.+changed )|(\|lc)|(penalty)|(\[timeout)|(PRM\|1\|D)|(kpr)|(kdp))" /e /r /s</v>
      </c>
      <c r="AG200" s="1" t="str">
        <f t="shared" si="114"/>
        <v>NW</v>
      </c>
      <c r="AH200" s="100" t="str">
        <f t="shared" si="95"/>
        <v>"%USERPROFILE%\Documents\GitHub\eaglep3\Utilities\RefineRTDCRunTimes.py" --tripid 840-23 --locoid 4019 --swversion DE.1.0.7.0 --startMP 300:58617 --initTime 2016-09-23T19:37:55 --startdatetime 2016-09-23T19:40:21 --delay 1 --endMP 204:685 --enddatetime 2016-09-23T19:56:27 --enforcementcount 0 &gt;&gt;C:\Users\stu\Documents\GitHub\eaglep3-reporting\EC\2016-09-23-refined-times.txt</v>
      </c>
      <c r="AI200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{"issue":{"subject":"","project_id":79,"tracker_id":40,"status_id":1,"priority_id":2,"assigned_to_id":23,"start_date":"2016-09-23","description":"","custom_fields":[{"id":1,"name":"Subdivision","value":"NW"},{"id":4,"name":"Milepost","value":"0.0685"},{"id":17,"name":"Train ID","value":"840-23"},{"id":16,"name":"Locomotive ID","value":"4019"},{"id":130,"name":"Impact","value":""},{"id":150,"name":"Time of Event (Mountain Time)","value":"19:56:27"},{"id":151,"name":"Denver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571</v>
      </c>
      <c r="B201" s="7">
        <v>4020</v>
      </c>
      <c r="C201" s="24" t="s">
        <v>106</v>
      </c>
      <c r="D201" s="24" t="s">
        <v>370</v>
      </c>
      <c r="E201" s="15">
        <v>42636.800000000003</v>
      </c>
      <c r="F201" s="15">
        <v>42636.806631944448</v>
      </c>
      <c r="G201" s="7">
        <v>1</v>
      </c>
      <c r="H201" s="15" t="s">
        <v>381</v>
      </c>
      <c r="I201" s="15">
        <v>42636.816932870373</v>
      </c>
      <c r="J201" s="7">
        <v>0</v>
      </c>
      <c r="K201" s="121" t="str">
        <f t="shared" si="104"/>
        <v>4019/4020</v>
      </c>
      <c r="L201" s="24" t="str">
        <f>VLOOKUP(A201,'Trips&amp;Operators'!$C$1:$E$10000,3,FALSE)</f>
        <v>HELVIE</v>
      </c>
      <c r="M201" s="6">
        <f t="shared" si="105"/>
        <v>1.0300925925548654E-2</v>
      </c>
      <c r="N201" s="7">
        <f t="shared" si="112"/>
        <v>14.833333332790062</v>
      </c>
      <c r="O201" s="7"/>
      <c r="P201" s="7"/>
      <c r="Q201" s="25"/>
      <c r="R201" s="25"/>
      <c r="S201" s="37">
        <f t="shared" si="115"/>
        <v>1</v>
      </c>
      <c r="T201" s="52" t="str">
        <f t="shared" si="106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18:12:00-0600',mode:absolute,to:'2016-09-23 20:36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1" s="54" t="str">
        <f t="shared" si="108"/>
        <v>N</v>
      </c>
      <c r="X201" s="168">
        <f t="shared" si="113"/>
        <v>1</v>
      </c>
      <c r="Y201" s="69">
        <f t="shared" si="110"/>
        <v>0.1037</v>
      </c>
      <c r="Z201" s="69">
        <f t="shared" si="111"/>
        <v>5.8930999999999996</v>
      </c>
      <c r="AA201" s="69">
        <f t="shared" si="109"/>
        <v>5.7893999999999997</v>
      </c>
      <c r="AB201" s="66" t="e">
        <f>VLOOKUP(A201,Enforcements!$C$7:$K$20,8,0)</f>
        <v>#N/A</v>
      </c>
      <c r="AC201" s="62" t="e">
        <f>VLOOKUP(A201,Enforcements!$C$7:$E$20,3,0)</f>
        <v>#N/A</v>
      </c>
      <c r="AD201" s="63" t="str">
        <f t="shared" si="116"/>
        <v>0841-23</v>
      </c>
      <c r="AE201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201" s="96" t="str">
        <f t="shared" si="94"/>
        <v>"C:\Program Files (x86)\AstroGrep\AstroGrep.exe" /spath="%USERPROFILE%\AppData\Local\Temp\OnboardLogs" /stypes="app*4020*20160924*" /stext=" 01:.+((SYSTEM_STATE.+slice.+state.+changed )|(ment ac)|(system.+state.+changed )|(\|lc)|(penalty)|(\[timeout)|(PRM\|1\|D)|(kpr)|(kdp))" /e /r /s</v>
      </c>
      <c r="AG201" s="1" t="str">
        <f t="shared" si="114"/>
        <v>NW</v>
      </c>
      <c r="AH201" s="100" t="str">
        <f t="shared" si="95"/>
        <v>"%USERPROFILE%\Documents\GitHub\eaglep3\Utilities\RefineRTDCRunTimes.py" --tripid 841-23 --locoid 4020 --swversion DE.1.0.7.0 --startMP 204:1037 --initTime 2016-09-23T19:12:00 --startdatetime 2016-09-23T19:21:33 --delay 1 --endMP 300:58931 --enddatetime 2016-09-23T19:36:23 --enforcementcount 0 &gt;&gt;C:\Users\stu\Documents\GitHub\eaglep3-reporting\EC\2016-09-23-refined-times.txt</v>
      </c>
      <c r="AI201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{"issue":{"subject":"","project_id":79,"tracker_id":40,"status_id":1,"priority_id":2,"assigned_to_id":23,"start_date":"2016-09-23","description":"","custom_fields":[{"id":1,"name":"Subdivision","value":"NW"},{"id":4,"name":"Milepost","value":"5.8931"},{"id":17,"name":"Train ID","value":"841-23"},{"id":16,"name":"Locomotive ID","value":"4020"},{"id":130,"name":"Impact","value":""},{"id":150,"name":"Time of Event (Mountain Time)","value":"19:36:23"},{"id":151,"name":"Denver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582</v>
      </c>
      <c r="B202" s="7">
        <v>4019</v>
      </c>
      <c r="C202" s="24" t="s">
        <v>106</v>
      </c>
      <c r="D202" s="24" t="s">
        <v>372</v>
      </c>
      <c r="E202" s="15">
        <v>42636.860613425924</v>
      </c>
      <c r="F202" s="15">
        <v>42636.862083333333</v>
      </c>
      <c r="G202" s="7">
        <v>1</v>
      </c>
      <c r="H202" s="15" t="s">
        <v>726</v>
      </c>
      <c r="I202" s="15">
        <v>42636.873240740744</v>
      </c>
      <c r="J202" s="7">
        <v>0</v>
      </c>
      <c r="K202" s="121" t="str">
        <f t="shared" si="104"/>
        <v>4019/4020</v>
      </c>
      <c r="L202" s="24" t="str">
        <f>VLOOKUP(A202,'Trips&amp;Operators'!$C$1:$E$10000,3,FALSE)</f>
        <v>HELVIE</v>
      </c>
      <c r="M202" s="6">
        <f t="shared" si="105"/>
        <v>1.1157407410792075E-2</v>
      </c>
      <c r="N202" s="7">
        <f t="shared" si="112"/>
        <v>16.066666671540588</v>
      </c>
      <c r="O202" s="7"/>
      <c r="P202" s="7"/>
      <c r="Q202" s="25"/>
      <c r="R202" s="25"/>
      <c r="S202" s="37">
        <f t="shared" si="115"/>
        <v>1</v>
      </c>
      <c r="T202" s="52" t="str">
        <f t="shared" si="106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19:39:17-0600',mode:absolute,to:'2016-09-23 21:57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2" s="54" t="str">
        <f t="shared" si="108"/>
        <v>N</v>
      </c>
      <c r="X202" s="168">
        <f t="shared" si="113"/>
        <v>1</v>
      </c>
      <c r="Y202" s="69">
        <f t="shared" si="110"/>
        <v>5.8613</v>
      </c>
      <c r="Z202" s="69">
        <f t="shared" si="111"/>
        <v>7.22E-2</v>
      </c>
      <c r="AA202" s="69">
        <f t="shared" si="109"/>
        <v>5.7891000000000004</v>
      </c>
      <c r="AB202" s="66" t="e">
        <f>VLOOKUP(A202,Enforcements!$C$7:$K$20,8,0)</f>
        <v>#N/A</v>
      </c>
      <c r="AC202" s="62" t="e">
        <f>VLOOKUP(A202,Enforcements!$C$7:$E$20,3,0)</f>
        <v>#N/A</v>
      </c>
      <c r="AD202" s="63" t="str">
        <f t="shared" si="116"/>
        <v>0842-23</v>
      </c>
      <c r="AE202" s="99" t="str">
        <f t="shared" si="93"/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AF202" s="96" t="str">
        <f t="shared" si="94"/>
        <v>"C:\Program Files (x86)\AstroGrep\AstroGrep.exe" /spath="%USERPROFILE%\AppData\Local\Temp\OnboardLogs" /stypes="app*4019*20160924*" /stext=" 02:.+((SYSTEM_STATE.+slice.+state.+changed )|(ment ac)|(system.+state.+changed )|(\|lc)|(penalty)|(\[timeout)|(PRM\|1\|D)|(kpr)|(kdp))" /e /r /s</v>
      </c>
      <c r="AG202" s="1" t="str">
        <f t="shared" si="114"/>
        <v>NW</v>
      </c>
      <c r="AH202" s="100" t="str">
        <f t="shared" si="95"/>
        <v>"%USERPROFILE%\Documents\GitHub\eaglep3\Utilities\RefineRTDCRunTimes.py" --tripid 842-23 --locoid 4019 --swversion DE.1.0.7.0 --startMP 300:58613 --initTime 2016-09-23T20:39:17 --startdatetime 2016-09-23T20:41:24 --delay 1 --endMP 204:722 --enddatetime 2016-09-23T20:57:28 --enforcementcount 0 &gt;&gt;C:\Users\stu\Documents\GitHub\eaglep3-reporting\EC\2016-09-23-refined-times.txt</v>
      </c>
      <c r="AI202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{"issue":{"subject":"","project_id":79,"tracker_id":40,"status_id":1,"priority_id":2,"assigned_to_id":23,"start_date":"2016-09-23","description":"","custom_fields":[{"id":1,"name":"Subdivision","value":"NW"},{"id":4,"name":"Milepost","value":"0.0722"},{"id":17,"name":"Train ID","value":"842-23"},{"id":16,"name":"Locomotive ID","value":"4019"},{"id":130,"name":"Impact","value":""},{"id":150,"name":"Time of Event (Mountain Time)","value":"20:57:28"},{"id":151,"name":"Denver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579</v>
      </c>
      <c r="B203" s="7">
        <v>4020</v>
      </c>
      <c r="C203" s="24" t="s">
        <v>106</v>
      </c>
      <c r="D203" s="24" t="s">
        <v>714</v>
      </c>
      <c r="E203" s="15">
        <v>42636.845497685186</v>
      </c>
      <c r="F203" s="15">
        <v>42636.848136574074</v>
      </c>
      <c r="G203" s="7">
        <v>1</v>
      </c>
      <c r="H203" s="15" t="s">
        <v>366</v>
      </c>
      <c r="I203" s="15">
        <v>42636.8594212963</v>
      </c>
      <c r="J203" s="7">
        <v>0</v>
      </c>
      <c r="K203" s="121" t="str">
        <f t="shared" si="104"/>
        <v>4019/4020</v>
      </c>
      <c r="L203" s="24" t="str">
        <f>VLOOKUP(A203,'Trips&amp;Operators'!$C$1:$E$10000,3,FALSE)</f>
        <v>HELVIE</v>
      </c>
      <c r="M203" s="6">
        <f t="shared" si="105"/>
        <v>1.1284722226264421E-2</v>
      </c>
      <c r="N203" s="7">
        <f t="shared" si="112"/>
        <v>16.250000005820766</v>
      </c>
      <c r="O203" s="7"/>
      <c r="P203" s="7"/>
      <c r="Q203" s="25"/>
      <c r="R203" s="25"/>
      <c r="S203" s="37">
        <f t="shared" si="115"/>
        <v>1</v>
      </c>
      <c r="T203" s="52" t="str">
        <f t="shared" si="106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107"/>
        <v>https://search-rtdc-monitor-bjffxe2xuh6vdkpspy63sjmuny.us-east-1.es.amazonaws.com/_plugin/kibana/#/discover/Steve-Slow-Train-Analysis-(2080s-and-2083s)?_g=(refreshInterval:(display:Off,section:0,value:0),time:(from:'2016-09-23 19:17:31-0600',mode:absolute,to:'2016-09-23 21:37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108"/>
        <v>N</v>
      </c>
      <c r="X203" s="168">
        <f t="shared" si="113"/>
        <v>1</v>
      </c>
      <c r="Y203" s="69">
        <f t="shared" si="110"/>
        <v>9.7799999999999998E-2</v>
      </c>
      <c r="Z203" s="69">
        <f t="shared" si="111"/>
        <v>5.8924000000000003</v>
      </c>
      <c r="AA203" s="69">
        <f t="shared" si="109"/>
        <v>5.7946</v>
      </c>
      <c r="AB203" s="66" t="e">
        <f>VLOOKUP(A203,Enforcements!$C$7:$K$20,8,0)</f>
        <v>#N/A</v>
      </c>
      <c r="AC203" s="62" t="e">
        <f>VLOOKUP(A203,Enforcements!$C$7:$E$20,3,0)</f>
        <v>#N/A</v>
      </c>
      <c r="AD203" s="63" t="str">
        <f t="shared" si="116"/>
        <v>0843-23</v>
      </c>
      <c r="AE203" s="99" t="str">
        <f t="shared" si="93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203" s="96" t="str">
        <f t="shared" si="94"/>
        <v>"C:\Program Files (x86)\AstroGrep\AstroGrep.exe" /spath="%USERPROFILE%\AppData\Local\Temp\OnboardLogs" /stypes="app*4020*20160924*" /stext=" 02:.+((SYSTEM_STATE.+slice.+state.+changed )|(ment ac)|(system.+state.+changed )|(\|lc)|(penalty)|(\[timeout)|(PRM\|1\|D)|(kpr)|(kdp))" /e /r /s</v>
      </c>
      <c r="AG203" s="1" t="str">
        <f t="shared" si="114"/>
        <v>NW</v>
      </c>
      <c r="AH203" s="100" t="str">
        <f t="shared" si="95"/>
        <v>"%USERPROFILE%\Documents\GitHub\eaglep3\Utilities\RefineRTDCRunTimes.py" --tripid 843-23 --locoid 4020 --swversion DE.1.0.7.0 --startMP 204:978 --initTime 2016-09-23T20:17:31 --startdatetime 2016-09-23T20:21:19 --delay 1 --endMP 300:58924 --enddatetime 2016-09-23T20:37:34 --enforcementcount 0 &gt;&gt;C:\Users\stu\Documents\GitHub\eaglep3-reporting\EC\2016-09-23-refined-times.txt</v>
      </c>
      <c r="AI203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{"issue":{"subject":"","project_id":79,"tracker_id":40,"status_id":1,"priority_id":2,"assigned_to_id":23,"start_date":"2016-09-23","description":"","custom_fields":[{"id":1,"name":"Subdivision","value":"NW"},{"id":4,"name":"Milepost","value":"5.8924"},{"id":17,"name":"Train ID","value":"843-23"},{"id":16,"name":"Locomotive ID","value":"4020"},{"id":130,"name":"Impact","value":""},{"id":150,"name":"Time of Event (Mountain Time)","value":"20:37:34"},{"id":151,"name":"Denver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s="23" customFormat="1" x14ac:dyDescent="0.25">
      <c r="A204" s="39" t="s">
        <v>742</v>
      </c>
      <c r="B204" s="7"/>
      <c r="C204" s="24" t="s">
        <v>106</v>
      </c>
      <c r="D204" s="24" t="s">
        <v>714</v>
      </c>
      <c r="E204" s="15">
        <v>42636.845497685186</v>
      </c>
      <c r="F204" s="15"/>
      <c r="G204" s="7"/>
      <c r="H204" s="15"/>
      <c r="I204" s="15"/>
      <c r="J204" s="7">
        <v>0</v>
      </c>
      <c r="K204" s="121" t="str">
        <f t="shared" ref="K204:K205" si="117">IF(ISEVEN(B204),(B204-1)&amp;"/"&amp;B204,B204&amp;"/"&amp;(B204+1))</f>
        <v>-1/</v>
      </c>
      <c r="L204" s="24" t="e">
        <f>VLOOKUP(A204,'Trips&amp;Operators'!$C$1:$E$10000,3,FALSE)</f>
        <v>#N/A</v>
      </c>
      <c r="M204" s="6">
        <f t="shared" ref="M204:M205" si="118">I204-F204</f>
        <v>0</v>
      </c>
      <c r="N204" s="7"/>
      <c r="O204" s="7"/>
      <c r="P204" s="7">
        <v>1</v>
      </c>
      <c r="Q204" s="25"/>
      <c r="R204" s="25" t="s">
        <v>740</v>
      </c>
      <c r="S204" s="37">
        <f t="shared" ref="S204:S205" si="119">SUM(U204:U204)/IF(AG204="EC",12,1)</f>
        <v>0</v>
      </c>
      <c r="T204" s="52" t="str">
        <f t="shared" ref="T204:T205" si="120">IF(ISEVEN(LEFT(AD204,4)),"Southbound","NorthBound")</f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106" t="str">
        <f t="shared" ref="V204:V205" si="121"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https://search-rtdc-monitor-bjffxe2xuh6vdkpspy63sjmuny.us-east-1.es.amazonaws.com/_plugin/kibana/#/discover/Steve-Slow-Train-Analysis-(2080s-and-2083s)?_g=(refreshInterval:(display:Off,section:0,value:0),time:(from:'2016-09-23 19:17:31-0600',mode:absolute,to:'1900-01-00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204" s="54" t="e">
        <f t="shared" ref="W204:W205" si="122">IF(AA204&lt;IF(AG204="EC",23,5.65),"Y","N")</f>
        <v>#VALUE!</v>
      </c>
      <c r="X204" s="168">
        <f t="shared" ref="X204:X207" si="123">VALUE(LEFT(AD204,4))-VALUE(LEFT(AD203,4))</f>
        <v>1</v>
      </c>
      <c r="Y204" s="69">
        <f t="shared" ref="Y204:Y205" si="124">RIGHT(D204,LEN(D204)-4)/10000</f>
        <v>9.7799999999999998E-2</v>
      </c>
      <c r="Z204" s="69" t="e">
        <f t="shared" ref="Z204:Z205" si="125">RIGHT(H204,LEN(H204)-4)/10000</f>
        <v>#VALUE!</v>
      </c>
      <c r="AA204" s="69" t="e">
        <f t="shared" ref="AA204:AA205" si="126">ABS(Z204-Y204)</f>
        <v>#VALUE!</v>
      </c>
      <c r="AB204" s="66" t="e">
        <f>VLOOKUP(A204,Enforcements!$C$7:$K$20,8,0)</f>
        <v>#N/A</v>
      </c>
      <c r="AC204" s="62" t="e">
        <f>VLOOKUP(A204,Enforcements!$C$7:$E$20,3,0)</f>
        <v>#N/A</v>
      </c>
      <c r="AD204" s="63" t="str">
        <f t="shared" ref="AD204:AD205" si="127">IF(LEN(A204)=6,"0"&amp;A204,A204)</f>
        <v>0844-23</v>
      </c>
      <c r="AE204" s="99" t="str">
        <f t="shared" si="93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04" s="96" t="str">
        <f t="shared" si="94"/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204" s="1" t="str">
        <f t="shared" ref="AG204:AG205" si="128">IFERROR(IF(VALUE(LEFT(AD204,2))&lt;=2,"EC",IF(OR(VALUE(LEFT(AD204,2))=8,VALUE(LEFT(AD204,2))=18),"NW","Other")),"Other")</f>
        <v>NW</v>
      </c>
      <c r="AH204" s="100" t="str">
        <f t="shared" ref="AH204:AH205" si="12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844-23 --locoid  --swversion DE.1.0.7.0 --startMP 204:978 --initTime 2016-09-23T20:17:31 --startdatetime 1900-01-00T00:00:00 --delay  --endMP  --enddatetime 1900-01-00T00:00:00 --enforcementcount 0 &gt;&gt;C:\Users\stu\Documents\GitHub\eaglep3-reporting\EC\2016-09-23-refined-times.txt</v>
      </c>
      <c r="AI204" s="134" t="e">
        <f t="shared" ref="AI204:AI205" si="13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#VALUE!</v>
      </c>
      <c r="AJ204" s="55"/>
      <c r="AK204" s="55"/>
      <c r="AL204" s="55"/>
    </row>
    <row r="205" spans="1:38" s="23" customFormat="1" x14ac:dyDescent="0.25">
      <c r="A205" s="39" t="s">
        <v>743</v>
      </c>
      <c r="B205" s="7"/>
      <c r="C205" s="24" t="s">
        <v>106</v>
      </c>
      <c r="D205" s="24" t="s">
        <v>714</v>
      </c>
      <c r="E205" s="15">
        <v>42636.845497685186</v>
      </c>
      <c r="F205" s="15"/>
      <c r="G205" s="7"/>
      <c r="H205" s="15"/>
      <c r="I205" s="15"/>
      <c r="J205" s="7">
        <v>0</v>
      </c>
      <c r="K205" s="121" t="str">
        <f t="shared" si="117"/>
        <v>-1/</v>
      </c>
      <c r="L205" s="24" t="e">
        <f>VLOOKUP(A205,'Trips&amp;Operators'!$C$1:$E$10000,3,FALSE)</f>
        <v>#N/A</v>
      </c>
      <c r="M205" s="6">
        <f t="shared" si="118"/>
        <v>0</v>
      </c>
      <c r="N205" s="7"/>
      <c r="O205" s="7"/>
      <c r="P205" s="7">
        <v>1</v>
      </c>
      <c r="Q205" s="25"/>
      <c r="R205" s="25" t="s">
        <v>740</v>
      </c>
      <c r="S205" s="37">
        <f t="shared" si="119"/>
        <v>0</v>
      </c>
      <c r="T205" s="52" t="str">
        <f t="shared" si="120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06" t="str">
        <f t="shared" si="121"/>
        <v>https://search-rtdc-monitor-bjffxe2xuh6vdkpspy63sjmuny.us-east-1.es.amazonaws.com/_plugin/kibana/#/discover/Steve-Slow-Train-Analysis-(2080s-and-2083s)?_g=(refreshInterval:(display:Off,section:0,value:0),time:(from:'2016-09-23 19:17:31-0600',mode:absolute,to:'1900-01-00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%22')),sort:!(Time,asc))</v>
      </c>
      <c r="W205" s="54" t="e">
        <f t="shared" si="122"/>
        <v>#VALUE!</v>
      </c>
      <c r="X205" s="168">
        <f t="shared" si="123"/>
        <v>1</v>
      </c>
      <c r="Y205" s="69">
        <f t="shared" si="124"/>
        <v>9.7799999999999998E-2</v>
      </c>
      <c r="Z205" s="69" t="e">
        <f t="shared" si="125"/>
        <v>#VALUE!</v>
      </c>
      <c r="AA205" s="69" t="e">
        <f t="shared" si="126"/>
        <v>#VALUE!</v>
      </c>
      <c r="AB205" s="66" t="e">
        <f>VLOOKUP(A205,Enforcements!$C$7:$K$20,8,0)</f>
        <v>#N/A</v>
      </c>
      <c r="AC205" s="62" t="e">
        <f>VLOOKUP(A205,Enforcements!$C$7:$E$20,3,0)</f>
        <v>#N/A</v>
      </c>
      <c r="AD205" s="63" t="str">
        <f t="shared" si="127"/>
        <v>0845-23</v>
      </c>
      <c r="AE205" s="99" t="str">
        <f t="shared" ref="AE205:AE223" si="131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05" s="96" t="str">
        <f t="shared" ref="AF205:AF223" si="132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/stypes="app**19000100*" /stext=" 06:.+((SYSTEM_STATE.+slice.+state.+changed )|(ment ac)|(system.+state.+changed )|(\|lc)|(penalty)|(\[timeout)|(PRM\|1\|D)|(kpr)|(kdp))" /e /r /s</v>
      </c>
      <c r="AG205" s="1" t="str">
        <f t="shared" si="128"/>
        <v>NW</v>
      </c>
      <c r="AH205" s="100" t="str">
        <f t="shared" si="129"/>
        <v>"%USERPROFILE%\Documents\GitHub\eaglep3\Utilities\RefineRTDCRunTimes.py" --tripid 845-23 --locoid  --swversion DE.1.0.7.0 --startMP 204:978 --initTime 2016-09-23T20:17:31 --startdatetime 1900-01-00T00:00:00 --delay  --endMP  --enddatetime 1900-01-00T00:00:00 --enforcementcount 0 &gt;&gt;C:\Users\stu\Documents\GitHub\eaglep3-reporting\EC\2016-09-23-refined-times.txt</v>
      </c>
      <c r="AI205" s="134" t="e">
        <f t="shared" si="130"/>
        <v>#VALUE!</v>
      </c>
      <c r="AJ205" s="55"/>
      <c r="AK205" s="55"/>
      <c r="AL205" s="55"/>
    </row>
    <row r="206" spans="1:38" s="23" customFormat="1" x14ac:dyDescent="0.25">
      <c r="A206" s="39" t="s">
        <v>589</v>
      </c>
      <c r="B206" s="7">
        <v>4020</v>
      </c>
      <c r="C206" s="24" t="s">
        <v>106</v>
      </c>
      <c r="D206" s="24" t="s">
        <v>727</v>
      </c>
      <c r="E206" s="15">
        <v>42636.920601851853</v>
      </c>
      <c r="F206" s="15">
        <v>42636.931817129633</v>
      </c>
      <c r="G206" s="7">
        <v>1</v>
      </c>
      <c r="H206" s="15" t="s">
        <v>717</v>
      </c>
      <c r="I206" s="15">
        <v>42636.941099537034</v>
      </c>
      <c r="J206" s="7">
        <v>0</v>
      </c>
      <c r="K206" s="121" t="str">
        <f t="shared" ref="K206:K223" si="133">IF(ISEVEN(B206),(B206-1)&amp;"/"&amp;B206,B206&amp;"/"&amp;(B206+1))</f>
        <v>4019/4020</v>
      </c>
      <c r="L206" s="24" t="str">
        <f>VLOOKUP(A206,'Trips&amp;Operators'!$C$1:$E$10000,3,FALSE)</f>
        <v>NEWELL</v>
      </c>
      <c r="M206" s="6">
        <f t="shared" ref="M206:M223" si="134">I206-F206</f>
        <v>9.2824074017698877E-3</v>
      </c>
      <c r="N206" s="7">
        <f t="shared" ref="N206:N223" si="135">24*60*SUM($M206:$M206)</f>
        <v>13.366666658548638</v>
      </c>
      <c r="O206" s="7"/>
      <c r="P206" s="7"/>
      <c r="Q206" s="25"/>
      <c r="R206" s="25"/>
      <c r="S206" s="37">
        <f t="shared" ref="S206:S223" si="136">SUM(U206:U206)/IF(AG206="EC",12,1)</f>
        <v>1</v>
      </c>
      <c r="T206" s="52" t="str">
        <f t="shared" ref="T206:T223" si="137">IF(ISEVEN(LEFT(AD206,4)),"Southbound","NorthBound")</f>
        <v>NorthBound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ref="V206:V223" si="138"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https://search-rtdc-monitor-bjffxe2xuh6vdkpspy63sjmuny.us-east-1.es.amazonaws.com/_plugin/kibana/#/discover/Steve-Slow-Train-Analysis-(2080s-and-2083s)?_g=(refreshInterval:(display:Off,section:0,value:0),time:(from:'2016-09-23 21:05:40-0600',mode:absolute,to:'2016-09-23 23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6" s="54" t="str">
        <f t="shared" ref="W206:W223" si="139">IF(AA206&lt;IF(AG206="EC",23,5.65),"Y","N")</f>
        <v>N</v>
      </c>
      <c r="X206" s="168">
        <f t="shared" si="123"/>
        <v>2</v>
      </c>
      <c r="Y206" s="69">
        <f t="shared" ref="Y206:Y223" si="140">RIGHT(D206,LEN(D206)-4)/10000</f>
        <v>9.69E-2</v>
      </c>
      <c r="Z206" s="69">
        <f t="shared" ref="Z206:Z223" si="141">RIGHT(H206,LEN(H206)-4)/10000</f>
        <v>5.8916000000000004</v>
      </c>
      <c r="AA206" s="69">
        <f t="shared" ref="AA206:AA223" si="142">ABS(Z206-Y206)</f>
        <v>5.7947000000000006</v>
      </c>
      <c r="AB206" s="66" t="e">
        <f>VLOOKUP(A206,Enforcements!$C$7:$K$20,8,0)</f>
        <v>#N/A</v>
      </c>
      <c r="AC206" s="62" t="e">
        <f>VLOOKUP(A206,Enforcements!$C$7:$E$20,3,0)</f>
        <v>#N/A</v>
      </c>
      <c r="AD206" s="63" t="str">
        <f t="shared" ref="AD206:AD223" si="143">IF(LEN(A206)=6,"0"&amp;A206,A206)</f>
        <v>0847-23</v>
      </c>
      <c r="AE206" s="99" t="str">
        <f t="shared" si="131"/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AF206" s="96" t="str">
        <f t="shared" si="132"/>
        <v>"C:\Program Files (x86)\AstroGrep\AstroGrep.exe" /spath="%USERPROFILE%\AppData\Local\Temp\OnboardLogs" /stypes="app*4020*20160924*" /stext=" 04:.+((SYSTEM_STATE.+slice.+state.+changed )|(ment ac)|(system.+state.+changed )|(\|lc)|(penalty)|(\[timeout)|(PRM\|1\|D)|(kpr)|(kdp))" /e /r /s</v>
      </c>
      <c r="AG206" s="1" t="str">
        <f t="shared" ref="AG206:AG223" si="144">IFERROR(IF(VALUE(LEFT(AD206,2))&lt;=2,"EC",IF(OR(VALUE(LEFT(AD206,2))=8,VALUE(LEFT(AD206,2))=18),"NW","Other")),"Other")</f>
        <v>NW</v>
      </c>
      <c r="AH206" s="100" t="str">
        <f t="shared" si="95"/>
        <v>"%USERPROFILE%\Documents\GitHub\eaglep3\Utilities\RefineRTDCRunTimes.py" --tripid 847-23 --locoid 4020 --swversion DE.1.0.7.0 --startMP 204:969 --initTime 2016-09-23T22:05:40 --startdatetime 2016-09-23T22:21:49 --delay 1 --endMP 300:58916 --enddatetime 2016-09-23T22:35:11 --enforcementcount 0 &gt;&gt;C:\Users\stu\Documents\GitHub\eaglep3-reporting\EC\2016-09-23-refined-times.txt</v>
      </c>
      <c r="AI206" s="134" t="str">
        <f t="shared" si="96"/>
        <v>echo {"issue":{"subject":"","project_id":79,"tracker_id":40,"status_id":1,"priority_id":2,"assigned_to_id":23,"start_date":"2016-09-23","description":"","custom_fields":[{"id":1,"name":"Subdivision","value":"NW"},{"id":4,"name":"Milepost","value":"5.8916"},{"id":17,"name":"Train ID","value":"847-23"},{"id":16,"name":"Locomotive ID","value":"4020"},{"id":130,"name":"Impact","value":""},{"id":150,"name":"Time of Event (Mountain Time)","value":"22:35:11"},{"id":151,"name":"Denver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s="23" customFormat="1" x14ac:dyDescent="0.25">
      <c r="A207" s="39" t="s">
        <v>565</v>
      </c>
      <c r="B207" s="7">
        <v>4003</v>
      </c>
      <c r="C207" s="24" t="s">
        <v>106</v>
      </c>
      <c r="D207" s="24" t="s">
        <v>223</v>
      </c>
      <c r="E207" s="15">
        <v>42636.784803240742</v>
      </c>
      <c r="F207" s="15">
        <v>25568.708333333332</v>
      </c>
      <c r="G207" s="7">
        <v>1</v>
      </c>
      <c r="H207" s="15" t="s">
        <v>670</v>
      </c>
      <c r="I207" s="15">
        <v>25568.708333333332</v>
      </c>
      <c r="J207" s="7">
        <v>0</v>
      </c>
      <c r="K207" s="121" t="str">
        <f t="shared" si="133"/>
        <v>4003/4004</v>
      </c>
      <c r="L207" s="24" t="str">
        <f>VLOOKUP(A207,'Trips&amp;Operators'!$C$1:$E$10000,3,FALSE)</f>
        <v>MOSES</v>
      </c>
      <c r="M207" s="6">
        <f t="shared" si="134"/>
        <v>0</v>
      </c>
      <c r="N207" s="7">
        <f t="shared" si="135"/>
        <v>0</v>
      </c>
      <c r="O207" s="7"/>
      <c r="P207" s="7"/>
      <c r="Q207" s="25"/>
      <c r="R207" s="25"/>
      <c r="S207" s="37">
        <f t="shared" si="136"/>
        <v>1</v>
      </c>
      <c r="T207" s="52" t="str">
        <f t="shared" si="137"/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17:50:07-0600',mode:absolute,to:'1969-12-31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W207" s="54" t="str">
        <f t="shared" si="139"/>
        <v>Y</v>
      </c>
      <c r="X207" s="168">
        <f t="shared" si="123"/>
        <v>-544</v>
      </c>
      <c r="Y207" s="69">
        <f t="shared" si="140"/>
        <v>4.5699999999999998E-2</v>
      </c>
      <c r="Z207" s="69">
        <f t="shared" si="141"/>
        <v>2.3304</v>
      </c>
      <c r="AA207" s="69">
        <f t="shared" si="142"/>
        <v>2.2847</v>
      </c>
      <c r="AB207" s="66" t="e">
        <f>VLOOKUP(A207,Enforcements!$C$7:$K$20,8,0)</f>
        <v>#N/A</v>
      </c>
      <c r="AC207" s="62" t="e">
        <f>VLOOKUP(A207,Enforcements!$C$7:$E$20,3,0)</f>
        <v>#N/A</v>
      </c>
      <c r="AD207" s="63" t="str">
        <f t="shared" si="143"/>
        <v>0303-23</v>
      </c>
      <c r="AE207" s="99" t="str">
        <f t="shared" si="131"/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07" s="96" t="str">
        <f t="shared" si="132"/>
        <v>"C:\Program Files (x86)\AstroGrep\AstroGrep.exe" /spath="%USERPROFILE%\AppData\Local\Temp\OnboardLogs" /stypes="app*4003*19691231*" /stext=" 23:.+((SYSTEM_STATE.+slice.+state.+changed )|(ment ac)|(system.+state.+changed )|(\|lc)|(penalty)|(\[timeout)|(PRM\|1\|D)|(kpr)|(kdp))" /e /r /s</v>
      </c>
      <c r="AG207" s="1" t="str">
        <f t="shared" si="144"/>
        <v>Other</v>
      </c>
      <c r="AH207" s="100" t="str">
        <f t="shared" si="95"/>
        <v>"%USERPROFILE%\Documents\GitHub\eaglep3\Utilities\RefineRTDCRunTimes.py" --tripid 303-23 --locoid 4003 --swversion DE.1.0.7.0 --startMP 204:457 --initTime 2016-09-23T18:50:07 --startdatetime 1969-12-31T17:00:00 --delay 1 --endMP 300:23304 --enddatetime 1969-12-31T17:00:00 --enforcementcount 0 &gt;&gt;C:\Users\stu\Documents\GitHub\eaglep3-reporting\EC\2016-09-23-refined-times.txt</v>
      </c>
      <c r="AI207" s="134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s="23" customFormat="1" x14ac:dyDescent="0.25">
      <c r="A208" s="39" t="s">
        <v>572</v>
      </c>
      <c r="B208" s="7">
        <v>4044</v>
      </c>
      <c r="C208" s="24" t="s">
        <v>106</v>
      </c>
      <c r="D208" s="24" t="s">
        <v>225</v>
      </c>
      <c r="E208" s="15">
        <v>42636.806064814817</v>
      </c>
      <c r="F208" s="15">
        <v>25568.708333333332</v>
      </c>
      <c r="G208" s="7">
        <v>1</v>
      </c>
      <c r="H208" s="15" t="s">
        <v>361</v>
      </c>
      <c r="I208" s="15">
        <v>25568.708333333332</v>
      </c>
      <c r="J208" s="7">
        <v>0</v>
      </c>
      <c r="K208" s="121" t="str">
        <f t="shared" si="133"/>
        <v>4043/4044</v>
      </c>
      <c r="L208" s="24" t="str">
        <f>VLOOKUP(A208,'Trips&amp;Operators'!$C$1:$E$10000,3,FALSE)</f>
        <v>SHOOK</v>
      </c>
      <c r="M208" s="6">
        <f t="shared" si="134"/>
        <v>0</v>
      </c>
      <c r="N208" s="7">
        <f t="shared" si="135"/>
        <v>0</v>
      </c>
      <c r="O208" s="7"/>
      <c r="P208" s="7"/>
      <c r="Q208" s="25"/>
      <c r="R208" s="25"/>
      <c r="S208" s="37">
        <f t="shared" si="136"/>
        <v>1</v>
      </c>
      <c r="T208" s="52" t="str">
        <f t="shared" si="137"/>
        <v>NorthBound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18:20:44-0600',mode:absolute,to:'1969-12-31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08" s="54" t="str">
        <f t="shared" si="139"/>
        <v>Y</v>
      </c>
      <c r="X208" s="168">
        <f t="shared" ref="X208:X223" si="145">VALUE(LEFT(AD208,4))-VALUE(LEFT(AD207,4))</f>
        <v>2</v>
      </c>
      <c r="Y208" s="69">
        <f t="shared" si="140"/>
        <v>4.6600000000000003E-2</v>
      </c>
      <c r="Z208" s="69">
        <f t="shared" si="141"/>
        <v>2.3302</v>
      </c>
      <c r="AA208" s="69">
        <f t="shared" si="142"/>
        <v>2.2835999999999999</v>
      </c>
      <c r="AB208" s="66" t="e">
        <f>VLOOKUP(A208,Enforcements!$C$7:$K$20,8,0)</f>
        <v>#N/A</v>
      </c>
      <c r="AC208" s="62" t="e">
        <f>VLOOKUP(A208,Enforcements!$C$7:$E$20,3,0)</f>
        <v>#N/A</v>
      </c>
      <c r="AD208" s="63" t="str">
        <f t="shared" si="143"/>
        <v>0305-23</v>
      </c>
      <c r="AE208" s="99" t="str">
        <f t="shared" si="131"/>
        <v>aws s3 cp s3://rtdc.mdm.uploadarchive/RTDC4044/1969-12-31/ "%USERPROFILE%\AppData\Local\Temp\OnboardLogs"\RTDC4044\1969-12-31 --recursive &amp; "%USERPROFILE%\Documents\GitHub\mrs-test-scripts\Headless Mode &amp; Sideloading\WalkAndUnGZ.bat" "%USERPROFILE%\AppData\Local\Temp\OnboardLogs"\RTDC4044\1969-12-31 &amp; aws s3 cp s3://rtdc.mdm.uploadarchive/RTDC4044/1970-01-01/ "%USERPROFILE%\AppData\Local\Temp\OnboardLogs"\RTDC4044\1970-01-01 --recursive &amp; "%USERPROFILE%\Documents\GitHub\mrs-test-scripts\Headless Mode &amp; Sideloading\WalkAndUnGZ.bat" "%USERPROFILE%\AppData\Local\Temp\OnboardLogs"\RTDC4044\1970-01-01</v>
      </c>
      <c r="AF208" s="96" t="str">
        <f t="shared" si="132"/>
        <v>"C:\Program Files (x86)\AstroGrep\AstroGrep.exe" /spath="%USERPROFILE%\AppData\Local\Temp\OnboardLogs" /stypes="app*4044*19691231*" /stext=" 23:.+((SYSTEM_STATE.+slice.+state.+changed )|(ment ac)|(system.+state.+changed )|(\|lc)|(penalty)|(\[timeout)|(PRM\|1\|D)|(kpr)|(kdp))" /e /r /s</v>
      </c>
      <c r="AG208" s="1" t="str">
        <f t="shared" si="144"/>
        <v>Other</v>
      </c>
      <c r="AH208" s="100" t="str">
        <f t="shared" si="95"/>
        <v>"%USERPROFILE%\Documents\GitHub\eaglep3\Utilities\RefineRTDCRunTimes.py" --tripid 305-23 --locoid 4044 --swversion DE.1.0.7.0 --startMP 204:466 --initTime 2016-09-23T19:20:44 --startdatetime 1969-12-31T17:00:00 --delay 1 --endMP 300:23302 --enddatetime 1969-12-31T17:00:00 --enforcementcount 0 &gt;&gt;C:\Users\stu\Documents\GitHub\eaglep3-reporting\EC\2016-09-23-refined-times.txt</v>
      </c>
      <c r="AI208" s="134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ID","value":"305-23"},{"id":16,"name":"Locomotive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603</v>
      </c>
      <c r="B209" s="7">
        <v>4027</v>
      </c>
      <c r="C209" s="24" t="s">
        <v>106</v>
      </c>
      <c r="D209" s="24" t="s">
        <v>348</v>
      </c>
      <c r="E209" s="15">
        <v>42637.047812500001</v>
      </c>
      <c r="F209" s="15">
        <v>25568.708333333332</v>
      </c>
      <c r="G209" s="7">
        <v>1</v>
      </c>
      <c r="H209" s="15" t="s">
        <v>671</v>
      </c>
      <c r="I209" s="15">
        <v>25568.708333333332</v>
      </c>
      <c r="J209" s="7">
        <v>0</v>
      </c>
      <c r="K209" s="121" t="str">
        <f t="shared" si="133"/>
        <v>4027/4028</v>
      </c>
      <c r="L209" s="24" t="str">
        <f>VLOOKUP(A209,'Trips&amp;Operators'!$C$1:$E$10000,3,FALSE)</f>
        <v>YANAI</v>
      </c>
      <c r="M209" s="6">
        <f t="shared" si="134"/>
        <v>0</v>
      </c>
      <c r="N209" s="7">
        <f t="shared" si="135"/>
        <v>0</v>
      </c>
      <c r="O209" s="7"/>
      <c r="P209" s="7"/>
      <c r="Q209" s="25"/>
      <c r="R209" s="25"/>
      <c r="S209" s="37">
        <f t="shared" si="136"/>
        <v>1</v>
      </c>
      <c r="T209" s="52" t="str">
        <f t="shared" si="137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https://search-rtdc-monitor-bjffxe2xuh6vdkpspy63sjmuny.us-east-1.es.amazonaws.com/_plugin/kibana/#/discover/Steve-Slow-Train-Analysis-(2080s-and-2083s)?_g=(refreshInterval:(display:Off,section:0,value:0),time:(from:'2016-09-24 00:08:51-0600',mode:absolute,to:'1969-12-31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09" s="54" t="str">
        <f t="shared" si="139"/>
        <v>Y</v>
      </c>
      <c r="X209" s="168">
        <f t="shared" si="145"/>
        <v>4</v>
      </c>
      <c r="Y209" s="69">
        <f t="shared" si="140"/>
        <v>4.7500000000000001E-2</v>
      </c>
      <c r="Z209" s="69">
        <f t="shared" si="141"/>
        <v>2.3121</v>
      </c>
      <c r="AA209" s="69">
        <f t="shared" si="142"/>
        <v>2.2646000000000002</v>
      </c>
      <c r="AB209" s="66" t="e">
        <f>VLOOKUP(A209,Enforcements!$C$7:$K$20,8,0)</f>
        <v>#N/A</v>
      </c>
      <c r="AC209" s="62" t="e">
        <f>VLOOKUP(A209,Enforcements!$C$7:$E$20,3,0)</f>
        <v>#N/A</v>
      </c>
      <c r="AD209" s="63" t="str">
        <f t="shared" si="143"/>
        <v>0309-23</v>
      </c>
      <c r="AE209" s="99" t="str">
        <f t="shared" si="131"/>
        <v>aws s3 cp s3://rtdc.mdm.uploadarchive/RTDC4027/1969-12-31/ "%USERPROFILE%\AppData\Local\Temp\OnboardLogs"\RTDC4027\1969-12-31 --recursive &amp; "%USERPROFILE%\Documents\GitHub\mrs-test-scripts\Headless Mode &amp; Sideloading\WalkAndUnGZ.bat" "%USERPROFILE%\AppData\Local\Temp\OnboardLogs"\RTDC4027\1969-12-31 &amp; aws s3 cp s3://rtdc.mdm.uploadarchive/RTDC4027/1970-01-01/ "%USERPROFILE%\AppData\Local\Temp\OnboardLogs"\RTDC4027\1970-01-01 --recursive &amp; "%USERPROFILE%\Documents\GitHub\mrs-test-scripts\Headless Mode &amp; Sideloading\WalkAndUnGZ.bat" "%USERPROFILE%\AppData\Local\Temp\OnboardLogs"\RTDC4027\1970-01-01</v>
      </c>
      <c r="AF209" s="96" t="str">
        <f t="shared" si="132"/>
        <v>"C:\Program Files (x86)\AstroGrep\AstroGrep.exe" /spath="%USERPROFILE%\AppData\Local\Temp\OnboardLogs" /stypes="app*4027*19691231*" /stext=" 23:.+((SYSTEM_STATE.+slice.+state.+changed )|(ment ac)|(system.+state.+changed )|(\|lc)|(penalty)|(\[timeout)|(PRM\|1\|D)|(kpr)|(kdp))" /e /r /s</v>
      </c>
      <c r="AG209" s="1" t="str">
        <f t="shared" si="144"/>
        <v>Other</v>
      </c>
      <c r="AH209" s="100" t="str">
        <f t="shared" si="95"/>
        <v>"%USERPROFILE%\Documents\GitHub\eaglep3\Utilities\RefineRTDCRunTimes.py" --tripid 309-23 --locoid 4027 --swversion DE.1.0.7.0 --startMP 204:475 --initTime 2016-09-24T01:08:51 --startdatetime 1969-12-31T17:00:00 --delay 1 --endMP 300:23121 --enddatetime 1969-12-31T17:00:00 --enforcementcount 0 &gt;&gt;C:\Users\stu\Documents\GitHub\eaglep3-reporting\EC\2016-09-23-refined-times.txt</v>
      </c>
      <c r="AI209" s="134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{"issue":{"subject":"","project_id":79,"tracker_id":40,"status_id":1,"priority_id":2,"assigned_to_id":23,"start_date":"1969-12-31","description":"","custom_fields":[{"id":1,"name":"Subdivision","value":"Other"},{"id":4,"name":"Milepost","value":"2.3121"},{"id":17,"name":"Train ID","value":"309-23"},{"id":16,"name":"Locomotive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605</v>
      </c>
      <c r="B210" s="7">
        <v>4040</v>
      </c>
      <c r="C210" s="24" t="s">
        <v>106</v>
      </c>
      <c r="D210" s="24" t="s">
        <v>238</v>
      </c>
      <c r="E210" s="15">
        <v>42637.072106481479</v>
      </c>
      <c r="F210" s="15">
        <v>42637.073553240742</v>
      </c>
      <c r="G210" s="7">
        <v>0</v>
      </c>
      <c r="H210" s="15" t="s">
        <v>672</v>
      </c>
      <c r="I210" s="15">
        <v>42637.079837962963</v>
      </c>
      <c r="J210" s="7">
        <v>0</v>
      </c>
      <c r="K210" s="121" t="str">
        <f t="shared" si="133"/>
        <v>4039/4040</v>
      </c>
      <c r="L210" s="24" t="str">
        <f>VLOOKUP(A210,'Trips&amp;Operators'!$C$1:$E$10000,3,FALSE)</f>
        <v>CHANDLER</v>
      </c>
      <c r="M210" s="6">
        <f t="shared" si="134"/>
        <v>6.284722221607808E-3</v>
      </c>
      <c r="N210" s="7">
        <f t="shared" si="135"/>
        <v>9.0499999991152436</v>
      </c>
      <c r="O210" s="7"/>
      <c r="P210" s="7"/>
      <c r="Q210" s="25"/>
      <c r="R210" s="25"/>
      <c r="S210" s="37">
        <f t="shared" si="136"/>
        <v>1</v>
      </c>
      <c r="T210" s="52" t="str">
        <f t="shared" si="137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https://search-rtdc-monitor-bjffxe2xuh6vdkpspy63sjmuny.us-east-1.es.amazonaws.com/_plugin/kibana/#/discover/Steve-Slow-Train-Analysis-(2080s-and-2083s)?_g=(refreshInterval:(display:Off,section:0,value:0),time:(from:'2016-09-24 00:43:50-0600',mode:absolute,to:'2016-09-24 02:54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0" s="54" t="str">
        <f t="shared" si="139"/>
        <v>Y</v>
      </c>
      <c r="X210" s="168">
        <f t="shared" si="145"/>
        <v>2</v>
      </c>
      <c r="Y210" s="69">
        <f t="shared" si="140"/>
        <v>4.6199999999999998E-2</v>
      </c>
      <c r="Z210" s="69">
        <f t="shared" si="141"/>
        <v>2.2852000000000001</v>
      </c>
      <c r="AA210" s="69">
        <f t="shared" si="142"/>
        <v>2.2390000000000003</v>
      </c>
      <c r="AB210" s="66" t="e">
        <f>VLOOKUP(A210,Enforcements!$C$7:$K$20,8,0)</f>
        <v>#N/A</v>
      </c>
      <c r="AC210" s="62" t="e">
        <f>VLOOKUP(A210,Enforcements!$C$7:$E$20,3,0)</f>
        <v>#N/A</v>
      </c>
      <c r="AD210" s="63" t="str">
        <f t="shared" si="143"/>
        <v>0311-23</v>
      </c>
      <c r="AE210" s="99" t="str">
        <f t="shared" si="131"/>
        <v>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 &amp; aws s3 cp s3://rtdc.mdm.uploadarchive/RTDC4040/2016-09-25/ "%USERPROFILE%\AppData\Local\Temp\OnboardLogs"\RTDC4040\2016-09-25 --recursive &amp; "%USERPROFILE%\Documents\GitHub\mrs-test-scripts\Headless Mode &amp; Sideloading\WalkAndUnGZ.bat" "%USERPROFILE%\AppData\Local\Temp\OnboardLogs"\RTDC4040\2016-09-25</v>
      </c>
      <c r="AF210" s="96" t="str">
        <f t="shared" si="132"/>
        <v>"C:\Program Files (x86)\AstroGrep\AstroGrep.exe" /spath="%USERPROFILE%\AppData\Local\Temp\OnboardLogs" /stypes="app*4040*20160924*" /stext=" 07:.+((SYSTEM_STATE.+slice.+state.+changed )|(ment ac)|(system.+state.+changed )|(\|lc)|(penalty)|(\[timeout)|(PRM\|1\|D)|(kpr)|(kdp))" /e /r /s</v>
      </c>
      <c r="AG210" s="1" t="str">
        <f t="shared" si="144"/>
        <v>Other</v>
      </c>
      <c r="AH210" s="100" t="str">
        <f t="shared" si="95"/>
        <v>"%USERPROFILE%\Documents\GitHub\eaglep3\Utilities\RefineRTDCRunTimes.py" --tripid 311-23 --locoid 4040 --swversion DE.1.0.7.0 --startMP 204:462 --initTime 2016-09-24T01:43:50 --startdatetime 2016-09-24T01:45:55 --delay 0 --endMP 300:22852 --enddatetime 2016-09-24T01:54:58 --enforcementcount 0 &gt;&gt;C:\Users\stu\Documents\GitHub\eaglep3-reporting\EC\2016-09-23-refined-times.txt</v>
      </c>
      <c r="AI210" s="134" t="str">
        <f t="shared" si="96"/>
        <v>echo {"issue":{"subject":"","project_id":79,"tracker_id":40,"status_id":1,"priority_id":2,"assigned_to_id":23,"start_date":"2016-09-24","description":"","custom_fields":[{"id":1,"name":"Subdivision","value":"Other"},{"id":4,"name":"Milepost","value":"2.2852"},{"id":17,"name":"Train ID","value":"311-23"},{"id":16,"name":"Locomotive ID","value":"4040"},{"id":130,"name":"Impact","value":""},{"id":150,"name":"Time of Event (Mountain Time)","value":"01:54:58"},{"id":151,"name":"Denver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607</v>
      </c>
      <c r="B211" s="7">
        <v>4016</v>
      </c>
      <c r="C211" s="24" t="s">
        <v>106</v>
      </c>
      <c r="D211" s="24" t="s">
        <v>238</v>
      </c>
      <c r="E211" s="15">
        <v>42637.091863425929</v>
      </c>
      <c r="F211" s="15">
        <v>42637.093402777777</v>
      </c>
      <c r="G211" s="7">
        <v>1</v>
      </c>
      <c r="H211" s="15" t="s">
        <v>670</v>
      </c>
      <c r="I211" s="15">
        <v>42637.098495370374</v>
      </c>
      <c r="J211" s="7">
        <v>0</v>
      </c>
      <c r="K211" s="121" t="str">
        <f t="shared" si="133"/>
        <v>4015/4016</v>
      </c>
      <c r="L211" s="24" t="str">
        <f>VLOOKUP(A211,'Trips&amp;Operators'!$C$1:$E$10000,3,FALSE)</f>
        <v>STURGEON</v>
      </c>
      <c r="M211" s="6">
        <f t="shared" si="134"/>
        <v>5.0925925970659591E-3</v>
      </c>
      <c r="N211" s="7">
        <f t="shared" si="135"/>
        <v>7.3333333397749811</v>
      </c>
      <c r="O211" s="7"/>
      <c r="P211" s="7"/>
      <c r="Q211" s="25"/>
      <c r="R211" s="25"/>
      <c r="S211" s="37">
        <f t="shared" si="136"/>
        <v>1</v>
      </c>
      <c r="T211" s="52" t="str">
        <f t="shared" si="137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https://search-rtdc-monitor-bjffxe2xuh6vdkpspy63sjmuny.us-east-1.es.amazonaws.com/_plugin/kibana/#/discover/Steve-Slow-Train-Analysis-(2080s-and-2083s)?_g=(refreshInterval:(display:Off,section:0,value:0),time:(from:'2016-09-24 01:12:17-0600',mode:absolute,to:'2016-09-24 03:21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1" s="54" t="str">
        <f t="shared" si="139"/>
        <v>Y</v>
      </c>
      <c r="X211" s="168">
        <f t="shared" si="145"/>
        <v>2</v>
      </c>
      <c r="Y211" s="69">
        <f t="shared" si="140"/>
        <v>4.6199999999999998E-2</v>
      </c>
      <c r="Z211" s="69">
        <f t="shared" si="141"/>
        <v>2.3304</v>
      </c>
      <c r="AA211" s="69">
        <f t="shared" si="142"/>
        <v>2.2842000000000002</v>
      </c>
      <c r="AB211" s="66" t="e">
        <f>VLOOKUP(A211,Enforcements!$C$7:$K$20,8,0)</f>
        <v>#N/A</v>
      </c>
      <c r="AC211" s="62" t="e">
        <f>VLOOKUP(A211,Enforcements!$C$7:$E$20,3,0)</f>
        <v>#N/A</v>
      </c>
      <c r="AD211" s="63" t="str">
        <f t="shared" si="143"/>
        <v>0313-23</v>
      </c>
      <c r="AE211" s="99" t="str">
        <f t="shared" si="131"/>
        <v>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 &amp; aws s3 cp s3://rtdc.mdm.uploadarchive/RTDC4016/2016-09-25/ "%USERPROFILE%\AppData\Local\Temp\OnboardLogs"\RTDC4016\2016-09-25 --recursive &amp; "%USERPROFILE%\Documents\GitHub\mrs-test-scripts\Headless Mode &amp; Sideloading\WalkAndUnGZ.bat" "%USERPROFILE%\AppData\Local\Temp\OnboardLogs"\RTDC4016\2016-09-25</v>
      </c>
      <c r="AF211" s="96" t="str">
        <f t="shared" si="132"/>
        <v>"C:\Program Files (x86)\AstroGrep\AstroGrep.exe" /spath="%USERPROFILE%\AppData\Local\Temp\OnboardLogs" /stypes="app*4016*20160924*" /stext=" 08:.+((SYSTEM_STATE.+slice.+state.+changed )|(ment ac)|(system.+state.+changed )|(\|lc)|(penalty)|(\[timeout)|(PRM\|1\|D)|(kpr)|(kdp))" /e /r /s</v>
      </c>
      <c r="AG211" s="1" t="str">
        <f t="shared" si="144"/>
        <v>Other</v>
      </c>
      <c r="AH211" s="100" t="str">
        <f t="shared" si="95"/>
        <v>"%USERPROFILE%\Documents\GitHub\eaglep3\Utilities\RefineRTDCRunTimes.py" --tripid 313-23 --locoid 4016 --swversion DE.1.0.7.0 --startMP 204:462 --initTime 2016-09-24T02:12:17 --startdatetime 2016-09-24T02:14:30 --delay 1 --endMP 300:23304 --enddatetime 2016-09-24T02:21:50 --enforcementcount 0 &gt;&gt;C:\Users\stu\Documents\GitHub\eaglep3-reporting\EC\2016-09-23-refined-times.txt</v>
      </c>
      <c r="AI211" s="134" t="str">
        <f t="shared" si="96"/>
        <v>echo {"issue":{"subject":"","project_id":79,"tracker_id":40,"status_id":1,"priority_id":2,"assigned_to_id":23,"start_date":"2016-09-24","description":"","custom_fields":[{"id":1,"name":"Subdivision","value":"Other"},{"id":4,"name":"Milepost","value":"2.3304"},{"id":17,"name":"Train ID","value":"313-23"},{"id":16,"name":"Locomotive ID","value":"4016"},{"id":130,"name":"Impact","value":""},{"id":150,"name":"Time of Event (Mountain Time)","value":"02:21:50"},{"id":151,"name":"Denver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608</v>
      </c>
      <c r="B212" s="7">
        <v>4011</v>
      </c>
      <c r="C212" s="24" t="s">
        <v>106</v>
      </c>
      <c r="D212" s="24" t="s">
        <v>219</v>
      </c>
      <c r="E212" s="15">
        <v>42637.111284722225</v>
      </c>
      <c r="F212" s="15">
        <v>25568.708333333332</v>
      </c>
      <c r="G212" s="7">
        <v>1</v>
      </c>
      <c r="H212" s="15" t="s">
        <v>673</v>
      </c>
      <c r="I212" s="15">
        <v>25568.708333333332</v>
      </c>
      <c r="J212" s="7">
        <v>0</v>
      </c>
      <c r="K212" s="121" t="str">
        <f t="shared" si="133"/>
        <v>4011/4012</v>
      </c>
      <c r="L212" s="24" t="str">
        <f>VLOOKUP(A212,'Trips&amp;Operators'!$C$1:$E$10000,3,FALSE)</f>
        <v>ARVIDSON</v>
      </c>
      <c r="M212" s="6">
        <f t="shared" si="134"/>
        <v>0</v>
      </c>
      <c r="N212" s="7">
        <f t="shared" si="135"/>
        <v>0</v>
      </c>
      <c r="O212" s="7"/>
      <c r="P212" s="7"/>
      <c r="Q212" s="25"/>
      <c r="R212" s="25"/>
      <c r="S212" s="37">
        <f t="shared" si="136"/>
        <v>1</v>
      </c>
      <c r="T212" s="52" t="str">
        <f t="shared" si="137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https://search-rtdc-monitor-bjffxe2xuh6vdkpspy63sjmuny.us-east-1.es.amazonaws.com/_plugin/kibana/#/discover/Steve-Slow-Train-Analysis-(2080s-and-2083s)?_g=(refreshInterval:(display:Off,section:0,value:0),time:(from:'2016-09-24 01:40:15-0600',mode:absolute,to:'1969-12-31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2" s="54" t="str">
        <f t="shared" si="139"/>
        <v>Y</v>
      </c>
      <c r="X212" s="168">
        <f t="shared" si="145"/>
        <v>2</v>
      </c>
      <c r="Y212" s="69">
        <f t="shared" si="140"/>
        <v>4.53E-2</v>
      </c>
      <c r="Z212" s="69">
        <f t="shared" si="141"/>
        <v>2.331</v>
      </c>
      <c r="AA212" s="69">
        <f t="shared" si="142"/>
        <v>2.2856999999999998</v>
      </c>
      <c r="AB212" s="66" t="e">
        <f>VLOOKUP(A212,Enforcements!$C$7:$K$20,8,0)</f>
        <v>#N/A</v>
      </c>
      <c r="AC212" s="62" t="e">
        <f>VLOOKUP(A212,Enforcements!$C$7:$E$20,3,0)</f>
        <v>#N/A</v>
      </c>
      <c r="AD212" s="63" t="str">
        <f t="shared" si="143"/>
        <v>0315-23</v>
      </c>
      <c r="AE212" s="99" t="str">
        <f t="shared" si="131"/>
        <v>aws s3 cp s3://rtdc.mdm.uploadarchive/RTDC4011/1969-12-31/ "%USERPROFILE%\AppData\Local\Temp\OnboardLogs"\RTDC4011\1969-12-31 --recursive &amp; "%USERPROFILE%\Documents\GitHub\mrs-test-scripts\Headless Mode &amp; Sideloading\WalkAndUnGZ.bat" "%USERPROFILE%\AppData\Local\Temp\OnboardLogs"\RTDC4011\1969-12-31 &amp; aws s3 cp s3://rtdc.mdm.uploadarchive/RTDC4011/1970-01-01/ "%USERPROFILE%\AppData\Local\Temp\OnboardLogs"\RTDC4011\1970-01-01 --recursive &amp; "%USERPROFILE%\Documents\GitHub\mrs-test-scripts\Headless Mode &amp; Sideloading\WalkAndUnGZ.bat" "%USERPROFILE%\AppData\Local\Temp\OnboardLogs"\RTDC4011\1970-01-01</v>
      </c>
      <c r="AF212" s="96" t="str">
        <f t="shared" si="132"/>
        <v>"C:\Program Files (x86)\AstroGrep\AstroGrep.exe" /spath="%USERPROFILE%\AppData\Local\Temp\OnboardLogs" /stypes="app*4011*19691231*" /stext=" 23:.+((SYSTEM_STATE.+slice.+state.+changed )|(ment ac)|(system.+state.+changed )|(\|lc)|(penalty)|(\[timeout)|(PRM\|1\|D)|(kpr)|(kdp))" /e /r /s</v>
      </c>
      <c r="AG212" s="1" t="str">
        <f t="shared" si="144"/>
        <v>Other</v>
      </c>
      <c r="AH212" s="100" t="str">
        <f t="shared" si="95"/>
        <v>"%USERPROFILE%\Documents\GitHub\eaglep3\Utilities\RefineRTDCRunTimes.py" --tripid 315-23 --locoid 4011 --swversion DE.1.0.7.0 --startMP 204:453 --initTime 2016-09-24T02:40:15 --startdatetime 1969-12-31T17:00:00 --delay 1 --endMP 300:23310 --enddatetime 1969-12-31T17:00:00 --enforcementcount 0 &gt;&gt;C:\Users\stu\Documents\GitHub\eaglep3-reporting\EC\2016-09-23-refined-times.txt</v>
      </c>
      <c r="AI212" s="134" t="str">
        <f t="shared" si="96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ID","value":"315-23"},{"id":16,"name":"Locomotive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s="23" customFormat="1" x14ac:dyDescent="0.25">
      <c r="A213" s="39" t="s">
        <v>444</v>
      </c>
      <c r="B213" s="7">
        <v>4018</v>
      </c>
      <c r="C213" s="24" t="s">
        <v>106</v>
      </c>
      <c r="D213" s="24" t="s">
        <v>728</v>
      </c>
      <c r="E213" s="15">
        <v>42636.355752314812</v>
      </c>
      <c r="F213" s="15">
        <v>42636.357129629629</v>
      </c>
      <c r="G213" s="7">
        <v>1</v>
      </c>
      <c r="H213" s="15" t="s">
        <v>729</v>
      </c>
      <c r="I213" s="15">
        <v>42636.362638888888</v>
      </c>
      <c r="J213" s="7">
        <v>0</v>
      </c>
      <c r="K213" s="121" t="str">
        <f t="shared" si="133"/>
        <v>4017/4018</v>
      </c>
      <c r="L213" s="24" t="str">
        <f>VLOOKUP(A213,'Trips&amp;Operators'!$C$1:$E$10000,3,FALSE)</f>
        <v>STRICKLAND</v>
      </c>
      <c r="M213" s="6">
        <f t="shared" si="134"/>
        <v>5.5092592592700385E-3</v>
      </c>
      <c r="N213" s="7">
        <f t="shared" si="135"/>
        <v>7.9333333333488554</v>
      </c>
      <c r="O213" s="7"/>
      <c r="P213" s="7"/>
      <c r="Q213" s="25"/>
      <c r="R213" s="25"/>
      <c r="S213" s="37">
        <f t="shared" si="136"/>
        <v>1</v>
      </c>
      <c r="T213" s="52" t="str">
        <f t="shared" si="137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07:32:17-0600',mode:absolute,to:'2016-09-23 09:42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3" s="54" t="str">
        <f t="shared" si="139"/>
        <v>Y</v>
      </c>
      <c r="X213" s="168">
        <f t="shared" si="145"/>
        <v>588</v>
      </c>
      <c r="Y213" s="69">
        <f t="shared" si="140"/>
        <v>9.8799999999999999E-2</v>
      </c>
      <c r="Z213" s="69">
        <f t="shared" si="141"/>
        <v>2.4232999999999998</v>
      </c>
      <c r="AA213" s="69">
        <f t="shared" si="142"/>
        <v>2.3244999999999996</v>
      </c>
      <c r="AB213" s="66" t="e">
        <f>VLOOKUP(A213,Enforcements!$C$7:$K$20,8,0)</f>
        <v>#N/A</v>
      </c>
      <c r="AC213" s="62" t="e">
        <f>VLOOKUP(A213,Enforcements!$C$7:$E$20,3,0)</f>
        <v>#N/A</v>
      </c>
      <c r="AD213" s="63" t="str">
        <f t="shared" si="143"/>
        <v>0903-23</v>
      </c>
      <c r="AE213" s="99" t="str">
        <f t="shared" si="131"/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AF213" s="96" t="str">
        <f t="shared" si="132"/>
        <v>"C:\Program Files (x86)\AstroGrep\AstroGrep.exe" /spath="%USERPROFILE%\AppData\Local\Temp\OnboardLogs" /stypes="app*4018*20160923*" /stext=" 14:.+((SYSTEM_STATE.+slice.+state.+changed )|(ment ac)|(system.+state.+changed )|(\|lc)|(penalty)|(\[timeout)|(PRM\|1\|D)|(kpr)|(kdp))" /e /r /s</v>
      </c>
      <c r="AG213" s="1" t="str">
        <f t="shared" si="144"/>
        <v>Other</v>
      </c>
      <c r="AH213" s="100" t="str">
        <f t="shared" ref="AH213:AH223" si="146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903-23 --locoid 4018 --swversion DE.1.0.7.0 --startMP 204:988 --initTime 2016-09-23T08:32:17 --startdatetime 2016-09-23T08:34:16 --delay 1 --endMP 300:24233 --enddatetime 2016-09-23T08:42:12 --enforcementcount 0 &gt;&gt;C:\Users\stu\Documents\GitHub\eaglep3-reporting\EC\2016-09-23-refined-times.txt</v>
      </c>
      <c r="AI213" s="134" t="str">
        <f t="shared" ref="AI213:AI223" si="147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{"issue":{"subject":"","project_id":79,"tracker_id":40,"status_id":1,"priority_id":2,"assigned_to_id":23,"start_date":"2016-09-23","description":"","custom_fields":[{"id":1,"name":"Subdivision","value":"Other"},{"id":4,"name":"Milepost","value":"2.4233"},{"id":17,"name":"Train ID","value":"903-23"},{"id":16,"name":"Locomotive ID","value":"4018"},{"id":130,"name":"Impact","value":""},{"id":150,"name":"Time of Event (Mountain Time)","value":"08:42:12"},{"id":151,"name":"Denver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521</v>
      </c>
      <c r="B214" s="7">
        <v>4017</v>
      </c>
      <c r="C214" s="24" t="s">
        <v>106</v>
      </c>
      <c r="D214" s="24" t="s">
        <v>730</v>
      </c>
      <c r="E214" s="15">
        <v>42636.641145833331</v>
      </c>
      <c r="F214" s="15">
        <v>42636.64261574074</v>
      </c>
      <c r="G214" s="7">
        <v>1</v>
      </c>
      <c r="H214" s="15" t="s">
        <v>731</v>
      </c>
      <c r="I214" s="15">
        <v>42636.648425925923</v>
      </c>
      <c r="J214" s="7">
        <v>0</v>
      </c>
      <c r="K214" s="121" t="str">
        <f t="shared" si="133"/>
        <v>4017/4018</v>
      </c>
      <c r="L214" s="24" t="str">
        <f>VLOOKUP(A214,'Trips&amp;Operators'!$C$1:$E$10000,3,FALSE)</f>
        <v>NEWELL</v>
      </c>
      <c r="M214" s="6">
        <f t="shared" si="134"/>
        <v>5.8101851827814244E-3</v>
      </c>
      <c r="N214" s="7">
        <f t="shared" si="135"/>
        <v>8.3666666632052511</v>
      </c>
      <c r="O214" s="7"/>
      <c r="P214" s="7"/>
      <c r="Q214" s="25"/>
      <c r="R214" s="25"/>
      <c r="S214" s="37">
        <f t="shared" si="136"/>
        <v>1</v>
      </c>
      <c r="T214" s="52" t="str">
        <f t="shared" si="137"/>
        <v>Southbound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14:23:15-0600',mode:absolute,to:'2016-09-23 16:33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14" s="54" t="str">
        <f t="shared" si="139"/>
        <v>Y</v>
      </c>
      <c r="X214" s="168">
        <f t="shared" si="145"/>
        <v>1</v>
      </c>
      <c r="Y214" s="69">
        <f t="shared" si="140"/>
        <v>2.3273000000000001</v>
      </c>
      <c r="Z214" s="69">
        <f t="shared" si="141"/>
        <v>6.4699999999999994E-2</v>
      </c>
      <c r="AA214" s="69">
        <f t="shared" si="142"/>
        <v>2.2625999999999999</v>
      </c>
      <c r="AB214" s="66" t="e">
        <f>VLOOKUP(A214,Enforcements!$C$7:$K$20,8,0)</f>
        <v>#N/A</v>
      </c>
      <c r="AC214" s="62" t="e">
        <f>VLOOKUP(A214,Enforcements!$C$7:$E$20,3,0)</f>
        <v>#N/A</v>
      </c>
      <c r="AD214" s="63" t="str">
        <f t="shared" si="143"/>
        <v>0904-23</v>
      </c>
      <c r="AE214" s="99" t="str">
        <f t="shared" si="131"/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AF214" s="96" t="str">
        <f t="shared" si="132"/>
        <v>"C:\Program Files (x86)\AstroGrep\AstroGrep.exe" /spath="%USERPROFILE%\AppData\Local\Temp\OnboardLogs" /stypes="app*4017*20160923*" /stext=" 21:.+((SYSTEM_STATE.+slice.+state.+changed )|(ment ac)|(system.+state.+changed )|(\|lc)|(penalty)|(\[timeout)|(PRM\|1\|D)|(kpr)|(kdp))" /e /r /s</v>
      </c>
      <c r="AG214" s="1" t="str">
        <f t="shared" si="144"/>
        <v>Other</v>
      </c>
      <c r="AH214" s="100" t="str">
        <f t="shared" si="146"/>
        <v>"%USERPROFILE%\Documents\GitHub\eaglep3\Utilities\RefineRTDCRunTimes.py" --tripid 904-23 --locoid 4017 --swversion DE.1.0.7.0 --startMP 300:23273 --initTime 2016-09-23T15:23:15 --startdatetime 2016-09-23T15:25:22 --delay 1 --endMP 204:647 --enddatetime 2016-09-23T15:33:44 --enforcementcount 0 &gt;&gt;C:\Users\stu\Documents\GitHub\eaglep3-reporting\EC\2016-09-23-refined-times.txt</v>
      </c>
      <c r="AI214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{"issue":{"subject":"","project_id":79,"tracker_id":40,"status_id":1,"priority_id":2,"assigned_to_id":23,"start_date":"2016-09-23","description":"","custom_fields":[{"id":1,"name":"Subdivision","value":"Other"},{"id":4,"name":"Milepost","value":"0.0647"},{"id":17,"name":"Train ID","value":"904-23"},{"id":16,"name":"Locomotive ID","value":"4017"},{"id":130,"name":"Impact","value":""},{"id":150,"name":"Time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567</v>
      </c>
      <c r="B215" s="7">
        <v>4017</v>
      </c>
      <c r="C215" s="24" t="s">
        <v>106</v>
      </c>
      <c r="D215" s="24" t="s">
        <v>732</v>
      </c>
      <c r="E215" s="15">
        <v>42636.795902777776</v>
      </c>
      <c r="F215" s="15">
        <v>25568.708333333332</v>
      </c>
      <c r="G215" s="7">
        <v>1</v>
      </c>
      <c r="H215" s="15" t="s">
        <v>733</v>
      </c>
      <c r="I215" s="15">
        <v>25568.708333333332</v>
      </c>
      <c r="J215" s="7">
        <v>0</v>
      </c>
      <c r="K215" s="121" t="str">
        <f t="shared" si="133"/>
        <v>4017/4018</v>
      </c>
      <c r="L215" s="24" t="str">
        <f>VLOOKUP(A215,'Trips&amp;Operators'!$C$1:$E$10000,3,FALSE)</f>
        <v>NEWELL</v>
      </c>
      <c r="M215" s="6">
        <f t="shared" si="134"/>
        <v>0</v>
      </c>
      <c r="N215" s="7">
        <f t="shared" si="135"/>
        <v>0</v>
      </c>
      <c r="O215" s="7"/>
      <c r="P215" s="7"/>
      <c r="Q215" s="25"/>
      <c r="R215" s="25"/>
      <c r="S215" s="37">
        <f t="shared" si="136"/>
        <v>0</v>
      </c>
      <c r="T215" s="52" t="str">
        <f t="shared" si="137"/>
        <v>Southbound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18:06:06-0600',mode:absolute,to:'1969-12-31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15" s="54" t="str">
        <f t="shared" si="139"/>
        <v>Y</v>
      </c>
      <c r="X215" s="168">
        <f t="shared" si="145"/>
        <v>2</v>
      </c>
      <c r="Y215" s="69">
        <f t="shared" si="140"/>
        <v>5.86</v>
      </c>
      <c r="Z215" s="69">
        <f t="shared" si="141"/>
        <v>2.8797000000000001</v>
      </c>
      <c r="AA215" s="69">
        <f t="shared" si="142"/>
        <v>2.9803000000000002</v>
      </c>
      <c r="AB215" s="66" t="e">
        <f>VLOOKUP(A215,Enforcements!$C$7:$K$20,8,0)</f>
        <v>#N/A</v>
      </c>
      <c r="AC215" s="62" t="e">
        <f>VLOOKUP(A215,Enforcements!$C$7:$E$20,3,0)</f>
        <v>#N/A</v>
      </c>
      <c r="AD215" s="63" t="str">
        <f t="shared" si="143"/>
        <v>0906-23</v>
      </c>
      <c r="AE215" s="99" t="str">
        <f t="shared" si="131"/>
        <v>aws s3 cp s3://rtdc.mdm.uploadarchive/RTDC4017/1969-12-31/ "%USERPROFILE%\AppData\Local\Temp\OnboardLogs"\RTDC4017\1969-12-31 --recursive &amp; "%USERPROFILE%\Documents\GitHub\mrs-test-scripts\Headless Mode &amp; Sideloading\WalkAndUnGZ.bat" "%USERPROFILE%\AppData\Local\Temp\OnboardLogs"\RTDC4017\1969-12-31 &amp; aws s3 cp s3://rtdc.mdm.uploadarchive/RTDC4017/1970-01-01/ "%USERPROFILE%\AppData\Local\Temp\OnboardLogs"\RTDC4017\1970-01-01 --recursive &amp; "%USERPROFILE%\Documents\GitHub\mrs-test-scripts\Headless Mode &amp; Sideloading\WalkAndUnGZ.bat" "%USERPROFILE%\AppData\Local\Temp\OnboardLogs"\RTDC4017\1970-01-01</v>
      </c>
      <c r="AF215" s="96" t="str">
        <f t="shared" si="132"/>
        <v>"C:\Program Files (x86)\AstroGrep\AstroGrep.exe" /spath="%USERPROFILE%\AppData\Local\Temp\OnboardLogs" /stypes="app*4017*19691231*" /stext=" 23:.+((SYSTEM_STATE.+slice.+state.+changed )|(ment ac)|(system.+state.+changed )|(\|lc)|(penalty)|(\[timeout)|(PRM\|1\|D)|(kpr)|(kdp))" /e /r /s</v>
      </c>
      <c r="AG215" s="1" t="str">
        <f t="shared" si="144"/>
        <v>Other</v>
      </c>
      <c r="AH215" s="100" t="str">
        <f t="shared" si="146"/>
        <v>"%USERPROFILE%\Documents\GitHub\eaglep3\Utilities\RefineRTDCRunTimes.py" --tripid 906-23 --locoid 4017 --swversion DE.1.0.7.0 --startMP 300:58600 --initTime 2016-09-23T19:06:06 --startdatetime 1969-12-31T17:00:00 --delay 1 --endMP 300:28797 --enddatetime 1969-12-31T17:00:00 --enforcementcount 0 &gt;&gt;C:\Users\stu\Documents\GitHub\eaglep3-reporting\EC\2016-09-23-refined-times.txt</v>
      </c>
      <c r="AI215" s="134" t="str">
        <f t="shared" si="147"/>
        <v>echo {"issue":{"subject":"","project_id":79,"tracker_id":40,"status_id":1,"priority_id":2,"assigned_to_id":23,"start_date":"1969-12-31","description":"","custom_fields":[{"id":1,"name":"Subdivision","value":"Other"},{"id":4,"name":"Milepost","value":"2.8797"},{"id":17,"name":"Train ID","value":"906-23"},{"id":16,"name":"Locomotive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592</v>
      </c>
      <c r="B216" s="7">
        <v>4019</v>
      </c>
      <c r="C216" s="24" t="s">
        <v>106</v>
      </c>
      <c r="D216" s="24" t="s">
        <v>380</v>
      </c>
      <c r="E216" s="15">
        <v>42636.943124999998</v>
      </c>
      <c r="F216" s="15">
        <v>25568.708333333332</v>
      </c>
      <c r="G216" s="7">
        <v>1</v>
      </c>
      <c r="H216" s="15" t="s">
        <v>734</v>
      </c>
      <c r="I216" s="15">
        <v>25568.708333333332</v>
      </c>
      <c r="J216" s="7">
        <v>0</v>
      </c>
      <c r="K216" s="121" t="str">
        <f t="shared" si="133"/>
        <v>4019/4020</v>
      </c>
      <c r="L216" s="24" t="str">
        <f>VLOOKUP(A216,'Trips&amp;Operators'!$C$1:$E$10000,3,FALSE)</f>
        <v>NEWELL</v>
      </c>
      <c r="M216" s="6">
        <f t="shared" si="134"/>
        <v>0</v>
      </c>
      <c r="N216" s="7">
        <f t="shared" si="135"/>
        <v>0</v>
      </c>
      <c r="O216" s="7"/>
      <c r="P216" s="7"/>
      <c r="Q216" s="25"/>
      <c r="R216" s="25"/>
      <c r="S216" s="37">
        <f t="shared" si="136"/>
        <v>0</v>
      </c>
      <c r="T216" s="52" t="str">
        <f t="shared" si="137"/>
        <v>Southbound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21:38:06-0600',mode:absolute,to:'1969-12-31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6" s="54" t="str">
        <f t="shared" si="139"/>
        <v>Y</v>
      </c>
      <c r="X216" s="168">
        <f t="shared" si="145"/>
        <v>2</v>
      </c>
      <c r="Y216" s="69">
        <f t="shared" si="140"/>
        <v>5.8605999999999998</v>
      </c>
      <c r="Z216" s="69">
        <f t="shared" si="141"/>
        <v>2.1772</v>
      </c>
      <c r="AA216" s="69">
        <f t="shared" si="142"/>
        <v>3.6833999999999998</v>
      </c>
      <c r="AB216" s="66" t="e">
        <f>VLOOKUP(A216,Enforcements!$C$7:$K$20,8,0)</f>
        <v>#N/A</v>
      </c>
      <c r="AC216" s="62" t="e">
        <f>VLOOKUP(A216,Enforcements!$C$7:$E$20,3,0)</f>
        <v>#N/A</v>
      </c>
      <c r="AD216" s="63" t="str">
        <f t="shared" si="143"/>
        <v>0908-23</v>
      </c>
      <c r="AE216" s="99" t="str">
        <f t="shared" si="131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16" s="96" t="str">
        <f t="shared" si="132"/>
        <v>"C:\Program Files (x86)\AstroGrep\AstroGrep.exe" /spath="%USERPROFILE%\AppData\Local\Temp\OnboardLogs" /stypes="app*4019*19691231*" /stext=" 23:.+((SYSTEM_STATE.+slice.+state.+changed )|(ment ac)|(system.+state.+changed )|(\|lc)|(penalty)|(\[timeout)|(PRM\|1\|D)|(kpr)|(kdp))" /e /r /s</v>
      </c>
      <c r="AG216" s="1" t="str">
        <f t="shared" si="144"/>
        <v>Other</v>
      </c>
      <c r="AH216" s="100" t="str">
        <f t="shared" si="146"/>
        <v>"%USERPROFILE%\Documents\GitHub\eaglep3\Utilities\RefineRTDCRunTimes.py" --tripid 908-23 --locoid 4019 --swversion DE.1.0.7.0 --startMP 300:58606 --initTime 2016-09-23T22:38:06 --startdatetime 1969-12-31T17:00:00 --delay 1 --endMP 300:21772 --enddatetime 1969-12-31T17:00:00 --enforcementcount 0 &gt;&gt;C:\Users\stu\Documents\GitHub\eaglep3-reporting\EC\2016-09-23-refined-times.txt</v>
      </c>
      <c r="AI216" s="134" t="str">
        <f t="shared" si="147"/>
        <v>echo {"issue":{"subject":"","project_id":79,"tracker_id":40,"status_id":1,"priority_id":2,"assigned_to_id":23,"start_date":"1969-12-31","description":"","custom_fields":[{"id":1,"name":"Subdivision","value":"Other"},{"id":4,"name":"Milepost","value":"2.1772"},{"id":17,"name":"Train ID","value":"908-23"},{"id":16,"name":"Locomotive ID","value":"4019"},{"id":130,"name":"Impact","value":""},{"id":150,"name":"Time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463</v>
      </c>
      <c r="B217" s="7">
        <v>4005</v>
      </c>
      <c r="C217" s="24" t="s">
        <v>106</v>
      </c>
      <c r="D217" s="24" t="s">
        <v>674</v>
      </c>
      <c r="E217" s="15">
        <v>42636.429270833331</v>
      </c>
      <c r="F217" s="15">
        <v>42636.430879629632</v>
      </c>
      <c r="G217" s="7">
        <v>1</v>
      </c>
      <c r="H217" s="15" t="s">
        <v>675</v>
      </c>
      <c r="I217" s="15">
        <v>42636.437534722223</v>
      </c>
      <c r="J217" s="7">
        <v>0</v>
      </c>
      <c r="K217" s="121" t="str">
        <f t="shared" si="133"/>
        <v>4005/4006</v>
      </c>
      <c r="L217" s="24" t="str">
        <f>VLOOKUP(A217,'Trips&amp;Operators'!$C$1:$E$10000,3,FALSE)</f>
        <v>STEWART</v>
      </c>
      <c r="M217" s="6">
        <f t="shared" si="134"/>
        <v>6.655092591245193E-3</v>
      </c>
      <c r="N217" s="7">
        <f t="shared" si="135"/>
        <v>9.583333331393078</v>
      </c>
      <c r="O217" s="7"/>
      <c r="P217" s="7"/>
      <c r="Q217" s="25"/>
      <c r="R217" s="25"/>
      <c r="S217" s="37">
        <f t="shared" si="136"/>
        <v>0</v>
      </c>
      <c r="T217" s="52" t="e">
        <f t="shared" si="137"/>
        <v>#VALUE!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09:18:09-0600',mode:absolute,to:'2016-09-23 11:30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7" s="54" t="str">
        <f t="shared" si="139"/>
        <v>Y</v>
      </c>
      <c r="X217" s="168" t="e">
        <f t="shared" si="145"/>
        <v>#VALUE!</v>
      </c>
      <c r="Y217" s="69">
        <f t="shared" si="140"/>
        <v>2.3359999999999999</v>
      </c>
      <c r="Z217" s="69">
        <f t="shared" si="141"/>
        <v>1.5299999999999999E-2</v>
      </c>
      <c r="AA217" s="69">
        <f t="shared" si="142"/>
        <v>2.3207</v>
      </c>
      <c r="AB217" s="66" t="e">
        <f>VLOOKUP(A217,Enforcements!$C$7:$K$20,8,0)</f>
        <v>#N/A</v>
      </c>
      <c r="AC217" s="62" t="e">
        <f>VLOOKUP(A217,Enforcements!$C$7:$E$20,3,0)</f>
        <v>#N/A</v>
      </c>
      <c r="AD217" s="63" t="str">
        <f t="shared" si="143"/>
        <v>50-23</v>
      </c>
      <c r="AE217" s="99" t="str">
        <f t="shared" si="131"/>
        <v>aws s3 cp s3://rtdc.mdm.uploadarchive/RTDC4005/2016-09-23/ "%USERPROFILE%\AppData\Local\Temp\OnboardLogs"\RTDC4005\2016-09-23 --recursive &amp; "%USERPROFILE%\Documents\GitHub\mrs-test-scripts\Headless Mode &amp; Sideloading\WalkAndUnGZ.bat" "%USERPROFILE%\AppData\Local\Temp\OnboardLogs"\RTDC4005\2016-09-23 &amp; aws s3 cp s3://rtdc.mdm.uploadarchive/RTDC4005/2016-09-24/ "%USERPROFILE%\AppData\Local\Temp\OnboardLogs"\RTDC4005\2016-09-24 --recursive &amp; "%USERPROFILE%\Documents\GitHub\mrs-test-scripts\Headless Mode &amp; Sideloading\WalkAndUnGZ.bat" "%USERPROFILE%\AppData\Local\Temp\OnboardLogs"\RTDC4005\2016-09-24</v>
      </c>
      <c r="AF217" s="96" t="str">
        <f t="shared" si="132"/>
        <v>"C:\Program Files (x86)\AstroGrep\AstroGrep.exe" /spath="%USERPROFILE%\AppData\Local\Temp\OnboardLogs" /stypes="app*4005*20160923*" /stext=" 16:.+((SYSTEM_STATE.+slice.+state.+changed )|(ment ac)|(system.+state.+changed )|(\|lc)|(penalty)|(\[timeout)|(PRM\|1\|D)|(kpr)|(kdp))" /e /r /s</v>
      </c>
      <c r="AG217" s="1" t="str">
        <f t="shared" si="144"/>
        <v>Other</v>
      </c>
      <c r="AH217" s="100" t="str">
        <f t="shared" si="146"/>
        <v>"%USERPROFILE%\Documents\GitHub\eaglep3\Utilities\RefineRTDCRunTimes.py" --tripid 50-23 --locoid 4005 --swversion DE.1.0.7.0 --startMP 300:23360 --initTime 2016-09-23T10:18:09 --startdatetime 2016-09-23T10:20:28 --delay 1 --endMP 204:153 --enddatetime 2016-09-23T10:30:03 --enforcementcount 0 &gt;&gt;C:\Users\stu\Documents\GitHub\eaglep3-reporting\EC\2016-09-23-refined-times.txt</v>
      </c>
      <c r="AI217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{"issue":{"subject":"","project_id":79,"tracker_id":40,"status_id":1,"priority_id":2,"assigned_to_id":23,"start_date":"2016-09-23","description":"","custom_fields":[{"id":1,"name":"Subdivision","value":"Other"},{"id":4,"name":"Milepost","value":"0.0153"},{"id":17,"name":"Train ID","value":"50-23"},{"id":16,"name":"Locomotive ID","value":"4005"},{"id":130,"name":"Impact","value":""},{"id":150,"name":"Time of Event (Mountain Time)","value":"10:30:03"},{"id":151,"name":"Denver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475</v>
      </c>
      <c r="B218" s="7">
        <v>4021</v>
      </c>
      <c r="C218" s="24" t="s">
        <v>106</v>
      </c>
      <c r="D218" s="24" t="s">
        <v>676</v>
      </c>
      <c r="E218" s="15">
        <v>42636.462719907409</v>
      </c>
      <c r="F218" s="15">
        <v>42636.464108796295</v>
      </c>
      <c r="G218" s="7">
        <v>1</v>
      </c>
      <c r="H218" s="15" t="s">
        <v>677</v>
      </c>
      <c r="I218" s="15">
        <v>42636.47078703704</v>
      </c>
      <c r="J218" s="7">
        <v>0</v>
      </c>
      <c r="K218" s="121" t="str">
        <f t="shared" si="133"/>
        <v>4021/4022</v>
      </c>
      <c r="L218" s="24" t="str">
        <f>VLOOKUP(A218,'Trips&amp;Operators'!$C$1:$E$10000,3,FALSE)</f>
        <v>MOSES</v>
      </c>
      <c r="M218" s="6">
        <f t="shared" si="134"/>
        <v>6.6782407448044978E-3</v>
      </c>
      <c r="N218" s="7">
        <f t="shared" si="135"/>
        <v>9.6166666725184768</v>
      </c>
      <c r="O218" s="7"/>
      <c r="P218" s="7"/>
      <c r="Q218" s="25"/>
      <c r="R218" s="25"/>
      <c r="S218" s="37">
        <f t="shared" si="136"/>
        <v>0</v>
      </c>
      <c r="T218" s="52" t="e">
        <f t="shared" si="137"/>
        <v>#VALUE!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10:06:19-0600',mode:absolute,to:'2016-09-23 12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8" s="54" t="str">
        <f t="shared" si="139"/>
        <v>Y</v>
      </c>
      <c r="X218" s="168" t="e">
        <f t="shared" si="145"/>
        <v>#VALUE!</v>
      </c>
      <c r="Y218" s="69">
        <f t="shared" si="140"/>
        <v>2.3456999999999999</v>
      </c>
      <c r="Z218" s="69">
        <f t="shared" si="141"/>
        <v>9.2299999999999993E-2</v>
      </c>
      <c r="AA218" s="69">
        <f t="shared" si="142"/>
        <v>2.2534000000000001</v>
      </c>
      <c r="AB218" s="66" t="e">
        <f>VLOOKUP(A218,Enforcements!$C$7:$K$20,8,0)</f>
        <v>#N/A</v>
      </c>
      <c r="AC218" s="62" t="e">
        <f>VLOOKUP(A218,Enforcements!$C$7:$E$20,3,0)</f>
        <v>#N/A</v>
      </c>
      <c r="AD218" s="63" t="str">
        <f t="shared" si="143"/>
        <v>52-23</v>
      </c>
      <c r="AE218" s="99" t="str">
        <f t="shared" si="131"/>
        <v>aws s3 cp s3://rtdc.mdm.uploadarchive/RTDC4021/2016-09-23/ "%USERPROFILE%\AppData\Local\Temp\OnboardLogs"\RTDC4021\2016-09-23 --recursive &amp; "%USERPROFILE%\Documents\GitHub\mrs-test-scripts\Headless Mode &amp; Sideloading\WalkAndUnGZ.bat" "%USERPROFILE%\AppData\Local\Temp\OnboardLogs"\RTDC4021\2016-09-23 &amp; aws s3 cp s3://rtdc.mdm.uploadarchive/RTDC4021/2016-09-24/ "%USERPROFILE%\AppData\Local\Temp\OnboardLogs"\RTDC4021\2016-09-24 --recursive &amp; "%USERPROFILE%\Documents\GitHub\mrs-test-scripts\Headless Mode &amp; Sideloading\WalkAndUnGZ.bat" "%USERPROFILE%\AppData\Local\Temp\OnboardLogs"\RTDC4021\2016-09-24</v>
      </c>
      <c r="AF218" s="96" t="str">
        <f t="shared" si="132"/>
        <v>"C:\Program Files (x86)\AstroGrep\AstroGrep.exe" /spath="%USERPROFILE%\AppData\Local\Temp\OnboardLogs" /stypes="app*4021*20160923*" /stext=" 17:.+((SYSTEM_STATE.+slice.+state.+changed )|(ment ac)|(system.+state.+changed )|(\|lc)|(penalty)|(\[timeout)|(PRM\|1\|D)|(kpr)|(kdp))" /e /r /s</v>
      </c>
      <c r="AG218" s="1" t="str">
        <f t="shared" si="144"/>
        <v>Other</v>
      </c>
      <c r="AH218" s="100" t="str">
        <f t="shared" si="146"/>
        <v>"%USERPROFILE%\Documents\GitHub\eaglep3\Utilities\RefineRTDCRunTimes.py" --tripid 52-23 --locoid 4021 --swversion DE.1.0.7.0 --startMP 300:23457 --initTime 2016-09-23T11:06:19 --startdatetime 2016-09-23T11:08:19 --delay 1 --endMP 204:923 --enddatetime 2016-09-23T11:17:56 --enforcementcount 0 &gt;&gt;C:\Users\stu\Documents\GitHub\eaglep3-reporting\EC\2016-09-23-refined-times.txt</v>
      </c>
      <c r="AI218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{"issue":{"subject":"","project_id":79,"tracker_id":40,"status_id":1,"priority_id":2,"assigned_to_id":23,"start_date":"2016-09-23","description":"","custom_fields":[{"id":1,"name":"Subdivision","value":"Other"},{"id":4,"name":"Milepost","value":"0.0923"},{"id":17,"name":"Train ID","value":"52-23"},{"id":16,"name":"Locomotive ID","value":"4021"},{"id":130,"name":"Impact","value":""},{"id":150,"name":"Time of Event (Mountain Time)","value":"11:17:56"},{"id":151,"name":"Denver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478</v>
      </c>
      <c r="B219" s="7">
        <v>4006</v>
      </c>
      <c r="C219" s="24" t="s">
        <v>106</v>
      </c>
      <c r="D219" s="24" t="s">
        <v>226</v>
      </c>
      <c r="E219" s="15">
        <v>42636.470937500002</v>
      </c>
      <c r="F219" s="15">
        <v>42636.472442129627</v>
      </c>
      <c r="G219" s="7">
        <v>1</v>
      </c>
      <c r="H219" s="15" t="s">
        <v>678</v>
      </c>
      <c r="I219" s="15">
        <v>42636.477835648147</v>
      </c>
      <c r="J219" s="7">
        <v>0</v>
      </c>
      <c r="K219" s="121" t="str">
        <f t="shared" si="133"/>
        <v>4005/4006</v>
      </c>
      <c r="L219" s="24" t="str">
        <f>VLOOKUP(A219,'Trips&amp;Operators'!$C$1:$E$10000,3,FALSE)</f>
        <v>GRASTON</v>
      </c>
      <c r="M219" s="6">
        <f t="shared" si="134"/>
        <v>5.393518520577345E-3</v>
      </c>
      <c r="N219" s="7">
        <f t="shared" si="135"/>
        <v>7.7666666696313769</v>
      </c>
      <c r="O219" s="7"/>
      <c r="P219" s="7"/>
      <c r="Q219" s="25"/>
      <c r="R219" s="25"/>
      <c r="S219" s="37">
        <f t="shared" si="136"/>
        <v>0</v>
      </c>
      <c r="T219" s="52" t="e">
        <f t="shared" si="137"/>
        <v>#VALUE!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10:18:09-0600',mode:absolute,to:'2016-09-23 12:28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9" s="54" t="str">
        <f t="shared" si="139"/>
        <v>Y</v>
      </c>
      <c r="X219" s="168" t="e">
        <f t="shared" si="145"/>
        <v>#VALUE!</v>
      </c>
      <c r="Y219" s="69">
        <f t="shared" si="140"/>
        <v>4.5100000000000001E-2</v>
      </c>
      <c r="Z219" s="69">
        <f t="shared" si="141"/>
        <v>2.4195000000000002</v>
      </c>
      <c r="AA219" s="69">
        <f t="shared" si="142"/>
        <v>2.3744000000000001</v>
      </c>
      <c r="AB219" s="66" t="e">
        <f>VLOOKUP(A219,Enforcements!$C$7:$K$20,8,0)</f>
        <v>#N/A</v>
      </c>
      <c r="AC219" s="62" t="e">
        <f>VLOOKUP(A219,Enforcements!$C$7:$E$20,3,0)</f>
        <v>#N/A</v>
      </c>
      <c r="AD219" s="63" t="str">
        <f t="shared" si="143"/>
        <v>55-23</v>
      </c>
      <c r="AE219" s="99" t="str">
        <f t="shared" si="131"/>
        <v>aws s3 cp s3://rtdc.mdm.uploadarchive/RTDC4006/2016-09-23/ "%USERPROFILE%\AppData\Local\Temp\OnboardLogs"\RTDC4006\2016-09-23 --recursive &amp; "%USERPROFILE%\Documents\GitHub\mrs-test-scripts\Headless Mode &amp; Sideloading\WalkAndUnGZ.bat" "%USERPROFILE%\AppData\Local\Temp\OnboardLogs"\RTDC4006\2016-09-23 &amp; aws s3 cp s3://rtdc.mdm.uploadarchive/RTDC4006/2016-09-24/ "%USERPROFILE%\AppData\Local\Temp\OnboardLogs"\RTDC4006\2016-09-24 --recursive &amp; "%USERPROFILE%\Documents\GitHub\mrs-test-scripts\Headless Mode &amp; Sideloading\WalkAndUnGZ.bat" "%USERPROFILE%\AppData\Local\Temp\OnboardLogs"\RTDC4006\2016-09-24</v>
      </c>
      <c r="AF219" s="96" t="str">
        <f t="shared" si="132"/>
        <v>"C:\Program Files (x86)\AstroGrep\AstroGrep.exe" /spath="%USERPROFILE%\AppData\Local\Temp\OnboardLogs" /stypes="app*4006*20160923*" /stext=" 17:.+((SYSTEM_STATE.+slice.+state.+changed )|(ment ac)|(system.+state.+changed )|(\|lc)|(penalty)|(\[timeout)|(PRM\|1\|D)|(kpr)|(kdp))" /e /r /s</v>
      </c>
      <c r="AG219" s="1" t="str">
        <f t="shared" si="144"/>
        <v>Other</v>
      </c>
      <c r="AH219" s="100" t="str">
        <f t="shared" si="146"/>
        <v>"%USERPROFILE%\Documents\GitHub\eaglep3\Utilities\RefineRTDCRunTimes.py" --tripid 55-23 --locoid 4006 --swversion DE.1.0.7.0 --startMP 204:451 --initTime 2016-09-23T11:18:09 --startdatetime 2016-09-23T11:20:19 --delay 1 --endMP 300:24195 --enddatetime 2016-09-23T11:28:05 --enforcementcount 0 &gt;&gt;C:\Users\stu\Documents\GitHub\eaglep3-reporting\EC\2016-09-23-refined-times.txt</v>
      </c>
      <c r="AI219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{"issue":{"subject":"","project_id":79,"tracker_id":40,"status_id":1,"priority_id":2,"assigned_to_id":23,"start_date":"2016-09-23","description":"","custom_fields":[{"id":1,"name":"Subdivision","value":"Other"},{"id":4,"name":"Milepost","value":"2.4195"},{"id":17,"name":"Train ID","value":"55-23"},{"id":16,"name":"Locomotive ID","value":"4006"},{"id":130,"name":"Impact","value":""},{"id":150,"name":"Time of Event (Mountain Time)","value":"11:28:05"},{"id":151,"name":"Denver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563</v>
      </c>
      <c r="B220" s="7">
        <v>4006</v>
      </c>
      <c r="C220" s="24" t="s">
        <v>106</v>
      </c>
      <c r="D220" s="24" t="s">
        <v>679</v>
      </c>
      <c r="E220" s="15">
        <v>42636.779456018521</v>
      </c>
      <c r="F220" s="15">
        <v>42636.780844907407</v>
      </c>
      <c r="G220" s="7">
        <v>1</v>
      </c>
      <c r="H220" s="15" t="s">
        <v>680</v>
      </c>
      <c r="I220" s="15">
        <v>42636.787372685183</v>
      </c>
      <c r="J220" s="7">
        <v>0</v>
      </c>
      <c r="K220" s="121" t="str">
        <f t="shared" si="133"/>
        <v>4005/4006</v>
      </c>
      <c r="L220" s="24" t="str">
        <f>VLOOKUP(A220,'Trips&amp;Operators'!$C$1:$E$10000,3,FALSE)</f>
        <v>BONDS</v>
      </c>
      <c r="M220" s="6">
        <f t="shared" si="134"/>
        <v>6.5277777757728472E-3</v>
      </c>
      <c r="N220" s="7">
        <f t="shared" si="135"/>
        <v>9.3999999971129</v>
      </c>
      <c r="O220" s="7"/>
      <c r="P220" s="7"/>
      <c r="Q220" s="25"/>
      <c r="R220" s="25"/>
      <c r="S220" s="37">
        <f t="shared" si="136"/>
        <v>0</v>
      </c>
      <c r="T220" s="52" t="e">
        <f t="shared" si="137"/>
        <v>#VALUE!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17:42:25-0600',mode:absolute,to:'2016-09-23 19:53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0" s="54" t="str">
        <f t="shared" si="139"/>
        <v>Y</v>
      </c>
      <c r="X220" s="168" t="e">
        <f t="shared" si="145"/>
        <v>#VALUE!</v>
      </c>
      <c r="Y220" s="69">
        <f t="shared" si="140"/>
        <v>6.4100000000000004E-2</v>
      </c>
      <c r="Z220" s="69">
        <f t="shared" si="141"/>
        <v>2.4074</v>
      </c>
      <c r="AA220" s="69">
        <f t="shared" si="142"/>
        <v>2.3433000000000002</v>
      </c>
      <c r="AB220" s="66" t="e">
        <f>VLOOKUP(A220,Enforcements!$C$7:$K$20,8,0)</f>
        <v>#N/A</v>
      </c>
      <c r="AC220" s="62" t="e">
        <f>VLOOKUP(A220,Enforcements!$C$7:$E$20,3,0)</f>
        <v>#N/A</v>
      </c>
      <c r="AD220" s="63" t="str">
        <f t="shared" si="143"/>
        <v>57-23</v>
      </c>
      <c r="AE220" s="99" t="str">
        <f t="shared" si="131"/>
        <v>aws s3 cp s3://rtdc.mdm.uploadarchive/RTDC4006/2016-09-23/ "%USERPROFILE%\AppData\Local\Temp\OnboardLogs"\RTDC4006\2016-09-23 --recursive &amp; "%USERPROFILE%\Documents\GitHub\mrs-test-scripts\Headless Mode &amp; Sideloading\WalkAndUnGZ.bat" "%USERPROFILE%\AppData\Local\Temp\OnboardLogs"\RTDC4006\2016-09-23 &amp; aws s3 cp s3://rtdc.mdm.uploadarchive/RTDC4006/2016-09-24/ "%USERPROFILE%\AppData\Local\Temp\OnboardLogs"\RTDC4006\2016-09-24 --recursive &amp; "%USERPROFILE%\Documents\GitHub\mrs-test-scripts\Headless Mode &amp; Sideloading\WalkAndUnGZ.bat" "%USERPROFILE%\AppData\Local\Temp\OnboardLogs"\RTDC4006\2016-09-24</v>
      </c>
      <c r="AF220" s="96" t="str">
        <f t="shared" si="132"/>
        <v>"C:\Program Files (x86)\AstroGrep\AstroGrep.exe" /spath="%USERPROFILE%\AppData\Local\Temp\OnboardLogs" /stypes="app*4006*20160924*" /stext=" 00:.+((SYSTEM_STATE.+slice.+state.+changed )|(ment ac)|(system.+state.+changed )|(\|lc)|(penalty)|(\[timeout)|(PRM\|1\|D)|(kpr)|(kdp))" /e /r /s</v>
      </c>
      <c r="AG220" s="1" t="str">
        <f t="shared" si="144"/>
        <v>Other</v>
      </c>
      <c r="AH220" s="100" t="str">
        <f t="shared" si="146"/>
        <v>"%USERPROFILE%\Documents\GitHub\eaglep3\Utilities\RefineRTDCRunTimes.py" --tripid 57-23 --locoid 4006 --swversion DE.1.0.7.0 --startMP 204:641 --initTime 2016-09-23T18:42:25 --startdatetime 2016-09-23T18:44:25 --delay 1 --endMP 300:24074 --enddatetime 2016-09-23T18:53:49 --enforcementcount 0 &gt;&gt;C:\Users\stu\Documents\GitHub\eaglep3-reporting\EC\2016-09-23-refined-times.txt</v>
      </c>
      <c r="AI220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{"issue":{"subject":"","project_id":79,"tracker_id":40,"status_id":1,"priority_id":2,"assigned_to_id":23,"start_date":"2016-09-23","description":"","custom_fields":[{"id":1,"name":"Subdivision","value":"Other"},{"id":4,"name":"Milepost","value":"2.4074"},{"id":17,"name":"Train ID","value":"57-23"},{"id":16,"name":"Locomotive ID","value":"4006"},{"id":130,"name":"Impact","value":""},{"id":150,"name":"Time of Event (Mountain Time)","value":"18:53:49"},{"id":151,"name":"Denver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550</v>
      </c>
      <c r="B221" s="7">
        <v>4021</v>
      </c>
      <c r="C221" s="24" t="s">
        <v>106</v>
      </c>
      <c r="D221" s="24" t="s">
        <v>681</v>
      </c>
      <c r="E221" s="15">
        <v>42636.739895833336</v>
      </c>
      <c r="F221" s="15">
        <v>42636.742280092592</v>
      </c>
      <c r="G221" s="7">
        <v>3</v>
      </c>
      <c r="H221" s="15" t="s">
        <v>682</v>
      </c>
      <c r="I221" s="15">
        <v>42636.742650462962</v>
      </c>
      <c r="J221" s="7">
        <v>0</v>
      </c>
      <c r="K221" s="121" t="str">
        <f t="shared" si="133"/>
        <v>4021/4022</v>
      </c>
      <c r="L221" s="24" t="str">
        <f>VLOOKUP(A221,'Trips&amp;Operators'!$C$1:$E$10000,3,FALSE)</f>
        <v>CHANDLER</v>
      </c>
      <c r="M221" s="6">
        <f t="shared" si="134"/>
        <v>3.7037036963738501E-4</v>
      </c>
      <c r="N221" s="7">
        <f t="shared" si="135"/>
        <v>0.53333333227783442</v>
      </c>
      <c r="O221" s="7"/>
      <c r="P221" s="7"/>
      <c r="Q221" s="25"/>
      <c r="R221" s="25"/>
      <c r="S221" s="37">
        <f t="shared" si="136"/>
        <v>0</v>
      </c>
      <c r="T221" s="52" t="e">
        <f t="shared" si="137"/>
        <v>#VALUE!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16:45:27-0600',mode:absolute,to:'2016-09-23 18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1" s="54" t="str">
        <f t="shared" si="139"/>
        <v>Y</v>
      </c>
      <c r="X221" s="168" t="e">
        <f t="shared" si="145"/>
        <v>#VALUE!</v>
      </c>
      <c r="Y221" s="69">
        <f t="shared" si="140"/>
        <v>2.4649999999999999</v>
      </c>
      <c r="Z221" s="69">
        <f t="shared" si="141"/>
        <v>2.4306999999999999</v>
      </c>
      <c r="AA221" s="69">
        <f t="shared" si="142"/>
        <v>3.4299999999999997E-2</v>
      </c>
      <c r="AB221" s="66" t="e">
        <f>VLOOKUP(A221,Enforcements!$C$7:$K$20,8,0)</f>
        <v>#N/A</v>
      </c>
      <c r="AC221" s="62" t="e">
        <f>VLOOKUP(A221,Enforcements!$C$7:$E$20,3,0)</f>
        <v>#N/A</v>
      </c>
      <c r="AD221" s="63" t="str">
        <f t="shared" si="143"/>
        <v>58-23</v>
      </c>
      <c r="AE221" s="99" t="str">
        <f t="shared" si="131"/>
        <v>aws s3 cp s3://rtdc.mdm.uploadarchive/RTDC4021/2016-09-23/ "%USERPROFILE%\AppData\Local\Temp\OnboardLogs"\RTDC4021\2016-09-23 --recursive &amp; "%USERPROFILE%\Documents\GitHub\mrs-test-scripts\Headless Mode &amp; Sideloading\WalkAndUnGZ.bat" "%USERPROFILE%\AppData\Local\Temp\OnboardLogs"\RTDC4021\2016-09-23 &amp; aws s3 cp s3://rtdc.mdm.uploadarchive/RTDC4021/2016-09-24/ "%USERPROFILE%\AppData\Local\Temp\OnboardLogs"\RTDC4021\2016-09-24 --recursive &amp; "%USERPROFILE%\Documents\GitHub\mrs-test-scripts\Headless Mode &amp; Sideloading\WalkAndUnGZ.bat" "%USERPROFILE%\AppData\Local\Temp\OnboardLogs"\RTDC4021\2016-09-24</v>
      </c>
      <c r="AF221" s="96" t="str">
        <f t="shared" si="132"/>
        <v>"C:\Program Files (x86)\AstroGrep\AstroGrep.exe" /spath="%USERPROFILE%\AppData\Local\Temp\OnboardLogs" /stypes="app*4021*20160923*" /stext=" 23:.+((SYSTEM_STATE.+slice.+state.+changed )|(ment ac)|(system.+state.+changed )|(\|lc)|(penalty)|(\[timeout)|(PRM\|1\|D)|(kpr)|(kdp))" /e /r /s</v>
      </c>
      <c r="AG221" s="1" t="str">
        <f t="shared" si="144"/>
        <v>Other</v>
      </c>
      <c r="AH221" s="100" t="str">
        <f t="shared" si="146"/>
        <v>"%USERPROFILE%\Documents\GitHub\eaglep3\Utilities\RefineRTDCRunTimes.py" --tripid 58-23 --locoid 4021 --swversion DE.1.0.7.0 --startMP 300:24650 --initTime 2016-09-23T17:45:27 --startdatetime 2016-09-23T17:48:53 --delay 3 --endMP 300:24307 --enddatetime 2016-09-23T17:49:25 --enforcementcount 0 &gt;&gt;C:\Users\stu\Documents\GitHub\eaglep3-reporting\EC\2016-09-23-refined-times.txt</v>
      </c>
      <c r="AI221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{"issue":{"subject":"","project_id":79,"tracker_id":40,"status_id":1,"priority_id":2,"assigned_to_id":23,"start_date":"2016-09-23","description":"","custom_fields":[{"id":1,"name":"Subdivision","value":"Other"},{"id":4,"name":"Milepost","value":"2.4307"},{"id":17,"name":"Train ID","value":"58-23"},{"id":16,"name":"Locomotive ID","value":"4021"},{"id":130,"name":"Impact","value":""},{"id":150,"name":"Time of Event (Mountain Time)","value":"17:49:25"},{"id":151,"name":"Denver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554</v>
      </c>
      <c r="B222" s="7">
        <v>4026</v>
      </c>
      <c r="C222" s="24" t="s">
        <v>106</v>
      </c>
      <c r="D222" s="24" t="s">
        <v>362</v>
      </c>
      <c r="E222" s="15">
        <v>42636.754525462966</v>
      </c>
      <c r="F222" s="15">
        <v>42636.761064814818</v>
      </c>
      <c r="G222" s="7">
        <v>9</v>
      </c>
      <c r="H222" s="15" t="s">
        <v>683</v>
      </c>
      <c r="I222" s="15">
        <v>42636.768391203703</v>
      </c>
      <c r="J222" s="7">
        <v>0</v>
      </c>
      <c r="K222" s="121" t="str">
        <f t="shared" si="133"/>
        <v>4025/4026</v>
      </c>
      <c r="L222" s="24" t="str">
        <f>VLOOKUP(A222,'Trips&amp;Operators'!$C$1:$E$10000,3,FALSE)</f>
        <v>ARVIDSON</v>
      </c>
      <c r="M222" s="6">
        <f t="shared" si="134"/>
        <v>7.326388884393964E-3</v>
      </c>
      <c r="N222" s="7">
        <f t="shared" si="135"/>
        <v>10.549999993527308</v>
      </c>
      <c r="O222" s="7"/>
      <c r="P222" s="7"/>
      <c r="Q222" s="25"/>
      <c r="R222" s="25"/>
      <c r="S222" s="37">
        <f t="shared" si="136"/>
        <v>0</v>
      </c>
      <c r="T222" s="52" t="e">
        <f t="shared" si="137"/>
        <v>#VALUE!</v>
      </c>
      <c r="U222" s="163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17:06:31-0600',mode:absolute,to:'2016-09-23 19:26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22" s="54" t="str">
        <f t="shared" si="139"/>
        <v>Y</v>
      </c>
      <c r="X222" s="168" t="e">
        <f t="shared" si="145"/>
        <v>#VALUE!</v>
      </c>
      <c r="Y222" s="69">
        <f t="shared" si="140"/>
        <v>2.2025999999999999</v>
      </c>
      <c r="Z222" s="69">
        <f t="shared" si="141"/>
        <v>0.20810000000000001</v>
      </c>
      <c r="AA222" s="69">
        <f t="shared" si="142"/>
        <v>1.9944999999999999</v>
      </c>
      <c r="AB222" s="66" t="e">
        <f>VLOOKUP(A222,Enforcements!$C$7:$K$20,8,0)</f>
        <v>#N/A</v>
      </c>
      <c r="AC222" s="62" t="e">
        <f>VLOOKUP(A222,Enforcements!$C$7:$E$20,3,0)</f>
        <v>#N/A</v>
      </c>
      <c r="AD222" s="63" t="str">
        <f t="shared" si="143"/>
        <v>60-23</v>
      </c>
      <c r="AE222" s="99" t="str">
        <f t="shared" si="131"/>
        <v>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 &amp; aws s3 cp s3://rtdc.mdm.uploadarchive/RTDC4026/2016-09-24/ "%USERPROFILE%\AppData\Local\Temp\OnboardLogs"\RTDC4026\2016-09-24 --recursive &amp; "%USERPROFILE%\Documents\GitHub\mrs-test-scripts\Headless Mode &amp; Sideloading\WalkAndUnGZ.bat" "%USERPROFILE%\AppData\Local\Temp\OnboardLogs"\RTDC4026\2016-09-24</v>
      </c>
      <c r="AF222" s="96" t="str">
        <f t="shared" si="132"/>
        <v>"C:\Program Files (x86)\AstroGrep\AstroGrep.exe" /spath="%USERPROFILE%\AppData\Local\Temp\OnboardLogs" /stypes="app*4026*20160924*" /stext=" 00:.+((SYSTEM_STATE.+slice.+state.+changed )|(ment ac)|(system.+state.+changed )|(\|lc)|(penalty)|(\[timeout)|(PRM\|1\|D)|(kpr)|(kdp))" /e /r /s</v>
      </c>
      <c r="AG222" s="1" t="str">
        <f t="shared" si="144"/>
        <v>Other</v>
      </c>
      <c r="AH222" s="100" t="str">
        <f t="shared" si="146"/>
        <v>"%USERPROFILE%\Documents\GitHub\eaglep3\Utilities\RefineRTDCRunTimes.py" --tripid 60-23 --locoid 4026 --swversion DE.1.0.7.0 --startMP 300:22026 --initTime 2016-09-23T18:06:31 --startdatetime 2016-09-23T18:15:56 --delay 9 --endMP 204:2081 --enddatetime 2016-09-23T18:26:29 --enforcementcount 0 &gt;&gt;C:\Users\stu\Documents\GitHub\eaglep3-reporting\EC\2016-09-23-refined-times.txt</v>
      </c>
      <c r="AI222" s="134" t="str">
        <f t="shared" si="147"/>
        <v>echo {"issue":{"subject":"","project_id":79,"tracker_id":40,"status_id":1,"priority_id":2,"assigned_to_id":23,"start_date":"2016-09-23","description":"","custom_fields":[{"id":1,"name":"Subdivision","value":"Other"},{"id":4,"name":"Milepost","value":"0.2081"},{"id":17,"name":"Train ID","value":"60-23"},{"id":16,"name":"Locomotive ID","value":"4026"},{"id":130,"name":"Impact","value":""},{"id":150,"name":"Time of Event (Mountain Time)","value":"18:26:29"},{"id":151,"name":"Denver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570</v>
      </c>
      <c r="B223" s="7">
        <v>4022</v>
      </c>
      <c r="C223" s="24" t="s">
        <v>106</v>
      </c>
      <c r="D223" s="24" t="s">
        <v>684</v>
      </c>
      <c r="E223" s="15">
        <v>42636.799328703702</v>
      </c>
      <c r="F223" s="15">
        <v>25568.708333333332</v>
      </c>
      <c r="G223" s="7">
        <v>1</v>
      </c>
      <c r="H223" s="15" t="s">
        <v>685</v>
      </c>
      <c r="I223" s="15">
        <v>25568.708333333332</v>
      </c>
      <c r="J223" s="7">
        <v>0</v>
      </c>
      <c r="K223" s="121" t="str">
        <f t="shared" si="133"/>
        <v>4021/4022</v>
      </c>
      <c r="L223" s="24" t="str">
        <f>VLOOKUP(A223,'Trips&amp;Operators'!$C$1:$E$10000,3,FALSE)</f>
        <v>SWANSON</v>
      </c>
      <c r="M223" s="6">
        <f t="shared" si="134"/>
        <v>0</v>
      </c>
      <c r="N223" s="7">
        <f t="shared" si="135"/>
        <v>0</v>
      </c>
      <c r="O223" s="7"/>
      <c r="P223" s="7"/>
      <c r="Q223" s="25"/>
      <c r="R223" s="25"/>
      <c r="S223" s="37">
        <f t="shared" si="136"/>
        <v>0</v>
      </c>
      <c r="T223" s="52" t="e">
        <f t="shared" si="137"/>
        <v>#VALUE!</v>
      </c>
      <c r="U223" s="163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138"/>
        <v>https://search-rtdc-monitor-bjffxe2xuh6vdkpspy63sjmuny.us-east-1.es.amazonaws.com/_plugin/kibana/#/discover/Steve-Slow-Train-Analysis-(2080s-and-2083s)?_g=(refreshInterval:(display:Off,section:0,value:0),time:(from:'2016-09-23 18:11:02-0600',mode:absolute,to:'1969-12-31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4022%22')),sort:!(Time,asc))</v>
      </c>
      <c r="W223" s="54" t="str">
        <f t="shared" si="139"/>
        <v>Y</v>
      </c>
      <c r="X223" s="168" t="e">
        <f t="shared" si="145"/>
        <v>#VALUE!</v>
      </c>
      <c r="Y223" s="69">
        <f t="shared" si="140"/>
        <v>3.2300000000000002E-2</v>
      </c>
      <c r="Z223" s="69">
        <f t="shared" si="141"/>
        <v>2.4207999999999998</v>
      </c>
      <c r="AA223" s="69">
        <f t="shared" si="142"/>
        <v>2.3884999999999996</v>
      </c>
      <c r="AB223" s="66" t="e">
        <f>VLOOKUP(A223,Enforcements!$C$7:$K$20,8,0)</f>
        <v>#N/A</v>
      </c>
      <c r="AC223" s="62" t="e">
        <f>VLOOKUP(A223,Enforcements!$C$7:$E$20,3,0)</f>
        <v>#N/A</v>
      </c>
      <c r="AD223" s="63" t="str">
        <f t="shared" si="143"/>
        <v>67-23</v>
      </c>
      <c r="AE223" s="99" t="str">
        <f t="shared" si="131"/>
        <v>aws s3 cp s3://rtdc.mdm.uploadarchive/RTDC4022/1969-12-31/ "%USERPROFILE%\AppData\Local\Temp\OnboardLogs"\RTDC4022\1969-12-31 --recursive &amp; "%USERPROFILE%\Documents\GitHub\mrs-test-scripts\Headless Mode &amp; Sideloading\WalkAndUnGZ.bat" "%USERPROFILE%\AppData\Local\Temp\OnboardLogs"\RTDC4022\1969-12-31 &amp; aws s3 cp s3://rtdc.mdm.uploadarchive/RTDC4022/1970-01-01/ "%USERPROFILE%\AppData\Local\Temp\OnboardLogs"\RTDC4022\1970-01-01 --recursive &amp; "%USERPROFILE%\Documents\GitHub\mrs-test-scripts\Headless Mode &amp; Sideloading\WalkAndUnGZ.bat" "%USERPROFILE%\AppData\Local\Temp\OnboardLogs"\RTDC4022\1970-01-01</v>
      </c>
      <c r="AF223" s="96" t="str">
        <f t="shared" si="132"/>
        <v>"C:\Program Files (x86)\AstroGrep\AstroGrep.exe" /spath="%USERPROFILE%\AppData\Local\Temp\OnboardLogs" /stypes="app*4022*19691231*" /stext=" 23:.+((SYSTEM_STATE.+slice.+state.+changed )|(ment ac)|(system.+state.+changed )|(\|lc)|(penalty)|(\[timeout)|(PRM\|1\|D)|(kpr)|(kdp))" /e /r /s</v>
      </c>
      <c r="AG223" s="1" t="str">
        <f t="shared" si="144"/>
        <v>Other</v>
      </c>
      <c r="AH223" s="100" t="str">
        <f t="shared" si="146"/>
        <v>"%USERPROFILE%\Documents\GitHub\eaglep3\Utilities\RefineRTDCRunTimes.py" --tripid 67-23 --locoid 4022 --swversion DE.1.0.7.0 --startMP 204:323 --initTime 2016-09-23T19:11:02 --startdatetime 1969-12-31T17:00:00 --delay 1 --endMP 300:24208 --enddatetime 1969-12-31T17:00:00 --enforcementcount 0 &gt;&gt;C:\Users\stu\Documents\GitHub\eaglep3-reporting\EC\2016-09-23-refined-times.txt</v>
      </c>
      <c r="AI223" s="134" t="str">
        <f t="shared" si="147"/>
        <v>echo {"issue":{"subject":"","project_id":79,"tracker_id":40,"status_id":1,"priority_id":2,"assigned_to_id":23,"start_date":"1969-12-31","description":"","custom_fields":[{"id":1,"name":"Subdivision","value":"Other"},{"id":4,"name":"Milepost","value":"2.4208"},{"id":17,"name":"Train ID","value":"67-23"},{"id":16,"name":"Locomotive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</sheetData>
  <autoFilter ref="A12:AG254"/>
  <sortState ref="A13:AH200">
    <sortCondition ref="AG13:AG200"/>
    <sortCondition ref="AD13:AD200"/>
  </sortState>
  <mergeCells count="1">
    <mergeCell ref="A11:P11"/>
  </mergeCells>
  <conditionalFormatting sqref="W11:W12 W13:X78 W80:W82 W83:X118 W120:X120 W122:X122 W124:X1048576">
    <cfRule type="cellIs" dxfId="46" priority="326" operator="equal">
      <formula>"Y"</formula>
    </cfRule>
  </conditionalFormatting>
  <conditionalFormatting sqref="X13:X78 X83:X118 X120 X122 X124:X1048576">
    <cfRule type="cellIs" dxfId="45" priority="309" operator="greaterThan">
      <formula>1</formula>
    </cfRule>
  </conditionalFormatting>
  <conditionalFormatting sqref="X12:X78 X83:X118 X120 X122 X124:X1048576">
    <cfRule type="cellIs" dxfId="44" priority="306" operator="equal">
      <formula>0</formula>
    </cfRule>
  </conditionalFormatting>
  <conditionalFormatting sqref="A13:S78 A120:S120 A122:S122 A80:S118 A124:S254">
    <cfRule type="expression" dxfId="43" priority="302">
      <formula>$O13&gt;0</formula>
    </cfRule>
  </conditionalFormatting>
  <conditionalFormatting sqref="A13:S78 A120:S120 A122:S122 A80:S118 A124:S254">
    <cfRule type="expression" dxfId="42" priority="301">
      <formula>$P13&gt;0</formula>
    </cfRule>
  </conditionalFormatting>
  <conditionalFormatting sqref="W79:X79 X80:X82">
    <cfRule type="cellIs" dxfId="41" priority="37" operator="equal">
      <formula>"Y"</formula>
    </cfRule>
  </conditionalFormatting>
  <conditionalFormatting sqref="X79:X82">
    <cfRule type="cellIs" dxfId="40" priority="36" operator="greaterThan">
      <formula>1</formula>
    </cfRule>
  </conditionalFormatting>
  <conditionalFormatting sqref="X79:X82">
    <cfRule type="cellIs" dxfId="39" priority="35" operator="equal">
      <formula>0</formula>
    </cfRule>
  </conditionalFormatting>
  <conditionalFormatting sqref="A79:S79">
    <cfRule type="expression" dxfId="38" priority="34">
      <formula>$O79&gt;0</formula>
    </cfRule>
  </conditionalFormatting>
  <conditionalFormatting sqref="A79:S79">
    <cfRule type="expression" dxfId="37" priority="33">
      <formula>$P79&gt;0</formula>
    </cfRule>
  </conditionalFormatting>
  <conditionalFormatting sqref="W119:X119">
    <cfRule type="cellIs" dxfId="36" priority="30" operator="equal">
      <formula>"Y"</formula>
    </cfRule>
  </conditionalFormatting>
  <conditionalFormatting sqref="X119">
    <cfRule type="cellIs" dxfId="35" priority="29" operator="greaterThan">
      <formula>1</formula>
    </cfRule>
  </conditionalFormatting>
  <conditionalFormatting sqref="X119">
    <cfRule type="cellIs" dxfId="34" priority="28" operator="equal">
      <formula>0</formula>
    </cfRule>
  </conditionalFormatting>
  <conditionalFormatting sqref="A119:H119 J119:S119">
    <cfRule type="expression" dxfId="33" priority="27">
      <formula>$O119&gt;0</formula>
    </cfRule>
  </conditionalFormatting>
  <conditionalFormatting sqref="A119:H119 J119:S119">
    <cfRule type="expression" dxfId="32" priority="26">
      <formula>$P119&gt;0</formula>
    </cfRule>
  </conditionalFormatting>
  <conditionalFormatting sqref="W121:X121">
    <cfRule type="cellIs" dxfId="31" priority="23" operator="equal">
      <formula>"Y"</formula>
    </cfRule>
  </conditionalFormatting>
  <conditionalFormatting sqref="X121">
    <cfRule type="cellIs" dxfId="30" priority="22" operator="greaterThan">
      <formula>1</formula>
    </cfRule>
  </conditionalFormatting>
  <conditionalFormatting sqref="X121">
    <cfRule type="cellIs" dxfId="29" priority="21" operator="equal">
      <formula>0</formula>
    </cfRule>
  </conditionalFormatting>
  <conditionalFormatting sqref="A121:H121 J121:S121">
    <cfRule type="expression" dxfId="28" priority="20">
      <formula>$O121&gt;0</formula>
    </cfRule>
  </conditionalFormatting>
  <conditionalFormatting sqref="A121:H121 J121:S121">
    <cfRule type="expression" dxfId="27" priority="19">
      <formula>$P121&gt;0</formula>
    </cfRule>
  </conditionalFormatting>
  <conditionalFormatting sqref="W123:X123">
    <cfRule type="cellIs" dxfId="26" priority="16" operator="equal">
      <formula>"Y"</formula>
    </cfRule>
  </conditionalFormatting>
  <conditionalFormatting sqref="X123">
    <cfRule type="cellIs" dxfId="25" priority="15" operator="greaterThan">
      <formula>1</formula>
    </cfRule>
  </conditionalFormatting>
  <conditionalFormatting sqref="X123">
    <cfRule type="cellIs" dxfId="24" priority="14" operator="equal">
      <formula>0</formula>
    </cfRule>
  </conditionalFormatting>
  <conditionalFormatting sqref="A123:H123 J123:S123">
    <cfRule type="expression" dxfId="23" priority="13">
      <formula>$O123&gt;0</formula>
    </cfRule>
  </conditionalFormatting>
  <conditionalFormatting sqref="A123:H123 J123:S123">
    <cfRule type="expression" dxfId="22" priority="12">
      <formula>$P123&gt;0</formula>
    </cfRule>
  </conditionalFormatting>
  <conditionalFormatting sqref="I119">
    <cfRule type="expression" dxfId="21" priority="9">
      <formula>$O119&gt;0</formula>
    </cfRule>
  </conditionalFormatting>
  <conditionalFormatting sqref="I119">
    <cfRule type="expression" dxfId="20" priority="8">
      <formula>$P119&gt;0</formula>
    </cfRule>
  </conditionalFormatting>
  <conditionalFormatting sqref="I121">
    <cfRule type="expression" dxfId="19" priority="6">
      <formula>$O121&gt;0</formula>
    </cfRule>
  </conditionalFormatting>
  <conditionalFormatting sqref="I121">
    <cfRule type="expression" dxfId="18" priority="5">
      <formula>$P121&gt;0</formula>
    </cfRule>
  </conditionalFormatting>
  <conditionalFormatting sqref="I123">
    <cfRule type="expression" dxfId="17" priority="3">
      <formula>$O123&gt;0</formula>
    </cfRule>
  </conditionalFormatting>
  <conditionalFormatting sqref="I123">
    <cfRule type="expression" dxfId="16" priority="2">
      <formula>$P123&gt;0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0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A230:S254 S13:S78 A13:Q78 S80:S118 A120:Q120 S120 S122 A122:Q122 A80:Q118 S124:S229 A124:Q229</xm:sqref>
        </x14:conditionalFormatting>
        <x14:conditionalFormatting xmlns:xm="http://schemas.microsoft.com/office/excel/2006/main">
          <x14:cfRule type="expression" priority="65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R13:R78 R80:R118 R120 R122 R124:R229</xm:sqref>
        </x14:conditionalFormatting>
        <x14:conditionalFormatting xmlns:xm="http://schemas.microsoft.com/office/excel/2006/main">
          <x14:cfRule type="expression" priority="32" id="{F92C7EAD-9637-4341-8FEC-81B789B9EB3B}">
            <xm:f>IF($AG79="EC",$N79&gt;Variables!$C$2,$N79&gt;Variables!$D$2)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S79 A79:Q79</xm:sqref>
        </x14:conditionalFormatting>
        <x14:conditionalFormatting xmlns:xm="http://schemas.microsoft.com/office/excel/2006/main">
          <x14:cfRule type="expression" priority="31" id="{E94CA611-3AE1-461C-B33C-62C660978875}">
            <xm:f>IF($AG79="EC",$N79&gt;'[Train Runs and Enforcements 2016-09-09.xlsm]Variables'!#REF!,$N79&gt;'[Train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R79</xm:sqref>
        </x14:conditionalFormatting>
        <x14:conditionalFormatting xmlns:xm="http://schemas.microsoft.com/office/excel/2006/main">
          <x14:cfRule type="expression" priority="25" id="{E8AE7A72-4809-49FE-BE44-0E1AE3048C5E}">
            <xm:f>IF($AG119="EC",$N119&gt;Variables!$C$2,$N119&gt;Variables!$D$2)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S119 A119:H119 J119:Q119</xm:sqref>
        </x14:conditionalFormatting>
        <x14:conditionalFormatting xmlns:xm="http://schemas.microsoft.com/office/excel/2006/main">
          <x14:cfRule type="expression" priority="24" id="{D91CDA35-3F80-43EE-B5D5-C574423DA39F}">
            <xm:f>IF($AG119="EC",$N119&gt;'[Train Runs and Enforcements 2016-09-09.xlsm]Variables'!#REF!,$N119&gt;'[Train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R119</xm:sqref>
        </x14:conditionalFormatting>
        <x14:conditionalFormatting xmlns:xm="http://schemas.microsoft.com/office/excel/2006/main">
          <x14:cfRule type="expression" priority="18" id="{AA345331-C38F-4D9B-9A69-6D7EE4087C8E}">
            <xm:f>IF($AG121="EC",$N121&gt;Variables!$C$2,$N121&gt;Variables!$D$2)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S121 A121:H121 J121:Q121</xm:sqref>
        </x14:conditionalFormatting>
        <x14:conditionalFormatting xmlns:xm="http://schemas.microsoft.com/office/excel/2006/main">
          <x14:cfRule type="expression" priority="17" id="{023DA67D-4C93-44B8-8260-CAC052C9923B}">
            <xm:f>IF($AG121="EC",$N121&gt;'[Train Runs and Enforcements 2016-09-09.xlsm]Variables'!#REF!,$N121&gt;'[Train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R121</xm:sqref>
        </x14:conditionalFormatting>
        <x14:conditionalFormatting xmlns:xm="http://schemas.microsoft.com/office/excel/2006/main">
          <x14:cfRule type="expression" priority="11" id="{5847F8DB-C451-4111-9964-6FB771F3EEF1}">
            <xm:f>IF($AG123="EC",$N123&gt;Variables!$C$2,$N123&gt;Variables!$D$2)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S123 A123:H123 J123:Q123</xm:sqref>
        </x14:conditionalFormatting>
        <x14:conditionalFormatting xmlns:xm="http://schemas.microsoft.com/office/excel/2006/main">
          <x14:cfRule type="expression" priority="10" id="{272FB337-4CA6-4E63-B099-1CD2BCABF7A5}">
            <xm:f>IF($AG123="EC",$N123&gt;'[Train Runs and Enforcements 2016-09-09.xlsm]Variables'!#REF!,$N123&gt;'[Train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R123</xm:sqref>
        </x14:conditionalFormatting>
        <x14:conditionalFormatting xmlns:xm="http://schemas.microsoft.com/office/excel/2006/main">
          <x14:cfRule type="expression" priority="7" id="{92DD08D3-CCF3-421A-98CB-1C5B661AE83B}">
            <xm:f>IF($AG119="EC",$N119&gt;Variables!$C$2,$N119&gt;Variables!$D$2)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I119</xm:sqref>
        </x14:conditionalFormatting>
        <x14:conditionalFormatting xmlns:xm="http://schemas.microsoft.com/office/excel/2006/main">
          <x14:cfRule type="expression" priority="4" id="{9EB68CB8-EF25-472A-8857-EF8F3E9094CC}">
            <xm:f>IF($AG121="EC",$N121&gt;Variables!$C$2,$N121&gt;Variables!$D$2)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I121</xm:sqref>
        </x14:conditionalFormatting>
        <x14:conditionalFormatting xmlns:xm="http://schemas.microsoft.com/office/excel/2006/main">
          <x14:cfRule type="expression" priority="1" id="{C1F753DC-2B39-492D-86CD-1B4513A6ECF0}">
            <xm:f>IF($AG123="EC",$N123&gt;Variables!$C$2,$N123&gt;Variables!$D$2)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I123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AK13:AK254</xm:sqref>
        </x14:dataValidation>
        <x14:dataValidation type="list" allowBlank="1" showInputMessage="1" showErrorMessage="1">
          <x14:formula1>
            <xm:f>'Redmine List Values'!$C$2:$C$20</xm:f>
          </x14:formula1>
          <xm:sqref>AL13:AL254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6"/>
  <sheetViews>
    <sheetView topLeftCell="A2" workbookViewId="0">
      <selection activeCell="P11" sqref="E11:P2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5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  <c r="AC1" s="175"/>
    </row>
    <row r="2" spans="1:29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COUNTIF($O$7:$O$400,"=Y")</f>
        <v>14</v>
      </c>
      <c r="P2" s="123"/>
      <c r="R2" s="97"/>
      <c r="S2" s="109"/>
      <c r="T2" s="94"/>
      <c r="V2" s="50"/>
      <c r="AC2" s="176"/>
    </row>
    <row r="3" spans="1:29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COUNTA($O$7:$O$400)-O2</f>
        <v>47</v>
      </c>
      <c r="P3" s="123"/>
      <c r="R3" s="97"/>
      <c r="S3" s="109"/>
      <c r="T3" s="94"/>
      <c r="V3" s="50"/>
      <c r="AC3" s="176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  <c r="AC4" s="176"/>
    </row>
    <row r="5" spans="1:29" s="11" customFormat="1" ht="15" customHeight="1" x14ac:dyDescent="0.25">
      <c r="A5" s="179" t="str">
        <f>"Eagle P3 Braking Events - "&amp;TEXT(Variables!$A$2,"YYYY-mm-dd")</f>
        <v>Eagle P3 Braking Events - 2016-09-23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7"/>
      <c r="S5" s="110"/>
      <c r="T5" s="112"/>
      <c r="V5" s="51"/>
      <c r="AC5" s="177"/>
    </row>
    <row r="6" spans="1:29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179</v>
      </c>
      <c r="J6" s="136" t="s">
        <v>30</v>
      </c>
      <c r="K6" s="137" t="s">
        <v>29</v>
      </c>
      <c r="L6" s="149" t="s">
        <v>28</v>
      </c>
      <c r="M6" s="137" t="s">
        <v>180</v>
      </c>
      <c r="N6" s="138" t="s">
        <v>47</v>
      </c>
      <c r="O6" s="173" t="s">
        <v>27</v>
      </c>
      <c r="P6" s="136" t="s">
        <v>24</v>
      </c>
      <c r="Q6" s="139"/>
      <c r="R6" s="140" t="s">
        <v>96</v>
      </c>
      <c r="S6" s="141" t="s">
        <v>61</v>
      </c>
      <c r="T6" s="142" t="s">
        <v>95</v>
      </c>
      <c r="U6" s="136" t="s">
        <v>90</v>
      </c>
      <c r="V6" s="143" t="s">
        <v>91</v>
      </c>
      <c r="W6" s="139" t="s">
        <v>103</v>
      </c>
      <c r="X6" s="139" t="s">
        <v>104</v>
      </c>
      <c r="Y6" s="144" t="s">
        <v>161</v>
      </c>
      <c r="Z6" s="145" t="s">
        <v>162</v>
      </c>
      <c r="AA6" s="145" t="s">
        <v>135</v>
      </c>
      <c r="AB6" s="145" t="s">
        <v>163</v>
      </c>
      <c r="AC6" s="178" t="s">
        <v>256</v>
      </c>
    </row>
    <row r="7" spans="1:29" s="1" customFormat="1" x14ac:dyDescent="0.25">
      <c r="A7" s="38">
        <v>42636.287141203706</v>
      </c>
      <c r="B7" s="33" t="s">
        <v>252</v>
      </c>
      <c r="C7" s="33" t="s">
        <v>422</v>
      </c>
      <c r="D7" s="33" t="s">
        <v>237</v>
      </c>
      <c r="E7" s="33" t="s">
        <v>169</v>
      </c>
      <c r="F7" s="49">
        <v>0</v>
      </c>
      <c r="G7" s="49">
        <v>263</v>
      </c>
      <c r="H7" s="49">
        <v>33180</v>
      </c>
      <c r="I7" s="49">
        <v>33373</v>
      </c>
      <c r="J7" s="33" t="s">
        <v>168</v>
      </c>
      <c r="K7" s="49">
        <v>33137</v>
      </c>
      <c r="L7" s="150" t="s">
        <v>52</v>
      </c>
      <c r="M7" s="153">
        <f t="shared" ref="M7:M38" si="0">CONVERT((I7-K7)/10000,"mi","ft")*IF(L7="Increasing Mileposts (1)",-1,1)</f>
        <v>-124.608</v>
      </c>
      <c r="N7" s="92" t="str">
        <f>VLOOKUP(C7,'Trips&amp;Operators'!$C$1:$E$99999,3,FALSE)</f>
        <v>SPECTOR</v>
      </c>
      <c r="O7" s="174" t="s">
        <v>86</v>
      </c>
      <c r="P7" s="10" t="s">
        <v>279</v>
      </c>
      <c r="Q7" s="33"/>
      <c r="R7" s="108" t="str">
        <f>VLOOKUP(C7,'Train Runs'!$A$13:$AE$10017,31,0)</f>
        <v>aws s3 cp s3://rtdc.mdm.uploadarchive/RTDC4011/2016-09-23/ "%USERPROFILE%\AppData\Local\Temp\OnboardLogs"\RTDC4011\2016-09-23 --recursive &amp; "%USERPROFILE%\Documents\GitHub\mrs-test-scripts\Headless Mode &amp; Sideloading\WalkAndUnGZ.bat" "%USERPROFILE%\AppData\Local\Temp\OnboardLogs"\RTDC4011\2016-09-23 &amp; aws s3 cp s3://rtdc.mdm.uploadarchive/RTDC4011/2016-09-24/ "%USERPROFILE%\AppData\Local\Temp\OnboardLogs"\RTDC4011\2016-09-24 --recursive &amp; "%USERPROFILE%\Documents\GitHub\mrs-test-scripts\Headless Mode &amp; Sideloading\WalkAndUnGZ.bat" "%USERPROFILE%\AppData\Local\Temp\OnboardLogs"\RTDC4011\2016-09-24</v>
      </c>
      <c r="S7" s="111" t="str">
        <f>VLOOKUP(C7,'Train Runs'!$A$13:$AE$10017,22,0)</f>
        <v>https://search-rtdc-monitor-bjffxe2xuh6vdkpspy63sjmuny.us-east-1.es.amazonaws.com/_plugin/kibana/#/discover/Steve-Slow-Train-Analysis-(2080s-and-2083s)?_g=(refreshInterval:(display:Off,section:0,value:0),time:(from:'2016-09-23 05:41:50-0600',mode:absolute,to:'2016-09-23 08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7" s="113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/stypes="*4011*201609231*" /stext=" 12:.+((SYSTEM_STATE.+slice.+state.+changed )|(ment ac)|(system.+state.+changed )|(\|lc)|(penalty)|(\[timeout)|(PRM\|1\|D)|(kpr)|(kdp))" /e /r /s</v>
      </c>
      <c r="U7" s="9" t="str">
        <f t="shared" ref="U7:U38" si="2">MID(B7,13,4)</f>
        <v>4011</v>
      </c>
      <c r="V7" s="38">
        <f t="shared" ref="V7:V38" si="3">A7+6/24</f>
        <v>42636.537141203706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arrival","project_id":79,"tracker_id":40,"status_id":1,"priority_id":2,"assigned_to_id":23,"start_date":"2016-09-23","description":"","custom_fields":[{"id":1,"name":"Subdivision","value":"EC"},{"id":4,"name":"Milepost","value":"3.3137"},{"id":17,"name":"Train ID","value":"125-23"},{"id":16,"name":"Locomotive ID","value":"4011"},{"id":130,"name":"Impact","value":""},{"id":150,"name":"Time of Event (Mountain Time)","value":"06:53:29"},{"id":151,"name":"Denver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5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"%USERPROFILE%\AppData\Local\Temp\OnboardLogs"\RTDC4011\*4011*201609231* | grep -SE "((Enforcement Ac)|(PRM))" -</v>
      </c>
    </row>
    <row r="8" spans="1:29" s="1" customFormat="1" x14ac:dyDescent="0.25">
      <c r="A8" s="38">
        <v>42636.341111111113</v>
      </c>
      <c r="B8" s="33" t="s">
        <v>253</v>
      </c>
      <c r="C8" s="33" t="s">
        <v>433</v>
      </c>
      <c r="D8" s="33" t="s">
        <v>105</v>
      </c>
      <c r="E8" s="33" t="s">
        <v>169</v>
      </c>
      <c r="F8" s="49">
        <v>0</v>
      </c>
      <c r="G8" s="49">
        <v>186</v>
      </c>
      <c r="H8" s="49">
        <v>33240</v>
      </c>
      <c r="I8" s="49">
        <v>33159</v>
      </c>
      <c r="J8" s="33" t="s">
        <v>168</v>
      </c>
      <c r="K8" s="49">
        <v>33257</v>
      </c>
      <c r="L8" s="150" t="s">
        <v>53</v>
      </c>
      <c r="M8" s="153">
        <f t="shared" si="0"/>
        <v>-51.744</v>
      </c>
      <c r="N8" s="92" t="str">
        <f>VLOOKUP(C8,'Trips&amp;Operators'!$C$1:$E$99999,3,FALSE)</f>
        <v>SPECTOR</v>
      </c>
      <c r="O8" s="174" t="s">
        <v>86</v>
      </c>
      <c r="P8" s="10" t="s">
        <v>279</v>
      </c>
      <c r="Q8" s="33"/>
      <c r="R8" s="108" t="str">
        <f>VLOOKUP(C8,'Train Runs'!$A$13:$AE$10017,31,0)</f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S8" s="111" t="str">
        <f>VLOOKUP(C8,'Train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06:40:02-0600',mode:absolute,to:'2016-09-23 09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8" s="113" t="str">
        <f t="shared" si="1"/>
        <v>"C:\Program Files (x86)\AstroGrep\AstroGrep.exe" /spath="%USERPROFILE%\AppData\Local\Temp\OnboardLogs" /stypes="*4012*201609231*" /stext=" 14:.+((SYSTEM_STATE.+slice.+state.+changed )|(ment ac)|(system.+state.+changed )|(\|lc)|(penalty)|(\[timeout)|(PRM\|1\|D)|(kpr)|(kdp))" /e /r /s</v>
      </c>
      <c r="U8" s="9" t="str">
        <f t="shared" si="2"/>
        <v>4012</v>
      </c>
      <c r="V8" s="38">
        <f t="shared" si="3"/>
        <v>42636.591111111113</v>
      </c>
      <c r="W8" s="52" t="str">
        <f t="shared" si="4"/>
        <v>EC</v>
      </c>
      <c r="X8" s="52" t="str">
        <f t="shared" si="5"/>
        <v>KEEP</v>
      </c>
      <c r="Y8" s="134" t="str">
        <f t="shared" si="6"/>
        <v>echo {"issue":{"subject":"Early arrival","project_id":79,"tracker_id":40,"status_id":1,"priority_id":2,"assigned_to_id":23,"start_date":"2016-09-23","description":"","custom_fields":[{"id":1,"name":"Subdivision","value":"EC"},{"id":4,"name":"Milepost","value":"3.3257"},{"id":17,"name":"Train ID","value":"126-23"},{"id":16,"name":"Locomotive ID","value":"4012"},{"id":130,"name":"Impact","value":""},{"id":150,"name":"Time of Event (Mountain Time)","value":"08:11:12"},{"id":151,"name":"Denver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5" t="str">
        <f t="shared" si="7"/>
        <v>grep -hSE -A100 "Enforcement Action" "%USERPROFILE%\AppData\Local\Temp\OnboardLogs"\RTDC4012\*4012*201609231* | grep -SE "((Enforcement Ac)|(PRM))" -</v>
      </c>
    </row>
    <row r="9" spans="1:29" s="1" customFormat="1" x14ac:dyDescent="0.25">
      <c r="A9" s="38">
        <v>42636.814212962963</v>
      </c>
      <c r="B9" s="33" t="s">
        <v>332</v>
      </c>
      <c r="C9" s="33" t="s">
        <v>564</v>
      </c>
      <c r="D9" s="33" t="s">
        <v>237</v>
      </c>
      <c r="E9" s="33" t="s">
        <v>169</v>
      </c>
      <c r="F9" s="49">
        <v>0</v>
      </c>
      <c r="G9" s="49">
        <v>263</v>
      </c>
      <c r="H9" s="49">
        <v>33185</v>
      </c>
      <c r="I9" s="49">
        <v>32800</v>
      </c>
      <c r="J9" s="33" t="s">
        <v>168</v>
      </c>
      <c r="K9" s="49">
        <v>33257</v>
      </c>
      <c r="L9" s="150" t="s">
        <v>53</v>
      </c>
      <c r="M9" s="153">
        <f t="shared" si="0"/>
        <v>-241.29599999999999</v>
      </c>
      <c r="N9" s="92" t="str">
        <f>VLOOKUP(C9,'Trips&amp;Operators'!$C$1:$E$99999,3,FALSE)</f>
        <v>STORY</v>
      </c>
      <c r="O9" s="174" t="s">
        <v>86</v>
      </c>
      <c r="P9" s="10" t="s">
        <v>279</v>
      </c>
      <c r="Q9" s="33"/>
      <c r="R9" s="108" t="str">
        <f>VLOOKUP(C9,'Train Runs'!$A$13:$AE$10017,31,0)</f>
        <v>aws s3 cp s3://rtdc.mdm.uploadarchive/RTDC4030/2016-09-23/ "%USERPROFILE%\AppData\Local\Temp\OnboardLogs"\RTDC4030\2016-09-23 --recursive &amp; "%USERPROFILE%\Documents\GitHub\mrs-test-scripts\Headless Mode &amp; Sideloading\WalkAndUnGZ.bat" "%USERPROFILE%\AppData\Local\Temp\OnboardLogs"\RTDC4030\2016-09-23 &amp; aws s3 cp s3://rtdc.mdm.uploadarchive/RTDC4030/2016-09-24/ "%USERPROFILE%\AppData\Local\Temp\OnboardLogs"\RTDC4030\2016-09-24 --recursive &amp; "%USERPROFILE%\Documents\GitHub\mrs-test-scripts\Headless Mode &amp; Sideloading\WalkAndUnGZ.bat" "%USERPROFILE%\AppData\Local\Temp\OnboardLogs"\RTDC4030\2016-09-24</v>
      </c>
      <c r="S9" s="111" t="str">
        <f>VLOOKUP(C9,'Train Runs'!$A$13:$AE$10017,22,0)</f>
        <v>https://search-rtdc-monitor-bjffxe2xuh6vdkpspy63sjmuny.us-east-1.es.amazonaws.com/_plugin/kibana/#/discover/Steve-Slow-Train-Analysis-(2080s-and-2083s)?_g=(refreshInterval:(display:Off,section:0,value:0),time:(from:'2016-09-23 17:47:41-0600',mode:absolute,to:'2016-09-23 20:41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9" s="113" t="str">
        <f t="shared" si="1"/>
        <v>"C:\Program Files (x86)\AstroGrep\AstroGrep.exe" /spath="%USERPROFILE%\AppData\Local\Temp\OnboardLogs" /stypes="*4030*201609240*" /stext=" 01:.+((SYSTEM_STATE.+slice.+state.+changed )|(ment ac)|(system.+state.+changed )|(\|lc)|(penalty)|(\[timeout)|(PRM\|1\|D)|(kpr)|(kdp))" /e /r /s</v>
      </c>
      <c r="U9" s="9" t="str">
        <f t="shared" si="2"/>
        <v>4030</v>
      </c>
      <c r="V9" s="38">
        <f t="shared" si="3"/>
        <v>42637.064212962963</v>
      </c>
      <c r="W9" s="52" t="str">
        <f t="shared" si="4"/>
        <v>EC</v>
      </c>
      <c r="X9" s="52" t="str">
        <f t="shared" si="5"/>
        <v>KEEP</v>
      </c>
      <c r="Y9" s="134" t="str">
        <f t="shared" si="6"/>
        <v>echo {"issue":{"subject":"Early arrival","project_id":79,"tracker_id":40,"status_id":1,"priority_id":2,"assigned_to_id":23,"start_date":"2016-09-23","description":"","custom_fields":[{"id":1,"name":"Subdivision","value":"EC"},{"id":4,"name":"Milepost","value":"3.3257"},{"id":17,"name":"Train ID","value":"216-23"},{"id":16,"name":"Locomotive ID","value":"4030"},{"id":130,"name":"Impact","value":""},{"id":150,"name":"Time of Event (Mountain Time)","value":"19:32:28"},{"id":151,"name":"Denver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5" t="str">
        <f t="shared" si="7"/>
        <v>grep -hSE -A100 "Enforcement Action" "%USERPROFILE%\AppData\Local\Temp\OnboardLogs"\RTDC4030\*4030*201609240* | grep -SE "((Enforcement Ac)|(PRM))" -</v>
      </c>
    </row>
    <row r="10" spans="1:29" s="1" customFormat="1" x14ac:dyDescent="0.25">
      <c r="A10" s="38">
        <v>42636.26829861111</v>
      </c>
      <c r="B10" s="33" t="s">
        <v>305</v>
      </c>
      <c r="C10" s="33" t="s">
        <v>415</v>
      </c>
      <c r="D10" s="33" t="s">
        <v>49</v>
      </c>
      <c r="E10" s="33" t="s">
        <v>169</v>
      </c>
      <c r="F10" s="49">
        <v>280</v>
      </c>
      <c r="G10" s="49">
        <v>335</v>
      </c>
      <c r="H10" s="49">
        <v>42471</v>
      </c>
      <c r="I10" s="49">
        <v>43174</v>
      </c>
      <c r="J10" s="33" t="s">
        <v>168</v>
      </c>
      <c r="K10" s="49">
        <v>42779</v>
      </c>
      <c r="L10" s="150" t="s">
        <v>52</v>
      </c>
      <c r="M10" s="153">
        <f t="shared" si="0"/>
        <v>-208.56</v>
      </c>
      <c r="N10" s="92" t="str">
        <f>VLOOKUP(C10,'Trips&amp;Operators'!$C$1:$E$99999,3,FALSE)</f>
        <v>BRANNON</v>
      </c>
      <c r="O10" s="174" t="s">
        <v>86</v>
      </c>
      <c r="P10" s="10" t="s">
        <v>279</v>
      </c>
      <c r="Q10" s="33"/>
      <c r="R10" s="108" t="str">
        <f>VLOOKUP(C10,'Train Runs'!$A$13:$AE$10017,31,0)</f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S10" s="111" t="str">
        <f>VLOOKUP(C10,'Train Runs'!$A$13:$AE$10017,22,0)</f>
        <v>https://search-rtdc-monitor-bjffxe2xuh6vdkpspy63sjmuny.us-east-1.es.amazonaws.com/_plugin/kibana/#/discover/Steve-Slow-Train-Analysis-(2080s-and-2083s)?_g=(refreshInterval:(display:Off,section:0,value:0),time:(from:'2016-09-23 05:09:12-0600',mode:absolute,to:'2016-09-23 07:53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10" s="113" t="str">
        <f t="shared" si="1"/>
        <v>"C:\Program Files (x86)\AstroGrep\AstroGrep.exe" /spath="%USERPROFILE%\AppData\Local\Temp\OnboardLogs" /stypes="*4016*201609231*" /stext=" 12:.+((SYSTEM_STATE.+slice.+state.+changed )|(ment ac)|(system.+state.+changed )|(\|lc)|(penalty)|(\[timeout)|(PRM\|1\|D)|(kpr)|(kdp))" /e /r /s</v>
      </c>
      <c r="U10" s="9" t="str">
        <f t="shared" si="2"/>
        <v>4016</v>
      </c>
      <c r="V10" s="38">
        <f t="shared" si="3"/>
        <v>42636.51829861111</v>
      </c>
      <c r="W10" s="52" t="str">
        <f t="shared" si="4"/>
        <v>EC</v>
      </c>
      <c r="X10" s="52" t="str">
        <f t="shared" si="5"/>
        <v>KEEP</v>
      </c>
      <c r="Y10" s="134" t="str">
        <f t="shared" si="6"/>
        <v>echo {"issue":{"subject":"Early arrival","project_id":79,"tracker_id":40,"status_id":1,"priority_id":2,"assigned_to_id":23,"start_date":"2016-09-23","description":"","custom_fields":[{"id":1,"name":"Subdivision","value":"EC"},{"id":4,"name":"Milepost","value":"4.2779"},{"id":17,"name":"Train ID","value":"121-23"},{"id":16,"name":"Locomotive ID","value":"4016"},{"id":130,"name":"Impact","value":""},{"id":150,"name":"Time of Event (Mountain Time)","value":"06:26:21"},{"id":151,"name":"Denver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5" t="str">
        <f t="shared" si="7"/>
        <v>grep -hSE -A100 "Enforcement Action" "%USERPROFILE%\AppData\Local\Temp\OnboardLogs"\RTDC4016\*4016*201609231* | grep -SE "((Enforcement Ac)|(PRM))" -</v>
      </c>
    </row>
    <row r="11" spans="1:29" s="1" customFormat="1" x14ac:dyDescent="0.25">
      <c r="A11" s="38">
        <v>42636.256898148145</v>
      </c>
      <c r="B11" s="33" t="s">
        <v>247</v>
      </c>
      <c r="C11" s="33" t="s">
        <v>408</v>
      </c>
      <c r="D11" s="33" t="s">
        <v>49</v>
      </c>
      <c r="E11" s="33" t="s">
        <v>169</v>
      </c>
      <c r="F11" s="49">
        <v>0</v>
      </c>
      <c r="G11" s="49">
        <v>593</v>
      </c>
      <c r="H11" s="49">
        <v>48128</v>
      </c>
      <c r="I11" s="49">
        <v>46067</v>
      </c>
      <c r="J11" s="33" t="s">
        <v>168</v>
      </c>
      <c r="K11" s="49">
        <v>48048</v>
      </c>
      <c r="L11" s="150" t="s">
        <v>53</v>
      </c>
      <c r="M11" s="153">
        <f t="shared" si="0"/>
        <v>-1045.9680000000001</v>
      </c>
      <c r="N11" s="92" t="str">
        <f>VLOOKUP(C11,'Trips&amp;Operators'!$C$1:$E$99999,3,FALSE)</f>
        <v>GEBRETEKLE</v>
      </c>
      <c r="O11" s="174" t="s">
        <v>86</v>
      </c>
      <c r="P11" s="10" t="s">
        <v>279</v>
      </c>
      <c r="Q11" s="33"/>
      <c r="R11" s="108" t="str">
        <f>VLOOKUP(C11,'Train Runs'!$A$13:$AE$10017,31,0)</f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S11" s="111" t="str">
        <f>VLOOKUP(C11,'Train Runs'!$A$13:$AE$10017,22,0)</f>
        <v>https://search-rtdc-monitor-bjffxe2xuh6vdkpspy63sjmuny.us-east-1.es.amazonaws.com/_plugin/kibana/#/discover/Steve-Slow-Train-Analysis-(2080s-and-2083s)?_g=(refreshInterval:(display:Off,section:0,value:0),time:(from:'2016-09-23 04:36:30-0600',mode:absolute,to:'2016-09-23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11" s="113" t="str">
        <f t="shared" si="1"/>
        <v>"C:\Program Files (x86)\AstroGrep\AstroGrep.exe" /spath="%USERPROFILE%\AppData\Local\Temp\OnboardLogs" /stypes="*4004*201609231*" /stext=" 12:.+((SYSTEM_STATE.+slice.+state.+changed )|(ment ac)|(system.+state.+changed )|(\|lc)|(penalty)|(\[timeout)|(PRM\|1\|D)|(kpr)|(kdp))" /e /r /s</v>
      </c>
      <c r="U11" s="9" t="str">
        <f t="shared" si="2"/>
        <v>4004</v>
      </c>
      <c r="V11" s="38">
        <f t="shared" si="3"/>
        <v>42636.506898148145</v>
      </c>
      <c r="W11" s="52" t="str">
        <f t="shared" si="4"/>
        <v>EC</v>
      </c>
      <c r="X11" s="52" t="str">
        <f t="shared" si="5"/>
        <v>KEEP</v>
      </c>
      <c r="Y11" s="134" t="str">
        <f t="shared" si="6"/>
        <v>echo {"issue":{"subject":"Early arrival","project_id":79,"tracker_id":40,"status_id":1,"priority_id":2,"assigned_to_id":23,"start_date":"2016-09-23","description":"","custom_fields":[{"id":1,"name":"Subdivision","value":"EC"},{"id":4,"name":"Milepost","value":"4.8048"},{"id":17,"name":"Train ID","value":"110-23"},{"id":16,"name":"Locomotive ID","value":"4004"},{"id":130,"name":"Impact","value":""},{"id":150,"name":"Time of Event (Mountain Time)","value":"06:09:56"},{"id":151,"name":"Denver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5" t="str">
        <f t="shared" si="7"/>
        <v>grep -hSE -A100 "Enforcement Action" "%USERPROFILE%\AppData\Local\Temp\OnboardLogs"\RTDC4004\*4004*201609231* | grep -SE "((Enforcement Ac)|(PRM))" -</v>
      </c>
    </row>
    <row r="12" spans="1:29" s="1" customFormat="1" x14ac:dyDescent="0.25">
      <c r="A12" s="38">
        <v>42636.680775462963</v>
      </c>
      <c r="B12" s="33" t="s">
        <v>404</v>
      </c>
      <c r="C12" s="33" t="s">
        <v>527</v>
      </c>
      <c r="D12" s="33" t="s">
        <v>49</v>
      </c>
      <c r="E12" s="33" t="s">
        <v>169</v>
      </c>
      <c r="F12" s="49">
        <v>0</v>
      </c>
      <c r="G12" s="49">
        <v>21</v>
      </c>
      <c r="H12" s="49">
        <v>78555</v>
      </c>
      <c r="I12" s="49">
        <v>78546</v>
      </c>
      <c r="J12" s="33" t="s">
        <v>168</v>
      </c>
      <c r="K12" s="49">
        <v>78469</v>
      </c>
      <c r="L12" s="150" t="s">
        <v>53</v>
      </c>
      <c r="M12" s="153">
        <f t="shared" si="0"/>
        <v>40.655999999999999</v>
      </c>
      <c r="N12" s="92" t="str">
        <f>VLOOKUP(C12,'Trips&amp;Operators'!$C$1:$E$99999,3,FALSE)</f>
        <v>BONDS</v>
      </c>
      <c r="O12" s="174" t="s">
        <v>86</v>
      </c>
      <c r="P12" s="10" t="s">
        <v>327</v>
      </c>
      <c r="Q12" s="33"/>
      <c r="R12" s="108" t="str">
        <f>VLOOKUP(C12,'Train Runs'!$A$13:$AE$10017,31,0)</f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S12" s="111" t="str">
        <f>VLOOKUP(C12,'Train Runs'!$A$13:$AE$10017,22,0)</f>
        <v>https://search-rtdc-monitor-bjffxe2xuh6vdkpspy63sjmuny.us-east-1.es.amazonaws.com/_plugin/kibana/#/discover/Steve-Slow-Train-Analysis-(2080s-and-2083s)?_g=(refreshInterval:(display:Off,section:0,value:0),time:(from:'2016-09-23 14:48:32-0600',mode:absolute,to:'2016-09-23 17:39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12" s="113" t="str">
        <f t="shared" si="1"/>
        <v>"C:\Program Files (x86)\AstroGrep\AstroGrep.exe" /spath="%USERPROFILE%\AppData\Local\Temp\OnboardLogs" /stypes="*4015*201609232*" /stext=" 22:.+((SYSTEM_STATE.+slice.+state.+changed )|(ment ac)|(system.+state.+changed )|(\|lc)|(penalty)|(\[timeout)|(PRM\|1\|D)|(kpr)|(kdp))" /e /r /s</v>
      </c>
      <c r="U12" s="9" t="str">
        <f t="shared" si="2"/>
        <v>4015</v>
      </c>
      <c r="V12" s="38">
        <f t="shared" si="3"/>
        <v>42636.930775462963</v>
      </c>
      <c r="W12" s="52" t="str">
        <f t="shared" si="4"/>
        <v>EC</v>
      </c>
      <c r="X12" s="52" t="str">
        <f t="shared" si="5"/>
        <v>KEEP</v>
      </c>
      <c r="Y12" s="134" t="str">
        <f t="shared" si="6"/>
        <v>echo {"issue":{"subject":"Form C","project_id":79,"tracker_id":40,"status_id":1,"priority_id":2,"assigned_to_id":23,"start_date":"2016-09-23","description":"","custom_fields":[{"id":1,"name":"Subdivision","value":"EC"},{"id":4,"name":"Milepost","value":"7.8469"},{"id":17,"name":"Train ID","value":"192-23"},{"id":16,"name":"Locomotive ID","value":"4015"},{"id":130,"name":"Impact","value":""},{"id":150,"name":"Time of Event (Mountain Time)","value":"16:20:19"},{"id":151,"name":"Denver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5" t="str">
        <f t="shared" si="7"/>
        <v>grep -hSE -A100 "Enforcement Action" "%USERPROFILE%\AppData\Local\Temp\OnboardLogs"\RTDC4015\*4015*201609232* | grep -SE "((Enforcement Ac)|(PRM))" -</v>
      </c>
    </row>
    <row r="13" spans="1:29" s="1" customFormat="1" x14ac:dyDescent="0.25">
      <c r="A13" s="38">
        <v>42636.49560185185</v>
      </c>
      <c r="B13" s="33" t="s">
        <v>246</v>
      </c>
      <c r="C13" s="33" t="s">
        <v>484</v>
      </c>
      <c r="D13" s="33" t="s">
        <v>237</v>
      </c>
      <c r="E13" s="33" t="s">
        <v>611</v>
      </c>
      <c r="F13" s="49">
        <v>0</v>
      </c>
      <c r="G13" s="49">
        <v>42</v>
      </c>
      <c r="H13" s="49">
        <v>31888</v>
      </c>
      <c r="I13" s="49">
        <v>31897</v>
      </c>
      <c r="J13" s="33" t="s">
        <v>612</v>
      </c>
      <c r="K13" s="49">
        <v>1</v>
      </c>
      <c r="L13" s="150" t="s">
        <v>52</v>
      </c>
      <c r="M13" s="153">
        <f t="shared" si="0"/>
        <v>-16841.088</v>
      </c>
      <c r="N13" s="92" t="str">
        <f>VLOOKUP(C13,'Trips&amp;Operators'!$C$1:$E$99999,3,FALSE)</f>
        <v>MOSES</v>
      </c>
      <c r="O13" s="174" t="s">
        <v>614</v>
      </c>
      <c r="P13" s="10" t="s">
        <v>746</v>
      </c>
      <c r="Q13" s="33"/>
      <c r="R13" s="108" t="str">
        <f>VLOOKUP(C13,'Train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13" s="111" t="str">
        <f>VLOOKUP(C13,'Train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10:41:28-0600',mode:absolute,to:'2016-09-23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3" s="113" t="str">
        <f t="shared" si="1"/>
        <v>"C:\Program Files (x86)\AstroGrep\AstroGrep.exe" /spath="%USERPROFILE%\AppData\Local\Temp\OnboardLogs" /stypes="*4003*201609231*" /stext=" 17:.+((SYSTEM_STATE.+slice.+state.+changed )|(ment ac)|(system.+state.+changed )|(\|lc)|(penalty)|(\[timeout)|(PRM\|1\|D)|(kpr)|(kdp))" /e /r /s</v>
      </c>
      <c r="U13" s="9" t="str">
        <f t="shared" si="2"/>
        <v>4003</v>
      </c>
      <c r="V13" s="38">
        <f t="shared" si="3"/>
        <v>42636.74560185185</v>
      </c>
      <c r="W13" s="52" t="str">
        <f t="shared" si="4"/>
        <v>EC</v>
      </c>
      <c r="X13" s="52" t="str">
        <f t="shared" si="5"/>
        <v>KEEP</v>
      </c>
      <c r="Y13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issue","project_id":79,"tracker_id":40,"status_id":1,"priority_id":2,"assigned_to_id":23,"start_date":"2016-09-23","description":"","custom_fields":[{"id":1,"name":"Subdivision","value":"EC"},{"id":4,"name":"Milepost","value":"0.0001"},{"id":17,"name":"Train ID","value":"165-23"},{"id":16,"name":"Locomotive ID","value":"4003"},{"id":130,"name":"Impact","value":""},{"id":150,"name":"Time of Event (Mountain Time)","value":"11:53:40"},{"id":151,"name":"Denver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5" t="str">
        <f t="shared" si="7"/>
        <v>grep -hSE -A100 "Enforcement Action" "%USERPROFILE%\AppData\Local\Temp\OnboardLogs"\RTDC4003\*4003*201609231* | grep -SE "((Enforcement Ac)|(PRM))" -</v>
      </c>
    </row>
    <row r="14" spans="1:29" s="1" customFormat="1" x14ac:dyDescent="0.25">
      <c r="A14" s="38">
        <v>42636.49628472222</v>
      </c>
      <c r="B14" s="33" t="s">
        <v>246</v>
      </c>
      <c r="C14" s="33" t="s">
        <v>484</v>
      </c>
      <c r="D14" s="33" t="s">
        <v>237</v>
      </c>
      <c r="E14" s="33" t="s">
        <v>611</v>
      </c>
      <c r="F14" s="49">
        <v>0</v>
      </c>
      <c r="G14" s="49">
        <v>26</v>
      </c>
      <c r="H14" s="49">
        <v>31894</v>
      </c>
      <c r="I14" s="49">
        <v>31894</v>
      </c>
      <c r="J14" s="33" t="s">
        <v>612</v>
      </c>
      <c r="K14" s="49">
        <v>1</v>
      </c>
      <c r="L14" s="150" t="s">
        <v>52</v>
      </c>
      <c r="M14" s="153">
        <f t="shared" si="0"/>
        <v>-16839.504000000001</v>
      </c>
      <c r="N14" s="92" t="str">
        <f>VLOOKUP(C14,'Trips&amp;Operators'!$C$1:$E$99999,3,FALSE)</f>
        <v>MOSES</v>
      </c>
      <c r="O14" s="174" t="s">
        <v>614</v>
      </c>
      <c r="P14" s="10" t="s">
        <v>746</v>
      </c>
      <c r="Q14" s="33"/>
      <c r="R14" s="108" t="str">
        <f>VLOOKUP(C14,'Train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14" s="111" t="str">
        <f>VLOOKUP(C14,'Train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10:41:28-0600',mode:absolute,to:'2016-09-23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4" s="113" t="str">
        <f t="shared" si="1"/>
        <v>"C:\Program Files (x86)\AstroGrep\AstroGrep.exe" /spath="%USERPROFILE%\AppData\Local\Temp\OnboardLogs" /stypes="*4003*201609231*" /stext=" 17:.+((SYSTEM_STATE.+slice.+state.+changed )|(ment ac)|(system.+state.+changed )|(\|lc)|(penalty)|(\[timeout)|(PRM\|1\|D)|(kpr)|(kdp))" /e /r /s</v>
      </c>
      <c r="U14" s="9" t="str">
        <f t="shared" si="2"/>
        <v>4003</v>
      </c>
      <c r="V14" s="38">
        <f t="shared" si="3"/>
        <v>42636.74628472222</v>
      </c>
      <c r="W14" s="52" t="str">
        <f t="shared" si="4"/>
        <v>EC</v>
      </c>
      <c r="X14" s="52" t="str">
        <f t="shared" si="5"/>
        <v>KEEP</v>
      </c>
      <c r="Y14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issue","project_id":79,"tracker_id":40,"status_id":1,"priority_id":2,"assigned_to_id":23,"start_date":"2016-09-23","description":"","custom_fields":[{"id":1,"name":"Subdivision","value":"EC"},{"id":4,"name":"Milepost","value":"0.0001"},{"id":17,"name":"Train ID","value":"165-23"},{"id":16,"name":"Locomotive ID","value":"4003"},{"id":130,"name":"Impact","value":""},{"id":150,"name":"Time of Event (Mountain Time)","value":"11:54:39"},{"id":151,"name":"Denver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5" t="str">
        <f t="shared" si="7"/>
        <v>grep -hSE -A100 "Enforcement Action" "%USERPROFILE%\AppData\Local\Temp\OnboardLogs"\RTDC4003\*4003*201609231* | grep -SE "((Enforcement Ac)|(PRM))" -</v>
      </c>
    </row>
    <row r="15" spans="1:29" s="1" customFormat="1" x14ac:dyDescent="0.25">
      <c r="A15" s="38">
        <v>42636.496979166666</v>
      </c>
      <c r="B15" s="33" t="s">
        <v>246</v>
      </c>
      <c r="C15" s="33" t="s">
        <v>484</v>
      </c>
      <c r="D15" s="33" t="s">
        <v>237</v>
      </c>
      <c r="E15" s="33" t="s">
        <v>611</v>
      </c>
      <c r="F15" s="49">
        <v>0</v>
      </c>
      <c r="G15" s="49">
        <v>26</v>
      </c>
      <c r="H15" s="49">
        <v>31894</v>
      </c>
      <c r="I15" s="49">
        <v>33192</v>
      </c>
      <c r="J15" s="33" t="s">
        <v>612</v>
      </c>
      <c r="K15" s="49">
        <v>1</v>
      </c>
      <c r="L15" s="150" t="s">
        <v>52</v>
      </c>
      <c r="M15" s="153">
        <f t="shared" si="0"/>
        <v>-17524.848000000002</v>
      </c>
      <c r="N15" s="92" t="str">
        <f>VLOOKUP(C15,'Trips&amp;Operators'!$C$1:$E$99999,3,FALSE)</f>
        <v>MOSES</v>
      </c>
      <c r="O15" s="174" t="s">
        <v>614</v>
      </c>
      <c r="P15" s="10" t="s">
        <v>746</v>
      </c>
      <c r="Q15" s="33"/>
      <c r="R15" s="108" t="str">
        <f>VLOOKUP(C15,'Train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15" s="111" t="str">
        <f>VLOOKUP(C15,'Train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10:41:28-0600',mode:absolute,to:'2016-09-23 13:24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15" s="113" t="str">
        <f t="shared" si="1"/>
        <v>"C:\Program Files (x86)\AstroGrep\AstroGrep.exe" /spath="%USERPROFILE%\AppData\Local\Temp\OnboardLogs" /stypes="*4003*201609231*" /stext=" 17:.+((SYSTEM_STATE.+slice.+state.+changed )|(ment ac)|(system.+state.+changed )|(\|lc)|(penalty)|(\[timeout)|(PRM\|1\|D)|(kpr)|(kdp))" /e /r /s</v>
      </c>
      <c r="U15" s="9" t="str">
        <f t="shared" si="2"/>
        <v>4003</v>
      </c>
      <c r="V15" s="38">
        <f t="shared" si="3"/>
        <v>42636.746979166666</v>
      </c>
      <c r="W15" s="52" t="str">
        <f t="shared" si="4"/>
        <v>EC</v>
      </c>
      <c r="X15" s="52" t="str">
        <f t="shared" si="5"/>
        <v>KEEP</v>
      </c>
      <c r="Y15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issue","project_id":79,"tracker_id":40,"status_id":1,"priority_id":2,"assigned_to_id":23,"start_date":"2016-09-23","description":"","custom_fields":[{"id":1,"name":"Subdivision","value":"EC"},{"id":4,"name":"Milepost","value":"0.0001"},{"id":17,"name":"Train ID","value":"165-23"},{"id":16,"name":"Locomotive ID","value":"4003"},{"id":130,"name":"Impact","value":""},{"id":150,"name":"Time of Event (Mountain Time)","value":"11:55:39"},{"id":151,"name":"Denver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5" t="str">
        <f t="shared" si="7"/>
        <v>grep -hSE -A100 "Enforcement Action" "%USERPROFILE%\AppData\Local\Temp\OnboardLogs"\RTDC4003\*4003*201609231* | grep -SE "((Enforcement Ac)|(PRM))" -</v>
      </c>
    </row>
    <row r="16" spans="1:29" s="1" customFormat="1" x14ac:dyDescent="0.25">
      <c r="A16" s="38">
        <v>42636.494155092594</v>
      </c>
      <c r="B16" s="33" t="s">
        <v>240</v>
      </c>
      <c r="C16" s="33" t="s">
        <v>479</v>
      </c>
      <c r="D16" s="33" t="s">
        <v>237</v>
      </c>
      <c r="E16" s="33" t="s">
        <v>611</v>
      </c>
      <c r="F16" s="49">
        <v>0</v>
      </c>
      <c r="G16" s="49">
        <v>23</v>
      </c>
      <c r="H16" s="49">
        <v>64149</v>
      </c>
      <c r="I16" s="49">
        <v>64145</v>
      </c>
      <c r="J16" s="33" t="s">
        <v>612</v>
      </c>
      <c r="K16" s="49">
        <v>103864</v>
      </c>
      <c r="L16" s="150" t="s">
        <v>53</v>
      </c>
      <c r="M16" s="153">
        <f t="shared" si="0"/>
        <v>-20971.632000000001</v>
      </c>
      <c r="N16" s="92" t="str">
        <f>VLOOKUP(C16,'Trips&amp;Operators'!$C$1:$E$99999,3,FALSE)</f>
        <v>STRICKLAND</v>
      </c>
      <c r="O16" s="174" t="s">
        <v>614</v>
      </c>
      <c r="P16" s="10" t="s">
        <v>746</v>
      </c>
      <c r="Q16" s="33"/>
      <c r="R16" s="108" t="str">
        <f>VLOOKUP(C16,'Train Runs'!$A$13:$AE$10017,31,0)</f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S16" s="111" t="str">
        <f>VLOOKUP(C16,'Train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10:17:42-0600',mode:absolute,to:'2016-09-23 12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6" s="113" t="str">
        <f t="shared" si="1"/>
        <v>"C:\Program Files (x86)\AstroGrep\AstroGrep.exe" /spath="%USERPROFILE%\AppData\Local\Temp\OnboardLogs" /stypes="*4043*201609231*" /stext=" 17:.+((SYSTEM_STATE.+slice.+state.+changed )|(ment ac)|(system.+state.+changed )|(\|lc)|(penalty)|(\[timeout)|(PRM\|1\|D)|(kpr)|(kdp))" /e /r /s</v>
      </c>
      <c r="U16" s="9" t="str">
        <f t="shared" si="2"/>
        <v>4043</v>
      </c>
      <c r="V16" s="38">
        <f t="shared" si="3"/>
        <v>42636.744155092594</v>
      </c>
      <c r="W16" s="52" t="str">
        <f t="shared" si="4"/>
        <v>EC</v>
      </c>
      <c r="X16" s="52" t="str">
        <f t="shared" si="5"/>
        <v>KEEP</v>
      </c>
      <c r="Y16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issue","project_id":79,"tracker_id":40,"status_id":1,"priority_id":2,"assigned_to_id":23,"start_date":"2016-09-23","description":"","custom_fields":[{"id":1,"name":"Subdivision","value":"EC"},{"id":4,"name":"Milepost","value":"10.3864"},{"id":17,"name":"Train ID","value":"156-23"},{"id":16,"name":"Locomotive ID","value":"4043"},{"id":130,"name":"Impact","value":""},{"id":150,"name":"Time of Event (Mountain Time)","value":"11:51:35"},{"id":151,"name":"Denver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5" t="str">
        <f t="shared" si="7"/>
        <v>grep -hSE -A100 "Enforcement Action" "%USERPROFILE%\AppData\Local\Temp\OnboardLogs"\RTDC4043\*4043*201609231* | grep -SE "((Enforcement Ac)|(PRM))" -</v>
      </c>
    </row>
    <row r="17" spans="1:29" s="1" customFormat="1" x14ac:dyDescent="0.25">
      <c r="A17" s="38">
        <v>42636.494849537034</v>
      </c>
      <c r="B17" s="33" t="s">
        <v>240</v>
      </c>
      <c r="C17" s="33" t="s">
        <v>479</v>
      </c>
      <c r="D17" s="33" t="s">
        <v>237</v>
      </c>
      <c r="E17" s="33" t="s">
        <v>611</v>
      </c>
      <c r="F17" s="49">
        <v>0</v>
      </c>
      <c r="G17" s="49">
        <v>23</v>
      </c>
      <c r="H17" s="49">
        <v>64149</v>
      </c>
      <c r="I17" s="49">
        <v>64147</v>
      </c>
      <c r="J17" s="33" t="s">
        <v>612</v>
      </c>
      <c r="K17" s="49">
        <v>103864</v>
      </c>
      <c r="L17" s="150" t="s">
        <v>53</v>
      </c>
      <c r="M17" s="153">
        <f t="shared" si="0"/>
        <v>-20970.576000000001</v>
      </c>
      <c r="N17" s="92" t="str">
        <f>VLOOKUP(C17,'Trips&amp;Operators'!$C$1:$E$99999,3,FALSE)</f>
        <v>STRICKLAND</v>
      </c>
      <c r="O17" s="174" t="s">
        <v>614</v>
      </c>
      <c r="P17" s="10" t="s">
        <v>746</v>
      </c>
      <c r="Q17" s="33"/>
      <c r="R17" s="108" t="str">
        <f>VLOOKUP(C17,'Train Runs'!$A$13:$AE$10017,31,0)</f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S17" s="111" t="str">
        <f>VLOOKUP(C17,'Train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10:17:42-0600',mode:absolute,to:'2016-09-23 12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7" s="113" t="str">
        <f t="shared" si="1"/>
        <v>"C:\Program Files (x86)\AstroGrep\AstroGrep.exe" /spath="%USERPROFILE%\AppData\Local\Temp\OnboardLogs" /stypes="*4043*201609231*" /stext=" 17:.+((SYSTEM_STATE.+slice.+state.+changed )|(ment ac)|(system.+state.+changed )|(\|lc)|(penalty)|(\[timeout)|(PRM\|1\|D)|(kpr)|(kdp))" /e /r /s</v>
      </c>
      <c r="U17" s="9" t="str">
        <f t="shared" si="2"/>
        <v>4043</v>
      </c>
      <c r="V17" s="38">
        <f t="shared" si="3"/>
        <v>42636.744849537034</v>
      </c>
      <c r="W17" s="52" t="str">
        <f t="shared" si="4"/>
        <v>EC</v>
      </c>
      <c r="X17" s="52" t="str">
        <f t="shared" si="5"/>
        <v>KEEP</v>
      </c>
      <c r="Y17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issue","project_id":79,"tracker_id":40,"status_id":1,"priority_id":2,"assigned_to_id":23,"start_date":"2016-09-23","description":"","custom_fields":[{"id":1,"name":"Subdivision","value":"EC"},{"id":4,"name":"Milepost","value":"10.3864"},{"id":17,"name":"Train ID","value":"156-23"},{"id":16,"name":"Locomotive ID","value":"4043"},{"id":130,"name":"Impact","value":""},{"id":150,"name":"Time of Event (Mountain Time)","value":"11:52:35"},{"id":151,"name":"Denver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5" t="str">
        <f t="shared" si="7"/>
        <v>grep -hSE -A100 "Enforcement Action" "%USERPROFILE%\AppData\Local\Temp\OnboardLogs"\RTDC4043\*4043*201609231* | grep -SE "((Enforcement Ac)|(PRM))" -</v>
      </c>
    </row>
    <row r="18" spans="1:29" s="1" customFormat="1" x14ac:dyDescent="0.25">
      <c r="A18" s="38">
        <v>42636.49554398148</v>
      </c>
      <c r="B18" s="33" t="s">
        <v>240</v>
      </c>
      <c r="C18" s="33" t="s">
        <v>479</v>
      </c>
      <c r="D18" s="33" t="s">
        <v>237</v>
      </c>
      <c r="E18" s="33" t="s">
        <v>611</v>
      </c>
      <c r="F18" s="49">
        <v>0</v>
      </c>
      <c r="G18" s="49">
        <v>23</v>
      </c>
      <c r="H18" s="49">
        <v>64149</v>
      </c>
      <c r="I18" s="49">
        <v>64139</v>
      </c>
      <c r="J18" s="33" t="s">
        <v>612</v>
      </c>
      <c r="K18" s="49">
        <v>103864</v>
      </c>
      <c r="L18" s="150" t="s">
        <v>53</v>
      </c>
      <c r="M18" s="153">
        <f t="shared" si="0"/>
        <v>-20974.799999999999</v>
      </c>
      <c r="N18" s="92" t="str">
        <f>VLOOKUP(C18,'Trips&amp;Operators'!$C$1:$E$99999,3,FALSE)</f>
        <v>STRICKLAND</v>
      </c>
      <c r="O18" s="174" t="s">
        <v>614</v>
      </c>
      <c r="P18" s="10" t="s">
        <v>746</v>
      </c>
      <c r="Q18" s="33"/>
      <c r="R18" s="108" t="str">
        <f>VLOOKUP(C18,'Train Runs'!$A$13:$AE$10017,31,0)</f>
        <v>aws s3 cp s3://rtdc.mdm.uploadarchive/RTDC4043/2016-09-23/ "%USERPROFILE%\AppData\Local\Temp\OnboardLogs"\RTDC4043\2016-09-23 --recursive &amp; "%USERPROFILE%\Documents\GitHub\mrs-test-scripts\Headless Mode &amp; Sideloading\WalkAndUnGZ.bat" "%USERPROFILE%\AppData\Local\Temp\OnboardLogs"\RTDC4043\2016-09-23 &amp; aws s3 cp s3://rtdc.mdm.uploadarchive/RTDC4043/2016-09-24/ "%USERPROFILE%\AppData\Local\Temp\OnboardLogs"\RTDC4043\2016-09-24 --recursive &amp; "%USERPROFILE%\Documents\GitHub\mrs-test-scripts\Headless Mode &amp; Sideloading\WalkAndUnGZ.bat" "%USERPROFILE%\AppData\Local\Temp\OnboardLogs"\RTDC4043\2016-09-24</v>
      </c>
      <c r="S18" s="111" t="str">
        <f>VLOOKUP(C18,'Train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10:17:42-0600',mode:absolute,to:'2016-09-23 12:51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T18" s="113" t="str">
        <f t="shared" si="1"/>
        <v>"C:\Program Files (x86)\AstroGrep\AstroGrep.exe" /spath="%USERPROFILE%\AppData\Local\Temp\OnboardLogs" /stypes="*4043*201609231*" /stext=" 17:.+((SYSTEM_STATE.+slice.+state.+changed )|(ment ac)|(system.+state.+changed )|(\|lc)|(penalty)|(\[timeout)|(PRM\|1\|D)|(kpr)|(kdp))" /e /r /s</v>
      </c>
      <c r="U18" s="9" t="str">
        <f t="shared" si="2"/>
        <v>4043</v>
      </c>
      <c r="V18" s="38">
        <f t="shared" si="3"/>
        <v>42636.74554398148</v>
      </c>
      <c r="W18" s="52" t="str">
        <f t="shared" si="4"/>
        <v>EC</v>
      </c>
      <c r="X18" s="52" t="str">
        <f t="shared" si="5"/>
        <v>KEEP</v>
      </c>
      <c r="Y18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issue","project_id":79,"tracker_id":40,"status_id":1,"priority_id":2,"assigned_to_id":23,"start_date":"2016-09-23","description":"","custom_fields":[{"id":1,"name":"Subdivision","value":"EC"},{"id":4,"name":"Milepost","value":"10.3864"},{"id":17,"name":"Train ID","value":"156-23"},{"id":16,"name":"Locomotive ID","value":"4043"},{"id":130,"name":"Impact","value":""},{"id":150,"name":"Time of Event (Mountain Time)","value":"11:53:35"},{"id":151,"name":"Denver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5" t="str">
        <f t="shared" si="7"/>
        <v>grep -hSE -A100 "Enforcement Action" "%USERPROFILE%\AppData\Local\Temp\OnboardLogs"\RTDC4043\*4043*201609231* | grep -SE "((Enforcement Ac)|(PRM))" -</v>
      </c>
    </row>
    <row r="19" spans="1:29" s="1" customFormat="1" x14ac:dyDescent="0.25">
      <c r="A19" s="38">
        <v>42636.493680555555</v>
      </c>
      <c r="B19" s="33" t="s">
        <v>393</v>
      </c>
      <c r="C19" s="33" t="s">
        <v>476</v>
      </c>
      <c r="D19" s="33" t="s">
        <v>237</v>
      </c>
      <c r="E19" s="33" t="s">
        <v>611</v>
      </c>
      <c r="F19" s="49">
        <v>0</v>
      </c>
      <c r="G19" s="49">
        <v>142</v>
      </c>
      <c r="H19" s="49">
        <v>230917</v>
      </c>
      <c r="I19" s="49">
        <v>231097</v>
      </c>
      <c r="J19" s="33" t="s">
        <v>612</v>
      </c>
      <c r="K19" s="49">
        <v>190834</v>
      </c>
      <c r="L19" s="150" t="s">
        <v>52</v>
      </c>
      <c r="M19" s="153">
        <f t="shared" si="0"/>
        <v>-21258.864000000001</v>
      </c>
      <c r="N19" s="92" t="str">
        <f>VLOOKUP(C19,'Trips&amp;Operators'!$C$1:$E$99999,3,FALSE)</f>
        <v>CLARK</v>
      </c>
      <c r="O19" s="174" t="s">
        <v>614</v>
      </c>
      <c r="P19" s="10" t="s">
        <v>746</v>
      </c>
      <c r="Q19" s="33"/>
      <c r="R19" s="108" t="str">
        <f>VLOOKUP(C19,'Train Runs'!$A$13:$AE$10017,31,0)</f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S19" s="111" t="str">
        <f>VLOOKUP(C19,'Train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10:12:33-0600',mode:absolute,to:'2016-09-23 12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9" s="113" t="str">
        <f t="shared" si="1"/>
        <v>"C:\Program Files (x86)\AstroGrep\AstroGrep.exe" /spath="%USERPROFILE%\AppData\Local\Temp\OnboardLogs" /stypes="*4040*201609231*" /stext=" 17:.+((SYSTEM_STATE.+slice.+state.+changed )|(ment ac)|(system.+state.+changed )|(\|lc)|(penalty)|(\[timeout)|(PRM\|1\|D)|(kpr)|(kdp))" /e /r /s</v>
      </c>
      <c r="U19" s="9" t="str">
        <f t="shared" si="2"/>
        <v>4040</v>
      </c>
      <c r="V19" s="38">
        <f t="shared" si="3"/>
        <v>42636.743680555555</v>
      </c>
      <c r="W19" s="52" t="str">
        <f t="shared" si="4"/>
        <v>EC</v>
      </c>
      <c r="X19" s="52" t="str">
        <f t="shared" si="5"/>
        <v>KEEP</v>
      </c>
      <c r="Y19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issue","project_id":79,"tracker_id":40,"status_id":1,"priority_id":2,"assigned_to_id":23,"start_date":"2016-09-23","description":"","custom_fields":[{"id":1,"name":"Subdivision","value":"EC"},{"id":4,"name":"Milepost","value":"19.0834"},{"id":17,"name":"Train ID","value":"161-23"},{"id":16,"name":"Locomotive ID","value":"4040"},{"id":130,"name":"Impact","value":""},{"id":150,"name":"Time of Event (Mountain Time)","value":"11:50:54"},{"id":151,"name":"Denver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5" t="str">
        <f t="shared" si="7"/>
        <v>grep -hSE -A100 "Enforcement Action" "%USERPROFILE%\AppData\Local\Temp\OnboardLogs"\RTDC4040\*4040*201609231* | grep -SE "((Enforcement Ac)|(PRM))" -</v>
      </c>
    </row>
    <row r="20" spans="1:29" s="1" customFormat="1" x14ac:dyDescent="0.25">
      <c r="A20" s="38">
        <v>42636.494363425925</v>
      </c>
      <c r="B20" s="33" t="s">
        <v>393</v>
      </c>
      <c r="C20" s="33" t="s">
        <v>476</v>
      </c>
      <c r="D20" s="33" t="s">
        <v>237</v>
      </c>
      <c r="E20" s="33" t="s">
        <v>611</v>
      </c>
      <c r="F20" s="49">
        <v>0</v>
      </c>
      <c r="G20" s="49">
        <v>142</v>
      </c>
      <c r="H20" s="49">
        <v>230917</v>
      </c>
      <c r="I20" s="49">
        <v>231095</v>
      </c>
      <c r="J20" s="33" t="s">
        <v>612</v>
      </c>
      <c r="K20" s="49">
        <v>190834</v>
      </c>
      <c r="L20" s="150" t="s">
        <v>52</v>
      </c>
      <c r="M20" s="153">
        <f t="shared" si="0"/>
        <v>-21257.807999999997</v>
      </c>
      <c r="N20" s="92" t="str">
        <f>VLOOKUP(C20,'Trips&amp;Operators'!$C$1:$E$99999,3,FALSE)</f>
        <v>CLARK</v>
      </c>
      <c r="O20" s="174" t="s">
        <v>614</v>
      </c>
      <c r="P20" s="10" t="s">
        <v>746</v>
      </c>
      <c r="Q20" s="33"/>
      <c r="R20" s="108" t="str">
        <f>VLOOKUP(C20,'Train Runs'!$A$13:$AE$10017,31,0)</f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S20" s="111" t="str">
        <f>VLOOKUP(C20,'Train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10:12:33-0600',mode:absolute,to:'2016-09-23 12:50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0" s="113" t="str">
        <f t="shared" si="1"/>
        <v>"C:\Program Files (x86)\AstroGrep\AstroGrep.exe" /spath="%USERPROFILE%\AppData\Local\Temp\OnboardLogs" /stypes="*4040*201609231*" /stext=" 17:.+((SYSTEM_STATE.+slice.+state.+changed )|(ment ac)|(system.+state.+changed )|(\|lc)|(penalty)|(\[timeout)|(PRM\|1\|D)|(kpr)|(kdp))" /e /r /s</v>
      </c>
      <c r="U20" s="9" t="str">
        <f t="shared" si="2"/>
        <v>4040</v>
      </c>
      <c r="V20" s="38">
        <f t="shared" si="3"/>
        <v>42636.744363425925</v>
      </c>
      <c r="W20" s="52" t="str">
        <f t="shared" si="4"/>
        <v>EC</v>
      </c>
      <c r="X20" s="52" t="str">
        <f t="shared" si="5"/>
        <v>KEEP</v>
      </c>
      <c r="Y20" s="134" t="str">
        <f t="shared" si="6"/>
        <v>echo {"issue":{"subject":"BOS issue","project_id":79,"tracker_id":40,"status_id":1,"priority_id":2,"assigned_to_id":23,"start_date":"2016-09-23","description":"","custom_fields":[{"id":1,"name":"Subdivision","value":"EC"},{"id":4,"name":"Milepost","value":"19.0834"},{"id":17,"name":"Train ID","value":"161-23"},{"id":16,"name":"Locomotive ID","value":"4040"},{"id":130,"name":"Impact","value":""},{"id":150,"name":"Time of Event (Mountain Time)","value":"11:51:53"},{"id":151,"name":"Denver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5" t="str">
        <f t="shared" si="7"/>
        <v>grep -hSE -A100 "Enforcement Action" "%USERPROFILE%\AppData\Local\Temp\OnboardLogs"\RTDC4040\*4040*201609231* | grep -SE "((Enforcement Ac)|(PRM))" -</v>
      </c>
    </row>
    <row r="21" spans="1:29" x14ac:dyDescent="0.25">
      <c r="A21" s="38">
        <v>42636.633136574077</v>
      </c>
      <c r="B21" s="33" t="s">
        <v>247</v>
      </c>
      <c r="C21" s="33" t="s">
        <v>509</v>
      </c>
      <c r="D21" s="33" t="s">
        <v>49</v>
      </c>
      <c r="E21" s="33" t="s">
        <v>56</v>
      </c>
      <c r="F21" s="49">
        <v>200</v>
      </c>
      <c r="G21" s="49">
        <v>268</v>
      </c>
      <c r="H21" s="49">
        <v>6172</v>
      </c>
      <c r="I21" s="49">
        <v>5694</v>
      </c>
      <c r="J21" s="33" t="s">
        <v>57</v>
      </c>
      <c r="K21" s="49">
        <v>5457</v>
      </c>
      <c r="L21" s="150" t="s">
        <v>53</v>
      </c>
      <c r="M21" s="153">
        <f t="shared" si="0"/>
        <v>125.136</v>
      </c>
      <c r="N21" s="92" t="str">
        <f>VLOOKUP(C21,'Trips&amp;Operators'!$C$1:$E$99999,3,FALSE)</f>
        <v>MOSES</v>
      </c>
      <c r="O21" s="174" t="s">
        <v>86</v>
      </c>
      <c r="P21" s="10"/>
      <c r="Q21" s="33"/>
      <c r="R21" s="108" t="str">
        <f>VLOOKUP(C21,'Train Runs'!$A$13:$AE$10017,31,0)</f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S21" s="111" t="str">
        <f>VLOOKUP(C21,'Train Runs'!$A$13:$AE$10017,22,0)</f>
        <v>https://search-rtdc-monitor-bjffxe2xuh6vdkpspy63sjmuny.us-east-1.es.amazonaws.com/_plugin/kibana/#/discover/Steve-Slow-Train-Analysis-(2080s-and-2083s)?_g=(refreshInterval:(display:Off,section:0,value:0),time:(from:'2016-09-23 13:20:15-0600',mode:absolute,to:'2016-09-23 16:14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1" s="113" t="str">
        <f t="shared" si="1"/>
        <v>"C:\Program Files (x86)\AstroGrep\AstroGrep.exe" /spath="%USERPROFILE%\AppData\Local\Temp\OnboardLogs" /stypes="*4004*201609232*" /stext=" 21:.+((SYSTEM_STATE.+slice.+state.+changed )|(ment ac)|(system.+state.+changed )|(\|lc)|(penalty)|(\[timeout)|(PRM\|1\|D)|(kpr)|(kdp))" /e /r /s</v>
      </c>
      <c r="U21" s="9" t="str">
        <f t="shared" si="2"/>
        <v>4004</v>
      </c>
      <c r="V21" s="38">
        <f t="shared" si="3"/>
        <v>42636.883136574077</v>
      </c>
      <c r="W21" s="52" t="str">
        <f t="shared" si="4"/>
        <v>EC</v>
      </c>
      <c r="X21" s="52" t="str">
        <f t="shared" si="5"/>
        <v>KEEP</v>
      </c>
      <c r="Y21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{"issue":{"subject":"","project_id":79,"tracker_id":40,"status_id":1,"priority_id":2,"assigned_to_id":23,"start_date":"2016-09-23","description":"","custom_fields":[{"id":1,"name":"Subdivision","value":"EC"},{"id":4,"name":"Milepost","value":"0.5457"},{"id":17,"name":"Train ID","value":"180-23"},{"id":16,"name":"Locomotive ID","value":"4004"},{"id":130,"name":"Impact","value":""},{"id":150,"name":"Time of Event (Mountain Time)","value":"15:11:43"},{"id":151,"name":"Denver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5" t="str">
        <f t="shared" si="7"/>
        <v>grep -hSE -A100 "Enforcement Action" "%USERPROFILE%\AppData\Local\Temp\OnboardLogs"\RTDC4004\*4004*201609232* | grep -SE "((Enforcement Ac)|(PRM))" -</v>
      </c>
    </row>
    <row r="22" spans="1:29" x14ac:dyDescent="0.25">
      <c r="A22" s="38">
        <v>42636.324814814812</v>
      </c>
      <c r="B22" s="33" t="s">
        <v>404</v>
      </c>
      <c r="C22" s="33" t="s">
        <v>427</v>
      </c>
      <c r="D22" s="33" t="s">
        <v>49</v>
      </c>
      <c r="E22" s="33" t="s">
        <v>56</v>
      </c>
      <c r="F22" s="49">
        <v>300</v>
      </c>
      <c r="G22" s="49">
        <v>358</v>
      </c>
      <c r="H22" s="49">
        <v>22689</v>
      </c>
      <c r="I22" s="49">
        <v>21706</v>
      </c>
      <c r="J22" s="33" t="s">
        <v>57</v>
      </c>
      <c r="K22" s="49">
        <v>21848</v>
      </c>
      <c r="L22" s="150" t="s">
        <v>53</v>
      </c>
      <c r="M22" s="153">
        <f t="shared" si="0"/>
        <v>-74.975999999999999</v>
      </c>
      <c r="N22" s="92" t="str">
        <f>VLOOKUP(C22,'Trips&amp;Operators'!$C$1:$E$99999,3,FALSE)</f>
        <v>BRANNON</v>
      </c>
      <c r="O22" s="174" t="s">
        <v>86</v>
      </c>
      <c r="P22" s="10"/>
      <c r="Q22" s="33"/>
      <c r="R22" s="108" t="str">
        <f>VLOOKUP(C22,'Train Runs'!$A$13:$AE$10017,31,0)</f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S22" s="111" t="str">
        <f>VLOOKUP(C22,'Train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06:07:39-0600',mode:absolute,to:'2016-09-23 08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22" s="113" t="str">
        <f t="shared" si="1"/>
        <v>"C:\Program Files (x86)\AstroGrep\AstroGrep.exe" /spath="%USERPROFILE%\AppData\Local\Temp\OnboardLogs" /stypes="*4015*201609231*" /stext=" 13:.+((SYSTEM_STATE.+slice.+state.+changed )|(ment ac)|(system.+state.+changed )|(\|lc)|(penalty)|(\[timeout)|(PRM\|1\|D)|(kpr)|(kdp))" /e /r /s</v>
      </c>
      <c r="U22" s="9" t="str">
        <f t="shared" si="2"/>
        <v>4015</v>
      </c>
      <c r="V22" s="38">
        <f t="shared" si="3"/>
        <v>42636.574814814812</v>
      </c>
      <c r="W22" s="52" t="str">
        <f t="shared" si="4"/>
        <v>EC</v>
      </c>
      <c r="X22" s="52" t="str">
        <f t="shared" si="5"/>
        <v>KEEP</v>
      </c>
      <c r="Y22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{"issue":{"subject":"","project_id":79,"tracker_id":40,"status_id":1,"priority_id":2,"assigned_to_id":23,"start_date":"2016-09-23","description":"","custom_fields":[{"id":1,"name":"Subdivision","value":"EC"},{"id":4,"name":"Milepost","value":"2.1848"},{"id":17,"name":"Train ID","value":"122-23"},{"id":16,"name":"Locomotive ID","value":"4015"},{"id":130,"name":"Impact","value":""},{"id":150,"name":"Time of Event (Mountain Time)","value":"07:47:44"},{"id":151,"name":"Denver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5" t="str">
        <f t="shared" si="7"/>
        <v>grep -hSE -A100 "Enforcement Action" "%USERPROFILE%\AppData\Local\Temp\OnboardLogs"\RTDC4015\*4015*201609231* | grep -SE "((Enforcement Ac)|(PRM))" -</v>
      </c>
    </row>
    <row r="23" spans="1:29" x14ac:dyDescent="0.25">
      <c r="A23" s="38">
        <v>42636.355393518519</v>
      </c>
      <c r="B23" s="33" t="s">
        <v>305</v>
      </c>
      <c r="C23" s="33" t="s">
        <v>439</v>
      </c>
      <c r="D23" s="33" t="s">
        <v>105</v>
      </c>
      <c r="E23" s="33" t="s">
        <v>56</v>
      </c>
      <c r="F23" s="49">
        <v>700</v>
      </c>
      <c r="G23" s="49">
        <v>754</v>
      </c>
      <c r="H23" s="49">
        <v>174178</v>
      </c>
      <c r="I23" s="49">
        <v>177289</v>
      </c>
      <c r="J23" s="33" t="s">
        <v>57</v>
      </c>
      <c r="K23" s="49">
        <v>161962</v>
      </c>
      <c r="L23" s="150" t="s">
        <v>52</v>
      </c>
      <c r="M23" s="153">
        <f t="shared" si="0"/>
        <v>-8092.6559999999999</v>
      </c>
      <c r="N23" s="92" t="str">
        <f>VLOOKUP(C23,'Trips&amp;Operators'!$C$1:$E$99999,3,FALSE)</f>
        <v>BRANNON</v>
      </c>
      <c r="O23" s="174" t="s">
        <v>86</v>
      </c>
      <c r="P23" s="10"/>
      <c r="Q23" s="33"/>
      <c r="R23" s="108" t="str">
        <f>VLOOKUP(C23,'Train Runs'!$A$13:$AE$10017,31,0)</f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S23" s="111" t="str">
        <f>VLOOKUP(C23,'Train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06:57:46-0600',mode:absolute,to:'2016-09-23 09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23" s="113" t="str">
        <f t="shared" si="1"/>
        <v>"C:\Program Files (x86)\AstroGrep\AstroGrep.exe" /spath="%USERPROFILE%\AppData\Local\Temp\OnboardLogs" /stypes="*4016*201609231*" /stext=" 14:.+((SYSTEM_STATE.+slice.+state.+changed )|(ment ac)|(system.+state.+changed )|(\|lc)|(penalty)|(\[timeout)|(PRM\|1\|D)|(kpr)|(kdp))" /e /r /s</v>
      </c>
      <c r="U23" s="9" t="str">
        <f t="shared" si="2"/>
        <v>4016</v>
      </c>
      <c r="V23" s="38">
        <f t="shared" si="3"/>
        <v>42636.605393518519</v>
      </c>
      <c r="W23" s="52" t="str">
        <f t="shared" si="4"/>
        <v>EC</v>
      </c>
      <c r="X23" s="52" t="str">
        <f t="shared" si="5"/>
        <v>KEEP</v>
      </c>
      <c r="Y23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{"issue":{"subject":"","project_id":79,"tracker_id":40,"status_id":1,"priority_id":2,"assigned_to_id":23,"start_date":"2016-09-23","description":"","custom_fields":[{"id":1,"name":"Subdivision","value":"EC"},{"id":4,"name":"Milepost","value":"16.1962"},{"id":17,"name":"Train ID","value":"135-23"},{"id":16,"name":"Locomotive ID","value":"4016"},{"id":130,"name":"Impact","value":""},{"id":150,"name":"Time of Event (Mountain Time)","value":"08:31:46"},{"id":151,"name":"Denver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5" t="str">
        <f t="shared" si="7"/>
        <v>grep -hSE -A100 "Enforcement Action" "%USERPROFILE%\AppData\Local\Temp\OnboardLogs"\RTDC4016\*4016*201609231* | grep -SE "((Enforcement Ac)|(PRM))" -</v>
      </c>
    </row>
    <row r="24" spans="1:29" ht="15" customHeight="1" x14ac:dyDescent="0.25">
      <c r="A24" s="38">
        <v>42636.201932870368</v>
      </c>
      <c r="B24" s="33" t="s">
        <v>393</v>
      </c>
      <c r="C24" s="33" t="s">
        <v>394</v>
      </c>
      <c r="D24" s="33" t="s">
        <v>49</v>
      </c>
      <c r="E24" s="33" t="s">
        <v>56</v>
      </c>
      <c r="F24" s="49">
        <v>150</v>
      </c>
      <c r="G24" s="49">
        <v>313</v>
      </c>
      <c r="H24" s="49">
        <v>228225</v>
      </c>
      <c r="I24" s="49">
        <v>229182</v>
      </c>
      <c r="J24" s="33" t="s">
        <v>57</v>
      </c>
      <c r="K24" s="49">
        <v>230436</v>
      </c>
      <c r="L24" s="150" t="s">
        <v>52</v>
      </c>
      <c r="M24" s="153">
        <f t="shared" si="0"/>
        <v>662.11200000000008</v>
      </c>
      <c r="N24" s="92" t="str">
        <f>VLOOKUP(C24,'Trips&amp;Operators'!$C$1:$E$99999,3,FALSE)</f>
        <v>MALAVE</v>
      </c>
      <c r="O24" s="174" t="s">
        <v>86</v>
      </c>
      <c r="P24" s="10"/>
      <c r="Q24" s="33"/>
      <c r="R24" s="108" t="str">
        <f>VLOOKUP(C24,'Train Runs'!$A$13:$AE$10017,31,0)</f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S24" s="111" t="str">
        <f>VLOOKUP(C24,'Train Runs'!$A$13:$AE$10017,22,0)</f>
        <v>https://search-rtdc-monitor-bjffxe2xuh6vdkpspy63sjmuny.us-east-1.es.amazonaws.com/_plugin/kibana/#/discover/Steve-Slow-Train-Analysis-(2080s-and-2083s)?_g=(refreshInterval:(display:Off,section:0,value:0),time:(from:'2016-09-23 03:14:01-0600',mode:absolute,to:'2016-09-23 05:53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4" s="113" t="str">
        <f t="shared" si="1"/>
        <v>"C:\Program Files (x86)\AstroGrep\AstroGrep.exe" /spath="%USERPROFILE%\AppData\Local\Temp\OnboardLogs" /stypes="*4040*201609231*" /stext=" 10:.+((SYSTEM_STATE.+slice.+state.+changed )|(ment ac)|(system.+state.+changed )|(\|lc)|(penalty)|(\[timeout)|(PRM\|1\|D)|(kpr)|(kdp))" /e /r /s</v>
      </c>
      <c r="U24" s="9" t="str">
        <f t="shared" si="2"/>
        <v>4040</v>
      </c>
      <c r="V24" s="38">
        <f t="shared" si="3"/>
        <v>42636.451932870368</v>
      </c>
      <c r="W24" s="52" t="str">
        <f t="shared" si="4"/>
        <v>EC</v>
      </c>
      <c r="X24" s="52" t="str">
        <f t="shared" si="5"/>
        <v>KEEP</v>
      </c>
      <c r="Y24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{"issue":{"subject":"","project_id":79,"tracker_id":40,"status_id":1,"priority_id":2,"assigned_to_id":23,"start_date":"2016-09-23","description":"","custom_fields":[{"id":1,"name":"Subdivision","value":"EC"},{"id":4,"name":"Milepost","value":"23.0436"},{"id":17,"name":"Train ID","value":"105-23"},{"id":16,"name":"Locomotive ID","value":"4040"},{"id":130,"name":"Impact","value":""},{"id":150,"name":"Time of Event (Mountain Time)","value":"04:50:47"},{"id":151,"name":"Denver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5" t="str">
        <f t="shared" si="7"/>
        <v>grep -hSE -A100 "Enforcement Action" "%USERPROFILE%\AppData\Local\Temp\OnboardLogs"\RTDC4040\*4040*201609231* | grep -SE "((Enforcement Ac)|(PRM))" -</v>
      </c>
    </row>
    <row r="25" spans="1:29" x14ac:dyDescent="0.25">
      <c r="A25" s="38">
        <v>42636.921666666669</v>
      </c>
      <c r="B25" s="33" t="s">
        <v>393</v>
      </c>
      <c r="C25" s="33" t="s">
        <v>588</v>
      </c>
      <c r="D25" s="33" t="s">
        <v>49</v>
      </c>
      <c r="E25" s="33" t="s">
        <v>54</v>
      </c>
      <c r="F25" s="49">
        <v>0</v>
      </c>
      <c r="G25" s="49">
        <v>199</v>
      </c>
      <c r="H25" s="49">
        <v>27593</v>
      </c>
      <c r="I25" s="49">
        <v>27807</v>
      </c>
      <c r="J25" s="33" t="s">
        <v>55</v>
      </c>
      <c r="K25" s="49">
        <v>28054</v>
      </c>
      <c r="L25" s="150" t="s">
        <v>52</v>
      </c>
      <c r="M25" s="153">
        <f t="shared" si="0"/>
        <v>130.416</v>
      </c>
      <c r="N25" s="92" t="str">
        <f>VLOOKUP(C25,'Trips&amp;Operators'!$C$1:$E$99999,3,FALSE)</f>
        <v>CHANDLER</v>
      </c>
      <c r="O25" s="174" t="s">
        <v>614</v>
      </c>
      <c r="P25" s="10" t="s">
        <v>735</v>
      </c>
      <c r="Q25" s="33"/>
      <c r="R25" s="108" t="str">
        <f>VLOOKUP(C25,'Train Runs'!$A$13:$AE$10017,31,0)</f>
        <v>aws s3 cp s3://rtdc.mdm.uploadarchive/RTDC4040/2016-09-23/ "%USERPROFILE%\AppData\Local\Temp\OnboardLogs"\RTDC4040\2016-09-23 --recursive &amp; "%USERPROFILE%\Documents\GitHub\mrs-test-scripts\Headless Mode &amp; Sideloading\WalkAndUnGZ.bat" "%USERPROFILE%\AppData\Local\Temp\OnboardLogs"\RTDC4040\2016-09-23 &amp; aws s3 cp s3://rtdc.mdm.uploadarchive/RTDC4040/2016-09-24/ "%USERPROFILE%\AppData\Local\Temp\OnboardLogs"\RTDC4040\2016-09-24 --recursive &amp; "%USERPROFILE%\Documents\GitHub\mrs-test-scripts\Headless Mode &amp; Sideloading\WalkAndUnGZ.bat" "%USERPROFILE%\AppData\Local\Temp\OnboardLogs"\RTDC4040\2016-09-24</v>
      </c>
      <c r="S25" s="111" t="str">
        <f>VLOOKUP(C25,'Train Runs'!$A$13:$AE$10017,22,0)</f>
        <v>https://search-rtdc-monitor-bjffxe2xuh6vdkpspy63sjmuny.us-east-1.es.amazonaws.com/_plugin/kibana/#/discover/Steve-Slow-Train-Analysis-(2080s-and-2083s)?_g=(refreshInterval:(display:Off,section:0,value:0),time:(from:'2016-09-23 20:55:13-0600',mode:absolute,to:'2016-09-23 23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5" s="113" t="str">
        <f t="shared" si="1"/>
        <v>"C:\Program Files (x86)\AstroGrep\AstroGrep.exe" /spath="%USERPROFILE%\AppData\Local\Temp\OnboardLogs" /stypes="*4040*201609240*" /stext=" 04:.+((SYSTEM_STATE.+slice.+state.+changed )|(ment ac)|(system.+state.+changed )|(\|lc)|(penalty)|(\[timeout)|(PRM\|1\|D)|(kpr)|(kdp))" /e /r /s</v>
      </c>
      <c r="U25" s="9" t="str">
        <f t="shared" si="2"/>
        <v>4040</v>
      </c>
      <c r="V25" s="38">
        <f t="shared" si="3"/>
        <v>42637.171666666669</v>
      </c>
      <c r="W25" s="52" t="str">
        <f t="shared" si="4"/>
        <v>EC</v>
      </c>
      <c r="X25" s="52" t="str">
        <f t="shared" si="5"/>
        <v>KEEP</v>
      </c>
      <c r="Y25" s="134" t="str">
        <f t="shared" si="6"/>
        <v>echo {"issue":{"subject":"Wi-MAX outage","project_id":79,"tracker_id":40,"status_id":1,"priority_id":2,"assigned_to_id":23,"start_date":"2016-09-23","description":"","custom_fields":[{"id":1,"name":"Subdivision","value":"EC"},{"id":4,"name":"Milepost","value":"2.8054"},{"id":17,"name":"Train ID","value":"233-23"},{"id":16,"name":"Locomotive ID","value":"4040"},{"id":130,"name":"Impact","value":""},{"id":150,"name":"Time of Event (Mountain Time)","value":"22:07:12"},{"id":151,"name":"Denver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5" t="str">
        <f t="shared" si="7"/>
        <v>grep -hSE -A100 "Enforcement Action" "%USERPROFILE%\AppData\Local\Temp\OnboardLogs"\RTDC4040\*4040*201609240* | grep -SE "((Enforcement Ac)|(PRM))" -</v>
      </c>
    </row>
    <row r="26" spans="1:29" x14ac:dyDescent="0.25">
      <c r="A26" s="38">
        <v>42636.603564814817</v>
      </c>
      <c r="B26" s="33" t="s">
        <v>306</v>
      </c>
      <c r="C26" s="33" t="s">
        <v>507</v>
      </c>
      <c r="D26" s="33" t="s">
        <v>105</v>
      </c>
      <c r="E26" s="33" t="s">
        <v>54</v>
      </c>
      <c r="F26" s="49">
        <v>200</v>
      </c>
      <c r="G26" s="49">
        <v>260</v>
      </c>
      <c r="H26" s="49">
        <v>38649</v>
      </c>
      <c r="I26" s="49">
        <v>39348</v>
      </c>
      <c r="J26" s="33" t="s">
        <v>55</v>
      </c>
      <c r="K26" s="49">
        <v>36645</v>
      </c>
      <c r="L26" s="150" t="s">
        <v>52</v>
      </c>
      <c r="M26" s="153">
        <f t="shared" si="0"/>
        <v>-1427.1839999999997</v>
      </c>
      <c r="N26" s="92" t="str">
        <f>VLOOKUP(C26,'Trips&amp;Operators'!$C$1:$E$99999,3,FALSE)</f>
        <v>YOUNG</v>
      </c>
      <c r="O26" s="174" t="s">
        <v>86</v>
      </c>
      <c r="P26" s="10" t="s">
        <v>745</v>
      </c>
      <c r="Q26" s="33"/>
      <c r="R26" s="108" t="str">
        <f>VLOOKUP(C26,'Train Runs'!$A$13:$AE$10017,31,0)</f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S26" s="111" t="str">
        <f>VLOOKUP(C26,'Train Runs'!$A$13:$AE$10017,22,0)</f>
        <v>https://search-rtdc-monitor-bjffxe2xuh6vdkpspy63sjmuny.us-east-1.es.amazonaws.com/_plugin/kibana/#/discover/Steve-Slow-Train-Analysis-(2080s-and-2083s)?_g=(refreshInterval:(display:Off,section:0,value:0),time:(from:'2016-09-23 13:27:28-0600',mode:absolute,to:'2016-09-23 16:01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26" s="113" t="str">
        <f t="shared" si="1"/>
        <v>"C:\Program Files (x86)\AstroGrep\AstroGrep.exe" /spath="%USERPROFILE%\AppData\Local\Temp\OnboardLogs" /stypes="*4027*201609232*" /stext=" 20:.+((SYSTEM_STATE.+slice.+state.+changed )|(ment ac)|(system.+state.+changed )|(\|lc)|(penalty)|(\[timeout)|(PRM\|1\|D)|(kpr)|(kdp))" /e /r /s</v>
      </c>
      <c r="U26" s="9" t="str">
        <f t="shared" si="2"/>
        <v>4027</v>
      </c>
      <c r="V26" s="38">
        <f t="shared" si="3"/>
        <v>42636.853564814817</v>
      </c>
      <c r="W26" s="52" t="str">
        <f t="shared" si="4"/>
        <v>EC</v>
      </c>
      <c r="X26" s="52" t="str">
        <f t="shared" si="5"/>
        <v>KEEP</v>
      </c>
      <c r="Y26" s="134" t="str">
        <f t="shared" si="6"/>
        <v>echo {"issue":{"subject":"Overspeed","project_id":79,"tracker_id":40,"status_id":1,"priority_id":2,"assigned_to_id":23,"start_date":"2016-09-23","description":"","custom_fields":[{"id":1,"name":"Subdivision","value":"EC"},{"id":4,"name":"Milepost","value":"3.6645"},{"id":17,"name":"Train ID","value":"185-23"},{"id":16,"name":"Locomotive ID","value":"4027"},{"id":130,"name":"Impact","value":""},{"id":150,"name":"Time of Event (Mountain Time)","value":"14:29:08"},{"id":151,"name":"Denver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5" t="str">
        <f t="shared" si="7"/>
        <v>grep -hSE -A100 "Enforcement Action" "%USERPROFILE%\AppData\Local\Temp\OnboardLogs"\RTDC4027\*4027*201609232* | grep -SE "((Enforcement Ac)|(PRM))" -</v>
      </c>
    </row>
    <row r="27" spans="1:29" x14ac:dyDescent="0.25">
      <c r="A27" s="38">
        <v>42636.207673611112</v>
      </c>
      <c r="B27" s="33" t="s">
        <v>246</v>
      </c>
      <c r="C27" s="33" t="s">
        <v>398</v>
      </c>
      <c r="D27" s="33" t="s">
        <v>49</v>
      </c>
      <c r="E27" s="33" t="s">
        <v>54</v>
      </c>
      <c r="F27" s="49">
        <v>0</v>
      </c>
      <c r="G27" s="49">
        <v>289</v>
      </c>
      <c r="H27" s="49">
        <v>63596</v>
      </c>
      <c r="I27" s="49">
        <v>64098</v>
      </c>
      <c r="J27" s="33" t="s">
        <v>55</v>
      </c>
      <c r="K27" s="49">
        <v>63995</v>
      </c>
      <c r="L27" s="150" t="s">
        <v>52</v>
      </c>
      <c r="M27" s="153">
        <f t="shared" si="0"/>
        <v>-54.384</v>
      </c>
      <c r="N27" s="92" t="str">
        <f>VLOOKUP(C27,'Trips&amp;Operators'!$C$1:$E$99999,3,FALSE)</f>
        <v>GEBRETEKLE</v>
      </c>
      <c r="O27" s="174" t="s">
        <v>614</v>
      </c>
      <c r="P27" s="10" t="s">
        <v>744</v>
      </c>
      <c r="Q27" s="33"/>
      <c r="R27" s="108" t="str">
        <f>VLOOKUP(C27,'Train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27" s="111" t="str">
        <f>VLOOKUP(C27,'Train Runs'!$A$13:$AE$10017,22,0)</f>
        <v>https://search-rtdc-monitor-bjffxe2xuh6vdkpspy63sjmuny.us-east-1.es.amazonaws.com/_plugin/kibana/#/discover/Steve-Slow-Train-Analysis-(2080s-and-2083s)?_g=(refreshInterval:(display:Off,section:0,value:0),time:(from:'2016-09-23 03:38:00-0600',mode:absolute,to:'2016-09-23 06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27" s="113" t="str">
        <f t="shared" si="1"/>
        <v>"C:\Program Files (x86)\AstroGrep\AstroGrep.exe" /spath="%USERPROFILE%\AppData\Local\Temp\OnboardLogs" /stypes="*4003*201609231*" /stext=" 10:.+((SYSTEM_STATE.+slice.+state.+changed )|(ment ac)|(system.+state.+changed )|(\|lc)|(penalty)|(\[timeout)|(PRM\|1\|D)|(kpr)|(kdp))" /e /r /s</v>
      </c>
      <c r="U27" s="9" t="str">
        <f t="shared" si="2"/>
        <v>4003</v>
      </c>
      <c r="V27" s="38">
        <f t="shared" si="3"/>
        <v>42636.457673611112</v>
      </c>
      <c r="W27" s="52" t="str">
        <f t="shared" si="4"/>
        <v>EC</v>
      </c>
      <c r="X27" s="52" t="str">
        <f t="shared" si="5"/>
        <v>KEEP</v>
      </c>
      <c r="Y27" s="134" t="str">
        <f t="shared" si="6"/>
        <v>echo {"issue":{"subject":"Wi-MAX outage, 4003/4004 CCUs are hampered","project_id":79,"tracker_id":40,"status_id":1,"priority_id":2,"assigned_to_id":23,"start_date":"2016-09-23","description":"","custom_fields":[{"id":1,"name":"Subdivision","value":"EC"},{"id":4,"name":"Milepost","value":"6.3995"},{"id":17,"name":"Train ID","value":"109-23"},{"id":16,"name":"Locomotive ID","value":"4003"},{"id":130,"name":"Impact","value":""},{"id":150,"name":"Time of Event (Mountain Time)","value":"04:59:03"},{"id":151,"name":"Denver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5" t="str">
        <f t="shared" si="7"/>
        <v>grep -hSE -A100 "Enforcement Action" "%USERPROFILE%\AppData\Local\Temp\OnboardLogs"\RTDC4003\*4003*201609231* | grep -SE "((Enforcement Ac)|(PRM))" -</v>
      </c>
    </row>
    <row r="28" spans="1:29" x14ac:dyDescent="0.25">
      <c r="A28" s="38">
        <v>42636.398634259262</v>
      </c>
      <c r="B28" s="33" t="s">
        <v>247</v>
      </c>
      <c r="C28" s="33" t="s">
        <v>450</v>
      </c>
      <c r="D28" s="33" t="s">
        <v>49</v>
      </c>
      <c r="E28" s="33" t="s">
        <v>609</v>
      </c>
      <c r="F28" s="49">
        <v>0</v>
      </c>
      <c r="G28" s="49">
        <v>707</v>
      </c>
      <c r="H28" s="49">
        <v>75020</v>
      </c>
      <c r="I28" s="49">
        <v>71557</v>
      </c>
      <c r="J28" s="33" t="s">
        <v>610</v>
      </c>
      <c r="K28" s="49">
        <v>69363</v>
      </c>
      <c r="L28" s="150" t="s">
        <v>53</v>
      </c>
      <c r="M28" s="153">
        <f t="shared" si="0"/>
        <v>1158.432</v>
      </c>
      <c r="N28" s="92" t="str">
        <f>VLOOKUP(C28,'Trips&amp;Operators'!$C$1:$E$99999,3,FALSE)</f>
        <v>GEBRETEKLE</v>
      </c>
      <c r="O28" s="174" t="s">
        <v>614</v>
      </c>
      <c r="P28" s="10" t="s">
        <v>744</v>
      </c>
      <c r="Q28" s="33"/>
      <c r="R28" s="108" t="str">
        <f>VLOOKUP(C28,'Train Runs'!$A$13:$AE$10017,31,0)</f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S28" s="111" t="str">
        <f>VLOOKUP(C28,'Train Runs'!$A$13:$AE$10017,22,0)</f>
        <v>https://search-rtdc-monitor-bjffxe2xuh6vdkpspy63sjmuny.us-east-1.es.amazonaws.com/_plugin/kibana/#/discover/Steve-Slow-Train-Analysis-(2080s-and-2083s)?_g=(refreshInterval:(display:Off,section:0,value:0),time:(from:'2016-09-23 08:01:06-0600',mode:absolute,to:'2016-09-23 10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8" s="113" t="str">
        <f t="shared" si="1"/>
        <v>"C:\Program Files (x86)\AstroGrep\AstroGrep.exe" /spath="%USERPROFILE%\AppData\Local\Temp\OnboardLogs" /stypes="*4004*201609231*" /stext=" 15:.+((SYSTEM_STATE.+slice.+state.+changed )|(ment ac)|(system.+state.+changed )|(\|lc)|(penalty)|(\[timeout)|(PRM\|1\|D)|(kpr)|(kdp))" /e /r /s</v>
      </c>
      <c r="U28" s="9" t="str">
        <f t="shared" si="2"/>
        <v>4004</v>
      </c>
      <c r="V28" s="38">
        <f t="shared" si="3"/>
        <v>42636.648634259262</v>
      </c>
      <c r="W28" s="52" t="str">
        <f t="shared" si="4"/>
        <v>EC</v>
      </c>
      <c r="X28" s="52" t="str">
        <f t="shared" si="5"/>
        <v>KEEP</v>
      </c>
      <c r="Y28" s="134" t="str">
        <f t="shared" si="6"/>
        <v>echo {"issue":{"subject":"Wi-MAX outage, 4003/4004 CCUs are hampered","project_id":79,"tracker_id":40,"status_id":1,"priority_id":2,"assigned_to_id":23,"start_date":"2016-09-23","description":"","custom_fields":[{"id":1,"name":"Subdivision","value":"EC"},{"id":4,"name":"Milepost","value":"6.9363"},{"id":17,"name":"Train ID","value":"138-23"},{"id":16,"name":"Locomotive ID","value":"4004"},{"id":130,"name":"Impact","value":""},{"id":150,"name":"Time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5" t="str">
        <f t="shared" si="7"/>
        <v>grep -hSE -A100 "Enforcement Action" "%USERPROFILE%\AppData\Local\Temp\OnboardLogs"\RTDC4004\*4004*201609231* | grep -SE "((Enforcement Ac)|(PRM))" -</v>
      </c>
    </row>
    <row r="29" spans="1:29" x14ac:dyDescent="0.25">
      <c r="A29" s="38">
        <v>42636.250081018516</v>
      </c>
      <c r="B29" s="33" t="s">
        <v>247</v>
      </c>
      <c r="C29" s="33" t="s">
        <v>408</v>
      </c>
      <c r="D29" s="33" t="s">
        <v>49</v>
      </c>
      <c r="E29" s="33" t="s">
        <v>609</v>
      </c>
      <c r="F29" s="49">
        <v>0</v>
      </c>
      <c r="G29" s="49">
        <v>578</v>
      </c>
      <c r="H29" s="49">
        <v>106331</v>
      </c>
      <c r="I29" s="49">
        <v>104222</v>
      </c>
      <c r="J29" s="33" t="s">
        <v>610</v>
      </c>
      <c r="K29" s="49">
        <v>104776</v>
      </c>
      <c r="L29" s="150" t="s">
        <v>53</v>
      </c>
      <c r="M29" s="153">
        <f t="shared" si="0"/>
        <v>-292.512</v>
      </c>
      <c r="N29" s="92" t="str">
        <f>VLOOKUP(C29,'Trips&amp;Operators'!$C$1:$E$99999,3,FALSE)</f>
        <v>GEBRETEKLE</v>
      </c>
      <c r="O29" s="174" t="s">
        <v>614</v>
      </c>
      <c r="P29" s="10" t="s">
        <v>744</v>
      </c>
      <c r="Q29" s="33"/>
      <c r="R29" s="108" t="str">
        <f>VLOOKUP(C29,'Train Runs'!$A$13:$AE$10017,31,0)</f>
        <v>aws s3 cp s3://rtdc.mdm.uploadarchive/RTDC4004/2016-09-23/ "%USERPROFILE%\AppData\Local\Temp\OnboardLogs"\RTDC4004\2016-09-23 --recursive &amp; "%USERPROFILE%\Documents\GitHub\mrs-test-scripts\Headless Mode &amp; Sideloading\WalkAndUnGZ.bat" "%USERPROFILE%\AppData\Local\Temp\OnboardLogs"\RTDC4004\2016-09-23 &amp; aws s3 cp s3://rtdc.mdm.uploadarchive/RTDC4004/2016-09-24/ "%USERPROFILE%\AppData\Local\Temp\OnboardLogs"\RTDC4004\2016-09-24 --recursive &amp; "%USERPROFILE%\Documents\GitHub\mrs-test-scripts\Headless Mode &amp; Sideloading\WalkAndUnGZ.bat" "%USERPROFILE%\AppData\Local\Temp\OnboardLogs"\RTDC4004\2016-09-24</v>
      </c>
      <c r="S29" s="111" t="str">
        <f>VLOOKUP(C29,'Train Runs'!$A$13:$AE$10017,22,0)</f>
        <v>https://search-rtdc-monitor-bjffxe2xuh6vdkpspy63sjmuny.us-east-1.es.amazonaws.com/_plugin/kibana/#/discover/Steve-Slow-Train-Analysis-(2080s-and-2083s)?_g=(refreshInterval:(display:Off,section:0,value:0),time:(from:'2016-09-23 04:36:30-0600',mode:absolute,to:'2016-09-23 07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4004%22')),sort:!(Time,asc))</v>
      </c>
      <c r="T29" s="113" t="str">
        <f t="shared" si="1"/>
        <v>"C:\Program Files (x86)\AstroGrep\AstroGrep.exe" /spath="%USERPROFILE%\AppData\Local\Temp\OnboardLogs" /stypes="*4004*201609231*" /stext=" 12:.+((SYSTEM_STATE.+slice.+state.+changed )|(ment ac)|(system.+state.+changed )|(\|lc)|(penalty)|(\[timeout)|(PRM\|1\|D)|(kpr)|(kdp))" /e /r /s</v>
      </c>
      <c r="U29" s="9" t="str">
        <f t="shared" si="2"/>
        <v>4004</v>
      </c>
      <c r="V29" s="38">
        <f t="shared" si="3"/>
        <v>42636.500081018516</v>
      </c>
      <c r="W29" s="52" t="str">
        <f t="shared" si="4"/>
        <v>EC</v>
      </c>
      <c r="X29" s="52" t="str">
        <f t="shared" si="5"/>
        <v>KEEP</v>
      </c>
      <c r="Y29" s="134" t="str">
        <f t="shared" si="6"/>
        <v>echo {"issue":{"subject":"Wi-MAX outage, 4003/4004 CCUs are hampered","project_id":79,"tracker_id":40,"status_id":1,"priority_id":2,"assigned_to_id":23,"start_date":"2016-09-23","description":"","custom_fields":[{"id":1,"name":"Subdivision","value":"EC"},{"id":4,"name":"Milepost","value":"10.4776"},{"id":17,"name":"Train ID","value":"110-23"},{"id":16,"name":"Locomotive ID","value":"4004"},{"id":130,"name":"Impact","value":""},{"id":150,"name":"Time of Event (Mountain Time)","value":"06:00:07"},{"id":151,"name":"Denver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5" t="str">
        <f t="shared" si="7"/>
        <v>grep -hSE -A100 "Enforcement Action" "%USERPROFILE%\AppData\Local\Temp\OnboardLogs"\RTDC4004\*4004*201609231* | grep -SE "((Enforcement Ac)|(PRM))" -</v>
      </c>
    </row>
    <row r="30" spans="1:29" x14ac:dyDescent="0.25">
      <c r="A30" s="38">
        <v>42636.216504629629</v>
      </c>
      <c r="B30" s="33" t="s">
        <v>246</v>
      </c>
      <c r="C30" s="33" t="s">
        <v>398</v>
      </c>
      <c r="D30" s="33" t="s">
        <v>49</v>
      </c>
      <c r="E30" s="33" t="s">
        <v>609</v>
      </c>
      <c r="F30" s="49">
        <v>0</v>
      </c>
      <c r="G30" s="49">
        <v>779</v>
      </c>
      <c r="H30" s="49">
        <v>148056</v>
      </c>
      <c r="I30" s="49">
        <v>152635</v>
      </c>
      <c r="J30" s="33" t="s">
        <v>610</v>
      </c>
      <c r="K30" s="49">
        <v>155600</v>
      </c>
      <c r="L30" s="150" t="s">
        <v>52</v>
      </c>
      <c r="M30" s="153">
        <f t="shared" si="0"/>
        <v>1565.52</v>
      </c>
      <c r="N30" s="92" t="str">
        <f>VLOOKUP(C30,'Trips&amp;Operators'!$C$1:$E$99999,3,FALSE)</f>
        <v>GEBRETEKLE</v>
      </c>
      <c r="O30" s="174" t="s">
        <v>614</v>
      </c>
      <c r="P30" s="10" t="s">
        <v>744</v>
      </c>
      <c r="Q30" s="33"/>
      <c r="R30" s="108" t="str">
        <f>VLOOKUP(C30,'Train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30" s="111" t="str">
        <f>VLOOKUP(C30,'Train Runs'!$A$13:$AE$10017,22,0)</f>
        <v>https://search-rtdc-monitor-bjffxe2xuh6vdkpspy63sjmuny.us-east-1.es.amazonaws.com/_plugin/kibana/#/discover/Steve-Slow-Train-Analysis-(2080s-and-2083s)?_g=(refreshInterval:(display:Off,section:0,value:0),time:(from:'2016-09-23 03:38:00-0600',mode:absolute,to:'2016-09-23 06:23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30" s="113" t="str">
        <f t="shared" si="1"/>
        <v>"C:\Program Files (x86)\AstroGrep\AstroGrep.exe" /spath="%USERPROFILE%\AppData\Local\Temp\OnboardLogs" /stypes="*4003*201609231*" /stext=" 11:.+((SYSTEM_STATE.+slice.+state.+changed )|(ment ac)|(system.+state.+changed )|(\|lc)|(penalty)|(\[timeout)|(PRM\|1\|D)|(kpr)|(kdp))" /e /r /s</v>
      </c>
      <c r="U30" s="9" t="str">
        <f t="shared" si="2"/>
        <v>4003</v>
      </c>
      <c r="V30" s="38">
        <f t="shared" si="3"/>
        <v>42636.466504629629</v>
      </c>
      <c r="W30" s="52" t="str">
        <f t="shared" si="4"/>
        <v>EC</v>
      </c>
      <c r="X30" s="52" t="str">
        <f t="shared" si="5"/>
        <v>KEEP</v>
      </c>
      <c r="Y30" s="134" t="str">
        <f t="shared" si="6"/>
        <v>echo {"issue":{"subject":"Wi-MAX outage, 4003/4004 CCUs are hampered","project_id":79,"tracker_id":40,"status_id":1,"priority_id":2,"assigned_to_id":23,"start_date":"2016-09-23","description":"","custom_fields":[{"id":1,"name":"Subdivision","value":"EC"},{"id":4,"name":"Milepost","value":"15.56"},{"id":17,"name":"Train ID","value":"109-23"},{"id":16,"name":"Locomotive ID","value":"4003"},{"id":130,"name":"Impact","value":""},{"id":150,"name":"Time of Event (Mountain Time)","value":"05:11:46"},{"id":151,"name":"Denver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5" t="str">
        <f t="shared" si="7"/>
        <v>grep -hSE -A100 "Enforcement Action" "%USERPROFILE%\AppData\Local\Temp\OnboardLogs"\RTDC4003\*4003*201609231* | grep -SE "((Enforcement Ac)|(PRM))" -</v>
      </c>
    </row>
    <row r="31" spans="1:29" ht="15" customHeight="1" x14ac:dyDescent="0.25">
      <c r="A31" s="38">
        <v>42636.846319444441</v>
      </c>
      <c r="B31" s="33" t="s">
        <v>253</v>
      </c>
      <c r="C31" s="33" t="s">
        <v>577</v>
      </c>
      <c r="D31" s="33" t="s">
        <v>105</v>
      </c>
      <c r="E31" s="33" t="s">
        <v>613</v>
      </c>
      <c r="F31" s="49">
        <v>150</v>
      </c>
      <c r="G31" s="49">
        <v>204</v>
      </c>
      <c r="H31" s="49">
        <v>78011</v>
      </c>
      <c r="I31" s="49">
        <v>77564</v>
      </c>
      <c r="J31" s="33" t="s">
        <v>168</v>
      </c>
      <c r="K31" s="49">
        <v>78500</v>
      </c>
      <c r="L31" s="150" t="s">
        <v>53</v>
      </c>
      <c r="M31" s="153">
        <f t="shared" si="0"/>
        <v>-494.20800000000003</v>
      </c>
      <c r="N31" s="92" t="str">
        <f>VLOOKUP(C31,'Trips&amp;Operators'!$C$1:$E$99999,3,FALSE)</f>
        <v>LEVIN</v>
      </c>
      <c r="O31" s="174" t="s">
        <v>86</v>
      </c>
      <c r="P31" s="10"/>
      <c r="Q31" s="33"/>
      <c r="R31" s="108" t="str">
        <f>VLOOKUP(C31,'Train Runs'!$A$13:$AE$10017,31,0)</f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S31" s="111" t="str">
        <f>VLOOKUP(C31,'Train Runs'!$A$13:$AE$10017,22,0)</f>
        <v>https://search-rtdc-monitor-bjffxe2xuh6vdkpspy63sjmuny.us-east-1.es.amazonaws.com/_plugin/kibana/#/discover/Steve-Slow-Train-Analysis-(2080s-and-2083s)?_g=(refreshInterval:(display:Off,section:0,value:0),time:(from:'2016-09-23 18:49:06-0600',mode:absolute,to:'2016-09-23 21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1" s="113" t="str">
        <f t="shared" si="1"/>
        <v>"C:\Program Files (x86)\AstroGrep\AstroGrep.exe" /spath="%USERPROFILE%\AppData\Local\Temp\OnboardLogs" /stypes="*4012*201609240*" /stext=" 02:.+((SYSTEM_STATE.+slice.+state.+changed )|(ment ac)|(system.+state.+changed )|(\|lc)|(penalty)|(\[timeout)|(PRM\|1\|D)|(kpr)|(kdp))" /e /r /s</v>
      </c>
      <c r="U31" s="9" t="str">
        <f t="shared" si="2"/>
        <v>4012</v>
      </c>
      <c r="V31" s="38">
        <f t="shared" si="3"/>
        <v>42637.096319444441</v>
      </c>
      <c r="W31" s="52" t="str">
        <f t="shared" si="4"/>
        <v>EC</v>
      </c>
      <c r="X31" s="52" t="str">
        <f t="shared" si="5"/>
        <v>KEEP</v>
      </c>
      <c r="Y31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{"issue":{"subject":"","project_id":79,"tracker_id":40,"status_id":1,"priority_id":2,"assigned_to_id":23,"start_date":"2016-09-23","description":"","custom_fields":[{"id":1,"name":"Subdivision","value":"EC"},{"id":4,"name":"Milepost","value":"7.85"},{"id":17,"name":"Train ID","value":"222-23"},{"id":16,"name":"Locomotive ID","value":"4012"},{"id":130,"name":"Impact","value":""},{"id":150,"name":"Time of Event (Mountain Time)","value":"20:18:42"},{"id":151,"name":"Denver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5" t="str">
        <f t="shared" si="7"/>
        <v>grep -hSE -A100 "Enforcement Action" "%USERPROFILE%\AppData\Local\Temp\OnboardLogs"\RTDC4012\*4012*201609240* | grep -SE "((Enforcement Ac)|(PRM))" -</v>
      </c>
    </row>
    <row r="32" spans="1:29" x14ac:dyDescent="0.25">
      <c r="A32" s="38">
        <v>42636.993206018517</v>
      </c>
      <c r="B32" s="33" t="s">
        <v>404</v>
      </c>
      <c r="C32" s="33" t="s">
        <v>596</v>
      </c>
      <c r="D32" s="33" t="s">
        <v>105</v>
      </c>
      <c r="E32" s="33" t="s">
        <v>613</v>
      </c>
      <c r="F32" s="49">
        <v>150</v>
      </c>
      <c r="G32" s="49">
        <v>213</v>
      </c>
      <c r="H32" s="49">
        <v>78081</v>
      </c>
      <c r="I32" s="49">
        <v>77479</v>
      </c>
      <c r="J32" s="33" t="s">
        <v>168</v>
      </c>
      <c r="K32" s="49">
        <v>78500</v>
      </c>
      <c r="L32" s="150" t="s">
        <v>53</v>
      </c>
      <c r="M32" s="153">
        <f t="shared" si="0"/>
        <v>-539.08799999999997</v>
      </c>
      <c r="N32" s="92" t="str">
        <f>VLOOKUP(C32,'Trips&amp;Operators'!$C$1:$E$99999,3,FALSE)</f>
        <v>STURGEON</v>
      </c>
      <c r="O32" s="174" t="s">
        <v>86</v>
      </c>
      <c r="P32" s="10"/>
      <c r="Q32" s="33"/>
      <c r="R32" s="108" t="str">
        <f>VLOOKUP(C32,'Train Runs'!$A$13:$AE$10017,31,0)</f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S32" s="111" t="str">
        <f>VLOOKUP(C32,'Train Runs'!$A$13:$AE$10017,22,0)</f>
        <v>https://search-rtdc-monitor-bjffxe2xuh6vdkpspy63sjmuny.us-east-1.es.amazonaws.com/_plugin/kibana/#/discover/Steve-Slow-Train-Analysis-(2080s-and-2083s)?_g=(refreshInterval:(display:Off,section:0,value:0),time:(from:'2016-09-23 22:14:41-0600',mode:absolute,to:'2016-09-24 01:08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2" s="113" t="str">
        <f t="shared" si="1"/>
        <v>"C:\Program Files (x86)\AstroGrep\AstroGrep.exe" /spath="%USERPROFILE%\AppData\Local\Temp\OnboardLogs" /stypes="*4015*201609240*" /stext=" 05:.+((SYSTEM_STATE.+slice.+state.+changed )|(ment ac)|(system.+state.+changed )|(\|lc)|(penalty)|(\[timeout)|(PRM\|1\|D)|(kpr)|(kdp))" /e /r /s</v>
      </c>
      <c r="U32" s="9" t="str">
        <f t="shared" si="2"/>
        <v>4015</v>
      </c>
      <c r="V32" s="38">
        <f t="shared" si="3"/>
        <v>42637.243206018517</v>
      </c>
      <c r="W32" s="52" t="str">
        <f t="shared" si="4"/>
        <v>EC</v>
      </c>
      <c r="X32" s="52" t="str">
        <f t="shared" si="5"/>
        <v>KEEP</v>
      </c>
      <c r="Y32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{"issue":{"subject":"","project_id":79,"tracker_id":40,"status_id":1,"priority_id":2,"assigned_to_id":23,"start_date":"2016-09-23","description":"","custom_fields":[{"id":1,"name":"Subdivision","value":"EC"},{"id":4,"name":"Milepost","value":"7.85"},{"id":17,"name":"Train ID","value":"236-23"},{"id":16,"name":"Locomotive ID","value":"4015"},{"id":130,"name":"Impact","value":""},{"id":150,"name":"Time of Event (Mountain Time)","value":"23:50:13"},{"id":151,"name":"Denver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5" t="str">
        <f t="shared" si="7"/>
        <v>grep -hSE -A100 "Enforcement Action" "%USERPROFILE%\AppData\Local\Temp\OnboardLogs"\RTDC4015\*4015*201609240* | grep -SE "((Enforcement Ac)|(PRM))" -</v>
      </c>
    </row>
    <row r="33" spans="1:29" ht="15" customHeight="1" x14ac:dyDescent="0.25">
      <c r="A33" s="38">
        <v>42636.24454861111</v>
      </c>
      <c r="B33" s="33" t="s">
        <v>262</v>
      </c>
      <c r="C33" s="33" t="s">
        <v>402</v>
      </c>
      <c r="D33" s="33" t="s">
        <v>49</v>
      </c>
      <c r="E33" s="33" t="s">
        <v>50</v>
      </c>
      <c r="F33" s="49">
        <v>0</v>
      </c>
      <c r="G33" s="49">
        <v>65</v>
      </c>
      <c r="H33" s="49">
        <v>231</v>
      </c>
      <c r="I33" s="49">
        <v>156</v>
      </c>
      <c r="J33" s="33" t="s">
        <v>51</v>
      </c>
      <c r="K33" s="49">
        <v>1</v>
      </c>
      <c r="L33" s="150" t="s">
        <v>53</v>
      </c>
      <c r="M33" s="153">
        <f t="shared" si="0"/>
        <v>81.84</v>
      </c>
      <c r="N33" s="92" t="str">
        <f>VLOOKUP(C33,'Trips&amp;Operators'!$C$1:$E$99999,3,FALSE)</f>
        <v>MALAVE</v>
      </c>
      <c r="O33" s="174" t="s">
        <v>86</v>
      </c>
      <c r="P33" s="10"/>
      <c r="Q33" s="33"/>
      <c r="R33" s="108" t="str">
        <f>VLOOKUP(C33,'Train Runs'!$A$13:$AE$10017,31,0)</f>
        <v>aws s3 cp s3://rtdc.mdm.uploadarchive/RTDC4008/2016-09-23/ "%USERPROFILE%\AppData\Local\Temp\OnboardLogs"\RTDC4008\2016-09-23 --recursive &amp; "%USERPROFILE%\Documents\GitHub\mrs-test-scripts\Headless Mode &amp; Sideloading\WalkAndUnGZ.bat" "%USERPROFILE%\AppData\Local\Temp\OnboardLogs"\RTDC4008\2016-09-23 &amp; aws s3 cp s3://rtdc.mdm.uploadarchive/RTDC4008/2016-09-24/ "%USERPROFILE%\AppData\Local\Temp\OnboardLogs"\RTDC4008\2016-09-24 --recursive &amp; "%USERPROFILE%\Documents\GitHub\mrs-test-scripts\Headless Mode &amp; Sideloading\WalkAndUnGZ.bat" "%USERPROFILE%\AppData\Local\Temp\OnboardLogs"\RTDC4008\2016-09-24</v>
      </c>
      <c r="S33" s="111" t="str">
        <f>VLOOKUP(C33,'Train Runs'!$A$13:$AE$10017,22,0)</f>
        <v>https://search-rtdc-monitor-bjffxe2xuh6vdkpspy63sjmuny.us-east-1.es.amazonaws.com/_plugin/kibana/#/discover/Steve-Slow-Train-Analysis-(2080s-and-2083s)?_g=(refreshInterval:(display:Off,section:0,value:0),time:(from:'2016-09-23 04:06:22-0600',mode:absolute,to:'2016-09-23 06:52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4008%22')),sort:!(Time,asc))</v>
      </c>
      <c r="T33" s="113" t="str">
        <f t="shared" si="1"/>
        <v>"C:\Program Files (x86)\AstroGrep\AstroGrep.exe" /spath="%USERPROFILE%\AppData\Local\Temp\OnboardLogs" /stypes="*4008*201609231*" /stext=" 11:.+((SYSTEM_STATE.+slice.+state.+changed )|(ment ac)|(system.+state.+changed )|(\|lc)|(penalty)|(\[timeout)|(PRM\|1\|D)|(kpr)|(kdp))" /e /r /s</v>
      </c>
      <c r="U33" s="9" t="str">
        <f t="shared" si="2"/>
        <v>4008</v>
      </c>
      <c r="V33" s="38">
        <f t="shared" si="3"/>
        <v>42636.49454861111</v>
      </c>
      <c r="W33" s="52" t="str">
        <f t="shared" si="4"/>
        <v>EC</v>
      </c>
      <c r="X33" s="52" t="str">
        <f t="shared" si="5"/>
        <v>KEEP</v>
      </c>
      <c r="Y33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ID","value":"106-23"},{"id":16,"name":"Locomotive ID","value":"4008"},{"id":130,"name":"Impact","value":""},{"id":150,"name":"Time of Event (Mountain Time)","value":"05:52:09"},{"id":151,"name":"Denver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5" t="str">
        <f t="shared" si="7"/>
        <v>grep -hSE -A100 "Enforcement Action" "%USERPROFILE%\AppData\Local\Temp\OnboardLogs"\RTDC4008\*4008*201609231* | grep -SE "((Enforcement Ac)|(PRM))" -</v>
      </c>
    </row>
    <row r="34" spans="1:29" x14ac:dyDescent="0.25">
      <c r="A34" s="38">
        <v>42636.329212962963</v>
      </c>
      <c r="B34" s="33" t="s">
        <v>404</v>
      </c>
      <c r="C34" s="33" t="s">
        <v>427</v>
      </c>
      <c r="D34" s="33" t="s">
        <v>49</v>
      </c>
      <c r="E34" s="33" t="s">
        <v>50</v>
      </c>
      <c r="F34" s="49">
        <v>0</v>
      </c>
      <c r="G34" s="49">
        <v>98</v>
      </c>
      <c r="H34" s="49">
        <v>329</v>
      </c>
      <c r="I34" s="49">
        <v>229</v>
      </c>
      <c r="J34" s="33" t="s">
        <v>51</v>
      </c>
      <c r="K34" s="49">
        <v>1</v>
      </c>
      <c r="L34" s="150" t="s">
        <v>53</v>
      </c>
      <c r="M34" s="153">
        <f t="shared" si="0"/>
        <v>120.384</v>
      </c>
      <c r="N34" s="92" t="str">
        <f>VLOOKUP(C34,'Trips&amp;Operators'!$C$1:$E$99999,3,FALSE)</f>
        <v>BRANNON</v>
      </c>
      <c r="O34" s="174" t="s">
        <v>86</v>
      </c>
      <c r="P34" s="10"/>
      <c r="Q34" s="33"/>
      <c r="R34" s="108" t="str">
        <f>VLOOKUP(C34,'Train Runs'!$A$13:$AE$10017,31,0)</f>
        <v>aws s3 cp s3://rtdc.mdm.uploadarchive/RTDC4015/2016-09-23/ "%USERPROFILE%\AppData\Local\Temp\OnboardLogs"\RTDC4015\2016-09-23 --recursive &amp; "%USERPROFILE%\Documents\GitHub\mrs-test-scripts\Headless Mode &amp; Sideloading\WalkAndUnGZ.bat" "%USERPROFILE%\AppData\Local\Temp\OnboardLogs"\RTDC4015\2016-09-23 &amp; aws s3 cp s3://rtdc.mdm.uploadarchive/RTDC4015/2016-09-24/ "%USERPROFILE%\AppData\Local\Temp\OnboardLogs"\RTDC4015\2016-09-24 --recursive &amp; "%USERPROFILE%\Documents\GitHub\mrs-test-scripts\Headless Mode &amp; Sideloading\WalkAndUnGZ.bat" "%USERPROFILE%\AppData\Local\Temp\OnboardLogs"\RTDC4015\2016-09-24</v>
      </c>
      <c r="S34" s="111" t="str">
        <f>VLOOKUP(C34,'Train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06:07:39-0600',mode:absolute,to:'2016-09-23 08:54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T34" s="113" t="str">
        <f t="shared" si="1"/>
        <v>"C:\Program Files (x86)\AstroGrep\AstroGrep.exe" /spath="%USERPROFILE%\AppData\Local\Temp\OnboardLogs" /stypes="*4015*201609231*" /stext=" 13:.+((SYSTEM_STATE.+slice.+state.+changed )|(ment ac)|(system.+state.+changed )|(\|lc)|(penalty)|(\[timeout)|(PRM\|1\|D)|(kpr)|(kdp))" /e /r /s</v>
      </c>
      <c r="U34" s="9" t="str">
        <f t="shared" si="2"/>
        <v>4015</v>
      </c>
      <c r="V34" s="38">
        <f t="shared" si="3"/>
        <v>42636.579212962963</v>
      </c>
      <c r="W34" s="52" t="str">
        <f t="shared" si="4"/>
        <v>EC</v>
      </c>
      <c r="X34" s="52" t="str">
        <f t="shared" si="5"/>
        <v>KEEP</v>
      </c>
      <c r="Y34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ID","value":"122-23"},{"id":16,"name":"Locomotive ID","value":"4015"},{"id":130,"name":"Impact","value":""},{"id":150,"name":"Time of Event (Mountain Time)","value":"07:54:04"},{"id":151,"name":"Denver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5" t="str">
        <f t="shared" si="7"/>
        <v>grep -hSE -A100 "Enforcement Action" "%USERPROFILE%\AppData\Local\Temp\OnboardLogs"\RTDC4015\*4015*201609231* | grep -SE "((Enforcement Ac)|(PRM))" -</v>
      </c>
    </row>
    <row r="35" spans="1:29" x14ac:dyDescent="0.25">
      <c r="A35" s="38">
        <v>42636.347974537035</v>
      </c>
      <c r="B35" s="33" t="s">
        <v>253</v>
      </c>
      <c r="C35" s="33" t="s">
        <v>433</v>
      </c>
      <c r="D35" s="33" t="s">
        <v>49</v>
      </c>
      <c r="E35" s="33" t="s">
        <v>50</v>
      </c>
      <c r="F35" s="49">
        <v>0</v>
      </c>
      <c r="G35" s="49">
        <v>55</v>
      </c>
      <c r="H35" s="49">
        <v>181</v>
      </c>
      <c r="I35" s="49">
        <v>125</v>
      </c>
      <c r="J35" s="33" t="s">
        <v>51</v>
      </c>
      <c r="K35" s="49">
        <v>1</v>
      </c>
      <c r="L35" s="150" t="s">
        <v>53</v>
      </c>
      <c r="M35" s="153">
        <f t="shared" si="0"/>
        <v>65.471999999999994</v>
      </c>
      <c r="N35" s="92" t="str">
        <f>VLOOKUP(C35,'Trips&amp;Operators'!$C$1:$E$99999,3,FALSE)</f>
        <v>SPECTOR</v>
      </c>
      <c r="O35" s="174" t="s">
        <v>86</v>
      </c>
      <c r="P35" s="10"/>
      <c r="Q35" s="33"/>
      <c r="R35" s="108" t="str">
        <f>VLOOKUP(C35,'Train Runs'!$A$13:$AE$10017,31,0)</f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S35" s="111" t="str">
        <f>VLOOKUP(C35,'Train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06:40:02-0600',mode:absolute,to:'2016-09-23 09:21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5" s="113" t="str">
        <f t="shared" si="1"/>
        <v>"C:\Program Files (x86)\AstroGrep\AstroGrep.exe" /spath="%USERPROFILE%\AppData\Local\Temp\OnboardLogs" /stypes="*4012*201609231*" /stext=" 14:.+((SYSTEM_STATE.+slice.+state.+changed )|(ment ac)|(system.+state.+changed )|(\|lc)|(penalty)|(\[timeout)|(PRM\|1\|D)|(kpr)|(kdp))" /e /r /s</v>
      </c>
      <c r="U35" s="9" t="str">
        <f t="shared" si="2"/>
        <v>4012</v>
      </c>
      <c r="V35" s="38">
        <f t="shared" si="3"/>
        <v>42636.597974537035</v>
      </c>
      <c r="W35" s="52" t="str">
        <f t="shared" si="4"/>
        <v>EC</v>
      </c>
      <c r="X35" s="52" t="str">
        <f t="shared" si="5"/>
        <v>KEEP</v>
      </c>
      <c r="Y35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ID","value":"126-23"},{"id":16,"name":"Locomotive ID","value":"4012"},{"id":130,"name":"Impact","value":""},{"id":150,"name":"Time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5" t="str">
        <f t="shared" si="7"/>
        <v>grep -hSE -A100 "Enforcement Action" "%USERPROFILE%\AppData\Local\Temp\OnboardLogs"\RTDC4012\*4012*201609231* | grep -SE "((Enforcement Ac)|(PRM))" -</v>
      </c>
    </row>
    <row r="36" spans="1:29" x14ac:dyDescent="0.25">
      <c r="A36" s="38">
        <v>42636.420868055553</v>
      </c>
      <c r="B36" s="33" t="s">
        <v>253</v>
      </c>
      <c r="C36" s="33" t="s">
        <v>453</v>
      </c>
      <c r="D36" s="33" t="s">
        <v>49</v>
      </c>
      <c r="E36" s="33" t="s">
        <v>50</v>
      </c>
      <c r="F36" s="49">
        <v>0</v>
      </c>
      <c r="G36" s="49">
        <v>52</v>
      </c>
      <c r="H36" s="49">
        <v>178</v>
      </c>
      <c r="I36" s="49">
        <v>138</v>
      </c>
      <c r="J36" s="33" t="s">
        <v>51</v>
      </c>
      <c r="K36" s="49">
        <v>1</v>
      </c>
      <c r="L36" s="150" t="s">
        <v>53</v>
      </c>
      <c r="M36" s="153">
        <f t="shared" si="0"/>
        <v>72.335999999999999</v>
      </c>
      <c r="N36" s="92" t="str">
        <f>VLOOKUP(C36,'Trips&amp;Operators'!$C$1:$E$99999,3,FALSE)</f>
        <v>SPECTOR</v>
      </c>
      <c r="O36" s="174" t="s">
        <v>86</v>
      </c>
      <c r="P36" s="10"/>
      <c r="Q36" s="33"/>
      <c r="R36" s="108" t="str">
        <f>VLOOKUP(C36,'Train Runs'!$A$13:$AE$10017,31,0)</f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S36" s="111" t="str">
        <f>VLOOKUP(C36,'Train Runs'!$A$13:$AE$10017,22,0)</f>
        <v>https://search-rtdc-monitor-bjffxe2xuh6vdkpspy63sjmuny.us-east-1.es.amazonaws.com/_plugin/kibana/#/discover/Steve-Slow-Train-Analysis-(2080s-and-2083s)?_g=(refreshInterval:(display:Off,section:0,value:0),time:(from:'2016-09-23 08:21:08-0600',mode:absolute,to:'2016-09-23 11:06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6" s="113" t="str">
        <f t="shared" si="1"/>
        <v>"C:\Program Files (x86)\AstroGrep\AstroGrep.exe" /spath="%USERPROFILE%\AppData\Local\Temp\OnboardLogs" /stypes="*4012*201609231*" /stext=" 16:.+((SYSTEM_STATE.+slice.+state.+changed )|(ment ac)|(system.+state.+changed )|(\|lc)|(penalty)|(\[timeout)|(PRM\|1\|D)|(kpr)|(kdp))" /e /r /s</v>
      </c>
      <c r="U36" s="9" t="str">
        <f t="shared" si="2"/>
        <v>4012</v>
      </c>
      <c r="V36" s="38">
        <f t="shared" si="3"/>
        <v>42636.670868055553</v>
      </c>
      <c r="W36" s="52" t="str">
        <f t="shared" si="4"/>
        <v>EC</v>
      </c>
      <c r="X36" s="52" t="str">
        <f t="shared" si="5"/>
        <v>KEEP</v>
      </c>
      <c r="Y36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ID","value":"140-23"},{"id":16,"name":"Locomotive ID","value":"4012"},{"id":130,"name":"Impact","value":""},{"id":150,"name":"Time of Event (Mountain Time)","value":"10:06:03"},{"id":151,"name":"Denver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5" t="str">
        <f t="shared" si="7"/>
        <v>grep -hSE -A100 "Enforcement Action" "%USERPROFILE%\AppData\Local\Temp\OnboardLogs"\RTDC4012\*4012*201609231* | grep -SE "((Enforcement Ac)|(PRM))" -</v>
      </c>
    </row>
    <row r="37" spans="1:29" ht="15" customHeight="1" x14ac:dyDescent="0.25">
      <c r="A37" s="38">
        <v>42636.591504629629</v>
      </c>
      <c r="B37" s="33" t="s">
        <v>309</v>
      </c>
      <c r="C37" s="33" t="s">
        <v>499</v>
      </c>
      <c r="D37" s="33" t="s">
        <v>49</v>
      </c>
      <c r="E37" s="33" t="s">
        <v>50</v>
      </c>
      <c r="F37" s="49">
        <v>0</v>
      </c>
      <c r="G37" s="49">
        <v>54</v>
      </c>
      <c r="H37" s="49">
        <v>170</v>
      </c>
      <c r="I37" s="49">
        <v>118</v>
      </c>
      <c r="J37" s="33" t="s">
        <v>51</v>
      </c>
      <c r="K37" s="49">
        <v>1</v>
      </c>
      <c r="L37" s="150" t="s">
        <v>53</v>
      </c>
      <c r="M37" s="153">
        <f t="shared" si="0"/>
        <v>61.776000000000003</v>
      </c>
      <c r="N37" s="92" t="str">
        <f>VLOOKUP(C37,'Trips&amp;Operators'!$C$1:$E$99999,3,FALSE)</f>
        <v>YOUNG</v>
      </c>
      <c r="O37" s="174" t="s">
        <v>86</v>
      </c>
      <c r="P37" s="10"/>
      <c r="Q37" s="33"/>
      <c r="R37" s="108" t="str">
        <f>VLOOKUP(C37,'Train Runs'!$A$13:$AE$10017,31,0)</f>
        <v>aws s3 cp s3://rtdc.mdm.uploadarchive/RTDC4028/2016-09-23/ "%USERPROFILE%\AppData\Local\Temp\OnboardLogs"\RTDC4028\2016-09-23 --recursive &amp; "%USERPROFILE%\Documents\GitHub\mrs-test-scripts\Headless Mode &amp; Sideloading\WalkAndUnGZ.bat" "%USERPROFILE%\AppData\Local\Temp\OnboardLogs"\RTDC4028\2016-09-23 &amp; aws s3 cp s3://rtdc.mdm.uploadarchive/RTDC4028/2016-09-24/ "%USERPROFILE%\AppData\Local\Temp\OnboardLogs"\RTDC4028\2016-09-24 --recursive &amp; "%USERPROFILE%\Documents\GitHub\mrs-test-scripts\Headless Mode &amp; Sideloading\WalkAndUnGZ.bat" "%USERPROFILE%\AppData\Local\Temp\OnboardLogs"\RTDC4028\2016-09-24</v>
      </c>
      <c r="S37" s="111" t="str">
        <f>VLOOKUP(C37,'Train Runs'!$A$13:$AE$10017,22,0)</f>
        <v>https://search-rtdc-monitor-bjffxe2xuh6vdkpspy63sjmuny.us-east-1.es.amazonaws.com/_plugin/kibana/#/discover/Steve-Slow-Train-Analysis-(2080s-and-2083s)?_g=(refreshInterval:(display:Off,section:0,value:0),time:(from:'2016-09-23 12:18:39-0600',mode:absolute,to:'2016-09-23 15:11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37" s="113" t="str">
        <f t="shared" si="1"/>
        <v>"C:\Program Files (x86)\AstroGrep\AstroGrep.exe" /spath="%USERPROFILE%\AppData\Local\Temp\OnboardLogs" /stypes="*4028*201609232*" /stext=" 20:.+((SYSTEM_STATE.+slice.+state.+changed )|(ment ac)|(system.+state.+changed )|(\|lc)|(penalty)|(\[timeout)|(PRM\|1\|D)|(kpr)|(kdp))" /e /r /s</v>
      </c>
      <c r="U37" s="9" t="str">
        <f t="shared" si="2"/>
        <v>4028</v>
      </c>
      <c r="V37" s="38">
        <f t="shared" si="3"/>
        <v>42636.841504629629</v>
      </c>
      <c r="W37" s="52" t="str">
        <f t="shared" si="4"/>
        <v>EC</v>
      </c>
      <c r="X37" s="52" t="str">
        <f t="shared" si="5"/>
        <v>KEEP</v>
      </c>
      <c r="Y37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ID","value":"172-23"},{"id":16,"name":"Locomotive ID","value":"4028"},{"id":130,"name":"Impact","value":""},{"id":150,"name":"Time of Event (Mountain Time)","value":"14:11:46"},{"id":151,"name":"Denver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5" t="str">
        <f t="shared" si="7"/>
        <v>grep -hSE -A100 "Enforcement Action" "%USERPROFILE%\AppData\Local\Temp\OnboardLogs"\RTDC4028\*4028*201609232* | grep -SE "((Enforcement Ac)|(PRM))" -</v>
      </c>
    </row>
    <row r="38" spans="1:29" x14ac:dyDescent="0.25">
      <c r="A38" s="38">
        <v>42636.940925925926</v>
      </c>
      <c r="B38" s="33" t="s">
        <v>253</v>
      </c>
      <c r="C38" s="33" t="s">
        <v>587</v>
      </c>
      <c r="D38" s="33" t="s">
        <v>49</v>
      </c>
      <c r="E38" s="33" t="s">
        <v>50</v>
      </c>
      <c r="F38" s="49">
        <v>0</v>
      </c>
      <c r="G38" s="49">
        <v>36</v>
      </c>
      <c r="H38" s="49">
        <v>121</v>
      </c>
      <c r="I38" s="49">
        <v>103</v>
      </c>
      <c r="J38" s="33" t="s">
        <v>51</v>
      </c>
      <c r="K38" s="49">
        <v>1</v>
      </c>
      <c r="L38" s="150" t="s">
        <v>53</v>
      </c>
      <c r="M38" s="153">
        <f t="shared" si="0"/>
        <v>53.856000000000002</v>
      </c>
      <c r="N38" s="92" t="str">
        <f>VLOOKUP(C38,'Trips&amp;Operators'!$C$1:$E$99999,3,FALSE)</f>
        <v>LEVIN</v>
      </c>
      <c r="O38" s="174" t="s">
        <v>86</v>
      </c>
      <c r="P38" s="10"/>
      <c r="Q38" s="33"/>
      <c r="R38" s="108" t="str">
        <f>VLOOKUP(C38,'Train Runs'!$A$13:$AE$10017,31,0)</f>
        <v>aws s3 cp s3://rtdc.mdm.uploadarchive/RTDC4012/2016-09-23/ "%USERPROFILE%\AppData\Local\Temp\OnboardLogs"\RTDC4012\2016-09-23 --recursive &amp; "%USERPROFILE%\Documents\GitHub\mrs-test-scripts\Headless Mode &amp; Sideloading\WalkAndUnGZ.bat" "%USERPROFILE%\AppData\Local\Temp\OnboardLogs"\RTDC4012\2016-09-23 &amp; aws s3 cp s3://rtdc.mdm.uploadarchive/RTDC4012/2016-09-24/ "%USERPROFILE%\AppData\Local\Temp\OnboardLogs"\RTDC4012\2016-09-24 --recursive &amp; "%USERPROFILE%\Documents\GitHub\mrs-test-scripts\Headless Mode &amp; Sideloading\WalkAndUnGZ.bat" "%USERPROFILE%\AppData\Local\Temp\OnboardLogs"\RTDC4012\2016-09-24</v>
      </c>
      <c r="S38" s="111" t="str">
        <f>VLOOKUP(C38,'Train Runs'!$A$13:$AE$10017,22,0)</f>
        <v>https://search-rtdc-monitor-bjffxe2xuh6vdkpspy63sjmuny.us-east-1.es.amazonaws.com/_plugin/kibana/#/discover/Steve-Slow-Train-Analysis-(2080s-and-2083s)?_g=(refreshInterval:(display:Off,section:0,value:0),time:(from:'2016-09-23 20:52:24-0600',mode:absolute,to:'2016-09-23 23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T38" s="113" t="str">
        <f t="shared" si="1"/>
        <v>"C:\Program Files (x86)\AstroGrep\AstroGrep.exe" /spath="%USERPROFILE%\AppData\Local\Temp\OnboardLogs" /stypes="*4012*201609240*" /stext=" 04:.+((SYSTEM_STATE.+slice.+state.+changed )|(ment ac)|(system.+state.+changed )|(\|lc)|(penalty)|(\[timeout)|(PRM\|1\|D)|(kpr)|(kdp))" /e /r /s</v>
      </c>
      <c r="U38" s="9" t="str">
        <f t="shared" si="2"/>
        <v>4012</v>
      </c>
      <c r="V38" s="38">
        <f t="shared" si="3"/>
        <v>42637.190925925926</v>
      </c>
      <c r="W38" s="52" t="str">
        <f t="shared" si="4"/>
        <v>EC</v>
      </c>
      <c r="X38" s="52" t="str">
        <f t="shared" si="5"/>
        <v>KEEP</v>
      </c>
      <c r="Y38" s="134" t="str">
        <f t="shared" si="6"/>
        <v>echo {"issue":{"subject":"","project_id":79,"tracker_id":40,"status_id":1,"priority_id":2,"assigned_to_id":23,"start_date":"2016-09-23","description":"","custom_fields":[{"id":1,"name":"Subdivision","value":"EC"},{"id":4,"name":"Milepost","value":"0.0001"},{"id":17,"name":"Train ID","value":"230-23"},{"id":16,"name":"Locomotive ID","value":"4012"},{"id":130,"name":"Impact","value":""},{"id":150,"name":"Time of Event (Mountain Time)","value":"22:34:56"},{"id":151,"name":"Denver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5" t="str">
        <f t="shared" si="7"/>
        <v>grep -hSE -A100 "Enforcement Action" "%USERPROFILE%\AppData\Local\Temp\OnboardLogs"\RTDC4012\*4012*201609240* | grep -SE "((Enforcement Ac)|(PRM))" -</v>
      </c>
    </row>
    <row r="39" spans="1:29" x14ac:dyDescent="0.25">
      <c r="A39" s="38">
        <v>42636.360914351855</v>
      </c>
      <c r="B39" s="33" t="s">
        <v>305</v>
      </c>
      <c r="C39" s="33" t="s">
        <v>439</v>
      </c>
      <c r="D39" s="33" t="s">
        <v>49</v>
      </c>
      <c r="E39" s="33" t="s">
        <v>50</v>
      </c>
      <c r="F39" s="49">
        <v>0</v>
      </c>
      <c r="G39" s="49">
        <v>110</v>
      </c>
      <c r="H39" s="49">
        <v>233042</v>
      </c>
      <c r="I39" s="49">
        <v>233182</v>
      </c>
      <c r="J39" s="33" t="s">
        <v>51</v>
      </c>
      <c r="K39" s="49">
        <v>233491</v>
      </c>
      <c r="L39" s="150" t="s">
        <v>52</v>
      </c>
      <c r="M39" s="153">
        <f t="shared" ref="M39:M67" si="8">CONVERT((I39-K39)/10000,"mi","ft")*IF(L39="Increasing Mileposts (1)",-1,1)</f>
        <v>163.15199999999999</v>
      </c>
      <c r="N39" s="92" t="str">
        <f>VLOOKUP(C39,'Trips&amp;Operators'!$C$1:$E$99999,3,FALSE)</f>
        <v>BRANNON</v>
      </c>
      <c r="O39" s="174" t="s">
        <v>86</v>
      </c>
      <c r="P39" s="10"/>
      <c r="Q39" s="33"/>
      <c r="R39" s="108" t="str">
        <f>VLOOKUP(C39,'Train Runs'!$A$13:$AE$10017,31,0)</f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S39" s="111" t="str">
        <f>VLOOKUP(C39,'Train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06:57:46-0600',mode:absolute,to:'2016-09-23 09:39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39" s="113" t="str">
        <f t="shared" ref="T39:T67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/stypes="*4016*201609231*" /stext=" 14:.+((SYSTEM_STATE.+slice.+state.+changed )|(ment ac)|(system.+state.+changed )|(\|lc)|(penalty)|(\[timeout)|(PRM\|1\|D)|(kpr)|(kdp))" /e /r /s</v>
      </c>
      <c r="U39" s="9" t="str">
        <f t="shared" ref="U39:U67" si="10">MID(B39,13,4)</f>
        <v>4016</v>
      </c>
      <c r="V39" s="38">
        <f t="shared" ref="V39:V67" si="11">A39+6/24</f>
        <v>42636.610914351855</v>
      </c>
      <c r="W39" s="52" t="str">
        <f t="shared" ref="W39:W67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67" si="13">IF(AND(E39="TRACK WARRANT AUTHORITY",G39&lt;10),"OMIT","KEEP")</f>
        <v>KEEP</v>
      </c>
      <c r="Y39" s="134" t="str">
        <f t="shared" ref="Y39:Y67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ID","value":"135-23"},{"id":16,"name":"Locomotive ID","value":"4016"},{"id":130,"name":"Impact","value":""},{"id":150,"name":"Time of Event (Mountain Time)","value":"08:39:43"},{"id":151,"name":"Denver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5" t="str">
        <f t="shared" ref="AC39:AC67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"%USERPROFILE%\AppData\Local\Temp\OnboardLogs"\RTDC4016\*4016*201609231* | grep -SE "((Enforcement Ac)|(PRM))" -</v>
      </c>
    </row>
    <row r="40" spans="1:29" x14ac:dyDescent="0.25">
      <c r="A40" s="38">
        <v>42636.410891203705</v>
      </c>
      <c r="B40" s="33" t="s">
        <v>328</v>
      </c>
      <c r="C40" s="33" t="s">
        <v>452</v>
      </c>
      <c r="D40" s="33" t="s">
        <v>49</v>
      </c>
      <c r="E40" s="33" t="s">
        <v>50</v>
      </c>
      <c r="F40" s="49">
        <v>0</v>
      </c>
      <c r="G40" s="49">
        <v>76</v>
      </c>
      <c r="H40" s="49">
        <v>233215</v>
      </c>
      <c r="I40" s="49">
        <v>233314</v>
      </c>
      <c r="J40" s="33" t="s">
        <v>51</v>
      </c>
      <c r="K40" s="49">
        <v>233491</v>
      </c>
      <c r="L40" s="150" t="s">
        <v>52</v>
      </c>
      <c r="M40" s="153">
        <f t="shared" si="8"/>
        <v>93.456000000000003</v>
      </c>
      <c r="N40" s="92" t="str">
        <f>VLOOKUP(C40,'Trips&amp;Operators'!$C$1:$E$99999,3,FALSE)</f>
        <v>DAVIS</v>
      </c>
      <c r="O40" s="174" t="s">
        <v>86</v>
      </c>
      <c r="P40" s="10"/>
      <c r="Q40" s="33"/>
      <c r="R40" s="108" t="str">
        <f>VLOOKUP(C40,'Train Runs'!$A$13:$AE$10017,31,0)</f>
        <v>aws s3 cp s3://rtdc.mdm.uploadarchive/RTDC4029/2016-09-23/ "%USERPROFILE%\AppData\Local\Temp\OnboardLogs"\RTDC4029\2016-09-23 --recursive &amp; "%USERPROFILE%\Documents\GitHub\mrs-test-scripts\Headless Mode &amp; Sideloading\WalkAndUnGZ.bat" "%USERPROFILE%\AppData\Local\Temp\OnboardLogs"\RTDC4029\2016-09-23 &amp; aws s3 cp s3://rtdc.mdm.uploadarchive/RTDC4029/2016-09-24/ "%USERPROFILE%\AppData\Local\Temp\OnboardLogs"\RTDC4029\2016-09-24 --recursive &amp; "%USERPROFILE%\Documents\GitHub\mrs-test-scripts\Headless Mode &amp; Sideloading\WalkAndUnGZ.bat" "%USERPROFILE%\AppData\Local\Temp\OnboardLogs"\RTDC4029\2016-09-24</v>
      </c>
      <c r="S40" s="111" t="str">
        <f>VLOOKUP(C40,'Train Runs'!$A$13:$AE$10017,22,0)</f>
        <v>https://search-rtdc-monitor-bjffxe2xuh6vdkpspy63sjmuny.us-east-1.es.amazonaws.com/_plugin/kibana/#/discover/Steve-Slow-Train-Analysis-(2080s-and-2083s)?_g=(refreshInterval:(display:Off,section:0,value:0),time:(from:'2016-09-23 08:12:39-0600',mode:absolute,to:'2016-09-23 10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0" s="113" t="str">
        <f t="shared" si="9"/>
        <v>"C:\Program Files (x86)\AstroGrep\AstroGrep.exe" /spath="%USERPROFILE%\AppData\Local\Temp\OnboardLogs" /stypes="*4029*201609231*" /stext=" 15:.+((SYSTEM_STATE.+slice.+state.+changed )|(ment ac)|(system.+state.+changed )|(\|lc)|(penalty)|(\[timeout)|(PRM\|1\|D)|(kpr)|(kdp))" /e /r /s</v>
      </c>
      <c r="U40" s="9" t="str">
        <f t="shared" si="10"/>
        <v>4029</v>
      </c>
      <c r="V40" s="38">
        <f t="shared" si="11"/>
        <v>42636.660891203705</v>
      </c>
      <c r="W40" s="52" t="str">
        <f t="shared" si="12"/>
        <v>EC</v>
      </c>
      <c r="X40" s="52" t="str">
        <f t="shared" si="13"/>
        <v>KEEP</v>
      </c>
      <c r="Y40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ID","value":"145-23"},{"id":16,"name":"Locomotive ID","value":"4029"},{"id":130,"name":"Impact","value":""},{"id":150,"name":"Time of Event (Mountain Time)","value":"09:51:41"},{"id":151,"name":"Denver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5" t="str">
        <f t="shared" si="15"/>
        <v>grep -hSE -A100 "Enforcement Action" "%USERPROFILE%\AppData\Local\Temp\OnboardLogs"\RTDC4029\*4029*201609231* | grep -SE "((Enforcement Ac)|(PRM))" -</v>
      </c>
    </row>
    <row r="41" spans="1:29" x14ac:dyDescent="0.25">
      <c r="A41" s="38">
        <v>42636.536817129629</v>
      </c>
      <c r="B41" s="33" t="s">
        <v>239</v>
      </c>
      <c r="C41" s="33" t="s">
        <v>486</v>
      </c>
      <c r="D41" s="33" t="s">
        <v>49</v>
      </c>
      <c r="E41" s="33" t="s">
        <v>50</v>
      </c>
      <c r="F41" s="49">
        <v>0</v>
      </c>
      <c r="G41" s="49">
        <v>70</v>
      </c>
      <c r="H41" s="49">
        <v>233230</v>
      </c>
      <c r="I41" s="49">
        <v>233300</v>
      </c>
      <c r="J41" s="33" t="s">
        <v>51</v>
      </c>
      <c r="K41" s="49">
        <v>233491</v>
      </c>
      <c r="L41" s="150" t="s">
        <v>52</v>
      </c>
      <c r="M41" s="153">
        <f t="shared" si="8"/>
        <v>100.848</v>
      </c>
      <c r="N41" s="92" t="str">
        <f>VLOOKUP(C41,'Trips&amp;Operators'!$C$1:$E$99999,3,FALSE)</f>
        <v>SHOOK</v>
      </c>
      <c r="O41" s="174" t="s">
        <v>86</v>
      </c>
      <c r="P41" s="10"/>
      <c r="Q41" s="33"/>
      <c r="R41" s="108" t="str">
        <f>VLOOKUP(C41,'Train Runs'!$A$13:$AE$10017,31,0)</f>
        <v>aws s3 cp s3://rtdc.mdm.uploadarchive/RTDC4044/2016-09-23/ "%USERPROFILE%\AppData\Local\Temp\OnboardLogs"\RTDC4044\2016-09-23 --recursive &amp; "%USERPROFILE%\Documents\GitHub\mrs-test-scripts\Headless Mode &amp; Sideloading\WalkAndUnGZ.bat" "%USERPROFILE%\AppData\Local\Temp\OnboardLogs"\RTDC4044\2016-09-23 &amp; aws s3 cp s3://rtdc.mdm.uploadarchive/RTDC4044/2016-09-24/ "%USERPROFILE%\AppData\Local\Temp\OnboardLogs"\RTDC4044\2016-09-24 --recursive &amp; "%USERPROFILE%\Documents\GitHub\mrs-test-scripts\Headless Mode &amp; Sideloading\WalkAndUnGZ.bat" "%USERPROFILE%\AppData\Local\Temp\OnboardLogs"\RTDC4044\2016-09-24</v>
      </c>
      <c r="S41" s="111" t="str">
        <f>VLOOKUP(C41,'Train Runs'!$A$13:$AE$10017,22,0)</f>
        <v>https://search-rtdc-monitor-bjffxe2xuh6vdkpspy63sjmuny.us-east-1.es.amazonaws.com/_plugin/kibana/#/discover/Steve-Slow-Train-Analysis-(2080s-and-2083s)?_g=(refreshInterval:(display:Off,section:0,value:0),time:(from:'2016-09-23 11:14:02-0600',mode:absolute,to:'2016-09-23 13:53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41" s="113" t="str">
        <f t="shared" si="9"/>
        <v>"C:\Program Files (x86)\AstroGrep\AstroGrep.exe" /spath="%USERPROFILE%\AppData\Local\Temp\OnboardLogs" /stypes="*4044*201609231*" /stext=" 18:.+((SYSTEM_STATE.+slice.+state.+changed )|(ment ac)|(system.+state.+changed )|(\|lc)|(penalty)|(\[timeout)|(PRM\|1\|D)|(kpr)|(kdp))" /e /r /s</v>
      </c>
      <c r="U41" s="9" t="str">
        <f t="shared" si="10"/>
        <v>4044</v>
      </c>
      <c r="V41" s="38">
        <f t="shared" si="11"/>
        <v>42636.786817129629</v>
      </c>
      <c r="W41" s="52" t="str">
        <f t="shared" si="12"/>
        <v>EC</v>
      </c>
      <c r="X41" s="52" t="str">
        <f t="shared" si="13"/>
        <v>KEEP</v>
      </c>
      <c r="Y41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ID","value":"169-23"},{"id":16,"name":"Locomotive ID","value":"4044"},{"id":130,"name":"Impact","value":""},{"id":150,"name":"Time of Event (Mountain Time)","value":"12:53:01"},{"id":151,"name":"Denver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5" t="str">
        <f t="shared" si="15"/>
        <v>grep -hSE -A100 "Enforcement Action" "%USERPROFILE%\AppData\Local\Temp\OnboardLogs"\RTDC4044\*4044*201609231* | grep -SE "((Enforcement Ac)|(PRM))" -</v>
      </c>
    </row>
    <row r="42" spans="1:29" x14ac:dyDescent="0.25">
      <c r="A42" s="38">
        <v>42636.591435185182</v>
      </c>
      <c r="B42" s="33" t="s">
        <v>246</v>
      </c>
      <c r="C42" s="33" t="s">
        <v>500</v>
      </c>
      <c r="D42" s="33" t="s">
        <v>49</v>
      </c>
      <c r="E42" s="33" t="s">
        <v>50</v>
      </c>
      <c r="F42" s="49">
        <v>0</v>
      </c>
      <c r="G42" s="49">
        <v>60</v>
      </c>
      <c r="H42" s="49">
        <v>233264</v>
      </c>
      <c r="I42" s="49">
        <v>233320</v>
      </c>
      <c r="J42" s="33" t="s">
        <v>51</v>
      </c>
      <c r="K42" s="49">
        <v>233491</v>
      </c>
      <c r="L42" s="150" t="s">
        <v>52</v>
      </c>
      <c r="M42" s="153">
        <f t="shared" si="8"/>
        <v>90.287999999999997</v>
      </c>
      <c r="N42" s="92" t="str">
        <f>VLOOKUP(C42,'Trips&amp;Operators'!$C$1:$E$99999,3,FALSE)</f>
        <v>MOSES</v>
      </c>
      <c r="O42" s="174" t="s">
        <v>86</v>
      </c>
      <c r="P42" s="10"/>
      <c r="Q42" s="33"/>
      <c r="R42" s="108" t="str">
        <f>VLOOKUP(C42,'Train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42" s="111" t="str">
        <f>VLOOKUP(C42,'Train Runs'!$A$13:$AE$10017,22,0)</f>
        <v>https://search-rtdc-monitor-bjffxe2xuh6vdkpspy63sjmuny.us-east-1.es.amazonaws.com/_plugin/kibana/#/discover/Steve-Slow-Train-Analysis-(2080s-and-2083s)?_g=(refreshInterval:(display:Off,section:0,value:0),time:(from:'2016-09-23 12:24:43-0600',mode:absolute,to:'2016-09-23 15:11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42" s="113" t="str">
        <f t="shared" si="9"/>
        <v>"C:\Program Files (x86)\AstroGrep\AstroGrep.exe" /spath="%USERPROFILE%\AppData\Local\Temp\OnboardLogs" /stypes="*4003*201609232*" /stext=" 20:.+((SYSTEM_STATE.+slice.+state.+changed )|(ment ac)|(system.+state.+changed )|(\|lc)|(penalty)|(\[timeout)|(PRM\|1\|D)|(kpr)|(kdp))" /e /r /s</v>
      </c>
      <c r="U42" s="9" t="str">
        <f t="shared" si="10"/>
        <v>4003</v>
      </c>
      <c r="V42" s="38">
        <f t="shared" si="11"/>
        <v>42636.841435185182</v>
      </c>
      <c r="W42" s="52" t="str">
        <f t="shared" si="12"/>
        <v>EC</v>
      </c>
      <c r="X42" s="52" t="str">
        <f t="shared" si="13"/>
        <v>KEEP</v>
      </c>
      <c r="Y42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ID","value":"179-23"},{"id":16,"name":"Locomotive ID","value":"4003"},{"id":130,"name":"Impact","value":""},{"id":150,"name":"Time of Event (Mountain Time)","value":"14:11:40"},{"id":151,"name":"Denver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5" t="str">
        <f t="shared" si="15"/>
        <v>grep -hSE -A100 "Enforcement Action" "%USERPROFILE%\AppData\Local\Temp\OnboardLogs"\RTDC4003\*4003*201609232* | grep -SE "((Enforcement Ac)|(PRM))" -</v>
      </c>
    </row>
    <row r="43" spans="1:29" x14ac:dyDescent="0.25">
      <c r="A43" s="38">
        <v>42636.73847222222</v>
      </c>
      <c r="B43" s="33" t="s">
        <v>246</v>
      </c>
      <c r="C43" s="33" t="s">
        <v>539</v>
      </c>
      <c r="D43" s="33" t="s">
        <v>49</v>
      </c>
      <c r="E43" s="33" t="s">
        <v>50</v>
      </c>
      <c r="F43" s="49">
        <v>0</v>
      </c>
      <c r="G43" s="49">
        <v>78</v>
      </c>
      <c r="H43" s="49">
        <v>233170</v>
      </c>
      <c r="I43" s="49">
        <v>233257</v>
      </c>
      <c r="J43" s="33" t="s">
        <v>51</v>
      </c>
      <c r="K43" s="49">
        <v>233491</v>
      </c>
      <c r="L43" s="150" t="s">
        <v>52</v>
      </c>
      <c r="M43" s="153">
        <f t="shared" si="8"/>
        <v>123.55200000000001</v>
      </c>
      <c r="N43" s="92" t="str">
        <f>VLOOKUP(C43,'Trips&amp;Operators'!$C$1:$E$99999,3,FALSE)</f>
        <v>MOSES</v>
      </c>
      <c r="O43" s="174" t="s">
        <v>86</v>
      </c>
      <c r="P43" s="10"/>
      <c r="Q43" s="33"/>
      <c r="R43" s="108" t="str">
        <f>VLOOKUP(C43,'Train Runs'!$A$13:$AE$10017,31,0)</f>
        <v>aws s3 cp s3://rtdc.mdm.uploadarchive/RTDC4003/2016-09-23/ "%USERPROFILE%\AppData\Local\Temp\OnboardLogs"\RTDC4003\2016-09-23 --recursive &amp; "%USERPROFILE%\Documents\GitHub\mrs-test-scripts\Headless Mode &amp; Sideloading\WalkAndUnGZ.bat" "%USERPROFILE%\AppData\Local\Temp\OnboardLogs"\RTDC4003\2016-09-23 &amp; aws s3 cp s3://rtdc.mdm.uploadarchive/RTDC4003/2016-09-24/ "%USERPROFILE%\AppData\Local\Temp\OnboardLogs"\RTDC4003\2016-09-24 --recursive &amp; "%USERPROFILE%\Documents\GitHub\mrs-test-scripts\Headless Mode &amp; Sideloading\WalkAndUnGZ.bat" "%USERPROFILE%\AppData\Local\Temp\OnboardLogs"\RTDC4003\2016-09-24</v>
      </c>
      <c r="S43" s="111" t="str">
        <f>VLOOKUP(C43,'Train Runs'!$A$13:$AE$10017,22,0)</f>
        <v>https://search-rtdc-monitor-bjffxe2xuh6vdkpspy63sjmuny.us-east-1.es.amazonaws.com/_plugin/kibana/#/discover/Steve-Slow-Train-Analysis-(2080s-and-2083s)?_g=(refreshInterval:(display:Off,section:0,value:0),time:(from:'2016-09-23 15:57:33-0600',mode:absolute,to:'2016-09-23 18:43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4003%22')),sort:!(Time,asc))</v>
      </c>
      <c r="T43" s="113" t="str">
        <f t="shared" si="9"/>
        <v>"C:\Program Files (x86)\AstroGrep\AstroGrep.exe" /spath="%USERPROFILE%\AppData\Local\Temp\OnboardLogs" /stypes="*4003*201609232*" /stext=" 23:.+((SYSTEM_STATE.+slice.+state.+changed )|(ment ac)|(system.+state.+changed )|(\|lc)|(penalty)|(\[timeout)|(PRM\|1\|D)|(kpr)|(kdp))" /e /r /s</v>
      </c>
      <c r="U43" s="9" t="str">
        <f t="shared" si="10"/>
        <v>4003</v>
      </c>
      <c r="V43" s="38">
        <f t="shared" si="11"/>
        <v>42636.98847222222</v>
      </c>
      <c r="W43" s="52" t="str">
        <f t="shared" si="12"/>
        <v>EC</v>
      </c>
      <c r="X43" s="52" t="str">
        <f t="shared" si="13"/>
        <v>KEEP</v>
      </c>
      <c r="Y43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ID","value":"207-23"},{"id":16,"name":"Locomotive ID","value":"4003"},{"id":130,"name":"Impact","value":""},{"id":150,"name":"Time of Event (Mountain Time)","value":"17:43:24"},{"id":151,"name":"Denver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5" t="str">
        <f t="shared" si="15"/>
        <v>grep -hSE -A100 "Enforcement Action" "%USERPROFILE%\AppData\Local\Temp\OnboardLogs"\RTDC4003\*4003*201609232* | grep -SE "((Enforcement Ac)|(PRM))" -</v>
      </c>
    </row>
    <row r="44" spans="1:29" x14ac:dyDescent="0.25">
      <c r="A44" s="38">
        <v>42636.765648148146</v>
      </c>
      <c r="B44" s="33" t="s">
        <v>306</v>
      </c>
      <c r="C44" s="33" t="s">
        <v>549</v>
      </c>
      <c r="D44" s="33" t="s">
        <v>49</v>
      </c>
      <c r="E44" s="33" t="s">
        <v>50</v>
      </c>
      <c r="F44" s="49">
        <v>0</v>
      </c>
      <c r="G44" s="49">
        <v>84</v>
      </c>
      <c r="H44" s="49">
        <v>233227</v>
      </c>
      <c r="I44" s="49">
        <v>233297</v>
      </c>
      <c r="J44" s="33" t="s">
        <v>51</v>
      </c>
      <c r="K44" s="49">
        <v>233491</v>
      </c>
      <c r="L44" s="150" t="s">
        <v>52</v>
      </c>
      <c r="M44" s="153">
        <f t="shared" si="8"/>
        <v>102.432</v>
      </c>
      <c r="N44" s="92" t="str">
        <f>VLOOKUP(C44,'Trips&amp;Operators'!$C$1:$E$99999,3,FALSE)</f>
        <v>YANAI</v>
      </c>
      <c r="O44" s="174" t="s">
        <v>86</v>
      </c>
      <c r="P44" s="10"/>
      <c r="Q44" s="33"/>
      <c r="R44" s="108" t="str">
        <f>VLOOKUP(C44,'Train Runs'!$A$13:$AE$10017,31,0)</f>
        <v>aws s3 cp s3://rtdc.mdm.uploadarchive/RTDC4027/2016-09-23/ "%USERPROFILE%\AppData\Local\Temp\OnboardLogs"\RTDC4027\2016-09-23 --recursive &amp; "%USERPROFILE%\Documents\GitHub\mrs-test-scripts\Headless Mode &amp; Sideloading\WalkAndUnGZ.bat" "%USERPROFILE%\AppData\Local\Temp\OnboardLogs"\RTDC4027\2016-09-23 &amp; aws s3 cp s3://rtdc.mdm.uploadarchive/RTDC4027/2016-09-24/ "%USERPROFILE%\AppData\Local\Temp\OnboardLogs"\RTDC4027\2016-09-24 --recursive &amp; "%USERPROFILE%\Documents\GitHub\mrs-test-scripts\Headless Mode &amp; Sideloading\WalkAndUnGZ.bat" "%USERPROFILE%\AppData\Local\Temp\OnboardLogs"\RTDC4027\2016-09-24</v>
      </c>
      <c r="S44" s="111" t="str">
        <f>VLOOKUP(C44,'Train Runs'!$A$13:$AE$10017,22,0)</f>
        <v>https://search-rtdc-monitor-bjffxe2xuh6vdkpspy63sjmuny.us-east-1.es.amazonaws.com/_plugin/kibana/#/discover/Steve-Slow-Train-Analysis-(2080s-and-2083s)?_g=(refreshInterval:(display:Off,section:0,value:0),time:(from:'2016-09-23 16:44:16-0600',mode:absolute,to:'2016-09-23 19:21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44" s="113" t="str">
        <f t="shared" si="9"/>
        <v>"C:\Program Files (x86)\AstroGrep\AstroGrep.exe" /spath="%USERPROFILE%\AppData\Local\Temp\OnboardLogs" /stypes="*4027*201609240*" /stext=" 00:.+((SYSTEM_STATE.+slice.+state.+changed )|(ment ac)|(system.+state.+changed )|(\|lc)|(penalty)|(\[timeout)|(PRM\|1\|D)|(kpr)|(kdp))" /e /r /s</v>
      </c>
      <c r="U44" s="9" t="str">
        <f t="shared" si="10"/>
        <v>4027</v>
      </c>
      <c r="V44" s="38">
        <f t="shared" si="11"/>
        <v>42637.015648148146</v>
      </c>
      <c r="W44" s="52" t="str">
        <f t="shared" si="12"/>
        <v>EC</v>
      </c>
      <c r="X44" s="52" t="str">
        <f t="shared" si="13"/>
        <v>KEEP</v>
      </c>
      <c r="Y44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ID","value":"213-23"},{"id":16,"name":"Locomotive ID","value":"4027"},{"id":130,"name":"Impact","value":""},{"id":150,"name":"Time of Event (Mountain Time)","value":"18:22:32"},{"id":151,"name":"Denver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5" t="str">
        <f t="shared" si="15"/>
        <v>grep -hSE -A100 "Enforcement Action" "%USERPROFILE%\AppData\Local\Temp\OnboardLogs"\RTDC4027\*4027*201609240* | grep -SE "((Enforcement Ac)|(PRM))" -</v>
      </c>
    </row>
    <row r="45" spans="1:29" x14ac:dyDescent="0.25">
      <c r="A45" s="38">
        <v>42636.80541666667</v>
      </c>
      <c r="B45" s="33" t="s">
        <v>305</v>
      </c>
      <c r="C45" s="33" t="s">
        <v>560</v>
      </c>
      <c r="D45" s="33" t="s">
        <v>49</v>
      </c>
      <c r="E45" s="33" t="s">
        <v>50</v>
      </c>
      <c r="F45" s="49">
        <v>0</v>
      </c>
      <c r="G45" s="49">
        <v>54</v>
      </c>
      <c r="H45" s="49">
        <v>233314</v>
      </c>
      <c r="I45" s="49">
        <v>233360</v>
      </c>
      <c r="J45" s="33" t="s">
        <v>51</v>
      </c>
      <c r="K45" s="49">
        <v>233491</v>
      </c>
      <c r="L45" s="150" t="s">
        <v>52</v>
      </c>
      <c r="M45" s="153">
        <f t="shared" si="8"/>
        <v>69.168000000000006</v>
      </c>
      <c r="N45" s="92" t="str">
        <f>VLOOKUP(C45,'Trips&amp;Operators'!$C$1:$E$99999,3,FALSE)</f>
        <v>STURGEON</v>
      </c>
      <c r="O45" s="174" t="s">
        <v>86</v>
      </c>
      <c r="P45" s="10"/>
      <c r="Q45" s="33"/>
      <c r="R45" s="108" t="str">
        <f>VLOOKUP(C45,'Train Runs'!$A$13:$AE$10017,31,0)</f>
        <v>aws s3 cp s3://rtdc.mdm.uploadarchive/RTDC4016/2016-09-23/ "%USERPROFILE%\AppData\Local\Temp\OnboardLogs"\RTDC4016\2016-09-23 --recursive &amp; "%USERPROFILE%\Documents\GitHub\mrs-test-scripts\Headless Mode &amp; Sideloading\WalkAndUnGZ.bat" "%USERPROFILE%\AppData\Local\Temp\OnboardLogs"\RTDC4016\2016-09-23 &amp; aws s3 cp s3://rtdc.mdm.uploadarchive/RTDC4016/2016-09-24/ "%USERPROFILE%\AppData\Local\Temp\OnboardLogs"\RTDC4016\2016-09-24 --recursive &amp; "%USERPROFILE%\Documents\GitHub\mrs-test-scripts\Headless Mode &amp; Sideloading\WalkAndUnGZ.bat" "%USERPROFILE%\AppData\Local\Temp\OnboardLogs"\RTDC4016\2016-09-24</v>
      </c>
      <c r="S45" s="111" t="str">
        <f>VLOOKUP(C45,'Train Runs'!$A$13:$AE$10017,22,0)</f>
        <v>https://search-rtdc-monitor-bjffxe2xuh6vdkpspy63sjmuny.us-east-1.es.amazonaws.com/_plugin/kibana/#/discover/Steve-Slow-Train-Analysis-(2080s-and-2083s)?_g=(refreshInterval:(display:Off,section:0,value:0),time:(from:'2016-09-23 17:32:06-0600',mode:absolute,to:'2016-09-23 20:19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T45" s="113" t="str">
        <f t="shared" si="9"/>
        <v>"C:\Program Files (x86)\AstroGrep\AstroGrep.exe" /spath="%USERPROFILE%\AppData\Local\Temp\OnboardLogs" /stypes="*4016*201609240*" /stext=" 01:.+((SYSTEM_STATE.+slice.+state.+changed )|(ment ac)|(system.+state.+changed )|(\|lc)|(penalty)|(\[timeout)|(PRM\|1\|D)|(kpr)|(kdp))" /e /r /s</v>
      </c>
      <c r="U45" s="9" t="str">
        <f t="shared" si="10"/>
        <v>4016</v>
      </c>
      <c r="V45" s="38">
        <f t="shared" si="11"/>
        <v>42637.05541666667</v>
      </c>
      <c r="W45" s="52" t="str">
        <f t="shared" si="12"/>
        <v>EC</v>
      </c>
      <c r="X45" s="52" t="str">
        <f t="shared" si="13"/>
        <v>KEEP</v>
      </c>
      <c r="Y45" s="134" t="str">
        <f t="shared" si="14"/>
        <v>echo {"issue":{"subject":"","project_id":79,"tracker_id":40,"status_id":1,"priority_id":2,"assigned_to_id":23,"start_date":"2016-09-23","description":"","custom_fields":[{"id":1,"name":"Subdivision","value":"EC"},{"id":4,"name":"Milepost","value":"23.3491"},{"id":17,"name":"Train ID","value":"219-23"},{"id":16,"name":"Locomotive ID","value":"4016"},{"id":130,"name":"Impact","value":""},{"id":150,"name":"Time of Event (Mountain Time)","value":"19:19:48"},{"id":151,"name":"Denver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5" t="str">
        <f t="shared" si="15"/>
        <v>grep -hSE -A100 "Enforcement Action" "%USERPROFILE%\AppData\Local\Temp\OnboardLogs"\RTDC4016\*4016*201609240* | grep -SE "((Enforcement Ac)|(PRM))" -</v>
      </c>
    </row>
    <row r="46" spans="1:29" x14ac:dyDescent="0.25">
      <c r="A46" s="38">
        <v>42636.287083333336</v>
      </c>
      <c r="B46" s="33" t="s">
        <v>409</v>
      </c>
      <c r="C46" s="33" t="s">
        <v>421</v>
      </c>
      <c r="D46" s="33" t="s">
        <v>105</v>
      </c>
      <c r="E46" s="33" t="s">
        <v>56</v>
      </c>
      <c r="F46" s="49">
        <v>150</v>
      </c>
      <c r="G46" s="49">
        <v>213</v>
      </c>
      <c r="H46" s="49">
        <v>5393</v>
      </c>
      <c r="I46" s="49">
        <v>5718</v>
      </c>
      <c r="J46" s="33" t="s">
        <v>57</v>
      </c>
      <c r="K46" s="49">
        <v>574</v>
      </c>
      <c r="L46" s="150" t="s">
        <v>52</v>
      </c>
      <c r="M46" s="153">
        <f t="shared" si="8"/>
        <v>-2716.0319999999997</v>
      </c>
      <c r="N46" s="92" t="str">
        <f>VLOOKUP(C46,'Trips&amp;Operators'!$C$1:$E$99999,3,FALSE)</f>
        <v>STRICKLAND</v>
      </c>
      <c r="O46" s="174" t="s">
        <v>86</v>
      </c>
      <c r="P46" s="10"/>
      <c r="Q46" s="33"/>
      <c r="R46" s="108" t="str">
        <f>VLOOKUP(C46,'Train Runs'!$A$13:$AE$10017,31,0)</f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S46" s="111" t="str">
        <f>VLOOKUP(C46,'Train Runs'!$A$13:$AE$10017,22,0)</f>
        <v>https://search-rtdc-monitor-bjffxe2xuh6vdkpspy63sjmuny.us-east-1.es.amazonaws.com/_plugin/kibana/#/discover/Steve-Slow-Train-Analysis-(2080s-and-2083s)?_g=(refreshInterval:(display:Off,section:0,value:0),time:(from:'2016-09-23 05:38:42-0600',mode:absolute,to:'2016-09-23 08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6" s="113" t="str">
        <f t="shared" si="9"/>
        <v>"C:\Program Files (x86)\AstroGrep\AstroGrep.exe" /spath="%USERPROFILE%\AppData\Local\Temp\OnboardLogs" /stypes="*4018*201609231*" /stext=" 12:.+((SYSTEM_STATE.+slice.+state.+changed )|(ment ac)|(system.+state.+changed )|(\|lc)|(penalty)|(\[timeout)|(PRM\|1\|D)|(kpr)|(kdp))" /e /r /s</v>
      </c>
      <c r="U46" s="9" t="str">
        <f t="shared" si="10"/>
        <v>4018</v>
      </c>
      <c r="V46" s="38">
        <f t="shared" si="11"/>
        <v>42636.537083333336</v>
      </c>
      <c r="W46" s="52" t="str">
        <f t="shared" si="12"/>
        <v>NW</v>
      </c>
      <c r="X46" s="52" t="str">
        <f t="shared" si="13"/>
        <v>KEEP</v>
      </c>
      <c r="Y46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{"issue":{"subject":"","project_id":79,"tracker_id":40,"status_id":1,"priority_id":2,"assigned_to_id":23,"start_date":"2016-09-23","description":"","custom_fields":[{"id":1,"name":"Subdivision","value":"NW"},{"id":4,"name":"Milepost","value":"0.0574"},{"id":17,"name":"Train ID","value":"805-23"},{"id":16,"name":"Locomotive ID","value":"4018"},{"id":130,"name":"Impact","value":""},{"id":150,"name":"Time of Event (Mountain Time)","value":"06:53:24"},{"id":151,"name":"Denver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5" t="str">
        <f t="shared" si="15"/>
        <v>grep -hSE -A100 "Enforcement Action" "%USERPROFILE%\AppData\Local\Temp\OnboardLogs"\RTDC4018\*4018*201609231* | grep -SE "((Enforcement Ac)|(PRM))" -</v>
      </c>
    </row>
    <row r="47" spans="1:29" x14ac:dyDescent="0.25">
      <c r="A47" s="38">
        <v>42636.304548611108</v>
      </c>
      <c r="B47" s="33" t="s">
        <v>400</v>
      </c>
      <c r="C47" s="33" t="s">
        <v>428</v>
      </c>
      <c r="D47" s="33" t="s">
        <v>49</v>
      </c>
      <c r="E47" s="33" t="s">
        <v>56</v>
      </c>
      <c r="F47" s="49">
        <v>300</v>
      </c>
      <c r="G47" s="49">
        <v>396</v>
      </c>
      <c r="H47" s="49">
        <v>24902</v>
      </c>
      <c r="I47" s="49">
        <v>23803</v>
      </c>
      <c r="J47" s="33" t="s">
        <v>57</v>
      </c>
      <c r="K47" s="49">
        <v>23561</v>
      </c>
      <c r="L47" s="150" t="s">
        <v>53</v>
      </c>
      <c r="M47" s="153">
        <f t="shared" si="8"/>
        <v>127.776</v>
      </c>
      <c r="N47" s="92" t="str">
        <f>VLOOKUP(C47,'Trips&amp;Operators'!$C$1:$E$99999,3,FALSE)</f>
        <v>STRICKLAND</v>
      </c>
      <c r="O47" s="174" t="s">
        <v>86</v>
      </c>
      <c r="P47" s="10"/>
      <c r="Q47" s="33"/>
      <c r="R47" s="108" t="str">
        <f>VLOOKUP(C47,'Train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47" s="111" t="str">
        <f>VLOOKUP(C47,'Train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06:08:06-0600',mode:absolute,to:'2016-09-23 08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47" s="113" t="str">
        <f t="shared" si="9"/>
        <v>"C:\Program Files (x86)\AstroGrep\AstroGrep.exe" /spath="%USERPROFILE%\AppData\Local\Temp\OnboardLogs" /stypes="*4017*201609231*" /stext=" 13:.+((SYSTEM_STATE.+slice.+state.+changed )|(ment ac)|(system.+state.+changed )|(\|lc)|(penalty)|(\[timeout)|(PRM\|1\|D)|(kpr)|(kdp))" /e /r /s</v>
      </c>
      <c r="U47" s="9" t="str">
        <f t="shared" si="10"/>
        <v>4017</v>
      </c>
      <c r="V47" s="38">
        <f t="shared" si="11"/>
        <v>42636.554548611108</v>
      </c>
      <c r="W47" s="52" t="str">
        <f t="shared" si="12"/>
        <v>NW</v>
      </c>
      <c r="X47" s="52" t="str">
        <f t="shared" si="13"/>
        <v>KEEP</v>
      </c>
      <c r="Y47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{"issue":{"subject":"","project_id":79,"tracker_id":40,"status_id":1,"priority_id":2,"assigned_to_id":23,"start_date":"2016-09-23","description":"","custom_fields":[{"id":1,"name":"Subdivision","value":"NW"},{"id":4,"name":"Milepost","value":"2.3561"},{"id":17,"name":"Train ID","value":"806-23"},{"id":16,"name":"Locomotive ID","value":"4017"},{"id":130,"name":"Impact","value":""},{"id":150,"name":"Time of Event (Mountain Time)","value":"07:18:33"},{"id":151,"name":"Denver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5" t="str">
        <f t="shared" si="15"/>
        <v>grep -hSE -A100 "Enforcement Action" "%USERPROFILE%\AppData\Local\Temp\OnboardLogs"\RTDC4017\*4017*201609231* | grep -SE "((Enforcement Ac)|(PRM))" -</v>
      </c>
    </row>
    <row r="48" spans="1:29" x14ac:dyDescent="0.25">
      <c r="A48" s="38">
        <v>42636.33320601852</v>
      </c>
      <c r="B48" s="33" t="s">
        <v>409</v>
      </c>
      <c r="C48" s="33" t="s">
        <v>435</v>
      </c>
      <c r="D48" s="33" t="s">
        <v>49</v>
      </c>
      <c r="E48" s="33" t="s">
        <v>56</v>
      </c>
      <c r="F48" s="49">
        <v>300</v>
      </c>
      <c r="G48" s="49">
        <v>373</v>
      </c>
      <c r="H48" s="49">
        <v>38678</v>
      </c>
      <c r="I48" s="49">
        <v>39543</v>
      </c>
      <c r="J48" s="33" t="s">
        <v>57</v>
      </c>
      <c r="K48" s="49">
        <v>39716</v>
      </c>
      <c r="L48" s="150" t="s">
        <v>52</v>
      </c>
      <c r="M48" s="153">
        <f t="shared" si="8"/>
        <v>91.343999999999994</v>
      </c>
      <c r="N48" s="92" t="str">
        <f>VLOOKUP(C48,'Trips&amp;Operators'!$C$1:$E$99999,3,FALSE)</f>
        <v>STRICKLAND</v>
      </c>
      <c r="O48" s="174" t="s">
        <v>86</v>
      </c>
      <c r="P48" s="10"/>
      <c r="Q48" s="33"/>
      <c r="R48" s="108" t="str">
        <f>VLOOKUP(C48,'Train Runs'!$A$13:$AE$10017,31,0)</f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S48" s="111" t="str">
        <f>VLOOKUP(C48,'Train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06:41:44-0600',mode:absolute,to:'2016-09-23 09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48" s="113" t="str">
        <f t="shared" si="9"/>
        <v>"C:\Program Files (x86)\AstroGrep\AstroGrep.exe" /spath="%USERPROFILE%\AppData\Local\Temp\OnboardLogs" /stypes="*4018*201609231*" /stext=" 13:.+((SYSTEM_STATE.+slice.+state.+changed )|(ment ac)|(system.+state.+changed )|(\|lc)|(penalty)|(\[timeout)|(PRM\|1\|D)|(kpr)|(kdp))" /e /r /s</v>
      </c>
      <c r="U48" s="9" t="str">
        <f t="shared" si="10"/>
        <v>4018</v>
      </c>
      <c r="V48" s="38">
        <f t="shared" si="11"/>
        <v>42636.58320601852</v>
      </c>
      <c r="W48" s="52" t="str">
        <f t="shared" si="12"/>
        <v>NW</v>
      </c>
      <c r="X48" s="52" t="str">
        <f t="shared" si="13"/>
        <v>KEEP</v>
      </c>
      <c r="Y48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{"issue":{"subject":"","project_id":79,"tracker_id":40,"status_id":1,"priority_id":2,"assigned_to_id":23,"start_date":"2016-09-23","description":"","custom_fields":[{"id":1,"name":"Subdivision","value":"NW"},{"id":4,"name":"Milepost","value":"3.9716"},{"id":17,"name":"Train ID","value":"809-23"},{"id":16,"name":"Locomotive ID","value":"4018"},{"id":130,"name":"Impact","value":""},{"id":150,"name":"Time of Event (Mountain Time)","value":"07:59:49"},{"id":151,"name":"Denver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5" t="str">
        <f t="shared" si="15"/>
        <v>grep -hSE -A100 "Enforcement Action" "%USERPROFILE%\AppData\Local\Temp\OnboardLogs"\RTDC4018\*4018*201609231* | grep -SE "((Enforcement Ac)|(PRM))" -</v>
      </c>
    </row>
    <row r="49" spans="1:29" x14ac:dyDescent="0.25">
      <c r="A49" s="38">
        <v>42636.344872685186</v>
      </c>
      <c r="B49" s="33" t="s">
        <v>400</v>
      </c>
      <c r="C49" s="33" t="s">
        <v>440</v>
      </c>
      <c r="D49" s="33" t="s">
        <v>105</v>
      </c>
      <c r="E49" s="33" t="s">
        <v>56</v>
      </c>
      <c r="F49" s="49">
        <v>400</v>
      </c>
      <c r="G49" s="49">
        <v>454</v>
      </c>
      <c r="H49" s="49">
        <v>39034</v>
      </c>
      <c r="I49" s="49">
        <v>37643</v>
      </c>
      <c r="J49" s="33" t="s">
        <v>57</v>
      </c>
      <c r="K49" s="49">
        <v>40977</v>
      </c>
      <c r="L49" s="150" t="s">
        <v>53</v>
      </c>
      <c r="M49" s="153">
        <f t="shared" si="8"/>
        <v>-1760.3520000000001</v>
      </c>
      <c r="N49" s="92" t="str">
        <f>VLOOKUP(C49,'Trips&amp;Operators'!$C$1:$E$99999,3,FALSE)</f>
        <v>STRICKLAND</v>
      </c>
      <c r="O49" s="174" t="s">
        <v>86</v>
      </c>
      <c r="P49" s="10"/>
      <c r="Q49" s="33"/>
      <c r="R49" s="108" t="str">
        <f>VLOOKUP(C49,'Train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49" s="111" t="str">
        <f>VLOOKUP(C49,'Train Runs'!$A$13:$AE$10017,22,0)</f>
        <v>https://search-rtdc-monitor-bjffxe2xuh6vdkpspy63sjmuny.us-east-1.es.amazonaws.com/_plugin/kibana/#/discover/Steve-Slow-Train-Analysis-(2080s-and-2083s)?_g=(refreshInterval:(display:Off,section:0,value:0),time:(from:'2016-09-23 07:07:54-0600',mode:absolute,to:'2016-09-23 09:29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49" s="113" t="str">
        <f t="shared" si="9"/>
        <v>"C:\Program Files (x86)\AstroGrep\AstroGrep.exe" /spath="%USERPROFILE%\AppData\Local\Temp\OnboardLogs" /stypes="*4017*201609231*" /stext=" 14:.+((SYSTEM_STATE.+slice.+state.+changed )|(ment ac)|(system.+state.+changed )|(\|lc)|(penalty)|(\[timeout)|(PRM\|1\|D)|(kpr)|(kdp))" /e /r /s</v>
      </c>
      <c r="U49" s="9" t="str">
        <f t="shared" si="10"/>
        <v>4017</v>
      </c>
      <c r="V49" s="38">
        <f t="shared" si="11"/>
        <v>42636.594872685186</v>
      </c>
      <c r="W49" s="52" t="str">
        <f t="shared" si="12"/>
        <v>NW</v>
      </c>
      <c r="X49" s="52" t="str">
        <f t="shared" si="13"/>
        <v>KEEP</v>
      </c>
      <c r="Y49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{"issue":{"subject":"","project_id":79,"tracker_id":40,"status_id":1,"priority_id":2,"assigned_to_id":23,"start_date":"2016-09-23","description":"","custom_fields":[{"id":1,"name":"Subdivision","value":"NW"},{"id":4,"name":"Milepost","value":"4.0977"},{"id":17,"name":"Train ID","value":"810-23"},{"id":16,"name":"Locomotive ID","value":"4017"},{"id":130,"name":"Impact","value":""},{"id":150,"name":"Time of Event (Mountain Time)","value":"08:16:37"},{"id":151,"name":"Denver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5" t="str">
        <f t="shared" si="15"/>
        <v>grep -hSE -A100 "Enforcement Action" "%USERPROFILE%\AppData\Local\Temp\OnboardLogs"\RTDC4017\*4017*201609231* | grep -SE "((Enforcement Ac)|(PRM))" -</v>
      </c>
    </row>
    <row r="50" spans="1:29" x14ac:dyDescent="0.25">
      <c r="A50" s="38">
        <v>42636.334502314814</v>
      </c>
      <c r="B50" s="33" t="s">
        <v>409</v>
      </c>
      <c r="C50" s="33" t="s">
        <v>435</v>
      </c>
      <c r="D50" s="33" t="s">
        <v>105</v>
      </c>
      <c r="E50" s="33" t="s">
        <v>56</v>
      </c>
      <c r="F50" s="49">
        <v>400</v>
      </c>
      <c r="G50" s="49">
        <v>454</v>
      </c>
      <c r="H50" s="49">
        <v>43934</v>
      </c>
      <c r="I50" s="49">
        <v>45415</v>
      </c>
      <c r="J50" s="33" t="s">
        <v>57</v>
      </c>
      <c r="K50" s="49">
        <v>41797</v>
      </c>
      <c r="L50" s="150" t="s">
        <v>52</v>
      </c>
      <c r="M50" s="153">
        <f t="shared" si="8"/>
        <v>-1910.3040000000001</v>
      </c>
      <c r="N50" s="92" t="str">
        <f>VLOOKUP(C50,'Trips&amp;Operators'!$C$1:$E$99999,3,FALSE)</f>
        <v>STRICKLAND</v>
      </c>
      <c r="O50" s="174" t="s">
        <v>86</v>
      </c>
      <c r="P50" s="10"/>
      <c r="Q50" s="33"/>
      <c r="R50" s="108" t="str">
        <f>VLOOKUP(C50,'Train Runs'!$A$13:$AE$10017,31,0)</f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S50" s="111" t="str">
        <f>VLOOKUP(C50,'Train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06:41:44-0600',mode:absolute,to:'2016-09-23 09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50" s="113" t="str">
        <f t="shared" si="9"/>
        <v>"C:\Program Files (x86)\AstroGrep\AstroGrep.exe" /spath="%USERPROFILE%\AppData\Local\Temp\OnboardLogs" /stypes="*4018*201609231*" /stext=" 14:.+((SYSTEM_STATE.+slice.+state.+changed )|(ment ac)|(system.+state.+changed )|(\|lc)|(penalty)|(\[timeout)|(PRM\|1\|D)|(kpr)|(kdp))" /e /r /s</v>
      </c>
      <c r="U50" s="9" t="str">
        <f t="shared" si="10"/>
        <v>4018</v>
      </c>
      <c r="V50" s="38">
        <f t="shared" si="11"/>
        <v>42636.584502314814</v>
      </c>
      <c r="W50" s="52" t="str">
        <f t="shared" si="12"/>
        <v>NW</v>
      </c>
      <c r="X50" s="52" t="str">
        <f t="shared" si="13"/>
        <v>KEEP</v>
      </c>
      <c r="Y50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{"issue":{"subject":"","project_id":79,"tracker_id":40,"status_id":1,"priority_id":2,"assigned_to_id":23,"start_date":"2016-09-23","description":"","custom_fields":[{"id":1,"name":"Subdivision","value":"NW"},{"id":4,"name":"Milepost","value":"4.1797"},{"id":17,"name":"Train ID","value":"809-23"},{"id":16,"name":"Locomotive ID","value":"4018"},{"id":130,"name":"Impact","value":""},{"id":150,"name":"Time of Event (Mountain Time)","value":"08:01:41"},{"id":151,"name":"Denver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5" t="str">
        <f t="shared" si="15"/>
        <v>grep -hSE -A100 "Enforcement Action" "%USERPROFILE%\AppData\Local\Temp\OnboardLogs"\RTDC4018\*4018*201609231* | grep -SE "((Enforcement Ac)|(PRM))" -</v>
      </c>
    </row>
    <row r="51" spans="1:29" x14ac:dyDescent="0.25">
      <c r="A51" s="38">
        <v>42636.397152777776</v>
      </c>
      <c r="B51" s="33" t="s">
        <v>165</v>
      </c>
      <c r="C51" s="33" t="s">
        <v>451</v>
      </c>
      <c r="D51" s="33" t="s">
        <v>49</v>
      </c>
      <c r="E51" s="33" t="s">
        <v>56</v>
      </c>
      <c r="F51" s="49">
        <v>150</v>
      </c>
      <c r="G51" s="49">
        <v>285</v>
      </c>
      <c r="H51" s="49">
        <v>56431</v>
      </c>
      <c r="I51" s="49">
        <v>56940</v>
      </c>
      <c r="J51" s="33" t="s">
        <v>57</v>
      </c>
      <c r="K51" s="49">
        <v>57008</v>
      </c>
      <c r="L51" s="150" t="s">
        <v>52</v>
      </c>
      <c r="M51" s="153">
        <f t="shared" si="8"/>
        <v>35.904000000000003</v>
      </c>
      <c r="N51" s="92" t="str">
        <f>VLOOKUP(C51,'Trips&amp;Operators'!$C$1:$E$99999,3,FALSE)</f>
        <v>YORK</v>
      </c>
      <c r="O51" s="174" t="s">
        <v>86</v>
      </c>
      <c r="P51" s="10"/>
      <c r="Q51" s="33"/>
      <c r="R51" s="108" t="str">
        <f>VLOOKUP(C51,'Train Runs'!$A$13:$AE$10017,31,0)</f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S51" s="111" t="str">
        <f>VLOOKUP(C51,'Train Runs'!$A$13:$AE$10017,22,0)</f>
        <v>https://search-rtdc-monitor-bjffxe2xuh6vdkpspy63sjmuny.us-east-1.es.amazonaws.com/_plugin/kibana/#/discover/Steve-Slow-Train-Analysis-(2080s-and-2083s)?_g=(refreshInterval:(display:Off,section:0,value:0),time:(from:'2016-09-23 08:06:18-0600',mode:absolute,to:'2016-09-23 10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1" s="113" t="str">
        <f t="shared" si="9"/>
        <v>"C:\Program Files (x86)\AstroGrep\AstroGrep.exe" /spath="%USERPROFILE%\AppData\Local\Temp\OnboardLogs" /stypes="*4020*201609231*" /stext=" 15:.+((SYSTEM_STATE.+slice.+state.+changed )|(ment ac)|(system.+state.+changed )|(\|lc)|(penalty)|(\[timeout)|(PRM\|1\|D)|(kpr)|(kdp))" /e /r /s</v>
      </c>
      <c r="U51" s="9" t="str">
        <f t="shared" si="10"/>
        <v>4020</v>
      </c>
      <c r="V51" s="38">
        <f t="shared" si="11"/>
        <v>42636.647152777776</v>
      </c>
      <c r="W51" s="52" t="str">
        <f t="shared" si="12"/>
        <v>NW</v>
      </c>
      <c r="X51" s="52" t="str">
        <f t="shared" si="13"/>
        <v>KEEP</v>
      </c>
      <c r="Y51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{"issue":{"subject":"","project_id":79,"tracker_id":40,"status_id":1,"priority_id":2,"assigned_to_id":23,"start_date":"2016-09-23","description":"","custom_fields":[{"id":1,"name":"Subdivision","value":"NW"},{"id":4,"name":"Milepost","value":"5.7008"},{"id":17,"name":"Train ID","value":"813-23"},{"id":16,"name":"Locomotive ID","value":"4020"},{"id":130,"name":"Impact","value":""},{"id":150,"name":"Time of Event (Mountain Time)","value":"09:31:54"},{"id":151,"name":"Denver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5" t="str">
        <f t="shared" si="15"/>
        <v>grep -hSE -A100 "Enforcement Action" "%USERPROFILE%\AppData\Local\Temp\OnboardLogs"\RTDC4020\*4020*201609231* | grep -SE "((Enforcement Ac)|(PRM))" -</v>
      </c>
    </row>
    <row r="52" spans="1:29" x14ac:dyDescent="0.25">
      <c r="A52" s="38">
        <v>42636.52171296296</v>
      </c>
      <c r="B52" s="33" t="s">
        <v>165</v>
      </c>
      <c r="C52" s="33" t="s">
        <v>487</v>
      </c>
      <c r="D52" s="33" t="s">
        <v>49</v>
      </c>
      <c r="E52" s="33" t="s">
        <v>56</v>
      </c>
      <c r="F52" s="49">
        <v>150</v>
      </c>
      <c r="G52" s="49">
        <v>315</v>
      </c>
      <c r="H52" s="49">
        <v>56289</v>
      </c>
      <c r="I52" s="49">
        <v>56879</v>
      </c>
      <c r="J52" s="33" t="s">
        <v>57</v>
      </c>
      <c r="K52" s="49">
        <v>57008</v>
      </c>
      <c r="L52" s="150" t="s">
        <v>52</v>
      </c>
      <c r="M52" s="153">
        <f t="shared" si="8"/>
        <v>68.111999999999995</v>
      </c>
      <c r="N52" s="92" t="str">
        <f>VLOOKUP(C52,'Trips&amp;Operators'!$C$1:$E$99999,3,FALSE)</f>
        <v>YORK</v>
      </c>
      <c r="O52" s="174" t="s">
        <v>86</v>
      </c>
      <c r="P52" s="10"/>
      <c r="Q52" s="33"/>
      <c r="R52" s="108" t="str">
        <f>VLOOKUP(C52,'Train Runs'!$A$13:$AE$10017,31,0)</f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S52" s="111" t="str">
        <f>VLOOKUP(C52,'Train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10:57:52-0600',mode:absolute,to:'2016-09-23 13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2" s="113" t="str">
        <f t="shared" si="9"/>
        <v>"C:\Program Files (x86)\AstroGrep\AstroGrep.exe" /spath="%USERPROFILE%\AppData\Local\Temp\OnboardLogs" /stypes="*4020*201609231*" /stext=" 18:.+((SYSTEM_STATE.+slice.+state.+changed )|(ment ac)|(system.+state.+changed )|(\|lc)|(penalty)|(\[timeout)|(PRM\|1\|D)|(kpr)|(kdp))" /e /r /s</v>
      </c>
      <c r="U52" s="9" t="str">
        <f t="shared" si="10"/>
        <v>4020</v>
      </c>
      <c r="V52" s="38">
        <f t="shared" si="11"/>
        <v>42636.77171296296</v>
      </c>
      <c r="W52" s="52" t="str">
        <f t="shared" si="12"/>
        <v>NW</v>
      </c>
      <c r="X52" s="52" t="str">
        <f t="shared" si="13"/>
        <v>KEEP</v>
      </c>
      <c r="Y52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{"issue":{"subject":"","project_id":79,"tracker_id":40,"status_id":1,"priority_id":2,"assigned_to_id":23,"start_date":"2016-09-23","description":"","custom_fields":[{"id":1,"name":"Subdivision","value":"NW"},{"id":4,"name":"Milepost","value":"5.7008"},{"id":17,"name":"Train ID","value":"819-23"},{"id":16,"name":"Locomotive ID","value":"4020"},{"id":130,"name":"Impact","value":""},{"id":150,"name":"Time of Event (Mountain Time)","value":"12:31:16"},{"id":151,"name":"Denver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5" t="str">
        <f t="shared" si="15"/>
        <v>grep -hSE -A100 "Enforcement Action" "%USERPROFILE%\AppData\Local\Temp\OnboardLogs"\RTDC4020\*4020*201609231* | grep -SE "((Enforcement Ac)|(PRM))" -</v>
      </c>
    </row>
    <row r="53" spans="1:29" x14ac:dyDescent="0.25">
      <c r="A53" s="38">
        <v>42636.647303240738</v>
      </c>
      <c r="B53" s="33" t="s">
        <v>165</v>
      </c>
      <c r="C53" s="33" t="s">
        <v>518</v>
      </c>
      <c r="D53" s="33" t="s">
        <v>49</v>
      </c>
      <c r="E53" s="33" t="s">
        <v>56</v>
      </c>
      <c r="F53" s="49">
        <v>150</v>
      </c>
      <c r="G53" s="49">
        <v>247</v>
      </c>
      <c r="H53" s="49">
        <v>56695</v>
      </c>
      <c r="I53" s="49">
        <v>57071</v>
      </c>
      <c r="J53" s="33" t="s">
        <v>57</v>
      </c>
      <c r="K53" s="49">
        <v>57008</v>
      </c>
      <c r="L53" s="150" t="s">
        <v>52</v>
      </c>
      <c r="M53" s="153">
        <f t="shared" si="8"/>
        <v>-33.264000000000003</v>
      </c>
      <c r="N53" s="92" t="str">
        <f>VLOOKUP(C53,'Trips&amp;Operators'!$C$1:$E$99999,3,FALSE)</f>
        <v>HELVIE</v>
      </c>
      <c r="O53" s="174" t="s">
        <v>86</v>
      </c>
      <c r="P53" s="10"/>
      <c r="Q53" s="33"/>
      <c r="R53" s="108" t="str">
        <f>VLOOKUP(C53,'Train Runs'!$A$13:$AE$10017,31,0)</f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S53" s="111" t="str">
        <f>VLOOKUP(C53,'Train Runs'!$A$13:$AE$10017,22,0)</f>
        <v>https://search-rtdc-monitor-bjffxe2xuh6vdkpspy63sjmuny.us-east-1.es.amazonaws.com/_plugin/kibana/#/discover/Steve-Slow-Train-Analysis-(2080s-and-2083s)?_g=(refreshInterval:(display:Off,section:0,value:0),time:(from:'2016-09-23 14:17:02-0600',mode:absolute,to:'2016-09-23 16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3" s="113" t="str">
        <f t="shared" si="9"/>
        <v>"C:\Program Files (x86)\AstroGrep\AstroGrep.exe" /spath="%USERPROFILE%\AppData\Local\Temp\OnboardLogs" /stypes="*4020*201609232*" /stext=" 21:.+((SYSTEM_STATE.+slice.+state.+changed )|(ment ac)|(system.+state.+changed )|(\|lc)|(penalty)|(\[timeout)|(PRM\|1\|D)|(kpr)|(kdp))" /e /r /s</v>
      </c>
      <c r="U53" s="9" t="str">
        <f t="shared" si="10"/>
        <v>4020</v>
      </c>
      <c r="V53" s="38">
        <f t="shared" si="11"/>
        <v>42636.897303240738</v>
      </c>
      <c r="W53" s="52" t="str">
        <f t="shared" si="12"/>
        <v>NW</v>
      </c>
      <c r="X53" s="52" t="str">
        <f t="shared" si="13"/>
        <v>KEEP</v>
      </c>
      <c r="Y53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{"issue":{"subject":"","project_id":79,"tracker_id":40,"status_id":1,"priority_id":2,"assigned_to_id":23,"start_date":"2016-09-23","description":"","custom_fields":[{"id":1,"name":"Subdivision","value":"NW"},{"id":4,"name":"Milepost","value":"5.7008"},{"id":17,"name":"Train ID","value":"825-23"},{"id":16,"name":"Locomotive ID","value":"4020"},{"id":130,"name":"Impact","value":""},{"id":150,"name":"Time of Event (Mountain Time)","value":"15:32:07"},{"id":151,"name":"Denver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23"/>
      <c r="AC53" s="175" t="str">
        <f t="shared" si="15"/>
        <v>grep -hSE -A100 "Enforcement Action" "%USERPROFILE%\AppData\Local\Temp\OnboardLogs"\RTDC4020\*4020*201609232* | grep -SE "((Enforcement Ac)|(PRM))" -</v>
      </c>
    </row>
    <row r="54" spans="1:29" x14ac:dyDescent="0.25">
      <c r="A54" s="38">
        <v>42636.224907407406</v>
      </c>
      <c r="B54" s="33" t="s">
        <v>400</v>
      </c>
      <c r="C54" s="33" t="s">
        <v>401</v>
      </c>
      <c r="D54" s="33" t="s">
        <v>49</v>
      </c>
      <c r="E54" s="33" t="s">
        <v>54</v>
      </c>
      <c r="F54" s="49">
        <v>0</v>
      </c>
      <c r="G54" s="49">
        <v>108</v>
      </c>
      <c r="H54" s="49">
        <v>5093</v>
      </c>
      <c r="I54" s="49">
        <v>4920</v>
      </c>
      <c r="J54" s="33" t="s">
        <v>55</v>
      </c>
      <c r="K54" s="49">
        <v>4790</v>
      </c>
      <c r="L54" s="150" t="s">
        <v>53</v>
      </c>
      <c r="M54" s="153">
        <f t="shared" si="8"/>
        <v>68.64</v>
      </c>
      <c r="N54" s="92" t="str">
        <f>VLOOKUP(C54,'Trips&amp;Operators'!$C$1:$E$99999,3,FALSE)</f>
        <v>STRICKLAND</v>
      </c>
      <c r="O54" s="174" t="s">
        <v>614</v>
      </c>
      <c r="P54" s="10" t="s">
        <v>735</v>
      </c>
      <c r="Q54" s="33"/>
      <c r="R54" s="108" t="str">
        <f>VLOOKUP(C54,'Train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54" s="111" t="str">
        <f>VLOOKUP(C54,'Train Runs'!$A$13:$AE$10017,22,0)</f>
        <v>https://search-rtdc-monitor-bjffxe2xuh6vdkpspy63sjmuny.us-east-1.es.amazonaws.com/_plugin/kibana/#/discover/Steve-Slow-Train-Analysis-(2080s-and-2083s)?_g=(refreshInterval:(display:Off,section:0,value:0),time:(from:'2016-09-23 03:57:04-0600',mode:absolute,to:'2016-09-23 06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54" s="113" t="str">
        <f t="shared" si="9"/>
        <v>"C:\Program Files (x86)\AstroGrep\AstroGrep.exe" /spath="%USERPROFILE%\AppData\Local\Temp\OnboardLogs" /stypes="*4017*201609231*" /stext=" 11:.+((SYSTEM_STATE.+slice.+state.+changed )|(ment ac)|(system.+state.+changed )|(\|lc)|(penalty)|(\[timeout)|(PRM\|1\|D)|(kpr)|(kdp))" /e /r /s</v>
      </c>
      <c r="U54" s="9" t="str">
        <f t="shared" si="10"/>
        <v>4017</v>
      </c>
      <c r="V54" s="38">
        <f t="shared" si="11"/>
        <v>42636.474907407406</v>
      </c>
      <c r="W54" s="52" t="str">
        <f t="shared" si="12"/>
        <v>NW</v>
      </c>
      <c r="X54" s="52" t="str">
        <f t="shared" si="13"/>
        <v>KEEP</v>
      </c>
      <c r="Y54" s="134" t="str">
        <f t="shared" si="14"/>
        <v>echo {"issue":{"subject":"Wi-MAX outage","project_id":79,"tracker_id":40,"status_id":1,"priority_id":2,"assigned_to_id":23,"start_date":"2016-09-23","description":"","custom_fields":[{"id":1,"name":"Subdivision","value":"NW"},{"id":4,"name":"Milepost","value":"0.479"},{"id":17,"name":"Train ID","value":"800-23"},{"id":16,"name":"Locomotive ID","value":"4017"},{"id":130,"name":"Impact","value":""},{"id":150,"name":"Time of Event (Mountain Time)","value":"05:23:52"},{"id":151,"name":"Denver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5" t="str">
        <f t="shared" si="15"/>
        <v>grep -hSE -A100 "Enforcement Action" "%USERPROFILE%\AppData\Local\Temp\OnboardLogs"\RTDC4017\*4017*201609231* | grep -SE "((Enforcement Ac)|(PRM))" -</v>
      </c>
    </row>
    <row r="55" spans="1:29" x14ac:dyDescent="0.25">
      <c r="A55" s="38">
        <v>42636.226921296293</v>
      </c>
      <c r="B55" s="33" t="s">
        <v>400</v>
      </c>
      <c r="C55" s="33" t="s">
        <v>401</v>
      </c>
      <c r="D55" s="33" t="s">
        <v>49</v>
      </c>
      <c r="E55" s="33" t="s">
        <v>50</v>
      </c>
      <c r="F55" s="49">
        <v>0</v>
      </c>
      <c r="G55" s="49">
        <v>63</v>
      </c>
      <c r="H55" s="49">
        <v>204</v>
      </c>
      <c r="I55" s="49">
        <v>124</v>
      </c>
      <c r="J55" s="33" t="s">
        <v>51</v>
      </c>
      <c r="K55" s="49">
        <v>1</v>
      </c>
      <c r="L55" s="150" t="s">
        <v>53</v>
      </c>
      <c r="M55" s="153">
        <f t="shared" si="8"/>
        <v>64.944000000000003</v>
      </c>
      <c r="N55" s="92" t="str">
        <f>VLOOKUP(C55,'Trips&amp;Operators'!$C$1:$E$99999,3,FALSE)</f>
        <v>STRICKLAND</v>
      </c>
      <c r="O55" s="174" t="s">
        <v>86</v>
      </c>
      <c r="P55" s="10"/>
      <c r="Q55" s="33"/>
      <c r="R55" s="108" t="str">
        <f>VLOOKUP(C55,'Train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55" s="111" t="str">
        <f>VLOOKUP(C55,'Train Runs'!$A$13:$AE$10017,22,0)</f>
        <v>https://search-rtdc-monitor-bjffxe2xuh6vdkpspy63sjmuny.us-east-1.es.amazonaws.com/_plugin/kibana/#/discover/Steve-Slow-Train-Analysis-(2080s-and-2083s)?_g=(refreshInterval:(display:Off,section:0,value:0),time:(from:'2016-09-23 03:57:04-0600',mode:absolute,to:'2016-09-23 06:26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55" s="113" t="str">
        <f t="shared" si="9"/>
        <v>"C:\Program Files (x86)\AstroGrep\AstroGrep.exe" /spath="%USERPROFILE%\AppData\Local\Temp\OnboardLogs" /stypes="*4017*201609231*" /stext=" 11:.+((SYSTEM_STATE.+slice.+state.+changed )|(ment ac)|(system.+state.+changed )|(\|lc)|(penalty)|(\[timeout)|(PRM\|1\|D)|(kpr)|(kdp))" /e /r /s</v>
      </c>
      <c r="U55" s="9" t="str">
        <f t="shared" si="10"/>
        <v>4017</v>
      </c>
      <c r="V55" s="38">
        <f t="shared" si="11"/>
        <v>42636.476921296293</v>
      </c>
      <c r="W55" s="52" t="str">
        <f t="shared" si="12"/>
        <v>NW</v>
      </c>
      <c r="X55" s="52" t="str">
        <f t="shared" si="13"/>
        <v>KEEP</v>
      </c>
      <c r="Y55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{"issue":{"subject":"","project_id":79,"tracker_id":40,"status_id":1,"priority_id":2,"assigned_to_id":23,"start_date":"2016-09-23","description":"","custom_fields":[{"id":1,"name":"Subdivision","value":"NW"},{"id":4,"name":"Milepost","value":"0.0001"},{"id":17,"name":"Train ID","value":"800-23"},{"id":16,"name":"Locomotive ID","value":"4017"},{"id":130,"name":"Impact","value":""},{"id":150,"name":"Time of Event (Mountain Time)","value":"05:26:46"},{"id":151,"name":"Denver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5" t="str">
        <f t="shared" si="15"/>
        <v>grep -hSE -A100 "Enforcement Action" "%USERPROFILE%\AppData\Local\Temp\OnboardLogs"\RTDC4017\*4017*201609231* | grep -SE "((Enforcement Ac)|(PRM))" -</v>
      </c>
    </row>
    <row r="56" spans="1:29" x14ac:dyDescent="0.25">
      <c r="A56" s="38">
        <v>42636.310393518521</v>
      </c>
      <c r="B56" s="33" t="s">
        <v>400</v>
      </c>
      <c r="C56" s="33" t="s">
        <v>428</v>
      </c>
      <c r="D56" s="33" t="s">
        <v>49</v>
      </c>
      <c r="E56" s="33" t="s">
        <v>50</v>
      </c>
      <c r="F56" s="49">
        <v>0</v>
      </c>
      <c r="G56" s="49">
        <v>89</v>
      </c>
      <c r="H56" s="49">
        <v>871</v>
      </c>
      <c r="I56" s="49">
        <v>797</v>
      </c>
      <c r="J56" s="33" t="s">
        <v>51</v>
      </c>
      <c r="K56" s="49">
        <v>575</v>
      </c>
      <c r="L56" s="150" t="s">
        <v>53</v>
      </c>
      <c r="M56" s="153">
        <f t="shared" si="8"/>
        <v>117.21599999999999</v>
      </c>
      <c r="N56" s="92" t="str">
        <f>VLOOKUP(C56,'Trips&amp;Operators'!$C$1:$E$99999,3,FALSE)</f>
        <v>STRICKLAND</v>
      </c>
      <c r="O56" s="174" t="s">
        <v>86</v>
      </c>
      <c r="P56" s="10"/>
      <c r="Q56" s="33"/>
      <c r="R56" s="108" t="str">
        <f>VLOOKUP(C56,'Train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56" s="111" t="str">
        <f>VLOOKUP(C56,'Train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06:08:06-0600',mode:absolute,to:'2016-09-23 08:26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56" s="113" t="str">
        <f t="shared" si="9"/>
        <v>"C:\Program Files (x86)\AstroGrep\AstroGrep.exe" /spath="%USERPROFILE%\AppData\Local\Temp\OnboardLogs" /stypes="*4017*201609231*" /stext=" 13:.+((SYSTEM_STATE.+slice.+state.+changed )|(ment ac)|(system.+state.+changed )|(\|lc)|(penalty)|(\[timeout)|(PRM\|1\|D)|(kpr)|(kdp))" /e /r /s</v>
      </c>
      <c r="U56" s="9" t="str">
        <f t="shared" si="10"/>
        <v>4017</v>
      </c>
      <c r="V56" s="38">
        <f t="shared" si="11"/>
        <v>42636.560393518521</v>
      </c>
      <c r="W56" s="52" t="str">
        <f t="shared" si="12"/>
        <v>NW</v>
      </c>
      <c r="X56" s="52" t="str">
        <f t="shared" si="13"/>
        <v>KEEP</v>
      </c>
      <c r="Y56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{"issue":{"subject":"","project_id":79,"tracker_id":40,"status_id":1,"priority_id":2,"assigned_to_id":23,"start_date":"2016-09-23","description":"","custom_fields":[{"id":1,"name":"Subdivision","value":"NW"},{"id":4,"name":"Milepost","value":"0.0575"},{"id":17,"name":"Train ID","value":"806-23"},{"id":16,"name":"Locomotive ID","value":"4017"},{"id":130,"name":"Impact","value":""},{"id":150,"name":"Time of Event (Mountain Time)","value":"07:26:58"},{"id":151,"name":"Denver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5" t="str">
        <f t="shared" si="15"/>
        <v>grep -hSE -A100 "Enforcement Action" "%USERPROFILE%\AppData\Local\Temp\OnboardLogs"\RTDC4017\*4017*201609231* | grep -SE "((Enforcement Ac)|(PRM))" -</v>
      </c>
    </row>
    <row r="57" spans="1:29" x14ac:dyDescent="0.25">
      <c r="A57" s="38">
        <v>42636.495856481481</v>
      </c>
      <c r="B57" s="33" t="s">
        <v>164</v>
      </c>
      <c r="C57" s="33" t="s">
        <v>483</v>
      </c>
      <c r="D57" s="33" t="s">
        <v>49</v>
      </c>
      <c r="E57" s="33" t="s">
        <v>50</v>
      </c>
      <c r="F57" s="49">
        <v>0</v>
      </c>
      <c r="G57" s="49">
        <v>133</v>
      </c>
      <c r="H57" s="49">
        <v>964</v>
      </c>
      <c r="I57" s="49">
        <v>822</v>
      </c>
      <c r="J57" s="33" t="s">
        <v>51</v>
      </c>
      <c r="K57" s="49">
        <v>575</v>
      </c>
      <c r="L57" s="150" t="s">
        <v>53</v>
      </c>
      <c r="M57" s="153">
        <f t="shared" si="8"/>
        <v>130.416</v>
      </c>
      <c r="N57" s="92" t="str">
        <f>VLOOKUP(C57,'Trips&amp;Operators'!$C$1:$E$99999,3,FALSE)</f>
        <v>YORK</v>
      </c>
      <c r="O57" s="174" t="s">
        <v>86</v>
      </c>
      <c r="P57" s="10"/>
      <c r="Q57" s="33"/>
      <c r="R57" s="108" t="str">
        <f>VLOOKUP(C57,'Train Runs'!$A$13:$AE$10017,31,0)</f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S57" s="111" t="str">
        <f>VLOOKUP(C57,'Train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10:38:17-0600',mode:absolute,to:'2016-09-23 12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7" s="113" t="str">
        <f t="shared" si="9"/>
        <v>"C:\Program Files (x86)\AstroGrep\AstroGrep.exe" /spath="%USERPROFILE%\AppData\Local\Temp\OnboardLogs" /stypes="*4019*201609231*" /stext=" 17:.+((SYSTEM_STATE.+slice.+state.+changed )|(ment ac)|(system.+state.+changed )|(\|lc)|(penalty)|(\[timeout)|(PRM\|1\|D)|(kpr)|(kdp))" /e /r /s</v>
      </c>
      <c r="U57" s="9" t="str">
        <f t="shared" si="10"/>
        <v>4019</v>
      </c>
      <c r="V57" s="38">
        <f t="shared" si="11"/>
        <v>42636.745856481481</v>
      </c>
      <c r="W57" s="52" t="str">
        <f t="shared" si="12"/>
        <v>NW</v>
      </c>
      <c r="X57" s="52" t="str">
        <f t="shared" si="13"/>
        <v>KEEP</v>
      </c>
      <c r="Y57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{"issue":{"subject":"","project_id":79,"tracker_id":40,"status_id":1,"priority_id":2,"assigned_to_id":23,"start_date":"2016-09-23","description":"","custom_fields":[{"id":1,"name":"Subdivision","value":"NW"},{"id":4,"name":"Milepost","value":"0.0575"},{"id":17,"name":"Train ID","value":"818-23"},{"id":16,"name":"Locomotive ID","value":"4019"},{"id":130,"name":"Impact","value":""},{"id":150,"name":"Time of Event (Mountain Time)","value":"11:54:02"},{"id":151,"name":"Denver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5" t="str">
        <f t="shared" si="15"/>
        <v>grep -hSE -A100 "Enforcement Action" "%USERPROFILE%\AppData\Local\Temp\OnboardLogs"\RTDC4019\*4019*201609231* | grep -SE "((Enforcement Ac)|(PRM))" -</v>
      </c>
    </row>
    <row r="58" spans="1:29" x14ac:dyDescent="0.25">
      <c r="A58" s="38">
        <v>42636.726585648146</v>
      </c>
      <c r="B58" s="33" t="s">
        <v>400</v>
      </c>
      <c r="C58" s="33" t="s">
        <v>540</v>
      </c>
      <c r="D58" s="33" t="s">
        <v>49</v>
      </c>
      <c r="E58" s="33" t="s">
        <v>50</v>
      </c>
      <c r="F58" s="49">
        <v>0</v>
      </c>
      <c r="G58" s="49">
        <v>55</v>
      </c>
      <c r="H58" s="49">
        <v>741</v>
      </c>
      <c r="I58" s="49">
        <v>696</v>
      </c>
      <c r="J58" s="33" t="s">
        <v>51</v>
      </c>
      <c r="K58" s="49">
        <v>575</v>
      </c>
      <c r="L58" s="150" t="s">
        <v>53</v>
      </c>
      <c r="M58" s="153">
        <f t="shared" si="8"/>
        <v>63.887999999999998</v>
      </c>
      <c r="N58" s="92" t="str">
        <f>VLOOKUP(C58,'Trips&amp;Operators'!$C$1:$E$99999,3,FALSE)</f>
        <v>NEWELL</v>
      </c>
      <c r="O58" s="174" t="s">
        <v>86</v>
      </c>
      <c r="P58" s="10"/>
      <c r="Q58" s="33"/>
      <c r="R58" s="108" t="str">
        <f>VLOOKUP(C58,'Train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58" s="111" t="str">
        <f>VLOOKUP(C58,'Train Runs'!$A$13:$AE$10017,22,0)</f>
        <v>https://search-rtdc-monitor-bjffxe2xuh6vdkpspy63sjmuny.us-east-1.es.amazonaws.com/_plugin/kibana/#/discover/Steve-Slow-Train-Analysis-(2080s-and-2083s)?_g=(refreshInterval:(display:Off,section:0,value:0),time:(from:'2016-09-23 16:07:19-0600',mode:absolute,to:'2016-09-23 18:26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58" s="113" t="str">
        <f t="shared" si="9"/>
        <v>"C:\Program Files (x86)\AstroGrep\AstroGrep.exe" /spath="%USERPROFILE%\AppData\Local\Temp\OnboardLogs" /stypes="*4017*201609232*" /stext=" 23:.+((SYSTEM_STATE.+slice.+state.+changed )|(ment ac)|(system.+state.+changed )|(\|lc)|(penalty)|(\[timeout)|(PRM\|1\|D)|(kpr)|(kdp))" /e /r /s</v>
      </c>
      <c r="U58" s="9" t="str">
        <f t="shared" si="10"/>
        <v>4017</v>
      </c>
      <c r="V58" s="38">
        <f t="shared" si="11"/>
        <v>42636.976585648146</v>
      </c>
      <c r="W58" s="52" t="str">
        <f t="shared" si="12"/>
        <v>NW</v>
      </c>
      <c r="X58" s="52" t="str">
        <f t="shared" si="13"/>
        <v>KEEP</v>
      </c>
      <c r="Y58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{"issue":{"subject":"","project_id":79,"tracker_id":40,"status_id":1,"priority_id":2,"assigned_to_id":23,"start_date":"2016-09-23","description":"","custom_fields":[{"id":1,"name":"Subdivision","value":"NW"},{"id":4,"name":"Milepost","value":"0.0575"},{"id":17,"name":"Train ID","value":"832-23"},{"id":16,"name":"Locomotive ID","value":"4017"},{"id":130,"name":"Impact","value":""},{"id":150,"name":"Time of Event (Mountain Time)","value":"17:26:17"},{"id":151,"name":"Denver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5" t="str">
        <f t="shared" si="15"/>
        <v>grep -hSE -A100 "Enforcement Action" "%USERPROFILE%\AppData\Local\Temp\OnboardLogs"\RTDC4017\*4017*201609232* | grep -SE "((Enforcement Ac)|(PRM))" -</v>
      </c>
    </row>
    <row r="59" spans="1:29" x14ac:dyDescent="0.25">
      <c r="A59" s="38">
        <v>42636.769537037035</v>
      </c>
      <c r="B59" s="33" t="s">
        <v>400</v>
      </c>
      <c r="C59" s="33" t="s">
        <v>555</v>
      </c>
      <c r="D59" s="33" t="s">
        <v>49</v>
      </c>
      <c r="E59" s="33" t="s">
        <v>50</v>
      </c>
      <c r="F59" s="49">
        <v>0</v>
      </c>
      <c r="G59" s="49">
        <v>73</v>
      </c>
      <c r="H59" s="49">
        <v>820</v>
      </c>
      <c r="I59" s="49">
        <v>761</v>
      </c>
      <c r="J59" s="33" t="s">
        <v>51</v>
      </c>
      <c r="K59" s="49">
        <v>575</v>
      </c>
      <c r="L59" s="150" t="s">
        <v>53</v>
      </c>
      <c r="M59" s="153">
        <f t="shared" si="8"/>
        <v>98.207999999999998</v>
      </c>
      <c r="N59" s="92" t="str">
        <f>VLOOKUP(C59,'Trips&amp;Operators'!$C$1:$E$99999,3,FALSE)</f>
        <v>NEWELL</v>
      </c>
      <c r="O59" s="174" t="s">
        <v>86</v>
      </c>
      <c r="P59" s="10"/>
      <c r="Q59" s="33"/>
      <c r="R59" s="108" t="str">
        <f>VLOOKUP(C59,'Train Runs'!$A$13:$AE$10017,31,0)</f>
        <v>aws s3 cp s3://rtdc.mdm.uploadarchive/RTDC4017/2016-09-23/ "%USERPROFILE%\AppData\Local\Temp\OnboardLogs"\RTDC4017\2016-09-23 --recursive &amp; "%USERPROFILE%\Documents\GitHub\mrs-test-scripts\Headless Mode &amp; Sideloading\WalkAndUnGZ.bat" "%USERPROFILE%\AppData\Local\Temp\OnboardLogs"\RTDC4017\2016-09-23 &amp; aws s3 cp s3://rtdc.mdm.uploadarchive/RTDC4017/2016-09-24/ "%USERPROFILE%\AppData\Local\Temp\OnboardLogs"\RTDC4017\2016-09-24 --recursive &amp; "%USERPROFILE%\Documents\GitHub\mrs-test-scripts\Headless Mode &amp; Sideloading\WalkAndUnGZ.bat" "%USERPROFILE%\AppData\Local\Temp\OnboardLogs"\RTDC4017\2016-09-24</v>
      </c>
      <c r="S59" s="111" t="str">
        <f>VLOOKUP(C59,'Train Runs'!$A$13:$AE$10017,22,0)</f>
        <v>https://search-rtdc-monitor-bjffxe2xuh6vdkpspy63sjmuny.us-east-1.es.amazonaws.com/_plugin/kibana/#/discover/Steve-Slow-Train-Analysis-(2080s-and-2083s)?_g=(refreshInterval:(display:Off,section:0,value:0),time:(from:'2016-09-23 17:07:00-0600',mode:absolute,to:'2016-09-23 19:28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T59" s="113" t="str">
        <f t="shared" si="9"/>
        <v>"C:\Program Files (x86)\AstroGrep\AstroGrep.exe" /spath="%USERPROFILE%\AppData\Local\Temp\OnboardLogs" /stypes="*4017*201609240*" /stext=" 00:.+((SYSTEM_STATE.+slice.+state.+changed )|(ment ac)|(system.+state.+changed )|(\|lc)|(penalty)|(\[timeout)|(PRM\|1\|D)|(kpr)|(kdp))" /e /r /s</v>
      </c>
      <c r="U59" s="9" t="str">
        <f t="shared" si="10"/>
        <v>4017</v>
      </c>
      <c r="V59" s="38">
        <f t="shared" si="11"/>
        <v>42637.019537037035</v>
      </c>
      <c r="W59" s="52" t="str">
        <f t="shared" si="12"/>
        <v>NW</v>
      </c>
      <c r="X59" s="52" t="str">
        <f t="shared" si="13"/>
        <v>KEEP</v>
      </c>
      <c r="Y59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{"issue":{"subject":"","project_id":79,"tracker_id":40,"status_id":1,"priority_id":2,"assigned_to_id":23,"start_date":"2016-09-23","description":"","custom_fields":[{"id":1,"name":"Subdivision","value":"NW"},{"id":4,"name":"Milepost","value":"0.0575"},{"id":17,"name":"Train ID","value":"836-23"},{"id":16,"name":"Locomotive ID","value":"4017"},{"id":130,"name":"Impact","value":""},{"id":150,"name":"Time of Event (Mountain Time)","value":"18:28:08"},{"id":151,"name":"Denver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5" t="str">
        <f t="shared" si="15"/>
        <v>grep -hSE -A100 "Enforcement Action" "%USERPROFILE%\AppData\Local\Temp\OnboardLogs"\RTDC4017\*4017*201609240* | grep -SE "((Enforcement Ac)|(PRM))" -</v>
      </c>
    </row>
    <row r="60" spans="1:29" x14ac:dyDescent="0.25">
      <c r="A60" s="38">
        <v>42636.830868055556</v>
      </c>
      <c r="B60" s="33" t="s">
        <v>164</v>
      </c>
      <c r="C60" s="33" t="s">
        <v>575</v>
      </c>
      <c r="D60" s="33" t="s">
        <v>49</v>
      </c>
      <c r="E60" s="33" t="s">
        <v>50</v>
      </c>
      <c r="F60" s="49">
        <v>0</v>
      </c>
      <c r="G60" s="49">
        <v>36</v>
      </c>
      <c r="H60" s="49">
        <v>691</v>
      </c>
      <c r="I60" s="49">
        <v>664</v>
      </c>
      <c r="J60" s="33" t="s">
        <v>51</v>
      </c>
      <c r="K60" s="49">
        <v>575</v>
      </c>
      <c r="L60" s="150" t="s">
        <v>53</v>
      </c>
      <c r="M60" s="153">
        <f t="shared" si="8"/>
        <v>46.991999999999997</v>
      </c>
      <c r="N60" s="92" t="str">
        <f>VLOOKUP(C60,'Trips&amp;Operators'!$C$1:$E$99999,3,FALSE)</f>
        <v>HELVIE</v>
      </c>
      <c r="O60" s="174" t="s">
        <v>86</v>
      </c>
      <c r="P60" s="10"/>
      <c r="Q60" s="33"/>
      <c r="R60" s="108" t="str">
        <f>VLOOKUP(C60,'Train Runs'!$A$13:$AE$10017,31,0)</f>
        <v>aws s3 cp s3://rtdc.mdm.uploadarchive/RTDC4019/2016-09-23/ "%USERPROFILE%\AppData\Local\Temp\OnboardLogs"\RTDC4019\2016-09-23 --recursive &amp; "%USERPROFILE%\Documents\GitHub\mrs-test-scripts\Headless Mode &amp; Sideloading\WalkAndUnGZ.bat" "%USERPROFILE%\AppData\Local\Temp\OnboardLogs"\RTDC4019\2016-09-23 &amp; aws s3 cp s3://rtdc.mdm.uploadarchive/RTDC4019/2016-09-24/ "%USERPROFILE%\AppData\Local\Temp\OnboardLogs"\RTDC4019\2016-09-24 --recursive &amp; "%USERPROFILE%\Documents\GitHub\mrs-test-scripts\Headless Mode &amp; Sideloading\WalkAndUnGZ.bat" "%USERPROFILE%\AppData\Local\Temp\OnboardLogs"\RTDC4019\2016-09-24</v>
      </c>
      <c r="S60" s="111" t="str">
        <f>VLOOKUP(C60,'Train Runs'!$A$13:$AE$10017,22,0)</f>
        <v>https://search-rtdc-monitor-bjffxe2xuh6vdkpspy63sjmuny.us-east-1.es.amazonaws.com/_plugin/kibana/#/discover/Steve-Slow-Train-Analysis-(2080s-and-2083s)?_g=(refreshInterval:(display:Off,section:0,value:0),time:(from:'2016-09-23 18:37:55-0600',mode:absolute,to:'2016-09-23 20:56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60" s="113" t="str">
        <f t="shared" si="9"/>
        <v>"C:\Program Files (x86)\AstroGrep\AstroGrep.exe" /spath="%USERPROFILE%\AppData\Local\Temp\OnboardLogs" /stypes="*4019*201609240*" /stext=" 01:.+((SYSTEM_STATE.+slice.+state.+changed )|(ment ac)|(system.+state.+changed )|(\|lc)|(penalty)|(\[timeout)|(PRM\|1\|D)|(kpr)|(kdp))" /e /r /s</v>
      </c>
      <c r="U60" s="9" t="str">
        <f t="shared" si="10"/>
        <v>4019</v>
      </c>
      <c r="V60" s="38">
        <f t="shared" si="11"/>
        <v>42637.080868055556</v>
      </c>
      <c r="W60" s="52" t="str">
        <f t="shared" si="12"/>
        <v>NW</v>
      </c>
      <c r="X60" s="52" t="str">
        <f t="shared" si="13"/>
        <v>KEEP</v>
      </c>
      <c r="Y60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{"issue":{"subject":"","project_id":79,"tracker_id":40,"status_id":1,"priority_id":2,"assigned_to_id":23,"start_date":"2016-09-23","description":"","custom_fields":[{"id":1,"name":"Subdivision","value":"NW"},{"id":4,"name":"Milepost","value":"0.0575"},{"id":17,"name":"Train ID","value":"840-23"},{"id":16,"name":"Locomotive ID","value":"4019"},{"id":130,"name":"Impact","value":""},{"id":150,"name":"Time of Event (Mountain Time)","value":"19:56:27"},{"id":151,"name":"Denver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55"/>
      <c r="AA60" s="55"/>
      <c r="AB60" s="23"/>
      <c r="AC60" s="175" t="str">
        <f t="shared" si="15"/>
        <v>grep -hSE -A100 "Enforcement Action" "%USERPROFILE%\AppData\Local\Temp\OnboardLogs"\RTDC4019\*4019*201609240* | grep -SE "((Enforcement Ac)|(PRM))" -</v>
      </c>
    </row>
    <row r="61" spans="1:29" x14ac:dyDescent="0.25">
      <c r="A61" s="38">
        <v>42636.295798611114</v>
      </c>
      <c r="B61" s="33" t="s">
        <v>409</v>
      </c>
      <c r="C61" s="33" t="s">
        <v>421</v>
      </c>
      <c r="D61" s="33" t="s">
        <v>49</v>
      </c>
      <c r="E61" s="33" t="s">
        <v>50</v>
      </c>
      <c r="F61" s="49">
        <v>0</v>
      </c>
      <c r="G61" s="49">
        <v>62</v>
      </c>
      <c r="H61" s="49">
        <v>58788</v>
      </c>
      <c r="I61" s="49">
        <v>58867</v>
      </c>
      <c r="J61" s="33" t="s">
        <v>51</v>
      </c>
      <c r="K61" s="49">
        <v>59048</v>
      </c>
      <c r="L61" s="150" t="s">
        <v>52</v>
      </c>
      <c r="M61" s="153">
        <f t="shared" si="8"/>
        <v>95.567999999999998</v>
      </c>
      <c r="N61" s="92" t="str">
        <f>VLOOKUP(C61,'Trips&amp;Operators'!$C$1:$E$99999,3,FALSE)</f>
        <v>STRICKLAND</v>
      </c>
      <c r="O61" s="174" t="s">
        <v>86</v>
      </c>
      <c r="P61" s="10"/>
      <c r="Q61" s="33"/>
      <c r="R61" s="108" t="str">
        <f>VLOOKUP(C61,'Train Runs'!$A$13:$AE$10017,31,0)</f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S61" s="111" t="str">
        <f>VLOOKUP(C61,'Train Runs'!$A$13:$AE$10017,22,0)</f>
        <v>https://search-rtdc-monitor-bjffxe2xuh6vdkpspy63sjmuny.us-east-1.es.amazonaws.com/_plugin/kibana/#/discover/Steve-Slow-Train-Analysis-(2080s-and-2083s)?_g=(refreshInterval:(display:Off,section:0,value:0),time:(from:'2016-09-23 05:38:42-0600',mode:absolute,to:'2016-09-23 08:05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61" s="113" t="str">
        <f t="shared" si="9"/>
        <v>"C:\Program Files (x86)\AstroGrep\AstroGrep.exe" /spath="%USERPROFILE%\AppData\Local\Temp\OnboardLogs" /stypes="*4018*201609231*" /stext=" 13:.+((SYSTEM_STATE.+slice.+state.+changed )|(ment ac)|(system.+state.+changed )|(\|lc)|(penalty)|(\[timeout)|(PRM\|1\|D)|(kpr)|(kdp))" /e /r /s</v>
      </c>
      <c r="U61" s="9" t="str">
        <f t="shared" si="10"/>
        <v>4018</v>
      </c>
      <c r="V61" s="38">
        <f t="shared" si="11"/>
        <v>42636.545798611114</v>
      </c>
      <c r="W61" s="52" t="str">
        <f t="shared" si="12"/>
        <v>NW</v>
      </c>
      <c r="X61" s="52" t="str">
        <f t="shared" si="13"/>
        <v>KEEP</v>
      </c>
      <c r="Y61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{"issue":{"subject":"","project_id":79,"tracker_id":40,"status_id":1,"priority_id":2,"assigned_to_id":23,"start_date":"2016-09-23","description":"","custom_fields":[{"id":1,"name":"Subdivision","value":"NW"},{"id":4,"name":"Milepost","value":"5.9048"},{"id":17,"name":"Train ID","value":"805-23"},{"id":16,"name":"Locomotive ID","value":"4018"},{"id":130,"name":"Impact","value":""},{"id":150,"name":"Time of Event (Mountain Time)","value":"07:05:57"},{"id":151,"name":"Denver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55"/>
      <c r="AA61" s="55"/>
      <c r="AB61" s="23"/>
      <c r="AC61" s="175" t="str">
        <f t="shared" si="15"/>
        <v>grep -hSE -A100 "Enforcement Action" "%USERPROFILE%\AppData\Local\Temp\OnboardLogs"\RTDC4018\*4018*201609231* | grep -SE "((Enforcement Ac)|(PRM))" -</v>
      </c>
    </row>
    <row r="62" spans="1:29" x14ac:dyDescent="0.25">
      <c r="A62" s="38">
        <v>42636.337835648148</v>
      </c>
      <c r="B62" s="33" t="s">
        <v>409</v>
      </c>
      <c r="C62" s="33" t="s">
        <v>435</v>
      </c>
      <c r="D62" s="33" t="s">
        <v>49</v>
      </c>
      <c r="E62" s="33" t="s">
        <v>50</v>
      </c>
      <c r="F62" s="49">
        <v>0</v>
      </c>
      <c r="G62" s="49">
        <v>43</v>
      </c>
      <c r="H62" s="49">
        <v>58954</v>
      </c>
      <c r="I62" s="49">
        <v>58982</v>
      </c>
      <c r="J62" s="33" t="s">
        <v>51</v>
      </c>
      <c r="K62" s="49">
        <v>59048</v>
      </c>
      <c r="L62" s="150" t="s">
        <v>52</v>
      </c>
      <c r="M62" s="153">
        <f t="shared" si="8"/>
        <v>34.847999999999999</v>
      </c>
      <c r="N62" s="92" t="str">
        <f>VLOOKUP(C62,'Trips&amp;Operators'!$C$1:$E$99999,3,FALSE)</f>
        <v>STRICKLAND</v>
      </c>
      <c r="O62" s="174" t="s">
        <v>86</v>
      </c>
      <c r="P62" s="10"/>
      <c r="Q62" s="33"/>
      <c r="R62" s="108" t="str">
        <f>VLOOKUP(C62,'Train Runs'!$A$13:$AE$10017,31,0)</f>
        <v>aws s3 cp s3://rtdc.mdm.uploadarchive/RTDC4018/2016-09-23/ "%USERPROFILE%\AppData\Local\Temp\OnboardLogs"\RTDC4018\2016-09-23 --recursive &amp; "%USERPROFILE%\Documents\GitHub\mrs-test-scripts\Headless Mode &amp; Sideloading\WalkAndUnGZ.bat" "%USERPROFILE%\AppData\Local\Temp\OnboardLogs"\RTDC4018\2016-09-23 &amp; aws s3 cp s3://rtdc.mdm.uploadarchive/RTDC4018/2016-09-24/ "%USERPROFILE%\AppData\Local\Temp\OnboardLogs"\RTDC4018\2016-09-24 --recursive &amp; "%USERPROFILE%\Documents\GitHub\mrs-test-scripts\Headless Mode &amp; Sideloading\WalkAndUnGZ.bat" "%USERPROFILE%\AppData\Local\Temp\OnboardLogs"\RTDC4018\2016-09-24</v>
      </c>
      <c r="S62" s="111" t="str">
        <f>VLOOKUP(C62,'Train Runs'!$A$13:$AE$10017,22,0)</f>
        <v>https://search-rtdc-monitor-bjffxe2xuh6vdkpspy63sjmuny.us-east-1.es.amazonaws.com/_plugin/kibana/#/discover/Steve-Slow-Train-Analysis-(2080s-and-2083s)?_g=(refreshInterval:(display:Off,section:0,value:0),time:(from:'2016-09-23 06:41:44-0600',mode:absolute,to:'2016-09-23 09:06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62" s="113" t="str">
        <f t="shared" si="9"/>
        <v>"C:\Program Files (x86)\AstroGrep\AstroGrep.exe" /spath="%USERPROFILE%\AppData\Local\Temp\OnboardLogs" /stypes="*4018*201609231*" /stext=" 14:.+((SYSTEM_STATE.+slice.+state.+changed )|(ment ac)|(system.+state.+changed )|(\|lc)|(penalty)|(\[timeout)|(PRM\|1\|D)|(kpr)|(kdp))" /e /r /s</v>
      </c>
      <c r="U62" s="9" t="str">
        <f t="shared" si="10"/>
        <v>4018</v>
      </c>
      <c r="V62" s="38">
        <f t="shared" si="11"/>
        <v>42636.587835648148</v>
      </c>
      <c r="W62" s="52" t="str">
        <f t="shared" si="12"/>
        <v>NW</v>
      </c>
      <c r="X62" s="52" t="str">
        <f t="shared" si="13"/>
        <v>KEEP</v>
      </c>
      <c r="Y62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{"issue":{"subject":"","project_id":79,"tracker_id":40,"status_id":1,"priority_id":2,"assigned_to_id":23,"start_date":"2016-09-23","description":"","custom_fields":[{"id":1,"name":"Subdivision","value":"NW"},{"id":4,"name":"Milepost","value":"5.9048"},{"id":17,"name":"Train ID","value":"809-23"},{"id":16,"name":"Locomotive ID","value":"4018"},{"id":130,"name":"Impact","value":""},{"id":150,"name":"Time of Event (Mountain Time)","value":"08:06:29"},{"id":151,"name":"Denver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55"/>
      <c r="AA62" s="55"/>
      <c r="AB62" s="23"/>
      <c r="AC62" s="175" t="str">
        <f t="shared" si="15"/>
        <v>grep -hSE -A100 "Enforcement Action" "%USERPROFILE%\AppData\Local\Temp\OnboardLogs"\RTDC4018\*4018*201609231* | grep -SE "((Enforcement Ac)|(PRM))" -</v>
      </c>
    </row>
    <row r="63" spans="1:29" x14ac:dyDescent="0.25">
      <c r="A63" s="38">
        <v>42636.56726851852</v>
      </c>
      <c r="B63" s="33" t="s">
        <v>165</v>
      </c>
      <c r="C63" s="33" t="s">
        <v>498</v>
      </c>
      <c r="D63" s="33" t="s">
        <v>49</v>
      </c>
      <c r="E63" s="33" t="s">
        <v>50</v>
      </c>
      <c r="F63" s="49">
        <v>0</v>
      </c>
      <c r="G63" s="49">
        <v>52</v>
      </c>
      <c r="H63" s="49">
        <v>58839</v>
      </c>
      <c r="I63" s="49">
        <v>58882</v>
      </c>
      <c r="J63" s="33" t="s">
        <v>51</v>
      </c>
      <c r="K63" s="49">
        <v>59048</v>
      </c>
      <c r="L63" s="150" t="s">
        <v>52</v>
      </c>
      <c r="M63" s="153">
        <f t="shared" si="8"/>
        <v>87.647999999999996</v>
      </c>
      <c r="N63" s="92" t="str">
        <f>VLOOKUP(C63,'Trips&amp;Operators'!$C$1:$E$99999,3,FALSE)</f>
        <v>HELVIE</v>
      </c>
      <c r="O63" s="174" t="s">
        <v>86</v>
      </c>
      <c r="P63" s="10"/>
      <c r="Q63" s="33"/>
      <c r="R63" s="108" t="str">
        <f>VLOOKUP(C63,'Train Runs'!$A$13:$AE$10017,31,0)</f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S63" s="111" t="str">
        <f>VLOOKUP(C63,'Train Runs'!$A$13:$AE$10017,22,0)</f>
        <v>https://search-rtdc-monitor-bjffxe2xuh6vdkpspy63sjmuny.us-east-1.es.amazonaws.com/_plugin/kibana/#/discover/Steve-Slow-Train-Analysis-(2080s-and-2083s)?_g=(refreshInterval:(display:Off,section:0,value:0),time:(from:'2016-09-23 12:14:57-0600',mode:absolute,to:'2016-09-23 14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63" s="113" t="str">
        <f t="shared" si="9"/>
        <v>"C:\Program Files (x86)\AstroGrep\AstroGrep.exe" /spath="%USERPROFILE%\AppData\Local\Temp\OnboardLogs" /stypes="*4020*201609231*" /stext=" 19:.+((SYSTEM_STATE.+slice.+state.+changed )|(ment ac)|(system.+state.+changed )|(\|lc)|(penalty)|(\[timeout)|(PRM\|1\|D)|(kpr)|(kdp))" /e /r /s</v>
      </c>
      <c r="U63" s="9" t="str">
        <f t="shared" si="10"/>
        <v>4020</v>
      </c>
      <c r="V63" s="38">
        <f t="shared" si="11"/>
        <v>42636.81726851852</v>
      </c>
      <c r="W63" s="52" t="str">
        <f t="shared" si="12"/>
        <v>NW</v>
      </c>
      <c r="X63" s="52" t="str">
        <f t="shared" si="13"/>
        <v>KEEP</v>
      </c>
      <c r="Y63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{"issue":{"subject":"","project_id":79,"tracker_id":40,"status_id":1,"priority_id":2,"assigned_to_id":23,"start_date":"2016-09-23","description":"","custom_fields":[{"id":1,"name":"Subdivision","value":"NW"},{"id":4,"name":"Milepost","value":"5.9048"},{"id":17,"name":"Train ID","value":"821-23"},{"id":16,"name":"Locomotive ID","value":"4020"},{"id":130,"name":"Impact","value":""},{"id":150,"name":"Time of Event (Mountain Time)","value":"13:36:52"},{"id":151,"name":"Denver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55"/>
      <c r="AA63" s="55"/>
      <c r="AB63" s="23"/>
      <c r="AC63" s="175" t="str">
        <f t="shared" si="15"/>
        <v>grep -hSE -A100 "Enforcement Action" "%USERPROFILE%\AppData\Local\Temp\OnboardLogs"\RTDC4020\*4020*201609231* | grep -SE "((Enforcement Ac)|(PRM))" -</v>
      </c>
    </row>
    <row r="64" spans="1:29" x14ac:dyDescent="0.25">
      <c r="A64" s="38">
        <v>42636.567789351851</v>
      </c>
      <c r="B64" s="33" t="s">
        <v>165</v>
      </c>
      <c r="C64" s="33" t="s">
        <v>498</v>
      </c>
      <c r="D64" s="33" t="s">
        <v>49</v>
      </c>
      <c r="E64" s="33" t="s">
        <v>50</v>
      </c>
      <c r="F64" s="49">
        <v>0</v>
      </c>
      <c r="G64" s="49">
        <v>25</v>
      </c>
      <c r="H64" s="49">
        <v>58939</v>
      </c>
      <c r="I64" s="49">
        <v>58954</v>
      </c>
      <c r="J64" s="33" t="s">
        <v>51</v>
      </c>
      <c r="K64" s="49">
        <v>59048</v>
      </c>
      <c r="L64" s="150" t="s">
        <v>52</v>
      </c>
      <c r="M64" s="153">
        <f t="shared" si="8"/>
        <v>49.631999999999998</v>
      </c>
      <c r="N64" s="92" t="str">
        <f>VLOOKUP(C64,'Trips&amp;Operators'!$C$1:$E$99999,3,FALSE)</f>
        <v>HELVIE</v>
      </c>
      <c r="O64" s="174" t="s">
        <v>86</v>
      </c>
      <c r="P64" s="10"/>
      <c r="Q64" s="33"/>
      <c r="R64" s="108" t="str">
        <f>VLOOKUP(C64,'Train Runs'!$A$13:$AE$10017,31,0)</f>
        <v>aws s3 cp s3://rtdc.mdm.uploadarchive/RTDC4020/2016-09-23/ "%USERPROFILE%\AppData\Local\Temp\OnboardLogs"\RTDC4020\2016-09-23 --recursive &amp; "%USERPROFILE%\Documents\GitHub\mrs-test-scripts\Headless Mode &amp; Sideloading\WalkAndUnGZ.bat" "%USERPROFILE%\AppData\Local\Temp\OnboardLogs"\RTDC4020\2016-09-23 &amp; aws s3 cp s3://rtdc.mdm.uploadarchive/RTDC4020/2016-09-24/ "%USERPROFILE%\AppData\Local\Temp\OnboardLogs"\RTDC4020\2016-09-24 --recursive &amp; "%USERPROFILE%\Documents\GitHub\mrs-test-scripts\Headless Mode &amp; Sideloading\WalkAndUnGZ.bat" "%USERPROFILE%\AppData\Local\Temp\OnboardLogs"\RTDC4020\2016-09-24</v>
      </c>
      <c r="S64" s="111" t="str">
        <f>VLOOKUP(C64,'Train Runs'!$A$13:$AE$10017,22,0)</f>
        <v>https://search-rtdc-monitor-bjffxe2xuh6vdkpspy63sjmuny.us-east-1.es.amazonaws.com/_plugin/kibana/#/discover/Steve-Slow-Train-Analysis-(2080s-and-2083s)?_g=(refreshInterval:(display:Off,section:0,value:0),time:(from:'2016-09-23 12:14:57-0600',mode:absolute,to:'2016-09-23 14:36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64" s="113" t="str">
        <f t="shared" si="9"/>
        <v>"C:\Program Files (x86)\AstroGrep\AstroGrep.exe" /spath="%USERPROFILE%\AppData\Local\Temp\OnboardLogs" /stypes="*4020*201609231*" /stext=" 19:.+((SYSTEM_STATE.+slice.+state.+changed )|(ment ac)|(system.+state.+changed )|(\|lc)|(penalty)|(\[timeout)|(PRM\|1\|D)|(kpr)|(kdp))" /e /r /s</v>
      </c>
      <c r="U64" s="9" t="str">
        <f t="shared" si="10"/>
        <v>4020</v>
      </c>
      <c r="V64" s="38">
        <f t="shared" si="11"/>
        <v>42636.817789351851</v>
      </c>
      <c r="W64" s="52" t="str">
        <f t="shared" si="12"/>
        <v>NW</v>
      </c>
      <c r="X64" s="52" t="str">
        <f t="shared" si="13"/>
        <v>KEEP</v>
      </c>
      <c r="Y64" s="134" t="str">
        <f t="shared" si="14"/>
        <v>echo {"issue":{"subject":"","project_id":79,"tracker_id":40,"status_id":1,"priority_id":2,"assigned_to_id":23,"start_date":"2016-09-23","description":"","custom_fields":[{"id":1,"name":"Subdivision","value":"NW"},{"id":4,"name":"Milepost","value":"5.9048"},{"id":17,"name":"Train ID","value":"821-23"},{"id":16,"name":"Locomotive ID","value":"4020"},{"id":130,"name":"Impact","value":""},{"id":150,"name":"Time of Event (Mountain Time)","value":"13:37:37"},{"id":151,"name":"Denver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55"/>
      <c r="AA64" s="55"/>
      <c r="AB64" s="23"/>
      <c r="AC64" s="175" t="str">
        <f t="shared" si="15"/>
        <v>grep -hSE -A100 "Enforcement Action" "%USERPROFILE%\AppData\Local\Temp\OnboardLogs"\RTDC4020\*4020*201609231* | grep -SE "((Enforcement Ac)|(PRM))" -</v>
      </c>
    </row>
    <row r="65" spans="1:29" x14ac:dyDescent="0.25">
      <c r="A65" s="38">
        <v>42636.742835648147</v>
      </c>
      <c r="B65" s="33" t="s">
        <v>474</v>
      </c>
      <c r="C65" s="33" t="s">
        <v>550</v>
      </c>
      <c r="D65" s="33" t="s">
        <v>49</v>
      </c>
      <c r="E65" s="33" t="s">
        <v>54</v>
      </c>
      <c r="F65" s="49">
        <v>0</v>
      </c>
      <c r="G65" s="49">
        <v>19</v>
      </c>
      <c r="H65" s="49">
        <v>24298</v>
      </c>
      <c r="I65" s="49">
        <v>24279</v>
      </c>
      <c r="J65" s="33" t="s">
        <v>55</v>
      </c>
      <c r="K65" s="49">
        <v>24235</v>
      </c>
      <c r="L65" s="150" t="s">
        <v>53</v>
      </c>
      <c r="M65" s="153">
        <f t="shared" si="8"/>
        <v>23.231999999999999</v>
      </c>
      <c r="N65" s="92" t="str">
        <f>VLOOKUP(C65,'Trips&amp;Operators'!$C$1:$E$99999,3,FALSE)</f>
        <v>CHANDLER</v>
      </c>
      <c r="O65" s="174" t="s">
        <v>86</v>
      </c>
      <c r="P65" s="10"/>
      <c r="Q65" s="33"/>
      <c r="R65" s="108" t="str">
        <f>VLOOKUP(C65,'Train Runs'!$A$13:$AE$10017,31,0)</f>
        <v>aws s3 cp s3://rtdc.mdm.uploadarchive/RTDC4021/2016-09-23/ "%USERPROFILE%\AppData\Local\Temp\OnboardLogs"\RTDC4021\2016-09-23 --recursive &amp; "%USERPROFILE%\Documents\GitHub\mrs-test-scripts\Headless Mode &amp; Sideloading\WalkAndUnGZ.bat" "%USERPROFILE%\AppData\Local\Temp\OnboardLogs"\RTDC4021\2016-09-23 &amp; aws s3 cp s3://rtdc.mdm.uploadarchive/RTDC4021/2016-09-24/ "%USERPROFILE%\AppData\Local\Temp\OnboardLogs"\RTDC4021\2016-09-24 --recursive &amp; "%USERPROFILE%\Documents\GitHub\mrs-test-scripts\Headless Mode &amp; Sideloading\WalkAndUnGZ.bat" "%USERPROFILE%\AppData\Local\Temp\OnboardLogs"\RTDC4021\2016-09-24</v>
      </c>
      <c r="S65" s="111" t="str">
        <f>VLOOKUP(C65,'Train Runs'!$A$13:$AE$10017,22,0)</f>
        <v>https://search-rtdc-monitor-bjffxe2xuh6vdkpspy63sjmuny.us-east-1.es.amazonaws.com/_plugin/kibana/#/discover/Steve-Slow-Train-Analysis-(2080s-and-2083s)?_g=(refreshInterval:(display:Off,section:0,value:0),time:(from:'2016-09-23 16:45:27-0600',mode:absolute,to:'2016-09-23 18:49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5" s="113" t="str">
        <f t="shared" si="9"/>
        <v>"C:\Program Files (x86)\AstroGrep\AstroGrep.exe" /spath="%USERPROFILE%\AppData\Local\Temp\OnboardLogs" /stypes="*4021*201609232*" /stext=" 23:.+((SYSTEM_STATE.+slice.+state.+changed )|(ment ac)|(system.+state.+changed )|(\|lc)|(penalty)|(\[timeout)|(PRM\|1\|D)|(kpr)|(kdp))" /e /r /s</v>
      </c>
      <c r="U65" s="9" t="str">
        <f t="shared" si="10"/>
        <v>4021</v>
      </c>
      <c r="V65" s="38">
        <f t="shared" si="11"/>
        <v>42636.992835648147</v>
      </c>
      <c r="W65" s="52" t="str">
        <f t="shared" si="12"/>
        <v>Other</v>
      </c>
      <c r="X65" s="52" t="str">
        <f t="shared" si="13"/>
        <v>KEEP</v>
      </c>
      <c r="Y65" s="134" t="str">
        <f t="shared" si="14"/>
        <v>echo {"issue":{"subject":"","project_id":79,"tracker_id":40,"status_id":1,"priority_id":2,"assigned_to_id":23,"start_date":"2016-09-23","description":"","custom_fields":[{"id":1,"name":"Subdivision","value":"Other"},{"id":4,"name":"Milepost","value":"2.4235"},{"id":17,"name":"Train ID","value":"58-23"},{"id":16,"name":"Locomotive ID","value":"4021"},{"id":130,"name":"Impact","value":""},{"id":150,"name":"Time of Event (Mountain Time)","value":"17:49:41"},{"id":151,"name":"Denver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55"/>
      <c r="AA65" s="55"/>
      <c r="AB65" s="23"/>
      <c r="AC65" s="175" t="str">
        <f t="shared" si="15"/>
        <v>grep -hSE -A100 "Enforcement Action" "%USERPROFILE%\AppData\Local\Temp\OnboardLogs"\RTDC4021\*4021*201609232* | grep -SE "((Enforcement Ac)|(PRM))" -</v>
      </c>
    </row>
    <row r="66" spans="1:29" x14ac:dyDescent="0.25">
      <c r="A66" s="38">
        <v>42636.47078703704</v>
      </c>
      <c r="B66" s="33" t="s">
        <v>474</v>
      </c>
      <c r="C66" s="33" t="s">
        <v>475</v>
      </c>
      <c r="D66" s="33" t="s">
        <v>49</v>
      </c>
      <c r="E66" s="33" t="s">
        <v>50</v>
      </c>
      <c r="F66" s="49">
        <v>0</v>
      </c>
      <c r="G66" s="49">
        <v>36</v>
      </c>
      <c r="H66" s="49">
        <v>924</v>
      </c>
      <c r="I66" s="49">
        <v>898</v>
      </c>
      <c r="J66" s="33" t="s">
        <v>51</v>
      </c>
      <c r="K66" s="49">
        <v>826</v>
      </c>
      <c r="L66" s="150" t="s">
        <v>53</v>
      </c>
      <c r="M66" s="153">
        <f t="shared" si="8"/>
        <v>38.015999999999998</v>
      </c>
      <c r="N66" s="92" t="str">
        <f>VLOOKUP(C66,'Trips&amp;Operators'!$C$1:$E$99999,3,FALSE)</f>
        <v>MOSES</v>
      </c>
      <c r="O66" s="174" t="s">
        <v>86</v>
      </c>
      <c r="P66" s="10"/>
      <c r="Q66" s="33"/>
      <c r="R66" s="108" t="str">
        <f>VLOOKUP(C66,'Train Runs'!$A$13:$AE$10017,31,0)</f>
        <v>aws s3 cp s3://rtdc.mdm.uploadarchive/RTDC4021/2016-09-23/ "%USERPROFILE%\AppData\Local\Temp\OnboardLogs"\RTDC4021\2016-09-23 --recursive &amp; "%USERPROFILE%\Documents\GitHub\mrs-test-scripts\Headless Mode &amp; Sideloading\WalkAndUnGZ.bat" "%USERPROFILE%\AppData\Local\Temp\OnboardLogs"\RTDC4021\2016-09-23 &amp; aws s3 cp s3://rtdc.mdm.uploadarchive/RTDC4021/2016-09-24/ "%USERPROFILE%\AppData\Local\Temp\OnboardLogs"\RTDC4021\2016-09-24 --recursive &amp; "%USERPROFILE%\Documents\GitHub\mrs-test-scripts\Headless Mode &amp; Sideloading\WalkAndUnGZ.bat" "%USERPROFILE%\AppData\Local\Temp\OnboardLogs"\RTDC4021\2016-09-24</v>
      </c>
      <c r="S66" s="111" t="str">
        <f>VLOOKUP(C66,'Train Runs'!$A$13:$AE$10017,22,0)</f>
        <v>https://search-rtdc-monitor-bjffxe2xuh6vdkpspy63sjmuny.us-east-1.es.amazonaws.com/_plugin/kibana/#/discover/Steve-Slow-Train-Analysis-(2080s-and-2083s)?_g=(refreshInterval:(display:Off,section:0,value:0),time:(from:'2016-09-23 10:06:19-0600',mode:absolute,to:'2016-09-23 12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T66" s="113" t="str">
        <f t="shared" si="9"/>
        <v>"C:\Program Files (x86)\AstroGrep\AstroGrep.exe" /spath="%USERPROFILE%\AppData\Local\Temp\OnboardLogs" /stypes="*4021*201609231*" /stext=" 17:.+((SYSTEM_STATE.+slice.+state.+changed )|(ment ac)|(system.+state.+changed )|(\|lc)|(penalty)|(\[timeout)|(PRM\|1\|D)|(kpr)|(kdp))" /e /r /s</v>
      </c>
      <c r="U66" s="9" t="str">
        <f t="shared" si="10"/>
        <v>4021</v>
      </c>
      <c r="V66" s="38">
        <f t="shared" si="11"/>
        <v>42636.72078703704</v>
      </c>
      <c r="W66" s="52" t="str">
        <f t="shared" si="12"/>
        <v>Other</v>
      </c>
      <c r="X66" s="52" t="str">
        <f t="shared" si="13"/>
        <v>KEEP</v>
      </c>
      <c r="Y66" s="134" t="str">
        <f t="shared" si="14"/>
        <v>echo {"issue":{"subject":"","project_id":79,"tracker_id":40,"status_id":1,"priority_id":2,"assigned_to_id":23,"start_date":"2016-09-23","description":"","custom_fields":[{"id":1,"name":"Subdivision","value":"Other"},{"id":4,"name":"Milepost","value":"0.0826"},{"id":17,"name":"Train ID","value":"52-23"},{"id":16,"name":"Locomotive ID","value":"4021"},{"id":130,"name":"Impact","value":""},{"id":150,"name":"Time of Event (Mountain Time)","value":"11:17:56"},{"id":151,"name":"Denver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55"/>
      <c r="AA66" s="55"/>
      <c r="AB66" s="23"/>
      <c r="AC66" s="175" t="str">
        <f t="shared" si="15"/>
        <v>grep -hSE -A100 "Enforcement Action" "%USERPROFILE%\AppData\Local\Temp\OnboardLogs"\RTDC4021\*4021*201609231* | grep -SE "((Enforcement Ac)|(PRM))" -</v>
      </c>
    </row>
    <row r="67" spans="1:29" x14ac:dyDescent="0.25">
      <c r="A67" s="38">
        <v>42636.768379629626</v>
      </c>
      <c r="B67" s="33" t="s">
        <v>172</v>
      </c>
      <c r="C67" s="33" t="s">
        <v>554</v>
      </c>
      <c r="D67" s="33" t="s">
        <v>105</v>
      </c>
      <c r="E67" s="33" t="s">
        <v>50</v>
      </c>
      <c r="F67" s="49">
        <v>0</v>
      </c>
      <c r="G67" s="49">
        <v>7</v>
      </c>
      <c r="H67" s="49">
        <v>839</v>
      </c>
      <c r="I67" s="49">
        <v>0</v>
      </c>
      <c r="J67" s="33" t="s">
        <v>51</v>
      </c>
      <c r="K67" s="49">
        <v>839</v>
      </c>
      <c r="L67" s="150" t="s">
        <v>53</v>
      </c>
      <c r="M67" s="153">
        <f t="shared" si="8"/>
        <v>-442.99200000000002</v>
      </c>
      <c r="N67" s="92" t="str">
        <f>VLOOKUP(C67,'Trips&amp;Operators'!$C$1:$E$99999,3,FALSE)</f>
        <v>ARVIDSON</v>
      </c>
      <c r="O67" s="174" t="s">
        <v>86</v>
      </c>
      <c r="P67" s="10"/>
      <c r="Q67" s="33"/>
      <c r="R67" s="108" t="str">
        <f>VLOOKUP(C67,'Train Runs'!$A$13:$AE$10017,31,0)</f>
        <v>aws s3 cp s3://rtdc.mdm.uploadarchive/RTDC4026/2016-09-23/ "%USERPROFILE%\AppData\Local\Temp\OnboardLogs"\RTDC4026\2016-09-23 --recursive &amp; "%USERPROFILE%\Documents\GitHub\mrs-test-scripts\Headless Mode &amp; Sideloading\WalkAndUnGZ.bat" "%USERPROFILE%\AppData\Local\Temp\OnboardLogs"\RTDC4026\2016-09-23 &amp; aws s3 cp s3://rtdc.mdm.uploadarchive/RTDC4026/2016-09-24/ "%USERPROFILE%\AppData\Local\Temp\OnboardLogs"\RTDC4026\2016-09-24 --recursive &amp; "%USERPROFILE%\Documents\GitHub\mrs-test-scripts\Headless Mode &amp; Sideloading\WalkAndUnGZ.bat" "%USERPROFILE%\AppData\Local\Temp\OnboardLogs"\RTDC4026\2016-09-24</v>
      </c>
      <c r="S67" s="111" t="str">
        <f>VLOOKUP(C67,'Train Runs'!$A$13:$AE$10017,22,0)</f>
        <v>https://search-rtdc-monitor-bjffxe2xuh6vdkpspy63sjmuny.us-east-1.es.amazonaws.com/_plugin/kibana/#/discover/Steve-Slow-Train-Analysis-(2080s-and-2083s)?_g=(refreshInterval:(display:Off,section:0,value:0),time:(from:'2016-09-23 17:06:31-0600',mode:absolute,to:'2016-09-23 19:26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67" s="113" t="str">
        <f t="shared" si="9"/>
        <v>"C:\Program Files (x86)\AstroGrep\AstroGrep.exe" /spath="%USERPROFILE%\AppData\Local\Temp\OnboardLogs" /stypes="*4026*201609240*" /stext=" 00:.+((SYSTEM_STATE.+slice.+state.+changed )|(ment ac)|(system.+state.+changed )|(\|lc)|(penalty)|(\[timeout)|(PRM\|1\|D)|(kpr)|(kdp))" /e /r /s</v>
      </c>
      <c r="U67" s="9" t="str">
        <f t="shared" si="10"/>
        <v>4026</v>
      </c>
      <c r="V67" s="38">
        <f t="shared" si="11"/>
        <v>42637.018379629626</v>
      </c>
      <c r="W67" s="52" t="str">
        <f t="shared" si="12"/>
        <v>Other</v>
      </c>
      <c r="X67" s="52" t="str">
        <f t="shared" si="13"/>
        <v>OMIT</v>
      </c>
      <c r="Y67" s="134" t="str">
        <f t="shared" si="14"/>
        <v>echo {"issue":{"subject":"","project_id":79,"tracker_id":40,"status_id":1,"priority_id":2,"assigned_to_id":23,"start_date":"2016-09-23","description":"","custom_fields":[{"id":1,"name":"Subdivision","value":"Other"},{"id":4,"name":"Milepost","value":"0.0839"},{"id":17,"name":"Train ID","value":"60-23"},{"id":16,"name":"Locomotive ID","value":"4026"},{"id":130,"name":"Impact","value":""},{"id":150,"name":"Time of Event (Mountain Time)","value":"18:26:28"},{"id":151,"name":"Denver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55"/>
      <c r="AA67" s="55"/>
      <c r="AB67" s="23"/>
      <c r="AC67" s="175" t="str">
        <f t="shared" si="15"/>
        <v>grep -hSE -A100 "Enforcement Action" "%USERPROFILE%\AppData\Local\Temp\OnboardLogs"\RTDC4026\*4026*201609240* | grep -SE "((Enforcement Ac)|(PRM))" -</v>
      </c>
    </row>
    <row r="68" spans="1:29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23"/>
    </row>
    <row r="69" spans="1:29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23"/>
    </row>
    <row r="70" spans="1:29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23"/>
    </row>
    <row r="71" spans="1:29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23"/>
    </row>
    <row r="72" spans="1:29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50"/>
      <c r="M72" s="153"/>
      <c r="N72" s="92"/>
      <c r="O72" s="174"/>
      <c r="P72" s="10"/>
      <c r="Q72" s="33"/>
      <c r="R72" s="108"/>
      <c r="S72" s="111"/>
      <c r="T72" s="113"/>
      <c r="U72" s="9"/>
      <c r="V72" s="38"/>
      <c r="W72" s="52"/>
      <c r="X72" s="52"/>
      <c r="Y72" s="134"/>
      <c r="Z72" s="55"/>
      <c r="AA72" s="55"/>
      <c r="AB72" s="23"/>
    </row>
    <row r="73" spans="1:29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50"/>
      <c r="M73" s="153"/>
      <c r="N73" s="92"/>
      <c r="O73" s="174"/>
      <c r="P73" s="10"/>
      <c r="Q73" s="33"/>
      <c r="R73" s="108"/>
      <c r="S73" s="111"/>
      <c r="T73" s="113"/>
      <c r="U73" s="9"/>
      <c r="V73" s="38"/>
      <c r="W73" s="52"/>
      <c r="X73" s="52"/>
      <c r="Y73" s="134"/>
      <c r="Z73" s="55"/>
      <c r="AA73" s="55"/>
      <c r="AB73" s="23"/>
    </row>
    <row r="74" spans="1:29" x14ac:dyDescent="0.25">
      <c r="A74" s="38"/>
      <c r="B74" s="33"/>
      <c r="C74" s="33"/>
      <c r="D74" s="33"/>
      <c r="E74" s="33"/>
      <c r="F74" s="49"/>
      <c r="G74" s="49"/>
      <c r="H74" s="49"/>
      <c r="I74" s="49"/>
      <c r="J74" s="33"/>
      <c r="K74" s="49"/>
      <c r="L74" s="150"/>
      <c r="M74" s="153"/>
      <c r="N74" s="92"/>
      <c r="O74" s="174"/>
      <c r="P74" s="10"/>
      <c r="Q74" s="33"/>
      <c r="R74" s="108"/>
      <c r="S74" s="111"/>
      <c r="T74" s="113"/>
      <c r="U74" s="9"/>
      <c r="V74" s="38"/>
      <c r="W74" s="52"/>
      <c r="X74" s="52"/>
      <c r="Y74" s="134"/>
      <c r="Z74" s="55"/>
      <c r="AA74" s="55"/>
      <c r="AB74" s="23"/>
    </row>
    <row r="75" spans="1:29" x14ac:dyDescent="0.25">
      <c r="A75" s="38"/>
      <c r="B75" s="33"/>
      <c r="C75" s="33"/>
      <c r="D75" s="33"/>
      <c r="E75" s="33"/>
      <c r="F75" s="49"/>
      <c r="G75" s="49"/>
      <c r="H75" s="49"/>
      <c r="I75" s="49"/>
      <c r="J75" s="33"/>
      <c r="K75" s="49"/>
      <c r="L75" s="150"/>
      <c r="M75" s="153"/>
      <c r="N75" s="92"/>
      <c r="O75" s="174"/>
      <c r="P75" s="10"/>
      <c r="Q75" s="33"/>
      <c r="R75" s="108"/>
      <c r="S75" s="111"/>
      <c r="T75" s="113"/>
      <c r="U75" s="9"/>
      <c r="V75" s="38"/>
      <c r="W75" s="52"/>
      <c r="X75" s="52"/>
      <c r="Y75" s="134"/>
      <c r="Z75" s="55"/>
      <c r="AA75" s="55"/>
      <c r="AB75" s="23"/>
    </row>
    <row r="76" spans="1:29" x14ac:dyDescent="0.25">
      <c r="B76" s="23"/>
      <c r="C76" s="23"/>
      <c r="D76" s="23"/>
      <c r="E76" s="23"/>
      <c r="J76" s="23"/>
    </row>
  </sheetData>
  <autoFilter ref="A6:AC70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5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AB7:AB75</xm:sqref>
        </x14:dataValidation>
        <x14:dataValidation type="list" allowBlank="1" showInputMessage="1" showErrorMessage="1">
          <x14:formula1>
            <xm:f>'Redmine List Values'!$A$2:$A$7</xm:f>
          </x14:formula1>
          <xm:sqref>AA7:AA75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E5" sqref="E5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80" t="str">
        <f>"Trips that did not appear in PTC Data "&amp;TEXT(Variables!$A$2,"YYYY-mm-dd")</f>
        <v>Trips that did not appear in PTC Data 2016-09-23</v>
      </c>
      <c r="C1" s="180"/>
      <c r="D1" s="180"/>
      <c r="E1" s="180"/>
      <c r="F1" s="180"/>
    </row>
    <row r="2" spans="1:11" s="26" customFormat="1" ht="45" x14ac:dyDescent="0.25">
      <c r="A2" s="170" t="s">
        <v>170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-23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-23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-23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-23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-23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-23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-23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-23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-23</v>
      </c>
      <c r="C11" s="119"/>
      <c r="D11" s="119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-23</v>
      </c>
      <c r="C12" s="119"/>
      <c r="D12" s="119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-23</v>
      </c>
      <c r="C13" s="119"/>
      <c r="D13" s="119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-23</v>
      </c>
      <c r="C14" s="119"/>
      <c r="D14" s="119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-23%22)),sort:!(Time,asc))</v>
      </c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3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300</v>
      </c>
      <c r="B1" s="23" t="s">
        <v>301</v>
      </c>
      <c r="C1" s="23" t="s">
        <v>0</v>
      </c>
      <c r="D1" s="23" t="s">
        <v>302</v>
      </c>
      <c r="E1" s="23" t="s">
        <v>303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42636.033668981479</v>
      </c>
      <c r="B2" s="23" t="s">
        <v>283</v>
      </c>
      <c r="C2" s="23" t="s">
        <v>336</v>
      </c>
      <c r="D2" s="23">
        <v>1300000</v>
      </c>
      <c r="E2" s="23" t="s">
        <v>121</v>
      </c>
      <c r="F2" s="23" t="str">
        <f t="shared" ref="F2:F65" si="0">B2</f>
        <v>rtdc.l.rtdc.4013:itc</v>
      </c>
      <c r="G2" s="8">
        <f t="shared" ref="G2:G65" si="1">A2</f>
        <v>42636.033668981479</v>
      </c>
    </row>
    <row r="3" spans="1:7" x14ac:dyDescent="0.25">
      <c r="A3" s="8">
        <v>42636.047650462962</v>
      </c>
      <c r="B3" s="23" t="s">
        <v>308</v>
      </c>
      <c r="C3" s="23" t="s">
        <v>337</v>
      </c>
      <c r="D3" s="23">
        <v>1290000</v>
      </c>
      <c r="E3" s="23" t="s">
        <v>173</v>
      </c>
      <c r="F3" s="23" t="str">
        <f t="shared" si="0"/>
        <v>rtdc.l.rtdc.4031:itc</v>
      </c>
      <c r="G3" s="8">
        <f t="shared" si="1"/>
        <v>42636.047650462962</v>
      </c>
    </row>
    <row r="4" spans="1:7" x14ac:dyDescent="0.25">
      <c r="A4" s="8">
        <v>42636.049907407411</v>
      </c>
      <c r="B4" s="23" t="s">
        <v>330</v>
      </c>
      <c r="C4" s="23" t="s">
        <v>338</v>
      </c>
      <c r="D4" s="23">
        <v>1480000</v>
      </c>
      <c r="E4" s="23" t="s">
        <v>241</v>
      </c>
      <c r="F4" s="23" t="str">
        <f t="shared" si="0"/>
        <v>rtdc.l.rtdc.4054:itc</v>
      </c>
      <c r="G4" s="8">
        <f t="shared" si="1"/>
        <v>42636.049907407411</v>
      </c>
    </row>
    <row r="5" spans="1:7" x14ac:dyDescent="0.25">
      <c r="A5" s="8">
        <v>42636.055277777778</v>
      </c>
      <c r="B5" s="23" t="s">
        <v>308</v>
      </c>
      <c r="C5" s="23" t="s">
        <v>337</v>
      </c>
      <c r="D5" s="23">
        <v>1290000</v>
      </c>
      <c r="E5" s="23" t="s">
        <v>173</v>
      </c>
      <c r="F5" s="23" t="str">
        <f t="shared" si="0"/>
        <v>rtdc.l.rtdc.4031:itc</v>
      </c>
      <c r="G5" s="8">
        <f t="shared" si="1"/>
        <v>42636.055277777778</v>
      </c>
    </row>
    <row r="6" spans="1:7" x14ac:dyDescent="0.25">
      <c r="A6" s="8">
        <v>42636.067916666667</v>
      </c>
      <c r="B6" s="23" t="s">
        <v>280</v>
      </c>
      <c r="C6" s="23" t="s">
        <v>339</v>
      </c>
      <c r="D6" s="23">
        <v>1300000</v>
      </c>
      <c r="E6" s="23" t="s">
        <v>121</v>
      </c>
      <c r="F6" s="23" t="str">
        <f t="shared" si="0"/>
        <v>rtdc.l.rtdc.4014:itc</v>
      </c>
      <c r="G6" s="8">
        <f t="shared" si="1"/>
        <v>42636.067916666667</v>
      </c>
    </row>
    <row r="7" spans="1:7" x14ac:dyDescent="0.25">
      <c r="A7" s="8">
        <v>42636.13144675926</v>
      </c>
      <c r="B7" s="23" t="s">
        <v>252</v>
      </c>
      <c r="C7" s="23" t="s">
        <v>389</v>
      </c>
      <c r="D7" s="23">
        <v>2010000</v>
      </c>
      <c r="E7" s="23" t="s">
        <v>304</v>
      </c>
      <c r="F7" s="23" t="str">
        <f t="shared" si="0"/>
        <v>rtdc.l.rtdc.4011:itc</v>
      </c>
      <c r="G7" s="8">
        <f t="shared" si="1"/>
        <v>42636.13144675926</v>
      </c>
    </row>
    <row r="8" spans="1:7" x14ac:dyDescent="0.25">
      <c r="A8" s="8">
        <v>42636.150254629632</v>
      </c>
      <c r="B8" s="23" t="s">
        <v>306</v>
      </c>
      <c r="C8" s="23" t="s">
        <v>390</v>
      </c>
      <c r="D8" s="23">
        <v>1990000</v>
      </c>
      <c r="E8" s="23" t="s">
        <v>391</v>
      </c>
      <c r="F8" s="23" t="str">
        <f t="shared" si="0"/>
        <v>rtdc.l.rtdc.4027:itc</v>
      </c>
      <c r="G8" s="8">
        <f t="shared" si="1"/>
        <v>42636.150254629632</v>
      </c>
    </row>
    <row r="9" spans="1:7" ht="15.75" thickBot="1" x14ac:dyDescent="0.3">
      <c r="A9" s="27">
        <v>42636.172847222224</v>
      </c>
      <c r="B9" s="23" t="s">
        <v>240</v>
      </c>
      <c r="C9" s="23" t="s">
        <v>392</v>
      </c>
      <c r="D9" s="23">
        <v>2010000</v>
      </c>
      <c r="E9" s="23" t="s">
        <v>304</v>
      </c>
      <c r="F9" s="23" t="str">
        <f t="shared" si="0"/>
        <v>rtdc.l.rtdc.4043:itc</v>
      </c>
      <c r="G9" s="8">
        <f t="shared" si="1"/>
        <v>42636.172847222224</v>
      </c>
    </row>
    <row r="10" spans="1:7" x14ac:dyDescent="0.25">
      <c r="A10" s="8">
        <v>42636.176817129628</v>
      </c>
      <c r="B10" s="23" t="s">
        <v>393</v>
      </c>
      <c r="C10" s="23" t="s">
        <v>394</v>
      </c>
      <c r="D10" s="23">
        <v>1310000</v>
      </c>
      <c r="E10" s="23" t="s">
        <v>329</v>
      </c>
      <c r="F10" s="23" t="str">
        <f t="shared" si="0"/>
        <v>rtdc.l.rtdc.4040:itc</v>
      </c>
      <c r="G10" s="8">
        <f t="shared" si="1"/>
        <v>42636.176817129628</v>
      </c>
    </row>
    <row r="11" spans="1:7" x14ac:dyDescent="0.25">
      <c r="A11" s="8">
        <v>42636.177245370367</v>
      </c>
      <c r="B11" s="23" t="s">
        <v>305</v>
      </c>
      <c r="C11" s="23" t="s">
        <v>395</v>
      </c>
      <c r="D11" s="23">
        <v>1190000</v>
      </c>
      <c r="E11" s="23" t="s">
        <v>396</v>
      </c>
      <c r="F11" s="23" t="str">
        <f t="shared" si="0"/>
        <v>rtdc.l.rtdc.4016:itc</v>
      </c>
      <c r="G11" s="8">
        <f t="shared" si="1"/>
        <v>42636.177245370367</v>
      </c>
    </row>
    <row r="12" spans="1:7" x14ac:dyDescent="0.25">
      <c r="A12" s="8">
        <v>42636.193379629629</v>
      </c>
      <c r="B12" s="23" t="s">
        <v>332</v>
      </c>
      <c r="C12" s="23" t="s">
        <v>397</v>
      </c>
      <c r="D12" s="23">
        <v>1990000</v>
      </c>
      <c r="E12" s="23" t="s">
        <v>391</v>
      </c>
      <c r="F12" s="23" t="str">
        <f t="shared" si="0"/>
        <v>rtdc.l.rtdc.4030:itc</v>
      </c>
      <c r="G12" s="8">
        <f t="shared" si="1"/>
        <v>42636.193379629629</v>
      </c>
    </row>
    <row r="13" spans="1:7" x14ac:dyDescent="0.25">
      <c r="A13" s="8">
        <v>42636.193935185183</v>
      </c>
      <c r="B13" s="23" t="s">
        <v>246</v>
      </c>
      <c r="C13" s="23" t="s">
        <v>398</v>
      </c>
      <c r="D13" s="23">
        <v>1100000</v>
      </c>
      <c r="E13" s="23" t="s">
        <v>281</v>
      </c>
      <c r="F13" s="23" t="str">
        <f t="shared" si="0"/>
        <v>rtdc.l.rtdc.4003:itc</v>
      </c>
      <c r="G13" s="8">
        <f t="shared" si="1"/>
        <v>42636.193935185183</v>
      </c>
    </row>
    <row r="14" spans="1:7" x14ac:dyDescent="0.25">
      <c r="A14" s="8">
        <v>42636.194085648145</v>
      </c>
      <c r="B14" s="23" t="s">
        <v>332</v>
      </c>
      <c r="C14" s="23" t="s">
        <v>397</v>
      </c>
      <c r="D14" s="23">
        <v>1990000</v>
      </c>
      <c r="E14" s="23" t="s">
        <v>391</v>
      </c>
      <c r="F14" s="23" t="str">
        <f t="shared" si="0"/>
        <v>rtdc.l.rtdc.4030:itc</v>
      </c>
      <c r="G14" s="8">
        <f t="shared" si="1"/>
        <v>42636.194085648145</v>
      </c>
    </row>
    <row r="15" spans="1:7" x14ac:dyDescent="0.25">
      <c r="A15" s="8">
        <v>42636.195127314815</v>
      </c>
      <c r="B15" s="23" t="s">
        <v>332</v>
      </c>
      <c r="C15" s="23" t="s">
        <v>397</v>
      </c>
      <c r="D15" s="23">
        <v>1990000</v>
      </c>
      <c r="E15" s="23" t="s">
        <v>391</v>
      </c>
      <c r="F15" s="23" t="str">
        <f t="shared" si="0"/>
        <v>rtdc.l.rtdc.4030:itc</v>
      </c>
      <c r="G15" s="8">
        <f t="shared" si="1"/>
        <v>42636.195127314815</v>
      </c>
    </row>
    <row r="16" spans="1:7" x14ac:dyDescent="0.25">
      <c r="A16" s="8">
        <v>42636.206030092595</v>
      </c>
      <c r="B16" s="23" t="s">
        <v>252</v>
      </c>
      <c r="C16" s="23" t="s">
        <v>399</v>
      </c>
      <c r="D16" s="23">
        <v>1090000</v>
      </c>
      <c r="E16" s="23" t="s">
        <v>261</v>
      </c>
      <c r="F16" s="23" t="str">
        <f t="shared" si="0"/>
        <v>rtdc.l.rtdc.4011:itc</v>
      </c>
      <c r="G16" s="8">
        <f t="shared" si="1"/>
        <v>42636.206030092595</v>
      </c>
    </row>
    <row r="17" spans="1:7" x14ac:dyDescent="0.25">
      <c r="A17" s="8">
        <v>42636.207395833335</v>
      </c>
      <c r="B17" s="23" t="s">
        <v>400</v>
      </c>
      <c r="C17" s="23" t="s">
        <v>401</v>
      </c>
      <c r="D17" s="23">
        <v>1760000</v>
      </c>
      <c r="E17" s="23" t="s">
        <v>307</v>
      </c>
      <c r="F17" s="23" t="str">
        <f t="shared" si="0"/>
        <v>rtdc.l.rtdc.4017:itc</v>
      </c>
      <c r="G17" s="8">
        <f t="shared" si="1"/>
        <v>42636.207395833335</v>
      </c>
    </row>
    <row r="18" spans="1:7" x14ac:dyDescent="0.25">
      <c r="A18" s="8">
        <v>42636.213125000002</v>
      </c>
      <c r="B18" s="23" t="s">
        <v>262</v>
      </c>
      <c r="C18" s="23" t="s">
        <v>402</v>
      </c>
      <c r="D18" s="23">
        <v>1310000</v>
      </c>
      <c r="E18" s="23" t="s">
        <v>329</v>
      </c>
      <c r="F18" s="23" t="str">
        <f t="shared" si="0"/>
        <v>rtdc.l.rtdc.4008:itc</v>
      </c>
      <c r="G18" s="8">
        <f t="shared" si="1"/>
        <v>42636.213125000002</v>
      </c>
    </row>
    <row r="19" spans="1:7" x14ac:dyDescent="0.25">
      <c r="A19" s="8">
        <v>42636.216365740744</v>
      </c>
      <c r="B19" s="23" t="s">
        <v>239</v>
      </c>
      <c r="C19" s="23" t="s">
        <v>403</v>
      </c>
      <c r="D19" s="23">
        <v>2010000</v>
      </c>
      <c r="E19" s="23" t="s">
        <v>304</v>
      </c>
      <c r="F19" s="23" t="str">
        <f t="shared" si="0"/>
        <v>rtdc.l.rtdc.4044:itc</v>
      </c>
      <c r="G19" s="8">
        <f t="shared" si="1"/>
        <v>42636.216365740744</v>
      </c>
    </row>
    <row r="20" spans="1:7" x14ac:dyDescent="0.25">
      <c r="A20" s="8">
        <v>42636.221597222226</v>
      </c>
      <c r="B20" s="23" t="s">
        <v>404</v>
      </c>
      <c r="C20" s="23" t="s">
        <v>405</v>
      </c>
      <c r="D20" s="23">
        <v>1190000</v>
      </c>
      <c r="E20" s="23" t="s">
        <v>396</v>
      </c>
      <c r="F20" s="23" t="str">
        <f t="shared" si="0"/>
        <v>rtdc.l.rtdc.4015:itc</v>
      </c>
      <c r="G20" s="8">
        <f t="shared" si="1"/>
        <v>42636.221597222226</v>
      </c>
    </row>
    <row r="21" spans="1:7" x14ac:dyDescent="0.25">
      <c r="A21" s="8">
        <v>42636.228090277778</v>
      </c>
      <c r="B21" s="23" t="s">
        <v>306</v>
      </c>
      <c r="C21" s="23" t="s">
        <v>406</v>
      </c>
      <c r="D21" s="23">
        <v>900000</v>
      </c>
      <c r="E21" s="23" t="s">
        <v>282</v>
      </c>
      <c r="F21" s="23" t="str">
        <f t="shared" si="0"/>
        <v>rtdc.l.rtdc.4027:itc</v>
      </c>
      <c r="G21" s="8">
        <f t="shared" si="1"/>
        <v>42636.228090277778</v>
      </c>
    </row>
    <row r="22" spans="1:7" x14ac:dyDescent="0.25">
      <c r="A22" s="29">
        <v>42636.228229166663</v>
      </c>
      <c r="B22" s="23" t="s">
        <v>328</v>
      </c>
      <c r="C22" s="23" t="s">
        <v>407</v>
      </c>
      <c r="D22" s="23">
        <v>1990000</v>
      </c>
      <c r="E22" s="23" t="s">
        <v>391</v>
      </c>
      <c r="F22" s="23" t="str">
        <f t="shared" si="0"/>
        <v>rtdc.l.rtdc.4029:itc</v>
      </c>
      <c r="G22" s="8">
        <f t="shared" si="1"/>
        <v>42636.228229166663</v>
      </c>
    </row>
    <row r="23" spans="1:7" x14ac:dyDescent="0.25">
      <c r="A23" s="8">
        <v>42636.230069444442</v>
      </c>
      <c r="B23" s="23" t="s">
        <v>328</v>
      </c>
      <c r="C23" s="23" t="s">
        <v>407</v>
      </c>
      <c r="D23" s="23">
        <v>1990000</v>
      </c>
      <c r="E23" s="23" t="s">
        <v>391</v>
      </c>
      <c r="F23" s="23" t="str">
        <f t="shared" si="0"/>
        <v>rtdc.l.rtdc.4029:itc</v>
      </c>
      <c r="G23" s="8">
        <f t="shared" si="1"/>
        <v>42636.230069444442</v>
      </c>
    </row>
    <row r="24" spans="1:7" x14ac:dyDescent="0.25">
      <c r="A24" s="8">
        <v>42636.230810185189</v>
      </c>
      <c r="B24" s="23" t="s">
        <v>328</v>
      </c>
      <c r="C24" s="23" t="s">
        <v>407</v>
      </c>
      <c r="D24" s="23">
        <v>1990000</v>
      </c>
      <c r="E24" s="23" t="s">
        <v>391</v>
      </c>
      <c r="F24" s="23" t="str">
        <f t="shared" si="0"/>
        <v>rtdc.l.rtdc.4029:itc</v>
      </c>
      <c r="G24" s="8">
        <f t="shared" si="1"/>
        <v>42636.230810185189</v>
      </c>
    </row>
    <row r="25" spans="1:7" x14ac:dyDescent="0.25">
      <c r="A25" s="8">
        <v>42636.231793981482</v>
      </c>
      <c r="B25" s="23" t="s">
        <v>328</v>
      </c>
      <c r="C25" s="23" t="s">
        <v>407</v>
      </c>
      <c r="D25" s="23">
        <v>1990000</v>
      </c>
      <c r="E25" s="23" t="s">
        <v>391</v>
      </c>
      <c r="F25" s="23" t="str">
        <f t="shared" si="0"/>
        <v>rtdc.l.rtdc.4029:itc</v>
      </c>
      <c r="G25" s="8">
        <f t="shared" si="1"/>
        <v>42636.231793981482</v>
      </c>
    </row>
    <row r="26" spans="1:7" x14ac:dyDescent="0.25">
      <c r="A26" s="8">
        <v>42636.2343287037</v>
      </c>
      <c r="B26" s="23" t="s">
        <v>247</v>
      </c>
      <c r="C26" s="23" t="s">
        <v>408</v>
      </c>
      <c r="D26" s="23">
        <v>1100000</v>
      </c>
      <c r="E26" s="23" t="s">
        <v>281</v>
      </c>
      <c r="F26" s="23" t="str">
        <f t="shared" si="0"/>
        <v>rtdc.l.rtdc.4004:itc</v>
      </c>
      <c r="G26" s="8">
        <f t="shared" si="1"/>
        <v>42636.2343287037</v>
      </c>
    </row>
    <row r="27" spans="1:7" x14ac:dyDescent="0.25">
      <c r="A27" s="8">
        <v>42636.238738425927</v>
      </c>
      <c r="B27" s="23" t="s">
        <v>409</v>
      </c>
      <c r="C27" s="23" t="s">
        <v>410</v>
      </c>
      <c r="D27" s="23">
        <v>1760000</v>
      </c>
      <c r="E27" s="23" t="s">
        <v>307</v>
      </c>
      <c r="F27" s="23" t="str">
        <f t="shared" si="0"/>
        <v>rtdc.l.rtdc.4018:itc</v>
      </c>
      <c r="G27" s="8">
        <f t="shared" si="1"/>
        <v>42636.238738425927</v>
      </c>
    </row>
    <row r="28" spans="1:7" x14ac:dyDescent="0.25">
      <c r="A28" s="8">
        <v>42636.241053240738</v>
      </c>
      <c r="B28" s="23" t="s">
        <v>253</v>
      </c>
      <c r="C28" s="23" t="s">
        <v>411</v>
      </c>
      <c r="D28" s="23">
        <v>1090000</v>
      </c>
      <c r="E28" s="23" t="s">
        <v>261</v>
      </c>
      <c r="F28" s="23" t="str">
        <f t="shared" si="0"/>
        <v>rtdc.l.rtdc.4012:itc</v>
      </c>
      <c r="G28" s="8">
        <f t="shared" si="1"/>
        <v>42636.241053240738</v>
      </c>
    </row>
    <row r="29" spans="1:7" x14ac:dyDescent="0.25">
      <c r="A29" s="8">
        <v>42636.24894675926</v>
      </c>
      <c r="B29" s="23" t="s">
        <v>393</v>
      </c>
      <c r="C29" s="23" t="s">
        <v>412</v>
      </c>
      <c r="D29" s="23">
        <v>1310000</v>
      </c>
      <c r="E29" s="23" t="s">
        <v>329</v>
      </c>
      <c r="F29" s="23" t="str">
        <f t="shared" si="0"/>
        <v>rtdc.l.rtdc.4040:itc</v>
      </c>
      <c r="G29" s="8">
        <f t="shared" si="1"/>
        <v>42636.24894675926</v>
      </c>
    </row>
    <row r="30" spans="1:7" x14ac:dyDescent="0.25">
      <c r="A30" s="8">
        <v>42636.250509259262</v>
      </c>
      <c r="B30" s="23" t="s">
        <v>240</v>
      </c>
      <c r="C30" s="23" t="s">
        <v>413</v>
      </c>
      <c r="D30" s="23">
        <v>2010000</v>
      </c>
      <c r="E30" s="23" t="s">
        <v>304</v>
      </c>
      <c r="F30" s="23" t="str">
        <f t="shared" si="0"/>
        <v>rtdc.l.rtdc.4043:itc</v>
      </c>
      <c r="G30" s="8">
        <f t="shared" si="1"/>
        <v>42636.250509259262</v>
      </c>
    </row>
    <row r="31" spans="1:7" x14ac:dyDescent="0.25">
      <c r="A31" s="8">
        <v>42636.256064814814</v>
      </c>
      <c r="B31" s="23" t="s">
        <v>400</v>
      </c>
      <c r="C31" s="23" t="s">
        <v>414</v>
      </c>
      <c r="D31" s="23">
        <v>1760000</v>
      </c>
      <c r="E31" s="23" t="s">
        <v>307</v>
      </c>
      <c r="F31" s="23" t="str">
        <f t="shared" si="0"/>
        <v>rtdc.l.rtdc.4017:itc</v>
      </c>
      <c r="G31" s="8">
        <f t="shared" si="1"/>
        <v>42636.256064814814</v>
      </c>
    </row>
    <row r="32" spans="1:7" x14ac:dyDescent="0.25">
      <c r="A32" s="8">
        <v>42636.257013888891</v>
      </c>
      <c r="B32" s="23" t="s">
        <v>305</v>
      </c>
      <c r="C32" s="23" t="s">
        <v>415</v>
      </c>
      <c r="D32" s="23">
        <v>1190000</v>
      </c>
      <c r="E32" s="23" t="s">
        <v>396</v>
      </c>
      <c r="F32" s="23" t="str">
        <f t="shared" si="0"/>
        <v>rtdc.l.rtdc.4016:itc</v>
      </c>
      <c r="G32" s="8">
        <f t="shared" si="1"/>
        <v>42636.257013888891</v>
      </c>
    </row>
    <row r="33" spans="1:7" x14ac:dyDescent="0.25">
      <c r="A33" s="8">
        <v>42636.258194444446</v>
      </c>
      <c r="B33" s="23" t="s">
        <v>165</v>
      </c>
      <c r="C33" s="23" t="s">
        <v>416</v>
      </c>
      <c r="D33" s="23">
        <v>1830000</v>
      </c>
      <c r="E33" s="23" t="s">
        <v>331</v>
      </c>
      <c r="F33" s="23" t="str">
        <f t="shared" si="0"/>
        <v>rtdc.l.rtdc.4020:itc</v>
      </c>
      <c r="G33" s="8">
        <f t="shared" si="1"/>
        <v>42636.258194444446</v>
      </c>
    </row>
    <row r="34" spans="1:7" x14ac:dyDescent="0.25">
      <c r="A34" s="8">
        <v>42636.267222222225</v>
      </c>
      <c r="B34" s="23" t="s">
        <v>309</v>
      </c>
      <c r="C34" s="23" t="s">
        <v>417</v>
      </c>
      <c r="D34" s="23">
        <v>900000</v>
      </c>
      <c r="E34" s="23" t="s">
        <v>282</v>
      </c>
      <c r="F34" s="23" t="str">
        <f t="shared" si="0"/>
        <v>rtdc.l.rtdc.4028:itc</v>
      </c>
      <c r="G34" s="8">
        <f t="shared" si="1"/>
        <v>42636.267222222225</v>
      </c>
    </row>
    <row r="35" spans="1:7" x14ac:dyDescent="0.25">
      <c r="A35" s="8">
        <v>42636.267893518518</v>
      </c>
      <c r="B35" s="23" t="s">
        <v>246</v>
      </c>
      <c r="C35" s="23" t="s">
        <v>418</v>
      </c>
      <c r="D35" s="23">
        <v>1100000</v>
      </c>
      <c r="E35" s="23" t="s">
        <v>281</v>
      </c>
      <c r="F35" s="23" t="str">
        <f t="shared" si="0"/>
        <v>rtdc.l.rtdc.4003:itc</v>
      </c>
      <c r="G35" s="8">
        <f t="shared" si="1"/>
        <v>42636.267893518518</v>
      </c>
    </row>
    <row r="36" spans="1:7" x14ac:dyDescent="0.25">
      <c r="A36" s="8">
        <v>42636.275914351849</v>
      </c>
      <c r="B36" s="23" t="s">
        <v>164</v>
      </c>
      <c r="C36" s="23" t="s">
        <v>419</v>
      </c>
      <c r="D36" s="23">
        <v>1830000</v>
      </c>
      <c r="E36" s="23" t="s">
        <v>331</v>
      </c>
      <c r="F36" s="23" t="str">
        <f t="shared" si="0"/>
        <v>rtdc.l.rtdc.4019:itc</v>
      </c>
      <c r="G36" s="8">
        <f t="shared" si="1"/>
        <v>42636.275914351849</v>
      </c>
    </row>
    <row r="37" spans="1:7" x14ac:dyDescent="0.25">
      <c r="A37" s="8">
        <v>42636.275983796295</v>
      </c>
      <c r="B37" s="23" t="s">
        <v>332</v>
      </c>
      <c r="C37" s="23" t="s">
        <v>420</v>
      </c>
      <c r="D37" s="23">
        <v>1990000</v>
      </c>
      <c r="E37" s="23" t="s">
        <v>391</v>
      </c>
      <c r="F37" s="23" t="str">
        <f t="shared" si="0"/>
        <v>rtdc.l.rtdc.4030:itc</v>
      </c>
      <c r="G37" s="8">
        <f t="shared" si="1"/>
        <v>42636.275983796295</v>
      </c>
    </row>
    <row r="38" spans="1:7" x14ac:dyDescent="0.25">
      <c r="A38" s="8">
        <v>42636.277777777781</v>
      </c>
      <c r="B38" s="23" t="s">
        <v>409</v>
      </c>
      <c r="C38" s="23" t="s">
        <v>421</v>
      </c>
      <c r="D38" s="23">
        <v>1760000</v>
      </c>
      <c r="E38" s="23" t="s">
        <v>307</v>
      </c>
      <c r="F38" s="23" t="str">
        <f t="shared" si="0"/>
        <v>rtdc.l.rtdc.4018:itc</v>
      </c>
      <c r="G38" s="8">
        <f t="shared" si="1"/>
        <v>42636.277777777781</v>
      </c>
    </row>
    <row r="39" spans="1:7" x14ac:dyDescent="0.25">
      <c r="A39" s="8">
        <v>42636.279432870368</v>
      </c>
      <c r="B39" s="23" t="s">
        <v>252</v>
      </c>
      <c r="C39" s="23" t="s">
        <v>422</v>
      </c>
      <c r="D39" s="23">
        <v>1090000</v>
      </c>
      <c r="E39" s="23" t="s">
        <v>261</v>
      </c>
      <c r="F39" s="23" t="str">
        <f t="shared" si="0"/>
        <v>rtdc.l.rtdc.4011:itc</v>
      </c>
      <c r="G39" s="8">
        <f t="shared" si="1"/>
        <v>42636.279432870368</v>
      </c>
    </row>
    <row r="40" spans="1:7" x14ac:dyDescent="0.25">
      <c r="A40" s="8">
        <v>42636.287141203706</v>
      </c>
      <c r="B40" s="28" t="s">
        <v>423</v>
      </c>
      <c r="C40" s="23" t="s">
        <v>424</v>
      </c>
      <c r="D40" s="23">
        <v>1310000</v>
      </c>
      <c r="E40" s="23" t="s">
        <v>329</v>
      </c>
      <c r="F40" s="23" t="str">
        <f t="shared" si="0"/>
        <v>rtdc.l.rtdc.4039:itc</v>
      </c>
      <c r="G40" s="8">
        <f t="shared" si="1"/>
        <v>42636.287141203706</v>
      </c>
    </row>
    <row r="41" spans="1:7" x14ac:dyDescent="0.25">
      <c r="A41" s="8">
        <v>42636.288252314815</v>
      </c>
      <c r="B41" s="23" t="s">
        <v>239</v>
      </c>
      <c r="C41" s="23" t="s">
        <v>425</v>
      </c>
      <c r="D41" s="23">
        <v>2010000</v>
      </c>
      <c r="E41" s="23" t="s">
        <v>304</v>
      </c>
      <c r="F41" s="23" t="str">
        <f t="shared" si="0"/>
        <v>rtdc.l.rtdc.4044:itc</v>
      </c>
      <c r="G41" s="8">
        <f t="shared" si="1"/>
        <v>42636.288252314815</v>
      </c>
    </row>
    <row r="42" spans="1:7" x14ac:dyDescent="0.25">
      <c r="A42" s="8">
        <v>42636.290358796294</v>
      </c>
      <c r="B42" s="23" t="s">
        <v>165</v>
      </c>
      <c r="C42" s="23" t="s">
        <v>426</v>
      </c>
      <c r="D42" s="23">
        <v>1830000</v>
      </c>
      <c r="E42" s="23" t="s">
        <v>331</v>
      </c>
      <c r="F42" s="23" t="str">
        <f t="shared" si="0"/>
        <v>rtdc.l.rtdc.4020:itc</v>
      </c>
      <c r="G42" s="8">
        <f t="shared" si="1"/>
        <v>42636.290358796294</v>
      </c>
    </row>
    <row r="43" spans="1:7" x14ac:dyDescent="0.25">
      <c r="A43" s="8">
        <v>42636.297523148147</v>
      </c>
      <c r="B43" s="23" t="s">
        <v>404</v>
      </c>
      <c r="C43" s="23" t="s">
        <v>427</v>
      </c>
      <c r="D43" s="23">
        <v>1190000</v>
      </c>
      <c r="E43" s="23" t="s">
        <v>396</v>
      </c>
      <c r="F43" s="23" t="str">
        <f t="shared" si="0"/>
        <v>rtdc.l.rtdc.4015:itc</v>
      </c>
      <c r="G43" s="8">
        <f t="shared" si="1"/>
        <v>42636.297523148147</v>
      </c>
    </row>
    <row r="44" spans="1:7" x14ac:dyDescent="0.25">
      <c r="A44" s="8">
        <v>42636.297835648147</v>
      </c>
      <c r="B44" s="23" t="s">
        <v>400</v>
      </c>
      <c r="C44" s="23" t="s">
        <v>428</v>
      </c>
      <c r="D44" s="23">
        <v>1760000</v>
      </c>
      <c r="E44" s="23" t="s">
        <v>307</v>
      </c>
      <c r="F44" s="23" t="str">
        <f t="shared" si="0"/>
        <v>rtdc.l.rtdc.4017:itc</v>
      </c>
      <c r="G44" s="8">
        <f t="shared" si="1"/>
        <v>42636.297835648147</v>
      </c>
    </row>
    <row r="45" spans="1:7" x14ac:dyDescent="0.25">
      <c r="A45" s="8">
        <v>42636.298356481479</v>
      </c>
      <c r="B45" s="23" t="s">
        <v>306</v>
      </c>
      <c r="C45" s="23" t="s">
        <v>429</v>
      </c>
      <c r="D45" s="23">
        <v>900000</v>
      </c>
      <c r="E45" s="23" t="s">
        <v>282</v>
      </c>
      <c r="F45" s="23" t="str">
        <f t="shared" si="0"/>
        <v>rtdc.l.rtdc.4027:itc</v>
      </c>
      <c r="G45" s="8">
        <f t="shared" si="1"/>
        <v>42636.298356481479</v>
      </c>
    </row>
    <row r="46" spans="1:7" x14ac:dyDescent="0.25">
      <c r="A46" s="8">
        <v>42636.303969907407</v>
      </c>
      <c r="B46" s="23" t="s">
        <v>247</v>
      </c>
      <c r="C46" s="23" t="s">
        <v>430</v>
      </c>
      <c r="D46" s="23">
        <v>1100000</v>
      </c>
      <c r="E46" s="23" t="s">
        <v>281</v>
      </c>
      <c r="F46" s="23" t="str">
        <f t="shared" si="0"/>
        <v>rtdc.l.rtdc.4004:itc</v>
      </c>
      <c r="G46" s="8">
        <f t="shared" si="1"/>
        <v>42636.303969907407</v>
      </c>
    </row>
    <row r="47" spans="1:7" x14ac:dyDescent="0.25">
      <c r="A47" s="8">
        <v>42636.308645833335</v>
      </c>
      <c r="B47" s="23" t="s">
        <v>328</v>
      </c>
      <c r="C47" s="23" t="s">
        <v>431</v>
      </c>
      <c r="D47" s="23">
        <v>1990000</v>
      </c>
      <c r="E47" s="23" t="s">
        <v>391</v>
      </c>
      <c r="F47" s="23" t="str">
        <f t="shared" si="0"/>
        <v>rtdc.l.rtdc.4029:itc</v>
      </c>
      <c r="G47" s="8">
        <f t="shared" si="1"/>
        <v>42636.308645833335</v>
      </c>
    </row>
    <row r="48" spans="1:7" x14ac:dyDescent="0.25">
      <c r="A48" s="8">
        <v>42636.317511574074</v>
      </c>
      <c r="B48" s="23" t="s">
        <v>164</v>
      </c>
      <c r="C48" s="23" t="s">
        <v>432</v>
      </c>
      <c r="D48" s="23">
        <v>1830000</v>
      </c>
      <c r="E48" s="23" t="s">
        <v>331</v>
      </c>
      <c r="F48" s="23" t="str">
        <f t="shared" si="0"/>
        <v>rtdc.l.rtdc.4019:itc</v>
      </c>
      <c r="G48" s="8">
        <f t="shared" si="1"/>
        <v>42636.317511574074</v>
      </c>
    </row>
    <row r="49" spans="1:7" x14ac:dyDescent="0.25">
      <c r="A49" s="8">
        <v>42636.319791666669</v>
      </c>
      <c r="B49" s="23" t="s">
        <v>253</v>
      </c>
      <c r="C49" s="23" t="s">
        <v>433</v>
      </c>
      <c r="D49" s="23">
        <v>1090000</v>
      </c>
      <c r="E49" s="23" t="s">
        <v>261</v>
      </c>
      <c r="F49" s="23" t="str">
        <f t="shared" si="0"/>
        <v>rtdc.l.rtdc.4012:itc</v>
      </c>
      <c r="G49" s="8">
        <f t="shared" si="1"/>
        <v>42636.319791666669</v>
      </c>
    </row>
    <row r="50" spans="1:7" x14ac:dyDescent="0.25">
      <c r="A50" s="8">
        <v>42636.32199074074</v>
      </c>
      <c r="B50" s="23" t="s">
        <v>393</v>
      </c>
      <c r="C50" s="23" t="s">
        <v>434</v>
      </c>
      <c r="D50" s="23">
        <v>1310000</v>
      </c>
      <c r="E50" s="23" t="s">
        <v>329</v>
      </c>
      <c r="F50" s="23" t="str">
        <f t="shared" si="0"/>
        <v>rtdc.l.rtdc.4040:itc</v>
      </c>
      <c r="G50" s="8">
        <f t="shared" si="1"/>
        <v>42636.32199074074</v>
      </c>
    </row>
    <row r="51" spans="1:7" x14ac:dyDescent="0.25">
      <c r="A51" s="8">
        <v>42636.322465277779</v>
      </c>
      <c r="B51" s="23" t="s">
        <v>409</v>
      </c>
      <c r="C51" s="23" t="s">
        <v>435</v>
      </c>
      <c r="D51" s="23">
        <v>1760000</v>
      </c>
      <c r="E51" s="23" t="s">
        <v>307</v>
      </c>
      <c r="F51" s="23" t="str">
        <f t="shared" si="0"/>
        <v>rtdc.l.rtdc.4018:itc</v>
      </c>
      <c r="G51" s="8">
        <f t="shared" si="1"/>
        <v>42636.322465277779</v>
      </c>
    </row>
    <row r="52" spans="1:7" x14ac:dyDescent="0.25">
      <c r="A52" s="8">
        <v>42636.325046296297</v>
      </c>
      <c r="B52" s="23" t="s">
        <v>240</v>
      </c>
      <c r="C52" s="23" t="s">
        <v>436</v>
      </c>
      <c r="D52" s="23">
        <v>2010000</v>
      </c>
      <c r="E52" s="23" t="s">
        <v>304</v>
      </c>
      <c r="F52" s="23" t="str">
        <f t="shared" si="0"/>
        <v>rtdc.l.rtdc.4043:itc</v>
      </c>
      <c r="G52" s="8">
        <f t="shared" si="1"/>
        <v>42636.325046296297</v>
      </c>
    </row>
    <row r="53" spans="1:7" x14ac:dyDescent="0.25">
      <c r="A53" s="8">
        <v>42636.33053240741</v>
      </c>
      <c r="B53" s="23" t="s">
        <v>309</v>
      </c>
      <c r="C53" s="23" t="s">
        <v>437</v>
      </c>
      <c r="D53" s="23">
        <v>900000</v>
      </c>
      <c r="E53" s="23" t="s">
        <v>282</v>
      </c>
      <c r="F53" s="23" t="str">
        <f t="shared" si="0"/>
        <v>rtdc.l.rtdc.4028:itc</v>
      </c>
      <c r="G53" s="8">
        <f t="shared" si="1"/>
        <v>42636.33053240741</v>
      </c>
    </row>
    <row r="54" spans="1:7" x14ac:dyDescent="0.25">
      <c r="A54" s="8">
        <v>42636.331921296296</v>
      </c>
      <c r="B54" s="23" t="s">
        <v>165</v>
      </c>
      <c r="C54" s="23" t="s">
        <v>438</v>
      </c>
      <c r="D54" s="23">
        <v>1830000</v>
      </c>
      <c r="E54" s="23" t="s">
        <v>331</v>
      </c>
      <c r="F54" s="23" t="str">
        <f t="shared" si="0"/>
        <v>rtdc.l.rtdc.4020:itc</v>
      </c>
      <c r="G54" s="8">
        <f t="shared" si="1"/>
        <v>42636.331921296296</v>
      </c>
    </row>
    <row r="55" spans="1:7" x14ac:dyDescent="0.25">
      <c r="A55" s="8">
        <v>42636.332245370373</v>
      </c>
      <c r="B55" s="23" t="s">
        <v>305</v>
      </c>
      <c r="C55" s="23" t="s">
        <v>439</v>
      </c>
      <c r="D55" s="23">
        <v>1190000</v>
      </c>
      <c r="E55" s="23" t="s">
        <v>396</v>
      </c>
      <c r="F55" s="23" t="str">
        <f t="shared" si="0"/>
        <v>rtdc.l.rtdc.4016:itc</v>
      </c>
      <c r="G55" s="8">
        <f t="shared" si="1"/>
        <v>42636.332245370373</v>
      </c>
    </row>
    <row r="56" spans="1:7" x14ac:dyDescent="0.25">
      <c r="A56" s="8">
        <v>42636.339224537034</v>
      </c>
      <c r="B56" s="23" t="s">
        <v>400</v>
      </c>
      <c r="C56" s="23" t="s">
        <v>440</v>
      </c>
      <c r="D56" s="23">
        <v>1760000</v>
      </c>
      <c r="E56" s="23" t="s">
        <v>307</v>
      </c>
      <c r="F56" s="23" t="str">
        <f t="shared" si="0"/>
        <v>rtdc.l.rtdc.4017:itc</v>
      </c>
      <c r="G56" s="8">
        <f t="shared" si="1"/>
        <v>42636.339224537034</v>
      </c>
    </row>
    <row r="57" spans="1:7" x14ac:dyDescent="0.25">
      <c r="A57" s="8">
        <v>42636.34039351852</v>
      </c>
      <c r="B57" s="23" t="s">
        <v>246</v>
      </c>
      <c r="C57" s="23" t="s">
        <v>441</v>
      </c>
      <c r="D57" s="23">
        <v>1100000</v>
      </c>
      <c r="E57" s="23" t="s">
        <v>281</v>
      </c>
      <c r="F57" s="23" t="str">
        <f t="shared" si="0"/>
        <v>rtdc.l.rtdc.4003:itc</v>
      </c>
      <c r="G57" s="8">
        <f t="shared" si="1"/>
        <v>42636.34039351852</v>
      </c>
    </row>
    <row r="58" spans="1:7" x14ac:dyDescent="0.25">
      <c r="A58" s="8">
        <v>42636.34814814815</v>
      </c>
      <c r="B58" s="23" t="s">
        <v>332</v>
      </c>
      <c r="C58" s="23" t="s">
        <v>442</v>
      </c>
      <c r="D58" s="23">
        <v>1990000</v>
      </c>
      <c r="E58" s="23" t="s">
        <v>391</v>
      </c>
      <c r="F58" s="23" t="str">
        <f t="shared" si="0"/>
        <v>rtdc.l.rtdc.4030:itc</v>
      </c>
      <c r="G58" s="8">
        <f t="shared" si="1"/>
        <v>42636.34814814815</v>
      </c>
    </row>
    <row r="59" spans="1:7" x14ac:dyDescent="0.25">
      <c r="A59" s="8">
        <v>42636.351319444446</v>
      </c>
      <c r="B59" s="23" t="s">
        <v>252</v>
      </c>
      <c r="C59" s="23" t="s">
        <v>443</v>
      </c>
      <c r="D59" s="23">
        <v>1090000</v>
      </c>
      <c r="E59" s="23" t="s">
        <v>261</v>
      </c>
      <c r="F59" s="23" t="str">
        <f t="shared" si="0"/>
        <v>rtdc.l.rtdc.4011:itc</v>
      </c>
      <c r="G59" s="8">
        <f t="shared" si="1"/>
        <v>42636.351319444446</v>
      </c>
    </row>
    <row r="60" spans="1:7" x14ac:dyDescent="0.25">
      <c r="A60" s="8">
        <v>42636.356400462966</v>
      </c>
      <c r="B60" s="23" t="s">
        <v>409</v>
      </c>
      <c r="C60" s="23" t="s">
        <v>444</v>
      </c>
      <c r="D60" s="23">
        <v>1760000</v>
      </c>
      <c r="E60" s="23" t="s">
        <v>307</v>
      </c>
      <c r="F60" s="23" t="str">
        <f t="shared" si="0"/>
        <v>rtdc.l.rtdc.4018:itc</v>
      </c>
      <c r="G60" s="8">
        <f t="shared" si="1"/>
        <v>42636.356400462966</v>
      </c>
    </row>
    <row r="61" spans="1:7" x14ac:dyDescent="0.25">
      <c r="A61" s="8">
        <v>42636.358391203707</v>
      </c>
      <c r="B61" s="23" t="s">
        <v>164</v>
      </c>
      <c r="C61" s="23" t="s">
        <v>445</v>
      </c>
      <c r="D61" s="23">
        <v>1830000</v>
      </c>
      <c r="E61" s="23" t="s">
        <v>331</v>
      </c>
      <c r="F61" s="23" t="str">
        <f t="shared" si="0"/>
        <v>rtdc.l.rtdc.4019:itc</v>
      </c>
      <c r="G61" s="8">
        <f t="shared" si="1"/>
        <v>42636.358391203707</v>
      </c>
    </row>
    <row r="62" spans="1:7" x14ac:dyDescent="0.25">
      <c r="A62" s="8">
        <v>42636.360266203701</v>
      </c>
      <c r="B62" s="23" t="s">
        <v>239</v>
      </c>
      <c r="C62" s="23" t="s">
        <v>446</v>
      </c>
      <c r="D62" s="23">
        <v>2010000</v>
      </c>
      <c r="E62" s="23" t="s">
        <v>304</v>
      </c>
      <c r="F62" s="23" t="str">
        <f t="shared" si="0"/>
        <v>rtdc.l.rtdc.4044:itc</v>
      </c>
      <c r="G62" s="8">
        <f t="shared" si="1"/>
        <v>42636.360266203701</v>
      </c>
    </row>
    <row r="63" spans="1:7" x14ac:dyDescent="0.25">
      <c r="A63" s="8">
        <v>42636.360995370371</v>
      </c>
      <c r="B63" s="23" t="s">
        <v>423</v>
      </c>
      <c r="C63" s="23" t="s">
        <v>447</v>
      </c>
      <c r="D63" s="23">
        <v>1310000</v>
      </c>
      <c r="E63" s="23" t="s">
        <v>329</v>
      </c>
      <c r="F63" s="23" t="str">
        <f t="shared" si="0"/>
        <v>rtdc.l.rtdc.4039:itc</v>
      </c>
      <c r="G63" s="8">
        <f t="shared" si="1"/>
        <v>42636.360995370371</v>
      </c>
    </row>
    <row r="64" spans="1:7" x14ac:dyDescent="0.25">
      <c r="A64" s="29">
        <v>42636.370393518519</v>
      </c>
      <c r="B64" s="23" t="s">
        <v>404</v>
      </c>
      <c r="C64" s="23" t="s">
        <v>448</v>
      </c>
      <c r="D64" s="23">
        <v>1190000</v>
      </c>
      <c r="E64" s="23" t="s">
        <v>396</v>
      </c>
      <c r="F64" s="23" t="str">
        <f t="shared" si="0"/>
        <v>rtdc.l.rtdc.4015:itc</v>
      </c>
      <c r="G64" s="8">
        <f t="shared" si="1"/>
        <v>42636.370393518519</v>
      </c>
    </row>
    <row r="65" spans="1:7" x14ac:dyDescent="0.25">
      <c r="A65" s="8">
        <v>42636.371886574074</v>
      </c>
      <c r="B65" s="23" t="s">
        <v>306</v>
      </c>
      <c r="C65" s="23" t="s">
        <v>449</v>
      </c>
      <c r="D65" s="23">
        <v>900000</v>
      </c>
      <c r="E65" s="23" t="s">
        <v>282</v>
      </c>
      <c r="F65" s="23" t="str">
        <f t="shared" si="0"/>
        <v>rtdc.l.rtdc.4027:itc</v>
      </c>
      <c r="G65" s="8">
        <f t="shared" si="1"/>
        <v>42636.371886574074</v>
      </c>
    </row>
    <row r="66" spans="1:7" x14ac:dyDescent="0.25">
      <c r="A66" s="8">
        <v>42636.376168981478</v>
      </c>
      <c r="B66" s="23" t="s">
        <v>247</v>
      </c>
      <c r="C66" s="23" t="s">
        <v>450</v>
      </c>
      <c r="D66" s="23">
        <v>1100000</v>
      </c>
      <c r="E66" s="23" t="s">
        <v>281</v>
      </c>
      <c r="F66" s="23" t="str">
        <f t="shared" ref="F66:F129" si="2">B66</f>
        <v>rtdc.l.rtdc.4004:itc</v>
      </c>
      <c r="G66" s="8">
        <f t="shared" ref="G66:G129" si="3">A66</f>
        <v>42636.376168981478</v>
      </c>
    </row>
    <row r="67" spans="1:7" x14ac:dyDescent="0.25">
      <c r="A67" s="8">
        <v>42636.379745370374</v>
      </c>
      <c r="B67" s="23" t="s">
        <v>165</v>
      </c>
      <c r="C67" s="23" t="s">
        <v>451</v>
      </c>
      <c r="D67" s="23">
        <v>1830000</v>
      </c>
      <c r="E67" s="23" t="s">
        <v>331</v>
      </c>
      <c r="F67" s="23" t="str">
        <f t="shared" si="2"/>
        <v>rtdc.l.rtdc.4020:itc</v>
      </c>
      <c r="G67" s="8">
        <f t="shared" si="3"/>
        <v>42636.379745370374</v>
      </c>
    </row>
    <row r="68" spans="1:7" x14ac:dyDescent="0.25">
      <c r="A68" s="8">
        <v>42636.384131944447</v>
      </c>
      <c r="B68" s="23" t="s">
        <v>328</v>
      </c>
      <c r="C68" s="23" t="s">
        <v>452</v>
      </c>
      <c r="D68" s="23">
        <v>1990000</v>
      </c>
      <c r="E68" s="23" t="s">
        <v>391</v>
      </c>
      <c r="F68" s="23" t="str">
        <f t="shared" si="2"/>
        <v>rtdc.l.rtdc.4029:itc</v>
      </c>
      <c r="G68" s="8">
        <f t="shared" si="3"/>
        <v>42636.384131944447</v>
      </c>
    </row>
    <row r="69" spans="1:7" x14ac:dyDescent="0.25">
      <c r="A69" s="8">
        <v>42636.390057870369</v>
      </c>
      <c r="B69" s="23" t="s">
        <v>253</v>
      </c>
      <c r="C69" s="23" t="s">
        <v>453</v>
      </c>
      <c r="D69" s="23">
        <v>1090000</v>
      </c>
      <c r="E69" s="23" t="s">
        <v>261</v>
      </c>
      <c r="F69" s="23" t="str">
        <f t="shared" si="2"/>
        <v>rtdc.l.rtdc.4012:itc</v>
      </c>
      <c r="G69" s="8">
        <f t="shared" si="3"/>
        <v>42636.390057870369</v>
      </c>
    </row>
    <row r="70" spans="1:7" x14ac:dyDescent="0.25">
      <c r="A70" s="8">
        <v>42636.394884259258</v>
      </c>
      <c r="B70" s="23" t="s">
        <v>393</v>
      </c>
      <c r="C70" s="23" t="s">
        <v>454</v>
      </c>
      <c r="D70" s="23">
        <v>1310000</v>
      </c>
      <c r="E70" s="23" t="s">
        <v>329</v>
      </c>
      <c r="F70" s="23" t="str">
        <f t="shared" si="2"/>
        <v>rtdc.l.rtdc.4040:itc</v>
      </c>
      <c r="G70" s="8">
        <f t="shared" si="3"/>
        <v>42636.394884259258</v>
      </c>
    </row>
    <row r="71" spans="1:7" x14ac:dyDescent="0.25">
      <c r="A71" s="8">
        <v>42636.395543981482</v>
      </c>
      <c r="B71" s="23" t="s">
        <v>240</v>
      </c>
      <c r="C71" s="23" t="s">
        <v>455</v>
      </c>
      <c r="D71" s="23">
        <v>2010000</v>
      </c>
      <c r="E71" s="23" t="s">
        <v>304</v>
      </c>
      <c r="F71" s="23" t="str">
        <f t="shared" si="2"/>
        <v>rtdc.l.rtdc.4043:itc</v>
      </c>
      <c r="G71" s="8">
        <f t="shared" si="3"/>
        <v>42636.395543981482</v>
      </c>
    </row>
    <row r="72" spans="1:7" x14ac:dyDescent="0.25">
      <c r="A72" s="8">
        <v>42636.400023148148</v>
      </c>
      <c r="B72" s="23" t="s">
        <v>164</v>
      </c>
      <c r="C72" s="23" t="s">
        <v>456</v>
      </c>
      <c r="D72" s="23">
        <v>1830000</v>
      </c>
      <c r="E72" s="23" t="s">
        <v>331</v>
      </c>
      <c r="F72" s="23" t="str">
        <f t="shared" si="2"/>
        <v>rtdc.l.rtdc.4019:itc</v>
      </c>
      <c r="G72" s="8">
        <f t="shared" si="3"/>
        <v>42636.400023148148</v>
      </c>
    </row>
    <row r="73" spans="1:7" x14ac:dyDescent="0.25">
      <c r="A73" s="8">
        <v>42636.403321759259</v>
      </c>
      <c r="B73" s="23" t="s">
        <v>305</v>
      </c>
      <c r="C73" s="23" t="s">
        <v>457</v>
      </c>
      <c r="D73" s="23">
        <v>1190000</v>
      </c>
      <c r="E73" s="23" t="s">
        <v>396</v>
      </c>
      <c r="F73" s="23" t="str">
        <f t="shared" si="2"/>
        <v>rtdc.l.rtdc.4016:itc</v>
      </c>
      <c r="G73" s="8">
        <f t="shared" si="3"/>
        <v>42636.403321759259</v>
      </c>
    </row>
    <row r="74" spans="1:7" x14ac:dyDescent="0.25">
      <c r="A74" s="8">
        <v>42636.403391203705</v>
      </c>
      <c r="B74" s="23" t="s">
        <v>309</v>
      </c>
      <c r="C74" s="23" t="s">
        <v>458</v>
      </c>
      <c r="D74" s="23">
        <v>900000</v>
      </c>
      <c r="E74" s="23" t="s">
        <v>282</v>
      </c>
      <c r="F74" s="23" t="str">
        <f t="shared" si="2"/>
        <v>rtdc.l.rtdc.4028:itc</v>
      </c>
      <c r="G74" s="8">
        <f t="shared" si="3"/>
        <v>42636.403391203705</v>
      </c>
    </row>
    <row r="75" spans="1:7" x14ac:dyDescent="0.25">
      <c r="A75" s="8">
        <v>42636.412581018521</v>
      </c>
      <c r="B75" s="23" t="s">
        <v>309</v>
      </c>
      <c r="C75" s="23" t="s">
        <v>458</v>
      </c>
      <c r="D75" s="23">
        <v>900000</v>
      </c>
      <c r="E75" s="23" t="s">
        <v>282</v>
      </c>
      <c r="F75" s="23" t="str">
        <f t="shared" si="2"/>
        <v>rtdc.l.rtdc.4028:itc</v>
      </c>
      <c r="G75" s="8">
        <f t="shared" si="3"/>
        <v>42636.412581018521</v>
      </c>
    </row>
    <row r="76" spans="1:7" x14ac:dyDescent="0.25">
      <c r="A76" s="8">
        <v>42636.414236111108</v>
      </c>
      <c r="B76" s="23" t="s">
        <v>165</v>
      </c>
      <c r="C76" s="23" t="s">
        <v>459</v>
      </c>
      <c r="D76" s="23">
        <v>1830000</v>
      </c>
      <c r="E76" s="23" t="s">
        <v>331</v>
      </c>
      <c r="F76" s="23" t="str">
        <f t="shared" si="2"/>
        <v>rtdc.l.rtdc.4020:itc</v>
      </c>
      <c r="G76" s="8">
        <f t="shared" si="3"/>
        <v>42636.414236111108</v>
      </c>
    </row>
    <row r="77" spans="1:7" x14ac:dyDescent="0.25">
      <c r="A77" s="8">
        <v>42636.41915509259</v>
      </c>
      <c r="B77" s="23" t="s">
        <v>246</v>
      </c>
      <c r="C77" s="23" t="s">
        <v>460</v>
      </c>
      <c r="D77" s="23">
        <v>1100000</v>
      </c>
      <c r="E77" s="23" t="s">
        <v>281</v>
      </c>
      <c r="F77" s="23" t="str">
        <f t="shared" si="2"/>
        <v>rtdc.l.rtdc.4003:itc</v>
      </c>
      <c r="G77" s="8">
        <f t="shared" si="3"/>
        <v>42636.41915509259</v>
      </c>
    </row>
    <row r="78" spans="1:7" x14ac:dyDescent="0.25">
      <c r="A78" s="8">
        <v>42636.420486111114</v>
      </c>
      <c r="B78" s="23" t="s">
        <v>332</v>
      </c>
      <c r="C78" s="23" t="s">
        <v>461</v>
      </c>
      <c r="D78" s="23">
        <v>1990000</v>
      </c>
      <c r="E78" s="23" t="s">
        <v>391</v>
      </c>
      <c r="F78" s="23" t="str">
        <f t="shared" si="2"/>
        <v>rtdc.l.rtdc.4030:itc</v>
      </c>
      <c r="G78" s="8">
        <f t="shared" si="3"/>
        <v>42636.420486111114</v>
      </c>
    </row>
    <row r="79" spans="1:7" x14ac:dyDescent="0.25">
      <c r="A79" s="8">
        <v>42636.425138888888</v>
      </c>
      <c r="B79" s="23" t="s">
        <v>252</v>
      </c>
      <c r="C79" s="23" t="s">
        <v>462</v>
      </c>
      <c r="D79" s="23">
        <v>1090000</v>
      </c>
      <c r="E79" s="23" t="s">
        <v>261</v>
      </c>
      <c r="F79" s="23" t="str">
        <f t="shared" si="2"/>
        <v>rtdc.l.rtdc.4011:itc</v>
      </c>
      <c r="G79" s="8">
        <f t="shared" si="3"/>
        <v>42636.425138888888</v>
      </c>
    </row>
    <row r="80" spans="1:7" x14ac:dyDescent="0.25">
      <c r="A80" s="8">
        <v>42636.429791666669</v>
      </c>
      <c r="B80" s="23" t="s">
        <v>287</v>
      </c>
      <c r="C80" s="23" t="s">
        <v>463</v>
      </c>
      <c r="D80" s="23">
        <v>880000</v>
      </c>
      <c r="E80" s="23" t="s">
        <v>464</v>
      </c>
      <c r="F80" s="23" t="str">
        <f t="shared" si="2"/>
        <v>rtdc.l.rtdc.4005:itc</v>
      </c>
      <c r="G80" s="8">
        <f t="shared" si="3"/>
        <v>42636.429791666669</v>
      </c>
    </row>
    <row r="81" spans="1:7" x14ac:dyDescent="0.25">
      <c r="A81" s="8">
        <v>42636.432951388888</v>
      </c>
      <c r="B81" s="23" t="s">
        <v>239</v>
      </c>
      <c r="C81" s="23" t="s">
        <v>465</v>
      </c>
      <c r="D81" s="23">
        <v>1760000</v>
      </c>
      <c r="E81" s="23" t="s">
        <v>307</v>
      </c>
      <c r="F81" s="23" t="str">
        <f t="shared" si="2"/>
        <v>rtdc.l.rtdc.4044:itc</v>
      </c>
      <c r="G81" s="8">
        <f t="shared" si="3"/>
        <v>42636.432951388888</v>
      </c>
    </row>
    <row r="82" spans="1:7" x14ac:dyDescent="0.25">
      <c r="A82" s="8">
        <v>42636.433541666665</v>
      </c>
      <c r="B82" s="23" t="s">
        <v>423</v>
      </c>
      <c r="C82" s="23" t="s">
        <v>466</v>
      </c>
      <c r="D82" s="23">
        <v>1310000</v>
      </c>
      <c r="E82" s="23" t="s">
        <v>329</v>
      </c>
      <c r="F82" s="23" t="str">
        <f t="shared" si="2"/>
        <v>rtdc.l.rtdc.4039:itc</v>
      </c>
      <c r="G82" s="8">
        <f t="shared" si="3"/>
        <v>42636.433541666665</v>
      </c>
    </row>
    <row r="83" spans="1:7" x14ac:dyDescent="0.25">
      <c r="A83" s="8">
        <v>42636.440775462965</v>
      </c>
      <c r="B83" s="23" t="s">
        <v>404</v>
      </c>
      <c r="C83" s="23" t="s">
        <v>467</v>
      </c>
      <c r="D83" s="23">
        <v>1190000</v>
      </c>
      <c r="E83" s="23" t="s">
        <v>396</v>
      </c>
      <c r="F83" s="23" t="str">
        <f t="shared" si="2"/>
        <v>rtdc.l.rtdc.4015:itc</v>
      </c>
      <c r="G83" s="8">
        <f t="shared" si="3"/>
        <v>42636.440775462965</v>
      </c>
    </row>
    <row r="84" spans="1:7" x14ac:dyDescent="0.25">
      <c r="A84" s="8">
        <v>42636.44195601852</v>
      </c>
      <c r="B84" s="23" t="s">
        <v>164</v>
      </c>
      <c r="C84" s="23" t="s">
        <v>468</v>
      </c>
      <c r="D84" s="23">
        <v>1830000</v>
      </c>
      <c r="E84" s="23" t="s">
        <v>331</v>
      </c>
      <c r="F84" s="23" t="str">
        <f t="shared" si="2"/>
        <v>rtdc.l.rtdc.4019:itc</v>
      </c>
      <c r="G84" s="8">
        <f t="shared" si="3"/>
        <v>42636.44195601852</v>
      </c>
    </row>
    <row r="85" spans="1:7" x14ac:dyDescent="0.25">
      <c r="A85" s="8">
        <v>42636.443206018521</v>
      </c>
      <c r="B85" s="23" t="s">
        <v>306</v>
      </c>
      <c r="C85" s="23" t="s">
        <v>469</v>
      </c>
      <c r="D85" s="23">
        <v>900000</v>
      </c>
      <c r="E85" s="23" t="s">
        <v>282</v>
      </c>
      <c r="F85" s="23" t="str">
        <f t="shared" si="2"/>
        <v>rtdc.l.rtdc.4027:itc</v>
      </c>
      <c r="G85" s="8">
        <f t="shared" si="3"/>
        <v>42636.443206018521</v>
      </c>
    </row>
    <row r="86" spans="1:7" x14ac:dyDescent="0.25">
      <c r="A86" s="8">
        <v>42636.449780092589</v>
      </c>
      <c r="B86" s="23" t="s">
        <v>247</v>
      </c>
      <c r="C86" s="23" t="s">
        <v>470</v>
      </c>
      <c r="D86" s="23">
        <v>1100000</v>
      </c>
      <c r="E86" s="23" t="s">
        <v>281</v>
      </c>
      <c r="F86" s="23" t="str">
        <f t="shared" si="2"/>
        <v>rtdc.l.rtdc.4004:itc</v>
      </c>
      <c r="G86" s="8">
        <f t="shared" si="3"/>
        <v>42636.449780092589</v>
      </c>
    </row>
    <row r="87" spans="1:7" x14ac:dyDescent="0.25">
      <c r="A87" s="8">
        <v>42636.455451388887</v>
      </c>
      <c r="B87" s="23" t="s">
        <v>165</v>
      </c>
      <c r="C87" s="23" t="s">
        <v>471</v>
      </c>
      <c r="D87" s="23">
        <v>1830000</v>
      </c>
      <c r="E87" s="23" t="s">
        <v>331</v>
      </c>
      <c r="F87" s="23" t="str">
        <f t="shared" si="2"/>
        <v>rtdc.l.rtdc.4020:itc</v>
      </c>
      <c r="G87" s="8">
        <f t="shared" si="3"/>
        <v>42636.455451388887</v>
      </c>
    </row>
    <row r="88" spans="1:7" x14ac:dyDescent="0.25">
      <c r="A88" s="8">
        <v>42636.457488425927</v>
      </c>
      <c r="B88" s="23" t="s">
        <v>328</v>
      </c>
      <c r="C88" s="23" t="s">
        <v>472</v>
      </c>
      <c r="D88" s="23">
        <v>880000</v>
      </c>
      <c r="E88" s="23" t="s">
        <v>464</v>
      </c>
      <c r="F88" s="23" t="str">
        <f t="shared" si="2"/>
        <v>rtdc.l.rtdc.4029:itc</v>
      </c>
      <c r="G88" s="8">
        <f t="shared" si="3"/>
        <v>42636.457488425927</v>
      </c>
    </row>
    <row r="89" spans="1:7" x14ac:dyDescent="0.25">
      <c r="A89" s="8">
        <v>42636.460532407407</v>
      </c>
      <c r="B89" s="23" t="s">
        <v>253</v>
      </c>
      <c r="C89" s="23" t="s">
        <v>473</v>
      </c>
      <c r="D89" s="23">
        <v>1090000</v>
      </c>
      <c r="E89" s="23" t="s">
        <v>261</v>
      </c>
      <c r="F89" s="23" t="str">
        <f t="shared" si="2"/>
        <v>rtdc.l.rtdc.4012:itc</v>
      </c>
      <c r="G89" s="8">
        <f t="shared" si="3"/>
        <v>42636.460532407407</v>
      </c>
    </row>
    <row r="90" spans="1:7" x14ac:dyDescent="0.25">
      <c r="A90" s="8">
        <v>42636.463206018518</v>
      </c>
      <c r="B90" s="23" t="s">
        <v>474</v>
      </c>
      <c r="C90" s="23" t="s">
        <v>475</v>
      </c>
      <c r="D90" s="23">
        <v>2040000</v>
      </c>
      <c r="E90" s="23" t="s">
        <v>310</v>
      </c>
      <c r="F90" s="23" t="str">
        <f t="shared" si="2"/>
        <v>rtdc.l.rtdc.4021:itc</v>
      </c>
      <c r="G90" s="8">
        <f t="shared" si="3"/>
        <v>42636.463206018518</v>
      </c>
    </row>
    <row r="91" spans="1:7" x14ac:dyDescent="0.25">
      <c r="A91" s="8">
        <v>42636.467511574076</v>
      </c>
      <c r="B91" s="23" t="s">
        <v>393</v>
      </c>
      <c r="C91" s="23" t="s">
        <v>476</v>
      </c>
      <c r="D91" s="23">
        <v>930000</v>
      </c>
      <c r="E91" s="23" t="s">
        <v>477</v>
      </c>
      <c r="F91" s="23" t="str">
        <f t="shared" si="2"/>
        <v>rtdc.l.rtdc.4040:itc</v>
      </c>
      <c r="G91" s="8">
        <f t="shared" si="3"/>
        <v>42636.467511574076</v>
      </c>
    </row>
    <row r="92" spans="1:7" x14ac:dyDescent="0.25">
      <c r="A92" s="8">
        <v>42636.471296296295</v>
      </c>
      <c r="B92" s="23" t="s">
        <v>285</v>
      </c>
      <c r="C92" s="23" t="s">
        <v>478</v>
      </c>
      <c r="D92" s="23">
        <v>1240000</v>
      </c>
      <c r="E92" s="23" t="s">
        <v>333</v>
      </c>
      <c r="F92" s="23" t="str">
        <f t="shared" si="2"/>
        <v>rtdc.l.rtdc.4006:itc</v>
      </c>
      <c r="G92" s="8">
        <f t="shared" si="3"/>
        <v>42636.471296296295</v>
      </c>
    </row>
    <row r="93" spans="1:7" x14ac:dyDescent="0.25">
      <c r="A93" s="8">
        <v>42636.471504629626</v>
      </c>
      <c r="B93" s="23" t="s">
        <v>240</v>
      </c>
      <c r="C93" s="23" t="s">
        <v>479</v>
      </c>
      <c r="D93" s="23">
        <v>1760000</v>
      </c>
      <c r="E93" s="23" t="s">
        <v>307</v>
      </c>
      <c r="F93" s="23" t="str">
        <f t="shared" si="2"/>
        <v>rtdc.l.rtdc.4043:itc</v>
      </c>
      <c r="G93" s="8">
        <f t="shared" si="3"/>
        <v>42636.471504629626</v>
      </c>
    </row>
    <row r="94" spans="1:7" x14ac:dyDescent="0.25">
      <c r="A94" s="8">
        <v>42636.475300925929</v>
      </c>
      <c r="B94" s="23" t="s">
        <v>305</v>
      </c>
      <c r="C94" s="23" t="s">
        <v>480</v>
      </c>
      <c r="D94" s="23">
        <v>940000</v>
      </c>
      <c r="E94" s="23" t="s">
        <v>481</v>
      </c>
      <c r="F94" s="23" t="str">
        <f t="shared" si="2"/>
        <v>rtdc.l.rtdc.4016:itc</v>
      </c>
      <c r="G94" s="8">
        <f t="shared" si="3"/>
        <v>42636.475300925929</v>
      </c>
    </row>
    <row r="95" spans="1:7" x14ac:dyDescent="0.25">
      <c r="A95" s="8">
        <v>42636.480925925927</v>
      </c>
      <c r="B95" s="23" t="s">
        <v>309</v>
      </c>
      <c r="C95" s="23" t="s">
        <v>482</v>
      </c>
      <c r="D95" s="23">
        <v>900000</v>
      </c>
      <c r="E95" s="23" t="s">
        <v>282</v>
      </c>
      <c r="F95" s="23" t="str">
        <f t="shared" si="2"/>
        <v>rtdc.l.rtdc.4028:itc</v>
      </c>
      <c r="G95" s="8">
        <f t="shared" si="3"/>
        <v>42636.480925925927</v>
      </c>
    </row>
    <row r="96" spans="1:7" x14ac:dyDescent="0.25">
      <c r="A96" s="8">
        <v>42636.485243055555</v>
      </c>
      <c r="B96" s="23" t="s">
        <v>164</v>
      </c>
      <c r="C96" s="23" t="s">
        <v>483</v>
      </c>
      <c r="D96" s="23">
        <v>1830000</v>
      </c>
      <c r="E96" s="23" t="s">
        <v>331</v>
      </c>
      <c r="F96" s="23" t="str">
        <f t="shared" si="2"/>
        <v>rtdc.l.rtdc.4019:itc</v>
      </c>
      <c r="G96" s="8">
        <f t="shared" si="3"/>
        <v>42636.485243055555</v>
      </c>
    </row>
    <row r="97" spans="1:7" x14ac:dyDescent="0.25">
      <c r="A97" s="8">
        <v>42636.487696759257</v>
      </c>
      <c r="B97" s="23" t="s">
        <v>246</v>
      </c>
      <c r="C97" s="23" t="s">
        <v>484</v>
      </c>
      <c r="D97" s="23">
        <v>2040000</v>
      </c>
      <c r="E97" s="23" t="s">
        <v>310</v>
      </c>
      <c r="F97" s="23" t="str">
        <f t="shared" si="2"/>
        <v>rtdc.l.rtdc.4003:itc</v>
      </c>
      <c r="G97" s="8">
        <f t="shared" si="3"/>
        <v>42636.487696759257</v>
      </c>
    </row>
    <row r="98" spans="1:7" x14ac:dyDescent="0.25">
      <c r="A98" s="8">
        <v>42636.504918981482</v>
      </c>
      <c r="B98" s="23" t="s">
        <v>423</v>
      </c>
      <c r="C98" s="23" t="s">
        <v>485</v>
      </c>
      <c r="D98" s="23">
        <v>930000</v>
      </c>
      <c r="E98" s="23" t="s">
        <v>477</v>
      </c>
      <c r="F98" s="23" t="str">
        <f t="shared" si="2"/>
        <v>rtdc.l.rtdc.4039:itc</v>
      </c>
      <c r="G98" s="8">
        <f t="shared" si="3"/>
        <v>42636.504918981482</v>
      </c>
    </row>
    <row r="99" spans="1:7" x14ac:dyDescent="0.25">
      <c r="A99" s="8">
        <v>42636.510381944441</v>
      </c>
      <c r="B99" s="23" t="s">
        <v>239</v>
      </c>
      <c r="C99" s="23" t="s">
        <v>486</v>
      </c>
      <c r="D99" s="23">
        <v>2020000</v>
      </c>
      <c r="E99" s="23" t="s">
        <v>335</v>
      </c>
      <c r="F99" s="23" t="str">
        <f t="shared" si="2"/>
        <v>rtdc.l.rtdc.4044:itc</v>
      </c>
      <c r="G99" s="8">
        <f t="shared" si="3"/>
        <v>42636.510381944441</v>
      </c>
    </row>
    <row r="100" spans="1:7" x14ac:dyDescent="0.25">
      <c r="A100" s="8">
        <v>42636.513113425928</v>
      </c>
      <c r="B100" s="23" t="s">
        <v>165</v>
      </c>
      <c r="C100" s="23" t="s">
        <v>487</v>
      </c>
      <c r="D100" s="23">
        <v>1830000</v>
      </c>
      <c r="E100" s="23" t="s">
        <v>331</v>
      </c>
      <c r="F100" s="23" t="str">
        <f t="shared" si="2"/>
        <v>rtdc.l.rtdc.4020:itc</v>
      </c>
      <c r="G100" s="8">
        <f t="shared" si="3"/>
        <v>42636.513113425928</v>
      </c>
    </row>
    <row r="101" spans="1:7" x14ac:dyDescent="0.25">
      <c r="A101" s="8">
        <v>42636.514884259261</v>
      </c>
      <c r="B101" s="23" t="s">
        <v>404</v>
      </c>
      <c r="C101" s="23" t="s">
        <v>488</v>
      </c>
      <c r="D101" s="23">
        <v>940000</v>
      </c>
      <c r="E101" s="23" t="s">
        <v>481</v>
      </c>
      <c r="F101" s="23" t="str">
        <f t="shared" si="2"/>
        <v>rtdc.l.rtdc.4015:itc</v>
      </c>
      <c r="G101" s="8">
        <f t="shared" si="3"/>
        <v>42636.514884259261</v>
      </c>
    </row>
    <row r="102" spans="1:7" x14ac:dyDescent="0.25">
      <c r="A102" s="8">
        <v>42636.519618055558</v>
      </c>
      <c r="B102" s="23" t="s">
        <v>306</v>
      </c>
      <c r="C102" s="23" t="s">
        <v>489</v>
      </c>
      <c r="D102" s="23">
        <v>140000</v>
      </c>
      <c r="E102" s="23" t="s">
        <v>263</v>
      </c>
      <c r="F102" s="23" t="str">
        <f t="shared" si="2"/>
        <v>rtdc.l.rtdc.4027:itc</v>
      </c>
      <c r="G102" s="8">
        <f t="shared" si="3"/>
        <v>42636.519618055558</v>
      </c>
    </row>
    <row r="103" spans="1:7" x14ac:dyDescent="0.25">
      <c r="A103" s="8">
        <v>42636.526122685187</v>
      </c>
      <c r="B103" s="23" t="s">
        <v>164</v>
      </c>
      <c r="C103" s="23" t="s">
        <v>490</v>
      </c>
      <c r="D103" s="23">
        <v>1830000</v>
      </c>
      <c r="E103" s="23" t="s">
        <v>331</v>
      </c>
      <c r="F103" s="23" t="str">
        <f t="shared" si="2"/>
        <v>rtdc.l.rtdc.4019:itc</v>
      </c>
      <c r="G103" s="8">
        <f t="shared" si="3"/>
        <v>42636.526122685187</v>
      </c>
    </row>
    <row r="104" spans="1:7" x14ac:dyDescent="0.25">
      <c r="A104" s="8">
        <v>42636.526782407411</v>
      </c>
      <c r="B104" s="23" t="s">
        <v>247</v>
      </c>
      <c r="C104" s="23" t="s">
        <v>491</v>
      </c>
      <c r="D104" s="23">
        <v>2040000</v>
      </c>
      <c r="E104" s="23" t="s">
        <v>310</v>
      </c>
      <c r="F104" s="23" t="str">
        <f t="shared" si="2"/>
        <v>rtdc.l.rtdc.4004:itc</v>
      </c>
      <c r="G104" s="8">
        <f t="shared" si="3"/>
        <v>42636.526782407411</v>
      </c>
    </row>
    <row r="105" spans="1:7" x14ac:dyDescent="0.25">
      <c r="A105" s="8">
        <v>42636.528310185182</v>
      </c>
      <c r="B105" s="23" t="s">
        <v>253</v>
      </c>
      <c r="C105" s="23" t="s">
        <v>492</v>
      </c>
      <c r="D105" s="23">
        <v>2150000</v>
      </c>
      <c r="E105" s="23" t="s">
        <v>493</v>
      </c>
      <c r="F105" s="23" t="str">
        <f t="shared" si="2"/>
        <v>rtdc.l.rtdc.4012:itc</v>
      </c>
      <c r="G105" s="8">
        <f t="shared" si="3"/>
        <v>42636.528310185182</v>
      </c>
    </row>
    <row r="106" spans="1:7" x14ac:dyDescent="0.25">
      <c r="A106" s="8">
        <v>42636.529861111114</v>
      </c>
      <c r="B106" s="23" t="s">
        <v>328</v>
      </c>
      <c r="C106" s="23" t="s">
        <v>494</v>
      </c>
      <c r="D106" s="23">
        <v>880000</v>
      </c>
      <c r="E106" s="23" t="s">
        <v>464</v>
      </c>
      <c r="F106" s="23" t="str">
        <f t="shared" si="2"/>
        <v>rtdc.l.rtdc.4029:itc</v>
      </c>
      <c r="G106" s="8">
        <f t="shared" si="3"/>
        <v>42636.529861111114</v>
      </c>
    </row>
    <row r="107" spans="1:7" x14ac:dyDescent="0.25">
      <c r="A107" s="8">
        <v>42636.539155092592</v>
      </c>
      <c r="B107" s="23" t="s">
        <v>393</v>
      </c>
      <c r="C107" s="23" t="s">
        <v>495</v>
      </c>
      <c r="D107" s="23">
        <v>930000</v>
      </c>
      <c r="E107" s="23" t="s">
        <v>477</v>
      </c>
      <c r="F107" s="23" t="str">
        <f t="shared" si="2"/>
        <v>rtdc.l.rtdc.4040:itc</v>
      </c>
      <c r="G107" s="8">
        <f t="shared" si="3"/>
        <v>42636.539155092592</v>
      </c>
    </row>
    <row r="108" spans="1:7" x14ac:dyDescent="0.25">
      <c r="A108" s="8">
        <v>42636.544074074074</v>
      </c>
      <c r="B108" s="23" t="s">
        <v>240</v>
      </c>
      <c r="C108" s="23" t="s">
        <v>496</v>
      </c>
      <c r="D108" s="23">
        <v>2020000</v>
      </c>
      <c r="E108" s="23" t="s">
        <v>335</v>
      </c>
      <c r="F108" s="23" t="str">
        <f t="shared" si="2"/>
        <v>rtdc.l.rtdc.4043:itc</v>
      </c>
      <c r="G108" s="8">
        <f t="shared" si="3"/>
        <v>42636.544074074074</v>
      </c>
    </row>
    <row r="109" spans="1:7" x14ac:dyDescent="0.25">
      <c r="A109" s="8">
        <v>42636.547511574077</v>
      </c>
      <c r="B109" s="23" t="s">
        <v>305</v>
      </c>
      <c r="C109" s="23" t="s">
        <v>497</v>
      </c>
      <c r="D109" s="23">
        <v>940000</v>
      </c>
      <c r="E109" s="23" t="s">
        <v>481</v>
      </c>
      <c r="F109" s="23" t="str">
        <f t="shared" si="2"/>
        <v>rtdc.l.rtdc.4016:itc</v>
      </c>
      <c r="G109" s="8">
        <f t="shared" si="3"/>
        <v>42636.547511574077</v>
      </c>
    </row>
    <row r="110" spans="1:7" x14ac:dyDescent="0.25">
      <c r="A110" s="8">
        <v>42636.55265046296</v>
      </c>
      <c r="B110" s="23" t="s">
        <v>165</v>
      </c>
      <c r="C110" s="23" t="s">
        <v>498</v>
      </c>
      <c r="D110" s="23">
        <v>1540000</v>
      </c>
      <c r="E110" s="23" t="s">
        <v>284</v>
      </c>
      <c r="F110" s="23" t="str">
        <f t="shared" si="2"/>
        <v>rtdc.l.rtdc.4020:itc</v>
      </c>
      <c r="G110" s="8">
        <f t="shared" si="3"/>
        <v>42636.55265046296</v>
      </c>
    </row>
    <row r="111" spans="1:7" x14ac:dyDescent="0.25">
      <c r="A111" s="8">
        <v>42636.555358796293</v>
      </c>
      <c r="B111" s="23" t="s">
        <v>309</v>
      </c>
      <c r="C111" s="23" t="s">
        <v>499</v>
      </c>
      <c r="D111" s="23">
        <v>140000</v>
      </c>
      <c r="E111" s="23" t="s">
        <v>263</v>
      </c>
      <c r="F111" s="23" t="str">
        <f t="shared" si="2"/>
        <v>rtdc.l.rtdc.4028:itc</v>
      </c>
      <c r="G111" s="8">
        <f t="shared" si="3"/>
        <v>42636.555358796293</v>
      </c>
    </row>
    <row r="112" spans="1:7" x14ac:dyDescent="0.25">
      <c r="A112" s="8">
        <v>42636.559490740743</v>
      </c>
      <c r="B112" s="23" t="s">
        <v>246</v>
      </c>
      <c r="C112" s="23" t="s">
        <v>500</v>
      </c>
      <c r="D112" s="23">
        <v>2040000</v>
      </c>
      <c r="E112" s="23" t="s">
        <v>310</v>
      </c>
      <c r="F112" s="23" t="str">
        <f t="shared" si="2"/>
        <v>rtdc.l.rtdc.4003:itc</v>
      </c>
      <c r="G112" s="8">
        <f t="shared" si="3"/>
        <v>42636.559490740743</v>
      </c>
    </row>
    <row r="113" spans="1:7" x14ac:dyDescent="0.25">
      <c r="A113" s="8">
        <v>42636.567650462966</v>
      </c>
      <c r="B113" s="23" t="s">
        <v>332</v>
      </c>
      <c r="C113" s="23" t="s">
        <v>501</v>
      </c>
      <c r="D113" s="23">
        <v>880000</v>
      </c>
      <c r="E113" s="23" t="s">
        <v>464</v>
      </c>
      <c r="F113" s="23" t="str">
        <f t="shared" si="2"/>
        <v>rtdc.l.rtdc.4030:itc</v>
      </c>
      <c r="G113" s="8">
        <f t="shared" si="3"/>
        <v>42636.567650462966</v>
      </c>
    </row>
    <row r="114" spans="1:7" x14ac:dyDescent="0.25">
      <c r="A114" s="8">
        <v>42636.56958333333</v>
      </c>
      <c r="B114" s="23" t="s">
        <v>164</v>
      </c>
      <c r="C114" s="23" t="s">
        <v>502</v>
      </c>
      <c r="D114" s="23">
        <v>1540000</v>
      </c>
      <c r="E114" s="23" t="s">
        <v>284</v>
      </c>
      <c r="F114" s="23" t="str">
        <f t="shared" si="2"/>
        <v>rtdc.l.rtdc.4019:itc</v>
      </c>
      <c r="G114" s="8">
        <f t="shared" si="3"/>
        <v>42636.56958333333</v>
      </c>
    </row>
    <row r="115" spans="1:7" x14ac:dyDescent="0.25">
      <c r="A115" s="8">
        <v>42636.57236111111</v>
      </c>
      <c r="B115" s="23" t="s">
        <v>252</v>
      </c>
      <c r="C115" s="23" t="s">
        <v>503</v>
      </c>
      <c r="D115" s="23">
        <v>2150000</v>
      </c>
      <c r="E115" s="23" t="s">
        <v>493</v>
      </c>
      <c r="F115" s="23" t="str">
        <f t="shared" si="2"/>
        <v>rtdc.l.rtdc.4011:itc</v>
      </c>
      <c r="G115" s="8">
        <f t="shared" si="3"/>
        <v>42636.57236111111</v>
      </c>
    </row>
    <row r="116" spans="1:7" x14ac:dyDescent="0.25">
      <c r="A116" s="8">
        <v>42636.578414351854</v>
      </c>
      <c r="B116" s="23" t="s">
        <v>423</v>
      </c>
      <c r="C116" s="23" t="s">
        <v>504</v>
      </c>
      <c r="D116" s="23">
        <v>930000</v>
      </c>
      <c r="E116" s="23" t="s">
        <v>477</v>
      </c>
      <c r="F116" s="23" t="str">
        <f t="shared" si="2"/>
        <v>rtdc.l.rtdc.4039:itc</v>
      </c>
      <c r="G116" s="8">
        <f t="shared" si="3"/>
        <v>42636.578414351854</v>
      </c>
    </row>
    <row r="117" spans="1:7" x14ac:dyDescent="0.25">
      <c r="A117" s="8">
        <v>42636.583865740744</v>
      </c>
      <c r="B117" s="23" t="s">
        <v>239</v>
      </c>
      <c r="C117" s="23" t="s">
        <v>505</v>
      </c>
      <c r="D117" s="23">
        <v>2020000</v>
      </c>
      <c r="E117" s="23" t="s">
        <v>335</v>
      </c>
      <c r="F117" s="23" t="str">
        <f t="shared" si="2"/>
        <v>rtdc.l.rtdc.4044:itc</v>
      </c>
      <c r="G117" s="8">
        <f t="shared" si="3"/>
        <v>42636.583865740744</v>
      </c>
    </row>
    <row r="118" spans="1:7" x14ac:dyDescent="0.25">
      <c r="A118" s="8">
        <v>42636.584780092591</v>
      </c>
      <c r="B118" s="23" t="s">
        <v>404</v>
      </c>
      <c r="C118" s="23" t="s">
        <v>506</v>
      </c>
      <c r="D118" s="23">
        <v>940000</v>
      </c>
      <c r="E118" s="23" t="s">
        <v>481</v>
      </c>
      <c r="F118" s="23" t="str">
        <f t="shared" si="2"/>
        <v>rtdc.l.rtdc.4015:itc</v>
      </c>
      <c r="G118" s="8">
        <f t="shared" si="3"/>
        <v>42636.584780092591</v>
      </c>
    </row>
    <row r="119" spans="1:7" x14ac:dyDescent="0.25">
      <c r="A119" s="8">
        <v>42636.593009259261</v>
      </c>
      <c r="B119" s="23" t="s">
        <v>306</v>
      </c>
      <c r="C119" s="23" t="s">
        <v>499</v>
      </c>
      <c r="D119" s="23">
        <v>140000</v>
      </c>
      <c r="E119" s="23" t="s">
        <v>263</v>
      </c>
      <c r="F119" s="23" t="str">
        <f t="shared" si="2"/>
        <v>rtdc.l.rtdc.4027:itc</v>
      </c>
      <c r="G119" s="8">
        <f t="shared" si="3"/>
        <v>42636.593009259261</v>
      </c>
    </row>
    <row r="120" spans="1:7" x14ac:dyDescent="0.25">
      <c r="A120" s="8">
        <v>42636.593680555554</v>
      </c>
      <c r="B120" s="23" t="s">
        <v>306</v>
      </c>
      <c r="C120" s="23" t="s">
        <v>507</v>
      </c>
      <c r="D120" s="23">
        <v>140000</v>
      </c>
      <c r="E120" s="23" t="s">
        <v>263</v>
      </c>
      <c r="F120" s="23" t="str">
        <f t="shared" si="2"/>
        <v>rtdc.l.rtdc.4027:itc</v>
      </c>
      <c r="G120" s="8">
        <f t="shared" si="3"/>
        <v>42636.593680555554</v>
      </c>
    </row>
    <row r="121" spans="1:7" x14ac:dyDescent="0.25">
      <c r="A121" s="8">
        <v>42636.595150462963</v>
      </c>
      <c r="B121" s="23" t="s">
        <v>165</v>
      </c>
      <c r="C121" s="23" t="s">
        <v>508</v>
      </c>
      <c r="D121" s="23">
        <v>1540000</v>
      </c>
      <c r="E121" s="23" t="s">
        <v>284</v>
      </c>
      <c r="F121" s="23" t="str">
        <f t="shared" si="2"/>
        <v>rtdc.l.rtdc.4020:itc</v>
      </c>
      <c r="G121" s="8">
        <f t="shared" si="3"/>
        <v>42636.595150462963</v>
      </c>
    </row>
    <row r="122" spans="1:7" x14ac:dyDescent="0.25">
      <c r="A122" s="8">
        <v>42636.597916666666</v>
      </c>
      <c r="B122" s="28" t="s">
        <v>247</v>
      </c>
      <c r="C122" s="23" t="s">
        <v>509</v>
      </c>
      <c r="D122" s="23">
        <v>2040000</v>
      </c>
      <c r="E122" s="23" t="s">
        <v>310</v>
      </c>
      <c r="F122" s="23" t="str">
        <f t="shared" si="2"/>
        <v>rtdc.l.rtdc.4004:itc</v>
      </c>
      <c r="G122" s="8">
        <f t="shared" si="3"/>
        <v>42636.597916666666</v>
      </c>
    </row>
    <row r="123" spans="1:7" x14ac:dyDescent="0.25">
      <c r="A123" s="8">
        <v>42636.601990740739</v>
      </c>
      <c r="B123" s="23" t="s">
        <v>306</v>
      </c>
      <c r="C123" s="23" t="s">
        <v>507</v>
      </c>
      <c r="D123" s="23">
        <v>140000</v>
      </c>
      <c r="E123" s="23" t="s">
        <v>263</v>
      </c>
      <c r="F123" s="23" t="str">
        <f t="shared" si="2"/>
        <v>rtdc.l.rtdc.4027:itc</v>
      </c>
      <c r="G123" s="8">
        <f t="shared" si="3"/>
        <v>42636.601990740739</v>
      </c>
    </row>
    <row r="124" spans="1:7" x14ac:dyDescent="0.25">
      <c r="A124" s="8">
        <v>42636.602685185186</v>
      </c>
      <c r="B124" s="23" t="s">
        <v>306</v>
      </c>
      <c r="C124" s="23" t="s">
        <v>507</v>
      </c>
      <c r="D124" s="23">
        <v>140000</v>
      </c>
      <c r="E124" s="23" t="s">
        <v>263</v>
      </c>
      <c r="F124" s="23" t="str">
        <f t="shared" si="2"/>
        <v>rtdc.l.rtdc.4027:itc</v>
      </c>
      <c r="G124" s="8">
        <f t="shared" si="3"/>
        <v>42636.602685185186</v>
      </c>
    </row>
    <row r="125" spans="1:7" x14ac:dyDescent="0.25">
      <c r="A125" s="8">
        <v>42636.603958333333</v>
      </c>
      <c r="B125" s="23" t="s">
        <v>328</v>
      </c>
      <c r="C125" s="23" t="s">
        <v>510</v>
      </c>
      <c r="D125" s="23">
        <v>880000</v>
      </c>
      <c r="E125" s="23" t="s">
        <v>464</v>
      </c>
      <c r="F125" s="23" t="str">
        <f t="shared" si="2"/>
        <v>rtdc.l.rtdc.4029:itc</v>
      </c>
      <c r="G125" s="8">
        <f t="shared" si="3"/>
        <v>42636.603958333333</v>
      </c>
    </row>
    <row r="126" spans="1:7" x14ac:dyDescent="0.25">
      <c r="A126" s="8">
        <v>42636.607210648152</v>
      </c>
      <c r="B126" s="23" t="s">
        <v>253</v>
      </c>
      <c r="C126" s="23" t="s">
        <v>511</v>
      </c>
      <c r="D126" s="23">
        <v>2150000</v>
      </c>
      <c r="E126" s="23" t="s">
        <v>493</v>
      </c>
      <c r="F126" s="23" t="str">
        <f t="shared" si="2"/>
        <v>rtdc.l.rtdc.4012:itc</v>
      </c>
      <c r="G126" s="8">
        <f t="shared" si="3"/>
        <v>42636.607210648152</v>
      </c>
    </row>
    <row r="127" spans="1:7" x14ac:dyDescent="0.25">
      <c r="A127" s="8">
        <v>42636.61042824074</v>
      </c>
      <c r="B127" s="23" t="s">
        <v>164</v>
      </c>
      <c r="C127" s="23" t="s">
        <v>512</v>
      </c>
      <c r="D127" s="23">
        <v>1540000</v>
      </c>
      <c r="E127" s="23" t="s">
        <v>284</v>
      </c>
      <c r="F127" s="23" t="str">
        <f t="shared" si="2"/>
        <v>rtdc.l.rtdc.4019:itc</v>
      </c>
      <c r="G127" s="8">
        <f t="shared" si="3"/>
        <v>42636.61042824074</v>
      </c>
    </row>
    <row r="128" spans="1:7" x14ac:dyDescent="0.25">
      <c r="A128" s="8">
        <v>42636.614282407405</v>
      </c>
      <c r="B128" s="23" t="s">
        <v>393</v>
      </c>
      <c r="C128" s="23" t="s">
        <v>513</v>
      </c>
      <c r="D128" s="23">
        <v>930000</v>
      </c>
      <c r="E128" s="23" t="s">
        <v>477</v>
      </c>
      <c r="F128" s="23" t="str">
        <f t="shared" si="2"/>
        <v>rtdc.l.rtdc.4040:itc</v>
      </c>
      <c r="G128" s="8">
        <f t="shared" si="3"/>
        <v>42636.614282407405</v>
      </c>
    </row>
    <row r="129" spans="1:7" x14ac:dyDescent="0.25">
      <c r="A129" s="8">
        <v>42636.617581018516</v>
      </c>
      <c r="B129" s="23" t="s">
        <v>240</v>
      </c>
      <c r="C129" s="23" t="s">
        <v>514</v>
      </c>
      <c r="D129" s="23">
        <v>2020000</v>
      </c>
      <c r="E129" s="23" t="s">
        <v>335</v>
      </c>
      <c r="F129" s="23" t="str">
        <f t="shared" si="2"/>
        <v>rtdc.l.rtdc.4043:itc</v>
      </c>
      <c r="G129" s="8">
        <f t="shared" si="3"/>
        <v>42636.617581018516</v>
      </c>
    </row>
    <row r="130" spans="1:7" x14ac:dyDescent="0.25">
      <c r="A130" s="8">
        <v>42636.622650462959</v>
      </c>
      <c r="B130" s="23" t="s">
        <v>305</v>
      </c>
      <c r="C130" s="23" t="s">
        <v>515</v>
      </c>
      <c r="D130" s="23">
        <v>940000</v>
      </c>
      <c r="E130" s="23" t="s">
        <v>481</v>
      </c>
      <c r="F130" s="23" t="str">
        <f t="shared" ref="F130:F193" si="4">B130</f>
        <v>rtdc.l.rtdc.4016:itc</v>
      </c>
      <c r="G130" s="8">
        <f t="shared" ref="G130:G193" si="5">A130</f>
        <v>42636.622650462959</v>
      </c>
    </row>
    <row r="131" spans="1:7" x14ac:dyDescent="0.25">
      <c r="A131" s="8">
        <v>42636.630937499998</v>
      </c>
      <c r="B131" s="23" t="s">
        <v>309</v>
      </c>
      <c r="C131" s="23" t="s">
        <v>516</v>
      </c>
      <c r="D131" s="23">
        <v>140000</v>
      </c>
      <c r="E131" s="23" t="s">
        <v>263</v>
      </c>
      <c r="F131" s="23" t="str">
        <f t="shared" si="4"/>
        <v>rtdc.l.rtdc.4028:itc</v>
      </c>
      <c r="G131" s="8">
        <f t="shared" si="5"/>
        <v>42636.630937499998</v>
      </c>
    </row>
    <row r="132" spans="1:7" x14ac:dyDescent="0.25">
      <c r="A132" s="8">
        <v>42636.632395833331</v>
      </c>
      <c r="B132" s="23" t="s">
        <v>309</v>
      </c>
      <c r="C132" s="23" t="s">
        <v>517</v>
      </c>
      <c r="D132" s="23">
        <v>1740000</v>
      </c>
      <c r="E132" s="23" t="s">
        <v>286</v>
      </c>
      <c r="F132" s="23" t="str">
        <f t="shared" si="4"/>
        <v>rtdc.l.rtdc.4028:itc</v>
      </c>
      <c r="G132" s="8">
        <f t="shared" si="5"/>
        <v>42636.632395833331</v>
      </c>
    </row>
    <row r="133" spans="1:7" x14ac:dyDescent="0.25">
      <c r="A133" s="8">
        <v>42636.637175925927</v>
      </c>
      <c r="B133" s="23" t="s">
        <v>165</v>
      </c>
      <c r="C133" s="23" t="s">
        <v>518</v>
      </c>
      <c r="D133" s="23">
        <v>1540000</v>
      </c>
      <c r="E133" s="23" t="s">
        <v>284</v>
      </c>
      <c r="F133" s="23" t="str">
        <f t="shared" si="4"/>
        <v>rtdc.l.rtdc.4020:itc</v>
      </c>
      <c r="G133" s="8">
        <f t="shared" si="5"/>
        <v>42636.637175925927</v>
      </c>
    </row>
    <row r="134" spans="1:7" x14ac:dyDescent="0.25">
      <c r="A134" s="8">
        <v>42636.637812499997</v>
      </c>
      <c r="B134" s="23" t="s">
        <v>246</v>
      </c>
      <c r="C134" s="23" t="s">
        <v>519</v>
      </c>
      <c r="D134" s="23">
        <v>2040000</v>
      </c>
      <c r="E134" s="23" t="s">
        <v>310</v>
      </c>
      <c r="F134" s="23" t="str">
        <f t="shared" si="4"/>
        <v>rtdc.l.rtdc.4003:itc</v>
      </c>
      <c r="G134" s="8">
        <f t="shared" si="5"/>
        <v>42636.637812499997</v>
      </c>
    </row>
    <row r="135" spans="1:7" x14ac:dyDescent="0.25">
      <c r="A135" s="8">
        <v>42636.640532407408</v>
      </c>
      <c r="B135" s="23" t="s">
        <v>332</v>
      </c>
      <c r="C135" s="23" t="s">
        <v>520</v>
      </c>
      <c r="D135" s="23">
        <v>880000</v>
      </c>
      <c r="E135" s="23" t="s">
        <v>464</v>
      </c>
      <c r="F135" s="23" t="str">
        <f t="shared" si="4"/>
        <v>rtdc.l.rtdc.4030:itc</v>
      </c>
      <c r="G135" s="8">
        <f t="shared" si="5"/>
        <v>42636.640532407408</v>
      </c>
    </row>
    <row r="136" spans="1:7" x14ac:dyDescent="0.25">
      <c r="A136" s="8">
        <v>42636.641724537039</v>
      </c>
      <c r="B136" s="23" t="s">
        <v>400</v>
      </c>
      <c r="C136" s="23" t="s">
        <v>521</v>
      </c>
      <c r="D136" s="23">
        <v>1810000</v>
      </c>
      <c r="E136" s="23" t="s">
        <v>334</v>
      </c>
      <c r="F136" s="23" t="str">
        <f t="shared" si="4"/>
        <v>rtdc.l.rtdc.4017:itc</v>
      </c>
      <c r="G136" s="8">
        <f t="shared" si="5"/>
        <v>42636.641724537039</v>
      </c>
    </row>
    <row r="137" spans="1:7" x14ac:dyDescent="0.25">
      <c r="A137" s="8">
        <v>42636.643240740741</v>
      </c>
      <c r="B137" s="23" t="s">
        <v>252</v>
      </c>
      <c r="C137" s="23" t="s">
        <v>522</v>
      </c>
      <c r="D137" s="23">
        <v>2150000</v>
      </c>
      <c r="E137" s="23" t="s">
        <v>493</v>
      </c>
      <c r="F137" s="23" t="str">
        <f t="shared" si="4"/>
        <v>rtdc.l.rtdc.4011:itc</v>
      </c>
      <c r="G137" s="8">
        <f t="shared" si="5"/>
        <v>42636.643240740741</v>
      </c>
    </row>
    <row r="138" spans="1:7" x14ac:dyDescent="0.25">
      <c r="A138" s="8">
        <v>42636.649282407408</v>
      </c>
      <c r="B138" s="23" t="s">
        <v>423</v>
      </c>
      <c r="C138" s="23" t="s">
        <v>523</v>
      </c>
      <c r="D138" s="23">
        <v>930000</v>
      </c>
      <c r="E138" s="23" t="s">
        <v>477</v>
      </c>
      <c r="F138" s="23" t="str">
        <f t="shared" si="4"/>
        <v>rtdc.l.rtdc.4039:itc</v>
      </c>
      <c r="G138" s="8">
        <f t="shared" si="5"/>
        <v>42636.649282407408</v>
      </c>
    </row>
    <row r="139" spans="1:7" x14ac:dyDescent="0.25">
      <c r="A139" s="8">
        <v>42636.650694444441</v>
      </c>
      <c r="B139" s="23" t="s">
        <v>409</v>
      </c>
      <c r="C139" s="23" t="s">
        <v>524</v>
      </c>
      <c r="D139" s="23">
        <v>1810000</v>
      </c>
      <c r="E139" s="23" t="s">
        <v>334</v>
      </c>
      <c r="F139" s="23" t="str">
        <f t="shared" si="4"/>
        <v>rtdc.l.rtdc.4018:itc</v>
      </c>
      <c r="G139" s="8">
        <f t="shared" si="5"/>
        <v>42636.650694444441</v>
      </c>
    </row>
    <row r="140" spans="1:7" x14ac:dyDescent="0.25">
      <c r="A140" s="8">
        <v>42636.651006944441</v>
      </c>
      <c r="B140" s="23" t="s">
        <v>164</v>
      </c>
      <c r="C140" s="23" t="s">
        <v>525</v>
      </c>
      <c r="D140" s="23">
        <v>1540000</v>
      </c>
      <c r="E140" s="23" t="s">
        <v>284</v>
      </c>
      <c r="F140" s="23" t="str">
        <f t="shared" si="4"/>
        <v>rtdc.l.rtdc.4019:itc</v>
      </c>
      <c r="G140" s="8">
        <f t="shared" si="5"/>
        <v>42636.651006944441</v>
      </c>
    </row>
    <row r="141" spans="1:7" x14ac:dyDescent="0.25">
      <c r="A141" s="8">
        <v>42636.654293981483</v>
      </c>
      <c r="B141" s="23" t="s">
        <v>239</v>
      </c>
      <c r="C141" s="23" t="s">
        <v>526</v>
      </c>
      <c r="D141" s="23">
        <v>2020000</v>
      </c>
      <c r="E141" s="23" t="s">
        <v>335</v>
      </c>
      <c r="F141" s="23" t="str">
        <f t="shared" si="4"/>
        <v>rtdc.l.rtdc.4044:itc</v>
      </c>
      <c r="G141" s="8">
        <f t="shared" si="5"/>
        <v>42636.654293981483</v>
      </c>
    </row>
    <row r="142" spans="1:7" x14ac:dyDescent="0.25">
      <c r="A142" s="8">
        <v>42636.659178240741</v>
      </c>
      <c r="B142" s="23" t="s">
        <v>404</v>
      </c>
      <c r="C142" s="23" t="s">
        <v>527</v>
      </c>
      <c r="D142" s="23">
        <v>940000</v>
      </c>
      <c r="E142" s="23" t="s">
        <v>481</v>
      </c>
      <c r="F142" s="23" t="str">
        <f t="shared" si="4"/>
        <v>rtdc.l.rtdc.4015:itc</v>
      </c>
      <c r="G142" s="8">
        <f t="shared" si="5"/>
        <v>42636.659178240741</v>
      </c>
    </row>
    <row r="143" spans="1:7" x14ac:dyDescent="0.25">
      <c r="A143" s="8">
        <v>42636.665277777778</v>
      </c>
      <c r="B143" s="23" t="s">
        <v>306</v>
      </c>
      <c r="C143" s="23" t="s">
        <v>516</v>
      </c>
      <c r="D143" s="23">
        <v>1740000</v>
      </c>
      <c r="E143" s="23" t="s">
        <v>286</v>
      </c>
      <c r="F143" s="23" t="str">
        <f t="shared" si="4"/>
        <v>rtdc.l.rtdc.4027:itc</v>
      </c>
      <c r="G143" s="8">
        <f t="shared" si="5"/>
        <v>42636.665277777778</v>
      </c>
    </row>
    <row r="144" spans="1:7" x14ac:dyDescent="0.25">
      <c r="A144" s="8">
        <v>42636.67119212963</v>
      </c>
      <c r="B144" s="23" t="s">
        <v>400</v>
      </c>
      <c r="C144" s="23" t="s">
        <v>528</v>
      </c>
      <c r="D144" s="23">
        <v>1810000</v>
      </c>
      <c r="E144" s="23" t="s">
        <v>334</v>
      </c>
      <c r="F144" s="23" t="str">
        <f t="shared" si="4"/>
        <v>rtdc.l.rtdc.4017:itc</v>
      </c>
      <c r="G144" s="8">
        <f t="shared" si="5"/>
        <v>42636.67119212963</v>
      </c>
    </row>
    <row r="145" spans="1:7" x14ac:dyDescent="0.25">
      <c r="A145" s="8">
        <v>42636.674571759257</v>
      </c>
      <c r="B145" s="23" t="s">
        <v>247</v>
      </c>
      <c r="C145" s="23" t="s">
        <v>529</v>
      </c>
      <c r="D145" s="23">
        <v>2040000</v>
      </c>
      <c r="E145" s="23" t="s">
        <v>310</v>
      </c>
      <c r="F145" s="23" t="str">
        <f t="shared" si="4"/>
        <v>rtdc.l.rtdc.4004:itc</v>
      </c>
      <c r="G145" s="8">
        <f t="shared" si="5"/>
        <v>42636.674571759257</v>
      </c>
    </row>
    <row r="146" spans="1:7" x14ac:dyDescent="0.25">
      <c r="A146" s="8">
        <v>42636.677291666667</v>
      </c>
      <c r="B146" s="23" t="s">
        <v>328</v>
      </c>
      <c r="C146" s="23" t="s">
        <v>530</v>
      </c>
      <c r="D146" s="23">
        <v>880000</v>
      </c>
      <c r="E146" s="23" t="s">
        <v>464</v>
      </c>
      <c r="F146" s="23" t="str">
        <f t="shared" si="4"/>
        <v>rtdc.l.rtdc.4029:itc</v>
      </c>
      <c r="G146" s="8">
        <f t="shared" si="5"/>
        <v>42636.677291666667</v>
      </c>
    </row>
    <row r="147" spans="1:7" x14ac:dyDescent="0.25">
      <c r="A147" s="8">
        <v>42636.678819444445</v>
      </c>
      <c r="B147" s="23" t="s">
        <v>165</v>
      </c>
      <c r="C147" s="23" t="s">
        <v>531</v>
      </c>
      <c r="D147" s="23">
        <v>1540000</v>
      </c>
      <c r="E147" s="23" t="s">
        <v>284</v>
      </c>
      <c r="F147" s="23" t="str">
        <f t="shared" si="4"/>
        <v>rtdc.l.rtdc.4020:itc</v>
      </c>
      <c r="G147" s="8">
        <f t="shared" si="5"/>
        <v>42636.678819444445</v>
      </c>
    </row>
    <row r="148" spans="1:7" x14ac:dyDescent="0.25">
      <c r="A148" s="8">
        <v>42636.682071759256</v>
      </c>
      <c r="B148" s="23" t="s">
        <v>253</v>
      </c>
      <c r="C148" s="23" t="s">
        <v>532</v>
      </c>
      <c r="D148" s="23">
        <v>2150000</v>
      </c>
      <c r="E148" s="23" t="s">
        <v>493</v>
      </c>
      <c r="F148" s="23" t="str">
        <f t="shared" si="4"/>
        <v>rtdc.l.rtdc.4012:itc</v>
      </c>
      <c r="G148" s="8">
        <f t="shared" si="5"/>
        <v>42636.682071759256</v>
      </c>
    </row>
    <row r="149" spans="1:7" x14ac:dyDescent="0.25">
      <c r="A149" s="8">
        <v>42636.686851851853</v>
      </c>
      <c r="B149" s="23" t="s">
        <v>409</v>
      </c>
      <c r="C149" s="23" t="s">
        <v>533</v>
      </c>
      <c r="D149" s="23">
        <v>1810000</v>
      </c>
      <c r="E149" s="23" t="s">
        <v>334</v>
      </c>
      <c r="F149" s="23" t="str">
        <f t="shared" si="4"/>
        <v>rtdc.l.rtdc.4018:itc</v>
      </c>
      <c r="G149" s="8">
        <f t="shared" si="5"/>
        <v>42636.686851851853</v>
      </c>
    </row>
    <row r="150" spans="1:7" x14ac:dyDescent="0.25">
      <c r="A150" s="8">
        <v>42636.687025462961</v>
      </c>
      <c r="B150" s="23" t="s">
        <v>393</v>
      </c>
      <c r="C150" s="23" t="s">
        <v>534</v>
      </c>
      <c r="D150" s="23">
        <v>930000</v>
      </c>
      <c r="E150" s="23" t="s">
        <v>477</v>
      </c>
      <c r="F150" s="23" t="str">
        <f t="shared" si="4"/>
        <v>rtdc.l.rtdc.4040:itc</v>
      </c>
      <c r="G150" s="8">
        <f t="shared" si="5"/>
        <v>42636.687025462961</v>
      </c>
    </row>
    <row r="151" spans="1:7" x14ac:dyDescent="0.25">
      <c r="A151" s="8">
        <v>42636.691944444443</v>
      </c>
      <c r="B151" s="23" t="s">
        <v>240</v>
      </c>
      <c r="C151" s="23" t="s">
        <v>535</v>
      </c>
      <c r="D151" s="23">
        <v>2020000</v>
      </c>
      <c r="E151" s="23" t="s">
        <v>335</v>
      </c>
      <c r="F151" s="23" t="str">
        <f t="shared" si="4"/>
        <v>rtdc.l.rtdc.4043:itc</v>
      </c>
      <c r="G151" s="8">
        <f t="shared" si="5"/>
        <v>42636.691944444443</v>
      </c>
    </row>
    <row r="152" spans="1:7" x14ac:dyDescent="0.25">
      <c r="A152" s="8">
        <v>42636.692986111113</v>
      </c>
      <c r="B152" s="23" t="s">
        <v>164</v>
      </c>
      <c r="C152" s="23" t="s">
        <v>536</v>
      </c>
      <c r="D152" s="23">
        <v>1540000</v>
      </c>
      <c r="E152" s="23" t="s">
        <v>284</v>
      </c>
      <c r="F152" s="23" t="str">
        <f t="shared" si="4"/>
        <v>rtdc.l.rtdc.4019:itc</v>
      </c>
      <c r="G152" s="8">
        <f t="shared" si="5"/>
        <v>42636.692986111113</v>
      </c>
    </row>
    <row r="153" spans="1:7" x14ac:dyDescent="0.25">
      <c r="A153" s="8">
        <v>42636.696157407408</v>
      </c>
      <c r="B153" s="23" t="s">
        <v>305</v>
      </c>
      <c r="C153" s="23" t="s">
        <v>537</v>
      </c>
      <c r="D153" s="23">
        <v>940000</v>
      </c>
      <c r="E153" s="23" t="s">
        <v>481</v>
      </c>
      <c r="F153" s="23" t="str">
        <f t="shared" si="4"/>
        <v>rtdc.l.rtdc.4016:itc</v>
      </c>
      <c r="G153" s="8">
        <f t="shared" si="5"/>
        <v>42636.696157407408</v>
      </c>
    </row>
    <row r="154" spans="1:7" x14ac:dyDescent="0.25">
      <c r="A154" s="8">
        <v>42636.696180555555</v>
      </c>
      <c r="B154" s="23" t="s">
        <v>393</v>
      </c>
      <c r="C154" s="23" t="s">
        <v>534</v>
      </c>
      <c r="D154" s="23">
        <v>930000</v>
      </c>
      <c r="E154" s="23" t="s">
        <v>477</v>
      </c>
      <c r="F154" s="23" t="str">
        <f t="shared" si="4"/>
        <v>rtdc.l.rtdc.4040:itc</v>
      </c>
      <c r="G154" s="8">
        <f t="shared" si="5"/>
        <v>42636.696180555555</v>
      </c>
    </row>
    <row r="155" spans="1:7" x14ac:dyDescent="0.25">
      <c r="A155" s="8">
        <v>42636.702731481484</v>
      </c>
      <c r="B155" s="23" t="s">
        <v>309</v>
      </c>
      <c r="C155" s="23" t="s">
        <v>538</v>
      </c>
      <c r="D155" s="23">
        <v>1740000</v>
      </c>
      <c r="E155" s="23" t="s">
        <v>286</v>
      </c>
      <c r="F155" s="23" t="str">
        <f t="shared" si="4"/>
        <v>rtdc.l.rtdc.4028:itc</v>
      </c>
      <c r="G155" s="8">
        <f t="shared" si="5"/>
        <v>42636.702731481484</v>
      </c>
    </row>
    <row r="156" spans="1:7" x14ac:dyDescent="0.25">
      <c r="A156" s="8">
        <v>42636.709988425922</v>
      </c>
      <c r="B156" s="23" t="s">
        <v>246</v>
      </c>
      <c r="C156" s="23" t="s">
        <v>539</v>
      </c>
      <c r="D156" s="23">
        <v>2040000</v>
      </c>
      <c r="E156" s="23" t="s">
        <v>310</v>
      </c>
      <c r="F156" s="23" t="str">
        <f t="shared" si="4"/>
        <v>rtdc.l.rtdc.4003:itc</v>
      </c>
      <c r="G156" s="8">
        <f t="shared" si="5"/>
        <v>42636.709988425922</v>
      </c>
    </row>
    <row r="157" spans="1:7" x14ac:dyDescent="0.25">
      <c r="A157" s="8">
        <v>42636.714062500003</v>
      </c>
      <c r="B157" s="23" t="s">
        <v>400</v>
      </c>
      <c r="C157" s="23" t="s">
        <v>540</v>
      </c>
      <c r="D157" s="23">
        <v>1810000</v>
      </c>
      <c r="E157" s="23" t="s">
        <v>334</v>
      </c>
      <c r="F157" s="23" t="str">
        <f t="shared" si="4"/>
        <v>rtdc.l.rtdc.4017:itc</v>
      </c>
      <c r="G157" s="8">
        <f t="shared" si="5"/>
        <v>42636.714062500003</v>
      </c>
    </row>
    <row r="158" spans="1:7" x14ac:dyDescent="0.25">
      <c r="A158" s="8">
        <v>42636.718101851853</v>
      </c>
      <c r="B158" s="23" t="s">
        <v>252</v>
      </c>
      <c r="C158" s="23" t="s">
        <v>541</v>
      </c>
      <c r="D158" s="23">
        <v>2150000</v>
      </c>
      <c r="E158" s="23" t="s">
        <v>493</v>
      </c>
      <c r="F158" s="23" t="str">
        <f t="shared" si="4"/>
        <v>rtdc.l.rtdc.4011:itc</v>
      </c>
      <c r="G158" s="8">
        <f t="shared" si="5"/>
        <v>42636.718101851853</v>
      </c>
    </row>
    <row r="159" spans="1:7" x14ac:dyDescent="0.25">
      <c r="A159" s="8">
        <v>42636.719513888886</v>
      </c>
      <c r="B159" s="23" t="s">
        <v>332</v>
      </c>
      <c r="C159" s="23" t="s">
        <v>542</v>
      </c>
      <c r="D159" s="23">
        <v>880000</v>
      </c>
      <c r="E159" s="23" t="s">
        <v>464</v>
      </c>
      <c r="F159" s="23" t="str">
        <f t="shared" si="4"/>
        <v>rtdc.l.rtdc.4030:itc</v>
      </c>
      <c r="G159" s="8">
        <f t="shared" si="5"/>
        <v>42636.719513888886</v>
      </c>
    </row>
    <row r="160" spans="1:7" x14ac:dyDescent="0.25">
      <c r="A160" s="8">
        <v>42636.720324074071</v>
      </c>
      <c r="B160" s="23" t="s">
        <v>332</v>
      </c>
      <c r="C160" s="23" t="s">
        <v>542</v>
      </c>
      <c r="D160" s="23">
        <v>880000</v>
      </c>
      <c r="E160" s="23" t="s">
        <v>464</v>
      </c>
      <c r="F160" s="23" t="str">
        <f t="shared" si="4"/>
        <v>rtdc.l.rtdc.4030:itc</v>
      </c>
      <c r="G160" s="8">
        <f t="shared" si="5"/>
        <v>42636.720324074071</v>
      </c>
    </row>
    <row r="161" spans="1:7" x14ac:dyDescent="0.25">
      <c r="A161" s="8">
        <v>42636.722256944442</v>
      </c>
      <c r="B161" s="23" t="s">
        <v>165</v>
      </c>
      <c r="C161" s="23" t="s">
        <v>543</v>
      </c>
      <c r="D161" s="23">
        <v>1540000</v>
      </c>
      <c r="E161" s="23" t="s">
        <v>284</v>
      </c>
      <c r="F161" s="23" t="str">
        <f t="shared" si="4"/>
        <v>rtdc.l.rtdc.4020:itc</v>
      </c>
      <c r="G161" s="8">
        <f t="shared" si="5"/>
        <v>42636.722256944442</v>
      </c>
    </row>
    <row r="162" spans="1:7" x14ac:dyDescent="0.25">
      <c r="A162" s="8">
        <v>42636.727766203701</v>
      </c>
      <c r="B162" s="23" t="s">
        <v>423</v>
      </c>
      <c r="C162" s="23" t="s">
        <v>544</v>
      </c>
      <c r="D162" s="23">
        <v>930000</v>
      </c>
      <c r="E162" s="23" t="s">
        <v>477</v>
      </c>
      <c r="F162" s="23" t="str">
        <f t="shared" si="4"/>
        <v>rtdc.l.rtdc.4039:itc</v>
      </c>
      <c r="G162" s="8">
        <f t="shared" si="5"/>
        <v>42636.727766203701</v>
      </c>
    </row>
    <row r="163" spans="1:7" x14ac:dyDescent="0.25">
      <c r="A163" s="8">
        <v>42636.728622685187</v>
      </c>
      <c r="B163" s="23" t="s">
        <v>423</v>
      </c>
      <c r="C163" s="23" t="s">
        <v>544</v>
      </c>
      <c r="D163" s="23">
        <v>930000</v>
      </c>
      <c r="E163" s="23" t="s">
        <v>477</v>
      </c>
      <c r="F163" s="23" t="str">
        <f t="shared" si="4"/>
        <v>rtdc.l.rtdc.4039:itc</v>
      </c>
      <c r="G163" s="8">
        <f t="shared" si="5"/>
        <v>42636.728622685187</v>
      </c>
    </row>
    <row r="164" spans="1:7" x14ac:dyDescent="0.25">
      <c r="A164" s="8">
        <v>42636.728842592594</v>
      </c>
      <c r="B164" s="23" t="s">
        <v>409</v>
      </c>
      <c r="C164" s="23" t="s">
        <v>545</v>
      </c>
      <c r="D164" s="23">
        <v>1810000</v>
      </c>
      <c r="E164" s="23" t="s">
        <v>334</v>
      </c>
      <c r="F164" s="23" t="str">
        <f t="shared" si="4"/>
        <v>rtdc.l.rtdc.4018:itc</v>
      </c>
      <c r="G164" s="8">
        <f t="shared" si="5"/>
        <v>42636.728842592594</v>
      </c>
    </row>
    <row r="165" spans="1:7" x14ac:dyDescent="0.25">
      <c r="A165" s="8">
        <v>42636.729675925926</v>
      </c>
      <c r="B165" s="23" t="s">
        <v>423</v>
      </c>
      <c r="C165" s="23" t="s">
        <v>544</v>
      </c>
      <c r="D165" s="23">
        <v>930000</v>
      </c>
      <c r="E165" s="23" t="s">
        <v>477</v>
      </c>
      <c r="F165" s="23" t="str">
        <f t="shared" si="4"/>
        <v>rtdc.l.rtdc.4039:itc</v>
      </c>
      <c r="G165" s="8">
        <f t="shared" si="5"/>
        <v>42636.729675925926</v>
      </c>
    </row>
    <row r="166" spans="1:7" x14ac:dyDescent="0.25">
      <c r="A166" s="8">
        <v>42636.73096064815</v>
      </c>
      <c r="B166" s="23" t="s">
        <v>404</v>
      </c>
      <c r="C166" s="23" t="s">
        <v>546</v>
      </c>
      <c r="D166" s="23">
        <v>940000</v>
      </c>
      <c r="E166" s="23" t="s">
        <v>481</v>
      </c>
      <c r="F166" s="23" t="str">
        <f t="shared" si="4"/>
        <v>rtdc.l.rtdc.4015:itc</v>
      </c>
      <c r="G166" s="8">
        <f t="shared" si="5"/>
        <v>42636.73096064815</v>
      </c>
    </row>
    <row r="167" spans="1:7" x14ac:dyDescent="0.25">
      <c r="A167" s="8">
        <v>42636.730983796297</v>
      </c>
      <c r="B167" s="23" t="s">
        <v>239</v>
      </c>
      <c r="C167" s="23" t="s">
        <v>547</v>
      </c>
      <c r="D167" s="23">
        <v>2020000</v>
      </c>
      <c r="E167" s="23" t="s">
        <v>335</v>
      </c>
      <c r="F167" s="23" t="str">
        <f t="shared" si="4"/>
        <v>rtdc.l.rtdc.4044:itc</v>
      </c>
      <c r="G167" s="8">
        <f t="shared" si="5"/>
        <v>42636.730983796297</v>
      </c>
    </row>
    <row r="168" spans="1:7" x14ac:dyDescent="0.25">
      <c r="A168" s="8">
        <v>42636.735543981478</v>
      </c>
      <c r="B168" s="23" t="s">
        <v>404</v>
      </c>
      <c r="C168" s="23" t="s">
        <v>546</v>
      </c>
      <c r="D168" s="23">
        <v>940000</v>
      </c>
      <c r="E168" s="23" t="s">
        <v>481</v>
      </c>
      <c r="F168" s="23" t="str">
        <f t="shared" si="4"/>
        <v>rtdc.l.rtdc.4015:itc</v>
      </c>
      <c r="G168" s="8">
        <f t="shared" si="5"/>
        <v>42636.735543981478</v>
      </c>
    </row>
    <row r="169" spans="1:7" x14ac:dyDescent="0.25">
      <c r="A169" s="8">
        <v>42636.735567129632</v>
      </c>
      <c r="B169" s="23" t="s">
        <v>164</v>
      </c>
      <c r="C169" s="23" t="s">
        <v>548</v>
      </c>
      <c r="D169" s="23">
        <v>1540000</v>
      </c>
      <c r="E169" s="23" t="s">
        <v>284</v>
      </c>
      <c r="F169" s="23" t="str">
        <f t="shared" si="4"/>
        <v>rtdc.l.rtdc.4019:itc</v>
      </c>
      <c r="G169" s="8">
        <f t="shared" si="5"/>
        <v>42636.735567129632</v>
      </c>
    </row>
    <row r="170" spans="1:7" x14ac:dyDescent="0.25">
      <c r="A170" s="8">
        <v>42636.736446759256</v>
      </c>
      <c r="B170" s="23" t="s">
        <v>404</v>
      </c>
      <c r="C170" s="23" t="s">
        <v>546</v>
      </c>
      <c r="D170" s="23">
        <v>940000</v>
      </c>
      <c r="E170" s="23" t="s">
        <v>481</v>
      </c>
      <c r="F170" s="23" t="str">
        <f t="shared" si="4"/>
        <v>rtdc.l.rtdc.4015:itc</v>
      </c>
      <c r="G170" s="8">
        <f t="shared" si="5"/>
        <v>42636.736446759256</v>
      </c>
    </row>
    <row r="171" spans="1:7" x14ac:dyDescent="0.25">
      <c r="A171" s="8">
        <v>42636.739629629628</v>
      </c>
      <c r="B171" s="23" t="s">
        <v>306</v>
      </c>
      <c r="C171" s="23" t="s">
        <v>549</v>
      </c>
      <c r="D171" s="23">
        <v>1230000</v>
      </c>
      <c r="E171" s="23" t="s">
        <v>248</v>
      </c>
      <c r="F171" s="23" t="str">
        <f t="shared" si="4"/>
        <v>rtdc.l.rtdc.4027:itc</v>
      </c>
      <c r="G171" s="8">
        <f t="shared" si="5"/>
        <v>42636.739629629628</v>
      </c>
    </row>
    <row r="172" spans="1:7" x14ac:dyDescent="0.25">
      <c r="A172" s="8">
        <v>42636.740312499998</v>
      </c>
      <c r="B172" s="23" t="s">
        <v>474</v>
      </c>
      <c r="C172" s="23" t="s">
        <v>550</v>
      </c>
      <c r="D172" s="23">
        <v>1800000</v>
      </c>
      <c r="E172" s="23" t="s">
        <v>249</v>
      </c>
      <c r="F172" s="23" t="str">
        <f t="shared" si="4"/>
        <v>rtdc.l.rtdc.4021:itc</v>
      </c>
      <c r="G172" s="8">
        <f t="shared" si="5"/>
        <v>42636.740312499998</v>
      </c>
    </row>
    <row r="173" spans="1:7" x14ac:dyDescent="0.25">
      <c r="A173" s="8">
        <v>42636.741782407407</v>
      </c>
      <c r="B173" s="23" t="s">
        <v>423</v>
      </c>
      <c r="C173" s="23" t="s">
        <v>544</v>
      </c>
      <c r="D173" s="23">
        <v>930000</v>
      </c>
      <c r="E173" s="23" t="s">
        <v>477</v>
      </c>
      <c r="F173" s="23" t="str">
        <f t="shared" si="4"/>
        <v>rtdc.l.rtdc.4039:itc</v>
      </c>
      <c r="G173" s="8">
        <f t="shared" si="5"/>
        <v>42636.741782407407</v>
      </c>
    </row>
    <row r="174" spans="1:7" x14ac:dyDescent="0.25">
      <c r="A174" s="8">
        <v>42636.742638888885</v>
      </c>
      <c r="B174" s="23" t="s">
        <v>423</v>
      </c>
      <c r="C174" s="23" t="s">
        <v>544</v>
      </c>
      <c r="D174" s="23">
        <v>930000</v>
      </c>
      <c r="E174" s="23" t="s">
        <v>477</v>
      </c>
      <c r="F174" s="23" t="str">
        <f t="shared" si="4"/>
        <v>rtdc.l.rtdc.4039:itc</v>
      </c>
      <c r="G174" s="8">
        <f t="shared" si="5"/>
        <v>42636.742638888885</v>
      </c>
    </row>
    <row r="175" spans="1:7" x14ac:dyDescent="0.25">
      <c r="A175" s="8">
        <v>42636.745636574073</v>
      </c>
      <c r="B175" s="23" t="s">
        <v>247</v>
      </c>
      <c r="C175" s="23" t="s">
        <v>551</v>
      </c>
      <c r="D175" s="23">
        <v>2040000</v>
      </c>
      <c r="E175" s="23" t="s">
        <v>310</v>
      </c>
      <c r="F175" s="23" t="str">
        <f t="shared" si="4"/>
        <v>rtdc.l.rtdc.4004:itc</v>
      </c>
      <c r="G175" s="8">
        <f t="shared" si="5"/>
        <v>42636.745636574073</v>
      </c>
    </row>
    <row r="176" spans="1:7" x14ac:dyDescent="0.25">
      <c r="A176" s="8">
        <v>42636.748784722222</v>
      </c>
      <c r="B176" s="23" t="s">
        <v>404</v>
      </c>
      <c r="C176" s="23" t="s">
        <v>546</v>
      </c>
      <c r="D176" s="23">
        <v>940000</v>
      </c>
      <c r="E176" s="23" t="s">
        <v>481</v>
      </c>
      <c r="F176" s="23" t="str">
        <f t="shared" si="4"/>
        <v>rtdc.l.rtdc.4015:itc</v>
      </c>
      <c r="G176" s="8">
        <f t="shared" si="5"/>
        <v>42636.748784722222</v>
      </c>
    </row>
    <row r="177" spans="1:7" x14ac:dyDescent="0.25">
      <c r="A177" s="8">
        <v>42636.752708333333</v>
      </c>
      <c r="B177" s="23" t="s">
        <v>328</v>
      </c>
      <c r="C177" s="23" t="s">
        <v>552</v>
      </c>
      <c r="D177" s="23">
        <v>1740000</v>
      </c>
      <c r="E177" s="23" t="s">
        <v>286</v>
      </c>
      <c r="F177" s="23" t="str">
        <f t="shared" si="4"/>
        <v>rtdc.l.rtdc.4029:itc</v>
      </c>
      <c r="G177" s="8">
        <f t="shared" si="5"/>
        <v>42636.752708333333</v>
      </c>
    </row>
    <row r="178" spans="1:7" x14ac:dyDescent="0.25">
      <c r="A178" s="8">
        <v>42636.754791666666</v>
      </c>
      <c r="B178" s="23" t="s">
        <v>253</v>
      </c>
      <c r="C178" s="23" t="s">
        <v>553</v>
      </c>
      <c r="D178" s="23">
        <v>2150000</v>
      </c>
      <c r="E178" s="23" t="s">
        <v>493</v>
      </c>
      <c r="F178" s="23" t="str">
        <f t="shared" si="4"/>
        <v>rtdc.l.rtdc.4012:itc</v>
      </c>
      <c r="G178" s="8">
        <f t="shared" si="5"/>
        <v>42636.754791666666</v>
      </c>
    </row>
    <row r="179" spans="1:7" x14ac:dyDescent="0.25">
      <c r="A179" s="8">
        <v>42636.755231481482</v>
      </c>
      <c r="B179" s="23" t="s">
        <v>172</v>
      </c>
      <c r="C179" s="23" t="s">
        <v>554</v>
      </c>
      <c r="D179" s="23">
        <v>2260000</v>
      </c>
      <c r="E179" s="23" t="s">
        <v>130</v>
      </c>
      <c r="F179" s="23" t="str">
        <f t="shared" si="4"/>
        <v>rtdc.l.rtdc.4026:itc</v>
      </c>
      <c r="G179" s="8">
        <f t="shared" si="5"/>
        <v>42636.755231481482</v>
      </c>
    </row>
    <row r="180" spans="1:7" x14ac:dyDescent="0.25">
      <c r="A180" s="8">
        <v>42636.755428240744</v>
      </c>
      <c r="B180" s="23" t="s">
        <v>400</v>
      </c>
      <c r="C180" s="23" t="s">
        <v>555</v>
      </c>
      <c r="D180" s="23">
        <v>1810000</v>
      </c>
      <c r="E180" s="23" t="s">
        <v>334</v>
      </c>
      <c r="F180" s="23" t="str">
        <f t="shared" si="4"/>
        <v>rtdc.l.rtdc.4017:itc</v>
      </c>
      <c r="G180" s="8">
        <f t="shared" si="5"/>
        <v>42636.755428240744</v>
      </c>
    </row>
    <row r="181" spans="1:7" x14ac:dyDescent="0.25">
      <c r="A181" s="8">
        <v>42636.761678240742</v>
      </c>
      <c r="B181" s="23" t="s">
        <v>247</v>
      </c>
      <c r="C181" s="23" t="s">
        <v>551</v>
      </c>
      <c r="D181" s="23">
        <v>2040000</v>
      </c>
      <c r="E181" s="23" t="s">
        <v>310</v>
      </c>
      <c r="F181" s="23" t="str">
        <f t="shared" si="4"/>
        <v>rtdc.l.rtdc.4004:itc</v>
      </c>
      <c r="G181" s="8">
        <f t="shared" si="5"/>
        <v>42636.761678240742</v>
      </c>
    </row>
    <row r="182" spans="1:7" x14ac:dyDescent="0.25">
      <c r="A182" s="8">
        <v>42636.762673611112</v>
      </c>
      <c r="B182" s="23" t="s">
        <v>165</v>
      </c>
      <c r="C182" s="23" t="s">
        <v>556</v>
      </c>
      <c r="D182" s="23">
        <v>1540000</v>
      </c>
      <c r="E182" s="23" t="s">
        <v>284</v>
      </c>
      <c r="F182" s="23" t="str">
        <f t="shared" si="4"/>
        <v>rtdc.l.rtdc.4020:itc</v>
      </c>
      <c r="G182" s="8">
        <f t="shared" si="5"/>
        <v>42636.762673611112</v>
      </c>
    </row>
    <row r="183" spans="1:7" x14ac:dyDescent="0.25">
      <c r="A183" s="8">
        <v>42636.767314814817</v>
      </c>
      <c r="B183" s="23" t="s">
        <v>393</v>
      </c>
      <c r="C183" s="23" t="s">
        <v>557</v>
      </c>
      <c r="D183" s="23">
        <v>1800000</v>
      </c>
      <c r="E183" s="23" t="s">
        <v>249</v>
      </c>
      <c r="F183" s="23" t="str">
        <f t="shared" si="4"/>
        <v>rtdc.l.rtdc.4040:itc</v>
      </c>
      <c r="G183" s="8">
        <f t="shared" si="5"/>
        <v>42636.767314814817</v>
      </c>
    </row>
    <row r="184" spans="1:7" x14ac:dyDescent="0.25">
      <c r="A184" s="8">
        <v>42636.767314814817</v>
      </c>
      <c r="B184" s="23" t="s">
        <v>240</v>
      </c>
      <c r="C184" s="23" t="s">
        <v>558</v>
      </c>
      <c r="D184" s="23">
        <v>2020000</v>
      </c>
      <c r="E184" s="23" t="s">
        <v>335</v>
      </c>
      <c r="F184" s="23" t="str">
        <f t="shared" si="4"/>
        <v>rtdc.l.rtdc.4043:itc</v>
      </c>
      <c r="G184" s="8">
        <f t="shared" si="5"/>
        <v>42636.767314814817</v>
      </c>
    </row>
    <row r="185" spans="1:7" x14ac:dyDescent="0.25">
      <c r="A185" s="8">
        <v>42636.767754629633</v>
      </c>
      <c r="B185" s="23" t="s">
        <v>287</v>
      </c>
      <c r="C185" s="23" t="s">
        <v>475</v>
      </c>
      <c r="D185" s="23">
        <v>1300000</v>
      </c>
      <c r="E185" s="23" t="s">
        <v>121</v>
      </c>
      <c r="F185" s="23" t="str">
        <f t="shared" si="4"/>
        <v>rtdc.l.rtdc.4005:itc</v>
      </c>
      <c r="G185" s="8">
        <f t="shared" si="5"/>
        <v>42636.767754629633</v>
      </c>
    </row>
    <row r="186" spans="1:7" x14ac:dyDescent="0.25">
      <c r="A186" s="8">
        <v>42636.769849537035</v>
      </c>
      <c r="B186" s="23" t="s">
        <v>253</v>
      </c>
      <c r="C186" s="23" t="s">
        <v>553</v>
      </c>
      <c r="D186" s="23">
        <v>2150000</v>
      </c>
      <c r="E186" s="23" t="s">
        <v>493</v>
      </c>
      <c r="F186" s="23" t="str">
        <f t="shared" si="4"/>
        <v>rtdc.l.rtdc.4012:itc</v>
      </c>
      <c r="G186" s="8">
        <f t="shared" si="5"/>
        <v>42636.769849537035</v>
      </c>
    </row>
    <row r="187" spans="1:7" x14ac:dyDescent="0.25">
      <c r="A187" s="8">
        <v>42636.77144675926</v>
      </c>
      <c r="B187" s="23" t="s">
        <v>409</v>
      </c>
      <c r="C187" s="23" t="s">
        <v>559</v>
      </c>
      <c r="D187" s="23">
        <v>1810000</v>
      </c>
      <c r="E187" s="23" t="s">
        <v>334</v>
      </c>
      <c r="F187" s="23" t="str">
        <f t="shared" si="4"/>
        <v>rtdc.l.rtdc.4018:itc</v>
      </c>
      <c r="G187" s="8">
        <f t="shared" si="5"/>
        <v>42636.77144675926</v>
      </c>
    </row>
    <row r="188" spans="1:7" x14ac:dyDescent="0.25">
      <c r="A188" s="8">
        <v>42636.773854166669</v>
      </c>
      <c r="B188" s="23" t="s">
        <v>305</v>
      </c>
      <c r="C188" s="23" t="s">
        <v>560</v>
      </c>
      <c r="D188" s="23">
        <v>1480000</v>
      </c>
      <c r="E188" s="23" t="s">
        <v>241</v>
      </c>
      <c r="F188" s="23" t="str">
        <f t="shared" si="4"/>
        <v>rtdc.l.rtdc.4016:itc</v>
      </c>
      <c r="G188" s="8">
        <f t="shared" si="5"/>
        <v>42636.773854166669</v>
      </c>
    </row>
    <row r="189" spans="1:7" x14ac:dyDescent="0.25">
      <c r="A189" s="8">
        <v>42636.775590277779</v>
      </c>
      <c r="B189" s="23" t="s">
        <v>164</v>
      </c>
      <c r="C189" s="23" t="s">
        <v>561</v>
      </c>
      <c r="D189" s="23">
        <v>1540000</v>
      </c>
      <c r="E189" s="23" t="s">
        <v>284</v>
      </c>
      <c r="F189" s="23" t="str">
        <f t="shared" si="4"/>
        <v>rtdc.l.rtdc.4019:itc</v>
      </c>
      <c r="G189" s="8">
        <f t="shared" si="5"/>
        <v>42636.775590277779</v>
      </c>
    </row>
    <row r="190" spans="1:7" x14ac:dyDescent="0.25">
      <c r="A190" s="8">
        <v>42636.776099537034</v>
      </c>
      <c r="B190" s="23" t="s">
        <v>309</v>
      </c>
      <c r="C190" s="23" t="s">
        <v>562</v>
      </c>
      <c r="D190" s="23">
        <v>1230000</v>
      </c>
      <c r="E190" s="23" t="s">
        <v>248</v>
      </c>
      <c r="F190" s="23" t="str">
        <f t="shared" si="4"/>
        <v>rtdc.l.rtdc.4028:itc</v>
      </c>
      <c r="G190" s="8">
        <f t="shared" si="5"/>
        <v>42636.776099537034</v>
      </c>
    </row>
    <row r="191" spans="1:7" x14ac:dyDescent="0.25">
      <c r="A191" s="8">
        <v>42636.780034722222</v>
      </c>
      <c r="B191" s="23" t="s">
        <v>285</v>
      </c>
      <c r="C191" s="23" t="s">
        <v>563</v>
      </c>
      <c r="D191" s="23">
        <v>940000</v>
      </c>
      <c r="E191" s="23" t="s">
        <v>481</v>
      </c>
      <c r="F191" s="23" t="str">
        <f t="shared" si="4"/>
        <v>rtdc.l.rtdc.4006:itc</v>
      </c>
      <c r="G191" s="8">
        <f t="shared" si="5"/>
        <v>42636.780034722222</v>
      </c>
    </row>
    <row r="192" spans="1:7" x14ac:dyDescent="0.25">
      <c r="A192" s="8">
        <v>42636.784166666665</v>
      </c>
      <c r="B192" s="23" t="s">
        <v>332</v>
      </c>
      <c r="C192" s="23" t="s">
        <v>564</v>
      </c>
      <c r="D192" s="23">
        <v>1740000</v>
      </c>
      <c r="E192" s="23" t="s">
        <v>286</v>
      </c>
      <c r="F192" s="23" t="str">
        <f t="shared" si="4"/>
        <v>rtdc.l.rtdc.4030:itc</v>
      </c>
      <c r="G192" s="8">
        <f t="shared" si="5"/>
        <v>42636.784166666665</v>
      </c>
    </row>
    <row r="193" spans="1:7" x14ac:dyDescent="0.25">
      <c r="A193" s="8">
        <v>42636.78533564815</v>
      </c>
      <c r="B193" s="23" t="s">
        <v>246</v>
      </c>
      <c r="C193" s="23" t="s">
        <v>565</v>
      </c>
      <c r="D193" s="23">
        <v>2040000</v>
      </c>
      <c r="E193" s="23" t="s">
        <v>310</v>
      </c>
      <c r="F193" s="23" t="str">
        <f t="shared" si="4"/>
        <v>rtdc.l.rtdc.4003:itc</v>
      </c>
      <c r="G193" s="8">
        <f t="shared" si="5"/>
        <v>42636.78533564815</v>
      </c>
    </row>
    <row r="194" spans="1:7" x14ac:dyDescent="0.25">
      <c r="A194" s="8">
        <v>42636.785555555558</v>
      </c>
      <c r="B194" s="23" t="s">
        <v>240</v>
      </c>
      <c r="C194" s="23" t="s">
        <v>558</v>
      </c>
      <c r="D194" s="23">
        <v>2020000</v>
      </c>
      <c r="E194" s="23" t="s">
        <v>335</v>
      </c>
      <c r="F194" s="23" t="str">
        <f t="shared" ref="F194:F235" si="6">B194</f>
        <v>rtdc.l.rtdc.4043:itc</v>
      </c>
      <c r="G194" s="8">
        <f t="shared" ref="G194:G235" si="7">A194</f>
        <v>42636.785555555558</v>
      </c>
    </row>
    <row r="195" spans="1:7" x14ac:dyDescent="0.25">
      <c r="A195" s="8">
        <v>42636.788275462961</v>
      </c>
      <c r="B195" s="23" t="s">
        <v>309</v>
      </c>
      <c r="C195" s="23" t="s">
        <v>562</v>
      </c>
      <c r="D195" s="23">
        <v>1230000</v>
      </c>
      <c r="E195" s="23" t="s">
        <v>248</v>
      </c>
      <c r="F195" s="23" t="str">
        <f t="shared" si="6"/>
        <v>rtdc.l.rtdc.4028:itc</v>
      </c>
      <c r="G195" s="8">
        <f t="shared" si="7"/>
        <v>42636.788275462961</v>
      </c>
    </row>
    <row r="196" spans="1:7" x14ac:dyDescent="0.25">
      <c r="A196" s="8">
        <v>42636.792847222219</v>
      </c>
      <c r="B196" s="23" t="s">
        <v>252</v>
      </c>
      <c r="C196" s="23" t="s">
        <v>566</v>
      </c>
      <c r="D196" s="23">
        <v>1300000</v>
      </c>
      <c r="E196" s="23" t="s">
        <v>121</v>
      </c>
      <c r="F196" s="23" t="str">
        <f t="shared" si="6"/>
        <v>rtdc.l.rtdc.4011:itc</v>
      </c>
      <c r="G196" s="8">
        <f t="shared" si="7"/>
        <v>42636.792847222219</v>
      </c>
    </row>
    <row r="197" spans="1:7" x14ac:dyDescent="0.25">
      <c r="A197" s="8">
        <v>42636.796215277776</v>
      </c>
      <c r="B197" s="23" t="s">
        <v>400</v>
      </c>
      <c r="C197" s="23" t="s">
        <v>567</v>
      </c>
      <c r="D197" s="23">
        <v>1810000</v>
      </c>
      <c r="E197" s="23" t="s">
        <v>334</v>
      </c>
      <c r="F197" s="23" t="str">
        <f t="shared" si="6"/>
        <v>rtdc.l.rtdc.4017:itc</v>
      </c>
      <c r="G197" s="8">
        <f t="shared" si="7"/>
        <v>42636.796215277776</v>
      </c>
    </row>
    <row r="198" spans="1:7" x14ac:dyDescent="0.25">
      <c r="A198" s="8">
        <v>42636.798888888887</v>
      </c>
      <c r="B198" s="23" t="s">
        <v>423</v>
      </c>
      <c r="C198" s="23" t="s">
        <v>568</v>
      </c>
      <c r="D198" s="23">
        <v>1800000</v>
      </c>
      <c r="E198" s="23" t="s">
        <v>249</v>
      </c>
      <c r="F198" s="23" t="str">
        <f t="shared" si="6"/>
        <v>rtdc.l.rtdc.4039:itc</v>
      </c>
      <c r="G198" s="8">
        <f t="shared" si="7"/>
        <v>42636.798888888887</v>
      </c>
    </row>
    <row r="199" spans="1:7" x14ac:dyDescent="0.25">
      <c r="A199" s="8">
        <v>42636.799826388888</v>
      </c>
      <c r="B199" s="23" t="s">
        <v>569</v>
      </c>
      <c r="C199" s="23" t="s">
        <v>570</v>
      </c>
      <c r="D199" s="23">
        <v>2150000</v>
      </c>
      <c r="E199" s="23" t="s">
        <v>493</v>
      </c>
      <c r="F199" s="23" t="str">
        <f t="shared" si="6"/>
        <v>rtdc.l.rtdc.4022:itc</v>
      </c>
      <c r="G199" s="8">
        <f t="shared" si="7"/>
        <v>42636.799826388888</v>
      </c>
    </row>
    <row r="200" spans="1:7" x14ac:dyDescent="0.25">
      <c r="A200" s="8">
        <v>42636.800856481481</v>
      </c>
      <c r="B200" s="23" t="s">
        <v>165</v>
      </c>
      <c r="C200" s="23" t="s">
        <v>571</v>
      </c>
      <c r="D200" s="23">
        <v>1540000</v>
      </c>
      <c r="E200" s="23" t="s">
        <v>284</v>
      </c>
      <c r="F200" s="23" t="str">
        <f t="shared" si="6"/>
        <v>rtdc.l.rtdc.4020:itc</v>
      </c>
      <c r="G200" s="8">
        <f t="shared" si="7"/>
        <v>42636.800856481481</v>
      </c>
    </row>
    <row r="201" spans="1:7" x14ac:dyDescent="0.25">
      <c r="A201" s="8">
        <v>42636.806435185186</v>
      </c>
      <c r="B201" s="23" t="s">
        <v>239</v>
      </c>
      <c r="C201" s="23" t="s">
        <v>572</v>
      </c>
      <c r="D201" s="23">
        <v>2020000</v>
      </c>
      <c r="E201" s="23" t="s">
        <v>335</v>
      </c>
      <c r="F201" s="23" t="str">
        <f t="shared" si="6"/>
        <v>rtdc.l.rtdc.4044:itc</v>
      </c>
      <c r="G201" s="8">
        <f t="shared" si="7"/>
        <v>42636.806435185186</v>
      </c>
    </row>
    <row r="202" spans="1:7" x14ac:dyDescent="0.25">
      <c r="A202" s="29">
        <v>42636.809432870374</v>
      </c>
      <c r="B202" s="23" t="s">
        <v>404</v>
      </c>
      <c r="C202" s="23" t="s">
        <v>573</v>
      </c>
      <c r="D202" s="23">
        <v>1480000</v>
      </c>
      <c r="E202" s="23" t="s">
        <v>241</v>
      </c>
      <c r="F202" s="23" t="str">
        <f t="shared" si="6"/>
        <v>rtdc.l.rtdc.4015:itc</v>
      </c>
      <c r="G202" s="8">
        <f t="shared" si="7"/>
        <v>42636.809432870374</v>
      </c>
    </row>
    <row r="203" spans="1:7" x14ac:dyDescent="0.25">
      <c r="A203" s="8">
        <v>42636.809502314813</v>
      </c>
      <c r="B203" s="23" t="s">
        <v>306</v>
      </c>
      <c r="C203" s="23" t="s">
        <v>574</v>
      </c>
      <c r="D203" s="23">
        <v>1230000</v>
      </c>
      <c r="E203" s="23" t="s">
        <v>248</v>
      </c>
      <c r="F203" s="23" t="str">
        <f t="shared" si="6"/>
        <v>rtdc.l.rtdc.4027:itc</v>
      </c>
      <c r="G203" s="8">
        <f t="shared" si="7"/>
        <v>42636.809502314813</v>
      </c>
    </row>
    <row r="204" spans="1:7" x14ac:dyDescent="0.25">
      <c r="A204" s="8">
        <v>42636.818738425929</v>
      </c>
      <c r="B204" s="23" t="s">
        <v>164</v>
      </c>
      <c r="C204" s="23" t="s">
        <v>575</v>
      </c>
      <c r="D204" s="23">
        <v>1540000</v>
      </c>
      <c r="E204" s="23" t="s">
        <v>284</v>
      </c>
      <c r="F204" s="23" t="str">
        <f t="shared" si="6"/>
        <v>rtdc.l.rtdc.4019:itc</v>
      </c>
      <c r="G204" s="8">
        <f t="shared" si="7"/>
        <v>42636.818738425929</v>
      </c>
    </row>
    <row r="205" spans="1:7" x14ac:dyDescent="0.25">
      <c r="A205" s="8">
        <v>42636.822534722225</v>
      </c>
      <c r="B205" s="23" t="s">
        <v>328</v>
      </c>
      <c r="C205" s="23" t="s">
        <v>576</v>
      </c>
      <c r="D205" s="23">
        <v>1740000</v>
      </c>
      <c r="E205" s="23" t="s">
        <v>286</v>
      </c>
      <c r="F205" s="23" t="str">
        <f t="shared" si="6"/>
        <v>rtdc.l.rtdc.4029:itc</v>
      </c>
      <c r="G205" s="8">
        <f t="shared" si="7"/>
        <v>42636.822534722225</v>
      </c>
    </row>
    <row r="206" spans="1:7" x14ac:dyDescent="0.25">
      <c r="A206" s="8">
        <v>42636.826354166667</v>
      </c>
      <c r="B206" s="23" t="s">
        <v>253</v>
      </c>
      <c r="C206" s="23" t="s">
        <v>577</v>
      </c>
      <c r="D206" s="23">
        <v>1300000</v>
      </c>
      <c r="E206" s="23" t="s">
        <v>121</v>
      </c>
      <c r="F206" s="23" t="str">
        <f t="shared" si="6"/>
        <v>rtdc.l.rtdc.4012:itc</v>
      </c>
      <c r="G206" s="8">
        <f t="shared" si="7"/>
        <v>42636.826354166667</v>
      </c>
    </row>
    <row r="207" spans="1:7" x14ac:dyDescent="0.25">
      <c r="A207" s="8">
        <v>42636.834374999999</v>
      </c>
      <c r="B207" s="23" t="s">
        <v>393</v>
      </c>
      <c r="C207" s="23" t="s">
        <v>578</v>
      </c>
      <c r="D207" s="23">
        <v>1800000</v>
      </c>
      <c r="E207" s="23" t="s">
        <v>249</v>
      </c>
      <c r="F207" s="23" t="str">
        <f t="shared" si="6"/>
        <v>rtdc.l.rtdc.4040:itc</v>
      </c>
      <c r="G207" s="8">
        <f t="shared" si="7"/>
        <v>42636.834374999999</v>
      </c>
    </row>
    <row r="208" spans="1:7" x14ac:dyDescent="0.25">
      <c r="A208" s="8">
        <v>42636.845856481479</v>
      </c>
      <c r="B208" s="23" t="s">
        <v>165</v>
      </c>
      <c r="C208" s="23" t="s">
        <v>579</v>
      </c>
      <c r="D208" s="23">
        <v>1540000</v>
      </c>
      <c r="E208" s="23" t="s">
        <v>284</v>
      </c>
      <c r="F208" s="23" t="str">
        <f t="shared" si="6"/>
        <v>rtdc.l.rtdc.4020:itc</v>
      </c>
      <c r="G208" s="8">
        <f t="shared" si="7"/>
        <v>42636.845856481479</v>
      </c>
    </row>
    <row r="209" spans="1:7" x14ac:dyDescent="0.25">
      <c r="A209" s="8">
        <v>42636.848194444443</v>
      </c>
      <c r="B209" s="23" t="s">
        <v>309</v>
      </c>
      <c r="C209" s="23" t="s">
        <v>580</v>
      </c>
      <c r="D209" s="23">
        <v>1230000</v>
      </c>
      <c r="E209" s="23" t="s">
        <v>248</v>
      </c>
      <c r="F209" s="23" t="str">
        <f t="shared" si="6"/>
        <v>rtdc.l.rtdc.4028:itc</v>
      </c>
      <c r="G209" s="8">
        <f t="shared" si="7"/>
        <v>42636.848194444443</v>
      </c>
    </row>
    <row r="210" spans="1:7" x14ac:dyDescent="0.25">
      <c r="A210" s="8">
        <v>42636.849131944444</v>
      </c>
      <c r="B210" s="23" t="s">
        <v>305</v>
      </c>
      <c r="C210" s="23" t="s">
        <v>581</v>
      </c>
      <c r="D210" s="23">
        <v>1480000</v>
      </c>
      <c r="E210" s="23" t="s">
        <v>241</v>
      </c>
      <c r="F210" s="23" t="str">
        <f t="shared" si="6"/>
        <v>rtdc.l.rtdc.4016:itc</v>
      </c>
      <c r="G210" s="8">
        <f t="shared" si="7"/>
        <v>42636.849131944444</v>
      </c>
    </row>
    <row r="211" spans="1:7" x14ac:dyDescent="0.25">
      <c r="A211" s="8">
        <v>42636.861076388886</v>
      </c>
      <c r="B211" s="23" t="s">
        <v>164</v>
      </c>
      <c r="C211" s="23" t="s">
        <v>582</v>
      </c>
      <c r="D211" s="23">
        <v>1540000</v>
      </c>
      <c r="E211" s="23" t="s">
        <v>284</v>
      </c>
      <c r="F211" s="23" t="str">
        <f t="shared" si="6"/>
        <v>rtdc.l.rtdc.4019:itc</v>
      </c>
      <c r="G211" s="8">
        <f t="shared" si="7"/>
        <v>42636.861076388886</v>
      </c>
    </row>
    <row r="212" spans="1:7" x14ac:dyDescent="0.25">
      <c r="A212" s="8">
        <v>42636.871053240742</v>
      </c>
      <c r="B212" s="23" t="s">
        <v>252</v>
      </c>
      <c r="C212" s="23" t="s">
        <v>583</v>
      </c>
      <c r="D212" s="23">
        <v>1300000</v>
      </c>
      <c r="E212" s="23" t="s">
        <v>121</v>
      </c>
      <c r="F212" s="23" t="str">
        <f t="shared" si="6"/>
        <v>rtdc.l.rtdc.4011:itc</v>
      </c>
      <c r="G212" s="8">
        <f t="shared" si="7"/>
        <v>42636.871053240742</v>
      </c>
    </row>
    <row r="213" spans="1:7" x14ac:dyDescent="0.25">
      <c r="A213" s="8">
        <v>42636.871967592589</v>
      </c>
      <c r="B213" s="23" t="s">
        <v>423</v>
      </c>
      <c r="C213" s="23" t="s">
        <v>584</v>
      </c>
      <c r="D213" s="23">
        <v>1800000</v>
      </c>
      <c r="E213" s="23" t="s">
        <v>249</v>
      </c>
      <c r="F213" s="23" t="str">
        <f t="shared" si="6"/>
        <v>rtdc.l.rtdc.4039:itc</v>
      </c>
      <c r="G213" s="8">
        <f t="shared" si="7"/>
        <v>42636.871967592589</v>
      </c>
    </row>
    <row r="214" spans="1:7" x14ac:dyDescent="0.25">
      <c r="A214" s="8">
        <v>42636.88380787037</v>
      </c>
      <c r="B214" s="23" t="s">
        <v>306</v>
      </c>
      <c r="C214" s="23" t="s">
        <v>585</v>
      </c>
      <c r="D214" s="23">
        <v>1230000</v>
      </c>
      <c r="E214" s="23" t="s">
        <v>248</v>
      </c>
      <c r="F214" s="23" t="str">
        <f t="shared" si="6"/>
        <v>rtdc.l.rtdc.4027:itc</v>
      </c>
      <c r="G214" s="8">
        <f t="shared" si="7"/>
        <v>42636.88380787037</v>
      </c>
    </row>
    <row r="215" spans="1:7" x14ac:dyDescent="0.25">
      <c r="A215" s="8">
        <v>42636.887199074074</v>
      </c>
      <c r="B215" s="23" t="s">
        <v>404</v>
      </c>
      <c r="C215" s="23" t="s">
        <v>586</v>
      </c>
      <c r="D215" s="23">
        <v>1480000</v>
      </c>
      <c r="E215" s="23" t="s">
        <v>241</v>
      </c>
      <c r="F215" s="23" t="str">
        <f t="shared" si="6"/>
        <v>rtdc.l.rtdc.4015:itc</v>
      </c>
      <c r="G215" s="8">
        <f t="shared" si="7"/>
        <v>42636.887199074074</v>
      </c>
    </row>
    <row r="216" spans="1:7" x14ac:dyDescent="0.25">
      <c r="A216" s="8">
        <v>42636.911874999998</v>
      </c>
      <c r="B216" s="23" t="s">
        <v>253</v>
      </c>
      <c r="C216" s="23" t="s">
        <v>587</v>
      </c>
      <c r="D216" s="23">
        <v>1300000</v>
      </c>
      <c r="E216" s="23" t="s">
        <v>121</v>
      </c>
      <c r="F216" s="23" t="str">
        <f t="shared" si="6"/>
        <v>rtdc.l.rtdc.4012:itc</v>
      </c>
      <c r="G216" s="8">
        <f t="shared" si="7"/>
        <v>42636.911874999998</v>
      </c>
    </row>
    <row r="217" spans="1:7" x14ac:dyDescent="0.25">
      <c r="A217" s="8">
        <v>42636.913784722223</v>
      </c>
      <c r="B217" s="23" t="s">
        <v>393</v>
      </c>
      <c r="C217" s="23" t="s">
        <v>588</v>
      </c>
      <c r="D217" s="23">
        <v>1800000</v>
      </c>
      <c r="E217" s="23" t="s">
        <v>249</v>
      </c>
      <c r="F217" s="23" t="str">
        <f t="shared" si="6"/>
        <v>rtdc.l.rtdc.4040:itc</v>
      </c>
      <c r="G217" s="8">
        <f t="shared" si="7"/>
        <v>42636.913784722223</v>
      </c>
    </row>
    <row r="218" spans="1:7" x14ac:dyDescent="0.25">
      <c r="A218" s="8">
        <v>42636.92119212963</v>
      </c>
      <c r="B218" s="23" t="s">
        <v>165</v>
      </c>
      <c r="C218" s="23" t="s">
        <v>589</v>
      </c>
      <c r="D218" s="23">
        <v>1810000</v>
      </c>
      <c r="E218" s="23" t="s">
        <v>334</v>
      </c>
      <c r="F218" s="23" t="str">
        <f t="shared" si="6"/>
        <v>rtdc.l.rtdc.4020:itc</v>
      </c>
      <c r="G218" s="8">
        <f t="shared" si="7"/>
        <v>42636.92119212963</v>
      </c>
    </row>
    <row r="219" spans="1:7" x14ac:dyDescent="0.25">
      <c r="A219" s="8">
        <v>42636.930092592593</v>
      </c>
      <c r="B219" s="23" t="s">
        <v>309</v>
      </c>
      <c r="C219" s="23" t="s">
        <v>590</v>
      </c>
      <c r="D219" s="23">
        <v>1230000</v>
      </c>
      <c r="E219" s="23" t="s">
        <v>248</v>
      </c>
      <c r="F219" s="23" t="str">
        <f t="shared" si="6"/>
        <v>rtdc.l.rtdc.4028:itc</v>
      </c>
      <c r="G219" s="8">
        <f t="shared" si="7"/>
        <v>42636.930092592593</v>
      </c>
    </row>
    <row r="220" spans="1:7" x14ac:dyDescent="0.25">
      <c r="A220" s="8">
        <v>42636.933506944442</v>
      </c>
      <c r="B220" s="23" t="s">
        <v>305</v>
      </c>
      <c r="C220" s="23" t="s">
        <v>591</v>
      </c>
      <c r="D220" s="23">
        <v>1480000</v>
      </c>
      <c r="E220" s="23" t="s">
        <v>241</v>
      </c>
      <c r="F220" s="23" t="str">
        <f t="shared" si="6"/>
        <v>rtdc.l.rtdc.4016:itc</v>
      </c>
      <c r="G220" s="8">
        <f t="shared" si="7"/>
        <v>42636.933506944442</v>
      </c>
    </row>
    <row r="221" spans="1:7" x14ac:dyDescent="0.25">
      <c r="A221" s="8">
        <v>42636.943576388891</v>
      </c>
      <c r="B221" s="23" t="s">
        <v>164</v>
      </c>
      <c r="C221" s="23" t="s">
        <v>592</v>
      </c>
      <c r="D221" s="23">
        <v>1810000</v>
      </c>
      <c r="E221" s="23" t="s">
        <v>334</v>
      </c>
      <c r="F221" s="23" t="str">
        <f t="shared" si="6"/>
        <v>rtdc.l.rtdc.4019:itc</v>
      </c>
      <c r="G221" s="8">
        <f t="shared" si="7"/>
        <v>42636.943576388891</v>
      </c>
    </row>
    <row r="222" spans="1:7" x14ac:dyDescent="0.25">
      <c r="A222" s="8">
        <v>42636.950127314813</v>
      </c>
      <c r="B222" s="23" t="s">
        <v>165</v>
      </c>
      <c r="C222" s="23" t="s">
        <v>592</v>
      </c>
      <c r="D222" s="23">
        <v>1810000</v>
      </c>
      <c r="E222" s="23" t="s">
        <v>334</v>
      </c>
      <c r="F222" s="23" t="str">
        <f t="shared" si="6"/>
        <v>rtdc.l.rtdc.4020:itc</v>
      </c>
      <c r="G222" s="8">
        <f t="shared" si="7"/>
        <v>42636.950127314813</v>
      </c>
    </row>
    <row r="223" spans="1:7" x14ac:dyDescent="0.25">
      <c r="A223" s="8">
        <v>42636.955243055556</v>
      </c>
      <c r="B223" s="23" t="s">
        <v>423</v>
      </c>
      <c r="C223" s="23" t="s">
        <v>593</v>
      </c>
      <c r="D223" s="23">
        <v>1800000</v>
      </c>
      <c r="E223" s="23" t="s">
        <v>249</v>
      </c>
      <c r="F223" s="23" t="str">
        <f t="shared" si="6"/>
        <v>rtdc.l.rtdc.4039:itc</v>
      </c>
      <c r="G223" s="8">
        <f t="shared" si="7"/>
        <v>42636.955243055556</v>
      </c>
    </row>
    <row r="224" spans="1:7" x14ac:dyDescent="0.25">
      <c r="A224" s="8">
        <v>42636.955347222225</v>
      </c>
      <c r="B224" t="s">
        <v>252</v>
      </c>
      <c r="C224" t="s">
        <v>594</v>
      </c>
      <c r="D224">
        <v>1300000</v>
      </c>
      <c r="E224" t="s">
        <v>121</v>
      </c>
      <c r="F224" s="23" t="str">
        <f t="shared" si="6"/>
        <v>rtdc.l.rtdc.4011:itc</v>
      </c>
      <c r="G224" s="8">
        <f t="shared" si="7"/>
        <v>42636.955347222225</v>
      </c>
    </row>
    <row r="225" spans="1:7" x14ac:dyDescent="0.25">
      <c r="A225" s="8">
        <v>42636.964421296296</v>
      </c>
      <c r="B225" t="s">
        <v>306</v>
      </c>
      <c r="C225" t="s">
        <v>595</v>
      </c>
      <c r="D225">
        <v>1230000</v>
      </c>
      <c r="E225" t="s">
        <v>248</v>
      </c>
      <c r="F225" s="23" t="str">
        <f t="shared" si="6"/>
        <v>rtdc.l.rtdc.4027:itc</v>
      </c>
      <c r="G225" s="8">
        <f t="shared" si="7"/>
        <v>42636.964421296296</v>
      </c>
    </row>
    <row r="226" spans="1:7" x14ac:dyDescent="0.25">
      <c r="A226" s="8">
        <v>42636.969097222223</v>
      </c>
      <c r="B226" t="s">
        <v>404</v>
      </c>
      <c r="C226" t="s">
        <v>596</v>
      </c>
      <c r="D226">
        <v>1480000</v>
      </c>
      <c r="E226" t="s">
        <v>241</v>
      </c>
      <c r="F226" s="23" t="str">
        <f t="shared" si="6"/>
        <v>rtdc.l.rtdc.4015:itc</v>
      </c>
      <c r="G226" s="8">
        <f t="shared" si="7"/>
        <v>42636.969097222223</v>
      </c>
    </row>
    <row r="227" spans="1:7" x14ac:dyDescent="0.25">
      <c r="A227" s="8">
        <v>42636.987581018519</v>
      </c>
      <c r="B227" t="s">
        <v>253</v>
      </c>
      <c r="C227" t="s">
        <v>597</v>
      </c>
      <c r="D227">
        <v>1300000</v>
      </c>
      <c r="E227" t="s">
        <v>121</v>
      </c>
      <c r="F227" s="23" t="str">
        <f t="shared" si="6"/>
        <v>rtdc.l.rtdc.4012:itc</v>
      </c>
      <c r="G227" s="8">
        <f t="shared" si="7"/>
        <v>42636.987581018519</v>
      </c>
    </row>
    <row r="228" spans="1:7" x14ac:dyDescent="0.25">
      <c r="A228" s="8">
        <v>42637.000173611108</v>
      </c>
      <c r="B228" t="s">
        <v>393</v>
      </c>
      <c r="C228" t="s">
        <v>598</v>
      </c>
      <c r="D228">
        <v>1800000</v>
      </c>
      <c r="E228" t="s">
        <v>249</v>
      </c>
      <c r="F228" s="23" t="str">
        <f t="shared" si="6"/>
        <v>rtdc.l.rtdc.4040:itc</v>
      </c>
      <c r="G228" s="8">
        <f t="shared" si="7"/>
        <v>42637.000173611108</v>
      </c>
    </row>
    <row r="229" spans="1:7" x14ac:dyDescent="0.25">
      <c r="A229" s="8">
        <v>42637.008425925924</v>
      </c>
      <c r="B229" t="s">
        <v>305</v>
      </c>
      <c r="C229" t="s">
        <v>599</v>
      </c>
      <c r="D229">
        <v>1480000</v>
      </c>
      <c r="E229" t="s">
        <v>241</v>
      </c>
      <c r="F229" s="23" t="str">
        <f t="shared" si="6"/>
        <v>rtdc.l.rtdc.4016:itc</v>
      </c>
      <c r="G229" s="8">
        <f t="shared" si="7"/>
        <v>42637.008425925924</v>
      </c>
    </row>
    <row r="230" spans="1:7" x14ac:dyDescent="0.25">
      <c r="A230" s="8">
        <v>42637.014398148145</v>
      </c>
      <c r="B230" t="s">
        <v>309</v>
      </c>
      <c r="C230" t="s">
        <v>600</v>
      </c>
      <c r="D230">
        <v>1230000</v>
      </c>
      <c r="E230" t="s">
        <v>248</v>
      </c>
      <c r="F230" s="23" t="str">
        <f t="shared" si="6"/>
        <v>rtdc.l.rtdc.4028:itc</v>
      </c>
      <c r="G230" s="8">
        <f t="shared" si="7"/>
        <v>42637.014398148145</v>
      </c>
    </row>
    <row r="231" spans="1:7" x14ac:dyDescent="0.25">
      <c r="A231" s="8">
        <v>42637.038356481484</v>
      </c>
      <c r="B231" t="s">
        <v>423</v>
      </c>
      <c r="C231" t="s">
        <v>601</v>
      </c>
      <c r="D231">
        <v>1800000</v>
      </c>
      <c r="E231" t="s">
        <v>249</v>
      </c>
      <c r="F231" s="23" t="str">
        <f t="shared" si="6"/>
        <v>rtdc.l.rtdc.4039:itc</v>
      </c>
      <c r="G231" s="8">
        <f t="shared" si="7"/>
        <v>42637.038356481484</v>
      </c>
    </row>
    <row r="232" spans="1:7" x14ac:dyDescent="0.25">
      <c r="A232" s="8">
        <v>42637.040567129632</v>
      </c>
      <c r="B232" t="s">
        <v>252</v>
      </c>
      <c r="C232" t="s">
        <v>602</v>
      </c>
      <c r="D232">
        <v>2260000</v>
      </c>
      <c r="E232" t="s">
        <v>130</v>
      </c>
      <c r="F232" s="23" t="str">
        <f t="shared" si="6"/>
        <v>rtdc.l.rtdc.4011:itc</v>
      </c>
      <c r="G232" s="8">
        <f t="shared" si="7"/>
        <v>42637.040567129632</v>
      </c>
    </row>
    <row r="233" spans="1:7" x14ac:dyDescent="0.25">
      <c r="A233" s="8">
        <v>42637.048101851855</v>
      </c>
      <c r="B233" t="s">
        <v>306</v>
      </c>
      <c r="C233" t="s">
        <v>603</v>
      </c>
      <c r="D233">
        <v>1230000</v>
      </c>
      <c r="E233" t="s">
        <v>248</v>
      </c>
      <c r="F233" s="23" t="str">
        <f t="shared" si="6"/>
        <v>rtdc.l.rtdc.4027:itc</v>
      </c>
      <c r="G233" s="8">
        <f t="shared" si="7"/>
        <v>42637.048101851855</v>
      </c>
    </row>
    <row r="234" spans="1:7" x14ac:dyDescent="0.25">
      <c r="A234" s="8">
        <v>42637.051157407404</v>
      </c>
      <c r="B234" t="s">
        <v>404</v>
      </c>
      <c r="C234" t="s">
        <v>604</v>
      </c>
      <c r="D234">
        <v>1480000</v>
      </c>
      <c r="E234" t="s">
        <v>241</v>
      </c>
      <c r="F234" s="23" t="str">
        <f t="shared" si="6"/>
        <v>rtdc.l.rtdc.4015:itc</v>
      </c>
      <c r="G234" s="8">
        <f t="shared" si="7"/>
        <v>42637.051157407404</v>
      </c>
    </row>
    <row r="235" spans="1:7" x14ac:dyDescent="0.25">
      <c r="A235" s="8">
        <v>42637.072418981479</v>
      </c>
      <c r="B235" t="s">
        <v>393</v>
      </c>
      <c r="C235" t="s">
        <v>605</v>
      </c>
      <c r="D235">
        <v>1800000</v>
      </c>
      <c r="E235" t="s">
        <v>249</v>
      </c>
      <c r="F235" s="23" t="str">
        <f t="shared" si="6"/>
        <v>rtdc.l.rtdc.4040:itc</v>
      </c>
      <c r="G235" s="8">
        <f t="shared" si="7"/>
        <v>42637.072418981479</v>
      </c>
    </row>
    <row r="236" spans="1:7" x14ac:dyDescent="0.25">
      <c r="A236" s="8">
        <v>42637.077384259261</v>
      </c>
      <c r="B236" t="s">
        <v>253</v>
      </c>
      <c r="C236" t="s">
        <v>606</v>
      </c>
      <c r="D236">
        <v>2260000</v>
      </c>
      <c r="E236" t="s">
        <v>130</v>
      </c>
      <c r="F236" s="23" t="str">
        <f t="shared" ref="F236:F265" si="8">B236</f>
        <v>rtdc.l.rtdc.4012:itc</v>
      </c>
      <c r="G236" s="8">
        <f t="shared" ref="G236:G265" si="9">A236</f>
        <v>42637.077384259261</v>
      </c>
    </row>
    <row r="237" spans="1:7" x14ac:dyDescent="0.25">
      <c r="A237" s="8">
        <v>42637.09238425926</v>
      </c>
      <c r="B237" t="s">
        <v>305</v>
      </c>
      <c r="C237" t="s">
        <v>607</v>
      </c>
      <c r="D237">
        <v>1480000</v>
      </c>
      <c r="E237" t="s">
        <v>241</v>
      </c>
      <c r="F237" s="23" t="str">
        <f t="shared" si="8"/>
        <v>rtdc.l.rtdc.4016:itc</v>
      </c>
      <c r="G237" s="8">
        <f t="shared" si="9"/>
        <v>42637.09238425926</v>
      </c>
    </row>
    <row r="238" spans="1:7" x14ac:dyDescent="0.25">
      <c r="A238" s="8">
        <v>42637.111817129633</v>
      </c>
      <c r="B238" t="s">
        <v>252</v>
      </c>
      <c r="C238" t="s">
        <v>608</v>
      </c>
      <c r="D238">
        <v>2260000</v>
      </c>
      <c r="E238" t="s">
        <v>130</v>
      </c>
      <c r="F238" s="23" t="str">
        <f t="shared" si="8"/>
        <v>rtdc.l.rtdc.4011:itc</v>
      </c>
      <c r="G238" s="8">
        <f t="shared" si="9"/>
        <v>42637.111817129633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164</v>
      </c>
      <c r="C240" t="s">
        <v>183</v>
      </c>
      <c r="D240">
        <v>1300000</v>
      </c>
      <c r="E240" t="s">
        <v>121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128</v>
      </c>
      <c r="C241" t="s">
        <v>184</v>
      </c>
      <c r="D241">
        <v>2260000</v>
      </c>
      <c r="E241" t="s">
        <v>130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176</v>
      </c>
      <c r="C242" t="s">
        <v>185</v>
      </c>
      <c r="D242">
        <v>1200000</v>
      </c>
      <c r="E242" t="s">
        <v>182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171</v>
      </c>
      <c r="C243" t="s">
        <v>186</v>
      </c>
      <c r="D243">
        <v>2000000</v>
      </c>
      <c r="E243" t="s">
        <v>122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165</v>
      </c>
      <c r="C244" t="s">
        <v>187</v>
      </c>
      <c r="D244">
        <v>1300000</v>
      </c>
      <c r="E244" t="s">
        <v>121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177</v>
      </c>
      <c r="C245" t="s">
        <v>188</v>
      </c>
      <c r="D245">
        <v>2260000</v>
      </c>
      <c r="E245" t="s">
        <v>130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172</v>
      </c>
      <c r="C246" t="s">
        <v>189</v>
      </c>
      <c r="D246">
        <v>2000000</v>
      </c>
      <c r="E246" t="s">
        <v>122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178</v>
      </c>
      <c r="C247" t="s">
        <v>190</v>
      </c>
      <c r="D247">
        <v>1290000</v>
      </c>
      <c r="E247" t="s">
        <v>173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128</v>
      </c>
      <c r="C248" t="s">
        <v>191</v>
      </c>
      <c r="D248">
        <v>2260000</v>
      </c>
      <c r="E248" t="s">
        <v>130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128</v>
      </c>
      <c r="C249" t="s">
        <v>191</v>
      </c>
      <c r="D249">
        <v>2260000</v>
      </c>
      <c r="E249" t="s">
        <v>130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164</v>
      </c>
      <c r="C250" t="s">
        <v>192</v>
      </c>
      <c r="D250">
        <v>1300000</v>
      </c>
      <c r="E250" t="s">
        <v>121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128</v>
      </c>
      <c r="C251" t="s">
        <v>191</v>
      </c>
      <c r="D251">
        <v>2260000</v>
      </c>
      <c r="E251" t="s">
        <v>130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174</v>
      </c>
      <c r="C252" t="s">
        <v>193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171</v>
      </c>
      <c r="C253" t="s">
        <v>189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176</v>
      </c>
      <c r="C254" t="s">
        <v>194</v>
      </c>
      <c r="D254">
        <v>1290000</v>
      </c>
      <c r="E254" t="s">
        <v>173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175</v>
      </c>
      <c r="C255" t="s">
        <v>195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174</v>
      </c>
      <c r="C256" t="s">
        <v>193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181</v>
      </c>
      <c r="C257" t="s">
        <v>196</v>
      </c>
      <c r="D257">
        <v>1290000</v>
      </c>
      <c r="E257" t="s">
        <v>173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175</v>
      </c>
      <c r="C258" t="s">
        <v>195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204</v>
      </c>
      <c r="B1" s="155" t="s">
        <v>207</v>
      </c>
      <c r="C1" s="155" t="s">
        <v>200</v>
      </c>
      <c r="D1" s="155" t="s">
        <v>232</v>
      </c>
      <c r="E1" s="155" t="s">
        <v>201</v>
      </c>
      <c r="F1" s="155" t="s">
        <v>199</v>
      </c>
      <c r="G1" s="155" t="s">
        <v>197</v>
      </c>
      <c r="H1" s="155" t="s">
        <v>210</v>
      </c>
      <c r="I1" s="155" t="s">
        <v>211</v>
      </c>
      <c r="J1" s="155" t="s">
        <v>274</v>
      </c>
      <c r="K1" s="155" t="s">
        <v>205</v>
      </c>
      <c r="L1" s="155" t="s">
        <v>203</v>
      </c>
      <c r="M1" s="155" t="s">
        <v>198</v>
      </c>
      <c r="N1" s="155" t="s">
        <v>208</v>
      </c>
      <c r="O1" s="155" t="s">
        <v>202</v>
      </c>
      <c r="P1" s="155" t="s">
        <v>209</v>
      </c>
      <c r="Q1" s="155" t="s">
        <v>206</v>
      </c>
    </row>
    <row r="2" spans="1:17" x14ac:dyDescent="0.25">
      <c r="A2" s="154">
        <v>59.79</v>
      </c>
      <c r="B2" s="154">
        <v>0.6</v>
      </c>
      <c r="C2" s="154">
        <v>51.59</v>
      </c>
      <c r="D2" s="169">
        <v>42636</v>
      </c>
      <c r="E2" s="154">
        <v>0.74</v>
      </c>
      <c r="F2" s="154" t="s">
        <v>277</v>
      </c>
      <c r="G2" s="154">
        <v>254.46</v>
      </c>
      <c r="H2" s="154">
        <v>1.6000000000000001E-3</v>
      </c>
      <c r="I2" s="154">
        <v>0.03</v>
      </c>
      <c r="J2" s="154" t="s">
        <v>276</v>
      </c>
      <c r="K2" s="154">
        <v>1008.22</v>
      </c>
      <c r="L2" s="154" t="s">
        <v>278</v>
      </c>
      <c r="M2" s="154">
        <v>59.79</v>
      </c>
      <c r="N2" s="154">
        <v>1474610400</v>
      </c>
      <c r="O2" s="154">
        <v>7.08</v>
      </c>
      <c r="P2" s="154">
        <v>228</v>
      </c>
      <c r="Q2" s="154">
        <v>1</v>
      </c>
    </row>
    <row r="3" spans="1:17" x14ac:dyDescent="0.25">
      <c r="A3" s="154">
        <v>57.59</v>
      </c>
      <c r="B3" s="154">
        <v>0.56000000000000005</v>
      </c>
      <c r="C3" s="154">
        <v>49.73</v>
      </c>
      <c r="D3" s="169">
        <v>42636.041666666664</v>
      </c>
      <c r="E3" s="154">
        <v>0.75</v>
      </c>
      <c r="F3" s="154" t="s">
        <v>277</v>
      </c>
      <c r="G3" s="154">
        <v>254.97</v>
      </c>
      <c r="H3" s="154">
        <v>1.2999999999999999E-3</v>
      </c>
      <c r="I3" s="154">
        <v>0.02</v>
      </c>
      <c r="J3" s="154" t="s">
        <v>276</v>
      </c>
      <c r="K3" s="154">
        <v>1007.71</v>
      </c>
      <c r="L3" s="154" t="s">
        <v>299</v>
      </c>
      <c r="M3" s="154">
        <v>57.59</v>
      </c>
      <c r="N3" s="154">
        <v>1474614000</v>
      </c>
      <c r="O3" s="154">
        <v>7.22</v>
      </c>
      <c r="P3" s="154">
        <v>224</v>
      </c>
      <c r="Q3" s="154">
        <v>1.89</v>
      </c>
    </row>
    <row r="4" spans="1:17" x14ac:dyDescent="0.25">
      <c r="A4" s="154">
        <v>57.09</v>
      </c>
      <c r="B4" s="154">
        <v>0.48</v>
      </c>
      <c r="C4" s="154">
        <v>49.43</v>
      </c>
      <c r="D4" s="169">
        <v>42636.083333333336</v>
      </c>
      <c r="E4" s="154">
        <v>0.76</v>
      </c>
      <c r="F4" s="154" t="s">
        <v>277</v>
      </c>
      <c r="G4" s="154">
        <v>255.49</v>
      </c>
      <c r="H4" s="154">
        <v>1E-3</v>
      </c>
      <c r="I4" s="154">
        <v>0.01</v>
      </c>
      <c r="J4" s="154" t="s">
        <v>276</v>
      </c>
      <c r="K4" s="154">
        <v>1007.23</v>
      </c>
      <c r="L4" s="154" t="s">
        <v>299</v>
      </c>
      <c r="M4" s="154">
        <v>57.09</v>
      </c>
      <c r="N4" s="154">
        <v>1474617600</v>
      </c>
      <c r="O4" s="154">
        <v>7.21</v>
      </c>
      <c r="P4" s="154">
        <v>206</v>
      </c>
      <c r="Q4" s="154">
        <v>1.87</v>
      </c>
    </row>
    <row r="5" spans="1:17" x14ac:dyDescent="0.25">
      <c r="A5" s="154">
        <v>55.73</v>
      </c>
      <c r="B5" s="154">
        <v>0.43</v>
      </c>
      <c r="C5" s="154">
        <v>48.28</v>
      </c>
      <c r="D5" s="169">
        <v>42636.125</v>
      </c>
      <c r="E5" s="154">
        <v>0.76</v>
      </c>
      <c r="F5" s="154" t="s">
        <v>277</v>
      </c>
      <c r="G5" s="154">
        <v>256.01</v>
      </c>
      <c r="H5" s="154">
        <v>0</v>
      </c>
      <c r="I5" s="154">
        <v>0</v>
      </c>
      <c r="K5" s="154">
        <v>1006.77</v>
      </c>
      <c r="L5" s="154" t="s">
        <v>299</v>
      </c>
      <c r="M5" s="154">
        <v>55.73</v>
      </c>
      <c r="N5" s="154">
        <v>1474621200</v>
      </c>
      <c r="O5" s="154">
        <v>7.48</v>
      </c>
      <c r="P5" s="154">
        <v>169</v>
      </c>
      <c r="Q5" s="154">
        <v>2.0499999999999998</v>
      </c>
    </row>
    <row r="6" spans="1:17" x14ac:dyDescent="0.25">
      <c r="A6" s="154">
        <v>55.1</v>
      </c>
      <c r="B6" s="154">
        <v>0.3</v>
      </c>
      <c r="C6" s="154">
        <v>47.62</v>
      </c>
      <c r="D6" s="169">
        <v>42636.166666666664</v>
      </c>
      <c r="E6" s="154">
        <v>0.76</v>
      </c>
      <c r="F6" s="154" t="s">
        <v>277</v>
      </c>
      <c r="G6" s="154">
        <v>256.27</v>
      </c>
      <c r="H6" s="154">
        <v>0</v>
      </c>
      <c r="I6" s="154">
        <v>0</v>
      </c>
      <c r="K6" s="154">
        <v>1006.58</v>
      </c>
      <c r="L6" s="154" t="s">
        <v>299</v>
      </c>
      <c r="M6" s="154">
        <v>55.1</v>
      </c>
      <c r="N6" s="154">
        <v>1474624800</v>
      </c>
      <c r="O6" s="154">
        <v>7.57</v>
      </c>
      <c r="P6" s="154">
        <v>188</v>
      </c>
      <c r="Q6" s="154">
        <v>2.39</v>
      </c>
    </row>
    <row r="7" spans="1:17" x14ac:dyDescent="0.25">
      <c r="A7" s="154">
        <v>54.08</v>
      </c>
      <c r="B7" s="154">
        <v>0.27</v>
      </c>
      <c r="C7" s="154">
        <v>46.24</v>
      </c>
      <c r="D7" s="169">
        <v>42636.208333333336</v>
      </c>
      <c r="E7" s="154">
        <v>0.75</v>
      </c>
      <c r="F7" s="154" t="s">
        <v>277</v>
      </c>
      <c r="G7" s="154">
        <v>256.45</v>
      </c>
      <c r="H7" s="154">
        <v>0</v>
      </c>
      <c r="I7" s="154">
        <v>0</v>
      </c>
      <c r="K7" s="154">
        <v>1006.55</v>
      </c>
      <c r="L7" s="154" t="s">
        <v>299</v>
      </c>
      <c r="M7" s="154">
        <v>54.08</v>
      </c>
      <c r="N7" s="154">
        <v>1474628400</v>
      </c>
      <c r="O7" s="154">
        <v>8.51</v>
      </c>
      <c r="P7" s="154">
        <v>201</v>
      </c>
      <c r="Q7" s="154">
        <v>3.34</v>
      </c>
    </row>
    <row r="8" spans="1:17" x14ac:dyDescent="0.25">
      <c r="A8" s="154">
        <v>53.8</v>
      </c>
      <c r="B8" s="154">
        <v>0.2</v>
      </c>
      <c r="C8" s="154">
        <v>45.91</v>
      </c>
      <c r="D8" s="169">
        <v>42636.25</v>
      </c>
      <c r="E8" s="154">
        <v>0.75</v>
      </c>
      <c r="F8" s="154" t="s">
        <v>384</v>
      </c>
      <c r="G8" s="154">
        <v>256.86</v>
      </c>
      <c r="H8" s="154">
        <v>0</v>
      </c>
      <c r="I8" s="154">
        <v>0</v>
      </c>
      <c r="K8" s="154">
        <v>1006.42</v>
      </c>
      <c r="L8" s="154" t="s">
        <v>385</v>
      </c>
      <c r="M8" s="154">
        <v>53.8</v>
      </c>
      <c r="N8" s="154">
        <v>1474632000</v>
      </c>
      <c r="O8" s="154">
        <v>8.0399999999999991</v>
      </c>
      <c r="P8" s="154">
        <v>215</v>
      </c>
      <c r="Q8" s="154">
        <v>2.37</v>
      </c>
    </row>
    <row r="9" spans="1:17" x14ac:dyDescent="0.25">
      <c r="A9" s="154">
        <v>53.85</v>
      </c>
      <c r="B9" s="154">
        <v>0.18</v>
      </c>
      <c r="C9" s="154">
        <v>45.26</v>
      </c>
      <c r="D9" s="169">
        <v>42636.291666666664</v>
      </c>
      <c r="E9" s="154">
        <v>0.73</v>
      </c>
      <c r="F9" s="154" t="s">
        <v>386</v>
      </c>
      <c r="G9" s="154">
        <v>257.69</v>
      </c>
      <c r="H9" s="154">
        <v>0</v>
      </c>
      <c r="I9" s="154">
        <v>0</v>
      </c>
      <c r="K9" s="154">
        <v>1006.08</v>
      </c>
      <c r="L9" s="154" t="s">
        <v>385</v>
      </c>
      <c r="M9" s="154">
        <v>53.85</v>
      </c>
      <c r="N9" s="154">
        <v>1474635600</v>
      </c>
      <c r="O9" s="154">
        <v>7.68</v>
      </c>
      <c r="P9" s="154">
        <v>204</v>
      </c>
      <c r="Q9" s="154">
        <v>2.66</v>
      </c>
    </row>
    <row r="10" spans="1:17" x14ac:dyDescent="0.25">
      <c r="A10" s="154">
        <v>56.97</v>
      </c>
      <c r="B10" s="154">
        <v>0.16</v>
      </c>
      <c r="C10" s="154">
        <v>46.8</v>
      </c>
      <c r="D10" s="169">
        <v>42636.333333333336</v>
      </c>
      <c r="E10" s="154">
        <v>0.69</v>
      </c>
      <c r="F10" s="154" t="s">
        <v>386</v>
      </c>
      <c r="G10" s="154">
        <v>258.75</v>
      </c>
      <c r="H10" s="154">
        <v>0</v>
      </c>
      <c r="I10" s="154">
        <v>0</v>
      </c>
      <c r="K10" s="154">
        <v>1005.69</v>
      </c>
      <c r="L10" s="154" t="s">
        <v>385</v>
      </c>
      <c r="M10" s="154">
        <v>56.97</v>
      </c>
      <c r="N10" s="154">
        <v>1474639200</v>
      </c>
      <c r="O10" s="154">
        <v>7.52</v>
      </c>
      <c r="P10" s="154">
        <v>187</v>
      </c>
      <c r="Q10" s="154">
        <v>2.3199999999999998</v>
      </c>
    </row>
    <row r="11" spans="1:17" x14ac:dyDescent="0.25">
      <c r="A11" s="154">
        <v>63.31</v>
      </c>
      <c r="B11" s="154">
        <v>0.15</v>
      </c>
      <c r="C11" s="154">
        <v>49.53</v>
      </c>
      <c r="D11" s="169">
        <v>42636.375</v>
      </c>
      <c r="E11" s="154">
        <v>0.61</v>
      </c>
      <c r="F11" s="154" t="s">
        <v>386</v>
      </c>
      <c r="G11" s="154">
        <v>259.70999999999998</v>
      </c>
      <c r="H11" s="154">
        <v>0</v>
      </c>
      <c r="I11" s="154">
        <v>0</v>
      </c>
      <c r="K11" s="154">
        <v>1005.13</v>
      </c>
      <c r="L11" s="154" t="s">
        <v>385</v>
      </c>
      <c r="M11" s="154">
        <v>63.31</v>
      </c>
      <c r="N11" s="154">
        <v>1474642800</v>
      </c>
      <c r="O11" s="154">
        <v>7.72</v>
      </c>
      <c r="P11" s="154">
        <v>173</v>
      </c>
      <c r="Q11" s="154">
        <v>2.74</v>
      </c>
    </row>
    <row r="12" spans="1:17" x14ac:dyDescent="0.25">
      <c r="A12" s="154">
        <v>68.489999999999995</v>
      </c>
      <c r="B12" s="154">
        <v>0.15</v>
      </c>
      <c r="C12" s="154">
        <v>50.1</v>
      </c>
      <c r="D12" s="169">
        <v>42636.416666666664</v>
      </c>
      <c r="E12" s="154">
        <v>0.52</v>
      </c>
      <c r="F12" s="154" t="s">
        <v>386</v>
      </c>
      <c r="G12" s="154">
        <v>260.5</v>
      </c>
      <c r="H12" s="154">
        <v>0</v>
      </c>
      <c r="I12" s="154">
        <v>0</v>
      </c>
      <c r="K12" s="154">
        <v>1004.17</v>
      </c>
      <c r="L12" s="154" t="s">
        <v>385</v>
      </c>
      <c r="M12" s="154">
        <v>68.489999999999995</v>
      </c>
      <c r="N12" s="154">
        <v>1474646400</v>
      </c>
      <c r="O12" s="154">
        <v>7.72</v>
      </c>
      <c r="P12" s="154">
        <v>172</v>
      </c>
      <c r="Q12" s="154">
        <v>4.9000000000000004</v>
      </c>
    </row>
    <row r="13" spans="1:17" x14ac:dyDescent="0.25">
      <c r="A13" s="154">
        <v>75.05</v>
      </c>
      <c r="B13" s="154">
        <v>0.22</v>
      </c>
      <c r="C13" s="154">
        <v>49.18</v>
      </c>
      <c r="D13" s="169">
        <v>42636.458333333336</v>
      </c>
      <c r="E13" s="154">
        <v>0.4</v>
      </c>
      <c r="F13" s="154" t="s">
        <v>386</v>
      </c>
      <c r="G13" s="154">
        <v>261.2</v>
      </c>
      <c r="H13" s="154">
        <v>0</v>
      </c>
      <c r="I13" s="154">
        <v>0</v>
      </c>
      <c r="K13" s="154">
        <v>1003.05</v>
      </c>
      <c r="L13" s="154" t="s">
        <v>385</v>
      </c>
      <c r="M13" s="154">
        <v>75.05</v>
      </c>
      <c r="N13" s="154">
        <v>1474650000</v>
      </c>
      <c r="O13" s="154">
        <v>7.79</v>
      </c>
      <c r="P13" s="154">
        <v>169</v>
      </c>
      <c r="Q13" s="154">
        <v>7.72</v>
      </c>
    </row>
    <row r="14" spans="1:17" x14ac:dyDescent="0.25">
      <c r="A14" s="154">
        <v>78.86</v>
      </c>
      <c r="B14" s="154">
        <v>0.22</v>
      </c>
      <c r="C14" s="154">
        <v>46.65</v>
      </c>
      <c r="D14" s="169">
        <v>42636.5</v>
      </c>
      <c r="E14" s="154">
        <v>0.32</v>
      </c>
      <c r="F14" s="154" t="s">
        <v>386</v>
      </c>
      <c r="G14" s="154">
        <v>261.66000000000003</v>
      </c>
      <c r="H14" s="154">
        <v>0</v>
      </c>
      <c r="I14" s="154">
        <v>0</v>
      </c>
      <c r="K14" s="154">
        <v>1002.1</v>
      </c>
      <c r="L14" s="154" t="s">
        <v>385</v>
      </c>
      <c r="M14" s="154">
        <v>78.86</v>
      </c>
      <c r="N14" s="154">
        <v>1474653600</v>
      </c>
      <c r="O14" s="154">
        <v>7.99</v>
      </c>
      <c r="P14" s="154">
        <v>174</v>
      </c>
      <c r="Q14" s="154">
        <v>11</v>
      </c>
    </row>
    <row r="15" spans="1:17" x14ac:dyDescent="0.25">
      <c r="A15" s="154">
        <v>79.95</v>
      </c>
      <c r="B15" s="154">
        <v>0.28000000000000003</v>
      </c>
      <c r="C15" s="154">
        <v>44.12</v>
      </c>
      <c r="D15" s="169">
        <v>42636.541666666664</v>
      </c>
      <c r="E15" s="154">
        <v>0.27</v>
      </c>
      <c r="F15" s="154" t="s">
        <v>275</v>
      </c>
      <c r="G15" s="154">
        <v>261.5</v>
      </c>
      <c r="H15" s="154">
        <v>8.9999999999999998E-4</v>
      </c>
      <c r="I15" s="154">
        <v>0.01</v>
      </c>
      <c r="J15" s="154" t="s">
        <v>276</v>
      </c>
      <c r="K15" s="154">
        <v>1001.34</v>
      </c>
      <c r="L15" s="154" t="s">
        <v>299</v>
      </c>
      <c r="M15" s="154">
        <v>81.56</v>
      </c>
      <c r="N15" s="154">
        <v>1474657200</v>
      </c>
      <c r="O15" s="154">
        <v>8.08</v>
      </c>
      <c r="P15" s="154">
        <v>175</v>
      </c>
      <c r="Q15" s="154">
        <v>10.46</v>
      </c>
    </row>
    <row r="16" spans="1:17" x14ac:dyDescent="0.25">
      <c r="A16" s="154">
        <v>80.81</v>
      </c>
      <c r="B16" s="154">
        <v>0.28999999999999998</v>
      </c>
      <c r="C16" s="154">
        <v>42.03</v>
      </c>
      <c r="D16" s="169">
        <v>42636.583333333336</v>
      </c>
      <c r="E16" s="154">
        <v>0.24</v>
      </c>
      <c r="F16" s="154" t="s">
        <v>275</v>
      </c>
      <c r="G16" s="154">
        <v>261.11</v>
      </c>
      <c r="H16" s="154">
        <v>1.1000000000000001E-3</v>
      </c>
      <c r="I16" s="154">
        <v>0.01</v>
      </c>
      <c r="J16" s="154" t="s">
        <v>276</v>
      </c>
      <c r="K16" s="154">
        <v>1000.78</v>
      </c>
      <c r="L16" s="154" t="s">
        <v>299</v>
      </c>
      <c r="M16" s="154">
        <v>83.1</v>
      </c>
      <c r="N16" s="154">
        <v>1474660800</v>
      </c>
      <c r="O16" s="154">
        <v>8.1300000000000008</v>
      </c>
      <c r="P16" s="154">
        <v>167</v>
      </c>
      <c r="Q16" s="154">
        <v>11.73</v>
      </c>
    </row>
    <row r="17" spans="1:17" x14ac:dyDescent="0.25">
      <c r="A17" s="154">
        <v>80.98</v>
      </c>
      <c r="B17" s="154">
        <v>0.3</v>
      </c>
      <c r="C17" s="154">
        <v>37.6</v>
      </c>
      <c r="D17" s="169">
        <v>42636.625</v>
      </c>
      <c r="E17" s="154">
        <v>0.19</v>
      </c>
      <c r="F17" s="154" t="s">
        <v>275</v>
      </c>
      <c r="G17" s="154">
        <v>261.51</v>
      </c>
      <c r="H17" s="154">
        <v>2.8E-3</v>
      </c>
      <c r="I17" s="154">
        <v>0.08</v>
      </c>
      <c r="J17" s="154" t="s">
        <v>276</v>
      </c>
      <c r="K17" s="154">
        <v>1000.8</v>
      </c>
      <c r="L17" s="154" t="s">
        <v>299</v>
      </c>
      <c r="M17" s="154">
        <v>83.62</v>
      </c>
      <c r="N17" s="154">
        <v>1474664400</v>
      </c>
      <c r="O17" s="154">
        <v>6.37</v>
      </c>
      <c r="P17" s="154">
        <v>174</v>
      </c>
      <c r="Q17" s="154">
        <v>10.72</v>
      </c>
    </row>
    <row r="18" spans="1:17" x14ac:dyDescent="0.25">
      <c r="A18" s="154">
        <v>80.23</v>
      </c>
      <c r="B18" s="154">
        <v>0.3</v>
      </c>
      <c r="C18" s="154">
        <v>36.21</v>
      </c>
      <c r="D18" s="169">
        <v>42636.666666666664</v>
      </c>
      <c r="E18" s="154">
        <v>0.19</v>
      </c>
      <c r="F18" s="154" t="s">
        <v>275</v>
      </c>
      <c r="G18" s="154">
        <v>263.39</v>
      </c>
      <c r="H18" s="154">
        <v>8.0000000000000004E-4</v>
      </c>
      <c r="I18" s="154">
        <v>0.01</v>
      </c>
      <c r="J18" s="154" t="s">
        <v>276</v>
      </c>
      <c r="K18" s="154">
        <v>1001.71</v>
      </c>
      <c r="L18" s="154" t="s">
        <v>299</v>
      </c>
      <c r="M18" s="154">
        <v>82.59</v>
      </c>
      <c r="N18" s="154">
        <v>1474668000</v>
      </c>
      <c r="O18" s="154">
        <v>7</v>
      </c>
      <c r="P18" s="154">
        <v>187</v>
      </c>
      <c r="Q18" s="154">
        <v>10.4</v>
      </c>
    </row>
    <row r="19" spans="1:17" x14ac:dyDescent="0.25">
      <c r="A19" s="154">
        <v>79.010000000000005</v>
      </c>
      <c r="B19" s="154">
        <v>0.3</v>
      </c>
      <c r="C19" s="154">
        <v>35.35</v>
      </c>
      <c r="D19" s="169">
        <v>42636.708333333336</v>
      </c>
      <c r="E19" s="154">
        <v>0.21</v>
      </c>
      <c r="F19" s="154" t="s">
        <v>275</v>
      </c>
      <c r="G19" s="154">
        <v>266.06</v>
      </c>
      <c r="H19" s="154">
        <v>0</v>
      </c>
      <c r="I19" s="154">
        <v>0</v>
      </c>
      <c r="K19" s="154">
        <v>1003.02</v>
      </c>
      <c r="L19" s="154" t="s">
        <v>299</v>
      </c>
      <c r="M19" s="154">
        <v>79.010000000000005</v>
      </c>
      <c r="N19" s="154">
        <v>1474671600</v>
      </c>
      <c r="O19" s="154">
        <v>7.36</v>
      </c>
      <c r="P19" s="154">
        <v>196</v>
      </c>
      <c r="Q19" s="154">
        <v>9.34</v>
      </c>
    </row>
    <row r="20" spans="1:17" x14ac:dyDescent="0.25">
      <c r="A20" s="154">
        <v>74.739999999999995</v>
      </c>
      <c r="B20" s="154">
        <v>0.24</v>
      </c>
      <c r="C20" s="154">
        <v>35.340000000000003</v>
      </c>
      <c r="D20" s="169">
        <v>42636.75</v>
      </c>
      <c r="E20" s="154">
        <v>0.24</v>
      </c>
      <c r="F20" s="154" t="s">
        <v>386</v>
      </c>
      <c r="G20" s="154">
        <v>268.5</v>
      </c>
      <c r="H20" s="154">
        <v>0</v>
      </c>
      <c r="I20" s="154">
        <v>0</v>
      </c>
      <c r="K20" s="154">
        <v>1003.69</v>
      </c>
      <c r="L20" s="154" t="s">
        <v>385</v>
      </c>
      <c r="M20" s="154">
        <v>74.739999999999995</v>
      </c>
      <c r="N20" s="154">
        <v>1474675200</v>
      </c>
      <c r="O20" s="154">
        <v>7.66</v>
      </c>
      <c r="P20" s="154">
        <v>224</v>
      </c>
      <c r="Q20" s="154">
        <v>8.17</v>
      </c>
    </row>
    <row r="21" spans="1:17" x14ac:dyDescent="0.25">
      <c r="A21" s="154">
        <v>69.400000000000006</v>
      </c>
      <c r="B21" s="154">
        <v>0.32</v>
      </c>
      <c r="C21" s="154">
        <v>36.82</v>
      </c>
      <c r="D21" s="169">
        <v>42636.791666666664</v>
      </c>
      <c r="E21" s="154">
        <v>0.3</v>
      </c>
      <c r="F21" s="154" t="s">
        <v>276</v>
      </c>
      <c r="G21" s="154">
        <v>269.68</v>
      </c>
      <c r="H21" s="154">
        <v>9.7999999999999997E-3</v>
      </c>
      <c r="I21" s="154">
        <v>0.4</v>
      </c>
      <c r="J21" s="154" t="s">
        <v>276</v>
      </c>
      <c r="K21" s="154">
        <v>1004.27</v>
      </c>
      <c r="L21" s="154" t="s">
        <v>387</v>
      </c>
      <c r="M21" s="154">
        <v>69.400000000000006</v>
      </c>
      <c r="N21" s="154">
        <v>1474678800</v>
      </c>
      <c r="O21" s="154">
        <v>8.0399999999999991</v>
      </c>
      <c r="P21" s="154">
        <v>243</v>
      </c>
      <c r="Q21" s="154">
        <v>5.71</v>
      </c>
    </row>
    <row r="22" spans="1:17" x14ac:dyDescent="0.25">
      <c r="A22" s="154">
        <v>65.430000000000007</v>
      </c>
      <c r="B22" s="154">
        <v>0.48</v>
      </c>
      <c r="C22" s="154">
        <v>35.200000000000003</v>
      </c>
      <c r="D22" s="169">
        <v>42636.833333333336</v>
      </c>
      <c r="E22" s="154">
        <v>0.33</v>
      </c>
      <c r="F22" s="154" t="s">
        <v>277</v>
      </c>
      <c r="G22" s="154">
        <v>270.63</v>
      </c>
      <c r="H22" s="154">
        <v>4.8999999999999998E-3</v>
      </c>
      <c r="I22" s="154">
        <v>0.17</v>
      </c>
      <c r="J22" s="154" t="s">
        <v>276</v>
      </c>
      <c r="K22" s="154">
        <v>1005.68</v>
      </c>
      <c r="L22" s="154" t="s">
        <v>299</v>
      </c>
      <c r="M22" s="154">
        <v>65.430000000000007</v>
      </c>
      <c r="N22" s="154">
        <v>1474682400</v>
      </c>
      <c r="O22" s="154">
        <v>8.5</v>
      </c>
      <c r="P22" s="154">
        <v>225</v>
      </c>
      <c r="Q22" s="154">
        <v>5.74</v>
      </c>
    </row>
    <row r="23" spans="1:17" x14ac:dyDescent="0.25">
      <c r="A23" s="154">
        <v>62.33</v>
      </c>
      <c r="B23" s="154">
        <v>0.67</v>
      </c>
      <c r="C23" s="154">
        <v>32.49</v>
      </c>
      <c r="D23" s="169">
        <v>42636.875</v>
      </c>
      <c r="E23" s="154">
        <v>0.33</v>
      </c>
      <c r="F23" s="154" t="s">
        <v>276</v>
      </c>
      <c r="G23" s="154">
        <v>273.33999999999997</v>
      </c>
      <c r="H23" s="154">
        <v>8.0000000000000002E-3</v>
      </c>
      <c r="I23" s="154">
        <v>0.33</v>
      </c>
      <c r="J23" s="154" t="s">
        <v>276</v>
      </c>
      <c r="K23" s="154">
        <v>1007.24</v>
      </c>
      <c r="L23" s="154" t="s">
        <v>383</v>
      </c>
      <c r="M23" s="154">
        <v>62.33</v>
      </c>
      <c r="N23" s="154">
        <v>1474686000</v>
      </c>
      <c r="O23" s="154">
        <v>8.98</v>
      </c>
      <c r="P23" s="154">
        <v>214</v>
      </c>
      <c r="Q23" s="154">
        <v>4.6900000000000004</v>
      </c>
    </row>
    <row r="24" spans="1:17" x14ac:dyDescent="0.25">
      <c r="A24" s="154">
        <v>59.15</v>
      </c>
      <c r="B24" s="154">
        <v>0.79</v>
      </c>
      <c r="C24" s="154">
        <v>30.52</v>
      </c>
      <c r="D24" s="169">
        <v>42636.916666666664</v>
      </c>
      <c r="E24" s="154">
        <v>0.34</v>
      </c>
      <c r="F24" s="154" t="s">
        <v>277</v>
      </c>
      <c r="G24" s="154">
        <v>279.82</v>
      </c>
      <c r="H24" s="154">
        <v>3.3E-3</v>
      </c>
      <c r="I24" s="154">
        <v>0.1</v>
      </c>
      <c r="J24" s="154" t="s">
        <v>276</v>
      </c>
      <c r="K24" s="154">
        <v>1008.29</v>
      </c>
      <c r="L24" s="154" t="s">
        <v>278</v>
      </c>
      <c r="M24" s="154">
        <v>59.15</v>
      </c>
      <c r="N24" s="154">
        <v>1474689600</v>
      </c>
      <c r="O24" s="154">
        <v>9.2100000000000009</v>
      </c>
      <c r="P24" s="154">
        <v>205</v>
      </c>
      <c r="Q24" s="154">
        <v>2.81</v>
      </c>
    </row>
    <row r="25" spans="1:17" x14ac:dyDescent="0.25">
      <c r="A25" s="154">
        <v>57.07</v>
      </c>
      <c r="B25" s="154">
        <v>0.62</v>
      </c>
      <c r="C25" s="154">
        <v>30.44</v>
      </c>
      <c r="D25" s="169">
        <v>42636.958333333336</v>
      </c>
      <c r="E25" s="154">
        <v>0.36</v>
      </c>
      <c r="F25" s="154" t="s">
        <v>277</v>
      </c>
      <c r="G25" s="154">
        <v>288.07</v>
      </c>
      <c r="H25" s="154">
        <v>0</v>
      </c>
      <c r="I25" s="154">
        <v>0</v>
      </c>
      <c r="K25" s="154">
        <v>1009.04</v>
      </c>
      <c r="L25" s="154" t="s">
        <v>278</v>
      </c>
      <c r="M25" s="154">
        <v>57.07</v>
      </c>
      <c r="N25" s="154">
        <v>1474693200</v>
      </c>
      <c r="O25" s="154">
        <v>9.11</v>
      </c>
      <c r="P25" s="154">
        <v>192</v>
      </c>
      <c r="Q25" s="154">
        <v>2.0299999999999998</v>
      </c>
    </row>
    <row r="26" spans="1:17" x14ac:dyDescent="0.25">
      <c r="A26" s="154">
        <v>55.06</v>
      </c>
      <c r="B26" s="154">
        <v>0.53</v>
      </c>
      <c r="C26" s="154">
        <v>28.99</v>
      </c>
      <c r="D26" s="169">
        <v>42637</v>
      </c>
      <c r="E26" s="154">
        <v>0.37</v>
      </c>
      <c r="F26" s="154" t="s">
        <v>277</v>
      </c>
      <c r="G26" s="154">
        <v>294.14</v>
      </c>
      <c r="H26" s="154">
        <v>0</v>
      </c>
      <c r="I26" s="154">
        <v>0</v>
      </c>
      <c r="K26" s="154">
        <v>1009.74</v>
      </c>
      <c r="L26" s="154" t="s">
        <v>299</v>
      </c>
      <c r="M26" s="154">
        <v>55.06</v>
      </c>
      <c r="N26" s="154">
        <v>1474696800</v>
      </c>
      <c r="O26" s="154">
        <v>9.18</v>
      </c>
      <c r="P26" s="154">
        <v>231</v>
      </c>
      <c r="Q26" s="154">
        <v>2.41</v>
      </c>
    </row>
    <row r="27" spans="1:17" x14ac:dyDescent="0.25">
      <c r="A27" s="154">
        <v>53.16</v>
      </c>
      <c r="B27" s="154">
        <v>0.59</v>
      </c>
      <c r="C27" s="154">
        <v>28.36</v>
      </c>
      <c r="D27" s="169">
        <v>42637.041666666664</v>
      </c>
      <c r="E27" s="154">
        <v>0.38</v>
      </c>
      <c r="F27" s="154" t="s">
        <v>277</v>
      </c>
      <c r="G27" s="154">
        <v>294.52</v>
      </c>
      <c r="H27" s="154">
        <v>8.0000000000000004E-4</v>
      </c>
      <c r="I27" s="154">
        <v>0.01</v>
      </c>
      <c r="J27" s="154" t="s">
        <v>276</v>
      </c>
      <c r="K27" s="154">
        <v>1010.77</v>
      </c>
      <c r="L27" s="154" t="s">
        <v>299</v>
      </c>
      <c r="M27" s="154">
        <v>53.16</v>
      </c>
      <c r="N27" s="154">
        <v>1474700400</v>
      </c>
      <c r="O27" s="154">
        <v>9.24</v>
      </c>
      <c r="P27" s="154">
        <v>276</v>
      </c>
      <c r="Q27" s="154">
        <v>2.4900000000000002</v>
      </c>
    </row>
    <row r="28" spans="1:17" x14ac:dyDescent="0.25">
      <c r="A28" s="154">
        <v>51.23</v>
      </c>
      <c r="B28" s="154">
        <v>0.48</v>
      </c>
      <c r="C28" s="154">
        <v>29.28</v>
      </c>
      <c r="D28" s="169">
        <v>42637.083333333336</v>
      </c>
      <c r="E28" s="154">
        <v>0.43</v>
      </c>
      <c r="F28" s="154" t="s">
        <v>277</v>
      </c>
      <c r="G28" s="154">
        <v>294.89999999999998</v>
      </c>
      <c r="H28" s="154">
        <v>0</v>
      </c>
      <c r="I28" s="154">
        <v>0</v>
      </c>
      <c r="K28" s="154">
        <v>1011.61</v>
      </c>
      <c r="L28" s="154" t="s">
        <v>299</v>
      </c>
      <c r="M28" s="154">
        <v>51.23</v>
      </c>
      <c r="N28" s="154">
        <v>1474704000</v>
      </c>
      <c r="O28" s="154">
        <v>9.24</v>
      </c>
      <c r="P28" s="154">
        <v>135</v>
      </c>
      <c r="Q28" s="154">
        <v>0.51</v>
      </c>
    </row>
    <row r="29" spans="1:17" x14ac:dyDescent="0.25">
      <c r="A29" s="154">
        <v>48.83</v>
      </c>
      <c r="B29" s="154">
        <v>0.26</v>
      </c>
      <c r="C29" s="154">
        <v>33.380000000000003</v>
      </c>
      <c r="D29" s="169">
        <v>42637.125</v>
      </c>
      <c r="E29" s="154">
        <v>0.55000000000000004</v>
      </c>
      <c r="F29" s="154" t="s">
        <v>277</v>
      </c>
      <c r="G29" s="154">
        <v>295.29000000000002</v>
      </c>
      <c r="H29" s="154">
        <v>0</v>
      </c>
      <c r="I29" s="154">
        <v>0</v>
      </c>
      <c r="K29" s="154">
        <v>1012.39</v>
      </c>
      <c r="L29" s="154" t="s">
        <v>299</v>
      </c>
      <c r="M29" s="154">
        <v>48.83</v>
      </c>
      <c r="N29" s="154">
        <v>1474707600</v>
      </c>
      <c r="O29" s="154">
        <v>9.01</v>
      </c>
      <c r="P29" s="154">
        <v>165</v>
      </c>
      <c r="Q29" s="154">
        <v>2.1</v>
      </c>
    </row>
    <row r="31" spans="1:17" x14ac:dyDescent="0.25">
      <c r="A31" s="154" t="s">
        <v>388</v>
      </c>
    </row>
    <row r="33" spans="1:1" x14ac:dyDescent="0.25">
      <c r="A33" s="154" t="s">
        <v>212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107</v>
      </c>
      <c r="D1" s="74" t="s">
        <v>108</v>
      </c>
      <c r="J1" s="34" t="s">
        <v>109</v>
      </c>
      <c r="K1" s="34" t="s">
        <v>72</v>
      </c>
      <c r="L1" s="34" t="s">
        <v>73</v>
      </c>
      <c r="O1" s="77" t="s">
        <v>110</v>
      </c>
    </row>
    <row r="2" spans="1:16" ht="15.75" thickBot="1" x14ac:dyDescent="0.3">
      <c r="A2" s="14">
        <v>42636</v>
      </c>
      <c r="B2" s="4"/>
      <c r="C2" s="75">
        <v>50</v>
      </c>
      <c r="D2" s="76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129</v>
      </c>
    </row>
    <row r="21" spans="10:13" x14ac:dyDescent="0.25">
      <c r="J21" s="23" t="s">
        <v>97</v>
      </c>
      <c r="K21" s="23" t="s">
        <v>98</v>
      </c>
      <c r="M21" s="70" t="s">
        <v>98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114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166</v>
      </c>
      <c r="M25" s="70" t="b">
        <v>1</v>
      </c>
    </row>
    <row r="26" spans="10:13" x14ac:dyDescent="0.25">
      <c r="J26" t="s">
        <v>167</v>
      </c>
      <c r="M26" s="70" t="str">
        <f>"C:\Users\stu\Documents\GitHub\eaglep3-reporting\EC\"&amp;TEXT(A2,"yyyy-mm-dd")&amp;"-refined-times.txt"</f>
        <v>C:\Users\stu\Documents\GitHub\eaglep3-reporting\EC\2016-09-23-refined-times.txt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3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135</v>
      </c>
      <c r="B1" s="127" t="s">
        <v>136</v>
      </c>
      <c r="C1" s="128" t="s">
        <v>137</v>
      </c>
      <c r="H1" t="s">
        <v>131</v>
      </c>
      <c r="I1" s="129" t="s">
        <v>133</v>
      </c>
      <c r="J1"/>
    </row>
    <row r="2" spans="1:11" x14ac:dyDescent="0.25">
      <c r="A2" s="128" t="s">
        <v>138</v>
      </c>
      <c r="B2" s="128" t="s">
        <v>139</v>
      </c>
      <c r="C2" s="128" t="s">
        <v>140</v>
      </c>
      <c r="H2" t="s">
        <v>132</v>
      </c>
      <c r="I2" s="114" t="s">
        <v>134</v>
      </c>
      <c r="J2"/>
    </row>
    <row r="3" spans="1:11" x14ac:dyDescent="0.25">
      <c r="A3" s="128" t="s">
        <v>141</v>
      </c>
      <c r="B3" s="128" t="s">
        <v>142</v>
      </c>
      <c r="C3" s="128" t="s">
        <v>143</v>
      </c>
      <c r="H3" t="s">
        <v>157</v>
      </c>
      <c r="I3" s="114">
        <v>1</v>
      </c>
      <c r="J3"/>
      <c r="K3" s="70"/>
    </row>
    <row r="4" spans="1:11" x14ac:dyDescent="0.25">
      <c r="A4" s="128" t="s">
        <v>144</v>
      </c>
      <c r="C4" s="128" t="s">
        <v>145</v>
      </c>
      <c r="H4" t="s">
        <v>158</v>
      </c>
      <c r="I4" s="114">
        <v>2</v>
      </c>
      <c r="J4"/>
      <c r="K4" s="70"/>
    </row>
    <row r="5" spans="1:11" x14ac:dyDescent="0.25">
      <c r="A5" s="128" t="s">
        <v>146</v>
      </c>
      <c r="C5" s="128" t="s">
        <v>147</v>
      </c>
      <c r="H5" t="s">
        <v>159</v>
      </c>
      <c r="I5" s="114">
        <v>23</v>
      </c>
      <c r="J5"/>
      <c r="K5" s="70"/>
    </row>
    <row r="6" spans="1:11" x14ac:dyDescent="0.25">
      <c r="A6" s="128" t="s">
        <v>148</v>
      </c>
      <c r="C6" s="128" t="s">
        <v>149</v>
      </c>
      <c r="H6" s="131" t="s">
        <v>160</v>
      </c>
      <c r="I6" s="132" t="s">
        <v>139</v>
      </c>
    </row>
    <row r="7" spans="1:11" x14ac:dyDescent="0.25">
      <c r="A7" s="128" t="s">
        <v>150</v>
      </c>
      <c r="C7" s="128" t="s">
        <v>151</v>
      </c>
    </row>
    <row r="8" spans="1:11" x14ac:dyDescent="0.25">
      <c r="C8" s="128" t="s">
        <v>152</v>
      </c>
    </row>
    <row r="9" spans="1:11" x14ac:dyDescent="0.25">
      <c r="C9" s="131" t="s">
        <v>242</v>
      </c>
    </row>
    <row r="10" spans="1:11" x14ac:dyDescent="0.25">
      <c r="C10" s="128" t="s">
        <v>153</v>
      </c>
    </row>
    <row r="11" spans="1:11" x14ac:dyDescent="0.25">
      <c r="C11" s="128" t="s">
        <v>154</v>
      </c>
    </row>
    <row r="12" spans="1:11" x14ac:dyDescent="0.25">
      <c r="C12" s="128" t="s">
        <v>155</v>
      </c>
    </row>
    <row r="13" spans="1:11" x14ac:dyDescent="0.25">
      <c r="C13" s="128" t="s">
        <v>156</v>
      </c>
    </row>
    <row r="14" spans="1:11" x14ac:dyDescent="0.25">
      <c r="C14" s="131" t="s">
        <v>243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2016-09-27T15:22:59Z</dcterms:modified>
</cp:coreProperties>
</file>