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Trips'!$A$2:$J$40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8" i="1" l="1"/>
  <c r="X204" i="1"/>
  <c r="X205" i="1"/>
  <c r="K179" i="1" l="1"/>
  <c r="L179" i="1"/>
  <c r="M179" i="1"/>
  <c r="P179" i="1" s="1"/>
  <c r="V179" i="1"/>
  <c r="AA179" i="1"/>
  <c r="AB179" i="1"/>
  <c r="AC179" i="1"/>
  <c r="AD179" i="1"/>
  <c r="T179" i="1" s="1"/>
  <c r="AE179" i="1"/>
  <c r="AF179" i="1"/>
  <c r="AH179" i="1"/>
  <c r="AM179" i="1"/>
  <c r="AN179" i="1"/>
  <c r="P113" i="1"/>
  <c r="K113" i="1"/>
  <c r="L113" i="1"/>
  <c r="M113" i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P52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X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A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T33" i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K52" i="1"/>
  <c r="L52" i="1"/>
  <c r="M52" i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R19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R20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T73" i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T74" i="1"/>
  <c r="V74" i="1"/>
  <c r="S21" i="3" s="1"/>
  <c r="Y74" i="1"/>
  <c r="Z74" i="1"/>
  <c r="AB74" i="1"/>
  <c r="AC74" i="1"/>
  <c r="AD74" i="1"/>
  <c r="X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T81" i="1"/>
  <c r="V81" i="1"/>
  <c r="X81" i="1"/>
  <c r="Y81" i="1"/>
  <c r="Z81" i="1"/>
  <c r="AA81" i="1" s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T82" i="1"/>
  <c r="V82" i="1"/>
  <c r="X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R15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R32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P98" i="1" s="1"/>
  <c r="V98" i="1"/>
  <c r="Y98" i="1"/>
  <c r="Z98" i="1"/>
  <c r="AB98" i="1"/>
  <c r="AC98" i="1"/>
  <c r="AD98" i="1"/>
  <c r="T98" i="1" s="1"/>
  <c r="AE98" i="1"/>
  <c r="R29" i="3" s="1"/>
  <c r="AF98" i="1"/>
  <c r="AH98" i="1"/>
  <c r="AM98" i="1"/>
  <c r="AN98" i="1"/>
  <c r="K99" i="1"/>
  <c r="L99" i="1"/>
  <c r="M99" i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T101" i="1"/>
  <c r="V101" i="1"/>
  <c r="X101" i="1"/>
  <c r="Y101" i="1"/>
  <c r="Z101" i="1"/>
  <c r="AA101" i="1" s="1"/>
  <c r="AB101" i="1"/>
  <c r="AC101" i="1"/>
  <c r="AD101" i="1"/>
  <c r="AE101" i="1"/>
  <c r="AF101" i="1"/>
  <c r="AH101" i="1"/>
  <c r="AM101" i="1"/>
  <c r="AN101" i="1"/>
  <c r="K102" i="1"/>
  <c r="L102" i="1"/>
  <c r="M102" i="1"/>
  <c r="N102" i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R13" i="3" s="1"/>
  <c r="AF103" i="1"/>
  <c r="AH103" i="1"/>
  <c r="AM103" i="1"/>
  <c r="AN103" i="1"/>
  <c r="K104" i="1"/>
  <c r="L104" i="1"/>
  <c r="M104" i="1"/>
  <c r="N104" i="1" s="1"/>
  <c r="V104" i="1"/>
  <c r="Y104" i="1"/>
  <c r="Z104" i="1"/>
  <c r="AA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T105" i="1"/>
  <c r="V105" i="1"/>
  <c r="X105" i="1"/>
  <c r="Y105" i="1"/>
  <c r="Z105" i="1"/>
  <c r="AA105" i="1" s="1"/>
  <c r="AB105" i="1"/>
  <c r="AC105" i="1"/>
  <c r="AD105" i="1"/>
  <c r="AE105" i="1"/>
  <c r="AF105" i="1"/>
  <c r="AH105" i="1"/>
  <c r="AM105" i="1"/>
  <c r="AN105" i="1"/>
  <c r="K106" i="1"/>
  <c r="L106" i="1"/>
  <c r="M106" i="1"/>
  <c r="N106" i="1"/>
  <c r="V106" i="1"/>
  <c r="S34" i="3" s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R22" i="3" s="1"/>
  <c r="AF107" i="1"/>
  <c r="AH107" i="1"/>
  <c r="AM107" i="1"/>
  <c r="AN107" i="1"/>
  <c r="K108" i="1"/>
  <c r="L108" i="1"/>
  <c r="M108" i="1"/>
  <c r="N108" i="1" s="1"/>
  <c r="V108" i="1"/>
  <c r="Y108" i="1"/>
  <c r="Z108" i="1"/>
  <c r="AA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T109" i="1"/>
  <c r="V109" i="1"/>
  <c r="X109" i="1"/>
  <c r="Y109" i="1"/>
  <c r="Z109" i="1"/>
  <c r="AA109" i="1" s="1"/>
  <c r="AB109" i="1"/>
  <c r="AC109" i="1"/>
  <c r="AD109" i="1"/>
  <c r="AE109" i="1"/>
  <c r="AF109" i="1"/>
  <c r="AH109" i="1"/>
  <c r="AM109" i="1"/>
  <c r="AN109" i="1"/>
  <c r="K110" i="1"/>
  <c r="L110" i="1"/>
  <c r="M110" i="1"/>
  <c r="N110" i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/>
  <c r="AB112" i="1"/>
  <c r="AC112" i="1"/>
  <c r="AD112" i="1"/>
  <c r="T112" i="1" s="1"/>
  <c r="AE112" i="1"/>
  <c r="AF112" i="1"/>
  <c r="AH112" i="1"/>
  <c r="AM112" i="1"/>
  <c r="AN112" i="1"/>
  <c r="K114" i="1"/>
  <c r="L114" i="1"/>
  <c r="M114" i="1"/>
  <c r="N114" i="1" s="1"/>
  <c r="T114" i="1"/>
  <c r="V114" i="1"/>
  <c r="Y114" i="1"/>
  <c r="Z114" i="1"/>
  <c r="AB114" i="1"/>
  <c r="AC114" i="1"/>
  <c r="AD114" i="1"/>
  <c r="X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P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P120" i="1" s="1"/>
  <c r="V120" i="1"/>
  <c r="Y120" i="1"/>
  <c r="AA120" i="1" s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26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T129" i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T130" i="1"/>
  <c r="V130" i="1"/>
  <c r="Y130" i="1"/>
  <c r="Z130" i="1"/>
  <c r="AB130" i="1"/>
  <c r="AC130" i="1"/>
  <c r="AD130" i="1"/>
  <c r="X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X132" i="1" s="1"/>
  <c r="AE131" i="1"/>
  <c r="AF131" i="1"/>
  <c r="AH131" i="1"/>
  <c r="AM131" i="1"/>
  <c r="AN131" i="1"/>
  <c r="K132" i="1"/>
  <c r="L132" i="1"/>
  <c r="M132" i="1"/>
  <c r="N132" i="1" s="1"/>
  <c r="V132" i="1"/>
  <c r="S12" i="3" s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S17" i="3" s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S16" i="3" s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AA148" i="1" s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X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AM159" i="1"/>
  <c r="AN159" i="1"/>
  <c r="K208" i="1"/>
  <c r="L208" i="1"/>
  <c r="M208" i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/>
  <c r="V220" i="1"/>
  <c r="Y220" i="1"/>
  <c r="AA220" i="1" s="1"/>
  <c r="Z220" i="1"/>
  <c r="AB220" i="1"/>
  <c r="AC220" i="1"/>
  <c r="AD220" i="1"/>
  <c r="T220" i="1" s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3" i="1"/>
  <c r="AM173" i="1"/>
  <c r="AN173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4" i="1"/>
  <c r="AM174" i="1"/>
  <c r="AN174" i="1"/>
  <c r="K229" i="1"/>
  <c r="L229" i="1"/>
  <c r="M229" i="1"/>
  <c r="N229" i="1" s="1"/>
  <c r="V229" i="1"/>
  <c r="S52" i="3" s="1"/>
  <c r="Y229" i="1"/>
  <c r="Z229" i="1"/>
  <c r="AB229" i="1"/>
  <c r="AC229" i="1"/>
  <c r="AD229" i="1"/>
  <c r="T229" i="1" s="1"/>
  <c r="AE229" i="1"/>
  <c r="R52" i="3" s="1"/>
  <c r="AF229" i="1"/>
  <c r="AH175" i="1"/>
  <c r="AM175" i="1"/>
  <c r="AN175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X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T240" i="1"/>
  <c r="V240" i="1"/>
  <c r="X240" i="1"/>
  <c r="Y240" i="1"/>
  <c r="Z240" i="1"/>
  <c r="AB240" i="1"/>
  <c r="AC240" i="1"/>
  <c r="AD240" i="1"/>
  <c r="AE240" i="1"/>
  <c r="AF240" i="1"/>
  <c r="AH187" i="1"/>
  <c r="AM187" i="1"/>
  <c r="AN187" i="1"/>
  <c r="K159" i="1"/>
  <c r="L159" i="1"/>
  <c r="M159" i="1"/>
  <c r="N159" i="1"/>
  <c r="V159" i="1"/>
  <c r="Y159" i="1"/>
  <c r="Z159" i="1"/>
  <c r="AB159" i="1"/>
  <c r="AC159" i="1"/>
  <c r="AD159" i="1"/>
  <c r="T159" i="1" s="1"/>
  <c r="AE159" i="1"/>
  <c r="AF159" i="1"/>
  <c r="AH188" i="1"/>
  <c r="AM188" i="1"/>
  <c r="AN18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9" i="1"/>
  <c r="AM189" i="1"/>
  <c r="AN189" i="1"/>
  <c r="K161" i="1"/>
  <c r="L161" i="1"/>
  <c r="M161" i="1"/>
  <c r="N161" i="1" s="1"/>
  <c r="V161" i="1"/>
  <c r="X161" i="1"/>
  <c r="Y161" i="1"/>
  <c r="Z161" i="1"/>
  <c r="AA161" i="1" s="1"/>
  <c r="AB161" i="1"/>
  <c r="AC161" i="1"/>
  <c r="AD161" i="1"/>
  <c r="T161" i="1" s="1"/>
  <c r="AE161" i="1"/>
  <c r="AF161" i="1"/>
  <c r="AH190" i="1"/>
  <c r="AM190" i="1"/>
  <c r="AN190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1" i="1"/>
  <c r="AM191" i="1"/>
  <c r="AN19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2" i="1"/>
  <c r="AM192" i="1"/>
  <c r="AN19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3" i="1"/>
  <c r="AM193" i="1"/>
  <c r="AN193" i="1"/>
  <c r="K165" i="1"/>
  <c r="L165" i="1"/>
  <c r="M165" i="1"/>
  <c r="N165" i="1" s="1"/>
  <c r="V165" i="1"/>
  <c r="S44" i="3" s="1"/>
  <c r="Y165" i="1"/>
  <c r="Z165" i="1"/>
  <c r="AA165" i="1" s="1"/>
  <c r="AB165" i="1"/>
  <c r="AC165" i="1"/>
  <c r="AD165" i="1"/>
  <c r="AE165" i="1"/>
  <c r="R39" i="3" s="1"/>
  <c r="AF165" i="1"/>
  <c r="AH194" i="1"/>
  <c r="AM194" i="1"/>
  <c r="AN19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5" i="1"/>
  <c r="AM195" i="1"/>
  <c r="AN195" i="1"/>
  <c r="K167" i="1"/>
  <c r="L167" i="1"/>
  <c r="M167" i="1"/>
  <c r="N167" i="1" s="1"/>
  <c r="V167" i="1"/>
  <c r="S46" i="3" s="1"/>
  <c r="Y167" i="1"/>
  <c r="Z167" i="1"/>
  <c r="AB167" i="1"/>
  <c r="AC167" i="1"/>
  <c r="AD167" i="1"/>
  <c r="T167" i="1" s="1"/>
  <c r="AE167" i="1"/>
  <c r="R45" i="3" s="1"/>
  <c r="AF167" i="1"/>
  <c r="AH196" i="1"/>
  <c r="AM196" i="1"/>
  <c r="AN19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7" i="1"/>
  <c r="AM197" i="1"/>
  <c r="AN19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8" i="1"/>
  <c r="AM198" i="1"/>
  <c r="AN19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9" i="1"/>
  <c r="AM199" i="1"/>
  <c r="AN19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0" i="1"/>
  <c r="AM200" i="1"/>
  <c r="AN200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201" i="1"/>
  <c r="AM201" i="1"/>
  <c r="AN201" i="1"/>
  <c r="K173" i="1"/>
  <c r="L173" i="1"/>
  <c r="M173" i="1"/>
  <c r="N173" i="1" s="1"/>
  <c r="V173" i="1"/>
  <c r="X173" i="1"/>
  <c r="Y173" i="1"/>
  <c r="Z173" i="1"/>
  <c r="AA173" i="1"/>
  <c r="AB173" i="1"/>
  <c r="AC173" i="1"/>
  <c r="AD173" i="1"/>
  <c r="T173" i="1" s="1"/>
  <c r="AE173" i="1"/>
  <c r="AF173" i="1"/>
  <c r="AH202" i="1"/>
  <c r="AM202" i="1"/>
  <c r="AN202" i="1"/>
  <c r="K174" i="1"/>
  <c r="L174" i="1"/>
  <c r="M174" i="1"/>
  <c r="N174" i="1" s="1"/>
  <c r="T174" i="1"/>
  <c r="V174" i="1"/>
  <c r="S41" i="3" s="1"/>
  <c r="X174" i="1"/>
  <c r="Y174" i="1"/>
  <c r="Z174" i="1"/>
  <c r="AB174" i="1"/>
  <c r="AC174" i="1"/>
  <c r="AD174" i="1"/>
  <c r="AE174" i="1"/>
  <c r="R41" i="3" s="1"/>
  <c r="AF174" i="1"/>
  <c r="AH203" i="1"/>
  <c r="AM203" i="1"/>
  <c r="AN203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4" i="1"/>
  <c r="AM204" i="1"/>
  <c r="AN204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205" i="1"/>
  <c r="AM205" i="1"/>
  <c r="AN205" i="1"/>
  <c r="K178" i="1"/>
  <c r="L178" i="1"/>
  <c r="M178" i="1"/>
  <c r="N178" i="1" s="1"/>
  <c r="T178" i="1"/>
  <c r="V178" i="1"/>
  <c r="Y178" i="1"/>
  <c r="Z178" i="1"/>
  <c r="AB178" i="1"/>
  <c r="AC178" i="1"/>
  <c r="AD178" i="1"/>
  <c r="AE178" i="1"/>
  <c r="AF178" i="1"/>
  <c r="AH206" i="1"/>
  <c r="AM206" i="1"/>
  <c r="AN206" i="1"/>
  <c r="K180" i="1"/>
  <c r="L180" i="1"/>
  <c r="M180" i="1"/>
  <c r="N180" i="1"/>
  <c r="V180" i="1"/>
  <c r="Y180" i="1"/>
  <c r="Z180" i="1"/>
  <c r="AB180" i="1"/>
  <c r="AC180" i="1"/>
  <c r="AD180" i="1"/>
  <c r="AE180" i="1"/>
  <c r="AF180" i="1"/>
  <c r="AH207" i="1"/>
  <c r="AM207" i="1"/>
  <c r="AN207" i="1"/>
  <c r="K181" i="1"/>
  <c r="L181" i="1"/>
  <c r="M181" i="1"/>
  <c r="N181" i="1" s="1"/>
  <c r="V181" i="1"/>
  <c r="Y181" i="1"/>
  <c r="AA181" i="1" s="1"/>
  <c r="Z181" i="1"/>
  <c r="AB181" i="1"/>
  <c r="AC181" i="1"/>
  <c r="AD181" i="1"/>
  <c r="T181" i="1" s="1"/>
  <c r="AE181" i="1"/>
  <c r="AF181" i="1"/>
  <c r="AH208" i="1"/>
  <c r="AM208" i="1"/>
  <c r="AN208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09" i="1"/>
  <c r="AM209" i="1"/>
  <c r="AN20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0" i="1"/>
  <c r="AM210" i="1"/>
  <c r="AN21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1" i="1"/>
  <c r="AM211" i="1"/>
  <c r="AN211" i="1"/>
  <c r="K185" i="1"/>
  <c r="L185" i="1"/>
  <c r="M185" i="1"/>
  <c r="N185" i="1" s="1"/>
  <c r="V185" i="1"/>
  <c r="S42" i="3" s="1"/>
  <c r="Y185" i="1"/>
  <c r="Z185" i="1"/>
  <c r="AB185" i="1"/>
  <c r="AC185" i="1"/>
  <c r="AD185" i="1"/>
  <c r="T185" i="1" s="1"/>
  <c r="AE185" i="1"/>
  <c r="R47" i="3" s="1"/>
  <c r="AF185" i="1"/>
  <c r="AH212" i="1"/>
  <c r="AM212" i="1"/>
  <c r="AN212" i="1"/>
  <c r="K186" i="1"/>
  <c r="L186" i="1"/>
  <c r="M186" i="1"/>
  <c r="N186" i="1" s="1"/>
  <c r="V186" i="1"/>
  <c r="Y186" i="1"/>
  <c r="Z186" i="1"/>
  <c r="AA186" i="1"/>
  <c r="AB186" i="1"/>
  <c r="AC186" i="1"/>
  <c r="AD186" i="1"/>
  <c r="AE186" i="1"/>
  <c r="R38" i="3" s="1"/>
  <c r="AF186" i="1"/>
  <c r="AH213" i="1"/>
  <c r="AM213" i="1"/>
  <c r="AN213" i="1"/>
  <c r="K187" i="1"/>
  <c r="L187" i="1"/>
  <c r="M187" i="1"/>
  <c r="N187" i="1" s="1"/>
  <c r="T187" i="1"/>
  <c r="V187" i="1"/>
  <c r="Y187" i="1"/>
  <c r="Z187" i="1"/>
  <c r="AB187" i="1"/>
  <c r="AC187" i="1"/>
  <c r="AD187" i="1"/>
  <c r="AE187" i="1"/>
  <c r="R40" i="3" s="1"/>
  <c r="AF187" i="1"/>
  <c r="AH214" i="1"/>
  <c r="AM214" i="1"/>
  <c r="AN21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5" i="1"/>
  <c r="AM215" i="1"/>
  <c r="AN21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6" i="1"/>
  <c r="AM216" i="1"/>
  <c r="AN216" i="1"/>
  <c r="K190" i="1"/>
  <c r="L190" i="1"/>
  <c r="M190" i="1"/>
  <c r="N190" i="1" s="1"/>
  <c r="V190" i="1"/>
  <c r="X190" i="1"/>
  <c r="Y190" i="1"/>
  <c r="Z190" i="1"/>
  <c r="AA190" i="1"/>
  <c r="AB190" i="1"/>
  <c r="AC190" i="1"/>
  <c r="AD190" i="1"/>
  <c r="T190" i="1" s="1"/>
  <c r="AE190" i="1"/>
  <c r="AF190" i="1"/>
  <c r="AH217" i="1"/>
  <c r="AM217" i="1"/>
  <c r="AN217" i="1"/>
  <c r="K191" i="1"/>
  <c r="L191" i="1"/>
  <c r="M191" i="1"/>
  <c r="N191" i="1" s="1"/>
  <c r="T191" i="1"/>
  <c r="V191" i="1"/>
  <c r="Y191" i="1"/>
  <c r="Z191" i="1"/>
  <c r="AB191" i="1"/>
  <c r="AC191" i="1"/>
  <c r="AD191" i="1"/>
  <c r="AE191" i="1"/>
  <c r="AF191" i="1"/>
  <c r="AH218" i="1"/>
  <c r="AM218" i="1"/>
  <c r="AN218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219" i="1"/>
  <c r="AM219" i="1"/>
  <c r="AN21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0" i="1"/>
  <c r="AM220" i="1"/>
  <c r="AN220" i="1"/>
  <c r="K194" i="1"/>
  <c r="L194" i="1"/>
  <c r="M194" i="1"/>
  <c r="P194" i="1" s="1"/>
  <c r="V194" i="1"/>
  <c r="Y194" i="1"/>
  <c r="Z194" i="1"/>
  <c r="AB194" i="1"/>
  <c r="AC194" i="1"/>
  <c r="AD194" i="1"/>
  <c r="T194" i="1" s="1"/>
  <c r="AE194" i="1"/>
  <c r="AF194" i="1"/>
  <c r="AH221" i="1"/>
  <c r="AM221" i="1"/>
  <c r="AN221" i="1"/>
  <c r="K195" i="1"/>
  <c r="L195" i="1"/>
  <c r="M195" i="1"/>
  <c r="V195" i="1"/>
  <c r="Y195" i="1"/>
  <c r="Z195" i="1"/>
  <c r="AB195" i="1"/>
  <c r="AC195" i="1"/>
  <c r="AD195" i="1"/>
  <c r="T195" i="1" s="1"/>
  <c r="AE195" i="1"/>
  <c r="AF195" i="1"/>
  <c r="AH222" i="1"/>
  <c r="AM222" i="1"/>
  <c r="AN222" i="1"/>
  <c r="K196" i="1"/>
  <c r="L196" i="1"/>
  <c r="M196" i="1"/>
  <c r="N196" i="1"/>
  <c r="V196" i="1"/>
  <c r="Y196" i="1"/>
  <c r="Z196" i="1"/>
  <c r="AA196" i="1" s="1"/>
  <c r="AB196" i="1"/>
  <c r="AC196" i="1"/>
  <c r="AD196" i="1"/>
  <c r="T196" i="1" s="1"/>
  <c r="AE196" i="1"/>
  <c r="AF196" i="1"/>
  <c r="AH223" i="1"/>
  <c r="AM223" i="1"/>
  <c r="AN223" i="1"/>
  <c r="K197" i="1"/>
  <c r="L197" i="1"/>
  <c r="M197" i="1"/>
  <c r="N197" i="1"/>
  <c r="V197" i="1"/>
  <c r="Y197" i="1"/>
  <c r="Z197" i="1"/>
  <c r="AB197" i="1"/>
  <c r="AC197" i="1"/>
  <c r="AD197" i="1"/>
  <c r="T197" i="1" s="1"/>
  <c r="AE197" i="1"/>
  <c r="AF197" i="1"/>
  <c r="AH224" i="1"/>
  <c r="AM224" i="1"/>
  <c r="AN224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R43" i="3" s="1"/>
  <c r="AF198" i="1"/>
  <c r="AH225" i="1"/>
  <c r="AM225" i="1"/>
  <c r="AN225" i="1"/>
  <c r="K199" i="1"/>
  <c r="L199" i="1"/>
  <c r="M199" i="1"/>
  <c r="N199" i="1" s="1"/>
  <c r="V199" i="1"/>
  <c r="S51" i="3" s="1"/>
  <c r="Y199" i="1"/>
  <c r="Z199" i="1"/>
  <c r="AB199" i="1"/>
  <c r="AC199" i="1"/>
  <c r="AD199" i="1"/>
  <c r="AE199" i="1"/>
  <c r="R51" i="3" s="1"/>
  <c r="AF199" i="1"/>
  <c r="AH226" i="1"/>
  <c r="AM226" i="1"/>
  <c r="AN226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27" i="1"/>
  <c r="AM227" i="1"/>
  <c r="AN227" i="1"/>
  <c r="K201" i="1"/>
  <c r="L201" i="1"/>
  <c r="M201" i="1"/>
  <c r="N201" i="1"/>
  <c r="V201" i="1"/>
  <c r="Y201" i="1"/>
  <c r="Z201" i="1"/>
  <c r="AB201" i="1"/>
  <c r="AC201" i="1"/>
  <c r="AD201" i="1"/>
  <c r="T201" i="1" s="1"/>
  <c r="AE201" i="1"/>
  <c r="AF201" i="1"/>
  <c r="AH228" i="1"/>
  <c r="AM228" i="1"/>
  <c r="AN228" i="1"/>
  <c r="K202" i="1"/>
  <c r="L202" i="1"/>
  <c r="M202" i="1"/>
  <c r="N202" i="1" s="1"/>
  <c r="V202" i="1"/>
  <c r="X202" i="1"/>
  <c r="Y202" i="1"/>
  <c r="Z202" i="1"/>
  <c r="AB202" i="1"/>
  <c r="AC202" i="1"/>
  <c r="AD202" i="1"/>
  <c r="T202" i="1" s="1"/>
  <c r="AE202" i="1"/>
  <c r="AF202" i="1"/>
  <c r="AH229" i="1"/>
  <c r="AM229" i="1"/>
  <c r="AN229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30" i="1"/>
  <c r="AM230" i="1"/>
  <c r="AN230" i="1"/>
  <c r="AH231" i="1"/>
  <c r="AM231" i="1"/>
  <c r="AN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R48" i="3" s="1"/>
  <c r="AF204" i="1"/>
  <c r="AH232" i="1"/>
  <c r="AM232" i="1"/>
  <c r="AN232" i="1"/>
  <c r="K205" i="1"/>
  <c r="L205" i="1"/>
  <c r="M205" i="1"/>
  <c r="N205" i="1" s="1"/>
  <c r="V205" i="1"/>
  <c r="S37" i="3" s="1"/>
  <c r="Y205" i="1"/>
  <c r="Z205" i="1"/>
  <c r="AB205" i="1"/>
  <c r="AC205" i="1"/>
  <c r="AD205" i="1"/>
  <c r="T205" i="1" s="1"/>
  <c r="AE205" i="1"/>
  <c r="R37" i="3" s="1"/>
  <c r="AF205" i="1"/>
  <c r="AH233" i="1"/>
  <c r="AM233" i="1"/>
  <c r="AN233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AF206" i="1"/>
  <c r="AH234" i="1"/>
  <c r="AM234" i="1"/>
  <c r="AN234" i="1"/>
  <c r="K241" i="1"/>
  <c r="L241" i="1"/>
  <c r="M241" i="1"/>
  <c r="N241" i="1" s="1"/>
  <c r="T241" i="1"/>
  <c r="V241" i="1"/>
  <c r="Y241" i="1"/>
  <c r="Z241" i="1"/>
  <c r="AB241" i="1"/>
  <c r="AC241" i="1"/>
  <c r="AD241" i="1"/>
  <c r="X241" i="1" s="1"/>
  <c r="AE241" i="1"/>
  <c r="AF241" i="1"/>
  <c r="AH235" i="1"/>
  <c r="AM235" i="1"/>
  <c r="AN235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6" i="1"/>
  <c r="AM236" i="1"/>
  <c r="AN236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7" i="1"/>
  <c r="AM237" i="1"/>
  <c r="AN237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8" i="1"/>
  <c r="AM238" i="1"/>
  <c r="AN238" i="1"/>
  <c r="K226" i="1"/>
  <c r="L226" i="1"/>
  <c r="M226" i="1"/>
  <c r="N226" i="1" s="1"/>
  <c r="V226" i="1"/>
  <c r="Y226" i="1"/>
  <c r="Z226" i="1"/>
  <c r="AA226" i="1" s="1"/>
  <c r="AB226" i="1"/>
  <c r="AC226" i="1"/>
  <c r="AD226" i="1"/>
  <c r="AE226" i="1"/>
  <c r="AF226" i="1"/>
  <c r="AH239" i="1"/>
  <c r="AM239" i="1"/>
  <c r="AN239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40" i="1"/>
  <c r="AM240" i="1"/>
  <c r="AN240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241" i="1"/>
  <c r="AM241" i="1"/>
  <c r="AN241" i="1"/>
  <c r="M25" i="3"/>
  <c r="R25" i="3"/>
  <c r="S25" i="3"/>
  <c r="U25" i="3"/>
  <c r="T25" i="3" s="1"/>
  <c r="V25" i="3"/>
  <c r="X25" i="3"/>
  <c r="M39" i="3"/>
  <c r="S39" i="3"/>
  <c r="U39" i="3"/>
  <c r="V39" i="3"/>
  <c r="X39" i="3"/>
  <c r="M44" i="3"/>
  <c r="R44" i="3"/>
  <c r="U44" i="3"/>
  <c r="T44" i="3" s="1"/>
  <c r="V44" i="3"/>
  <c r="X44" i="3"/>
  <c r="M24" i="3"/>
  <c r="R24" i="3"/>
  <c r="S24" i="3"/>
  <c r="U24" i="3"/>
  <c r="V24" i="3"/>
  <c r="X24" i="3"/>
  <c r="M45" i="3"/>
  <c r="S45" i="3"/>
  <c r="U45" i="3"/>
  <c r="T45" i="3" s="1"/>
  <c r="V45" i="3"/>
  <c r="X45" i="3"/>
  <c r="M46" i="3"/>
  <c r="R46" i="3"/>
  <c r="U46" i="3"/>
  <c r="AC46" i="3" s="1"/>
  <c r="V46" i="3"/>
  <c r="X46" i="3"/>
  <c r="M7" i="3"/>
  <c r="R7" i="3"/>
  <c r="S7" i="3"/>
  <c r="U7" i="3"/>
  <c r="T7" i="3" s="1"/>
  <c r="V7" i="3"/>
  <c r="X7" i="3"/>
  <c r="M11" i="3"/>
  <c r="R11" i="3"/>
  <c r="S11" i="3"/>
  <c r="U11" i="3"/>
  <c r="V11" i="3"/>
  <c r="X11" i="3"/>
  <c r="M20" i="3"/>
  <c r="S20" i="3"/>
  <c r="U20" i="3"/>
  <c r="T20" i="3" s="1"/>
  <c r="V20" i="3"/>
  <c r="X20" i="3"/>
  <c r="M19" i="3"/>
  <c r="S19" i="3"/>
  <c r="U19" i="3"/>
  <c r="AC19" i="3" s="1"/>
  <c r="V19" i="3"/>
  <c r="X19" i="3"/>
  <c r="M41" i="3"/>
  <c r="U41" i="3"/>
  <c r="T41" i="3" s="1"/>
  <c r="V41" i="3"/>
  <c r="X41" i="3"/>
  <c r="M10" i="3"/>
  <c r="R10" i="3"/>
  <c r="S10" i="3"/>
  <c r="U10" i="3"/>
  <c r="AC10" i="3" s="1"/>
  <c r="V10" i="3"/>
  <c r="X10" i="3"/>
  <c r="M52" i="3"/>
  <c r="U52" i="3"/>
  <c r="T52" i="3" s="1"/>
  <c r="V52" i="3"/>
  <c r="X52" i="3"/>
  <c r="M28" i="3"/>
  <c r="R28" i="3"/>
  <c r="S28" i="3"/>
  <c r="U28" i="3"/>
  <c r="AC28" i="3" s="1"/>
  <c r="V28" i="3"/>
  <c r="X28" i="3"/>
  <c r="M21" i="3"/>
  <c r="R21" i="3"/>
  <c r="U21" i="3"/>
  <c r="T21" i="3" s="1"/>
  <c r="V21" i="3"/>
  <c r="X21" i="3"/>
  <c r="M30" i="3"/>
  <c r="R30" i="3"/>
  <c r="S30" i="3"/>
  <c r="U30" i="3"/>
  <c r="AD30" i="3" s="1"/>
  <c r="V30" i="3"/>
  <c r="X30" i="3"/>
  <c r="M14" i="3"/>
  <c r="S14" i="3"/>
  <c r="U14" i="3"/>
  <c r="T14" i="3" s="1"/>
  <c r="V14" i="3"/>
  <c r="X14" i="3"/>
  <c r="M15" i="3"/>
  <c r="S15" i="3"/>
  <c r="T15" i="3"/>
  <c r="U15" i="3"/>
  <c r="AC15" i="3" s="1"/>
  <c r="V15" i="3"/>
  <c r="X15" i="3"/>
  <c r="AD25" i="3"/>
  <c r="M31" i="3"/>
  <c r="R31" i="3"/>
  <c r="S31" i="3"/>
  <c r="U31" i="3"/>
  <c r="T31" i="3" s="1"/>
  <c r="V31" i="3"/>
  <c r="X31" i="3"/>
  <c r="M32" i="3"/>
  <c r="S32" i="3"/>
  <c r="U32" i="3"/>
  <c r="V32" i="3"/>
  <c r="X32" i="3"/>
  <c r="M49" i="3"/>
  <c r="R49" i="3"/>
  <c r="S49" i="3"/>
  <c r="U49" i="3"/>
  <c r="T49" i="3" s="1"/>
  <c r="V49" i="3"/>
  <c r="X49" i="3"/>
  <c r="M23" i="3"/>
  <c r="R23" i="3"/>
  <c r="S23" i="3"/>
  <c r="U23" i="3"/>
  <c r="AC23" i="3" s="1"/>
  <c r="V23" i="3"/>
  <c r="X23" i="3"/>
  <c r="M33" i="3"/>
  <c r="R33" i="3"/>
  <c r="S33" i="3"/>
  <c r="U33" i="3"/>
  <c r="T33" i="3" s="1"/>
  <c r="V33" i="3"/>
  <c r="X33" i="3"/>
  <c r="M42" i="3"/>
  <c r="U42" i="3"/>
  <c r="V42" i="3"/>
  <c r="X42" i="3"/>
  <c r="M47" i="3"/>
  <c r="S47" i="3"/>
  <c r="U47" i="3"/>
  <c r="T47" i="3" s="1"/>
  <c r="V47" i="3"/>
  <c r="X47" i="3"/>
  <c r="M38" i="3"/>
  <c r="S38" i="3"/>
  <c r="U38" i="3"/>
  <c r="AC38" i="3" s="1"/>
  <c r="V38" i="3"/>
  <c r="X38" i="3"/>
  <c r="M34" i="3"/>
  <c r="R34" i="3"/>
  <c r="U34" i="3"/>
  <c r="T34" i="3" s="1"/>
  <c r="V34" i="3"/>
  <c r="X34" i="3"/>
  <c r="M29" i="3"/>
  <c r="S29" i="3"/>
  <c r="U29" i="3"/>
  <c r="V29" i="3"/>
  <c r="X29" i="3"/>
  <c r="AC29" i="3"/>
  <c r="M13" i="3"/>
  <c r="S13" i="3"/>
  <c r="U13" i="3"/>
  <c r="AC13" i="3" s="1"/>
  <c r="V13" i="3"/>
  <c r="X13" i="3"/>
  <c r="M40" i="3"/>
  <c r="S40" i="3"/>
  <c r="U40" i="3"/>
  <c r="AC40" i="3" s="1"/>
  <c r="V40" i="3"/>
  <c r="X40" i="3"/>
  <c r="M22" i="3"/>
  <c r="S22" i="3"/>
  <c r="U22" i="3"/>
  <c r="T22" i="3" s="1"/>
  <c r="V22" i="3"/>
  <c r="X22" i="3"/>
  <c r="M9" i="3"/>
  <c r="R9" i="3"/>
  <c r="U9" i="3"/>
  <c r="V9" i="3"/>
  <c r="X9" i="3"/>
  <c r="AC9" i="3"/>
  <c r="M35" i="3"/>
  <c r="R35" i="3"/>
  <c r="S35" i="3"/>
  <c r="U35" i="3"/>
  <c r="T35" i="3" s="1"/>
  <c r="V35" i="3"/>
  <c r="X35" i="3"/>
  <c r="M36" i="3"/>
  <c r="R36" i="3"/>
  <c r="U36" i="3"/>
  <c r="AC36" i="3" s="1"/>
  <c r="V36" i="3"/>
  <c r="X36" i="3"/>
  <c r="AD41" i="3"/>
  <c r="M18" i="3"/>
  <c r="R18" i="3"/>
  <c r="S18" i="3"/>
  <c r="U18" i="3"/>
  <c r="T18" i="3" s="1"/>
  <c r="V18" i="3"/>
  <c r="X18" i="3"/>
  <c r="AD42" i="3"/>
  <c r="M43" i="3"/>
  <c r="S43" i="3"/>
  <c r="U43" i="3"/>
  <c r="AD43" i="3" s="1"/>
  <c r="V43" i="3"/>
  <c r="X43" i="3"/>
  <c r="M26" i="3"/>
  <c r="S26" i="3"/>
  <c r="U26" i="3"/>
  <c r="AD26" i="3" s="1"/>
  <c r="V26" i="3"/>
  <c r="X26" i="3"/>
  <c r="M50" i="3"/>
  <c r="U50" i="3"/>
  <c r="AC50" i="3" s="1"/>
  <c r="V50" i="3"/>
  <c r="AE45" i="3" s="1"/>
  <c r="X50" i="3"/>
  <c r="M51" i="3"/>
  <c r="U51" i="3"/>
  <c r="T51" i="3" s="1"/>
  <c r="V51" i="3"/>
  <c r="X51" i="3"/>
  <c r="M12" i="3"/>
  <c r="R12" i="3"/>
  <c r="U12" i="3"/>
  <c r="V12" i="3"/>
  <c r="X12" i="3"/>
  <c r="M17" i="3"/>
  <c r="R17" i="3"/>
  <c r="U17" i="3"/>
  <c r="AC17" i="3" s="1"/>
  <c r="V17" i="3"/>
  <c r="X17" i="3"/>
  <c r="M37" i="3"/>
  <c r="U37" i="3"/>
  <c r="AC37" i="3" s="1"/>
  <c r="V37" i="3"/>
  <c r="X37" i="3"/>
  <c r="M48" i="3"/>
  <c r="S48" i="3"/>
  <c r="U48" i="3"/>
  <c r="T48" i="3" s="1"/>
  <c r="V48" i="3"/>
  <c r="X48" i="3"/>
  <c r="AD50" i="3"/>
  <c r="M16" i="3"/>
  <c r="R16" i="3"/>
  <c r="U16" i="3"/>
  <c r="AC16" i="3" s="1"/>
  <c r="V16" i="3"/>
  <c r="X16" i="3"/>
  <c r="M27" i="3"/>
  <c r="R27" i="3"/>
  <c r="S27" i="3"/>
  <c r="U27" i="3"/>
  <c r="T27" i="3" s="1"/>
  <c r="V27" i="3"/>
  <c r="X27" i="3"/>
  <c r="W46" i="3"/>
  <c r="W40" i="3"/>
  <c r="W22" i="3"/>
  <c r="W21" i="3"/>
  <c r="W11" i="3"/>
  <c r="W42" i="3"/>
  <c r="W12" i="3"/>
  <c r="W25" i="3"/>
  <c r="W14" i="3"/>
  <c r="W35" i="3"/>
  <c r="W23" i="3"/>
  <c r="W48" i="3"/>
  <c r="W9" i="3"/>
  <c r="W20" i="3"/>
  <c r="W17" i="3"/>
  <c r="W15" i="3"/>
  <c r="W33" i="3"/>
  <c r="W24" i="3"/>
  <c r="W32" i="3"/>
  <c r="W18" i="3"/>
  <c r="W13" i="3"/>
  <c r="W51" i="3"/>
  <c r="W19" i="3"/>
  <c r="W36" i="3"/>
  <c r="W44" i="3"/>
  <c r="W31" i="3"/>
  <c r="W10" i="3"/>
  <c r="W29" i="3"/>
  <c r="W16" i="3"/>
  <c r="W45" i="3"/>
  <c r="W49" i="3"/>
  <c r="W26" i="3"/>
  <c r="W38" i="3"/>
  <c r="W28" i="3"/>
  <c r="W50" i="3"/>
  <c r="W7" i="3"/>
  <c r="W30" i="3"/>
  <c r="W37" i="3"/>
  <c r="W47" i="3"/>
  <c r="W34" i="3"/>
  <c r="W39" i="3"/>
  <c r="W41" i="3"/>
  <c r="W43" i="3"/>
  <c r="W52" i="3"/>
  <c r="W27" i="3"/>
  <c r="AG16" i="1"/>
  <c r="AG43" i="1"/>
  <c r="AG29" i="1"/>
  <c r="AG58" i="1"/>
  <c r="AG85" i="1"/>
  <c r="AG111" i="1"/>
  <c r="AG109" i="1"/>
  <c r="AG145" i="1"/>
  <c r="AG131" i="1"/>
  <c r="AG212" i="1"/>
  <c r="AG201" i="1"/>
  <c r="AG192" i="1"/>
  <c r="AG187" i="1"/>
  <c r="AG177" i="1"/>
  <c r="AG226" i="1"/>
  <c r="AG47" i="1"/>
  <c r="AG67" i="1"/>
  <c r="AG68" i="1"/>
  <c r="AG97" i="1"/>
  <c r="AG144" i="1"/>
  <c r="AG216" i="1"/>
  <c r="AG180" i="1"/>
  <c r="AG231" i="1"/>
  <c r="AG206" i="1"/>
  <c r="AG83" i="1"/>
  <c r="AG98" i="1"/>
  <c r="AG122" i="1"/>
  <c r="AG163" i="1"/>
  <c r="AG182" i="1"/>
  <c r="AG19" i="1"/>
  <c r="AG28" i="1"/>
  <c r="AG87" i="1"/>
  <c r="AG103" i="1"/>
  <c r="AG137" i="1"/>
  <c r="AG154" i="1"/>
  <c r="AG184" i="1"/>
  <c r="AG169" i="1"/>
  <c r="AG42" i="1"/>
  <c r="AG61" i="1"/>
  <c r="AG119" i="1"/>
  <c r="AG175" i="1"/>
  <c r="AG240" i="1"/>
  <c r="AG228" i="1"/>
  <c r="AG102" i="1"/>
  <c r="AG202" i="1"/>
  <c r="AG148" i="1"/>
  <c r="AG46" i="1"/>
  <c r="AG181" i="1"/>
  <c r="AG86" i="1"/>
  <c r="AG164" i="1"/>
  <c r="AG166" i="1"/>
  <c r="AG199" i="1"/>
  <c r="AG48" i="1"/>
  <c r="AG50" i="1"/>
  <c r="AG74" i="1"/>
  <c r="AG80" i="1"/>
  <c r="AG93" i="1"/>
  <c r="AG124" i="1"/>
  <c r="AG130" i="1"/>
  <c r="AG185" i="1"/>
  <c r="AG214" i="1"/>
  <c r="AG221" i="1"/>
  <c r="AG204" i="1"/>
  <c r="AG38" i="1"/>
  <c r="AG57" i="1"/>
  <c r="AG115" i="1"/>
  <c r="AG135" i="1"/>
  <c r="AG207" i="1"/>
  <c r="AG191" i="1"/>
  <c r="AG20" i="1"/>
  <c r="AG52" i="1"/>
  <c r="AG128" i="1"/>
  <c r="AG196" i="1"/>
  <c r="AG24" i="1"/>
  <c r="AG51" i="1"/>
  <c r="AG82" i="1"/>
  <c r="AG101" i="1"/>
  <c r="AG155" i="1"/>
  <c r="AG222" i="1"/>
  <c r="AG232" i="1"/>
  <c r="AG66" i="1"/>
  <c r="AG118" i="1"/>
  <c r="AG139" i="1"/>
  <c r="AG167" i="1"/>
  <c r="AG186" i="1"/>
  <c r="AG41" i="1"/>
  <c r="AG90" i="1"/>
  <c r="AG157" i="1"/>
  <c r="AG210" i="1"/>
  <c r="AG25" i="1"/>
  <c r="AG81" i="1"/>
  <c r="AG105" i="1"/>
  <c r="AG127" i="1"/>
  <c r="AG197" i="1"/>
  <c r="AG217" i="1"/>
  <c r="AG91" i="1"/>
  <c r="AG190" i="1"/>
  <c r="AG65" i="1"/>
  <c r="AG203" i="1"/>
  <c r="AG179" i="1"/>
  <c r="AG45" i="1"/>
  <c r="AG53" i="1"/>
  <c r="AG96" i="1"/>
  <c r="AG140" i="1"/>
  <c r="AG219" i="1"/>
  <c r="AG161" i="1"/>
  <c r="AG36" i="1"/>
  <c r="AG73" i="1"/>
  <c r="AG151" i="1"/>
  <c r="AG165" i="1"/>
  <c r="AG99" i="1"/>
  <c r="AG174" i="1"/>
  <c r="AG14" i="1"/>
  <c r="AG104" i="1"/>
  <c r="AG160" i="1"/>
  <c r="AG23" i="1"/>
  <c r="AG56" i="1"/>
  <c r="AG138" i="1"/>
  <c r="AG200" i="1"/>
  <c r="AG75" i="1"/>
  <c r="AG152" i="1"/>
  <c r="AG59" i="1"/>
  <c r="AG108" i="1"/>
  <c r="AG237" i="1"/>
  <c r="AG143" i="1"/>
  <c r="AG142" i="1"/>
  <c r="AG159" i="1"/>
  <c r="AG49" i="1"/>
  <c r="AG133" i="1"/>
  <c r="AG218" i="1"/>
  <c r="AG33" i="1"/>
  <c r="AG238" i="1"/>
  <c r="AG35" i="1"/>
  <c r="AG72" i="1"/>
  <c r="AG193" i="1"/>
  <c r="AG37" i="1"/>
  <c r="AG220" i="1"/>
  <c r="AG39" i="1"/>
  <c r="AG92" i="1"/>
  <c r="AG44" i="1"/>
  <c r="AG107" i="1"/>
  <c r="AG208" i="1"/>
  <c r="AG205" i="1"/>
  <c r="AG235" i="1"/>
  <c r="AG27" i="1"/>
  <c r="AG95" i="1"/>
  <c r="AG146" i="1"/>
  <c r="AG236" i="1"/>
  <c r="AG17" i="1"/>
  <c r="AG100" i="1"/>
  <c r="AG229" i="1"/>
  <c r="AG22" i="1"/>
  <c r="AG134" i="1"/>
  <c r="AG40" i="1"/>
  <c r="AG77" i="1"/>
  <c r="AG178" i="1"/>
  <c r="AG121" i="1"/>
  <c r="AG225" i="1"/>
  <c r="AG89" i="1"/>
  <c r="AG239" i="1"/>
  <c r="AG76" i="1"/>
  <c r="AG126" i="1"/>
  <c r="AG173" i="1"/>
  <c r="AG176" i="1"/>
  <c r="AG88" i="1"/>
  <c r="AG78" i="1"/>
  <c r="AG233" i="1"/>
  <c r="AG120" i="1"/>
  <c r="AG195" i="1"/>
  <c r="AG60" i="1"/>
  <c r="AG30" i="1"/>
  <c r="AG136" i="1"/>
  <c r="AG183" i="1"/>
  <c r="AG227" i="1"/>
  <c r="AG113" i="1"/>
  <c r="AG18" i="1"/>
  <c r="AG63" i="1"/>
  <c r="AG69" i="1"/>
  <c r="AG94" i="1"/>
  <c r="AG112" i="1"/>
  <c r="AG156" i="1"/>
  <c r="AG234" i="1"/>
  <c r="AG170" i="1"/>
  <c r="AG194" i="1"/>
  <c r="AG15" i="1"/>
  <c r="AG84" i="1"/>
  <c r="AG150" i="1"/>
  <c r="AG198" i="1"/>
  <c r="AG114" i="1"/>
  <c r="AG209" i="1"/>
  <c r="AG21" i="1"/>
  <c r="AG132" i="1"/>
  <c r="AG213" i="1"/>
  <c r="AG153" i="1"/>
  <c r="AG162" i="1"/>
  <c r="AG70" i="1"/>
  <c r="AG230" i="1"/>
  <c r="AG54" i="1"/>
  <c r="AG141" i="1"/>
  <c r="AG188" i="1"/>
  <c r="AG215" i="1"/>
  <c r="AG171" i="1"/>
  <c r="AG32" i="1"/>
  <c r="AG34" i="1"/>
  <c r="AG79" i="1"/>
  <c r="AG64" i="1"/>
  <c r="AG110" i="1"/>
  <c r="AG129" i="1"/>
  <c r="AG147" i="1"/>
  <c r="AG168" i="1"/>
  <c r="AG158" i="1"/>
  <c r="AG224" i="1"/>
  <c r="AG31" i="1"/>
  <c r="AG62" i="1"/>
  <c r="AG116" i="1"/>
  <c r="AG149" i="1"/>
  <c r="AG172" i="1"/>
  <c r="AG223" i="1"/>
  <c r="AG117" i="1"/>
  <c r="AG189" i="1"/>
  <c r="AG26" i="1"/>
  <c r="AG55" i="1"/>
  <c r="AG123" i="1"/>
  <c r="AG71" i="1"/>
  <c r="AG211" i="1"/>
  <c r="AG125" i="1"/>
  <c r="AG106" i="1"/>
  <c r="AG241" i="1"/>
  <c r="X226" i="1" l="1"/>
  <c r="T186" i="1"/>
  <c r="X186" i="1"/>
  <c r="S36" i="3"/>
  <c r="S9" i="3"/>
  <c r="AA193" i="1"/>
  <c r="X187" i="1"/>
  <c r="T180" i="1"/>
  <c r="X180" i="1"/>
  <c r="T149" i="1"/>
  <c r="X149" i="1"/>
  <c r="T226" i="1"/>
  <c r="AA176" i="1"/>
  <c r="T93" i="1"/>
  <c r="X93" i="1"/>
  <c r="X58" i="1"/>
  <c r="T58" i="1"/>
  <c r="T235" i="1"/>
  <c r="X235" i="1"/>
  <c r="X134" i="1"/>
  <c r="T134" i="1"/>
  <c r="X135" i="1"/>
  <c r="AA241" i="1"/>
  <c r="X206" i="1"/>
  <c r="AA202" i="1"/>
  <c r="X199" i="1"/>
  <c r="AA197" i="1"/>
  <c r="AA194" i="1"/>
  <c r="X162" i="1"/>
  <c r="AA238" i="1"/>
  <c r="X231" i="1"/>
  <c r="X221" i="1"/>
  <c r="X218" i="1"/>
  <c r="AA218" i="1"/>
  <c r="X214" i="1"/>
  <c r="AA210" i="1"/>
  <c r="AA154" i="1"/>
  <c r="T146" i="1"/>
  <c r="T133" i="1"/>
  <c r="AA130" i="1"/>
  <c r="X129" i="1"/>
  <c r="AA124" i="1"/>
  <c r="AA114" i="1"/>
  <c r="AA87" i="1"/>
  <c r="X73" i="1"/>
  <c r="AA71" i="1"/>
  <c r="AA56" i="1"/>
  <c r="AA41" i="1"/>
  <c r="AA37" i="1"/>
  <c r="AA157" i="1"/>
  <c r="AA141" i="1"/>
  <c r="AA127" i="1"/>
  <c r="AA118" i="1"/>
  <c r="AA99" i="1"/>
  <c r="X62" i="1"/>
  <c r="AA36" i="1"/>
  <c r="X28" i="1"/>
  <c r="AA26" i="1"/>
  <c r="AA239" i="1"/>
  <c r="AA232" i="1"/>
  <c r="AA134" i="1"/>
  <c r="AA121" i="1"/>
  <c r="AA90" i="1"/>
  <c r="AA88" i="1"/>
  <c r="AA84" i="1"/>
  <c r="AA72" i="1"/>
  <c r="AA63" i="1"/>
  <c r="X57" i="1"/>
  <c r="X52" i="1"/>
  <c r="AA52" i="1"/>
  <c r="X45" i="1"/>
  <c r="AA31" i="1"/>
  <c r="AI179" i="1"/>
  <c r="U179" i="1"/>
  <c r="S179" i="1" s="1"/>
  <c r="W179" i="1"/>
  <c r="X179" i="1"/>
  <c r="AE42" i="3"/>
  <c r="AD31" i="3"/>
  <c r="S50" i="3"/>
  <c r="AE41" i="3"/>
  <c r="AC41" i="3"/>
  <c r="R42" i="3"/>
  <c r="R14" i="3"/>
  <c r="AI113" i="1"/>
  <c r="U113" i="1"/>
  <c r="S113" i="1" s="1"/>
  <c r="W113" i="1"/>
  <c r="X113" i="1"/>
  <c r="AE46" i="3"/>
  <c r="AE30" i="3"/>
  <c r="T36" i="3"/>
  <c r="AD37" i="3"/>
  <c r="AC30" i="3"/>
  <c r="T40" i="3"/>
  <c r="AE49" i="3"/>
  <c r="AD47" i="3"/>
  <c r="AD46" i="3"/>
  <c r="AD39" i="3"/>
  <c r="AD38" i="3"/>
  <c r="AD34" i="3"/>
  <c r="AE33" i="3"/>
  <c r="AC33" i="3"/>
  <c r="AE25" i="3"/>
  <c r="AD21" i="3"/>
  <c r="T28" i="3"/>
  <c r="AA189" i="1"/>
  <c r="T177" i="1"/>
  <c r="X177" i="1"/>
  <c r="AA208" i="1"/>
  <c r="W208" i="1" s="1"/>
  <c r="X158" i="1"/>
  <c r="X137" i="1"/>
  <c r="T137" i="1"/>
  <c r="T126" i="1"/>
  <c r="X126" i="1"/>
  <c r="T84" i="1"/>
  <c r="X84" i="1"/>
  <c r="T65" i="1"/>
  <c r="U65" i="1" s="1"/>
  <c r="S65" i="1" s="1"/>
  <c r="X65" i="1"/>
  <c r="T17" i="1"/>
  <c r="X17" i="1"/>
  <c r="T165" i="1"/>
  <c r="U165" i="1" s="1"/>
  <c r="S165" i="1" s="1"/>
  <c r="X165" i="1"/>
  <c r="T97" i="1"/>
  <c r="X97" i="1"/>
  <c r="T77" i="1"/>
  <c r="X77" i="1"/>
  <c r="T203" i="1"/>
  <c r="X198" i="1"/>
  <c r="X195" i="1"/>
  <c r="X169" i="1"/>
  <c r="X166" i="1"/>
  <c r="X236" i="1"/>
  <c r="R50" i="3"/>
  <c r="AA225" i="1"/>
  <c r="AA223" i="1"/>
  <c r="AA205" i="1"/>
  <c r="AA201" i="1"/>
  <c r="W201" i="1" s="1"/>
  <c r="T199" i="1"/>
  <c r="X194" i="1"/>
  <c r="AA192" i="1"/>
  <c r="X191" i="1"/>
  <c r="X182" i="1"/>
  <c r="X178" i="1"/>
  <c r="X170" i="1"/>
  <c r="AA164" i="1"/>
  <c r="W164" i="1" s="1"/>
  <c r="T162" i="1"/>
  <c r="AA160" i="1"/>
  <c r="AA235" i="1"/>
  <c r="X232" i="1"/>
  <c r="X222" i="1"/>
  <c r="AA222" i="1"/>
  <c r="X217" i="1"/>
  <c r="T214" i="1"/>
  <c r="U214" i="1" s="1"/>
  <c r="S214" i="1" s="1"/>
  <c r="AA213" i="1"/>
  <c r="AA209" i="1"/>
  <c r="X157" i="1"/>
  <c r="AA149" i="1"/>
  <c r="W149" i="1" s="1"/>
  <c r="AA146" i="1"/>
  <c r="AA136" i="1"/>
  <c r="T78" i="1"/>
  <c r="X78" i="1"/>
  <c r="T37" i="1"/>
  <c r="X37" i="1"/>
  <c r="AA227" i="1"/>
  <c r="AA188" i="1"/>
  <c r="AA184" i="1"/>
  <c r="X183" i="1"/>
  <c r="T183" i="1"/>
  <c r="U183" i="1" s="1"/>
  <c r="S183" i="1" s="1"/>
  <c r="AA169" i="1"/>
  <c r="AA231" i="1"/>
  <c r="AA216" i="1"/>
  <c r="X213" i="1"/>
  <c r="T209" i="1"/>
  <c r="X209" i="1"/>
  <c r="T158" i="1"/>
  <c r="AA156" i="1"/>
  <c r="W156" i="1" s="1"/>
  <c r="AA152" i="1"/>
  <c r="T125" i="1"/>
  <c r="X125" i="1"/>
  <c r="T66" i="1"/>
  <c r="U66" i="1" s="1"/>
  <c r="S66" i="1" s="1"/>
  <c r="X66" i="1"/>
  <c r="T16" i="1"/>
  <c r="X16" i="1"/>
  <c r="AA123" i="1"/>
  <c r="X122" i="1"/>
  <c r="AA100" i="1"/>
  <c r="AA95" i="1"/>
  <c r="AA92" i="1"/>
  <c r="W92" i="1" s="1"/>
  <c r="AA70" i="1"/>
  <c r="AA60" i="1"/>
  <c r="AA49" i="1"/>
  <c r="X44" i="1"/>
  <c r="AA38" i="1"/>
  <c r="X29" i="1"/>
  <c r="AA25" i="1"/>
  <c r="AA132" i="1"/>
  <c r="X127" i="1"/>
  <c r="X118" i="1"/>
  <c r="X61" i="1"/>
  <c r="AA54" i="1"/>
  <c r="X49" i="1"/>
  <c r="AA24" i="1"/>
  <c r="AA185" i="1"/>
  <c r="AA168" i="1"/>
  <c r="AA234" i="1"/>
  <c r="AA229" i="1"/>
  <c r="AA221" i="1"/>
  <c r="AA215" i="1"/>
  <c r="W215" i="1" s="1"/>
  <c r="AA212" i="1"/>
  <c r="AA207" i="1"/>
  <c r="AA151" i="1"/>
  <c r="AA147" i="1"/>
  <c r="W147" i="1" s="1"/>
  <c r="X141" i="1"/>
  <c r="AA131" i="1"/>
  <c r="AA126" i="1"/>
  <c r="T122" i="1"/>
  <c r="U122" i="1" s="1"/>
  <c r="S122" i="1" s="1"/>
  <c r="AA116" i="1"/>
  <c r="AA111" i="1"/>
  <c r="AA107" i="1"/>
  <c r="AA103" i="1"/>
  <c r="W103" i="1" s="1"/>
  <c r="AA97" i="1"/>
  <c r="AA96" i="1"/>
  <c r="AA91" i="1"/>
  <c r="X88" i="1"/>
  <c r="AA86" i="1"/>
  <c r="AA77" i="1"/>
  <c r="AA76" i="1"/>
  <c r="AA65" i="1"/>
  <c r="W65" i="1" s="1"/>
  <c r="AA64" i="1"/>
  <c r="AA55" i="1"/>
  <c r="AA48" i="1"/>
  <c r="AA42" i="1"/>
  <c r="AA40" i="1"/>
  <c r="X32" i="1"/>
  <c r="T29" i="1"/>
  <c r="X24" i="1"/>
  <c r="AA19" i="1"/>
  <c r="AA15" i="1"/>
  <c r="T224" i="1"/>
  <c r="X225" i="1"/>
  <c r="AA204" i="1"/>
  <c r="T232" i="1"/>
  <c r="U232" i="1" s="1"/>
  <c r="S232" i="1" s="1"/>
  <c r="T222" i="1"/>
  <c r="T218" i="1"/>
  <c r="AA214" i="1"/>
  <c r="T213" i="1"/>
  <c r="U213" i="1" s="1"/>
  <c r="S213" i="1" s="1"/>
  <c r="AA211" i="1"/>
  <c r="X210" i="1"/>
  <c r="X153" i="1"/>
  <c r="T231" i="1"/>
  <c r="U231" i="1" s="1"/>
  <c r="S231" i="1" s="1"/>
  <c r="T221" i="1"/>
  <c r="T217" i="1"/>
  <c r="U217" i="1" s="1"/>
  <c r="S217" i="1" s="1"/>
  <c r="X142" i="1"/>
  <c r="T142" i="1"/>
  <c r="U142" i="1" s="1"/>
  <c r="S142" i="1" s="1"/>
  <c r="AA199" i="1"/>
  <c r="AA195" i="1"/>
  <c r="W195" i="1" s="1"/>
  <c r="AA191" i="1"/>
  <c r="AA187" i="1"/>
  <c r="W187" i="1" s="1"/>
  <c r="AA183" i="1"/>
  <c r="AA180" i="1"/>
  <c r="W180" i="1" s="1"/>
  <c r="AA178" i="1"/>
  <c r="AA175" i="1"/>
  <c r="W175" i="1" s="1"/>
  <c r="AA174" i="1"/>
  <c r="AA171" i="1"/>
  <c r="W171" i="1" s="1"/>
  <c r="AA170" i="1"/>
  <c r="AA167" i="1"/>
  <c r="AA166" i="1"/>
  <c r="AA163" i="1"/>
  <c r="AA162" i="1"/>
  <c r="AA159" i="1"/>
  <c r="W159" i="1" s="1"/>
  <c r="AA240" i="1"/>
  <c r="AA237" i="1"/>
  <c r="W237" i="1" s="1"/>
  <c r="AA236" i="1"/>
  <c r="AA233" i="1"/>
  <c r="AA155" i="1"/>
  <c r="T150" i="1"/>
  <c r="X150" i="1"/>
  <c r="T206" i="1"/>
  <c r="U206" i="1" s="1"/>
  <c r="S206" i="1" s="1"/>
  <c r="AA224" i="1"/>
  <c r="X138" i="1"/>
  <c r="T138" i="1"/>
  <c r="X131" i="1"/>
  <c r="X123" i="1"/>
  <c r="T88" i="1"/>
  <c r="T40" i="1"/>
  <c r="T24" i="1"/>
  <c r="U24" i="1" s="1"/>
  <c r="S24" i="1" s="1"/>
  <c r="X145" i="1"/>
  <c r="AA142" i="1"/>
  <c r="W142" i="1" s="1"/>
  <c r="X140" i="1"/>
  <c r="AA138" i="1"/>
  <c r="W138" i="1" s="1"/>
  <c r="X136" i="1"/>
  <c r="AA133" i="1"/>
  <c r="W133" i="1" s="1"/>
  <c r="X128" i="1"/>
  <c r="AA125" i="1"/>
  <c r="W125" i="1" s="1"/>
  <c r="X121" i="1"/>
  <c r="X117" i="1"/>
  <c r="X112" i="1"/>
  <c r="X108" i="1"/>
  <c r="X104" i="1"/>
  <c r="X100" i="1"/>
  <c r="X96" i="1"/>
  <c r="X92" i="1"/>
  <c r="X89" i="1"/>
  <c r="X86" i="1"/>
  <c r="X85" i="1"/>
  <c r="AA83" i="1"/>
  <c r="W83" i="1" s="1"/>
  <c r="AA82" i="1"/>
  <c r="AA79" i="1"/>
  <c r="W79" i="1" s="1"/>
  <c r="AA78" i="1"/>
  <c r="AA75" i="1"/>
  <c r="W75" i="1" s="1"/>
  <c r="AA74" i="1"/>
  <c r="X70" i="1"/>
  <c r="X69" i="1"/>
  <c r="T62" i="1"/>
  <c r="U62" i="1" s="1"/>
  <c r="S62" i="1" s="1"/>
  <c r="AA61" i="1"/>
  <c r="T61" i="1"/>
  <c r="AA59" i="1"/>
  <c r="AA58" i="1"/>
  <c r="X54" i="1"/>
  <c r="X53" i="1"/>
  <c r="X48" i="1"/>
  <c r="AA45" i="1"/>
  <c r="T44" i="1"/>
  <c r="X41" i="1"/>
  <c r="X36" i="1"/>
  <c r="AA29" i="1"/>
  <c r="T28" i="1"/>
  <c r="X25" i="1"/>
  <c r="X20" i="1"/>
  <c r="AA14" i="1"/>
  <c r="T131" i="1"/>
  <c r="AA93" i="1"/>
  <c r="W93" i="1" s="1"/>
  <c r="X80" i="1"/>
  <c r="X76" i="1"/>
  <c r="AA46" i="1"/>
  <c r="AA33" i="1"/>
  <c r="W33" i="1" s="1"/>
  <c r="AA30" i="1"/>
  <c r="AA21" i="1"/>
  <c r="W21" i="1" s="1"/>
  <c r="AA17" i="1"/>
  <c r="AA150" i="1"/>
  <c r="W150" i="1" s="1"/>
  <c r="AA143" i="1"/>
  <c r="AA139" i="1"/>
  <c r="AA129" i="1"/>
  <c r="X124" i="1"/>
  <c r="AA122" i="1"/>
  <c r="AA119" i="1"/>
  <c r="AA115" i="1"/>
  <c r="AA110" i="1"/>
  <c r="W110" i="1" s="1"/>
  <c r="AA106" i="1"/>
  <c r="AA102" i="1"/>
  <c r="AA98" i="1"/>
  <c r="AA94" i="1"/>
  <c r="W94" i="1" s="1"/>
  <c r="AA85" i="1"/>
  <c r="AA69" i="1"/>
  <c r="AA67" i="1"/>
  <c r="AA66" i="1"/>
  <c r="W66" i="1" s="1"/>
  <c r="AA53" i="1"/>
  <c r="AA47" i="1"/>
  <c r="AA34" i="1"/>
  <c r="AA18" i="1"/>
  <c r="W18" i="1" s="1"/>
  <c r="AI238" i="1"/>
  <c r="U225" i="1"/>
  <c r="S225" i="1" s="1"/>
  <c r="AI234" i="1"/>
  <c r="AI239" i="1"/>
  <c r="U226" i="1"/>
  <c r="S226" i="1" s="1"/>
  <c r="AI235" i="1"/>
  <c r="U241" i="1"/>
  <c r="S241" i="1" s="1"/>
  <c r="AI231" i="1"/>
  <c r="U223" i="1"/>
  <c r="S223" i="1" s="1"/>
  <c r="AI236" i="1"/>
  <c r="U204" i="1"/>
  <c r="S204" i="1" s="1"/>
  <c r="AI232" i="1"/>
  <c r="AI230" i="1"/>
  <c r="U203" i="1"/>
  <c r="S203" i="1" s="1"/>
  <c r="U227" i="1"/>
  <c r="S227" i="1" s="1"/>
  <c r="AI240" i="1"/>
  <c r="U228" i="1"/>
  <c r="S228" i="1" s="1"/>
  <c r="AI241" i="1"/>
  <c r="U224" i="1"/>
  <c r="S224" i="1" s="1"/>
  <c r="AI237" i="1"/>
  <c r="U205" i="1"/>
  <c r="S205" i="1" s="1"/>
  <c r="AI233" i="1"/>
  <c r="U202" i="1"/>
  <c r="S202" i="1" s="1"/>
  <c r="AI229" i="1"/>
  <c r="AI225" i="1"/>
  <c r="U198" i="1"/>
  <c r="S198" i="1" s="1"/>
  <c r="AI221" i="1"/>
  <c r="U194" i="1"/>
  <c r="S194" i="1" s="1"/>
  <c r="AI217" i="1"/>
  <c r="U190" i="1"/>
  <c r="S190" i="1" s="1"/>
  <c r="AI213" i="1"/>
  <c r="U186" i="1"/>
  <c r="S186" i="1" s="1"/>
  <c r="AI209" i="1"/>
  <c r="U182" i="1"/>
  <c r="S182" i="1" s="1"/>
  <c r="AI205" i="1"/>
  <c r="U177" i="1"/>
  <c r="S177" i="1" s="1"/>
  <c r="AI202" i="1"/>
  <c r="U173" i="1"/>
  <c r="S173" i="1" s="1"/>
  <c r="AI198" i="1"/>
  <c r="U169" i="1"/>
  <c r="S169" i="1" s="1"/>
  <c r="AI194" i="1"/>
  <c r="AI190" i="1"/>
  <c r="U161" i="1"/>
  <c r="S161" i="1" s="1"/>
  <c r="AI186" i="1"/>
  <c r="U239" i="1"/>
  <c r="S239" i="1" s="1"/>
  <c r="AI182" i="1"/>
  <c r="U235" i="1"/>
  <c r="S235" i="1" s="1"/>
  <c r="AI177" i="1"/>
  <c r="AI173" i="1"/>
  <c r="U221" i="1"/>
  <c r="S221" i="1" s="1"/>
  <c r="AI169" i="1"/>
  <c r="AI165" i="1"/>
  <c r="AI161" i="1"/>
  <c r="U209" i="1"/>
  <c r="S209" i="1" s="1"/>
  <c r="AI158" i="1"/>
  <c r="U158" i="1"/>
  <c r="S158" i="1" s="1"/>
  <c r="AI226" i="1"/>
  <c r="U199" i="1"/>
  <c r="S199" i="1" s="1"/>
  <c r="AI222" i="1"/>
  <c r="U195" i="1"/>
  <c r="AI218" i="1"/>
  <c r="U191" i="1"/>
  <c r="S191" i="1" s="1"/>
  <c r="AI214" i="1"/>
  <c r="U187" i="1"/>
  <c r="S187" i="1" s="1"/>
  <c r="AI210" i="1"/>
  <c r="AI206" i="1"/>
  <c r="U178" i="1"/>
  <c r="S178" i="1" s="1"/>
  <c r="AI203" i="1"/>
  <c r="U174" i="1"/>
  <c r="S174" i="1" s="1"/>
  <c r="AI199" i="1"/>
  <c r="U170" i="1"/>
  <c r="S170" i="1" s="1"/>
  <c r="AI195" i="1"/>
  <c r="U166" i="1"/>
  <c r="S166" i="1" s="1"/>
  <c r="AI191" i="1"/>
  <c r="U162" i="1"/>
  <c r="S162" i="1" s="1"/>
  <c r="AI187" i="1"/>
  <c r="U240" i="1"/>
  <c r="S240" i="1" s="1"/>
  <c r="AI183" i="1"/>
  <c r="U236" i="1"/>
  <c r="S236" i="1" s="1"/>
  <c r="AI178" i="1"/>
  <c r="AI174" i="1"/>
  <c r="U222" i="1"/>
  <c r="S222" i="1" s="1"/>
  <c r="AI170" i="1"/>
  <c r="U218" i="1"/>
  <c r="S218" i="1" s="1"/>
  <c r="AI166" i="1"/>
  <c r="AI162" i="1"/>
  <c r="U210" i="1"/>
  <c r="S210" i="1" s="1"/>
  <c r="AI227" i="1"/>
  <c r="U196" i="1"/>
  <c r="S196" i="1" s="1"/>
  <c r="AI223" i="1"/>
  <c r="U192" i="1"/>
  <c r="S192" i="1" s="1"/>
  <c r="AI219" i="1"/>
  <c r="U188" i="1"/>
  <c r="S188" i="1" s="1"/>
  <c r="AI215" i="1"/>
  <c r="U184" i="1"/>
  <c r="S184" i="1" s="1"/>
  <c r="AI211" i="1"/>
  <c r="U180" i="1"/>
  <c r="S180" i="1" s="1"/>
  <c r="AI207" i="1"/>
  <c r="U175" i="1"/>
  <c r="S175" i="1" s="1"/>
  <c r="U171" i="1"/>
  <c r="S171" i="1" s="1"/>
  <c r="AI200" i="1"/>
  <c r="U167" i="1"/>
  <c r="S167" i="1" s="1"/>
  <c r="AI196" i="1"/>
  <c r="U163" i="1"/>
  <c r="S163" i="1" s="1"/>
  <c r="AI192" i="1"/>
  <c r="U159" i="1"/>
  <c r="S159" i="1" s="1"/>
  <c r="AI188" i="1"/>
  <c r="U237" i="1"/>
  <c r="S237" i="1" s="1"/>
  <c r="AI184" i="1"/>
  <c r="U233" i="1"/>
  <c r="S233" i="1" s="1"/>
  <c r="AI180" i="1"/>
  <c r="U229" i="1"/>
  <c r="S229" i="1" s="1"/>
  <c r="AI175" i="1"/>
  <c r="U219" i="1"/>
  <c r="S219" i="1" s="1"/>
  <c r="AI171" i="1"/>
  <c r="U215" i="1"/>
  <c r="S215" i="1" s="1"/>
  <c r="AI167" i="1"/>
  <c r="U211" i="1"/>
  <c r="S211" i="1" s="1"/>
  <c r="AI163" i="1"/>
  <c r="U207" i="1"/>
  <c r="S207" i="1" s="1"/>
  <c r="AI159" i="1"/>
  <c r="U201" i="1"/>
  <c r="S201" i="1" s="1"/>
  <c r="AI228" i="1"/>
  <c r="U197" i="1"/>
  <c r="S197" i="1" s="1"/>
  <c r="AI224" i="1"/>
  <c r="U193" i="1"/>
  <c r="S193" i="1" s="1"/>
  <c r="AI220" i="1"/>
  <c r="U189" i="1"/>
  <c r="S189" i="1" s="1"/>
  <c r="AI216" i="1"/>
  <c r="U185" i="1"/>
  <c r="S185" i="1" s="1"/>
  <c r="AI212" i="1"/>
  <c r="U181" i="1"/>
  <c r="S181" i="1" s="1"/>
  <c r="AI208" i="1"/>
  <c r="U176" i="1"/>
  <c r="S176" i="1" s="1"/>
  <c r="AI204" i="1"/>
  <c r="U172" i="1"/>
  <c r="S172" i="1" s="1"/>
  <c r="AI201" i="1"/>
  <c r="U168" i="1"/>
  <c r="S168" i="1" s="1"/>
  <c r="AI197" i="1"/>
  <c r="U164" i="1"/>
  <c r="S164" i="1" s="1"/>
  <c r="AI193" i="1"/>
  <c r="U160" i="1"/>
  <c r="S160" i="1" s="1"/>
  <c r="AI189" i="1"/>
  <c r="U238" i="1"/>
  <c r="S238" i="1" s="1"/>
  <c r="AI185" i="1"/>
  <c r="U234" i="1"/>
  <c r="S234" i="1" s="1"/>
  <c r="AI181" i="1"/>
  <c r="U230" i="1"/>
  <c r="S230" i="1" s="1"/>
  <c r="AI176" i="1"/>
  <c r="U220" i="1"/>
  <c r="S220" i="1" s="1"/>
  <c r="AI172" i="1"/>
  <c r="U216" i="1"/>
  <c r="S216" i="1" s="1"/>
  <c r="AI168" i="1"/>
  <c r="U212" i="1"/>
  <c r="S212" i="1" s="1"/>
  <c r="AI164" i="1"/>
  <c r="U208" i="1"/>
  <c r="S208" i="1" s="1"/>
  <c r="AI160" i="1"/>
  <c r="AI154" i="1"/>
  <c r="U154" i="1"/>
  <c r="S154" i="1" s="1"/>
  <c r="AI150" i="1"/>
  <c r="U150" i="1"/>
  <c r="S150" i="1" s="1"/>
  <c r="AI146" i="1"/>
  <c r="U146" i="1"/>
  <c r="S146" i="1" s="1"/>
  <c r="AI142" i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AI155" i="1"/>
  <c r="U155" i="1"/>
  <c r="S155" i="1" s="1"/>
  <c r="AI151" i="1"/>
  <c r="U151" i="1"/>
  <c r="S151" i="1" s="1"/>
  <c r="AI147" i="1"/>
  <c r="U147" i="1"/>
  <c r="S147" i="1" s="1"/>
  <c r="AI143" i="1"/>
  <c r="U143" i="1"/>
  <c r="S143" i="1" s="1"/>
  <c r="AI139" i="1"/>
  <c r="U139" i="1"/>
  <c r="S139" i="1" s="1"/>
  <c r="AI135" i="1"/>
  <c r="U135" i="1"/>
  <c r="S135" i="1" s="1"/>
  <c r="AI131" i="1"/>
  <c r="U131" i="1"/>
  <c r="S131" i="1" s="1"/>
  <c r="AI127" i="1"/>
  <c r="U127" i="1"/>
  <c r="S127" i="1" s="1"/>
  <c r="AI123" i="1"/>
  <c r="U123" i="1"/>
  <c r="S123" i="1" s="1"/>
  <c r="AI122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/>
  <c r="AI136" i="1"/>
  <c r="U132" i="1"/>
  <c r="S132" i="1" s="1"/>
  <c r="AI132" i="1"/>
  <c r="U128" i="1"/>
  <c r="S128" i="1" s="1"/>
  <c r="AI128" i="1"/>
  <c r="U124" i="1"/>
  <c r="S124" i="1" s="1"/>
  <c r="AI124" i="1"/>
  <c r="U157" i="1"/>
  <c r="S157" i="1" s="1"/>
  <c r="AI157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3" i="1"/>
  <c r="S133" i="1" s="1"/>
  <c r="AI133" i="1"/>
  <c r="U129" i="1"/>
  <c r="S129" i="1" s="1"/>
  <c r="AI129" i="1"/>
  <c r="U125" i="1"/>
  <c r="S125" i="1" s="1"/>
  <c r="AI125" i="1"/>
  <c r="U121" i="1"/>
  <c r="AI121" i="1"/>
  <c r="AI117" i="1"/>
  <c r="U117" i="1"/>
  <c r="S117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118" i="1"/>
  <c r="U118" i="1"/>
  <c r="S118" i="1" s="1"/>
  <c r="S114" i="1"/>
  <c r="AI114" i="1"/>
  <c r="U114" i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U89" i="1"/>
  <c r="S89" i="1" s="1"/>
  <c r="AI89" i="1"/>
  <c r="U119" i="1"/>
  <c r="S119" i="1" s="1"/>
  <c r="AI119" i="1"/>
  <c r="U115" i="1"/>
  <c r="S115" i="1" s="1"/>
  <c r="AI115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AI94" i="1"/>
  <c r="U90" i="1"/>
  <c r="S90" i="1" s="1"/>
  <c r="AI90" i="1"/>
  <c r="U120" i="1"/>
  <c r="S120" i="1" s="1"/>
  <c r="AI120" i="1"/>
  <c r="U116" i="1"/>
  <c r="S116" i="1" s="1"/>
  <c r="AI116" i="1"/>
  <c r="U111" i="1"/>
  <c r="S111" i="1" s="1"/>
  <c r="AI111" i="1"/>
  <c r="U107" i="1"/>
  <c r="S107" i="1" s="1"/>
  <c r="AI107" i="1"/>
  <c r="U103" i="1"/>
  <c r="S103" i="1" s="1"/>
  <c r="AI103" i="1"/>
  <c r="U99" i="1"/>
  <c r="AI99" i="1"/>
  <c r="U95" i="1"/>
  <c r="S95" i="1" s="1"/>
  <c r="AI95" i="1"/>
  <c r="U91" i="1"/>
  <c r="S91" i="1" s="1"/>
  <c r="AI91" i="1"/>
  <c r="U88" i="1"/>
  <c r="S88" i="1" s="1"/>
  <c r="AI88" i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U52" i="1"/>
  <c r="S52" i="1" s="1"/>
  <c r="AI52" i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AI61" i="1"/>
  <c r="U61" i="1"/>
  <c r="S61" i="1" s="1"/>
  <c r="AI57" i="1"/>
  <c r="U57" i="1"/>
  <c r="S57" i="1" s="1"/>
  <c r="AI53" i="1"/>
  <c r="U53" i="1"/>
  <c r="S53" i="1" s="1"/>
  <c r="U86" i="1"/>
  <c r="S86" i="1" s="1"/>
  <c r="AI86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AI66" i="1"/>
  <c r="AI62" i="1"/>
  <c r="U58" i="1"/>
  <c r="S58" i="1" s="1"/>
  <c r="AI58" i="1"/>
  <c r="U54" i="1"/>
  <c r="S54" i="1" s="1"/>
  <c r="AI54" i="1"/>
  <c r="U87" i="1"/>
  <c r="S87" i="1" s="1"/>
  <c r="AI87" i="1"/>
  <c r="U83" i="1"/>
  <c r="S83" i="1" s="1"/>
  <c r="AI83" i="1"/>
  <c r="AI79" i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AI24" i="1"/>
  <c r="U20" i="1"/>
  <c r="S20" i="1" s="1"/>
  <c r="AI20" i="1"/>
  <c r="U16" i="1"/>
  <c r="S16" i="1" s="1"/>
  <c r="AI16" i="1"/>
  <c r="W226" i="1"/>
  <c r="W225" i="1"/>
  <c r="W223" i="1"/>
  <c r="W224" i="1"/>
  <c r="W228" i="1"/>
  <c r="W227" i="1"/>
  <c r="W241" i="1"/>
  <c r="W206" i="1"/>
  <c r="W204" i="1"/>
  <c r="W205" i="1"/>
  <c r="W202" i="1"/>
  <c r="X228" i="1"/>
  <c r="X224" i="1"/>
  <c r="AA203" i="1"/>
  <c r="W203" i="1" s="1"/>
  <c r="W200" i="1"/>
  <c r="W199" i="1"/>
  <c r="W197" i="1"/>
  <c r="W196" i="1"/>
  <c r="W193" i="1"/>
  <c r="W192" i="1"/>
  <c r="W191" i="1"/>
  <c r="W189" i="1"/>
  <c r="W188" i="1"/>
  <c r="W185" i="1"/>
  <c r="W184" i="1"/>
  <c r="W183" i="1"/>
  <c r="W181" i="1"/>
  <c r="W178" i="1"/>
  <c r="W176" i="1"/>
  <c r="W174" i="1"/>
  <c r="W172" i="1"/>
  <c r="W170" i="1"/>
  <c r="W168" i="1"/>
  <c r="W167" i="1"/>
  <c r="W166" i="1"/>
  <c r="W163" i="1"/>
  <c r="W162" i="1"/>
  <c r="W160" i="1"/>
  <c r="W240" i="1"/>
  <c r="W238" i="1"/>
  <c r="W236" i="1"/>
  <c r="W234" i="1"/>
  <c r="W233" i="1"/>
  <c r="W209" i="1"/>
  <c r="T200" i="1"/>
  <c r="U200" i="1" s="1"/>
  <c r="S200" i="1" s="1"/>
  <c r="X200" i="1"/>
  <c r="W213" i="1"/>
  <c r="W210" i="1"/>
  <c r="W207" i="1"/>
  <c r="W231" i="1"/>
  <c r="W221" i="1"/>
  <c r="W217" i="1"/>
  <c r="W214" i="1"/>
  <c r="W212" i="1"/>
  <c r="W211" i="1"/>
  <c r="X227" i="1"/>
  <c r="X223" i="1"/>
  <c r="W198" i="1"/>
  <c r="W194" i="1"/>
  <c r="W190" i="1"/>
  <c r="W186" i="1"/>
  <c r="W182" i="1"/>
  <c r="W177" i="1"/>
  <c r="W173" i="1"/>
  <c r="W169" i="1"/>
  <c r="W165" i="1"/>
  <c r="W161" i="1"/>
  <c r="W239" i="1"/>
  <c r="W235" i="1"/>
  <c r="W232" i="1"/>
  <c r="W230" i="1"/>
  <c r="W229" i="1"/>
  <c r="W222" i="1"/>
  <c r="W220" i="1"/>
  <c r="W219" i="1"/>
  <c r="W218" i="1"/>
  <c r="W216" i="1"/>
  <c r="X201" i="1"/>
  <c r="X197" i="1"/>
  <c r="X193" i="1"/>
  <c r="X189" i="1"/>
  <c r="X185" i="1"/>
  <c r="X181" i="1"/>
  <c r="X176" i="1"/>
  <c r="X172" i="1"/>
  <c r="X168" i="1"/>
  <c r="X164" i="1"/>
  <c r="X160" i="1"/>
  <c r="X238" i="1"/>
  <c r="X234" i="1"/>
  <c r="X230" i="1"/>
  <c r="X220" i="1"/>
  <c r="X216" i="1"/>
  <c r="X212" i="1"/>
  <c r="X208" i="1"/>
  <c r="W157" i="1"/>
  <c r="W155" i="1"/>
  <c r="W152" i="1"/>
  <c r="W151" i="1"/>
  <c r="W148" i="1"/>
  <c r="W134" i="1"/>
  <c r="W132" i="1"/>
  <c r="W126" i="1"/>
  <c r="W124" i="1"/>
  <c r="W141" i="1"/>
  <c r="W137" i="1"/>
  <c r="W131" i="1"/>
  <c r="W158" i="1"/>
  <c r="W146" i="1"/>
  <c r="W145" i="1"/>
  <c r="W140" i="1"/>
  <c r="W136" i="1"/>
  <c r="W130" i="1"/>
  <c r="W128" i="1"/>
  <c r="X196" i="1"/>
  <c r="X192" i="1"/>
  <c r="X188" i="1"/>
  <c r="X184" i="1"/>
  <c r="X175" i="1"/>
  <c r="X171" i="1"/>
  <c r="X167" i="1"/>
  <c r="X163" i="1"/>
  <c r="X159" i="1"/>
  <c r="X237" i="1"/>
  <c r="X233" i="1"/>
  <c r="X229" i="1"/>
  <c r="X219" i="1"/>
  <c r="X215" i="1"/>
  <c r="X211" i="1"/>
  <c r="X207" i="1"/>
  <c r="W154" i="1"/>
  <c r="W153" i="1"/>
  <c r="W144" i="1"/>
  <c r="W143" i="1"/>
  <c r="W139" i="1"/>
  <c r="W135" i="1"/>
  <c r="W129" i="1"/>
  <c r="W127" i="1"/>
  <c r="W122" i="1"/>
  <c r="W90" i="1"/>
  <c r="W121" i="1"/>
  <c r="X155" i="1"/>
  <c r="X151" i="1"/>
  <c r="X147" i="1"/>
  <c r="X143" i="1"/>
  <c r="X139" i="1"/>
  <c r="W118" i="1"/>
  <c r="W117" i="1"/>
  <c r="W114" i="1"/>
  <c r="W112" i="1"/>
  <c r="W109" i="1"/>
  <c r="W108" i="1"/>
  <c r="W105" i="1"/>
  <c r="W104" i="1"/>
  <c r="W101" i="1"/>
  <c r="W100" i="1"/>
  <c r="W97" i="1"/>
  <c r="W96" i="1"/>
  <c r="X156" i="1"/>
  <c r="X152" i="1"/>
  <c r="X148" i="1"/>
  <c r="X144" i="1"/>
  <c r="W123" i="1"/>
  <c r="W120" i="1"/>
  <c r="W119" i="1"/>
  <c r="W116" i="1"/>
  <c r="W115" i="1"/>
  <c r="W111" i="1"/>
  <c r="W107" i="1"/>
  <c r="W106" i="1"/>
  <c r="W102" i="1"/>
  <c r="W99" i="1"/>
  <c r="W98" i="1"/>
  <c r="W95" i="1"/>
  <c r="W91" i="1"/>
  <c r="W88" i="1"/>
  <c r="X120" i="1"/>
  <c r="X116" i="1"/>
  <c r="X111" i="1"/>
  <c r="X107" i="1"/>
  <c r="X103" i="1"/>
  <c r="X99" i="1"/>
  <c r="X95" i="1"/>
  <c r="X91" i="1"/>
  <c r="W87" i="1"/>
  <c r="W86" i="1"/>
  <c r="W84" i="1"/>
  <c r="W81" i="1"/>
  <c r="W77" i="1"/>
  <c r="W73" i="1"/>
  <c r="W71" i="1"/>
  <c r="W70" i="1"/>
  <c r="W68" i="1"/>
  <c r="W57" i="1"/>
  <c r="W55" i="1"/>
  <c r="W54" i="1"/>
  <c r="W52" i="1"/>
  <c r="W51" i="1"/>
  <c r="W82" i="1"/>
  <c r="W80" i="1"/>
  <c r="W78" i="1"/>
  <c r="W76" i="1"/>
  <c r="W74" i="1"/>
  <c r="W72" i="1"/>
  <c r="W61" i="1"/>
  <c r="W59" i="1"/>
  <c r="W58" i="1"/>
  <c r="W56" i="1"/>
  <c r="W63" i="1"/>
  <c r="W62" i="1"/>
  <c r="W60" i="1"/>
  <c r="X119" i="1"/>
  <c r="X115" i="1"/>
  <c r="X110" i="1"/>
  <c r="X106" i="1"/>
  <c r="X102" i="1"/>
  <c r="X98" i="1"/>
  <c r="X94" i="1"/>
  <c r="X90" i="1"/>
  <c r="AA89" i="1"/>
  <c r="W89" i="1" s="1"/>
  <c r="W85" i="1"/>
  <c r="W69" i="1"/>
  <c r="W67" i="1"/>
  <c r="W64" i="1"/>
  <c r="W53" i="1"/>
  <c r="X87" i="1"/>
  <c r="X83" i="1"/>
  <c r="X79" i="1"/>
  <c r="T79" i="1"/>
  <c r="U79" i="1" s="1"/>
  <c r="S79" i="1" s="1"/>
  <c r="X75" i="1"/>
  <c r="T75" i="1"/>
  <c r="U75" i="1" s="1"/>
  <c r="S75" i="1" s="1"/>
  <c r="X71" i="1"/>
  <c r="X67" i="1"/>
  <c r="X63" i="1"/>
  <c r="X59" i="1"/>
  <c r="X55" i="1"/>
  <c r="W50" i="1"/>
  <c r="W44" i="1"/>
  <c r="W41" i="1"/>
  <c r="W39" i="1"/>
  <c r="W38" i="1"/>
  <c r="W28" i="1"/>
  <c r="W25" i="1"/>
  <c r="W23" i="1"/>
  <c r="W22" i="1"/>
  <c r="X72" i="1"/>
  <c r="X68" i="1"/>
  <c r="X64" i="1"/>
  <c r="X60" i="1"/>
  <c r="X56" i="1"/>
  <c r="W45" i="1"/>
  <c r="W43" i="1"/>
  <c r="W42" i="1"/>
  <c r="W32" i="1"/>
  <c r="W29" i="1"/>
  <c r="W27" i="1"/>
  <c r="W26" i="1"/>
  <c r="W16" i="1"/>
  <c r="W14" i="1"/>
  <c r="W48" i="1"/>
  <c r="W46" i="1"/>
  <c r="W36" i="1"/>
  <c r="W31" i="1"/>
  <c r="W30" i="1"/>
  <c r="W20" i="1"/>
  <c r="W17" i="1"/>
  <c r="W15" i="1"/>
  <c r="T51" i="1"/>
  <c r="U51" i="1" s="1"/>
  <c r="S51" i="1" s="1"/>
  <c r="X51" i="1"/>
  <c r="W49" i="1"/>
  <c r="W47" i="1"/>
  <c r="W40" i="1"/>
  <c r="W37" i="1"/>
  <c r="W35" i="1"/>
  <c r="W34" i="1"/>
  <c r="W24" i="1"/>
  <c r="W19" i="1"/>
  <c r="X50" i="1"/>
  <c r="X46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D35" i="3"/>
  <c r="AD23" i="3"/>
  <c r="AD19" i="3"/>
  <c r="AD15" i="3"/>
  <c r="AE14" i="3"/>
  <c r="AE10" i="3"/>
  <c r="AD9" i="3"/>
  <c r="AD22" i="3"/>
  <c r="AD18" i="3"/>
  <c r="AD14" i="3"/>
  <c r="AD11" i="3"/>
  <c r="AC51" i="3"/>
  <c r="AC34" i="3"/>
  <c r="AE29" i="3"/>
  <c r="AE26" i="3"/>
  <c r="AC7" i="3"/>
  <c r="AC24" i="3"/>
  <c r="AD10" i="3"/>
  <c r="AD51" i="3"/>
  <c r="AE37" i="3"/>
  <c r="AD27" i="3"/>
  <c r="AE21" i="3"/>
  <c r="AE17" i="3"/>
  <c r="AE13" i="3"/>
  <c r="AD45" i="3"/>
  <c r="T50" i="3"/>
  <c r="AC43" i="3"/>
  <c r="AC22" i="3"/>
  <c r="AD29" i="3"/>
  <c r="T23" i="3"/>
  <c r="AC32" i="3"/>
  <c r="AC21" i="3"/>
  <c r="AD13" i="3"/>
  <c r="T46" i="3"/>
  <c r="AC48" i="3"/>
  <c r="AE44" i="3"/>
  <c r="AE50" i="3"/>
  <c r="AD49" i="3"/>
  <c r="T37" i="3"/>
  <c r="AC12" i="3"/>
  <c r="AC18" i="3"/>
  <c r="AE34" i="3"/>
  <c r="AD33" i="3"/>
  <c r="T38" i="3"/>
  <c r="AC42" i="3"/>
  <c r="AC31" i="3"/>
  <c r="AE18" i="3"/>
  <c r="AD17" i="3"/>
  <c r="T19" i="3"/>
  <c r="AC11" i="3"/>
  <c r="AC44" i="3"/>
  <c r="AE38" i="3"/>
  <c r="AE22" i="3"/>
  <c r="Y51" i="3"/>
  <c r="Y34" i="3"/>
  <c r="Y38" i="3"/>
  <c r="Y23" i="3"/>
  <c r="Y27" i="3"/>
  <c r="Y17" i="3"/>
  <c r="Y26" i="3"/>
  <c r="Y35" i="3"/>
  <c r="Y13" i="3"/>
  <c r="Y47" i="3"/>
  <c r="Y49" i="3"/>
  <c r="Y14" i="3"/>
  <c r="Y52" i="3"/>
  <c r="Y20" i="3"/>
  <c r="Y45" i="3"/>
  <c r="Y25" i="3"/>
  <c r="Y18" i="3"/>
  <c r="Y37" i="3"/>
  <c r="Y16" i="3"/>
  <c r="Y12" i="3"/>
  <c r="Y43" i="3"/>
  <c r="Y9" i="3"/>
  <c r="Y29" i="3"/>
  <c r="Y42" i="3"/>
  <c r="Y32" i="3"/>
  <c r="Y30" i="3"/>
  <c r="Y10" i="3"/>
  <c r="Y11" i="3"/>
  <c r="Y24" i="3"/>
  <c r="Y48" i="3"/>
  <c r="Y31" i="3"/>
  <c r="Y21" i="3"/>
  <c r="Y41" i="3"/>
  <c r="Y7" i="3"/>
  <c r="Y44" i="3"/>
  <c r="Y22" i="3"/>
  <c r="Y33" i="3"/>
  <c r="Y50" i="3"/>
  <c r="Y36" i="3"/>
  <c r="Y40" i="3"/>
  <c r="Y15" i="3"/>
  <c r="Y28" i="3"/>
  <c r="Y19" i="3"/>
  <c r="Y46" i="3"/>
  <c r="Y39" i="3"/>
  <c r="AE48" i="3"/>
  <c r="T17" i="3"/>
  <c r="T26" i="3"/>
  <c r="AE36" i="3"/>
  <c r="T13" i="3"/>
  <c r="AD52" i="3"/>
  <c r="AE51" i="3"/>
  <c r="T16" i="3"/>
  <c r="AD48" i="3"/>
  <c r="AE47" i="3"/>
  <c r="T12" i="3"/>
  <c r="AD44" i="3"/>
  <c r="AE43" i="3"/>
  <c r="T43" i="3"/>
  <c r="AD40" i="3"/>
  <c r="AE39" i="3"/>
  <c r="T9" i="3"/>
  <c r="AD36" i="3"/>
  <c r="AE35" i="3"/>
  <c r="T29" i="3"/>
  <c r="AD32" i="3"/>
  <c r="AE31" i="3"/>
  <c r="T42" i="3"/>
  <c r="AD28" i="3"/>
  <c r="AE27" i="3"/>
  <c r="T32" i="3"/>
  <c r="AD24" i="3"/>
  <c r="AE23" i="3"/>
  <c r="T30" i="3"/>
  <c r="AD20" i="3"/>
  <c r="AE19" i="3"/>
  <c r="T10" i="3"/>
  <c r="AD16" i="3"/>
  <c r="AE15" i="3"/>
  <c r="T11" i="3"/>
  <c r="AD12" i="3"/>
  <c r="AE11" i="3"/>
  <c r="T24" i="3"/>
  <c r="AC39" i="3"/>
  <c r="AC27" i="3"/>
  <c r="AC26" i="3"/>
  <c r="AC35" i="3"/>
  <c r="AC47" i="3"/>
  <c r="AC49" i="3"/>
  <c r="AC14" i="3"/>
  <c r="AC52" i="3"/>
  <c r="AC20" i="3"/>
  <c r="AC45" i="3"/>
  <c r="AC25" i="3"/>
  <c r="AE9" i="3"/>
  <c r="T39" i="3"/>
  <c r="AE52" i="3"/>
  <c r="AE40" i="3"/>
  <c r="AE32" i="3"/>
  <c r="AE28" i="3"/>
  <c r="AE24" i="3"/>
  <c r="AE20" i="3"/>
  <c r="AE16" i="3"/>
  <c r="AE12" i="3"/>
  <c r="S8" i="3"/>
  <c r="R8" i="3"/>
  <c r="M8" i="3"/>
  <c r="U8" i="3"/>
  <c r="T8" i="3" s="1"/>
  <c r="V8" i="3"/>
  <c r="X8" i="3"/>
  <c r="W8" i="3"/>
  <c r="AE8" i="3" l="1"/>
  <c r="AD8" i="3"/>
  <c r="AC8" i="3"/>
  <c r="Y8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25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24" i="3" s="1"/>
  <c r="G63" i="4"/>
  <c r="G64" i="4"/>
  <c r="G65" i="4"/>
  <c r="G66" i="4"/>
  <c r="G67" i="4"/>
  <c r="G68" i="4"/>
  <c r="G69" i="4"/>
  <c r="N7" i="3" s="1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11" i="3" s="1"/>
  <c r="G93" i="4"/>
  <c r="G94" i="4"/>
  <c r="N20" i="3" s="1"/>
  <c r="G95" i="4"/>
  <c r="G96" i="4"/>
  <c r="N41" i="3" s="1"/>
  <c r="G97" i="4"/>
  <c r="G98" i="4"/>
  <c r="G99" i="4"/>
  <c r="G100" i="4"/>
  <c r="G101" i="4"/>
  <c r="G102" i="4"/>
  <c r="G103" i="4"/>
  <c r="N52" i="3" s="1"/>
  <c r="G104" i="4"/>
  <c r="G105" i="4"/>
  <c r="G106" i="4"/>
  <c r="G107" i="4"/>
  <c r="N28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30" i="3" s="1"/>
  <c r="G121" i="4"/>
  <c r="G122" i="4"/>
  <c r="N21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N31" i="3" s="1"/>
  <c r="G138" i="4"/>
  <c r="G139" i="4"/>
  <c r="N32" i="3" s="1"/>
  <c r="G140" i="4"/>
  <c r="G141" i="4"/>
  <c r="G142" i="4"/>
  <c r="G143" i="4"/>
  <c r="G144" i="4"/>
  <c r="G145" i="4"/>
  <c r="G146" i="4"/>
  <c r="N49" i="3" s="1"/>
  <c r="G147" i="4"/>
  <c r="G148" i="4"/>
  <c r="G149" i="4"/>
  <c r="N23" i="3" s="1"/>
  <c r="G150" i="4"/>
  <c r="G151" i="4"/>
  <c r="G152" i="4"/>
  <c r="N33" i="3" s="1"/>
  <c r="G153" i="4"/>
  <c r="G154" i="4"/>
  <c r="G155" i="4"/>
  <c r="N29" i="3" s="1"/>
  <c r="G156" i="4"/>
  <c r="N34" i="3" s="1"/>
  <c r="G157" i="4"/>
  <c r="G158" i="4"/>
  <c r="G159" i="4"/>
  <c r="G160" i="4"/>
  <c r="G161" i="4"/>
  <c r="G162" i="4"/>
  <c r="G163" i="4"/>
  <c r="G164" i="4"/>
  <c r="N38" i="3" s="1"/>
  <c r="G165" i="4"/>
  <c r="G166" i="4"/>
  <c r="N13" i="3" s="1"/>
  <c r="G167" i="4"/>
  <c r="G168" i="4"/>
  <c r="G169" i="4"/>
  <c r="G170" i="4"/>
  <c r="G171" i="4"/>
  <c r="N22" i="3" s="1"/>
  <c r="G172" i="4"/>
  <c r="N40" i="3" s="1"/>
  <c r="G173" i="4"/>
  <c r="G174" i="4"/>
  <c r="G175" i="4"/>
  <c r="G176" i="4"/>
  <c r="G177" i="4"/>
  <c r="G178" i="4"/>
  <c r="G179" i="4"/>
  <c r="G180" i="4"/>
  <c r="G181" i="4"/>
  <c r="N35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N26" i="3" s="1"/>
  <c r="G206" i="4"/>
  <c r="N8" i="3" s="1"/>
  <c r="G207" i="4"/>
  <c r="G208" i="4"/>
  <c r="N18" i="3" s="1"/>
  <c r="G209" i="4"/>
  <c r="G210" i="4"/>
  <c r="G211" i="4"/>
  <c r="G212" i="4"/>
  <c r="G213" i="4"/>
  <c r="G214" i="4"/>
  <c r="N43" i="3" s="1"/>
  <c r="G215" i="4"/>
  <c r="G216" i="4"/>
  <c r="G217" i="4"/>
  <c r="G218" i="4"/>
  <c r="G219" i="4"/>
  <c r="N12" i="3" s="1"/>
  <c r="G220" i="4"/>
  <c r="G221" i="4"/>
  <c r="G222" i="4"/>
  <c r="G223" i="4"/>
  <c r="G224" i="4"/>
  <c r="G225" i="4"/>
  <c r="G226" i="4"/>
  <c r="G227" i="4"/>
  <c r="G228" i="4"/>
  <c r="N17" i="3" s="1"/>
  <c r="G229" i="4"/>
  <c r="G230" i="4"/>
  <c r="G231" i="4"/>
  <c r="G232" i="4"/>
  <c r="G233" i="4"/>
  <c r="G234" i="4"/>
  <c r="G235" i="4"/>
  <c r="G236" i="4"/>
  <c r="G237" i="4"/>
  <c r="G238" i="4"/>
  <c r="G239" i="4"/>
  <c r="N37" i="3" s="1"/>
  <c r="G240" i="4"/>
  <c r="G241" i="4"/>
  <c r="G242" i="4"/>
  <c r="N48" i="3" s="1"/>
  <c r="G243" i="4"/>
  <c r="G244" i="4"/>
  <c r="G245" i="4"/>
  <c r="N16" i="3" s="1"/>
  <c r="G246" i="4"/>
  <c r="G247" i="4"/>
  <c r="G248" i="4"/>
  <c r="G249" i="4"/>
  <c r="G250" i="4"/>
  <c r="G251" i="4"/>
  <c r="N27" i="3" s="1"/>
  <c r="G252" i="4"/>
  <c r="G253" i="4"/>
  <c r="G254" i="4"/>
  <c r="G255" i="4"/>
  <c r="G256" i="4"/>
  <c r="G257" i="4"/>
  <c r="G258" i="4"/>
  <c r="G2" i="4"/>
  <c r="N36" i="3" l="1"/>
  <c r="N9" i="3"/>
  <c r="N14" i="3"/>
  <c r="N15" i="3"/>
  <c r="N46" i="3"/>
  <c r="N45" i="3"/>
  <c r="N51" i="3"/>
  <c r="N50" i="3"/>
  <c r="N47" i="3"/>
  <c r="N42" i="3"/>
  <c r="N19" i="3"/>
  <c r="N10" i="3"/>
  <c r="N39" i="3"/>
  <c r="N44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B3" i="6" l="1"/>
  <c r="P3" i="5"/>
  <c r="G3" i="6" l="1"/>
  <c r="I3" i="6"/>
  <c r="J3" i="6"/>
  <c r="F3" i="6"/>
  <c r="H3" i="6"/>
  <c r="B4" i="6"/>
  <c r="M18" i="5"/>
  <c r="B5" i="6" l="1"/>
  <c r="F4" i="6"/>
  <c r="G4" i="6"/>
  <c r="I4" i="6"/>
  <c r="J4" i="6"/>
  <c r="H4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I5" i="6"/>
  <c r="J5" i="6"/>
  <c r="F5" i="6"/>
  <c r="H5" i="6"/>
  <c r="B6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7" i="6" l="1"/>
  <c r="F6" i="6"/>
  <c r="G6" i="6"/>
  <c r="I6" i="6"/>
  <c r="H6" i="6"/>
  <c r="J6" i="6"/>
  <c r="G259" i="4"/>
  <c r="G260" i="4"/>
  <c r="G261" i="4"/>
  <c r="G262" i="4"/>
  <c r="G263" i="4"/>
  <c r="G264" i="4"/>
  <c r="G265" i="4"/>
  <c r="B8" i="6" l="1"/>
  <c r="G7" i="6"/>
  <c r="I7" i="6"/>
  <c r="H7" i="6"/>
  <c r="J7" i="6"/>
  <c r="F7" i="6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G8" i="6"/>
  <c r="I8" i="6"/>
  <c r="J8" i="6"/>
  <c r="H8" i="6"/>
  <c r="B9" i="6"/>
  <c r="O3" i="3"/>
  <c r="H9" i="6" l="1"/>
  <c r="I9" i="6"/>
  <c r="F9" i="6"/>
  <c r="G9" i="6"/>
  <c r="J9" i="6"/>
  <c r="B10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1" i="6" l="1"/>
  <c r="F11" i="6" s="1"/>
  <c r="F10" i="6"/>
  <c r="G10" i="6"/>
  <c r="I10" i="6"/>
  <c r="H10" i="6"/>
  <c r="J10" i="6"/>
  <c r="J8" i="1"/>
  <c r="J4" i="1"/>
  <c r="S8" i="1"/>
  <c r="S4" i="1"/>
  <c r="J11" i="6" l="1"/>
  <c r="I11" i="6"/>
  <c r="G11" i="6"/>
  <c r="H11" i="6"/>
  <c r="B12" i="6"/>
  <c r="S9" i="1"/>
  <c r="J9" i="1"/>
  <c r="B13" i="6" l="1"/>
  <c r="H12" i="6"/>
  <c r="J12" i="6"/>
  <c r="F12" i="6"/>
  <c r="G12" i="6"/>
  <c r="I12" i="6"/>
  <c r="S11" i="1"/>
  <c r="A11" i="1"/>
  <c r="B14" i="6" l="1"/>
  <c r="F13" i="6"/>
  <c r="I13" i="6"/>
  <c r="J13" i="6"/>
  <c r="G13" i="6"/>
  <c r="H13" i="6"/>
  <c r="B1" i="6"/>
  <c r="A5" i="3"/>
  <c r="B15" i="6" l="1"/>
  <c r="G14" i="6"/>
  <c r="H14" i="6"/>
  <c r="F14" i="6"/>
  <c r="I14" i="6"/>
  <c r="J14" i="6"/>
  <c r="G15" i="6" l="1"/>
  <c r="H15" i="6"/>
  <c r="I15" i="6"/>
  <c r="J15" i="6"/>
  <c r="F15" i="6"/>
  <c r="B16" i="6"/>
  <c r="H16" i="6" l="1"/>
  <c r="F16" i="6"/>
  <c r="G16" i="6"/>
  <c r="I16" i="6"/>
  <c r="J16" i="6"/>
  <c r="B17" i="6"/>
  <c r="B18" i="6" l="1"/>
  <c r="G17" i="6"/>
  <c r="H17" i="6"/>
  <c r="I17" i="6"/>
  <c r="J17" i="6"/>
  <c r="F17" i="6"/>
  <c r="B19" i="6" l="1"/>
  <c r="I18" i="6"/>
  <c r="G18" i="6"/>
  <c r="F18" i="6"/>
  <c r="H18" i="6"/>
  <c r="J18" i="6"/>
  <c r="G19" i="6" l="1"/>
  <c r="F19" i="6"/>
  <c r="H19" i="6"/>
  <c r="I19" i="6"/>
  <c r="J19" i="6"/>
  <c r="B20" i="6"/>
  <c r="H20" i="6" l="1"/>
  <c r="J20" i="6"/>
  <c r="F20" i="6"/>
  <c r="G20" i="6"/>
  <c r="I20" i="6"/>
  <c r="B21" i="6"/>
  <c r="B22" i="6" l="1"/>
  <c r="F21" i="6"/>
  <c r="G21" i="6"/>
  <c r="I21" i="6"/>
  <c r="H21" i="6"/>
  <c r="J21" i="6"/>
  <c r="F22" i="6" l="1"/>
  <c r="G22" i="6"/>
  <c r="J22" i="6"/>
  <c r="H22" i="6"/>
  <c r="I22" i="6"/>
  <c r="B23" i="6"/>
  <c r="G23" i="6" l="1"/>
  <c r="J23" i="6"/>
  <c r="F23" i="6"/>
  <c r="H23" i="6"/>
  <c r="I23" i="6"/>
  <c r="B24" i="6"/>
  <c r="B25" i="6" l="1"/>
  <c r="F24" i="6"/>
  <c r="G24" i="6"/>
  <c r="H24" i="6"/>
  <c r="I24" i="6"/>
  <c r="J24" i="6"/>
  <c r="B26" i="6" l="1"/>
  <c r="J25" i="6"/>
  <c r="F25" i="6"/>
  <c r="I25" i="6"/>
  <c r="G25" i="6"/>
  <c r="H25" i="6"/>
  <c r="B27" i="6" l="1"/>
  <c r="G26" i="6"/>
  <c r="H26" i="6"/>
  <c r="F26" i="6"/>
  <c r="I26" i="6"/>
  <c r="J26" i="6"/>
  <c r="G27" i="6" l="1"/>
  <c r="I27" i="6"/>
  <c r="J27" i="6"/>
  <c r="F27" i="6"/>
  <c r="H27" i="6"/>
  <c r="B28" i="6"/>
  <c r="B29" i="6" l="1"/>
  <c r="J28" i="6"/>
  <c r="F28" i="6"/>
  <c r="H28" i="6"/>
  <c r="G28" i="6"/>
  <c r="I28" i="6"/>
  <c r="B30" i="6" l="1"/>
  <c r="H29" i="6"/>
  <c r="F29" i="6"/>
  <c r="I29" i="6"/>
  <c r="J29" i="6"/>
  <c r="G29" i="6"/>
  <c r="B32" i="6" l="1"/>
  <c r="B31" i="6"/>
  <c r="G30" i="6"/>
  <c r="H30" i="6"/>
  <c r="F30" i="6"/>
  <c r="I30" i="6"/>
  <c r="J30" i="6"/>
  <c r="G31" i="6" l="1"/>
  <c r="H31" i="6"/>
  <c r="I31" i="6"/>
  <c r="J31" i="6"/>
  <c r="F31" i="6"/>
  <c r="H32" i="6"/>
  <c r="J32" i="6"/>
  <c r="G32" i="6"/>
  <c r="I32" i="6"/>
  <c r="F3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<sst xmlns="http://schemas.openxmlformats.org/spreadsheetml/2006/main" count="2966" uniqueCount="1039">
  <si>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</si>
  <si>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</si>
  <si>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</si>
  <si>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</si>
  <si>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</si>
  <si>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</si>
  <si>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</si>
  <si>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</si>
  <si>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</si>
  <si>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</si>
  <si>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</si>
  <si>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</si>
  <si>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</si>
  <si>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</si>
  <si>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</si>
  <si>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</si>
  <si>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</si>
  <si>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</si>
  <si>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</si>
  <si>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</si>
  <si>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</si>
  <si>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</si>
  <si>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</si>
  <si>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</si>
  <si>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</si>
  <si>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</si>
  <si>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</si>
  <si>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</si>
  <si>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</si>
  <si>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</si>
  <si>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</si>
  <si>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</si>
  <si>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</si>
  <si>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</si>
  <si>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</si>
  <si>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</si>
  <si>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</si>
  <si>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</si>
  <si>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</si>
  <si>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</si>
  <si>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</si>
  <si>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</si>
  <si>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</si>
  <si>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</si>
  <si>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</si>
  <si>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</si>
  <si>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</si>
  <si>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</si>
  <si>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</si>
  <si>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</si>
  <si>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</si>
  <si>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</si>
  <si>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</si>
  <si>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</si>
  <si>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</si>
  <si>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</si>
  <si>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</si>
  <si>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</si>
  <si>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</si>
  <si>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</si>
  <si>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</si>
  <si>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</si>
  <si>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</si>
  <si>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</si>
  <si>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</si>
  <si>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</si>
  <si>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</si>
  <si>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</si>
  <si>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</si>
  <si>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</si>
  <si>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</si>
  <si>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</si>
  <si>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</si>
  <si>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</si>
  <si>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</si>
  <si>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</si>
  <si>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</si>
  <si>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</si>
  <si>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</si>
  <si>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</si>
  <si>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</si>
  <si>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</si>
  <si>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</si>
  <si>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</si>
  <si>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</si>
  <si>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</si>
  <si>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</si>
  <si>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</si>
  <si>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</si>
  <si>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</si>
  <si>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</si>
  <si>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</si>
  <si>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</si>
  <si>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</si>
  <si>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</si>
  <si>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</si>
  <si>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</si>
  <si>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</si>
  <si>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</si>
  <si>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</si>
  <si>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</si>
  <si>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</si>
  <si>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</si>
  <si>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</si>
  <si>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</si>
  <si>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</si>
  <si>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</si>
  <si>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</si>
  <si>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</si>
  <si>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</si>
  <si>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</si>
  <si>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</si>
  <si>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</si>
  <si>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</si>
  <si>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</si>
  <si>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</si>
  <si>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</si>
  <si>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</si>
  <si>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</si>
  <si>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</si>
  <si>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</si>
  <si>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</si>
  <si>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</si>
  <si>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</si>
  <si>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</si>
  <si>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</si>
  <si>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</si>
  <si>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</si>
  <si>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</si>
  <si>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</si>
  <si>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</si>
  <si>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</si>
  <si>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</si>
  <si>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</si>
  <si>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</si>
  <si>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</si>
  <si>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</si>
  <si>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</si>
  <si>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</si>
  <si>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</si>
  <si>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</si>
  <si>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</si>
  <si>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</si>
  <si>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</si>
  <si>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</si>
  <si>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</si>
  <si>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</si>
  <si>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</si>
  <si>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</si>
  <si>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</si>
  <si>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</si>
  <si>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</si>
  <si>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</si>
  <si>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</si>
  <si>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</si>
  <si>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</si>
  <si>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</si>
  <si>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</si>
  <si>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</si>
  <si>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</si>
  <si>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</si>
  <si>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</si>
  <si>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</si>
  <si>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</si>
  <si>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</si>
  <si>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</si>
  <si>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</si>
  <si>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</si>
  <si>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</si>
  <si>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</si>
  <si>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</si>
  <si>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</si>
  <si>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</si>
  <si>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</si>
  <si>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</si>
  <si>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</si>
  <si>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</si>
  <si>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</si>
  <si>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</si>
  <si>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</si>
  <si>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</si>
  <si>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</si>
  <si>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</si>
  <si>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</si>
  <si>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</si>
  <si>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</si>
  <si>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</si>
  <si>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</si>
  <si>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</si>
  <si>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</si>
  <si>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</si>
  <si>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</si>
  <si>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</si>
  <si>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</si>
  <si>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</si>
  <si>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</si>
  <si>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</si>
  <si>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</si>
  <si>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</si>
  <si>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</si>
  <si>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</si>
  <si>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</si>
  <si>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</si>
  <si>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</si>
  <si>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</si>
  <si>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</si>
  <si>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</si>
  <si>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</si>
  <si>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</si>
  <si>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</si>
  <si>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</si>
  <si>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</si>
  <si>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</si>
  <si>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</si>
  <si>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</si>
  <si>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</si>
  <si>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</si>
  <si>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</si>
  <si>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</si>
  <si>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</si>
  <si>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</si>
  <si>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</si>
  <si>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</si>
  <si>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</si>
  <si>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</si>
  <si>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</si>
  <si>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</si>
  <si>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</si>
  <si>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</si>
  <si>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</si>
  <si>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</si>
  <si>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</si>
  <si>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</si>
  <si>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</si>
  <si>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</si>
  <si>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</si>
  <si>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</si>
  <si>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</si>
  <si>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</si>
  <si>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</si>
  <si>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</si>
  <si>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</si>
  <si>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</si>
  <si>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</si>
  <si>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</si>
  <si>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</si>
  <si>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</si>
  <si>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</si>
  <si>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</si>
  <si>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</si>
  <si>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</si>
  <si>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</si>
  <si>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</si>
  <si>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</si>
  <si>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</si>
  <si>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</si>
  <si>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</si>
  <si>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</si>
  <si>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</si>
  <si>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</si>
  <si>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</si>
  <si>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</si>
  <si>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</si>
  <si>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</si>
  <si>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</si>
  <si>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</si>
  <si>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</si>
  <si>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</si>
  <si>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</si>
  <si>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</si>
  <si>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</si>
  <si>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</si>
  <si>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</si>
  <si>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</si>
  <si>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</si>
  <si>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</si>
  <si>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</si>
  <si>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</si>
  <si>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</si>
  <si>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</si>
  <si>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</si>
  <si>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</si>
  <si>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</si>
  <si>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</si>
  <si>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</si>
  <si>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</si>
  <si>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</si>
  <si>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</si>
  <si>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</si>
  <si>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</si>
  <si>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</si>
  <si>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</si>
  <si>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</si>
  <si>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</si>
  <si>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</si>
  <si>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</si>
  <si>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</si>
  <si>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</si>
  <si>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</si>
  <si>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</si>
  <si>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</si>
  <si>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</si>
  <si>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</si>
  <si>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</si>
  <si>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</si>
  <si>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</si>
  <si>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</si>
  <si>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</si>
  <si>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</si>
  <si>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</si>
  <si>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</si>
  <si>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</si>
  <si>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</si>
  <si>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</si>
  <si>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</si>
  <si>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</si>
  <si>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</si>
  <si>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</si>
  <si>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</si>
  <si>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</si>
  <si>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</si>
  <si>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</si>
  <si>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</si>
  <si>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</si>
  <si>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</si>
  <si>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</si>
  <si>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</si>
  <si>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</si>
  <si>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</si>
  <si>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</si>
  <si>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</si>
  <si>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</si>
  <si>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</si>
  <si>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</si>
  <si>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</si>
  <si>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</si>
  <si>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</si>
  <si>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</si>
  <si>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</si>
  <si>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</si>
  <si>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</si>
  <si>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</si>
  <si>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</si>
  <si>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</si>
  <si>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</si>
  <si>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</si>
  <si>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</si>
  <si>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</si>
  <si>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</si>
  <si>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</si>
  <si>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</si>
  <si>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</si>
  <si>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</si>
  <si>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</si>
  <si>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</si>
  <si>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</si>
  <si>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</si>
  <si>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</si>
  <si>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</si>
  <si>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</si>
  <si>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</si>
  <si>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</si>
  <si>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</si>
  <si>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</si>
  <si>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</si>
  <si>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</si>
  <si>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</si>
  <si>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</si>
  <si>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</si>
  <si>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</si>
  <si>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</si>
  <si>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</si>
  <si>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</si>
  <si>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</si>
  <si>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</si>
  <si>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</si>
  <si>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</si>
  <si>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</si>
  <si>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</si>
  <si>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</si>
  <si>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</si>
  <si>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</si>
  <si>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</si>
  <si>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</si>
  <si>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ROBINSON</t>
  </si>
  <si>
    <t>KADDIBA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</si>
  <si>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</si>
  <si>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</si>
  <si>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</si>
  <si>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</si>
  <si>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</si>
  <si>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</si>
  <si>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</si>
  <si>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</si>
  <si>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</si>
  <si>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</si>
  <si>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</si>
  <si>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</si>
  <si>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</si>
  <si>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</si>
  <si>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</si>
  <si>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</si>
  <si>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Clear</t>
  </si>
  <si>
    <t>clear-day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</si>
  <si>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</si>
  <si>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</si>
  <si>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</si>
  <si>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</si>
  <si>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</si>
  <si>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</si>
  <si>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</si>
  <si>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</si>
  <si>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</si>
  <si>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</si>
  <si>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</si>
  <si>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</si>
  <si>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</si>
  <si>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</si>
  <si>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</si>
  <si>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</si>
  <si>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204:458</t>
  </si>
  <si>
    <t>204:473</t>
  </si>
  <si>
    <t>rtdc.l.rtdc.4017:itc</t>
  </si>
  <si>
    <t>204:233312</t>
  </si>
  <si>
    <t>204:444</t>
  </si>
  <si>
    <t>Early arrival</t>
  </si>
  <si>
    <t>rtdc.l.rtdc.4007:itc</t>
  </si>
  <si>
    <t>204:163</t>
  </si>
  <si>
    <t>204:437</t>
  </si>
  <si>
    <t>204:136</t>
  </si>
  <si>
    <t>YANG</t>
  </si>
  <si>
    <t>JAN</t>
  </si>
  <si>
    <t>204:233297</t>
  </si>
  <si>
    <t>204:435</t>
  </si>
  <si>
    <t>300:58954</t>
  </si>
  <si>
    <t>rtdc.l.rtdc.4063:itc</t>
  </si>
  <si>
    <t>rtdc.l.rtdc.4064:itc</t>
  </si>
  <si>
    <t>204:233295</t>
  </si>
  <si>
    <t>204:160</t>
  </si>
  <si>
    <t>204:471</t>
  </si>
  <si>
    <t>204:983</t>
  </si>
  <si>
    <t>300:58628</t>
  </si>
  <si>
    <t>204:232969</t>
  </si>
  <si>
    <t>204:233280</t>
  </si>
  <si>
    <t>204:233315</t>
  </si>
  <si>
    <t>204:132</t>
  </si>
  <si>
    <t>204:433</t>
  </si>
  <si>
    <t>204:232991</t>
  </si>
  <si>
    <t>rtdc.l.rtdc.4006:itc</t>
  </si>
  <si>
    <t>STARKS</t>
  </si>
  <si>
    <t>ANGELINA</t>
  </si>
  <si>
    <t>MOSES</t>
  </si>
  <si>
    <t>BRADLEY</t>
  </si>
  <si>
    <t>204:232973</t>
  </si>
  <si>
    <t>204:233289</t>
  </si>
  <si>
    <t>204:233301</t>
  </si>
  <si>
    <t>204:232977</t>
  </si>
  <si>
    <t>204:232971</t>
  </si>
  <si>
    <t>204:694</t>
  </si>
  <si>
    <t>rtdc.l.rtdc.4041:itc</t>
  </si>
  <si>
    <t>rtdc.l.rtdc.4005:itc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</si>
  <si>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</si>
  <si>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</si>
  <si>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</si>
  <si>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</si>
  <si>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</si>
  <si>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</si>
  <si>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</si>
  <si>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</si>
  <si>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</si>
  <si>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</si>
  <si>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</si>
  <si>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</si>
  <si>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</si>
  <si>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</si>
  <si>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</si>
  <si>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</si>
  <si>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</si>
  <si>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</si>
  <si>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</si>
  <si>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</si>
  <si>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</si>
  <si>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</si>
  <si>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</si>
  <si>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</si>
  <si>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</si>
  <si>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</si>
  <si>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</si>
  <si>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</si>
  <si>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</si>
  <si>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</si>
  <si>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204:232981</t>
  </si>
  <si>
    <t>204:233299</t>
  </si>
  <si>
    <t>204:232967</t>
  </si>
  <si>
    <t>204:161</t>
  </si>
  <si>
    <t>204:233006</t>
  </si>
  <si>
    <t>204:233319</t>
  </si>
  <si>
    <t>300:58632</t>
  </si>
  <si>
    <t>rtdc.l.rtdc.4057:itc</t>
  </si>
  <si>
    <t>rtdc.l.rtdc.4044:itc</t>
  </si>
  <si>
    <t>rtdc.l.rtdc.4030:itc</t>
  </si>
  <si>
    <t>rtdc.l.rtdc.4043:itc</t>
  </si>
  <si>
    <t>rtdc.l.rtdc.4016:itc</t>
  </si>
  <si>
    <t>rtdc.l.rtdc.4027:itc</t>
  </si>
  <si>
    <t>313-06</t>
  </si>
  <si>
    <t>BRANDON</t>
  </si>
  <si>
    <t>NICHOLSON</t>
  </si>
  <si>
    <t>WESLEY</t>
  </si>
  <si>
    <t>BIRKHOLZ</t>
  </si>
  <si>
    <t>NADINE</t>
  </si>
  <si>
    <t>ELBAUM</t>
  </si>
  <si>
    <t>MIKE</t>
  </si>
  <si>
    <t>rtdc.l.rtdc.4031:itc</t>
  </si>
  <si>
    <t>300-07</t>
  </si>
  <si>
    <t>204:438</t>
  </si>
  <si>
    <t>204:232978</t>
  </si>
  <si>
    <t>204:233304</t>
  </si>
  <si>
    <t>204:480</t>
  </si>
  <si>
    <t>204:464</t>
  </si>
  <si>
    <t>204:233330</t>
  </si>
  <si>
    <t>204:233340</t>
  </si>
  <si>
    <t>300:58995</t>
  </si>
  <si>
    <t>rtdc.l.rtdc.4023:itc</t>
  </si>
  <si>
    <t>rtdc.l.rtdc.4020:itc</t>
  </si>
  <si>
    <t>SWITCH UNKNOWN</t>
  </si>
  <si>
    <t>Track device (7)</t>
  </si>
  <si>
    <t>rtdc.l.rtdc.4019:itc</t>
  </si>
  <si>
    <t>MAELZER</t>
  </si>
  <si>
    <t>KURT</t>
  </si>
  <si>
    <t>rtdc.l.rtdc.4024:itc</t>
  </si>
  <si>
    <t>rtdc.l.rtdc.4032:itc</t>
  </si>
  <si>
    <t>DAVIDSON</t>
  </si>
  <si>
    <t>DAVID</t>
  </si>
  <si>
    <t>MACDONALD</t>
  </si>
  <si>
    <t>THOMPSON</t>
  </si>
  <si>
    <t>LESTER</t>
  </si>
  <si>
    <t>MCREYNOLDS</t>
  </si>
  <si>
    <t>KYLE</t>
  </si>
  <si>
    <t>204:772</t>
  </si>
  <si>
    <t>204:172</t>
  </si>
  <si>
    <t>204:233291</t>
  </si>
  <si>
    <t>204:233311</t>
  </si>
  <si>
    <t>204:233004</t>
  </si>
  <si>
    <t>204:504</t>
  </si>
  <si>
    <t>204:233359</t>
  </si>
  <si>
    <t>204:233346</t>
  </si>
  <si>
    <t>204:158</t>
  </si>
  <si>
    <t>204:475</t>
  </si>
  <si>
    <t>204:992</t>
  </si>
  <si>
    <t>204:705</t>
  </si>
  <si>
    <t>204:710</t>
  </si>
  <si>
    <t>300:58943</t>
  </si>
  <si>
    <t>204:990</t>
  </si>
  <si>
    <t>300:58624</t>
  </si>
  <si>
    <t>300:58941</t>
  </si>
  <si>
    <t>300:58623</t>
  </si>
  <si>
    <t>204:988</t>
  </si>
  <si>
    <t>204:720</t>
  </si>
  <si>
    <t>204:1000</t>
  </si>
  <si>
    <t>300:58980</t>
  </si>
  <si>
    <t>204:233281</t>
  </si>
  <si>
    <t>204:233287</t>
  </si>
  <si>
    <t>204:233067</t>
  </si>
  <si>
    <t>204:134</t>
  </si>
  <si>
    <t>204:232986</t>
  </si>
  <si>
    <t>204:233091</t>
  </si>
  <si>
    <t>204:233316</t>
  </si>
  <si>
    <t>204:233339</t>
  </si>
  <si>
    <t>300:23308</t>
  </si>
  <si>
    <t>300:23302</t>
  </si>
  <si>
    <t>204:1160</t>
  </si>
  <si>
    <t>112-11</t>
  </si>
  <si>
    <t>806-11</t>
  </si>
  <si>
    <t>rtdc.l.rtdc.4015:itc</t>
  </si>
  <si>
    <t>124-11</t>
  </si>
  <si>
    <t>808-11</t>
  </si>
  <si>
    <t>128-11</t>
  </si>
  <si>
    <t>140-11</t>
  </si>
  <si>
    <t>151-11</t>
  </si>
  <si>
    <t>146-11</t>
  </si>
  <si>
    <t>815-11</t>
  </si>
  <si>
    <t>51-11</t>
  </si>
  <si>
    <t>156-11</t>
  </si>
  <si>
    <t>162-11</t>
  </si>
  <si>
    <t>167-11</t>
  </si>
  <si>
    <t>172-11</t>
  </si>
  <si>
    <t>177-11</t>
  </si>
  <si>
    <t>179-11</t>
  </si>
  <si>
    <t>823-11</t>
  </si>
  <si>
    <t>180-11</t>
  </si>
  <si>
    <t>189-11</t>
  </si>
  <si>
    <t>826-11</t>
  </si>
  <si>
    <t>827-11</t>
  </si>
  <si>
    <t>193-11</t>
  </si>
  <si>
    <t>186-11</t>
  </si>
  <si>
    <t>190-11</t>
  </si>
  <si>
    <t>828-11</t>
  </si>
  <si>
    <t>194-11</t>
  </si>
  <si>
    <t>209-11</t>
  </si>
  <si>
    <t>207-11</t>
  </si>
  <si>
    <t>217-11</t>
  </si>
  <si>
    <t>838-11</t>
  </si>
  <si>
    <t>210-11</t>
  </si>
  <si>
    <t>839-11</t>
  </si>
  <si>
    <t>218-11</t>
  </si>
  <si>
    <t>222-11</t>
  </si>
  <si>
    <t>845-11</t>
  </si>
  <si>
    <t>844-11</t>
  </si>
  <si>
    <t>232-11</t>
  </si>
  <si>
    <t>236-11</t>
  </si>
  <si>
    <t>rtdc.l.rtdc.4058:itc</t>
  </si>
  <si>
    <t>309-10</t>
  </si>
  <si>
    <t>244-10</t>
  </si>
  <si>
    <t>311-10</t>
  </si>
  <si>
    <t>313-10</t>
  </si>
  <si>
    <t>rtdc.l.rtdc.4021:itc</t>
  </si>
  <si>
    <t>300-11</t>
  </si>
  <si>
    <t>67-11</t>
  </si>
  <si>
    <t>SPECTOR</t>
  </si>
  <si>
    <t>101-11</t>
  </si>
  <si>
    <t>68-11</t>
  </si>
  <si>
    <t>302-11</t>
  </si>
  <si>
    <t>GONZALEZ</t>
  </si>
  <si>
    <t>ARMANDO</t>
  </si>
  <si>
    <t>103-11</t>
  </si>
  <si>
    <t>304-11</t>
  </si>
  <si>
    <t>102-11</t>
  </si>
  <si>
    <t>306-11</t>
  </si>
  <si>
    <t>DE LA ROSA</t>
  </si>
  <si>
    <t>ALEX</t>
  </si>
  <si>
    <t>105-11</t>
  </si>
  <si>
    <t>107-11</t>
  </si>
  <si>
    <t>308-11</t>
  </si>
  <si>
    <t>104-11</t>
  </si>
  <si>
    <t>109-11</t>
  </si>
  <si>
    <t>901-11</t>
  </si>
  <si>
    <t>HELVIE</t>
  </si>
  <si>
    <t>ADAM</t>
  </si>
  <si>
    <t>111-11</t>
  </si>
  <si>
    <t>310-11</t>
  </si>
  <si>
    <t>LOZA</t>
  </si>
  <si>
    <t>FIDEL</t>
  </si>
  <si>
    <t>106-11</t>
  </si>
  <si>
    <t>113-11</t>
  </si>
  <si>
    <t>312-11</t>
  </si>
  <si>
    <t>ANDERS</t>
  </si>
  <si>
    <t>STEVEN</t>
  </si>
  <si>
    <t>800-11</t>
  </si>
  <si>
    <t>108-11</t>
  </si>
  <si>
    <t>115-11</t>
  </si>
  <si>
    <t>110-11</t>
  </si>
  <si>
    <t>117-11</t>
  </si>
  <si>
    <t>801-11</t>
  </si>
  <si>
    <t>119-11</t>
  </si>
  <si>
    <t>902-11</t>
  </si>
  <si>
    <t>802-11</t>
  </si>
  <si>
    <t>114-11</t>
  </si>
  <si>
    <t>121-11</t>
  </si>
  <si>
    <t>116-11</t>
  </si>
  <si>
    <t>803-11</t>
  </si>
  <si>
    <t>123-11</t>
  </si>
  <si>
    <t>118-11</t>
  </si>
  <si>
    <t>804-11</t>
  </si>
  <si>
    <t>125-11</t>
  </si>
  <si>
    <t>MILLER</t>
  </si>
  <si>
    <t>KEVIN</t>
  </si>
  <si>
    <t>805-11</t>
  </si>
  <si>
    <t>120-11</t>
  </si>
  <si>
    <t>127-11</t>
  </si>
  <si>
    <t>122-11</t>
  </si>
  <si>
    <t>129-11</t>
  </si>
  <si>
    <t>807-11</t>
  </si>
  <si>
    <t>131-11</t>
  </si>
  <si>
    <t>126-11</t>
  </si>
  <si>
    <t>133-11</t>
  </si>
  <si>
    <t>809-11</t>
  </si>
  <si>
    <t>135-11</t>
  </si>
  <si>
    <t>130-11</t>
  </si>
  <si>
    <t>810-11</t>
  </si>
  <si>
    <t>137-11</t>
  </si>
  <si>
    <t>132-11</t>
  </si>
  <si>
    <t>811-11</t>
  </si>
  <si>
    <t>903-11</t>
  </si>
  <si>
    <t>139-11</t>
  </si>
  <si>
    <t>134-11</t>
  </si>
  <si>
    <t>812-11</t>
  </si>
  <si>
    <t>141-11</t>
  </si>
  <si>
    <t>136-11</t>
  </si>
  <si>
    <t>143-11</t>
  </si>
  <si>
    <t>813-11</t>
  </si>
  <si>
    <t>138-11</t>
  </si>
  <si>
    <t>145-11</t>
  </si>
  <si>
    <t>147-11</t>
  </si>
  <si>
    <t>142-11</t>
  </si>
  <si>
    <t>814-11</t>
  </si>
  <si>
    <t>149-11</t>
  </si>
  <si>
    <t>144-11</t>
  </si>
  <si>
    <t>148-11</t>
  </si>
  <si>
    <t>153-11</t>
  </si>
  <si>
    <t>155-11</t>
  </si>
  <si>
    <t>816-11</t>
  </si>
  <si>
    <t>150-11</t>
  </si>
  <si>
    <t>157-11</t>
  </si>
  <si>
    <t>152-11</t>
  </si>
  <si>
    <t>159-11</t>
  </si>
  <si>
    <t>154-11</t>
  </si>
  <si>
    <t>817-11</t>
  </si>
  <si>
    <t>161-11</t>
  </si>
  <si>
    <t>STEWART</t>
  </si>
  <si>
    <t>163-11</t>
  </si>
  <si>
    <t>HART</t>
  </si>
  <si>
    <t>818-11</t>
  </si>
  <si>
    <t>165-11</t>
  </si>
  <si>
    <t>LEVIN</t>
  </si>
  <si>
    <t>SCOTT</t>
  </si>
  <si>
    <t>158-11</t>
  </si>
  <si>
    <t>160-11</t>
  </si>
  <si>
    <t>53-11</t>
  </si>
  <si>
    <t>164-11</t>
  </si>
  <si>
    <t>56-11</t>
  </si>
  <si>
    <t>169-11</t>
  </si>
  <si>
    <t>819-11</t>
  </si>
  <si>
    <t>171-11</t>
  </si>
  <si>
    <t>820-11</t>
  </si>
  <si>
    <t>166-11</t>
  </si>
  <si>
    <t>173-11</t>
  </si>
  <si>
    <t>57-11</t>
  </si>
  <si>
    <t>168-11</t>
  </si>
  <si>
    <t>175-11</t>
  </si>
  <si>
    <t>170-11</t>
  </si>
  <si>
    <t>821-11</t>
  </si>
  <si>
    <t>CASSIDY</t>
  </si>
  <si>
    <t>174-11</t>
  </si>
  <si>
    <t>822-11</t>
  </si>
  <si>
    <t>181-11</t>
  </si>
  <si>
    <t>176-11</t>
  </si>
  <si>
    <t>183-11</t>
  </si>
  <si>
    <t>178-11</t>
  </si>
  <si>
    <t>185-11</t>
  </si>
  <si>
    <t>187-11</t>
  </si>
  <si>
    <t>182-11</t>
  </si>
  <si>
    <t>824-11</t>
  </si>
  <si>
    <t>191-11</t>
  </si>
  <si>
    <t>184-11</t>
  </si>
  <si>
    <t>825-11</t>
  </si>
  <si>
    <t>904-11</t>
  </si>
  <si>
    <t>188-11</t>
  </si>
  <si>
    <t>69-11</t>
  </si>
  <si>
    <t>CHANDLER</t>
  </si>
  <si>
    <t>KELVIN</t>
  </si>
  <si>
    <t>195-11</t>
  </si>
  <si>
    <t>197-11</t>
  </si>
  <si>
    <t>199-11</t>
  </si>
  <si>
    <t>192-11</t>
  </si>
  <si>
    <t>201-11</t>
  </si>
  <si>
    <t>829-11</t>
  </si>
  <si>
    <t>196-11</t>
  </si>
  <si>
    <t>831-11</t>
  </si>
  <si>
    <t>830-11</t>
  </si>
  <si>
    <t>205-11</t>
  </si>
  <si>
    <t>198-11</t>
  </si>
  <si>
    <t>203-11</t>
  </si>
  <si>
    <t>200-11</t>
  </si>
  <si>
    <t>55-11</t>
  </si>
  <si>
    <t>202-11</t>
  </si>
  <si>
    <t>832-11</t>
  </si>
  <si>
    <t>833-11</t>
  </si>
  <si>
    <t>71-11</t>
  </si>
  <si>
    <t>211-11</t>
  </si>
  <si>
    <t>206-11</t>
  </si>
  <si>
    <t>204-11</t>
  </si>
  <si>
    <t>835-11</t>
  </si>
  <si>
    <t>213-11</t>
  </si>
  <si>
    <t>834-11</t>
  </si>
  <si>
    <t>208-11</t>
  </si>
  <si>
    <t>215-11</t>
  </si>
  <si>
    <t>73-11</t>
  </si>
  <si>
    <t>836-11</t>
  </si>
  <si>
    <t>89-11</t>
  </si>
  <si>
    <t>837-11</t>
  </si>
  <si>
    <t>212-11</t>
  </si>
  <si>
    <t>219-11</t>
  </si>
  <si>
    <t>214-11</t>
  </si>
  <si>
    <t>301-11</t>
  </si>
  <si>
    <t>216-11</t>
  </si>
  <si>
    <t>221-11</t>
  </si>
  <si>
    <t>906-11</t>
  </si>
  <si>
    <t>303-11</t>
  </si>
  <si>
    <t>841-11</t>
  </si>
  <si>
    <t>220-11</t>
  </si>
  <si>
    <t>223-11</t>
  </si>
  <si>
    <t>840-11</t>
  </si>
  <si>
    <t>305-11</t>
  </si>
  <si>
    <t>225-11</t>
  </si>
  <si>
    <t>843-11</t>
  </si>
  <si>
    <t>224-11</t>
  </si>
  <si>
    <t>227-11</t>
  </si>
  <si>
    <t>842-11</t>
  </si>
  <si>
    <t>229-11</t>
  </si>
  <si>
    <t>226-11</t>
  </si>
  <si>
    <t>231-11</t>
  </si>
  <si>
    <t>228-11</t>
  </si>
  <si>
    <t>230-11</t>
  </si>
  <si>
    <t>233-11</t>
  </si>
  <si>
    <t>847-11</t>
  </si>
  <si>
    <t>235-11</t>
  </si>
  <si>
    <t>908-11</t>
  </si>
  <si>
    <t>237-11</t>
  </si>
  <si>
    <t>234-11</t>
  </si>
  <si>
    <t>239-11</t>
  </si>
  <si>
    <t>241-11</t>
  </si>
  <si>
    <t>238-11</t>
  </si>
  <si>
    <t>240-11</t>
  </si>
  <si>
    <t>243-11</t>
  </si>
  <si>
    <t>307-11</t>
  </si>
  <si>
    <t>242-11</t>
  </si>
  <si>
    <t>309-11</t>
  </si>
  <si>
    <t>244-11</t>
  </si>
  <si>
    <t>311-11</t>
  </si>
  <si>
    <t>313-11</t>
  </si>
  <si>
    <t>precipType</t>
  </si>
  <si>
    <t>Mostly Cloudy</t>
  </si>
  <si>
    <t>rain</t>
  </si>
  <si>
    <t>Light Rain</t>
  </si>
  <si>
    <t>Drizzle</t>
  </si>
  <si>
    <t>204:233293</t>
  </si>
  <si>
    <t>204:232974</t>
  </si>
  <si>
    <t>204:232980</t>
  </si>
  <si>
    <t>204:233270</t>
  </si>
  <si>
    <t>204:233302</t>
  </si>
  <si>
    <t>204:232983</t>
  </si>
  <si>
    <t>204:442</t>
  </si>
  <si>
    <t>204:233334</t>
  </si>
  <si>
    <t>204:232988</t>
  </si>
  <si>
    <t>204:232984</t>
  </si>
  <si>
    <t>204:232989</t>
  </si>
  <si>
    <t>204:127854</t>
  </si>
  <si>
    <t>204:426</t>
  </si>
  <si>
    <t>204:233227</t>
  </si>
  <si>
    <t>204:233314</t>
  </si>
  <si>
    <t>204:232994</t>
  </si>
  <si>
    <t>204:467</t>
  </si>
  <si>
    <t>204:233257</t>
  </si>
  <si>
    <t>204:232946</t>
  </si>
  <si>
    <t>204:232968</t>
  </si>
  <si>
    <t>204:477</t>
  </si>
  <si>
    <t>204:885</t>
  </si>
  <si>
    <t>204:486</t>
  </si>
  <si>
    <t>204:232976</t>
  </si>
  <si>
    <t>204:233357</t>
  </si>
  <si>
    <t>204:233030</t>
  </si>
  <si>
    <t>204:233417</t>
  </si>
  <si>
    <t>204:233100</t>
  </si>
  <si>
    <t>204:130</t>
  </si>
  <si>
    <t>204:233309</t>
  </si>
  <si>
    <t>204:233300</t>
  </si>
  <si>
    <t>204:233060</t>
  </si>
  <si>
    <t>204:233202</t>
  </si>
  <si>
    <t>204:232904</t>
  </si>
  <si>
    <t>204:233349</t>
  </si>
  <si>
    <t>204:233053</t>
  </si>
  <si>
    <t>204:233332</t>
  </si>
  <si>
    <t>204:233017</t>
  </si>
  <si>
    <t>204:233327</t>
  </si>
  <si>
    <t>204:127869</t>
  </si>
  <si>
    <t>204:884</t>
  </si>
  <si>
    <t>204:233389</t>
  </si>
  <si>
    <t>204:460</t>
  </si>
  <si>
    <t>204:233402</t>
  </si>
  <si>
    <t>204:233005</t>
  </si>
  <si>
    <t>204:427</t>
  </si>
  <si>
    <t>204:233070</t>
  </si>
  <si>
    <t>204:174</t>
  </si>
  <si>
    <t>204:19128</t>
  </si>
  <si>
    <t>204:233406</t>
  </si>
  <si>
    <t>204:233111</t>
  </si>
  <si>
    <t>204:19519</t>
  </si>
  <si>
    <t>204:233408</t>
  </si>
  <si>
    <t>204:8932</t>
  </si>
  <si>
    <t>204:123</t>
  </si>
  <si>
    <t>204:233200</t>
  </si>
  <si>
    <t>204:232894</t>
  </si>
  <si>
    <t>204:207</t>
  </si>
  <si>
    <t>204:420</t>
  </si>
  <si>
    <t>204:233345</t>
  </si>
  <si>
    <t>204:233036</t>
  </si>
  <si>
    <t>204:233361</t>
  </si>
  <si>
    <t>204:233040</t>
  </si>
  <si>
    <t>204:233307</t>
  </si>
  <si>
    <t>204:169</t>
  </si>
  <si>
    <t>204:233247</t>
  </si>
  <si>
    <t>204:232952</t>
  </si>
  <si>
    <t>204:233322</t>
  </si>
  <si>
    <t>204:233253</t>
  </si>
  <si>
    <t>204:232982</t>
  </si>
  <si>
    <t>204:233008</t>
  </si>
  <si>
    <t>204:200</t>
  </si>
  <si>
    <t>204:233272</t>
  </si>
  <si>
    <t>204:232957</t>
  </si>
  <si>
    <t>204:166</t>
  </si>
  <si>
    <t>204:148</t>
  </si>
  <si>
    <t>204:233344</t>
  </si>
  <si>
    <t>204:520</t>
  </si>
  <si>
    <t>204:233305</t>
  </si>
  <si>
    <t>204:173</t>
  </si>
  <si>
    <t>300:20074</t>
  </si>
  <si>
    <t>204:562</t>
  </si>
  <si>
    <t>300:5223</t>
  </si>
  <si>
    <t>300:17638</t>
  </si>
  <si>
    <t>300:23188</t>
  </si>
  <si>
    <t>300:23266</t>
  </si>
  <si>
    <t>300:23301</t>
  </si>
  <si>
    <t>300:20684</t>
  </si>
  <si>
    <t>300:23421</t>
  </si>
  <si>
    <t>204:448</t>
  </si>
  <si>
    <t>300:23310</t>
  </si>
  <si>
    <t>300:23339</t>
  </si>
  <si>
    <t>300:23299</t>
  </si>
  <si>
    <t>300:23010</t>
  </si>
  <si>
    <t>300:23572</t>
  </si>
  <si>
    <t>204:858</t>
  </si>
  <si>
    <t>204:1168</t>
  </si>
  <si>
    <t>300:24214</t>
  </si>
  <si>
    <t>204:1484</t>
  </si>
  <si>
    <t>204:3532</t>
  </si>
  <si>
    <t>300:23589</t>
  </si>
  <si>
    <t>204:146</t>
  </si>
  <si>
    <t>204:1201</t>
  </si>
  <si>
    <t>300:23312</t>
  </si>
  <si>
    <t>204:3534</t>
  </si>
  <si>
    <t>204:3193</t>
  </si>
  <si>
    <t>204:1165</t>
  </si>
  <si>
    <t>204:3719</t>
  </si>
  <si>
    <t>204:3333</t>
  </si>
  <si>
    <t>204:112</t>
  </si>
  <si>
    <t>204:1222</t>
  </si>
  <si>
    <t>204:3661</t>
  </si>
  <si>
    <t>300:22860</t>
  </si>
  <si>
    <t>300:58617</t>
  </si>
  <si>
    <t>204:761</t>
  </si>
  <si>
    <t>204:1048</t>
  </si>
  <si>
    <t>300:58935</t>
  </si>
  <si>
    <t>204:113</t>
  </si>
  <si>
    <t>204:1032</t>
  </si>
  <si>
    <t>300:58933</t>
  </si>
  <si>
    <t>204:699</t>
  </si>
  <si>
    <t>204:406</t>
  </si>
  <si>
    <t>300:58615</t>
  </si>
  <si>
    <t>204:846</t>
  </si>
  <si>
    <t>204:981</t>
  </si>
  <si>
    <t>300:58611</t>
  </si>
  <si>
    <t>204:692</t>
  </si>
  <si>
    <t>204:1118</t>
  </si>
  <si>
    <t>204:766</t>
  </si>
  <si>
    <t>204:685</t>
  </si>
  <si>
    <t>204:972</t>
  </si>
  <si>
    <t>300:58606</t>
  </si>
  <si>
    <t>300:58926</t>
  </si>
  <si>
    <t>204:680</t>
  </si>
  <si>
    <t>300:58939</t>
  </si>
  <si>
    <t>204:1021</t>
  </si>
  <si>
    <t>300:58944</t>
  </si>
  <si>
    <t>300:58626</t>
  </si>
  <si>
    <t>204:743</t>
  </si>
  <si>
    <t>204:1020</t>
  </si>
  <si>
    <t>300:58971</t>
  </si>
  <si>
    <t>300:58651</t>
  </si>
  <si>
    <t>204:1013</t>
  </si>
  <si>
    <t>300:58929</t>
  </si>
  <si>
    <t>204:762</t>
  </si>
  <si>
    <t>204:967</t>
  </si>
  <si>
    <t>300:58909</t>
  </si>
  <si>
    <t>300:58598</t>
  </si>
  <si>
    <t>204:1046</t>
  </si>
  <si>
    <t>300:58950</t>
  </si>
  <si>
    <t>204:715</t>
  </si>
  <si>
    <t>204:1028</t>
  </si>
  <si>
    <t>300:58658</t>
  </si>
  <si>
    <t>204:3457</t>
  </si>
  <si>
    <t>204:1009</t>
  </si>
  <si>
    <t>204:691</t>
  </si>
  <si>
    <t>204:1018</t>
  </si>
  <si>
    <t>300:58661</t>
  </si>
  <si>
    <t>204:736</t>
  </si>
  <si>
    <t>300:58910</t>
  </si>
  <si>
    <t>300:58602</t>
  </si>
  <si>
    <t>204:733</t>
  </si>
  <si>
    <t>204:1014</t>
  </si>
  <si>
    <t>204:729</t>
  </si>
  <si>
    <t>204:1007</t>
  </si>
  <si>
    <t>300:58575</t>
  </si>
  <si>
    <t>204:769</t>
  </si>
  <si>
    <t>204:1002</t>
  </si>
  <si>
    <t>300:58901</t>
  </si>
  <si>
    <t>204:1039</t>
  </si>
  <si>
    <t>300:20670</t>
  </si>
  <si>
    <t>204:2002</t>
  </si>
  <si>
    <t>300:30129</t>
  </si>
  <si>
    <t>300:23792</t>
  </si>
  <si>
    <t>204:719</t>
  </si>
  <si>
    <t>204:1065</t>
  </si>
  <si>
    <t>300:24281</t>
  </si>
  <si>
    <t>300:23372</t>
  </si>
  <si>
    <t>300:58583</t>
  </si>
  <si>
    <t>300:28786</t>
  </si>
  <si>
    <t>start /low /b %USERPROFILE%\Documents\GitHub\eaglep3\Utilities\DownloadLogsFromS3.py --loco 4031 --day 2017-07-11</t>
  </si>
  <si>
    <t>start /low /b %USERPROFILE%\Documents\GitHub\eaglep3\Utilities\DownloadLogsFromS3.py --loco 4007 --day 2017-07-11</t>
  </si>
  <si>
    <t>start /low /b %USERPROFILE%\Documents\GitHub\eaglep3\Utilities\DownloadLogsFromS3.py --loco 4028 --day 2017-07-11</t>
  </si>
  <si>
    <t>start /low /b %USERPROFILE%\Documents\GitHub\eaglep3\Utilities\DownloadLogsFromS3.py --loco 4016 --day 2017-07-11</t>
  </si>
  <si>
    <t>start /low /b %USERPROFILE%\Documents\GitHub\eaglep3\Utilities\DownloadLogsFromS3.py --loco 4062 --day 2017-07-11</t>
  </si>
  <si>
    <t>start /low /b %USERPROFILE%\Documents\GitHub\eaglep3\Utilities\DownloadLogsFromS3.py --loco 4019 --day 2017-07-11</t>
  </si>
  <si>
    <t>start /low /b %USERPROFILE%\Documents\GitHub\eaglep3\Utilities\DownloadLogsFromS3.py --loco 4032 --day 2017-07-11</t>
  </si>
  <si>
    <t>start /low /b %USERPROFILE%\Documents\GitHub\eaglep3\Utilities\DownloadLogsFromS3.py --loco 4063 --day 2017-07-11</t>
  </si>
  <si>
    <t>start /low /b %USERPROFILE%\Documents\GitHub\eaglep3\Utilities\DownloadLogsFromS3.py --loco 4027 --day 2017-07-12</t>
  </si>
  <si>
    <t>start /low /b %USERPROFILE%\Documents\GitHub\eaglep3\Utilities\DownloadLogsFromS3.py --loco 4027 --day 2017-07-11</t>
  </si>
  <si>
    <t>start /low /b %USERPROFILE%\Documents\GitHub\eaglep3\Utilities\DownloadLogsFromS3.py --loco 4007 --day 2017-07-12</t>
  </si>
  <si>
    <t>start /low /b %USERPROFILE%\Documents\GitHub\eaglep3\Utilities\DownloadLogsFromS3.py --loco 4031 --day 2017-07-12</t>
  </si>
  <si>
    <t>start /low /b %USERPROFILE%\Documents\GitHub\eaglep3\Utilities\DownloadLogsFromS3.py --loco 4028 --day 2017-07-12</t>
  </si>
  <si>
    <t>start /low /b %USERPROFILE%\Documents\GitHub\eaglep3\Utilities\DownloadLogsFromS3.py --loco 4015 --day 2017-07-11</t>
  </si>
  <si>
    <t>start /low /b %USERPROFILE%\Documents\GitHub\eaglep3\Utilities\DownloadLogsFromS3.py --loco 4041 --day 2017-07-12</t>
  </si>
  <si>
    <t>start /low /b %USERPROFILE%\Documents\GitHub\eaglep3\Utilities\DownloadLogsFromS3.py --loco 4042 --day 2017-07-11</t>
  </si>
  <si>
    <t>start /low /b %USERPROFILE%\Documents\GitHub\eaglep3\Utilities\DownloadLogsFromS3.py --loco 4024 --day 2017-07-12</t>
  </si>
  <si>
    <t>start /low /b %USERPROFILE%\Documents\GitHub\eaglep3\Utilities\DownloadLogsFromS3.py --loco 4061 --day 2017-07-11</t>
  </si>
  <si>
    <t>start /low /b %USERPROFILE%\Documents\GitHub\eaglep3\Utilities\DownloadLogsFromS3.py --loco 4024 --day 2017-07-11</t>
  </si>
  <si>
    <t>start /low /b %USERPROFILE%\Documents\GitHub\eaglep3\Utilities\DownloadLogsFromS3.py --loco 4023 --day 2017-07-11</t>
  </si>
  <si>
    <t>start /low /b %USERPROFILE%\Documents\GitHub\eaglep3\Utilities\DownloadLogsFromS3.py --loco 4023 --day 2017-07-12</t>
  </si>
  <si>
    <t>start /low /b %USERPROFILE%\Documents\GitHub\eaglep3\Utilities\DownloadLogsFromS3.py --loco 4062 --day 2017-07-12</t>
  </si>
  <si>
    <t>CCROC/crew/equipment mismatch</t>
  </si>
  <si>
    <t>Onboard in-route failure</t>
  </si>
  <si>
    <t>ATC buzzer issues</t>
  </si>
  <si>
    <t>2088/1089 messages right after init attempt, that's a sign of the TMC restarting itself. So that's why we conclude OBIRF</t>
  </si>
  <si>
    <t>Delayed by onboard in-route failure</t>
  </si>
  <si>
    <t>Non-sync subdivision due to TMDS not updating Form C CRC</t>
  </si>
  <si>
    <t>Form C</t>
  </si>
  <si>
    <t>Wi-MAX data drop</t>
  </si>
  <si>
    <t>40th 4S STOP</t>
  </si>
  <si>
    <t>Main 3 departure</t>
  </si>
  <si>
    <t>Consist spam due to error in TMDS finaled trains table</t>
  </si>
  <si>
    <t>Onboard in-route failure, then tried to load map while in unmapped yard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</si>
</sst>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2" borderId="5" xfId="0" applyNumberFormat="1" applyFont="1" applyFill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42927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42927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COUNTIFS($N$13:$N$9322,"&gt;0",$AG$13:$AG$9322,I1)</f>
        <v>139</v>
      </c>
      <c r="K5" s="39"/>
      <c r="L5" s="39"/>
      <c r="M5" s="40">
        <f>AVERAGEIFS($N$13:$N$9322,$AG$13:$AG$9322,I1)</f>
        <v>38.912230216606567</v>
      </c>
      <c r="N5" s="38">
        <f t="array" ref="N5">MIN(IF($AG$13:$AG$9322=I1,IF(ISNUMBER($N$13:$N$9322),IF($N$13:$N$9322&gt;0,$N$13:$N$9322))))</f>
        <v>33.81666666129604</v>
      </c>
      <c r="O5" s="3">
        <f t="array" ref="O5">MAX(IF($AG$13:$AG$9322=I1,IF(ISNUMBER($N$13:$N$9322),IF($N$13:$N$9322&gt;0,$N$13:$N$9322))))</f>
        <v>46.350000001257285</v>
      </c>
      <c r="P5" s="2"/>
      <c r="R5" s="166" t="s">
        <v>17</v>
      </c>
      <c r="S5" s="186">
        <f>COUNTIFS($N$13:$N$9322,"&gt;0",$AG$13:$AG$9322,R1)</f>
        <v>45</v>
      </c>
      <c r="T5" s="187"/>
      <c r="U5" s="187"/>
      <c r="V5" s="183">
        <f>AVERAGEIFS($N$13:$N$9322,$AG$13:$AG$9322,R1)</f>
        <v>14.322222222574055</v>
      </c>
      <c r="W5" s="184">
        <f t="array" ref="W5">MIN(IF($AG$13:$AG$9322=R1,IF(ISNUMBER($N$13:$N$9322),IF($N$13:$N$9322&gt;0,$N$13:$N$9322))))</f>
        <v>12.466666668187827</v>
      </c>
      <c r="X5" s="185">
        <f t="array" ref="X5">MAX(IF($AG$13:$AG$9322=R1,IF(ISNUMBER($N$13:$N$9322),IF($N$13:$N$9322&gt;0,$N$13:$N$9322))))</f>
        <v>22.216666673775762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67" t="s">
        <v>43</v>
      </c>
      <c r="S6" s="186">
        <f>COUNT($O$13:$O$119)</f>
        <v>0</v>
      </c>
      <c r="T6" s="187"/>
      <c r="U6" s="187"/>
      <c r="V6" s="183">
        <f>IFERROR(AVERAGE($O$13:$O$119),0)</f>
        <v>0</v>
      </c>
      <c r="W6" s="184">
        <f>MIN($O$13:$O$119)</f>
        <v>0</v>
      </c>
      <c r="X6" s="185">
        <f>MAX($O$13:$O$119)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COUNTIFS($P$13:$P$9322,"&gt;0",$AG$13:$AG$9322,I1)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COUNTIFS($P$13:$P$9322,"&gt;0",$AG$13:$AG$9322,R1)</f>
        <v>2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39"/>
      <c r="M8" s="40">
        <f>M5</f>
        <v>38.912230216606567</v>
      </c>
      <c r="N8" s="38">
        <f>N5</f>
        <v>33.81666666129604</v>
      </c>
      <c r="O8" s="3">
        <f>O5</f>
        <v>46.350000001257285</v>
      </c>
      <c r="P8" s="2"/>
      <c r="R8" s="166" t="s">
        <v>16</v>
      </c>
      <c r="S8" s="186">
        <f>S5</f>
        <v>45</v>
      </c>
      <c r="T8" s="187"/>
      <c r="U8" s="187"/>
      <c r="V8" s="183">
        <f>V5</f>
        <v>14.322222222574055</v>
      </c>
      <c r="W8" s="184">
        <f>W5</f>
        <v>12.466666668187827</v>
      </c>
      <c r="X8" s="185">
        <f>X5</f>
        <v>22.216666673775762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0.95744680851063835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- 2017-07-11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AVERAGE(S13:S94)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340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619</v>
      </c>
      <c r="B13" s="7">
        <v>4032</v>
      </c>
      <c r="C13" s="21" t="s">
        <v>199</v>
      </c>
      <c r="D13" s="21" t="s">
        <v>538</v>
      </c>
      <c r="E13" s="13">
        <v>42927.12636574074</v>
      </c>
      <c r="F13" s="13">
        <v>42927.136006944442</v>
      </c>
      <c r="G13" s="7">
        <v>1</v>
      </c>
      <c r="H13" s="21" t="s">
        <v>825</v>
      </c>
      <c r="I13" s="13">
        <v>42927.161307870374</v>
      </c>
      <c r="J13" s="7">
        <v>0</v>
      </c>
      <c r="K13" s="89" t="str">
        <f t="shared" ref="K13:K76" si="0">IF(ISEVEN(B13),(B13-1)&amp;"/"&amp;B13,B13&amp;"/"&amp;(B13+1))</f>
        <v>4031/4032</v>
      </c>
      <c r="L13" s="21" t="str">
        <f>VLOOKUP(A13,'Trips&amp;Operators'!$C$1:$G$99999,5,FALSE)</f>
        <v>STARKS ANGELINA</v>
      </c>
      <c r="M13" s="6">
        <f t="shared" ref="M13:M76" si="1">I13-F13</f>
        <v>2.5300925932242535E-2</v>
      </c>
      <c r="N13" s="7">
        <f t="shared" ref="N13:N51" si="2">24*60*SUM($M13:$M13)</f>
        <v>36.43333334242925</v>
      </c>
      <c r="O13" s="7"/>
      <c r="P13" s="7"/>
      <c r="Q13" s="22"/>
      <c r="R13" s="170"/>
      <c r="S13" s="213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-11T02:01:58-0600',mode:absolute,to:'2017-07-11T04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44" si="7">RIGHT(D13,LEN(D13)-4)/10000</f>
        <v>7.7200000000000005E-2</v>
      </c>
      <c r="Z13" s="197">
        <f t="shared" ref="Z13:Z44" si="8">RIGHT(H13,LEN(H13)-4)/10000</f>
        <v>23.3293</v>
      </c>
      <c r="AA13" s="197">
        <f t="shared" ref="AA13:AA76" si="9">ABS(Z13-Y13)</f>
        <v>23.252099999999999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/stypes="app*4032*20170711*"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4032 --swversion DE.1.0.9.0 --startMP 204:772 --initTime 2017-07-11T03:01:58 --startdatetime 2017-07-11T03:15:51 --delay 1 --endMP 204:233293 --enddatetime 2017-07-11T03:52:17 --enforcementcount 0 &gt;&gt;C:\Users\stu\Documents\GitHub\eaglep3-reporting\EC\2017-07-11-refined-times.txt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{"issue":{"subject":"","project_id":79,"tracker_id":40,"status_id":1,"priority_id":2,"assigned_to_id":23,"start_date":"2017-07-11","description":"","custom_fields":[{"id":1,"name":"Subdivision","value":"EC"},{"id":4,"name":"Milepost","value":"23.3293"},{"id":17,"name":"Train ID","value":"101-11"},{"id":16,"name":"Locomotive ID","value":"4032"},{"id":130,"name":"Impact","value":""},{"id":150,"name":"Time of Event (Mountain Time)","value":"03:52:17"},{"id":151,"name":"Denver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4032 --day 2017-07-11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09:52:17"},{"id":29,"name":"Sharepoint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626</v>
      </c>
      <c r="B14" s="7">
        <v>4031</v>
      </c>
      <c r="C14" s="21" t="s">
        <v>199</v>
      </c>
      <c r="D14" s="21" t="s">
        <v>826</v>
      </c>
      <c r="E14" s="13">
        <v>42927.168009259258</v>
      </c>
      <c r="F14" s="13">
        <v>42927.175173611111</v>
      </c>
      <c r="G14" s="7">
        <v>1</v>
      </c>
      <c r="H14" s="21" t="s">
        <v>389</v>
      </c>
      <c r="I14" s="13">
        <v>42927.201597222222</v>
      </c>
      <c r="J14" s="7">
        <v>0</v>
      </c>
      <c r="K14" s="89" t="str">
        <f t="shared" si="0"/>
        <v>4031/4032</v>
      </c>
      <c r="L14" s="21" t="str">
        <f>VLOOKUP(A14,'Trips&amp;Operators'!$C$1:$G$99999,5,FALSE)</f>
        <v>STARKS ANGELINA</v>
      </c>
      <c r="M14" s="6">
        <f t="shared" si="1"/>
        <v>2.6423611110658385E-2</v>
      </c>
      <c r="N14" s="7">
        <f t="shared" si="2"/>
        <v>38.049999999348074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-11T03:01:56-0600',mode:absolute,to:'2017-07-11T05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23.2974</v>
      </c>
      <c r="Z14" s="197">
        <f t="shared" si="8"/>
        <v>1.4500000000000001E-2</v>
      </c>
      <c r="AA14" s="197">
        <f t="shared" si="9"/>
        <v>23.282899999999998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14" s="74" t="str">
        <f t="shared" si="12"/>
        <v>"C:\Program Files (x86)\AstroGrep\AstroGrep.exe" /e /r /s /spath="%USERPROFILE%\AppData\Local\Temp\OnboardLogs" /stypes="app*4031*20170711*"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4031 --swversion DE.1.0.9.0 --startMP 204:232974 --initTime 2017-07-11T04:01:56 --startdatetime 2017-07-11T04:12:15 --delay 1 --endMP 204:145 --enddatetime 2017-07-11T04:50:18 --enforcementcount 0 &gt;&gt;C:\Users\stu\Documents\GitHub\eaglep3-reporting\EC\2017-07-11-refined-times.txt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{"issue":{"subject":"","project_id":79,"tracker_id":40,"status_id":1,"priority_id":2,"assigned_to_id":23,"start_date":"2017-07-11","description":"","custom_fields":[{"id":1,"name":"Subdivision","value":"EC"},{"id":4,"name":"Milepost","value":"0.0145"},{"id":17,"name":"Train ID","value":"102-11"},{"id":16,"name":"Locomotive ID","value":"4031"},{"id":130,"name":"Impact","value":""},{"id":150,"name":"Time of Event (Mountain Time)","value":"04:50:18"},{"id":151,"name":"Denver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4031 --day 2017-07-11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624</v>
      </c>
      <c r="B15" s="7">
        <v>4008</v>
      </c>
      <c r="C15" s="21" t="s">
        <v>199</v>
      </c>
      <c r="D15" s="21" t="s">
        <v>196</v>
      </c>
      <c r="E15" s="13">
        <v>42927.154236111113</v>
      </c>
      <c r="F15" s="13">
        <v>42927.156805555554</v>
      </c>
      <c r="G15" s="7">
        <v>1</v>
      </c>
      <c r="H15" s="21" t="s">
        <v>437</v>
      </c>
      <c r="I15" s="13">
        <v>42927.18209490741</v>
      </c>
      <c r="J15" s="7">
        <v>0</v>
      </c>
      <c r="K15" s="89" t="str">
        <f t="shared" si="0"/>
        <v>4007/4008</v>
      </c>
      <c r="L15" s="21" t="str">
        <f>VLOOKUP(A15,'Trips&amp;Operators'!$C$1:$G$99999,5,FALSE)</f>
        <v>GONZALEZ ARMANDO</v>
      </c>
      <c r="M15" s="6">
        <f t="shared" si="1"/>
        <v>2.5289351855462883E-2</v>
      </c>
      <c r="N15" s="7">
        <f t="shared" si="2"/>
        <v>36.416666671866551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-11T02:42:06-0600',mode:absolute,to:'2017-07-11T05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4.5699999999999998E-2</v>
      </c>
      <c r="Z15" s="197">
        <f t="shared" si="8"/>
        <v>23.329499999999999</v>
      </c>
      <c r="AA15" s="197">
        <f t="shared" si="9"/>
        <v>23.283799999999999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15" s="74" t="str">
        <f t="shared" si="12"/>
        <v>"C:\Program Files (x86)\AstroGrep\AstroGrep.exe" /e /r /s /spath="%USERPROFILE%\AppData\Local\Temp\OnboardLogs" /stypes="app*4008*20170711*"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103-11 --locoid 4008 --swversion DE.1.0.9.0 --startMP 204:457 --initTime 2017-07-11T03:42:06 --startdatetime 2017-07-11T03:45:48 --delay 1 --endMP 204:233295 --enddatetime 2017-07-11T04:22:13 --enforcementcount 0 &gt;&gt;C:\Users\stu\Documents\GitHub\eaglep3-reporting\EC\2017-07-11-refined-times.txt</v>
      </c>
      <c r="AI15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{"issue":{"subject":"","project_id":79,"tracker_id":40,"status_id":1,"priority_id":2,"assigned_to_id":23,"start_date":"2017-07-11","description":"","custom_fields":[{"id":1,"name":"Subdivision","value":"EC"},{"id":4,"name":"Milepost","value":"23.3295"},{"id":17,"name":"Train ID","value":"103-11"},{"id":16,"name":"Locomotive ID","value":"4008"},{"id":130,"name":"Impact","value":""},{"id":150,"name":"Time of Event (Mountain Time)","value":"04:22:13"},{"id":151,"name":"Denver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4008 --day 2017-07-11</v>
      </c>
      <c r="AN15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10:22:13"},{"id":29,"name":"Sharepoint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633</v>
      </c>
      <c r="B16" s="7">
        <v>4007</v>
      </c>
      <c r="C16" s="21" t="s">
        <v>199</v>
      </c>
      <c r="D16" s="21" t="s">
        <v>456</v>
      </c>
      <c r="E16" s="13">
        <v>42927.193599537037</v>
      </c>
      <c r="F16" s="13">
        <v>42927.196099537039</v>
      </c>
      <c r="G16" s="7">
        <v>1</v>
      </c>
      <c r="H16" s="21" t="s">
        <v>344</v>
      </c>
      <c r="I16" s="13">
        <v>42927.224259259259</v>
      </c>
      <c r="J16" s="7">
        <v>0</v>
      </c>
      <c r="K16" s="89" t="str">
        <f t="shared" si="0"/>
        <v>4007/4008</v>
      </c>
      <c r="L16" s="21" t="str">
        <f>VLOOKUP(A16,'Trips&amp;Operators'!$C$1:$G$99999,5,FALSE)</f>
        <v>GONZALEZ ARMANDO</v>
      </c>
      <c r="M16" s="6">
        <f t="shared" si="1"/>
        <v>2.8159722220152617E-2</v>
      </c>
      <c r="N16" s="7">
        <f t="shared" si="2"/>
        <v>40.549999997019768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-11T03:38:47-0600',mode:absolute,to:'2017-07-11T06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23.297699999999999</v>
      </c>
      <c r="Z16" s="197">
        <f t="shared" si="8"/>
        <v>1.4999999999999999E-2</v>
      </c>
      <c r="AA16" s="197">
        <f t="shared" si="9"/>
        <v>23.282699999999998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16" s="74" t="str">
        <f t="shared" si="12"/>
        <v>"C:\Program Files (x86)\AstroGrep\AstroGrep.exe" /e /r /s /spath="%USERPROFILE%\AppData\Local\Temp\OnboardLogs" /stypes="app*4007*20170711*"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104-11 --locoid 4007 --swversion DE.1.0.9.0 --startMP 204:232977 --initTime 2017-07-11T04:38:47 --startdatetime 2017-07-11T04:42:23 --delay 1 --endMP 204:150 --enddatetime 2017-07-11T05:22:56 --enforcementcount 0 &gt;&gt;C:\Users\stu\Documents\GitHub\eaglep3-reporting\EC\2017-07-11-refined-times.txt</v>
      </c>
      <c r="AI16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{"issue":{"subject":"","project_id":79,"tracker_id":40,"status_id":1,"priority_id":2,"assigned_to_id":23,"start_date":"2017-07-11","description":"","custom_fields":[{"id":1,"name":"Subdivision","value":"EC"},{"id":4,"name":"Milepost","value":"0.015"},{"id":17,"name":"Train ID","value":"104-11"},{"id":16,"name":"Locomotive ID","value":"4007"},{"id":130,"name":"Impact","value":""},{"id":150,"name":"Time of Event (Mountain Time)","value":"05:22:56"},{"id":151,"name":"Denver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4007 --day 2017-07-11</v>
      </c>
      <c r="AN16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630</v>
      </c>
      <c r="B17" s="7">
        <v>4028</v>
      </c>
      <c r="C17" s="21" t="s">
        <v>199</v>
      </c>
      <c r="D17" s="21" t="s">
        <v>424</v>
      </c>
      <c r="E17" s="13">
        <v>42927.173692129632</v>
      </c>
      <c r="F17" s="13">
        <v>42927.177731481483</v>
      </c>
      <c r="G17" s="7">
        <v>1</v>
      </c>
      <c r="H17" s="21" t="s">
        <v>520</v>
      </c>
      <c r="I17" s="13">
        <v>42927.202835648146</v>
      </c>
      <c r="J17" s="7">
        <v>0</v>
      </c>
      <c r="K17" s="89" t="str">
        <f t="shared" si="0"/>
        <v>4027/4028</v>
      </c>
      <c r="L17" s="21" t="str">
        <f>VLOOKUP(A17,'Trips&amp;Operators'!$C$1:$G$99999,5,FALSE)</f>
        <v>MAELZER KURT</v>
      </c>
      <c r="M17" s="6">
        <f t="shared" si="1"/>
        <v>2.5104166663368233E-2</v>
      </c>
      <c r="N17" s="7">
        <f t="shared" si="2"/>
        <v>36.149999995250255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-11T03:10:07-0600',mode:absolute,to:'2017-07-11T05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4.4400000000000002E-2</v>
      </c>
      <c r="Z17" s="197">
        <f t="shared" si="8"/>
        <v>23.334</v>
      </c>
      <c r="AA17" s="197">
        <f t="shared" si="9"/>
        <v>23.2896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17" s="74" t="str">
        <f t="shared" si="12"/>
        <v>"C:\Program Files (x86)\AstroGrep\AstroGrep.exe" /e /r /s /spath="%USERPROFILE%\AppData\Local\Temp\OnboardLogs" /stypes="app*4028*20170711*"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105-11 --locoid 4028 --swversion DE.1.0.9.0 --startMP 204:444 --initTime 2017-07-11T04:10:07 --startdatetime 2017-07-11T04:15:56 --delay 1 --endMP 204:233340 --enddatetime 2017-07-11T04:52:05 --enforcementcount 0 &gt;&gt;C:\Users\stu\Documents\GitHub\eaglep3-reporting\EC\2017-07-11-refined-times.txt</v>
      </c>
      <c r="AI17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{"issue":{"subject":"","project_id":79,"tracker_id":40,"status_id":1,"priority_id":2,"assigned_to_id":23,"start_date":"2017-07-11","description":"","custom_fields":[{"id":1,"name":"Subdivision","value":"EC"},{"id":4,"name":"Milepost","value":"23.334"},{"id":17,"name":"Train ID","value":"105-11"},{"id":16,"name":"Locomotive ID","value":"4028"},{"id":130,"name":"Impact","value":""},{"id":150,"name":"Time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4028 --day 2017-07-11</v>
      </c>
      <c r="AN17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10:52:05"},{"id":29,"name":"Sharepoint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642</v>
      </c>
      <c r="B18" s="7">
        <v>4027</v>
      </c>
      <c r="C18" s="21" t="s">
        <v>199</v>
      </c>
      <c r="D18" s="21" t="s">
        <v>447</v>
      </c>
      <c r="E18" s="13">
        <v>42927.211157407408</v>
      </c>
      <c r="F18" s="13">
        <v>42927.216898148145</v>
      </c>
      <c r="G18" s="7">
        <v>1</v>
      </c>
      <c r="H18" s="21" t="s">
        <v>404</v>
      </c>
      <c r="I18" s="13">
        <v>42927.243692129632</v>
      </c>
      <c r="J18" s="7">
        <v>0</v>
      </c>
      <c r="K18" s="89" t="str">
        <f t="shared" si="0"/>
        <v>4027/4028</v>
      </c>
      <c r="L18" s="21" t="str">
        <f>VLOOKUP(A18,'Trips&amp;Operators'!$C$1:$G$99999,5,FALSE)</f>
        <v>MAELZER KURT</v>
      </c>
      <c r="M18" s="6">
        <f t="shared" si="1"/>
        <v>2.6793981487571727E-2</v>
      </c>
      <c r="N18" s="7">
        <f t="shared" si="2"/>
        <v>38.583333342103288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-11T04:04:04-0600',mode:absolute,to:'2017-07-11T06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23.299099999999999</v>
      </c>
      <c r="Z18" s="197">
        <f t="shared" si="8"/>
        <v>1.38E-2</v>
      </c>
      <c r="AA18" s="197">
        <f t="shared" si="9"/>
        <v>23.285299999999999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18" s="74" t="str">
        <f t="shared" si="12"/>
        <v>"C:\Program Files (x86)\AstroGrep\AstroGrep.exe" /e /r /s /spath="%USERPROFILE%\AppData\Local\Temp\OnboardLogs" /stypes="app*4027*20170711*"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106-11 --locoid 4027 --swversion DE.1.0.9.0 --startMP 204:232991 --initTime 2017-07-11T05:04:04 --startdatetime 2017-07-11T05:12:20 --delay 1 --endMP 204:138 --enddatetime 2017-07-11T05:50:55 --enforcementcount 0 &gt;&gt;C:\Users\stu\Documents\GitHub\eaglep3-reporting\EC\2017-07-11-refined-times.txt</v>
      </c>
      <c r="AI18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{"issue":{"subject":"","project_id":79,"tracker_id":40,"status_id":1,"priority_id":2,"assigned_to_id":23,"start_date":"2017-07-11","description":"","custom_fields":[{"id":1,"name":"Subdivision","value":"EC"},{"id":4,"name":"Milepost","value":"0.0138"},{"id":17,"name":"Train ID","value":"106-11"},{"id":16,"name":"Locomotive ID","value":"4027"},{"id":130,"name":"Impact","value":""},{"id":150,"name":"Time of Event (Mountain Time)","value":"05:50:55"},{"id":151,"name":"Denver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4027 --day 2017-07-11</v>
      </c>
      <c r="AN18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631</v>
      </c>
      <c r="B19" s="7">
        <v>4042</v>
      </c>
      <c r="C19" s="21" t="s">
        <v>199</v>
      </c>
      <c r="D19" s="21" t="s">
        <v>424</v>
      </c>
      <c r="E19" s="13">
        <v>42927.184189814812</v>
      </c>
      <c r="F19" s="13">
        <v>42927.188090277778</v>
      </c>
      <c r="G19" s="7">
        <v>1</v>
      </c>
      <c r="H19" s="21" t="s">
        <v>455</v>
      </c>
      <c r="I19" s="13">
        <v>42927.213136574072</v>
      </c>
      <c r="J19" s="7">
        <v>0</v>
      </c>
      <c r="K19" s="89" t="str">
        <f t="shared" si="0"/>
        <v>4041/4042</v>
      </c>
      <c r="L19" s="21" t="str">
        <f>VLOOKUP(A19,'Trips&amp;Operators'!$C$1:$G$99999,5,FALSE)</f>
        <v>DE LA ROSA ALEX</v>
      </c>
      <c r="M19" s="6">
        <f t="shared" si="1"/>
        <v>2.5046296294021886E-2</v>
      </c>
      <c r="N19" s="7">
        <f t="shared" si="2"/>
        <v>36.066666663391516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-11T03:25:14-0600',mode:absolute,to:'2017-07-11T06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4.4400000000000002E-2</v>
      </c>
      <c r="Z19" s="197">
        <f t="shared" si="8"/>
        <v>23.330100000000002</v>
      </c>
      <c r="AA19" s="197">
        <f t="shared" si="9"/>
        <v>23.285700000000002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19" s="74" t="str">
        <f t="shared" si="12"/>
        <v>"C:\Program Files (x86)\AstroGrep\AstroGrep.exe" /e /r /s /spath="%USERPROFILE%\AppData\Local\Temp\OnboardLogs" /stypes="app*4042*20170711*"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107-11 --locoid 4042 --swversion DE.1.0.9.0 --startMP 204:444 --initTime 2017-07-11T04:25:14 --startdatetime 2017-07-11T04:30:51 --delay 1 --endMP 204:233301 --enddatetime 2017-07-11T05:06:55 --enforcementcount 0 &gt;&gt;C:\Users\stu\Documents\GitHub\eaglep3-reporting\EC\2017-07-11-refined-times.txt</v>
      </c>
      <c r="AI19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{"issue":{"subject":"","project_id":79,"tracker_id":40,"status_id":1,"priority_id":2,"assigned_to_id":23,"start_date":"2017-07-11","description":"","custom_fields":[{"id":1,"name":"Subdivision","value":"EC"},{"id":4,"name":"Milepost","value":"23.3301"},{"id":17,"name":"Train ID","value":"107-11"},{"id":16,"name":"Locomotive ID","value":"4042"},{"id":130,"name":"Impact","value":""},{"id":150,"name":"Time of Event (Mountain Time)","value":"05:06:55"},{"id":151,"name":"Denver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4042 --day 2017-07-11</v>
      </c>
      <c r="AN19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648</v>
      </c>
      <c r="B20" s="7">
        <v>4041</v>
      </c>
      <c r="C20" s="21" t="s">
        <v>199</v>
      </c>
      <c r="D20" s="21" t="s">
        <v>827</v>
      </c>
      <c r="E20" s="13">
        <v>42927.222881944443</v>
      </c>
      <c r="F20" s="13">
        <v>42927.22729166667</v>
      </c>
      <c r="G20" s="7">
        <v>1</v>
      </c>
      <c r="H20" s="21" t="s">
        <v>345</v>
      </c>
      <c r="I20" s="13">
        <v>42927.254699074074</v>
      </c>
      <c r="J20" s="7">
        <v>0</v>
      </c>
      <c r="K20" s="89" t="str">
        <f t="shared" si="0"/>
        <v>4041/4042</v>
      </c>
      <c r="L20" s="21" t="str">
        <f>VLOOKUP(A20,'Trips&amp;Operators'!$C$1:$G$99999,5,FALSE)</f>
        <v>DE LA ROSA ALEX</v>
      </c>
      <c r="M20" s="6">
        <f t="shared" si="1"/>
        <v>2.7407407404098194E-2</v>
      </c>
      <c r="N20" s="7">
        <f t="shared" si="2"/>
        <v>39.466666661901399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-11T04:20:57-0600',mode:absolute,to:'2017-07-11T07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23.297999999999998</v>
      </c>
      <c r="Z20" s="197">
        <f t="shared" si="8"/>
        <v>1.49E-2</v>
      </c>
      <c r="AA20" s="197">
        <f t="shared" si="9"/>
        <v>23.283099999999997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20" s="74" t="str">
        <f t="shared" si="12"/>
        <v>"C:\Program Files (x86)\AstroGrep\AstroGrep.exe" /e /r /s /spath="%USERPROFILE%\AppData\Local\Temp\OnboardLogs" /stypes="app*4041*20170711*"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108-11 --locoid 4041 --swversion DE.1.0.9.0 --startMP 204:232980 --initTime 2017-07-11T05:20:57 --startdatetime 2017-07-11T05:27:18 --delay 1 --endMP 204:149 --enddatetime 2017-07-11T06:06:46 --enforcementcount 0 &gt;&gt;C:\Users\stu\Documents\GitHub\eaglep3-reporting\EC\2017-07-11-refined-times.txt</v>
      </c>
      <c r="AI20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{"issue":{"subject":"","project_id":79,"tracker_id":40,"status_id":1,"priority_id":2,"assigned_to_id":23,"start_date":"2017-07-11","description":"","custom_fields":[{"id":1,"name":"Subdivision","value":"EC"},{"id":4,"name":"Milepost","value":"0.0149"},{"id":17,"name":"Train ID","value":"108-11"},{"id":16,"name":"Locomotive ID","value":"4041"},{"id":130,"name":"Impact","value":""},{"id":150,"name":"Time of Event (Mountain Time)","value":"06:06:46"},{"id":151,"name":"Denver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4041 --day 2017-07-11</v>
      </c>
      <c r="AN20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634</v>
      </c>
      <c r="B21" s="7">
        <v>4016</v>
      </c>
      <c r="C21" s="21" t="s">
        <v>199</v>
      </c>
      <c r="D21" s="21" t="s">
        <v>420</v>
      </c>
      <c r="E21" s="13">
        <v>42927.195798611108</v>
      </c>
      <c r="F21" s="13">
        <v>42927.198298611111</v>
      </c>
      <c r="G21" s="7">
        <v>1</v>
      </c>
      <c r="H21" s="21" t="s">
        <v>825</v>
      </c>
      <c r="I21" s="13">
        <v>42927.223171296297</v>
      </c>
      <c r="J21" s="7">
        <v>0</v>
      </c>
      <c r="K21" s="89" t="str">
        <f t="shared" si="0"/>
        <v>4015/4016</v>
      </c>
      <c r="L21" s="21" t="str">
        <f>VLOOKUP(A21,'Trips&amp;Operators'!$C$1:$G$99999,5,FALSE)</f>
        <v>MACDONALD THOMAS</v>
      </c>
      <c r="M21" s="6">
        <f t="shared" si="1"/>
        <v>2.4872685185982846E-2</v>
      </c>
      <c r="N21" s="7">
        <f t="shared" si="2"/>
        <v>35.816666667815298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-11T03:41:57-0600',mode:absolute,to:'2017-07-11T06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4.58E-2</v>
      </c>
      <c r="Z21" s="197">
        <f t="shared" si="8"/>
        <v>23.3293</v>
      </c>
      <c r="AA21" s="197">
        <f t="shared" si="9"/>
        <v>23.2835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21" s="74" t="str">
        <f t="shared" si="12"/>
        <v>"C:\Program Files (x86)\AstroGrep\AstroGrep.exe" /e /r /s /spath="%USERPROFILE%\AppData\Local\Temp\OnboardLogs" /stypes="app*4016*20170711*"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109-11 --locoid 4016 --swversion DE.1.0.9.0 --startMP 204:458 --initTime 2017-07-11T04:41:57 --startdatetime 2017-07-11T04:45:33 --delay 1 --endMP 204:233293 --enddatetime 2017-07-11T05:21:22 --enforcementcount 0 &gt;&gt;C:\Users\stu\Documents\GitHub\eaglep3-reporting\EC\2017-07-11-refined-times.txt</v>
      </c>
      <c r="AI21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{"issue":{"subject":"","project_id":79,"tracker_id":40,"status_id":1,"priority_id":2,"assigned_to_id":23,"start_date":"2017-07-11","description":"","custom_fields":[{"id":1,"name":"Subdivision","value":"EC"},{"id":4,"name":"Milepost","value":"23.3293"},{"id":17,"name":"Train ID","value":"109-11"},{"id":16,"name":"Locomotive ID","value":"4016"},{"id":130,"name":"Impact","value":""},{"id":150,"name":"Time of Event (Mountain Time)","value":"05:21:22"},{"id":151,"name":"Denver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4016 --day 2017-07-11</v>
      </c>
      <c r="AN21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650</v>
      </c>
      <c r="B22" s="7">
        <v>4015</v>
      </c>
      <c r="C22" s="21" t="s">
        <v>199</v>
      </c>
      <c r="D22" s="21" t="s">
        <v>456</v>
      </c>
      <c r="E22" s="13">
        <v>42927.236145833333</v>
      </c>
      <c r="F22" s="13">
        <v>42927.238067129627</v>
      </c>
      <c r="G22" s="7">
        <v>1</v>
      </c>
      <c r="H22" s="21" t="s">
        <v>539</v>
      </c>
      <c r="I22" s="13">
        <v>42927.264050925929</v>
      </c>
      <c r="J22" s="7">
        <v>0</v>
      </c>
      <c r="K22" s="89" t="str">
        <f t="shared" si="0"/>
        <v>4015/4016</v>
      </c>
      <c r="L22" s="21" t="str">
        <f>VLOOKUP(A22,'Trips&amp;Operators'!$C$1:$G$99999,5,FALSE)</f>
        <v>MACDONALD THOMAS</v>
      </c>
      <c r="M22" s="6">
        <f t="shared" si="1"/>
        <v>2.5983796302170958E-2</v>
      </c>
      <c r="N22" s="7">
        <f t="shared" si="2"/>
        <v>37.41666667512618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-11T04:40:03-0600',mode:absolute,to:'2017-07-11T07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23.297699999999999</v>
      </c>
      <c r="Z22" s="197">
        <f t="shared" si="8"/>
        <v>1.72E-2</v>
      </c>
      <c r="AA22" s="197">
        <f t="shared" si="9"/>
        <v>23.2805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AF22" s="74" t="str">
        <f t="shared" si="12"/>
        <v>"C:\Program Files (x86)\AstroGrep\AstroGrep.exe" /e /r /s /spath="%USERPROFILE%\AppData\Local\Temp\OnboardLogs" /stypes="app*4015*20170711*"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110-11 --locoid 4015 --swversion DE.1.0.9.0 --startMP 204:232977 --initTime 2017-07-11T05:40:03 --startdatetime 2017-07-11T05:42:49 --delay 1 --endMP 204:172 --enddatetime 2017-07-11T06:20:14 --enforcementcount 0 &gt;&gt;C:\Users\stu\Documents\GitHub\eaglep3-reporting\EC\2017-07-11-refined-times.txt</v>
      </c>
      <c r="AI22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{"issue":{"subject":"","project_id":79,"tracker_id":40,"status_id":1,"priority_id":2,"assigned_to_id":23,"start_date":"2017-07-11","description":"","custom_fields":[{"id":1,"name":"Subdivision","value":"EC"},{"id":4,"name":"Milepost","value":"0.0172"},{"id":17,"name":"Train ID","value":"110-11"},{"id":16,"name":"Locomotive ID","value":"4015"},{"id":130,"name":"Impact","value":""},{"id":150,"name":"Time of Event (Mountain Time)","value":"06:20:14"},{"id":151,"name":"Denver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4015 --day 2017-07-11</v>
      </c>
      <c r="AN22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638</v>
      </c>
      <c r="B23" s="7">
        <v>4032</v>
      </c>
      <c r="C23" s="21" t="s">
        <v>199</v>
      </c>
      <c r="D23" s="21" t="s">
        <v>351</v>
      </c>
      <c r="E23" s="13">
        <v>42927.202997685185</v>
      </c>
      <c r="F23" s="13">
        <v>42927.209502314814</v>
      </c>
      <c r="G23" s="7">
        <v>1</v>
      </c>
      <c r="H23" s="21" t="s">
        <v>828</v>
      </c>
      <c r="I23" s="13">
        <v>42927.234375</v>
      </c>
      <c r="J23" s="7">
        <v>0</v>
      </c>
      <c r="K23" s="89" t="str">
        <f t="shared" si="0"/>
        <v>4031/4032</v>
      </c>
      <c r="L23" s="21" t="str">
        <f>VLOOKUP(A23,'Trips&amp;Operators'!$C$1:$G$99999,5,FALSE)</f>
        <v>STARKS ANGELINA</v>
      </c>
      <c r="M23" s="6">
        <f t="shared" si="1"/>
        <v>2.4872685185982846E-2</v>
      </c>
      <c r="N23" s="7">
        <f t="shared" si="2"/>
        <v>35.816666667815298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-11T03:52:19-0600',mode:absolute,to:'2017-07-11T06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4.4699999999999997E-2</v>
      </c>
      <c r="Z23" s="197">
        <f t="shared" si="8"/>
        <v>23.327000000000002</v>
      </c>
      <c r="AA23" s="197">
        <f t="shared" si="9"/>
        <v>23.282300000000003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23" s="74" t="str">
        <f t="shared" si="12"/>
        <v>"C:\Program Files (x86)\AstroGrep\AstroGrep.exe" /e /r /s /spath="%USERPROFILE%\AppData\Local\Temp\OnboardLogs" /stypes="app*4032*20170711*"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111-11 --locoid 4032 --swversion DE.1.0.9.0 --startMP 204:447 --initTime 2017-07-11T04:52:19 --startdatetime 2017-07-11T05:01:41 --delay 1 --endMP 204:233270 --enddatetime 2017-07-11T05:37:30 --enforcementcount 0 &gt;&gt;C:\Users\stu\Documents\GitHub\eaglep3-reporting\EC\2017-07-11-refined-times.txt</v>
      </c>
      <c r="AI23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{"issue":{"subject":"","project_id":79,"tracker_id":40,"status_id":1,"priority_id":2,"assigned_to_id":23,"start_date":"2017-07-11","description":"","custom_fields":[{"id":1,"name":"Subdivision","value":"EC"},{"id":4,"name":"Milepost","value":"23.327"},{"id":17,"name":"Train ID","value":"111-11"},{"id":16,"name":"Locomotive ID","value":"4032"},{"id":130,"name":"Impact","value":""},{"id":150,"name":"Time of Event (Mountain Time)","value":"05:37:30"},{"id":151,"name":"Denver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4032 --day 2017-07-11</v>
      </c>
      <c r="AN23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571</v>
      </c>
      <c r="B24" s="7">
        <v>4031</v>
      </c>
      <c r="C24" s="21" t="s">
        <v>199</v>
      </c>
      <c r="D24" s="21" t="s">
        <v>442</v>
      </c>
      <c r="E24" s="13">
        <v>42927.245613425926</v>
      </c>
      <c r="F24" s="13">
        <v>42927.248090277775</v>
      </c>
      <c r="G24" s="7">
        <v>1</v>
      </c>
      <c r="H24" s="21" t="s">
        <v>438</v>
      </c>
      <c r="I24" s="13">
        <v>42927.276238425926</v>
      </c>
      <c r="J24" s="7">
        <v>0</v>
      </c>
      <c r="K24" s="89" t="str">
        <f t="shared" si="0"/>
        <v>4031/4032</v>
      </c>
      <c r="L24" s="21" t="str">
        <f>VLOOKUP(A24,'Trips&amp;Operators'!$C$1:$G$99999,5,FALSE)</f>
        <v>STARKS ANGELINA</v>
      </c>
      <c r="M24" s="6">
        <f t="shared" si="1"/>
        <v>2.8148148150648922E-2</v>
      </c>
      <c r="N24" s="7">
        <f t="shared" si="2"/>
        <v>40.533333336934447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-11T04:53:41-0600',mode:absolute,to:'2017-07-11T07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23.296900000000001</v>
      </c>
      <c r="Z24" s="197">
        <f t="shared" si="8"/>
        <v>1.6E-2</v>
      </c>
      <c r="AA24" s="197">
        <f t="shared" si="9"/>
        <v>23.280900000000003</v>
      </c>
      <c r="AB24" s="54" t="str">
        <f>VLOOKUP(A24,Enforcements!$C$7:$K$13,8,0)</f>
        <v>Bulletin (2)</v>
      </c>
      <c r="AC24" s="51" t="str">
        <f>VLOOKUP(A24,Enforcements!$C$7:$E$13,3,0)</f>
        <v>GRADE CROSSING</v>
      </c>
      <c r="AD24" s="206">
        <f t="shared" si="10"/>
        <v>112</v>
      </c>
      <c r="AE24" s="77" t="str">
        <f t="shared" si="11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24" s="74" t="str">
        <f t="shared" si="12"/>
        <v>"C:\Program Files (x86)\AstroGrep\AstroGrep.exe" /e /r /s /spath="%USERPROFILE%\AppData\Local\Temp\OnboardLogs" /stypes="app*4031*20170711*"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112-11 --locoid 4031 --swversion DE.1.0.9.0 --startMP 204:232969 --initTime 2017-07-11T05:53:41 --startdatetime 2017-07-11T05:57:15 --delay 1 --endMP 204:160 --enddatetime 2017-07-11T06:37:47 --enforcementcount 0 &gt;&gt;C:\Users\stu\Documents\GitHub\eaglep3-reporting\EC\2017-07-11-refined-times.txt</v>
      </c>
      <c r="AI24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{"issue":{"subject":"","project_id":79,"tracker_id":40,"status_id":1,"priority_id":2,"assigned_to_id":23,"start_date":"2017-07-11","description":"","custom_fields":[{"id":1,"name":"Subdivision","value":"EC"},{"id":4,"name":"Milepost","value":"0.016"},{"id":17,"name":"Train ID","value":"112-11"},{"id":16,"name":"Locomotive ID","value":"4031"},{"id":130,"name":"Impact","value":""},{"id":150,"name":"Time of Event (Mountain Time)","value":"06:37:47"},{"id":151,"name":"Denver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4031 --day 2017-07-11</v>
      </c>
      <c r="AN24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643</v>
      </c>
      <c r="B25" s="7">
        <v>4020</v>
      </c>
      <c r="C25" s="21" t="s">
        <v>199</v>
      </c>
      <c r="D25" s="21" t="s">
        <v>348</v>
      </c>
      <c r="E25" s="13">
        <v>42927.217106481483</v>
      </c>
      <c r="F25" s="13">
        <v>42927.219571759262</v>
      </c>
      <c r="G25" s="7">
        <v>1</v>
      </c>
      <c r="H25" s="21" t="s">
        <v>829</v>
      </c>
      <c r="I25" s="13">
        <v>42927.244699074072</v>
      </c>
      <c r="J25" s="7">
        <v>0</v>
      </c>
      <c r="K25" s="89" t="str">
        <f t="shared" si="0"/>
        <v>4019/4020</v>
      </c>
      <c r="L25" s="21" t="str">
        <f>VLOOKUP(A25,'Trips&amp;Operators'!$C$1:$G$99999,5,FALSE)</f>
        <v>LOZA FIDEL</v>
      </c>
      <c r="M25" s="6">
        <f t="shared" si="1"/>
        <v>2.512731480965158E-2</v>
      </c>
      <c r="N25" s="7">
        <f t="shared" si="2"/>
        <v>36.183333325898275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-11T04:12:38-0600',mode:absolute,to:'2017-07-11T06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4.5100000000000001E-2</v>
      </c>
      <c r="Z25" s="197">
        <f t="shared" si="8"/>
        <v>23.330200000000001</v>
      </c>
      <c r="AA25" s="197">
        <f t="shared" si="9"/>
        <v>23.2851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s3://rtdc.mdm.uploadarchive.raw/RTDC4020/ "%USERPROFILE%\AppData\Local\Temp\OnboardLogs"\RTDC4020\2017-07-11 --exclude "*" --recursive --include "*20170711*" &amp; "%USERPROFILE%\Documents\GitHub\mrs-test-scripts\Headless Mode &amp; Sideloading\WalkAndUnGZ.bat" "%USERPROFILE%\AppData\Local\Temp\OnboardLogs"\RTDC4020\2017-07-11 &amp; aws s3 cp s3://rtdc.mdm.uploadarchive.raw/RTDC4020/ "%USERPROFILE%\AppData\Local\Temp\OnboardLogs"\RTDC4020\2017-07-12 --exclude "*" --recursive --include "*20170712*" &amp; "%USERPROFILE%\Documents\GitHub\mrs-test-scripts\Headless Mode &amp; Sideloading\WalkAndUnGZ.bat" "%USERPROFILE%\AppData\Local\Temp\OnboardLogs"\RTDC4020\2017-07-12</v>
      </c>
      <c r="AF25" s="74" t="str">
        <f t="shared" si="12"/>
        <v>"C:\Program Files (x86)\AstroGrep\AstroGrep.exe" /e /r /s /spath="%USERPROFILE%\AppData\Local\Temp\OnboardLogs" /stypes="app*4020*20170711*"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113-11 --locoid 4020 --swversion DE.1.0.9.0 --startMP 204:451 --initTime 2017-07-11T05:12:38 --startdatetime 2017-07-11T05:16:11 --delay 1 --endMP 204:233302 --enddatetime 2017-07-11T05:52:22 --enforcementcount 0 &gt;&gt;C:\Users\stu\Documents\GitHub\eaglep3-reporting\EC\2017-07-11-refined-times.txt</v>
      </c>
      <c r="AI25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{"issue":{"subject":"","project_id":79,"tracker_id":40,"status_id":1,"priority_id":2,"assigned_to_id":23,"start_date":"2017-07-11","description":"","custom_fields":[{"id":1,"name":"Subdivision","value":"EC"},{"id":4,"name":"Milepost","value":"23.3302"},{"id":17,"name":"Train ID","value":"113-11"},{"id":16,"name":"Locomotive ID","value":"4020"},{"id":130,"name":"Impact","value":""},{"id":150,"name":"Time of Event (Mountain Time)","value":"05:52:22"},{"id":151,"name":"Denver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4020 --day 2017-07-11</v>
      </c>
      <c r="AN25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656</v>
      </c>
      <c r="B26" s="7">
        <v>4019</v>
      </c>
      <c r="C26" s="21" t="s">
        <v>199</v>
      </c>
      <c r="D26" s="21" t="s">
        <v>447</v>
      </c>
      <c r="E26" s="13">
        <v>42927.254502314812</v>
      </c>
      <c r="F26" s="13">
        <v>42927.258703703701</v>
      </c>
      <c r="G26" s="7">
        <v>2</v>
      </c>
      <c r="H26" s="21" t="s">
        <v>346</v>
      </c>
      <c r="I26" s="13">
        <v>42927.286053240743</v>
      </c>
      <c r="J26" s="7">
        <v>0</v>
      </c>
      <c r="K26" s="89" t="str">
        <f t="shared" si="0"/>
        <v>4019/4020</v>
      </c>
      <c r="L26" s="21" t="str">
        <f>VLOOKUP(A26,'Trips&amp;Operators'!$C$1:$G$99999,5,FALSE)</f>
        <v>LOZA FIDEL</v>
      </c>
      <c r="M26" s="6">
        <f t="shared" si="1"/>
        <v>2.7349537042027805E-2</v>
      </c>
      <c r="N26" s="7">
        <f t="shared" si="2"/>
        <v>39.383333340520039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-11T05:06:29-0600',mode:absolute,to:'2017-07-11T07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23.299099999999999</v>
      </c>
      <c r="Z26" s="197">
        <f t="shared" si="8"/>
        <v>1.43E-2</v>
      </c>
      <c r="AA26" s="197">
        <f t="shared" si="9"/>
        <v>23.284800000000001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s3://rtdc.mdm.uploadarchive.raw/RTDC4019/ "%USERPROFILE%\AppData\Local\Temp\OnboardLogs"\RTDC4019\2017-07-11 --exclude "*" --recursive --include "*20170711*" &amp; "%USERPROFILE%\Documents\GitHub\mrs-test-scripts\Headless Mode &amp; Sideloading\WalkAndUnGZ.bat" "%USERPROFILE%\AppData\Local\Temp\OnboardLogs"\RTDC4019\2017-07-11 &amp; aws s3 cp s3://rtdc.mdm.uploadarchive.raw/RTDC4019/ "%USERPROFILE%\AppData\Local\Temp\OnboardLogs"\RTDC4019\2017-07-12 --exclude "*" --recursive --include "*20170712*" &amp; "%USERPROFILE%\Documents\GitHub\mrs-test-scripts\Headless Mode &amp; Sideloading\WalkAndUnGZ.bat" "%USERPROFILE%\AppData\Local\Temp\OnboardLogs"\RTDC4019\2017-07-12</v>
      </c>
      <c r="AF26" s="74" t="str">
        <f t="shared" si="12"/>
        <v>"C:\Program Files (x86)\AstroGrep\AstroGrep.exe" /e /r /s /spath="%USERPROFILE%\AppData\Local\Temp\OnboardLogs" /stypes="app*4019*20170711*"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114-11 --locoid 4019 --swversion DE.1.0.9.0 --startMP 204:232991 --initTime 2017-07-11T06:06:29 --startdatetime 2017-07-11T06:12:32 --delay 2 --endMP 204:143 --enddatetime 2017-07-11T06:51:55 --enforcementcount 0 &gt;&gt;C:\Users\stu\Documents\GitHub\eaglep3-reporting\EC\2017-07-11-refined-times.txt</v>
      </c>
      <c r="AI26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{"issue":{"subject":"","project_id":79,"tracker_id":40,"status_id":1,"priority_id":2,"assigned_to_id":23,"start_date":"2017-07-11","description":"","custom_fields":[{"id":1,"name":"Subdivision","value":"EC"},{"id":4,"name":"Milepost","value":"0.0143"},{"id":17,"name":"Train ID","value":"114-11"},{"id":16,"name":"Locomotive ID","value":"4019"},{"id":130,"name":"Impact","value":""},{"id":150,"name":"Time of Event (Mountain Time)","value":"06:51:55"},{"id":151,"name":"Denver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4019 --day 2017-07-11</v>
      </c>
      <c r="AN26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649</v>
      </c>
      <c r="B27" s="7">
        <v>4008</v>
      </c>
      <c r="C27" s="21" t="s">
        <v>199</v>
      </c>
      <c r="D27" s="21" t="s">
        <v>350</v>
      </c>
      <c r="E27" s="13">
        <v>42927.226134259261</v>
      </c>
      <c r="F27" s="13">
        <v>42927.229930555557</v>
      </c>
      <c r="G27" s="7">
        <v>1</v>
      </c>
      <c r="H27" s="21" t="s">
        <v>423</v>
      </c>
      <c r="I27" s="13">
        <v>42927.255150462966</v>
      </c>
      <c r="J27" s="7">
        <v>0</v>
      </c>
      <c r="K27" s="89" t="str">
        <f t="shared" si="0"/>
        <v>4007/4008</v>
      </c>
      <c r="L27" s="21" t="str">
        <f>VLOOKUP(A27,'Trips&amp;Operators'!$C$1:$G$99999,5,FALSE)</f>
        <v>GONZALEZ ARMANDO</v>
      </c>
      <c r="M27" s="6">
        <f t="shared" si="1"/>
        <v>2.5219907409336884E-2</v>
      </c>
      <c r="N27" s="7">
        <f t="shared" si="2"/>
        <v>36.316666669445112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-11T04:25:38-0600',mode:absolute,to:'2017-07-11T07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4.53E-2</v>
      </c>
      <c r="Z27" s="197">
        <f t="shared" si="8"/>
        <v>23.331199999999999</v>
      </c>
      <c r="AA27" s="197">
        <f t="shared" si="9"/>
        <v>23.285899999999998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27" s="74" t="str">
        <f t="shared" si="12"/>
        <v>"C:\Program Files (x86)\AstroGrep\AstroGrep.exe" /e /r /s /spath="%USERPROFILE%\AppData\Local\Temp\OnboardLogs" /stypes="app*4008*20170711*"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115-11 --locoid 4008 --swversion DE.1.0.9.0 --startMP 204:453 --initTime 2017-07-11T05:25:38 --startdatetime 2017-07-11T05:31:06 --delay 1 --endMP 204:233312 --enddatetime 2017-07-11T06:07:25 --enforcementcount 0 &gt;&gt;C:\Users\stu\Documents\GitHub\eaglep3-reporting\EC\2017-07-11-refined-times.txt</v>
      </c>
      <c r="AI27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{"issue":{"subject":"","project_id":79,"tracker_id":40,"status_id":1,"priority_id":2,"assigned_to_id":23,"start_date":"2017-07-11","description":"","custom_fields":[{"id":1,"name":"Subdivision","value":"EC"},{"id":4,"name":"Milepost","value":"23.3312"},{"id":17,"name":"Train ID","value":"115-11"},{"id":16,"name":"Locomotive ID","value":"4008"},{"id":130,"name":"Impact","value":""},{"id":150,"name":"Time of Event (Mountain Time)","value":"06:07:25"},{"id":151,"name":"Denver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4008 --day 2017-07-11</v>
      </c>
      <c r="AN27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658</v>
      </c>
      <c r="B28" s="7">
        <v>4007</v>
      </c>
      <c r="C28" s="21" t="s">
        <v>199</v>
      </c>
      <c r="D28" s="21" t="s">
        <v>493</v>
      </c>
      <c r="E28" s="13">
        <v>42927.260104166664</v>
      </c>
      <c r="F28" s="13">
        <v>42927.268923611111</v>
      </c>
      <c r="G28" s="7">
        <v>1</v>
      </c>
      <c r="H28" s="21" t="s">
        <v>429</v>
      </c>
      <c r="I28" s="13">
        <v>42927.296319444446</v>
      </c>
      <c r="J28" s="7">
        <v>0</v>
      </c>
      <c r="K28" s="89" t="str">
        <f t="shared" si="0"/>
        <v>4007/4008</v>
      </c>
      <c r="L28" s="21" t="str">
        <f>VLOOKUP(A28,'Trips&amp;Operators'!$C$1:$G$99999,5,FALSE)</f>
        <v>GONZALEZ ARMANDO</v>
      </c>
      <c r="M28" s="6">
        <f t="shared" si="1"/>
        <v>2.7395833334594499E-2</v>
      </c>
      <c r="N28" s="7">
        <f t="shared" si="2"/>
        <v>39.450000001816079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-11T05:14:33-0600',mode:absolute,to:'2017-07-11T08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23.296700000000001</v>
      </c>
      <c r="Z28" s="197">
        <f t="shared" si="8"/>
        <v>1.3599999999999999E-2</v>
      </c>
      <c r="AA28" s="197">
        <f t="shared" si="9"/>
        <v>23.283100000000001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28" s="74" t="str">
        <f t="shared" si="12"/>
        <v>"C:\Program Files (x86)\AstroGrep\AstroGrep.exe" /e /r /s /spath="%USERPROFILE%\AppData\Local\Temp\OnboardLogs" /stypes="app*4007*20170711*"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116-11 --locoid 4007 --swversion DE.1.0.9.0 --startMP 204:232967 --initTime 2017-07-11T06:14:33 --startdatetime 2017-07-11T06:27:15 --delay 1 --endMP 204:136 --enddatetime 2017-07-11T07:06:42 --enforcementcount 0 &gt;&gt;C:\Users\stu\Documents\GitHub\eaglep3-reporting\EC\2017-07-11-refined-times.txt</v>
      </c>
      <c r="AI28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{"issue":{"subject":"","project_id":79,"tracker_id":40,"status_id":1,"priority_id":2,"assigned_to_id":23,"start_date":"2017-07-11","description":"","custom_fields":[{"id":1,"name":"Subdivision","value":"EC"},{"id":4,"name":"Milepost","value":"0.0136"},{"id":17,"name":"Train ID","value":"116-11"},{"id":16,"name":"Locomotive ID","value":"4007"},{"id":130,"name":"Impact","value":""},{"id":150,"name":"Time of Event (Mountain Time)","value":"07:06:42"},{"id":151,"name":"Denver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4007 --day 2017-07-11</v>
      </c>
      <c r="AN28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651</v>
      </c>
      <c r="B29" s="7">
        <v>4064</v>
      </c>
      <c r="C29" s="21" t="s">
        <v>199</v>
      </c>
      <c r="D29" s="21" t="s">
        <v>421</v>
      </c>
      <c r="E29" s="13">
        <v>42927.237337962964</v>
      </c>
      <c r="F29" s="13">
        <v>42927.240219907406</v>
      </c>
      <c r="G29" s="7">
        <v>1</v>
      </c>
      <c r="H29" s="21" t="s">
        <v>454</v>
      </c>
      <c r="I29" s="13">
        <v>42927.267974537041</v>
      </c>
      <c r="J29" s="7">
        <v>0</v>
      </c>
      <c r="K29" s="89" t="str">
        <f t="shared" si="0"/>
        <v>4063/4064</v>
      </c>
      <c r="L29" s="21" t="str">
        <f>VLOOKUP(A29,'Trips&amp;Operators'!$C$1:$G$99999,5,FALSE)</f>
        <v>ANDERS STEVEN</v>
      </c>
      <c r="M29" s="6">
        <f t="shared" si="1"/>
        <v>2.775462963472819E-2</v>
      </c>
      <c r="N29" s="7">
        <f t="shared" si="2"/>
        <v>39.966666674008593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-11T04:41:46-0600',mode:absolute,to:'2017-07-11T07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4.7300000000000002E-2</v>
      </c>
      <c r="Z29" s="197">
        <f t="shared" si="8"/>
        <v>23.328900000000001</v>
      </c>
      <c r="AA29" s="197">
        <f t="shared" si="9"/>
        <v>23.281600000000001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s3://rtdc.mdm.uploadarchive.raw/RTDC4064/ "%USERPROFILE%\AppData\Local\Temp\OnboardLogs"\RTDC4064\2017-07-11 --exclude "*" --recursive --include "*20170711*" &amp; "%USERPROFILE%\Documents\GitHub\mrs-test-scripts\Headless Mode &amp; Sideloading\WalkAndUnGZ.bat" "%USERPROFILE%\AppData\Local\Temp\OnboardLogs"\RTDC4064\2017-07-11 &amp; aws s3 cp s3://rtdc.mdm.uploadarchive.raw/RTDC4064/ "%USERPROFILE%\AppData\Local\Temp\OnboardLogs"\RTDC4064\2017-07-12 --exclude "*" --recursive --include "*20170712*" &amp; "%USERPROFILE%\Documents\GitHub\mrs-test-scripts\Headless Mode &amp; Sideloading\WalkAndUnGZ.bat" "%USERPROFILE%\AppData\Local\Temp\OnboardLogs"\RTDC4064\2017-07-12</v>
      </c>
      <c r="AF29" s="74" t="str">
        <f t="shared" si="12"/>
        <v>"C:\Program Files (x86)\AstroGrep\AstroGrep.exe" /e /r /s /spath="%USERPROFILE%\AppData\Local\Temp\OnboardLogs" /stypes="app*4064*20170711*"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117-11 --locoid 4064 --swversion DE.1.0.9.0 --startMP 204:473 --initTime 2017-07-11T05:41:46 --startdatetime 2017-07-11T05:45:55 --delay 1 --endMP 204:233289 --enddatetime 2017-07-11T06:25:53 --enforcementcount 0 &gt;&gt;C:\Users\stu\Documents\GitHub\eaglep3-reporting\EC\2017-07-11-refined-times.txt</v>
      </c>
      <c r="AI29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{"issue":{"subject":"","project_id":79,"tracker_id":40,"status_id":1,"priority_id":2,"assigned_to_id":23,"start_date":"2017-07-11","description":"","custom_fields":[{"id":1,"name":"Subdivision","value":"EC"},{"id":4,"name":"Milepost","value":"23.3289"},{"id":17,"name":"Train ID","value":"117-11"},{"id":16,"name":"Locomotive ID","value":"4064"},{"id":130,"name":"Impact","value":""},{"id":150,"name":"Time of Event (Mountain Time)","value":"06:25:53"},{"id":151,"name":"Denver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4064 --day 2017-07-11</v>
      </c>
      <c r="AN29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661</v>
      </c>
      <c r="B30" s="7">
        <v>4063</v>
      </c>
      <c r="C30" s="21" t="s">
        <v>199</v>
      </c>
      <c r="D30" s="21" t="s">
        <v>830</v>
      </c>
      <c r="E30" s="13">
        <v>42927.269560185188</v>
      </c>
      <c r="F30" s="13">
        <v>42927.279363425929</v>
      </c>
      <c r="G30" s="7">
        <v>1</v>
      </c>
      <c r="H30" s="21" t="s">
        <v>344</v>
      </c>
      <c r="I30" s="13">
        <v>42927.307939814818</v>
      </c>
      <c r="J30" s="7">
        <v>0</v>
      </c>
      <c r="K30" s="89" t="str">
        <f t="shared" si="0"/>
        <v>4063/4064</v>
      </c>
      <c r="L30" s="21" t="str">
        <f>VLOOKUP(A30,'Trips&amp;Operators'!$C$1:$G$99999,5,FALSE)</f>
        <v>ANDERS STEVEN</v>
      </c>
      <c r="M30" s="6">
        <f t="shared" si="1"/>
        <v>2.8576388889632653E-2</v>
      </c>
      <c r="N30" s="7">
        <f t="shared" si="2"/>
        <v>41.150000001071021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-11T05:28:10-0600',mode:absolute,to:'2017-07-11T08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23.298300000000001</v>
      </c>
      <c r="Z30" s="197">
        <f t="shared" si="8"/>
        <v>1.4999999999999999E-2</v>
      </c>
      <c r="AA30" s="197">
        <f t="shared" si="9"/>
        <v>23.283300000000001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AF30" s="74" t="str">
        <f t="shared" si="12"/>
        <v>"C:\Program Files (x86)\AstroGrep\AstroGrep.exe" /e /r /s /spath="%USERPROFILE%\AppData\Local\Temp\OnboardLogs" /stypes="app*4063*20170711*"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118-11 --locoid 4063 --swversion DE.1.0.9.0 --startMP 204:232983 --initTime 2017-07-11T06:28:10 --startdatetime 2017-07-11T06:42:17 --delay 1 --endMP 204:150 --enddatetime 2017-07-11T07:23:26 --enforcementcount 0 &gt;&gt;C:\Users\stu\Documents\GitHub\eaglep3-reporting\EC\2017-07-11-refined-times.txt</v>
      </c>
      <c r="AI30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{"issue":{"subject":"","project_id":79,"tracker_id":40,"status_id":1,"priority_id":2,"assigned_to_id":23,"start_date":"2017-07-11","description":"","custom_fields":[{"id":1,"name":"Subdivision","value":"EC"},{"id":4,"name":"Milepost","value":"0.015"},{"id":17,"name":"Train ID","value":"118-11"},{"id":16,"name":"Locomotive ID","value":"4063"},{"id":130,"name":"Impact","value":""},{"id":150,"name":"Time of Event (Mountain Time)","value":"07:23:26"},{"id":151,"name":"Denver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4063 --day 2017-07-11</v>
      </c>
      <c r="AN30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653</v>
      </c>
      <c r="B31" s="7">
        <v>4028</v>
      </c>
      <c r="C31" s="21" t="s">
        <v>199</v>
      </c>
      <c r="D31" s="21" t="s">
        <v>831</v>
      </c>
      <c r="E31" s="13">
        <v>42927.245810185188</v>
      </c>
      <c r="F31" s="13">
        <v>42927.250706018516</v>
      </c>
      <c r="G31" s="7">
        <v>1</v>
      </c>
      <c r="H31" s="21" t="s">
        <v>492</v>
      </c>
      <c r="I31" s="13">
        <v>42927.274872685186</v>
      </c>
      <c r="J31" s="7">
        <v>0</v>
      </c>
      <c r="K31" s="89" t="str">
        <f t="shared" si="0"/>
        <v>4027/4028</v>
      </c>
      <c r="L31" s="21" t="str">
        <f>VLOOKUP(A31,'Trips&amp;Operators'!$C$1:$G$99999,5,FALSE)</f>
        <v>MAELZER KURT</v>
      </c>
      <c r="M31" s="6">
        <f t="shared" si="1"/>
        <v>2.4166666669771075E-2</v>
      </c>
      <c r="N31" s="7">
        <f t="shared" si="2"/>
        <v>34.800000004470348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-11T04:53:58-0600',mode:absolute,to:'2017-07-11T07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4.4200000000000003E-2</v>
      </c>
      <c r="Z31" s="197">
        <f t="shared" si="8"/>
        <v>23.329899999999999</v>
      </c>
      <c r="AA31" s="197">
        <f t="shared" si="9"/>
        <v>23.285699999999999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31" s="74" t="str">
        <f t="shared" si="12"/>
        <v>"C:\Program Files (x86)\AstroGrep\AstroGrep.exe" /e /r /s /spath="%USERPROFILE%\AppData\Local\Temp\OnboardLogs" /stypes="app*4028*20170711*"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119-11 --locoid 4028 --swversion DE.1.0.9.0 --startMP 204:442 --initTime 2017-07-11T05:53:58 --startdatetime 2017-07-11T06:01:01 --delay 1 --endMP 204:233299 --enddatetime 2017-07-11T06:35:49 --enforcementcount 0 &gt;&gt;C:\Users\stu\Documents\GitHub\eaglep3-reporting\EC\2017-07-11-refined-times.txt</v>
      </c>
      <c r="AI31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{"issue":{"subject":"","project_id":79,"tracker_id":40,"status_id":1,"priority_id":2,"assigned_to_id":23,"start_date":"2017-07-11","description":"","custom_fields":[{"id":1,"name":"Subdivision","value":"EC"},{"id":4,"name":"Milepost","value":"23.3299"},{"id":17,"name":"Train ID","value":"119-11"},{"id":16,"name":"Locomotive ID","value":"4028"},{"id":130,"name":"Impact","value":""},{"id":150,"name":"Time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4028 --day 2017-07-11</v>
      </c>
      <c r="AN31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667</v>
      </c>
      <c r="B32" s="7">
        <v>4027</v>
      </c>
      <c r="C32" s="21" t="s">
        <v>199</v>
      </c>
      <c r="D32" s="21" t="s">
        <v>564</v>
      </c>
      <c r="E32" s="13">
        <v>42927.282453703701</v>
      </c>
      <c r="F32" s="13">
        <v>42927.29005787037</v>
      </c>
      <c r="G32" s="7">
        <v>1</v>
      </c>
      <c r="H32" s="21" t="s">
        <v>563</v>
      </c>
      <c r="I32" s="13">
        <v>42927.31826388889</v>
      </c>
      <c r="J32" s="7">
        <v>0</v>
      </c>
      <c r="K32" s="89" t="str">
        <f t="shared" si="0"/>
        <v>4027/4028</v>
      </c>
      <c r="L32" s="21" t="str">
        <f>VLOOKUP(A32,'Trips&amp;Operators'!$C$1:$G$99999,5,FALSE)</f>
        <v>MAELZER KURT</v>
      </c>
      <c r="M32" s="6">
        <f t="shared" si="1"/>
        <v>2.8206018519995268E-2</v>
      </c>
      <c r="N32" s="7">
        <f t="shared" si="2"/>
        <v>40.616666668793187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-11T05:46:44-0600',mode:absolute,to:'2017-07-11T08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23.2986</v>
      </c>
      <c r="Z32" s="197">
        <f t="shared" si="8"/>
        <v>1.34E-2</v>
      </c>
      <c r="AA32" s="197">
        <f t="shared" si="9"/>
        <v>23.2852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32" s="74" t="str">
        <f t="shared" si="12"/>
        <v>"C:\Program Files (x86)\AstroGrep\AstroGrep.exe" /e /r /s /spath="%USERPROFILE%\AppData\Local\Temp\OnboardLogs" /stypes="app*4027*20170711*"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120-11 --locoid 4027 --swversion DE.1.0.9.0 --startMP 204:232986 --initTime 2017-07-11T06:46:44 --startdatetime 2017-07-11T06:57:41 --delay 1 --endMP 204:134 --enddatetime 2017-07-11T07:38:18 --enforcementcount 0 &gt;&gt;C:\Users\stu\Documents\GitHub\eaglep3-reporting\EC\2017-07-11-refined-times.txt</v>
      </c>
      <c r="AI32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{"issue":{"subject":"","project_id":79,"tracker_id":40,"status_id":1,"priority_id":2,"assigned_to_id":23,"start_date":"2017-07-11","description":"","custom_fields":[{"id":1,"name":"Subdivision","value":"EC"},{"id":4,"name":"Milepost","value":"0.0134"},{"id":17,"name":"Train ID","value":"120-11"},{"id":16,"name":"Locomotive ID","value":"4027"},{"id":130,"name":"Impact","value":""},{"id":150,"name":"Time of Event (Mountain Time)","value":"07:38:18"},{"id":151,"name":"Denver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4027 --day 2017-07-11</v>
      </c>
      <c r="AN32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657</v>
      </c>
      <c r="B33" s="7">
        <v>4042</v>
      </c>
      <c r="C33" s="21" t="s">
        <v>199</v>
      </c>
      <c r="D33" s="21" t="s">
        <v>351</v>
      </c>
      <c r="E33" s="13">
        <v>42927.25576388889</v>
      </c>
      <c r="F33" s="13">
        <v>42927.261099537034</v>
      </c>
      <c r="G33" s="7">
        <v>1</v>
      </c>
      <c r="H33" s="21" t="s">
        <v>825</v>
      </c>
      <c r="I33" s="13">
        <v>42927.286736111113</v>
      </c>
      <c r="J33" s="7">
        <v>0</v>
      </c>
      <c r="K33" s="89" t="str">
        <f t="shared" si="0"/>
        <v>4041/4042</v>
      </c>
      <c r="L33" s="21" t="str">
        <f>VLOOKUP(A33,'Trips&amp;Operators'!$C$1:$G$99999,5,FALSE)</f>
        <v>DE LA ROSA ALEX</v>
      </c>
      <c r="M33" s="6">
        <f t="shared" si="1"/>
        <v>2.5636574078816921E-2</v>
      </c>
      <c r="N33" s="7">
        <f t="shared" si="2"/>
        <v>36.916666673496366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-11T05:08:18-0600',mode:absolute,to:'2017-07-11T07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4.4699999999999997E-2</v>
      </c>
      <c r="Z33" s="197">
        <f t="shared" si="8"/>
        <v>23.3293</v>
      </c>
      <c r="AA33" s="197">
        <f t="shared" si="9"/>
        <v>23.284600000000001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33" s="74" t="str">
        <f t="shared" si="12"/>
        <v>"C:\Program Files (x86)\AstroGrep\AstroGrep.exe" /e /r /s /spath="%USERPROFILE%\AppData\Local\Temp\OnboardLogs" /stypes="app*4042*20170711*"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121-11 --locoid 4042 --swversion DE.1.0.9.0 --startMP 204:447 --initTime 2017-07-11T06:08:18 --startdatetime 2017-07-11T06:15:59 --delay 1 --endMP 204:233293 --enddatetime 2017-07-11T06:52:54 --enforcementcount 0 &gt;&gt;C:\Users\stu\Documents\GitHub\eaglep3-reporting\EC\2017-07-11-refined-times.txt</v>
      </c>
      <c r="AI33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{"issue":{"subject":"","project_id":79,"tracker_id":40,"status_id":1,"priority_id":2,"assigned_to_id":23,"start_date":"2017-07-11","description":"","custom_fields":[{"id":1,"name":"Subdivision","value":"EC"},{"id":4,"name":"Milepost","value":"23.3293"},{"id":17,"name":"Train ID","value":"121-11"},{"id":16,"name":"Locomotive ID","value":"4042"},{"id":130,"name":"Impact","value":""},{"id":150,"name":"Time of Event (Mountain Time)","value":"06:52:54"},{"id":151,"name":"Denver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4042 --day 2017-07-11</v>
      </c>
      <c r="AN33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669</v>
      </c>
      <c r="B34" s="7">
        <v>4041</v>
      </c>
      <c r="C34" s="21" t="s">
        <v>199</v>
      </c>
      <c r="D34" s="21" t="s">
        <v>830</v>
      </c>
      <c r="E34" s="13">
        <v>42927.296840277777</v>
      </c>
      <c r="F34" s="13">
        <v>42927.300636574073</v>
      </c>
      <c r="G34" s="7">
        <v>1</v>
      </c>
      <c r="H34" s="21" t="s">
        <v>429</v>
      </c>
      <c r="I34" s="13">
        <v>42927.330925925926</v>
      </c>
      <c r="J34" s="7">
        <v>0</v>
      </c>
      <c r="K34" s="89" t="str">
        <f t="shared" si="0"/>
        <v>4041/4042</v>
      </c>
      <c r="L34" s="21" t="str">
        <f>VLOOKUP(A34,'Trips&amp;Operators'!$C$1:$G$99999,5,FALSE)</f>
        <v>DE LA ROSA ALEX</v>
      </c>
      <c r="M34" s="6">
        <f t="shared" si="1"/>
        <v>3.0289351852843538E-2</v>
      </c>
      <c r="N34" s="7">
        <f t="shared" si="2"/>
        <v>43.616666668094695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-11T06:07:27-0600',mode:absolute,to:'2017-07-11T08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23.298300000000001</v>
      </c>
      <c r="Z34" s="197">
        <f t="shared" si="8"/>
        <v>1.3599999999999999E-2</v>
      </c>
      <c r="AA34" s="197">
        <f t="shared" si="9"/>
        <v>23.284700000000001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34" s="74" t="str">
        <f t="shared" si="12"/>
        <v>"C:\Program Files (x86)\AstroGrep\AstroGrep.exe" /e /r /s /spath="%USERPROFILE%\AppData\Local\Temp\OnboardLogs" /stypes="app*4041*20170711*"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122-11 --locoid 4041 --swversion DE.1.0.9.0 --startMP 204:232983 --initTime 2017-07-11T07:07:27 --startdatetime 2017-07-11T07:12:55 --delay 1 --endMP 204:136 --enddatetime 2017-07-11T07:56:32 --enforcementcount 0 &gt;&gt;C:\Users\stu\Documents\GitHub\eaglep3-reporting\EC\2017-07-11-refined-times.txt</v>
      </c>
      <c r="AI34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{"issue":{"subject":"","project_id":79,"tracker_id":40,"status_id":1,"priority_id":2,"assigned_to_id":23,"start_date":"2017-07-11","description":"","custom_fields":[{"id":1,"name":"Subdivision","value":"EC"},{"id":4,"name":"Milepost","value":"0.0136"},{"id":17,"name":"Train ID","value":"122-11"},{"id":16,"name":"Locomotive ID","value":"4041"},{"id":130,"name":"Impact","value":""},{"id":150,"name":"Time of Event (Mountain Time)","value":"07:56:32"},{"id":151,"name":"Denver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4041 --day 2017-07-11</v>
      </c>
      <c r="AN34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660</v>
      </c>
      <c r="B35" s="7">
        <v>4016</v>
      </c>
      <c r="C35" s="21" t="s">
        <v>199</v>
      </c>
      <c r="D35" s="21" t="s">
        <v>439</v>
      </c>
      <c r="E35" s="13">
        <v>42927.267372685186</v>
      </c>
      <c r="F35" s="13">
        <v>42927.271539351852</v>
      </c>
      <c r="G35" s="7">
        <v>1</v>
      </c>
      <c r="H35" s="21" t="s">
        <v>832</v>
      </c>
      <c r="I35" s="13">
        <v>42927.295405092591</v>
      </c>
      <c r="J35" s="7">
        <v>0</v>
      </c>
      <c r="K35" s="89" t="str">
        <f t="shared" si="0"/>
        <v>4015/4016</v>
      </c>
      <c r="L35" s="21" t="str">
        <f>VLOOKUP(A35,'Trips&amp;Operators'!$C$1:$G$99999,5,FALSE)</f>
        <v>MACDONALD THOMAS</v>
      </c>
      <c r="M35" s="6">
        <f t="shared" si="1"/>
        <v>2.3865740738983732E-2</v>
      </c>
      <c r="N35" s="7">
        <f t="shared" si="2"/>
        <v>34.366666664136574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-11T05:25:01-0600',mode:absolute,to:'2017-07-11T08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4.7100000000000003E-2</v>
      </c>
      <c r="Z35" s="197">
        <f t="shared" si="8"/>
        <v>23.333400000000001</v>
      </c>
      <c r="AA35" s="197">
        <f t="shared" si="9"/>
        <v>23.286300000000001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35" s="74" t="str">
        <f t="shared" si="12"/>
        <v>"C:\Program Files (x86)\AstroGrep\AstroGrep.exe" /e /r /s /spath="%USERPROFILE%\AppData\Local\Temp\OnboardLogs" /stypes="app*4016*20170711*"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123-11 --locoid 4016 --swversion DE.1.0.9.0 --startMP 204:471 --initTime 2017-07-11T06:25:01 --startdatetime 2017-07-11T06:31:01 --delay 1 --endMP 204:233334 --enddatetime 2017-07-11T07:05:23 --enforcementcount 0 &gt;&gt;C:\Users\stu\Documents\GitHub\eaglep3-reporting\EC\2017-07-11-refined-times.txt</v>
      </c>
      <c r="AI35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{"issue":{"subject":"","project_id":79,"tracker_id":40,"status_id":1,"priority_id":2,"assigned_to_id":23,"start_date":"2017-07-11","description":"","custom_fields":[{"id":1,"name":"Subdivision","value":"EC"},{"id":4,"name":"Milepost","value":"23.3334"},{"id":17,"name":"Train ID","value":"123-11"},{"id":16,"name":"Locomotive ID","value":"4016"},{"id":130,"name":"Impact","value":""},{"id":150,"name":"Time of Event (Mountain Time)","value":"07:05:23"},{"id":151,"name":"Denver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4016 --day 2017-07-11</v>
      </c>
      <c r="AN35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574</v>
      </c>
      <c r="B36" s="7">
        <v>4015</v>
      </c>
      <c r="C36" s="21" t="s">
        <v>199</v>
      </c>
      <c r="D36" s="21" t="s">
        <v>833</v>
      </c>
      <c r="E36" s="13">
        <v>42927.298217592594</v>
      </c>
      <c r="F36" s="13">
        <v>42927.310868055552</v>
      </c>
      <c r="G36" s="7">
        <v>1</v>
      </c>
      <c r="H36" s="21" t="s">
        <v>394</v>
      </c>
      <c r="I36" s="13">
        <v>42927.338784722226</v>
      </c>
      <c r="J36" s="7">
        <v>0</v>
      </c>
      <c r="K36" s="89" t="str">
        <f t="shared" si="0"/>
        <v>4015/4016</v>
      </c>
      <c r="L36" s="21" t="str">
        <f>VLOOKUP(A36,'Trips&amp;Operators'!$C$1:$G$99999,5,FALSE)</f>
        <v>MACDONALD THOMAS</v>
      </c>
      <c r="M36" s="6">
        <f t="shared" si="1"/>
        <v>2.7916666673263535E-2</v>
      </c>
      <c r="N36" s="7">
        <f t="shared" si="2"/>
        <v>40.20000000949949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-11T06:09:26-0600',mode:absolute,to:'2017-07-11T09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23.2988</v>
      </c>
      <c r="Z36" s="197">
        <f t="shared" si="8"/>
        <v>1.5599999999999999E-2</v>
      </c>
      <c r="AA36" s="197">
        <f t="shared" si="9"/>
        <v>23.283200000000001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AF36" s="74" t="str">
        <f t="shared" si="12"/>
        <v>"C:\Program Files (x86)\AstroGrep\AstroGrep.exe" /e /r /s /spath="%USERPROFILE%\AppData\Local\Temp\OnboardLogs" /stypes="app*4015*20170711*"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124-11 --locoid 4015 --swversion DE.1.0.9.0 --startMP 204:232988 --initTime 2017-07-11T07:09:26 --startdatetime 2017-07-11T07:27:39 --delay 1 --endMP 204:156 --enddatetime 2017-07-11T08:07:51 --enforcementcount 0 &gt;&gt;C:\Users\stu\Documents\GitHub\eaglep3-reporting\EC\2017-07-11-refined-times.txt</v>
      </c>
      <c r="AI36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{"issue":{"subject":"","project_id":79,"tracker_id":40,"status_id":1,"priority_id":2,"assigned_to_id":23,"start_date":"2017-07-11","description":"","custom_fields":[{"id":1,"name":"Subdivision","value":"EC"},{"id":4,"name":"Milepost","value":"0.0156"},{"id":17,"name":"Train ID","value":"124-11"},{"id":16,"name":"Locomotive ID","value":"4015"},{"id":130,"name":"Impact","value":""},{"id":150,"name":"Time of Event (Mountain Time)","value":"08:07:51"},{"id":151,"name":"Denver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4015 --day 2017-07-11</v>
      </c>
      <c r="AN36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663</v>
      </c>
      <c r="B37" s="7">
        <v>4032</v>
      </c>
      <c r="C37" s="21" t="s">
        <v>199</v>
      </c>
      <c r="D37" s="21" t="s">
        <v>400</v>
      </c>
      <c r="E37" s="13">
        <v>42927.278460648151</v>
      </c>
      <c r="F37" s="13">
        <v>42927.28193287037</v>
      </c>
      <c r="G37" s="7">
        <v>2</v>
      </c>
      <c r="H37" s="21" t="s">
        <v>516</v>
      </c>
      <c r="I37" s="13">
        <v>42927.311192129629</v>
      </c>
      <c r="J37" s="7">
        <v>0</v>
      </c>
      <c r="K37" s="89" t="str">
        <f t="shared" si="0"/>
        <v>4031/4032</v>
      </c>
      <c r="L37" s="21" t="str">
        <f>VLOOKUP(A37,'Trips&amp;Operators'!$C$1:$G$99999,5,FALSE)</f>
        <v>MILLER KEVIN</v>
      </c>
      <c r="M37" s="6">
        <f t="shared" si="1"/>
        <v>2.9259259259561077E-2</v>
      </c>
      <c r="N37" s="7">
        <f t="shared" si="2"/>
        <v>42.133333333767951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-11T05:40:59-0600',mode:absolute,to:'2017-07-11T08:28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4.6899999999999997E-2</v>
      </c>
      <c r="Z37" s="197">
        <f t="shared" si="8"/>
        <v>23.330400000000001</v>
      </c>
      <c r="AA37" s="197">
        <f t="shared" si="9"/>
        <v>23.2835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37" s="74" t="str">
        <f t="shared" si="12"/>
        <v>"C:\Program Files (x86)\AstroGrep\AstroGrep.exe" /e /r /s /spath="%USERPROFILE%\AppData\Local\Temp\OnboardLogs" /stypes="app*4032*20170711*"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125-11 --locoid 4032 --swversion DE.1.0.9.0 --startMP 204:469 --initTime 2017-07-11T06:40:59 --startdatetime 2017-07-11T06:45:59 --delay 2 --endMP 204:233304 --enddatetime 2017-07-11T07:28:07 --enforcementcount 0 &gt;&gt;C:\Users\stu\Documents\GitHub\eaglep3-reporting\EC\2017-07-11-refined-times.txt</v>
      </c>
      <c r="AI37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{"issue":{"subject":"","project_id":79,"tracker_id":40,"status_id":1,"priority_id":2,"assigned_to_id":23,"start_date":"2017-07-11","description":"","custom_fields":[{"id":1,"name":"Subdivision","value":"EC"},{"id":4,"name":"Milepost","value":"23.3304"},{"id":17,"name":"Train ID","value":"125-11"},{"id":16,"name":"Locomotive ID","value":"4032"},{"id":130,"name":"Impact","value":""},{"id":150,"name":"Time of Event (Mountain Time)","value":"07:28:07"},{"id":151,"name":"Denver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4032 --day 2017-07-11</v>
      </c>
      <c r="AN37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13:28:07"},{"id":29,"name":"Sharepoint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673</v>
      </c>
      <c r="B38" s="7">
        <v>4031</v>
      </c>
      <c r="C38" s="21" t="s">
        <v>199</v>
      </c>
      <c r="D38" s="21" t="s">
        <v>456</v>
      </c>
      <c r="E38" s="13">
        <v>42927.31653935185</v>
      </c>
      <c r="F38" s="13">
        <v>42927.321018518516</v>
      </c>
      <c r="G38" s="7">
        <v>1</v>
      </c>
      <c r="H38" s="21" t="s">
        <v>355</v>
      </c>
      <c r="I38" s="13">
        <v>42927.349259259259</v>
      </c>
      <c r="J38" s="7">
        <v>0</v>
      </c>
      <c r="K38" s="89" t="str">
        <f t="shared" si="0"/>
        <v>4031/4032</v>
      </c>
      <c r="L38" s="21" t="str">
        <f>VLOOKUP(A38,'Trips&amp;Operators'!$C$1:$G$99999,5,FALSE)</f>
        <v>MILLER KEVIN</v>
      </c>
      <c r="M38" s="6">
        <f t="shared" si="1"/>
        <v>2.8240740743058268E-2</v>
      </c>
      <c r="N38" s="7">
        <f t="shared" si="2"/>
        <v>40.666666670003906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-11T06:35:49-0600',mode:absolute,to:'2017-07-11T09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23.297699999999999</v>
      </c>
      <c r="Z38" s="197">
        <f t="shared" si="8"/>
        <v>1.47E-2</v>
      </c>
      <c r="AA38" s="197">
        <f t="shared" si="9"/>
        <v>23.282999999999998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38" s="74" t="str">
        <f t="shared" si="12"/>
        <v>"C:\Program Files (x86)\AstroGrep\AstroGrep.exe" /e /r /s /spath="%USERPROFILE%\AppData\Local\Temp\OnboardLogs" /stypes="app*4031*20170711*"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126-11 --locoid 4031 --swversion DE.1.0.9.0 --startMP 204:232977 --initTime 2017-07-11T07:35:49 --startdatetime 2017-07-11T07:42:16 --delay 1 --endMP 204:147 --enddatetime 2017-07-11T08:22:56 --enforcementcount 0 &gt;&gt;C:\Users\stu\Documents\GitHub\eaglep3-reporting\EC\2017-07-11-refined-times.txt</v>
      </c>
      <c r="AI38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{"issue":{"subject":"","project_id":79,"tracker_id":40,"status_id":1,"priority_id":2,"assigned_to_id":23,"start_date":"2017-07-11","description":"","custom_fields":[{"id":1,"name":"Subdivision","value":"EC"},{"id":4,"name":"Milepost","value":"0.0147"},{"id":17,"name":"Train ID","value":"126-11"},{"id":16,"name":"Locomotive ID","value":"4031"},{"id":130,"name":"Impact","value":""},{"id":150,"name":"Time of Event (Mountain Time)","value":"08:22:56"},{"id":151,"name":"Denver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4031 --day 2017-07-11</v>
      </c>
      <c r="AN38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668</v>
      </c>
      <c r="B39" s="7">
        <v>4020</v>
      </c>
      <c r="C39" s="21" t="s">
        <v>199</v>
      </c>
      <c r="D39" s="21" t="s">
        <v>348</v>
      </c>
      <c r="E39" s="13">
        <v>42927.288668981484</v>
      </c>
      <c r="F39" s="13">
        <v>42927.292222222219</v>
      </c>
      <c r="G39" s="7">
        <v>3</v>
      </c>
      <c r="H39" s="21" t="s">
        <v>423</v>
      </c>
      <c r="I39" s="13">
        <v>42927.317789351851</v>
      </c>
      <c r="J39" s="7">
        <v>0</v>
      </c>
      <c r="K39" s="89" t="str">
        <f t="shared" si="0"/>
        <v>4019/4020</v>
      </c>
      <c r="L39" s="21" t="str">
        <f>VLOOKUP(A39,'Trips&amp;Operators'!$C$1:$G$99999,5,FALSE)</f>
        <v>LOZA FIDEL</v>
      </c>
      <c r="M39" s="6">
        <f t="shared" si="1"/>
        <v>2.5567129632690921E-2</v>
      </c>
      <c r="N39" s="7">
        <f t="shared" si="2"/>
        <v>36.816666671074927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-11T05:55:41-0600',mode:absolute,to:'2017-07-11T08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4.5100000000000001E-2</v>
      </c>
      <c r="Z39" s="197">
        <f t="shared" si="8"/>
        <v>23.331199999999999</v>
      </c>
      <c r="AA39" s="197">
        <f t="shared" si="9"/>
        <v>23.286099999999998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s3://rtdc.mdm.uploadarchive.raw/RTDC4020/ "%USERPROFILE%\AppData\Local\Temp\OnboardLogs"\RTDC4020\2017-07-11 --exclude "*" --recursive --include "*20170711*" &amp; "%USERPROFILE%\Documents\GitHub\mrs-test-scripts\Headless Mode &amp; Sideloading\WalkAndUnGZ.bat" "%USERPROFILE%\AppData\Local\Temp\OnboardLogs"\RTDC4020\2017-07-11 &amp; aws s3 cp s3://rtdc.mdm.uploadarchive.raw/RTDC4020/ "%USERPROFILE%\AppData\Local\Temp\OnboardLogs"\RTDC4020\2017-07-12 --exclude "*" --recursive --include "*20170712*" &amp; "%USERPROFILE%\Documents\GitHub\mrs-test-scripts\Headless Mode &amp; Sideloading\WalkAndUnGZ.bat" "%USERPROFILE%\AppData\Local\Temp\OnboardLogs"\RTDC4020\2017-07-12</v>
      </c>
      <c r="AF39" s="74" t="str">
        <f t="shared" si="12"/>
        <v>"C:\Program Files (x86)\AstroGrep\AstroGrep.exe" /e /r /s /spath="%USERPROFILE%\AppData\Local\Temp\OnboardLogs" /stypes="app*4020*20170711*"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127-11 --locoid 4020 --swversion DE.1.0.9.0 --startMP 204:451 --initTime 2017-07-11T06:55:41 --startdatetime 2017-07-11T07:00:48 --delay 3 --endMP 204:233312 --enddatetime 2017-07-11T07:37:37 --enforcementcount 0 &gt;&gt;C:\Users\stu\Documents\GitHub\eaglep3-reporting\EC\2017-07-11-refined-times.txt</v>
      </c>
      <c r="AI39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{"issue":{"subject":"","project_id":79,"tracker_id":40,"status_id":1,"priority_id":2,"assigned_to_id":23,"start_date":"2017-07-11","description":"","custom_fields":[{"id":1,"name":"Subdivision","value":"EC"},{"id":4,"name":"Milepost","value":"23.3312"},{"id":17,"name":"Train ID","value":"127-11"},{"id":16,"name":"Locomotive ID","value":"4020"},{"id":130,"name":"Impact","value":""},{"id":150,"name":"Time of Event (Mountain Time)","value":"07:37:37"},{"id":151,"name":"Denver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4020 --day 2017-07-11</v>
      </c>
      <c r="AN39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576</v>
      </c>
      <c r="B40" s="7">
        <v>4019</v>
      </c>
      <c r="C40" s="21" t="s">
        <v>199</v>
      </c>
      <c r="D40" s="21" t="s">
        <v>834</v>
      </c>
      <c r="E40" s="13">
        <v>42927.327256944445</v>
      </c>
      <c r="F40" s="13">
        <v>42927.331469907411</v>
      </c>
      <c r="G40" s="7">
        <v>1</v>
      </c>
      <c r="H40" s="21" t="s">
        <v>563</v>
      </c>
      <c r="I40" s="13">
        <v>42927.359930555554</v>
      </c>
      <c r="J40" s="7">
        <v>0</v>
      </c>
      <c r="K40" s="89" t="str">
        <f t="shared" si="0"/>
        <v>4019/4020</v>
      </c>
      <c r="L40" s="21" t="str">
        <f>VLOOKUP(A40,'Trips&amp;Operators'!$C$1:$G$99999,5,FALSE)</f>
        <v>LOZA FIDEL</v>
      </c>
      <c r="M40" s="6">
        <f t="shared" si="1"/>
        <v>2.8460648143664002E-2</v>
      </c>
      <c r="N40" s="7">
        <f t="shared" si="2"/>
        <v>40.983333326876163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-11T06:51:15-0600',mode:absolute,to:'2017-07-11T09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23.298400000000001</v>
      </c>
      <c r="Z40" s="197">
        <f t="shared" si="8"/>
        <v>1.34E-2</v>
      </c>
      <c r="AA40" s="197">
        <f t="shared" si="9"/>
        <v>23.285</v>
      </c>
      <c r="AB40" s="54" t="str">
        <f>VLOOKUP(A40,Enforcements!$C$7:$K$13,8,0)</f>
        <v>Bulletin (2)</v>
      </c>
      <c r="AC40" s="51" t="str">
        <f>VLOOKUP(A40,Enforcements!$C$7:$E$13,3,0)</f>
        <v>GRADE CROSSING</v>
      </c>
      <c r="AD40" s="206">
        <f t="shared" si="10"/>
        <v>128</v>
      </c>
      <c r="AE40" s="77" t="str">
        <f t="shared" si="11"/>
        <v>aws s3 cp s3://rtdc.mdm.uploadarchive.raw/RTDC4019/ "%USERPROFILE%\AppData\Local\Temp\OnboardLogs"\RTDC4019\2017-07-11 --exclude "*" --recursive --include "*20170711*" &amp; "%USERPROFILE%\Documents\GitHub\mrs-test-scripts\Headless Mode &amp; Sideloading\WalkAndUnGZ.bat" "%USERPROFILE%\AppData\Local\Temp\OnboardLogs"\RTDC4019\2017-07-11 &amp; aws s3 cp s3://rtdc.mdm.uploadarchive.raw/RTDC4019/ "%USERPROFILE%\AppData\Local\Temp\OnboardLogs"\RTDC4019\2017-07-12 --exclude "*" --recursive --include "*20170712*" &amp; "%USERPROFILE%\Documents\GitHub\mrs-test-scripts\Headless Mode &amp; Sideloading\WalkAndUnGZ.bat" "%USERPROFILE%\AppData\Local\Temp\OnboardLogs"\RTDC4019\2017-07-12</v>
      </c>
      <c r="AF40" s="74" t="str">
        <f t="shared" si="12"/>
        <v>"C:\Program Files (x86)\AstroGrep\AstroGrep.exe" /e /r /s /spath="%USERPROFILE%\AppData\Local\Temp\OnboardLogs" /stypes="app*4019*20170711*"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128-11 --locoid 4019 --swversion DE.1.0.9.0 --startMP 204:232984 --initTime 2017-07-11T07:51:15 --startdatetime 2017-07-11T07:57:19 --delay 1 --endMP 204:134 --enddatetime 2017-07-11T08:38:18 --enforcementcount 0 &gt;&gt;C:\Users\stu\Documents\GitHub\eaglep3-reporting\EC\2017-07-11-refined-times.txt</v>
      </c>
      <c r="AI40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{"issue":{"subject":"","project_id":79,"tracker_id":40,"status_id":1,"priority_id":2,"assigned_to_id":23,"start_date":"2017-07-11","description":"","custom_fields":[{"id":1,"name":"Subdivision","value":"EC"},{"id":4,"name":"Milepost","value":"0.0134"},{"id":17,"name":"Train ID","value":"128-11"},{"id":16,"name":"Locomotive ID","value":"4019"},{"id":130,"name":"Impact","value":""},{"id":150,"name":"Time of Event (Mountain Time)","value":"08:38:18"},{"id":151,"name":"Denver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4019 --day 2017-07-11</v>
      </c>
      <c r="AN40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670</v>
      </c>
      <c r="B41" s="7">
        <v>4008</v>
      </c>
      <c r="C41" s="21" t="s">
        <v>199</v>
      </c>
      <c r="D41" s="21" t="s">
        <v>446</v>
      </c>
      <c r="E41" s="13">
        <v>42927.297974537039</v>
      </c>
      <c r="F41" s="13">
        <v>42927.302835648145</v>
      </c>
      <c r="G41" s="7">
        <v>1</v>
      </c>
      <c r="H41" s="21" t="s">
        <v>520</v>
      </c>
      <c r="I41" s="13">
        <v>42927.329224537039</v>
      </c>
      <c r="J41" s="7">
        <v>0</v>
      </c>
      <c r="K41" s="89" t="str">
        <f t="shared" si="0"/>
        <v>4007/4008</v>
      </c>
      <c r="L41" s="21" t="str">
        <f>VLOOKUP(A41,'Trips&amp;Operators'!$C$1:$G$99999,5,FALSE)</f>
        <v>GONZALEZ ARMANDO</v>
      </c>
      <c r="M41" s="6">
        <f t="shared" si="1"/>
        <v>2.6388888894871343E-2</v>
      </c>
      <c r="N41" s="7">
        <f t="shared" si="2"/>
        <v>38.000000008614734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-11T06:09:05-0600',mode:absolute,to:'2017-07-11T08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4.3299999999999998E-2</v>
      </c>
      <c r="Z41" s="197">
        <f t="shared" si="8"/>
        <v>23.334</v>
      </c>
      <c r="AA41" s="197">
        <f t="shared" si="9"/>
        <v>23.290700000000001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41" s="74" t="str">
        <f t="shared" si="12"/>
        <v>"C:\Program Files (x86)\AstroGrep\AstroGrep.exe" /e /r /s /spath="%USERPROFILE%\AppData\Local\Temp\OnboardLogs" /stypes="app*4008*20170711*"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129-11 --locoid 4008 --swversion DE.1.0.9.0 --startMP 204:433 --initTime 2017-07-11T07:09:05 --startdatetime 2017-07-11T07:16:05 --delay 1 --endMP 204:233340 --enddatetime 2017-07-11T07:54:05 --enforcementcount 0 &gt;&gt;C:\Users\stu\Documents\GitHub\eaglep3-reporting\EC\2017-07-11-refined-times.txt</v>
      </c>
      <c r="AI41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{"issue":{"subject":"","project_id":79,"tracker_id":40,"status_id":1,"priority_id":2,"assigned_to_id":23,"start_date":"2017-07-11","description":"","custom_fields":[{"id":1,"name":"Subdivision","value":"EC"},{"id":4,"name":"Milepost","value":"23.334"},{"id":17,"name":"Train ID","value":"129-11"},{"id":16,"name":"Locomotive ID","value":"4008"},{"id":130,"name":"Impact","value":""},{"id":150,"name":"Time of Event (Mountain Time)","value":"07:54:05"},{"id":151,"name":"Denver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4008 --day 2017-07-11</v>
      </c>
      <c r="AN41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677</v>
      </c>
      <c r="B42" s="7">
        <v>4007</v>
      </c>
      <c r="C42" s="21" t="s">
        <v>199</v>
      </c>
      <c r="D42" s="21" t="s">
        <v>835</v>
      </c>
      <c r="E42" s="13">
        <v>42927.335115740738</v>
      </c>
      <c r="F42" s="13">
        <v>42927.341898148145</v>
      </c>
      <c r="G42" s="7">
        <v>1</v>
      </c>
      <c r="H42" s="21" t="s">
        <v>389</v>
      </c>
      <c r="I42" s="13">
        <v>42927.369004629632</v>
      </c>
      <c r="J42" s="7">
        <v>0</v>
      </c>
      <c r="K42" s="89" t="str">
        <f t="shared" si="0"/>
        <v>4007/4008</v>
      </c>
      <c r="L42" s="21" t="str">
        <f>VLOOKUP(A42,'Trips&amp;Operators'!$C$1:$G$99999,5,FALSE)</f>
        <v>GONZALEZ ARMANDO</v>
      </c>
      <c r="M42" s="6">
        <f t="shared" si="1"/>
        <v>2.7106481487862766E-2</v>
      </c>
      <c r="N42" s="7">
        <f t="shared" si="2"/>
        <v>39.033333342522383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-11T07:02:34-0600',mode:absolute,to:'2017-07-11T09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23.2989</v>
      </c>
      <c r="Z42" s="197">
        <f t="shared" si="8"/>
        <v>1.4500000000000001E-2</v>
      </c>
      <c r="AA42" s="197">
        <f t="shared" si="9"/>
        <v>23.284399999999998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42" s="74" t="str">
        <f t="shared" si="12"/>
        <v>"C:\Program Files (x86)\AstroGrep\AstroGrep.exe" /e /r /s /spath="%USERPROFILE%\AppData\Local\Temp\OnboardLogs" /stypes="app*4007*20170711*"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130-11 --locoid 4007 --swversion DE.1.0.9.0 --startMP 204:232989 --initTime 2017-07-11T08:02:34 --startdatetime 2017-07-11T08:12:20 --delay 1 --endMP 204:145 --enddatetime 2017-07-11T08:51:22 --enforcementcount 0 &gt;&gt;C:\Users\stu\Documents\GitHub\eaglep3-reporting\EC\2017-07-11-refined-times.txt</v>
      </c>
      <c r="AI42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{"issue":{"subject":"","project_id":79,"tracker_id":40,"status_id":1,"priority_id":2,"assigned_to_id":23,"start_date":"2017-07-11","description":"","custom_fields":[{"id":1,"name":"Subdivision","value":"EC"},{"id":4,"name":"Milepost","value":"0.0145"},{"id":17,"name":"Train ID","value":"130-11"},{"id":16,"name":"Locomotive ID","value":"4007"},{"id":130,"name":"Impact","value":""},{"id":150,"name":"Time of Event (Mountain Time)","value":"08:51:22"},{"id":151,"name":"Denver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4007 --day 2017-07-11</v>
      </c>
      <c r="AN42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672</v>
      </c>
      <c r="B43" s="7">
        <v>4064</v>
      </c>
      <c r="C43" s="21" t="s">
        <v>199</v>
      </c>
      <c r="D43" s="21" t="s">
        <v>547</v>
      </c>
      <c r="E43" s="13">
        <v>42927.309479166666</v>
      </c>
      <c r="F43" s="13">
        <v>42927.313020833331</v>
      </c>
      <c r="G43" s="7">
        <v>2</v>
      </c>
      <c r="H43" s="21" t="s">
        <v>437</v>
      </c>
      <c r="I43" s="13">
        <v>42927.338171296295</v>
      </c>
      <c r="J43" s="7">
        <v>0</v>
      </c>
      <c r="K43" s="89" t="str">
        <f t="shared" si="0"/>
        <v>4063/4064</v>
      </c>
      <c r="L43" s="21" t="str">
        <f>VLOOKUP(A43,'Trips&amp;Operators'!$C$1:$G$99999,5,FALSE)</f>
        <v>DAVIDSON DAVID</v>
      </c>
      <c r="M43" s="6">
        <f t="shared" si="1"/>
        <v>2.5150462963210884E-2</v>
      </c>
      <c r="N43" s="7">
        <f t="shared" si="2"/>
        <v>36.216666667023674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-11T06:25:39-0600',mode:absolute,to:'2017-07-11T09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4.7500000000000001E-2</v>
      </c>
      <c r="Z43" s="197">
        <f t="shared" si="8"/>
        <v>23.329499999999999</v>
      </c>
      <c r="AA43" s="197">
        <f t="shared" si="9"/>
        <v>23.282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s3://rtdc.mdm.uploadarchive.raw/RTDC4064/ "%USERPROFILE%\AppData\Local\Temp\OnboardLogs"\RTDC4064\2017-07-11 --exclude "*" --recursive --include "*20170711*" &amp; "%USERPROFILE%\Documents\GitHub\mrs-test-scripts\Headless Mode &amp; Sideloading\WalkAndUnGZ.bat" "%USERPROFILE%\AppData\Local\Temp\OnboardLogs"\RTDC4064\2017-07-11 &amp; aws s3 cp s3://rtdc.mdm.uploadarchive.raw/RTDC4064/ "%USERPROFILE%\AppData\Local\Temp\OnboardLogs"\RTDC4064\2017-07-12 --exclude "*" --recursive --include "*20170712*" &amp; "%USERPROFILE%\Documents\GitHub\mrs-test-scripts\Headless Mode &amp; Sideloading\WalkAndUnGZ.bat" "%USERPROFILE%\AppData\Local\Temp\OnboardLogs"\RTDC4064\2017-07-12</v>
      </c>
      <c r="AF43" s="74" t="str">
        <f t="shared" si="12"/>
        <v>"C:\Program Files (x86)\AstroGrep\AstroGrep.exe" /e /r /s /spath="%USERPROFILE%\AppData\Local\Temp\OnboardLogs" /stypes="app*4064*20170711*"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131-11 --locoid 4064 --swversion DE.1.0.9.0 --startMP 204:475 --initTime 2017-07-11T07:25:39 --startdatetime 2017-07-11T07:30:45 --delay 2 --endMP 204:233295 --enddatetime 2017-07-11T08:06:58 --enforcementcount 0 &gt;&gt;C:\Users\stu\Documents\GitHub\eaglep3-reporting\EC\2017-07-11-refined-times.txt</v>
      </c>
      <c r="AI43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{"issue":{"subject":"","project_id":79,"tracker_id":40,"status_id":1,"priority_id":2,"assigned_to_id":23,"start_date":"2017-07-11","description":"","custom_fields":[{"id":1,"name":"Subdivision","value":"EC"},{"id":4,"name":"Milepost","value":"23.3295"},{"id":17,"name":"Train ID","value":"131-11"},{"id":16,"name":"Locomotive ID","value":"4064"},{"id":130,"name":"Impact","value":""},{"id":150,"name":"Time of Event (Mountain Time)","value":"08:06:58"},{"id":151,"name":"Denver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4064 --day 2017-07-11</v>
      </c>
      <c r="AN43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680</v>
      </c>
      <c r="B44" s="7">
        <v>4063</v>
      </c>
      <c r="C44" s="21" t="s">
        <v>199</v>
      </c>
      <c r="D44" s="21" t="s">
        <v>493</v>
      </c>
      <c r="E44" s="13">
        <v>42927.340358796297</v>
      </c>
      <c r="F44" s="13">
        <v>42927.385983796295</v>
      </c>
      <c r="G44" s="7">
        <v>1</v>
      </c>
      <c r="H44" s="21" t="s">
        <v>344</v>
      </c>
      <c r="I44" s="13">
        <v>42927.412754629629</v>
      </c>
      <c r="J44" s="7">
        <v>0</v>
      </c>
      <c r="K44" s="89" t="str">
        <f t="shared" si="0"/>
        <v>4063/4064</v>
      </c>
      <c r="L44" s="21" t="str">
        <f>VLOOKUP(A44,'Trips&amp;Operators'!$C$1:$G$99999,5,FALSE)</f>
        <v>DAVIDSON DAVID</v>
      </c>
      <c r="M44" s="6">
        <f t="shared" si="1"/>
        <v>2.6770833334012423E-2</v>
      </c>
      <c r="N44" s="7">
        <f t="shared" si="2"/>
        <v>38.550000000977889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-11T07:10:07-0600',mode:absolute,to:'2017-07-11T10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23.296700000000001</v>
      </c>
      <c r="Z44" s="197">
        <f t="shared" si="8"/>
        <v>1.4999999999999999E-2</v>
      </c>
      <c r="AA44" s="197">
        <f t="shared" si="9"/>
        <v>23.281700000000001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AF44" s="74" t="str">
        <f t="shared" si="12"/>
        <v>"C:\Program Files (x86)\AstroGrep\AstroGrep.exe" /e /r /s /spath="%USERPROFILE%\AppData\Local\Temp\OnboardLogs" /stypes="app*4063*20170711*"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132-11 --locoid 4063 --swversion DE.1.0.9.0 --startMP 204:232967 --initTime 2017-07-11T08:10:07 --startdatetime 2017-07-11T09:15:49 --delay 1 --endMP 204:150 --enddatetime 2017-07-11T09:54:22 --enforcementcount 0 &gt;&gt;C:\Users\stu\Documents\GitHub\eaglep3-reporting\EC\2017-07-11-refined-times.txt</v>
      </c>
      <c r="AI44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{"issue":{"subject":"","project_id":79,"tracker_id":40,"status_id":1,"priority_id":2,"assigned_to_id":23,"start_date":"2017-07-11","description":"","custom_fields":[{"id":1,"name":"Subdivision","value":"EC"},{"id":4,"name":"Milepost","value":"0.015"},{"id":17,"name":"Train ID","value":"132-11"},{"id":16,"name":"Locomotive ID","value":"4063"},{"id":130,"name":"Impact","value":""},{"id":150,"name":"Time of Event (Mountain Time)","value":"09:54:22"},{"id":151,"name":"Denver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4063 --day 2017-07-11</v>
      </c>
      <c r="AN44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674</v>
      </c>
      <c r="B45" s="7">
        <v>4028</v>
      </c>
      <c r="C45" s="21" t="s">
        <v>199</v>
      </c>
      <c r="D45" s="21" t="s">
        <v>343</v>
      </c>
      <c r="E45" s="13">
        <v>42927.320879629631</v>
      </c>
      <c r="F45" s="13">
        <v>42927.362858796296</v>
      </c>
      <c r="G45" s="7">
        <v>1</v>
      </c>
      <c r="H45" s="21" t="s">
        <v>496</v>
      </c>
      <c r="I45" s="13">
        <v>42927.389884259261</v>
      </c>
      <c r="J45" s="7">
        <v>0</v>
      </c>
      <c r="K45" s="89" t="str">
        <f t="shared" si="0"/>
        <v>4027/4028</v>
      </c>
      <c r="L45" s="21" t="str">
        <f>VLOOKUP(A45,'Trips&amp;Operators'!$C$1:$G$99999,5,FALSE)</f>
        <v>MAELZER KURT</v>
      </c>
      <c r="M45" s="6">
        <f t="shared" si="1"/>
        <v>2.7025462964957114E-2</v>
      </c>
      <c r="N45" s="7">
        <f t="shared" si="2"/>
        <v>38.916666669538245</v>
      </c>
      <c r="O45" s="7"/>
      <c r="P45" s="7"/>
      <c r="Q45" s="22"/>
      <c r="R45" s="170"/>
      <c r="S45" s="213">
        <f t="shared" ref="S45:S76" si="22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-11T06:42:04-0600',mode:absolute,to:'2017-07-11T10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ref="Y45:Y76" si="23">RIGHT(D45,LEN(D45)-4)/10000</f>
        <v>4.4600000000000001E-2</v>
      </c>
      <c r="Z45" s="197">
        <f t="shared" ref="Z45:Z76" si="24">RIGHT(H45,LEN(H45)-4)/10000</f>
        <v>23.331900000000001</v>
      </c>
      <c r="AA45" s="197">
        <f t="shared" si="9"/>
        <v>23.287300000000002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45" s="74" t="str">
        <f t="shared" si="12"/>
        <v>"C:\Program Files (x86)\AstroGrep\AstroGrep.exe" /e /r /s /spath="%USERPROFILE%\AppData\Local\Temp\OnboardLogs" /stypes="app*4028*20170711*"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133-11 --locoid 4028 --swversion DE.1.0.9.0 --startMP 204:446 --initTime 2017-07-11T07:42:04 --startdatetime 2017-07-11T08:42:31 --delay 1 --endMP 204:233319 --enddatetime 2017-07-11T09:21:26 --enforcementcount 0 &gt;&gt;C:\Users\stu\Documents\GitHub\eaglep3-reporting\EC\2017-07-11-refined-times.txt</v>
      </c>
      <c r="AI45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{"issue":{"subject":"","project_id":79,"tracker_id":40,"status_id":1,"priority_id":2,"assigned_to_id":23,"start_date":"2017-07-11","description":"","custom_fields":[{"id":1,"name":"Subdivision","value":"EC"},{"id":4,"name":"Milepost","value":"23.3319"},{"id":17,"name":"Train ID","value":"133-11"},{"id":16,"name":"Locomotive ID","value":"4028"},{"id":130,"name":"Impact","value":""},{"id":150,"name":"Time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4028 --day 2017-07-11</v>
      </c>
      <c r="AN45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684</v>
      </c>
      <c r="B46" s="7">
        <v>4027</v>
      </c>
      <c r="C46" s="21" t="s">
        <v>199</v>
      </c>
      <c r="D46" s="21" t="s">
        <v>447</v>
      </c>
      <c r="E46" s="13">
        <v>42927.356076388889</v>
      </c>
      <c r="F46" s="13">
        <v>42927.362858796296</v>
      </c>
      <c r="G46" s="7">
        <v>2</v>
      </c>
      <c r="H46" s="21" t="s">
        <v>404</v>
      </c>
      <c r="I46" s="13">
        <v>42927.389884259261</v>
      </c>
      <c r="J46" s="7">
        <v>0</v>
      </c>
      <c r="K46" s="89" t="str">
        <f t="shared" si="0"/>
        <v>4027/4028</v>
      </c>
      <c r="L46" s="21" t="str">
        <f>VLOOKUP(A46,'Trips&amp;Operators'!$C$1:$G$99999,5,FALSE)</f>
        <v>MAELZER KURT</v>
      </c>
      <c r="M46" s="6">
        <f t="shared" si="1"/>
        <v>2.7025462964957114E-2</v>
      </c>
      <c r="N46" s="7">
        <f t="shared" si="2"/>
        <v>38.916666669538245</v>
      </c>
      <c r="O46" s="7"/>
      <c r="P46" s="7"/>
      <c r="Q46" s="22"/>
      <c r="R46" s="170"/>
      <c r="S46" s="213">
        <f t="shared" si="22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-11T07:32:45-0600',mode:absolute,to:'2017-07-11T10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23"/>
        <v>23.299099999999999</v>
      </c>
      <c r="Z46" s="197">
        <f t="shared" si="24"/>
        <v>1.38E-2</v>
      </c>
      <c r="AA46" s="197">
        <f t="shared" si="9"/>
        <v>23.285299999999999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46" s="74" t="str">
        <f t="shared" si="12"/>
        <v>"C:\Program Files (x86)\AstroGrep\AstroGrep.exe" /e /r /s /spath="%USERPROFILE%\AppData\Local\Temp\OnboardLogs" /stypes="app*4027*20170711*"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134-11 --locoid 4027 --swversion DE.1.0.9.0 --startMP 204:232991 --initTime 2017-07-11T08:32:45 --startdatetime 2017-07-11T08:42:31 --delay 2 --endMP 204:138 --enddatetime 2017-07-11T09:21:26 --enforcementcount 0 &gt;&gt;C:\Users\stu\Documents\GitHub\eaglep3-reporting\EC\2017-07-11-refined-times.txt</v>
      </c>
      <c r="AI46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{"issue":{"subject":"","project_id":79,"tracker_id":40,"status_id":1,"priority_id":2,"assigned_to_id":23,"start_date":"2017-07-11","description":"","custom_fields":[{"id":1,"name":"Subdivision","value":"EC"},{"id":4,"name":"Milepost","value":"0.0138"},{"id":17,"name":"Train ID","value":"134-11"},{"id":16,"name":"Locomotive ID","value":"4027"},{"id":130,"name":"Impact","value":""},{"id":150,"name":"Time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4027 --day 2017-07-11</v>
      </c>
      <c r="AN46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676</v>
      </c>
      <c r="B47" s="7">
        <v>4042</v>
      </c>
      <c r="C47" s="21" t="s">
        <v>199</v>
      </c>
      <c r="D47" s="21" t="s">
        <v>433</v>
      </c>
      <c r="E47" s="13">
        <v>42927.332083333335</v>
      </c>
      <c r="F47" s="13">
        <v>42927.334131944444</v>
      </c>
      <c r="G47" s="7">
        <v>1</v>
      </c>
      <c r="H47" s="21" t="s">
        <v>454</v>
      </c>
      <c r="I47" s="13">
        <v>42927.357974537037</v>
      </c>
      <c r="J47" s="7">
        <v>0</v>
      </c>
      <c r="K47" s="89" t="str">
        <f t="shared" si="0"/>
        <v>4041/4042</v>
      </c>
      <c r="L47" s="21" t="str">
        <f>VLOOKUP(A47,'Trips&amp;Operators'!$C$1:$G$99999,5,FALSE)</f>
        <v>DE LA ROSA ALEX</v>
      </c>
      <c r="M47" s="6">
        <f t="shared" si="1"/>
        <v>2.3842592592700385E-2</v>
      </c>
      <c r="N47" s="7">
        <f t="shared" si="2"/>
        <v>34.333333333488554</v>
      </c>
      <c r="O47" s="7"/>
      <c r="P47" s="7"/>
      <c r="Q47" s="22"/>
      <c r="R47" s="170"/>
      <c r="S47" s="213">
        <f t="shared" si="22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-11T06:58:12-0600',mode:absolute,to:'2017-07-11T09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23"/>
        <v>4.3499999999999997E-2</v>
      </c>
      <c r="Z47" s="197">
        <f t="shared" si="24"/>
        <v>23.328900000000001</v>
      </c>
      <c r="AA47" s="197">
        <f t="shared" si="9"/>
        <v>23.285399999999999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47" s="74" t="str">
        <f t="shared" si="12"/>
        <v>"C:\Program Files (x86)\AstroGrep\AstroGrep.exe" /e /r /s /spath="%USERPROFILE%\AppData\Local\Temp\OnboardLogs" /stypes="app*4042*20170711*"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135-11 --locoid 4042 --swversion DE.1.0.9.0 --startMP 204:435 --initTime 2017-07-11T07:58:12 --startdatetime 2017-07-11T08:01:09 --delay 1 --endMP 204:233289 --enddatetime 2017-07-11T08:35:29 --enforcementcount 0 &gt;&gt;C:\Users\stu\Documents\GitHub\eaglep3-reporting\EC\2017-07-11-refined-times.txt</v>
      </c>
      <c r="AI47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{"issue":{"subject":"","project_id":79,"tracker_id":40,"status_id":1,"priority_id":2,"assigned_to_id":23,"start_date":"2017-07-11","description":"","custom_fields":[{"id":1,"name":"Subdivision","value":"EC"},{"id":4,"name":"Milepost","value":"23.3289"},{"id":17,"name":"Train ID","value":"135-11"},{"id":16,"name":"Locomotive ID","value":"4042"},{"id":130,"name":"Impact","value":""},{"id":150,"name":"Time of Event (Mountain Time)","value":"08:35:29"},{"id":151,"name":"Denver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4042 --day 2017-07-11</v>
      </c>
      <c r="AN47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687</v>
      </c>
      <c r="B48" s="7">
        <v>4041</v>
      </c>
      <c r="C48" s="21" t="s">
        <v>199</v>
      </c>
      <c r="D48" s="21" t="s">
        <v>456</v>
      </c>
      <c r="E48" s="13">
        <v>42927.364745370367</v>
      </c>
      <c r="F48" s="13">
        <v>42927.37327546296</v>
      </c>
      <c r="G48" s="7">
        <v>2</v>
      </c>
      <c r="H48" s="21" t="s">
        <v>344</v>
      </c>
      <c r="I48" s="13">
        <v>42927.399733796294</v>
      </c>
      <c r="J48" s="7">
        <v>0</v>
      </c>
      <c r="K48" s="89" t="str">
        <f t="shared" si="0"/>
        <v>4041/4042</v>
      </c>
      <c r="L48" s="21" t="str">
        <f>VLOOKUP(A48,'Trips&amp;Operators'!$C$1:$G$99999,5,FALSE)</f>
        <v>DE LA ROSA ALEX</v>
      </c>
      <c r="M48" s="6">
        <f t="shared" si="1"/>
        <v>2.6458333333721384E-2</v>
      </c>
      <c r="N48" s="7">
        <f t="shared" si="2"/>
        <v>38.100000000558794</v>
      </c>
      <c r="O48" s="7"/>
      <c r="P48" s="7"/>
      <c r="Q48" s="22"/>
      <c r="R48" s="170"/>
      <c r="S48" s="213">
        <f t="shared" si="22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-11T07:45:14-0600',mode:absolute,to:'2017-07-11T10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23"/>
        <v>23.297699999999999</v>
      </c>
      <c r="Z48" s="197">
        <f t="shared" si="24"/>
        <v>1.4999999999999999E-2</v>
      </c>
      <c r="AA48" s="197">
        <f t="shared" si="9"/>
        <v>23.282699999999998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48" s="74" t="str">
        <f t="shared" si="12"/>
        <v>"C:\Program Files (x86)\AstroGrep\AstroGrep.exe" /e /r /s /spath="%USERPROFILE%\AppData\Local\Temp\OnboardLogs" /stypes="app*4041*20170711*"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136-11 --locoid 4041 --swversion DE.1.0.9.0 --startMP 204:232977 --initTime 2017-07-11T08:45:14 --startdatetime 2017-07-11T08:57:31 --delay 2 --endMP 204:150 --enddatetime 2017-07-11T09:35:37 --enforcementcount 0 &gt;&gt;C:\Users\stu\Documents\GitHub\eaglep3-reporting\EC\2017-07-11-refined-times.txt</v>
      </c>
      <c r="AI48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{"issue":{"subject":"","project_id":79,"tracker_id":40,"status_id":1,"priority_id":2,"assigned_to_id":23,"start_date":"2017-07-11","description":"","custom_fields":[{"id":1,"name":"Subdivision","value":"EC"},{"id":4,"name":"Milepost","value":"0.015"},{"id":17,"name":"Train ID","value":"136-11"},{"id":16,"name":"Locomotive ID","value":"4041"},{"id":130,"name":"Impact","value":""},{"id":150,"name":"Time of Event (Mountain Time)","value":"09:35:37"},{"id":151,"name":"Denver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4041 --day 2017-07-11</v>
      </c>
      <c r="AN48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679</v>
      </c>
      <c r="B49" s="7">
        <v>4016</v>
      </c>
      <c r="C49" s="21" t="s">
        <v>199</v>
      </c>
      <c r="D49" s="21" t="s">
        <v>351</v>
      </c>
      <c r="E49" s="13">
        <v>42927.34002314815</v>
      </c>
      <c r="F49" s="13">
        <v>42927.344629629632</v>
      </c>
      <c r="G49" s="7">
        <v>1</v>
      </c>
      <c r="H49" s="21" t="s">
        <v>516</v>
      </c>
      <c r="I49" s="13">
        <v>42927.368668981479</v>
      </c>
      <c r="J49" s="7">
        <v>0</v>
      </c>
      <c r="K49" s="89" t="str">
        <f t="shared" si="0"/>
        <v>4015/4016</v>
      </c>
      <c r="L49" s="21" t="str">
        <f>VLOOKUP(A49,'Trips&amp;Operators'!$C$1:$G$99999,5,FALSE)</f>
        <v>MACDONALD THOMAS</v>
      </c>
      <c r="M49" s="6">
        <f t="shared" si="1"/>
        <v>2.4039351847022772E-2</v>
      </c>
      <c r="N49" s="7">
        <f t="shared" si="2"/>
        <v>34.616666659712791</v>
      </c>
      <c r="O49" s="7"/>
      <c r="P49" s="7"/>
      <c r="Q49" s="22"/>
      <c r="R49" s="170"/>
      <c r="S49" s="213">
        <f t="shared" si="22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-11T07:09:38-0600',mode:absolute,to:'2017-07-11T09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23"/>
        <v>4.4699999999999997E-2</v>
      </c>
      <c r="Z49" s="197">
        <f t="shared" si="24"/>
        <v>23.330400000000001</v>
      </c>
      <c r="AA49" s="197">
        <f t="shared" si="9"/>
        <v>23.285700000000002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49" s="74" t="str">
        <f t="shared" si="12"/>
        <v>"C:\Program Files (x86)\AstroGrep\AstroGrep.exe" /e /r /s /spath="%USERPROFILE%\AppData\Local\Temp\OnboardLogs" /stypes="app*4016*20170711*"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137-11 --locoid 4016 --swversion DE.1.0.9.0 --startMP 204:447 --initTime 2017-07-11T08:09:38 --startdatetime 2017-07-11T08:16:16 --delay 1 --endMP 204:233304 --enddatetime 2017-07-11T08:50:53 --enforcementcount 0 &gt;&gt;C:\Users\stu\Documents\GitHub\eaglep3-reporting\EC\2017-07-11-refined-times.txt</v>
      </c>
      <c r="AI49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{"issue":{"subject":"","project_id":79,"tracker_id":40,"status_id":1,"priority_id":2,"assigned_to_id":23,"start_date":"2017-07-11","description":"","custom_fields":[{"id":1,"name":"Subdivision","value":"EC"},{"id":4,"name":"Milepost","value":"23.3304"},{"id":17,"name":"Train ID","value":"137-11"},{"id":16,"name":"Locomotive ID","value":"4016"},{"id":130,"name":"Impact","value":""},{"id":150,"name":"Time of Event (Mountain Time)","value":"08:50:53"},{"id":151,"name":"Denver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4016 --day 2017-07-11</v>
      </c>
      <c r="AN49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690</v>
      </c>
      <c r="B50" s="7">
        <v>4015</v>
      </c>
      <c r="C50" s="21" t="s">
        <v>199</v>
      </c>
      <c r="D50" s="21" t="s">
        <v>835</v>
      </c>
      <c r="E50" s="13">
        <v>42927.370706018519</v>
      </c>
      <c r="F50" s="13">
        <v>42927.384386574071</v>
      </c>
      <c r="G50" s="7">
        <v>19</v>
      </c>
      <c r="H50" s="21" t="s">
        <v>427</v>
      </c>
      <c r="I50" s="13">
        <v>42927.409756944442</v>
      </c>
      <c r="J50" s="7">
        <v>0</v>
      </c>
      <c r="K50" s="89" t="str">
        <f t="shared" si="0"/>
        <v>4015/4016</v>
      </c>
      <c r="L50" s="21" t="str">
        <f>VLOOKUP(A50,'Trips&amp;Operators'!$C$1:$G$99999,5,FALSE)</f>
        <v>MACDONALD THOMAS</v>
      </c>
      <c r="M50" s="6">
        <f t="shared" si="1"/>
        <v>2.5370370371092577E-2</v>
      </c>
      <c r="N50" s="7">
        <f t="shared" si="2"/>
        <v>36.53333333437331</v>
      </c>
      <c r="O50" s="7"/>
      <c r="P50" s="7"/>
      <c r="Q50" s="22"/>
      <c r="R50" s="170"/>
      <c r="S50" s="213">
        <f t="shared" si="22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-11T07:53:49-0600',mode:absolute,to:'2017-07-11T10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23"/>
        <v>23.2989</v>
      </c>
      <c r="Z50" s="197">
        <f t="shared" si="24"/>
        <v>1.6299999999999999E-2</v>
      </c>
      <c r="AA50" s="197">
        <f t="shared" si="9"/>
        <v>23.282599999999999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AF50" s="74" t="str">
        <f t="shared" si="12"/>
        <v>"C:\Program Files (x86)\AstroGrep\AstroGrep.exe" /e /r /s /spath="%USERPROFILE%\AppData\Local\Temp\OnboardLogs" /stypes="app*4015*20170711*"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138-11 --locoid 4015 --swversion DE.1.0.9.0 --startMP 204:232989 --initTime 2017-07-11T08:53:49 --startdatetime 2017-07-11T09:13:31 --delay 19 --endMP 204:163 --enddatetime 2017-07-11T09:50:03 --enforcementcount 0 &gt;&gt;C:\Users\stu\Documents\GitHub\eaglep3-reporting\EC\2017-07-11-refined-times.txt</v>
      </c>
      <c r="AI50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{"issue":{"subject":"","project_id":79,"tracker_id":40,"status_id":1,"priority_id":2,"assigned_to_id":23,"start_date":"2017-07-11","description":"","custom_fields":[{"id":1,"name":"Subdivision","value":"EC"},{"id":4,"name":"Milepost","value":"0.0163"},{"id":17,"name":"Train ID","value":"138-11"},{"id":16,"name":"Locomotive ID","value":"4015"},{"id":130,"name":"Impact","value":""},{"id":150,"name":"Time of Event (Mountain Time)","value":"09:50:03"},{"id":151,"name":"Denver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4015 --day 2017-07-11</v>
      </c>
      <c r="AN50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683</v>
      </c>
      <c r="B51" s="7">
        <v>4032</v>
      </c>
      <c r="C51" s="21" t="s">
        <v>199</v>
      </c>
      <c r="D51" s="21" t="s">
        <v>420</v>
      </c>
      <c r="E51" s="13">
        <v>42927.352546296293</v>
      </c>
      <c r="F51" s="13">
        <v>42927.354687500003</v>
      </c>
      <c r="G51" s="7">
        <v>2</v>
      </c>
      <c r="H51" s="21" t="s">
        <v>540</v>
      </c>
      <c r="I51" s="13">
        <v>42927.380578703705</v>
      </c>
      <c r="J51" s="7">
        <v>0</v>
      </c>
      <c r="K51" s="89" t="str">
        <f t="shared" si="0"/>
        <v>4031/4032</v>
      </c>
      <c r="L51" s="21" t="str">
        <f>VLOOKUP(A51,'Trips&amp;Operators'!$C$1:$G$99999,5,FALSE)</f>
        <v>STARKS ANGELINA</v>
      </c>
      <c r="M51" s="6">
        <f t="shared" si="1"/>
        <v>2.5891203702485655E-2</v>
      </c>
      <c r="N51" s="7">
        <f t="shared" si="2"/>
        <v>37.283333331579342</v>
      </c>
      <c r="O51" s="7"/>
      <c r="P51" s="7"/>
      <c r="Q51" s="22"/>
      <c r="R51" s="170"/>
      <c r="S51" s="213">
        <f t="shared" si="22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-11T07:27:40-0600',mode:absolute,to:'2017-07-11T10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23"/>
        <v>4.58E-2</v>
      </c>
      <c r="Z51" s="197">
        <f t="shared" si="24"/>
        <v>23.3291</v>
      </c>
      <c r="AA51" s="197">
        <f t="shared" si="9"/>
        <v>23.283300000000001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51" s="74" t="str">
        <f t="shared" si="12"/>
        <v>"C:\Program Files (x86)\AstroGrep\AstroGrep.exe" /e /r /s /spath="%USERPROFILE%\AppData\Local\Temp\OnboardLogs" /stypes="app*4032*20170711*"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139-11 --locoid 4032 --swversion DE.1.0.9.0 --startMP 204:458 --initTime 2017-07-11T08:27:40 --startdatetime 2017-07-11T08:30:45 --delay 2 --endMP 204:233291 --enddatetime 2017-07-11T09:08:02 --enforcementcount 0 &gt;&gt;C:\Users\stu\Documents\GitHub\eaglep3-reporting\EC\2017-07-11-refined-times.txt</v>
      </c>
      <c r="AI51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{"issue":{"subject":"","project_id":79,"tracker_id":40,"status_id":1,"priority_id":2,"assigned_to_id":23,"start_date":"2017-07-11","description":"","custom_fields":[{"id":1,"name":"Subdivision","value":"EC"},{"id":4,"name":"Milepost","value":"23.3291"},{"id":17,"name":"Train ID","value":"139-11"},{"id":16,"name":"Locomotive ID","value":"4032"},{"id":130,"name":"Impact","value":""},{"id":150,"name":"Time of Event (Mountain Time)","value":"09:08:02"},{"id":151,"name":"Denver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4032 --day 2017-07-11</v>
      </c>
      <c r="AN51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577</v>
      </c>
      <c r="B52" s="7">
        <v>4031</v>
      </c>
      <c r="C52" s="21" t="s">
        <v>199</v>
      </c>
      <c r="D52" s="21" t="s">
        <v>836</v>
      </c>
      <c r="E52" s="13">
        <v>42927.405324074076</v>
      </c>
      <c r="F52" s="13">
        <v>42927.406365740739</v>
      </c>
      <c r="G52" s="7">
        <v>1</v>
      </c>
      <c r="H52" s="21" t="s">
        <v>354</v>
      </c>
      <c r="I52" s="13">
        <v>42927.424513888887</v>
      </c>
      <c r="J52" s="7">
        <v>0</v>
      </c>
      <c r="K52" s="89" t="str">
        <f t="shared" si="0"/>
        <v>4031/4032</v>
      </c>
      <c r="L52" s="21" t="str">
        <f>VLOOKUP(A52,'Trips&amp;Operators'!$C$1:$G$99999,5,FALSE)</f>
        <v>STARKS ANGELINA</v>
      </c>
      <c r="M52" s="6">
        <f t="shared" si="1"/>
        <v>1.8148148148611654E-2</v>
      </c>
      <c r="N52" s="7"/>
      <c r="O52" s="7"/>
      <c r="P52" s="7">
        <f>24*60*SUM($M52:$M52)</f>
        <v>26.133333334000781</v>
      </c>
      <c r="Q52" s="22"/>
      <c r="R52" s="170" t="s">
        <v>1027</v>
      </c>
      <c r="S52" s="213">
        <f t="shared" si="22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-11T08:43:40-0600',mode:absolute,to:'2017-07-11T11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2" s="197" t="str">
        <f>IF(AA52&lt;VLOOKUP(AG52,Variables!$AC$3:$AD$8,2,FALSE),"Y","N")</f>
        <v>Y</v>
      </c>
      <c r="X52" s="197">
        <f t="shared" si="6"/>
        <v>1</v>
      </c>
      <c r="Y52" s="197">
        <f t="shared" si="23"/>
        <v>12.785399999999999</v>
      </c>
      <c r="Z52" s="197">
        <f t="shared" si="24"/>
        <v>1.41E-2</v>
      </c>
      <c r="AA52" s="197">
        <f t="shared" si="9"/>
        <v>12.7713</v>
      </c>
      <c r="AB52" s="54" t="str">
        <f>VLOOKUP(A52,Enforcements!$C$7:$K$13,8,0)</f>
        <v>Bulletin (2)</v>
      </c>
      <c r="AC52" s="51" t="str">
        <f>VLOOKUP(A52,Enforcements!$C$7:$E$13,3,0)</f>
        <v>GRADE CROSSING</v>
      </c>
      <c r="AD52" s="206">
        <f t="shared" si="10"/>
        <v>140</v>
      </c>
      <c r="AE52" s="77" t="str">
        <f t="shared" si="11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52" s="74" t="str">
        <f t="shared" si="12"/>
        <v>"C:\Program Files (x86)\AstroGrep\AstroGrep.exe" /e /r /s /spath="%USERPROFILE%\AppData\Local\Temp\OnboardLogs" /stypes="app*4031*20170711*"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140-11 --locoid 4031 --swversion DE.1.0.9.0 --startMP 204:127854 --initTime 2017-07-11T09:43:40 --startdatetime 2017-07-11T09:45:10 --delay 1 --endMP 204:141 --enddatetime 2017-07-11T10:11:18 --enforcementcount 0 &gt;&gt;C:\Users\stu\Documents\GitHub\eaglep3-reporting\EC\2017-07-11-refined-times.txt</v>
      </c>
      <c r="AI52" s="96" t="str">
        <f t="shared" si="19"/>
        <v>echo {"issue":{"subject":"CCROC/crew/equipment mismatch","project_id":79,"tracker_id":40,"status_id":1,"priority_id":2,"assigned_to_id":23,"start_date":"2017-07-11","description":"","custom_fields":[{"id":1,"name":"Subdivision","value":"EC"},{"id":4,"name":"Milepost","value":"0.0141"},{"id":17,"name":"Train ID","value":"140-11"},{"id":16,"name":"Locomotive ID","value":"4031"},{"id":130,"name":"Impact","value":""},{"id":150,"name":"Time of Event (Mountain Time)","value":"10:11:18"},{"id":151,"name":"Denver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4031 --day 2017-07-11</v>
      </c>
      <c r="AN52" s="151" t="str">
        <f t="shared" si="21"/>
        <v>echo {"issue":{"subject":"CCROC/crew/equipment mismatch","project_id":30,"tracker_id":4,"status_id":1,"priority_id":1,"assigned_to_id":10,"start_date":"2017-07-11","description":"","custom_fields":[{"id":30,"name":"Category","value":"Issue"},{"id":3,"name":"Functional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686</v>
      </c>
      <c r="B53" s="7">
        <v>4020</v>
      </c>
      <c r="C53" s="21" t="s">
        <v>199</v>
      </c>
      <c r="D53" s="21" t="s">
        <v>837</v>
      </c>
      <c r="E53" s="13">
        <v>42927.362222222226</v>
      </c>
      <c r="F53" s="13">
        <v>42927.365162037036</v>
      </c>
      <c r="G53" s="7">
        <v>1</v>
      </c>
      <c r="H53" s="21" t="s">
        <v>838</v>
      </c>
      <c r="I53" s="13">
        <v>42927.390324074076</v>
      </c>
      <c r="J53" s="7">
        <v>0</v>
      </c>
      <c r="K53" s="89" t="str">
        <f t="shared" si="0"/>
        <v>4019/4020</v>
      </c>
      <c r="L53" s="21" t="str">
        <f>VLOOKUP(A53,'Trips&amp;Operators'!$C$1:$G$99999,5,FALSE)</f>
        <v>LOZA FIDEL</v>
      </c>
      <c r="M53" s="6">
        <f t="shared" si="1"/>
        <v>2.5162037039990537E-2</v>
      </c>
      <c r="N53" s="7">
        <f t="shared" ref="N53:N97" si="25">24*60*SUM($M53:$M53)</f>
        <v>36.233333337586373</v>
      </c>
      <c r="O53" s="7"/>
      <c r="P53" s="7"/>
      <c r="Q53" s="22"/>
      <c r="R53" s="170"/>
      <c r="S53" s="213">
        <f t="shared" si="22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-11T07:41:36-0600',mode:absolute,to:'2017-07-11T10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23"/>
        <v>4.2599999999999999E-2</v>
      </c>
      <c r="Z53" s="197">
        <f t="shared" si="24"/>
        <v>23.322700000000001</v>
      </c>
      <c r="AA53" s="197">
        <f t="shared" si="9"/>
        <v>23.280100000000001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s3://rtdc.mdm.uploadarchive.raw/RTDC4020/ "%USERPROFILE%\AppData\Local\Temp\OnboardLogs"\RTDC4020\2017-07-11 --exclude "*" --recursive --include "*20170711*" &amp; "%USERPROFILE%\Documents\GitHub\mrs-test-scripts\Headless Mode &amp; Sideloading\WalkAndUnGZ.bat" "%USERPROFILE%\AppData\Local\Temp\OnboardLogs"\RTDC4020\2017-07-11 &amp; aws s3 cp s3://rtdc.mdm.uploadarchive.raw/RTDC4020/ "%USERPROFILE%\AppData\Local\Temp\OnboardLogs"\RTDC4020\2017-07-12 --exclude "*" --recursive --include "*20170712*" &amp; "%USERPROFILE%\Documents\GitHub\mrs-test-scripts\Headless Mode &amp; Sideloading\WalkAndUnGZ.bat" "%USERPROFILE%\AppData\Local\Temp\OnboardLogs"\RTDC4020\2017-07-12</v>
      </c>
      <c r="AF53" s="74" t="str">
        <f t="shared" si="12"/>
        <v>"C:\Program Files (x86)\AstroGrep\AstroGrep.exe" /e /r /s /spath="%USERPROFILE%\AppData\Local\Temp\OnboardLogs" /stypes="app*4020*20170711*"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141-11 --locoid 4020 --swversion DE.1.0.9.0 --startMP 204:426 --initTime 2017-07-11T08:41:36 --startdatetime 2017-07-11T08:45:50 --delay 1 --endMP 204:233227 --enddatetime 2017-07-11T09:22:04 --enforcementcount 0 &gt;&gt;C:\Users\stu\Documents\GitHub\eaglep3-reporting\EC\2017-07-11-refined-times.txt</v>
      </c>
      <c r="AI53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{"issue":{"subject":"","project_id":79,"tracker_id":40,"status_id":1,"priority_id":2,"assigned_to_id":23,"start_date":"2017-07-11","description":"","custom_fields":[{"id":1,"name":"Subdivision","value":"EC"},{"id":4,"name":"Milepost","value":"23.3227"},{"id":17,"name":"Train ID","value":"141-11"},{"id":16,"name":"Locomotive ID","value":"4020"},{"id":130,"name":"Impact","value":""},{"id":150,"name":"Time of Event (Mountain Time)","value":"09:22:04"},{"id":151,"name":"Denver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4020 --day 2017-07-11</v>
      </c>
      <c r="AN53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693</v>
      </c>
      <c r="B54" s="7">
        <v>4019</v>
      </c>
      <c r="C54" s="21" t="s">
        <v>199</v>
      </c>
      <c r="D54" s="21" t="s">
        <v>835</v>
      </c>
      <c r="E54" s="13">
        <v>42927.397650462961</v>
      </c>
      <c r="F54" s="13">
        <v>42927.404479166667</v>
      </c>
      <c r="G54" s="7">
        <v>1</v>
      </c>
      <c r="H54" s="21" t="s">
        <v>546</v>
      </c>
      <c r="I54" s="13">
        <v>42927.431851851848</v>
      </c>
      <c r="J54" s="7">
        <v>0</v>
      </c>
      <c r="K54" s="89" t="str">
        <f t="shared" si="0"/>
        <v>4019/4020</v>
      </c>
      <c r="L54" s="21" t="str">
        <f>VLOOKUP(A54,'Trips&amp;Operators'!$C$1:$G$99999,5,FALSE)</f>
        <v>LOZA FIDEL</v>
      </c>
      <c r="M54" s="6">
        <f t="shared" si="1"/>
        <v>2.7372685181035195E-2</v>
      </c>
      <c r="N54" s="7">
        <f t="shared" si="25"/>
        <v>39.41666666069068</v>
      </c>
      <c r="O54" s="7"/>
      <c r="P54" s="7"/>
      <c r="Q54" s="22"/>
      <c r="R54" s="170"/>
      <c r="S54" s="213">
        <f t="shared" si="22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-11T08:32:37-0600',mode:absolute,to:'2017-07-11T11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23"/>
        <v>23.2989</v>
      </c>
      <c r="Z54" s="197">
        <f t="shared" si="24"/>
        <v>1.5800000000000002E-2</v>
      </c>
      <c r="AA54" s="197">
        <f t="shared" si="9"/>
        <v>23.283100000000001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s3://rtdc.mdm.uploadarchive.raw/RTDC4019/ "%USERPROFILE%\AppData\Local\Temp\OnboardLogs"\RTDC4019\2017-07-11 --exclude "*" --recursive --include "*20170711*" &amp; "%USERPROFILE%\Documents\GitHub\mrs-test-scripts\Headless Mode &amp; Sideloading\WalkAndUnGZ.bat" "%USERPROFILE%\AppData\Local\Temp\OnboardLogs"\RTDC4019\2017-07-11 &amp; aws s3 cp s3://rtdc.mdm.uploadarchive.raw/RTDC4019/ "%USERPROFILE%\AppData\Local\Temp\OnboardLogs"\RTDC4019\2017-07-12 --exclude "*" --recursive --include "*20170712*" &amp; "%USERPROFILE%\Documents\GitHub\mrs-test-scripts\Headless Mode &amp; Sideloading\WalkAndUnGZ.bat" "%USERPROFILE%\AppData\Local\Temp\OnboardLogs"\RTDC4019\2017-07-12</v>
      </c>
      <c r="AF54" s="74" t="str">
        <f t="shared" si="12"/>
        <v>"C:\Program Files (x86)\AstroGrep\AstroGrep.exe" /e /r /s /spath="%USERPROFILE%\AppData\Local\Temp\OnboardLogs" /stypes="app*4019*20170711*"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142-11 --locoid 4019 --swversion DE.1.0.9.0 --startMP 204:232989 --initTime 2017-07-11T09:32:37 --startdatetime 2017-07-11T09:42:27 --delay 1 --endMP 204:158 --enddatetime 2017-07-11T10:21:52 --enforcementcount 0 &gt;&gt;C:\Users\stu\Documents\GitHub\eaglep3-reporting\EC\2017-07-11-refined-times.txt</v>
      </c>
      <c r="AI54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{"issue":{"subject":"","project_id":79,"tracker_id":40,"status_id":1,"priority_id":2,"assigned_to_id":23,"start_date":"2017-07-11","description":"","custom_fields":[{"id":1,"name":"Subdivision","value":"EC"},{"id":4,"name":"Milepost","value":"0.0158"},{"id":17,"name":"Train ID","value":"142-11"},{"id":16,"name":"Locomotive ID","value":"4019"},{"id":130,"name":"Impact","value":""},{"id":150,"name":"Time of Event (Mountain Time)","value":"10:21:52"},{"id":151,"name":"Denver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4019 --day 2017-07-11</v>
      </c>
      <c r="AN54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688</v>
      </c>
      <c r="B55" s="7">
        <v>4008</v>
      </c>
      <c r="C55" s="21" t="s">
        <v>199</v>
      </c>
      <c r="D55" s="21" t="s">
        <v>381</v>
      </c>
      <c r="E55" s="13">
        <v>42927.370347222219</v>
      </c>
      <c r="F55" s="13">
        <v>42927.375532407408</v>
      </c>
      <c r="G55" s="7">
        <v>1</v>
      </c>
      <c r="H55" s="21" t="s">
        <v>567</v>
      </c>
      <c r="I55" s="13">
        <v>42927.401423611111</v>
      </c>
      <c r="J55" s="7">
        <v>0</v>
      </c>
      <c r="K55" s="89" t="str">
        <f t="shared" si="0"/>
        <v>4007/4008</v>
      </c>
      <c r="L55" s="21" t="str">
        <f>VLOOKUP(A55,'Trips&amp;Operators'!$C$1:$G$99999,5,FALSE)</f>
        <v>GONZALEZ ARMANDO</v>
      </c>
      <c r="M55" s="6">
        <f t="shared" si="1"/>
        <v>2.5891203702485655E-2</v>
      </c>
      <c r="N55" s="7">
        <f t="shared" si="25"/>
        <v>37.283333331579342</v>
      </c>
      <c r="O55" s="7"/>
      <c r="P55" s="7"/>
      <c r="Q55" s="22"/>
      <c r="R55" s="170"/>
      <c r="S55" s="213">
        <f t="shared" si="22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-11T07:53:18-0600',mode:absolute,to:'2017-07-11T10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23"/>
        <v>4.6199999999999998E-2</v>
      </c>
      <c r="Z55" s="197">
        <f t="shared" si="24"/>
        <v>23.3339</v>
      </c>
      <c r="AA55" s="197">
        <f t="shared" si="9"/>
        <v>23.287700000000001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55" s="74" t="str">
        <f t="shared" si="12"/>
        <v>"C:\Program Files (x86)\AstroGrep\AstroGrep.exe" /e /r /s /spath="%USERPROFILE%\AppData\Local\Temp\OnboardLogs" /stypes="app*4008*20170711*"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143-11 --locoid 4008 --swversion DE.1.0.9.0 --startMP 204:462 --initTime 2017-07-11T08:53:18 --startdatetime 2017-07-11T09:00:46 --delay 1 --endMP 204:233339 --enddatetime 2017-07-11T09:38:03 --enforcementcount 0 &gt;&gt;C:\Users\stu\Documents\GitHub\eaglep3-reporting\EC\2017-07-11-refined-times.txt</v>
      </c>
      <c r="AI55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{"issue":{"subject":"","project_id":79,"tracker_id":40,"status_id":1,"priority_id":2,"assigned_to_id":23,"start_date":"2017-07-11","description":"","custom_fields":[{"id":1,"name":"Subdivision","value":"EC"},{"id":4,"name":"Milepost","value":"23.3339"},{"id":17,"name":"Train ID","value":"143-11"},{"id":16,"name":"Locomotive ID","value":"4008"},{"id":130,"name":"Impact","value":""},{"id":150,"name":"Time of Event (Mountain Time)","value":"09:38:03"},{"id":151,"name":"Denver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4008 --day 2017-07-11</v>
      </c>
      <c r="AN55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696</v>
      </c>
      <c r="B56" s="7">
        <v>4007</v>
      </c>
      <c r="C56" s="21" t="s">
        <v>199</v>
      </c>
      <c r="D56" s="21" t="s">
        <v>834</v>
      </c>
      <c r="E56" s="13">
        <v>42927.408055555556</v>
      </c>
      <c r="F56" s="13">
        <v>42927.414803240739</v>
      </c>
      <c r="G56" s="7">
        <v>1</v>
      </c>
      <c r="H56" s="21" t="s">
        <v>429</v>
      </c>
      <c r="I56" s="13">
        <v>42927.441944444443</v>
      </c>
      <c r="J56" s="7">
        <v>0</v>
      </c>
      <c r="K56" s="89" t="str">
        <f t="shared" si="0"/>
        <v>4007/4008</v>
      </c>
      <c r="L56" s="21" t="str">
        <f>VLOOKUP(A56,'Trips&amp;Operators'!$C$1:$G$99999,5,FALSE)</f>
        <v>GONZALEZ ARMANDO</v>
      </c>
      <c r="M56" s="6">
        <f t="shared" si="1"/>
        <v>2.7141203703649808E-2</v>
      </c>
      <c r="N56" s="7">
        <f t="shared" si="25"/>
        <v>39.083333333255723</v>
      </c>
      <c r="O56" s="7"/>
      <c r="P56" s="7"/>
      <c r="Q56" s="22"/>
      <c r="R56" s="170"/>
      <c r="S56" s="213">
        <f t="shared" si="22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-11T08:47:36-0600',mode:absolute,to:'2017-07-11T11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23"/>
        <v>23.298400000000001</v>
      </c>
      <c r="Z56" s="197">
        <f t="shared" si="24"/>
        <v>1.3599999999999999E-2</v>
      </c>
      <c r="AA56" s="197">
        <f t="shared" si="9"/>
        <v>23.284800000000001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56" s="74" t="str">
        <f t="shared" si="12"/>
        <v>"C:\Program Files (x86)\AstroGrep\AstroGrep.exe" /e /r /s /spath="%USERPROFILE%\AppData\Local\Temp\OnboardLogs" /stypes="app*4007*20170711*"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144-11 --locoid 4007 --swversion DE.1.0.9.0 --startMP 204:232984 --initTime 2017-07-11T09:47:36 --startdatetime 2017-07-11T09:57:19 --delay 1 --endMP 204:136 --enddatetime 2017-07-11T10:36:24 --enforcementcount 0 &gt;&gt;C:\Users\stu\Documents\GitHub\eaglep3-reporting\EC\2017-07-11-refined-times.txt</v>
      </c>
      <c r="AI56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{"issue":{"subject":"","project_id":79,"tracker_id":40,"status_id":1,"priority_id":2,"assigned_to_id":23,"start_date":"2017-07-11","description":"","custom_fields":[{"id":1,"name":"Subdivision","value":"EC"},{"id":4,"name":"Milepost","value":"0.0136"},{"id":17,"name":"Train ID","value":"144-11"},{"id":16,"name":"Locomotive ID","value":"4007"},{"id":130,"name":"Impact","value":""},{"id":150,"name":"Time of Event (Mountain Time)","value":"10:36:24"},{"id":151,"name":"Denver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4007 --day 2017-07-11</v>
      </c>
      <c r="AN56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691</v>
      </c>
      <c r="B57" s="7">
        <v>4064</v>
      </c>
      <c r="C57" s="21" t="s">
        <v>199</v>
      </c>
      <c r="D57" s="21" t="s">
        <v>351</v>
      </c>
      <c r="E57" s="13">
        <v>42927.384212962963</v>
      </c>
      <c r="F57" s="13">
        <v>42927.385983796295</v>
      </c>
      <c r="G57" s="7">
        <v>1</v>
      </c>
      <c r="H57" s="21" t="s">
        <v>825</v>
      </c>
      <c r="I57" s="13">
        <v>42927.412754629629</v>
      </c>
      <c r="J57" s="7">
        <v>0</v>
      </c>
      <c r="K57" s="89" t="str">
        <f t="shared" si="0"/>
        <v>4063/4064</v>
      </c>
      <c r="L57" s="21" t="str">
        <f>VLOOKUP(A57,'Trips&amp;Operators'!$C$1:$G$99999,5,FALSE)</f>
        <v>ANDERS STEVEN</v>
      </c>
      <c r="M57" s="6">
        <f t="shared" si="1"/>
        <v>2.6770833334012423E-2</v>
      </c>
      <c r="N57" s="7">
        <f t="shared" si="25"/>
        <v>38.550000000977889</v>
      </c>
      <c r="O57" s="7"/>
      <c r="P57" s="7"/>
      <c r="Q57" s="22"/>
      <c r="R57" s="170"/>
      <c r="S57" s="213">
        <f t="shared" si="22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-11T08:13:16-0600',mode:absolute,to:'2017-07-11T10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23"/>
        <v>4.4699999999999997E-2</v>
      </c>
      <c r="Z57" s="197">
        <f t="shared" si="24"/>
        <v>23.3293</v>
      </c>
      <c r="AA57" s="197">
        <f t="shared" si="9"/>
        <v>23.284600000000001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s3://rtdc.mdm.uploadarchive.raw/RTDC4064/ "%USERPROFILE%\AppData\Local\Temp\OnboardLogs"\RTDC4064\2017-07-11 --exclude "*" --recursive --include "*20170711*" &amp; "%USERPROFILE%\Documents\GitHub\mrs-test-scripts\Headless Mode &amp; Sideloading\WalkAndUnGZ.bat" "%USERPROFILE%\AppData\Local\Temp\OnboardLogs"\RTDC4064\2017-07-11 &amp; aws s3 cp s3://rtdc.mdm.uploadarchive.raw/RTDC4064/ "%USERPROFILE%\AppData\Local\Temp\OnboardLogs"\RTDC4064\2017-07-12 --exclude "*" --recursive --include "*20170712*" &amp; "%USERPROFILE%\Documents\GitHub\mrs-test-scripts\Headless Mode &amp; Sideloading\WalkAndUnGZ.bat" "%USERPROFILE%\AppData\Local\Temp\OnboardLogs"\RTDC4064\2017-07-12</v>
      </c>
      <c r="AF57" s="74" t="str">
        <f t="shared" si="12"/>
        <v>"C:\Program Files (x86)\AstroGrep\AstroGrep.exe" /e /r /s /spath="%USERPROFILE%\AppData\Local\Temp\OnboardLogs" /stypes="app*4064*20170711*"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145-11 --locoid 4064 --swversion DE.1.0.9.0 --startMP 204:447 --initTime 2017-07-11T09:13:16 --startdatetime 2017-07-11T09:15:49 --delay 1 --endMP 204:233293 --enddatetime 2017-07-11T09:54:22 --enforcementcount 0 &gt;&gt;C:\Users\stu\Documents\GitHub\eaglep3-reporting\EC\2017-07-11-refined-times.txt</v>
      </c>
      <c r="AI57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{"issue":{"subject":"","project_id":79,"tracker_id":40,"status_id":1,"priority_id":2,"assigned_to_id":23,"start_date":"2017-07-11","description":"","custom_fields":[{"id":1,"name":"Subdivision","value":"EC"},{"id":4,"name":"Milepost","value":"23.3293"},{"id":17,"name":"Train ID","value":"145-11"},{"id":16,"name":"Locomotive ID","value":"4064"},{"id":130,"name":"Impact","value":""},{"id":150,"name":"Time of Event (Mountain Time)","value":"09:54:22"},{"id":151,"name":"Denver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4064 --day 2017-07-11</v>
      </c>
      <c r="AN57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579</v>
      </c>
      <c r="B58" s="7">
        <v>4063</v>
      </c>
      <c r="C58" s="21" t="s">
        <v>199</v>
      </c>
      <c r="D58" s="21" t="s">
        <v>830</v>
      </c>
      <c r="E58" s="13">
        <v>42927.414074074077</v>
      </c>
      <c r="F58" s="13">
        <v>42927.425243055557</v>
      </c>
      <c r="G58" s="7">
        <v>1</v>
      </c>
      <c r="H58" s="21" t="s">
        <v>394</v>
      </c>
      <c r="I58" s="13">
        <v>42927.454594907409</v>
      </c>
      <c r="J58" s="7">
        <v>0</v>
      </c>
      <c r="K58" s="89" t="str">
        <f t="shared" si="0"/>
        <v>4063/4064</v>
      </c>
      <c r="L58" s="21" t="str">
        <f>VLOOKUP(A58,'Trips&amp;Operators'!$C$1:$G$99999,5,FALSE)</f>
        <v>ANDERS STEVEN</v>
      </c>
      <c r="M58" s="6">
        <f t="shared" si="1"/>
        <v>2.9351851851970423E-2</v>
      </c>
      <c r="N58" s="7">
        <f t="shared" si="25"/>
        <v>42.266666666837409</v>
      </c>
      <c r="O58" s="7"/>
      <c r="P58" s="7"/>
      <c r="Q58" s="22"/>
      <c r="R58" s="170"/>
      <c r="S58" s="213">
        <f t="shared" si="22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-11T08:56:16-0600',mode:absolute,to:'2017-07-11T11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23"/>
        <v>23.298300000000001</v>
      </c>
      <c r="Z58" s="197">
        <f t="shared" si="24"/>
        <v>1.5599999999999999E-2</v>
      </c>
      <c r="AA58" s="197">
        <f t="shared" si="9"/>
        <v>23.282700000000002</v>
      </c>
      <c r="AB58" s="54" t="str">
        <f>VLOOKUP(A58,Enforcements!$C$7:$K$13,8,0)</f>
        <v>Bulletin (2)</v>
      </c>
      <c r="AC58" s="51" t="str">
        <f>VLOOKUP(A58,Enforcements!$C$7:$E$13,3,0)</f>
        <v>GRADE CROSSING</v>
      </c>
      <c r="AD58" s="206">
        <f t="shared" si="10"/>
        <v>146</v>
      </c>
      <c r="AE58" s="77" t="str">
        <f t="shared" si="11"/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AF58" s="74" t="str">
        <f t="shared" si="12"/>
        <v>"C:\Program Files (x86)\AstroGrep\AstroGrep.exe" /e /r /s /spath="%USERPROFILE%\AppData\Local\Temp\OnboardLogs" /stypes="app*4063*20170711*"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146-11 --locoid 4063 --swversion DE.1.0.9.0 --startMP 204:232983 --initTime 2017-07-11T09:56:16 --startdatetime 2017-07-11T10:12:21 --delay 1 --endMP 204:156 --enddatetime 2017-07-11T10:54:37 --enforcementcount 0 &gt;&gt;C:\Users\stu\Documents\GitHub\eaglep3-reporting\EC\2017-07-11-refined-times.txt</v>
      </c>
      <c r="AI58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{"issue":{"subject":"","project_id":79,"tracker_id":40,"status_id":1,"priority_id":2,"assigned_to_id":23,"start_date":"2017-07-11","description":"","custom_fields":[{"id":1,"name":"Subdivision","value":"EC"},{"id":4,"name":"Milepost","value":"0.0156"},{"id":17,"name":"Train ID","value":"146-11"},{"id":16,"name":"Locomotive ID","value":"4063"},{"id":130,"name":"Impact","value":""},{"id":150,"name":"Time of Event (Mountain Time)","value":"10:54:37"},{"id":151,"name":"Denver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4063 --day 2017-07-11</v>
      </c>
      <c r="AN58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692</v>
      </c>
      <c r="B59" s="7">
        <v>4028</v>
      </c>
      <c r="C59" s="21" t="s">
        <v>199</v>
      </c>
      <c r="D59" s="21" t="s">
        <v>339</v>
      </c>
      <c r="E59" s="13">
        <v>42927.394178240742</v>
      </c>
      <c r="F59" s="13">
        <v>42927.396736111114</v>
      </c>
      <c r="G59" s="7">
        <v>1</v>
      </c>
      <c r="H59" s="21" t="s">
        <v>566</v>
      </c>
      <c r="I59" s="13">
        <v>42927.420983796299</v>
      </c>
      <c r="J59" s="7">
        <v>0</v>
      </c>
      <c r="K59" s="89" t="str">
        <f t="shared" si="0"/>
        <v>4027/4028</v>
      </c>
      <c r="L59" s="21" t="str">
        <f>VLOOKUP(A59,'Trips&amp;Operators'!$C$1:$G$99999,5,FALSE)</f>
        <v>MAELZER KURT</v>
      </c>
      <c r="M59" s="6">
        <f t="shared" si="1"/>
        <v>2.4247685185400769E-2</v>
      </c>
      <c r="N59" s="7">
        <f t="shared" si="25"/>
        <v>34.916666666977108</v>
      </c>
      <c r="O59" s="7"/>
      <c r="P59" s="7"/>
      <c r="Q59" s="22"/>
      <c r="R59" s="170"/>
      <c r="S59" s="213">
        <f t="shared" si="22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-11T08:27:37-0600',mode:absolute,to:'2017-07-11T11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23"/>
        <v>4.4900000000000002E-2</v>
      </c>
      <c r="Z59" s="197">
        <f t="shared" si="24"/>
        <v>23.331600000000002</v>
      </c>
      <c r="AA59" s="197">
        <f t="shared" si="9"/>
        <v>23.286700000000003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59" s="74" t="str">
        <f t="shared" si="12"/>
        <v>"C:\Program Files (x86)\AstroGrep\AstroGrep.exe" /e /r /s /spath="%USERPROFILE%\AppData\Local\Temp\OnboardLogs" /stypes="app*4028*20170711*"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147-11 --locoid 4028 --swversion DE.1.0.9.0 --startMP 204:449 --initTime 2017-07-11T09:27:37 --startdatetime 2017-07-11T09:31:18 --delay 1 --endMP 204:233316 --enddatetime 2017-07-11T10:06:13 --enforcementcount 0 &gt;&gt;C:\Users\stu\Documents\GitHub\eaglep3-reporting\EC\2017-07-11-refined-times.txt</v>
      </c>
      <c r="AI59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{"issue":{"subject":"","project_id":79,"tracker_id":40,"status_id":1,"priority_id":2,"assigned_to_id":23,"start_date":"2017-07-11","description":"","custom_fields":[{"id":1,"name":"Subdivision","value":"EC"},{"id":4,"name":"Milepost","value":"23.3316"},{"id":17,"name":"Train ID","value":"147-11"},{"id":16,"name":"Locomotive ID","value":"4028"},{"id":130,"name":"Impact","value":""},{"id":150,"name":"Time of Event (Mountain Time)","value":"10:06:13"},{"id":151,"name":"Denver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4028 --day 2017-07-11</v>
      </c>
      <c r="AN59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697</v>
      </c>
      <c r="B60" s="7">
        <v>4027</v>
      </c>
      <c r="C60" s="21" t="s">
        <v>199</v>
      </c>
      <c r="D60" s="21" t="s">
        <v>834</v>
      </c>
      <c r="E60" s="13">
        <v>42927.42765046296</v>
      </c>
      <c r="F60" s="13">
        <v>42927.435752314814</v>
      </c>
      <c r="G60" s="7">
        <v>1</v>
      </c>
      <c r="H60" s="21" t="s">
        <v>445</v>
      </c>
      <c r="I60" s="13">
        <v>42927.462222222224</v>
      </c>
      <c r="J60" s="7">
        <v>0</v>
      </c>
      <c r="K60" s="89" t="str">
        <f t="shared" si="0"/>
        <v>4027/4028</v>
      </c>
      <c r="L60" s="21" t="str">
        <f>VLOOKUP(A60,'Trips&amp;Operators'!$C$1:$G$99999,5,FALSE)</f>
        <v>MAELZER KURT</v>
      </c>
      <c r="M60" s="6">
        <f t="shared" si="1"/>
        <v>2.6469907410501037E-2</v>
      </c>
      <c r="N60" s="7">
        <f t="shared" si="25"/>
        <v>38.116666671121493</v>
      </c>
      <c r="O60" s="7"/>
      <c r="P60" s="7"/>
      <c r="Q60" s="22"/>
      <c r="R60" s="170"/>
      <c r="S60" s="213">
        <f t="shared" si="22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-11T09:15:49-0600',mode:absolute,to:'2017-07-11T12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23"/>
        <v>23.298400000000001</v>
      </c>
      <c r="Z60" s="197">
        <f t="shared" si="24"/>
        <v>1.32E-2</v>
      </c>
      <c r="AA60" s="197">
        <f t="shared" si="9"/>
        <v>23.2852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60" s="74" t="str">
        <f t="shared" si="12"/>
        <v>"C:\Program Files (x86)\AstroGrep\AstroGrep.exe" /e /r /s /spath="%USERPROFILE%\AppData\Local\Temp\OnboardLogs" /stypes="app*4027*20170711*"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148-11 --locoid 4027 --swversion DE.1.0.9.0 --startMP 204:232984 --initTime 2017-07-11T10:15:49 --startdatetime 2017-07-11T10:27:29 --delay 1 --endMP 204:132 --enddatetime 2017-07-11T11:05:36 --enforcementcount 0 &gt;&gt;C:\Users\stu\Documents\GitHub\eaglep3-reporting\EC\2017-07-11-refined-times.txt</v>
      </c>
      <c r="AI60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{"issue":{"subject":"","project_id":79,"tracker_id":40,"status_id":1,"priority_id":2,"assigned_to_id":23,"start_date":"2017-07-11","description":"","custom_fields":[{"id":1,"name":"Subdivision","value":"EC"},{"id":4,"name":"Milepost","value":"0.0132"},{"id":17,"name":"Train ID","value":"148-11"},{"id":16,"name":"Locomotive ID","value":"4027"},{"id":130,"name":"Impact","value":""},{"id":150,"name":"Time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4027 --day 2017-07-11</v>
      </c>
      <c r="AN60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695</v>
      </c>
      <c r="B61" s="7">
        <v>4042</v>
      </c>
      <c r="C61" s="21" t="s">
        <v>199</v>
      </c>
      <c r="D61" s="21" t="s">
        <v>831</v>
      </c>
      <c r="E61" s="13">
        <v>42927.402870370373</v>
      </c>
      <c r="F61" s="13">
        <v>42927.407766203702</v>
      </c>
      <c r="G61" s="7">
        <v>1</v>
      </c>
      <c r="H61" s="21" t="s">
        <v>839</v>
      </c>
      <c r="I61" s="13">
        <v>42927.432893518519</v>
      </c>
      <c r="J61" s="7">
        <v>0</v>
      </c>
      <c r="K61" s="89" t="str">
        <f t="shared" si="0"/>
        <v>4041/4042</v>
      </c>
      <c r="L61" s="21" t="str">
        <f>VLOOKUP(A61,'Trips&amp;Operators'!$C$1:$G$99999,5,FALSE)</f>
        <v>DE LA ROSA ALEX</v>
      </c>
      <c r="M61" s="6">
        <f t="shared" si="1"/>
        <v>2.5127314816927537E-2</v>
      </c>
      <c r="N61" s="7">
        <f t="shared" si="25"/>
        <v>36.183333336375654</v>
      </c>
      <c r="O61" s="7"/>
      <c r="P61" s="7"/>
      <c r="Q61" s="22"/>
      <c r="R61" s="170"/>
      <c r="S61" s="213">
        <f t="shared" si="22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-11T08:40:08-0600',mode:absolute,to:'2017-07-11T11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23"/>
        <v>4.4200000000000003E-2</v>
      </c>
      <c r="Z61" s="197">
        <f t="shared" si="24"/>
        <v>23.331399999999999</v>
      </c>
      <c r="AA61" s="197">
        <f t="shared" si="9"/>
        <v>23.287199999999999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61" s="74" t="str">
        <f t="shared" si="12"/>
        <v>"C:\Program Files (x86)\AstroGrep\AstroGrep.exe" /e /r /s /spath="%USERPROFILE%\AppData\Local\Temp\OnboardLogs" /stypes="app*4042*20170711*"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149-11 --locoid 4042 --swversion DE.1.0.9.0 --startMP 204:442 --initTime 2017-07-11T09:40:08 --startdatetime 2017-07-11T09:47:11 --delay 1 --endMP 204:233314 --enddatetime 2017-07-11T10:23:22 --enforcementcount 0 &gt;&gt;C:\Users\stu\Documents\GitHub\eaglep3-reporting\EC\2017-07-11-refined-times.txt</v>
      </c>
      <c r="AI61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{"issue":{"subject":"","project_id":79,"tracker_id":40,"status_id":1,"priority_id":2,"assigned_to_id":23,"start_date":"2017-07-11","description":"","custom_fields":[{"id":1,"name":"Subdivision","value":"EC"},{"id":4,"name":"Milepost","value":"23.3314"},{"id":17,"name":"Train ID","value":"149-11"},{"id":16,"name":"Locomotive ID","value":"4042"},{"id":130,"name":"Impact","value":""},{"id":150,"name":"Time of Event (Mountain Time)","value":"10:23:22"},{"id":151,"name":"Denver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4042 --day 2017-07-11</v>
      </c>
      <c r="AN61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701</v>
      </c>
      <c r="B62" s="7">
        <v>4041</v>
      </c>
      <c r="C62" s="21" t="s">
        <v>199</v>
      </c>
      <c r="D62" s="21" t="s">
        <v>840</v>
      </c>
      <c r="E62" s="13">
        <v>42927.443344907406</v>
      </c>
      <c r="F62" s="13">
        <v>42927.446111111109</v>
      </c>
      <c r="G62" s="7">
        <v>1</v>
      </c>
      <c r="H62" s="21" t="s">
        <v>344</v>
      </c>
      <c r="I62" s="13">
        <v>42927.472384259258</v>
      </c>
      <c r="J62" s="7">
        <v>0</v>
      </c>
      <c r="K62" s="89" t="str">
        <f t="shared" si="0"/>
        <v>4041/4042</v>
      </c>
      <c r="L62" s="21" t="str">
        <f>VLOOKUP(A62,'Trips&amp;Operators'!$C$1:$G$99999,5,FALSE)</f>
        <v>DE LA ROSA ALEX</v>
      </c>
      <c r="M62" s="6">
        <f t="shared" si="1"/>
        <v>2.6273148148902692E-2</v>
      </c>
      <c r="N62" s="7">
        <f t="shared" si="25"/>
        <v>37.833333334419876</v>
      </c>
      <c r="O62" s="7"/>
      <c r="P62" s="7"/>
      <c r="Q62" s="22"/>
      <c r="R62" s="170"/>
      <c r="S62" s="213">
        <f t="shared" si="22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-11T09:38:25-0600',mode:absolute,to:'2017-07-11T12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23"/>
        <v>23.299399999999999</v>
      </c>
      <c r="Z62" s="197">
        <f t="shared" si="24"/>
        <v>1.4999999999999999E-2</v>
      </c>
      <c r="AA62" s="197">
        <f t="shared" si="9"/>
        <v>23.284399999999998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62" s="74" t="str">
        <f t="shared" si="12"/>
        <v>"C:\Program Files (x86)\AstroGrep\AstroGrep.exe" /e /r /s /spath="%USERPROFILE%\AppData\Local\Temp\OnboardLogs" /stypes="app*4041*20170711*"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150-11 --locoid 4041 --swversion DE.1.0.9.0 --startMP 204:232994 --initTime 2017-07-11T10:38:25 --startdatetime 2017-07-11T10:42:24 --delay 1 --endMP 204:150 --enddatetime 2017-07-11T11:20:14 --enforcementcount 0 &gt;&gt;C:\Users\stu\Documents\GitHub\eaglep3-reporting\EC\2017-07-11-refined-times.txt</v>
      </c>
      <c r="AI62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{"issue":{"subject":"","project_id":79,"tracker_id":40,"status_id":1,"priority_id":2,"assigned_to_id":23,"start_date":"2017-07-11","description":"","custom_fields":[{"id":1,"name":"Subdivision","value":"EC"},{"id":4,"name":"Milepost","value":"0.015"},{"id":17,"name":"Train ID","value":"150-11"},{"id":16,"name":"Locomotive ID","value":"4041"},{"id":130,"name":"Impact","value":""},{"id":150,"name":"Time of Event (Mountain Time)","value":"11:20:14"},{"id":151,"name":"Denver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4041 --day 2017-07-11</v>
      </c>
      <c r="AN62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578</v>
      </c>
      <c r="B63" s="7">
        <v>4016</v>
      </c>
      <c r="C63" s="21" t="s">
        <v>199</v>
      </c>
      <c r="D63" s="21" t="s">
        <v>841</v>
      </c>
      <c r="E63" s="13">
        <v>42927.411041666666</v>
      </c>
      <c r="F63" s="13">
        <v>42927.417187500003</v>
      </c>
      <c r="G63" s="7">
        <v>1</v>
      </c>
      <c r="H63" s="21" t="s">
        <v>842</v>
      </c>
      <c r="I63" s="13">
        <v>42927.442013888889</v>
      </c>
      <c r="J63" s="7">
        <v>0</v>
      </c>
      <c r="K63" s="89" t="str">
        <f t="shared" si="0"/>
        <v>4015/4016</v>
      </c>
      <c r="L63" s="21" t="str">
        <f>VLOOKUP(A63,'Trips&amp;Operators'!$C$1:$G$99999,5,FALSE)</f>
        <v>MACDONALD THOMAS</v>
      </c>
      <c r="M63" s="6">
        <f t="shared" si="1"/>
        <v>2.4826388886140194E-2</v>
      </c>
      <c r="N63" s="7">
        <f t="shared" si="25"/>
        <v>35.749999996041879</v>
      </c>
      <c r="O63" s="7"/>
      <c r="P63" s="7"/>
      <c r="Q63" s="22"/>
      <c r="R63" s="170"/>
      <c r="S63" s="213">
        <f t="shared" si="22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-11T08:51:54-0600',mode:absolute,to:'2017-07-11T11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23"/>
        <v>4.6699999999999998E-2</v>
      </c>
      <c r="Z63" s="197">
        <f t="shared" si="24"/>
        <v>23.325700000000001</v>
      </c>
      <c r="AA63" s="197">
        <f t="shared" si="9"/>
        <v>23.279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63" s="74" t="str">
        <f t="shared" si="12"/>
        <v>"C:\Program Files (x86)\AstroGrep\AstroGrep.exe" /e /r /s /spath="%USERPROFILE%\AppData\Local\Temp\OnboardLogs" /stypes="app*4016*20170711*"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151-11 --locoid 4016 --swversion DE.1.0.9.0 --startMP 204:467 --initTime 2017-07-11T09:51:54 --startdatetime 2017-07-11T10:00:45 --delay 1 --endMP 204:233257 --enddatetime 2017-07-11T10:36:30 --enforcementcount 0 &gt;&gt;C:\Users\stu\Documents\GitHub\eaglep3-reporting\EC\2017-07-11-refined-times.txt</v>
      </c>
      <c r="AI63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{"issue":{"subject":"","project_id":79,"tracker_id":40,"status_id":1,"priority_id":2,"assigned_to_id":23,"start_date":"2017-07-11","description":"","custom_fields":[{"id":1,"name":"Subdivision","value":"EC"},{"id":4,"name":"Milepost","value":"23.3257"},{"id":17,"name":"Train ID","value":"151-11"},{"id":16,"name":"Locomotive ID","value":"4016"},{"id":130,"name":"Impact","value":""},{"id":150,"name":"Time of Event (Mountain Time)","value":"10:36:30"},{"id":151,"name":"Denver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4016 --day 2017-07-11</v>
      </c>
      <c r="AN63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703</v>
      </c>
      <c r="B64" s="7">
        <v>4015</v>
      </c>
      <c r="C64" s="21" t="s">
        <v>199</v>
      </c>
      <c r="D64" s="21" t="s">
        <v>843</v>
      </c>
      <c r="E64" s="13">
        <v>42927.455347222225</v>
      </c>
      <c r="F64" s="13">
        <v>42927.456701388888</v>
      </c>
      <c r="G64" s="7">
        <v>0</v>
      </c>
      <c r="H64" s="21" t="s">
        <v>382</v>
      </c>
      <c r="I64" s="13">
        <v>42927.482592592591</v>
      </c>
      <c r="J64" s="7">
        <v>0</v>
      </c>
      <c r="K64" s="89" t="str">
        <f t="shared" si="0"/>
        <v>4015/4016</v>
      </c>
      <c r="L64" s="21" t="str">
        <f>VLOOKUP(A64,'Trips&amp;Operators'!$C$1:$G$99999,5,FALSE)</f>
        <v>MACDONALD THOMAS</v>
      </c>
      <c r="M64" s="6">
        <f t="shared" si="1"/>
        <v>2.5891203702485655E-2</v>
      </c>
      <c r="N64" s="7">
        <f t="shared" si="25"/>
        <v>37.283333331579342</v>
      </c>
      <c r="O64" s="7"/>
      <c r="P64" s="7"/>
      <c r="Q64" s="22"/>
      <c r="R64" s="170"/>
      <c r="S64" s="213">
        <f t="shared" si="22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-11T09:55:42-0600',mode:absolute,to:'2017-07-11T12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23"/>
        <v>23.294599999999999</v>
      </c>
      <c r="Z64" s="197">
        <f t="shared" si="24"/>
        <v>1.54E-2</v>
      </c>
      <c r="AA64" s="197">
        <f t="shared" si="9"/>
        <v>23.279199999999999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AF64" s="74" t="str">
        <f t="shared" si="12"/>
        <v>"C:\Program Files (x86)\AstroGrep\AstroGrep.exe" /e /r /s /spath="%USERPROFILE%\AppData\Local\Temp\OnboardLogs" /stypes="app*4015*20170711*"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152-11 --locoid 4015 --swversion DE.1.0.9.0 --startMP 204:232946 --initTime 2017-07-11T10:55:42 --startdatetime 2017-07-11T10:57:39 --delay 0 --endMP 204:154 --enddatetime 2017-07-11T11:34:56 --enforcementcount 0 &gt;&gt;C:\Users\stu\Documents\GitHub\eaglep3-reporting\EC\2017-07-11-refined-times.txt</v>
      </c>
      <c r="AI64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{"issue":{"subject":"","project_id":79,"tracker_id":40,"status_id":1,"priority_id":2,"assigned_to_id":23,"start_date":"2017-07-11","description":"","custom_fields":[{"id":1,"name":"Subdivision","value":"EC"},{"id":4,"name":"Milepost","value":"0.0154"},{"id":17,"name":"Train ID","value":"152-11"},{"id":16,"name":"Locomotive ID","value":"4015"},{"id":130,"name":"Impact","value":""},{"id":150,"name":"Time of Event (Mountain Time)","value":"11:34:56"},{"id":151,"name":"Denver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4015 --day 2017-07-11</v>
      </c>
      <c r="AN64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698</v>
      </c>
      <c r="B65" s="7">
        <v>4032</v>
      </c>
      <c r="C65" s="21" t="s">
        <v>199</v>
      </c>
      <c r="D65" s="21" t="s">
        <v>196</v>
      </c>
      <c r="E65" s="13">
        <v>42927.427789351852</v>
      </c>
      <c r="F65" s="13">
        <v>42927.429097222222</v>
      </c>
      <c r="G65" s="7">
        <v>1</v>
      </c>
      <c r="H65" s="21" t="s">
        <v>825</v>
      </c>
      <c r="I65" s="13">
        <v>42927.452581018515</v>
      </c>
      <c r="J65" s="7">
        <v>0</v>
      </c>
      <c r="K65" s="89" t="str">
        <f t="shared" si="0"/>
        <v>4031/4032</v>
      </c>
      <c r="L65" s="21" t="str">
        <f>VLOOKUP(A65,'Trips&amp;Operators'!$C$1:$G$99999,5,FALSE)</f>
        <v>HELVIE ADAM</v>
      </c>
      <c r="M65" s="6">
        <f t="shared" si="1"/>
        <v>2.3483796292566694E-2</v>
      </c>
      <c r="N65" s="7">
        <f t="shared" si="25"/>
        <v>33.81666666129604</v>
      </c>
      <c r="O65" s="7"/>
      <c r="P65" s="7"/>
      <c r="Q65" s="22"/>
      <c r="R65" s="170"/>
      <c r="S65" s="213">
        <f t="shared" si="22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-11T09:16:01-0600',mode:absolute,to:'2017-07-11T11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197" t="str">
        <f>IF(AA65&lt;VLOOKUP(AG65,Variables!$AC$3:$AD$8,2,FALSE),"Y","N")</f>
        <v>N</v>
      </c>
      <c r="X65" s="197">
        <f t="shared" si="6"/>
        <v>1</v>
      </c>
      <c r="Y65" s="197">
        <f t="shared" si="23"/>
        <v>4.5699999999999998E-2</v>
      </c>
      <c r="Z65" s="197">
        <f t="shared" si="24"/>
        <v>23.3293</v>
      </c>
      <c r="AA65" s="197">
        <f t="shared" si="9"/>
        <v>23.2836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65" s="74" t="str">
        <f t="shared" si="12"/>
        <v>"C:\Program Files (x86)\AstroGrep\AstroGrep.exe" /e /r /s /spath="%USERPROFILE%\AppData\Local\Temp\OnboardLogs" /stypes="app*4032*20170711*"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153-11 --locoid 4032 --swversion DE.1.0.9.0 --startMP 204:457 --initTime 2017-07-11T10:16:01 --startdatetime 2017-07-11T10:17:54 --delay 1 --endMP 204:233293 --enddatetime 2017-07-11T10:51:43 --enforcementcount 0 &gt;&gt;C:\Users\stu\Documents\GitHub\eaglep3-reporting\EC\2017-07-11-refined-times.txt</v>
      </c>
      <c r="AI65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{"issue":{"subject":"","project_id":79,"tracker_id":40,"status_id":1,"priority_id":2,"assigned_to_id":23,"start_date":"2017-07-11","description":"","custom_fields":[{"id":1,"name":"Subdivision","value":"EC"},{"id":4,"name":"Milepost","value":"23.3293"},{"id":17,"name":"Train ID","value":"153-11"},{"id":16,"name":"Locomotive ID","value":"4032"},{"id":130,"name":"Impact","value":""},{"id":150,"name":"Time of Event (Mountain Time)","value":"10:51:43"},{"id":151,"name":"Denver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4032 --day 2017-07-11</v>
      </c>
      <c r="AN65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705</v>
      </c>
      <c r="B66" s="7">
        <v>4031</v>
      </c>
      <c r="C66" s="21" t="s">
        <v>199</v>
      </c>
      <c r="D66" s="21" t="s">
        <v>844</v>
      </c>
      <c r="E66" s="13">
        <v>42927.464201388888</v>
      </c>
      <c r="F66" s="13">
        <v>42927.466886574075</v>
      </c>
      <c r="G66" s="7">
        <v>1</v>
      </c>
      <c r="H66" s="21" t="s">
        <v>344</v>
      </c>
      <c r="I66" s="13">
        <v>42927.49422453704</v>
      </c>
      <c r="J66" s="7">
        <v>0</v>
      </c>
      <c r="K66" s="89" t="str">
        <f t="shared" si="0"/>
        <v>4031/4032</v>
      </c>
      <c r="L66" s="21" t="str">
        <f>VLOOKUP(A66,'Trips&amp;Operators'!$C$1:$G$99999,5,FALSE)</f>
        <v>HELVIE ADAM</v>
      </c>
      <c r="M66" s="6">
        <f t="shared" si="1"/>
        <v>2.7337962965248153E-2</v>
      </c>
      <c r="N66" s="7">
        <f t="shared" si="25"/>
        <v>39.36666666995734</v>
      </c>
      <c r="O66" s="7"/>
      <c r="P66" s="7"/>
      <c r="Q66" s="22"/>
      <c r="R66" s="170"/>
      <c r="S66" s="213">
        <f t="shared" si="22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-11T10:08:27-0600',mode:absolute,to:'2017-07-11T12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23"/>
        <v>23.296800000000001</v>
      </c>
      <c r="Z66" s="197">
        <f t="shared" si="24"/>
        <v>1.4999999999999999E-2</v>
      </c>
      <c r="AA66" s="197">
        <f t="shared" si="9"/>
        <v>23.2818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66" s="74" t="str">
        <f t="shared" si="12"/>
        <v>"C:\Program Files (x86)\AstroGrep\AstroGrep.exe" /e /r /s /spath="%USERPROFILE%\AppData\Local\Temp\OnboardLogs" /stypes="app*4031*20170711*"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154-11 --locoid 4031 --swversion DE.1.0.9.0 --startMP 204:232968 --initTime 2017-07-11T11:08:27 --startdatetime 2017-07-11T11:12:19 --delay 1 --endMP 204:150 --enddatetime 2017-07-11T11:51:41 --enforcementcount 0 &gt;&gt;C:\Users\stu\Documents\GitHub\eaglep3-reporting\EC\2017-07-11-refined-times.txt</v>
      </c>
      <c r="AI66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{"issue":{"subject":"","project_id":79,"tracker_id":40,"status_id":1,"priority_id":2,"assigned_to_id":23,"start_date":"2017-07-11","description":"","custom_fields":[{"id":1,"name":"Subdivision","value":"EC"},{"id":4,"name":"Milepost","value":"0.015"},{"id":17,"name":"Train ID","value":"154-11"},{"id":16,"name":"Locomotive ID","value":"4031"},{"id":130,"name":"Impact","value":""},{"id":150,"name":"Time of Event (Mountain Time)","value":"11:51:41"},{"id":151,"name":"Denver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4031 --day 2017-07-11</v>
      </c>
      <c r="AN66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699</v>
      </c>
      <c r="B67" s="7">
        <v>4020</v>
      </c>
      <c r="C67" s="21" t="s">
        <v>199</v>
      </c>
      <c r="D67" s="21" t="s">
        <v>845</v>
      </c>
      <c r="E67" s="13">
        <v>42927.435266203705</v>
      </c>
      <c r="F67" s="13">
        <v>42927.438020833331</v>
      </c>
      <c r="G67" s="7">
        <v>1</v>
      </c>
      <c r="H67" s="21" t="s">
        <v>825</v>
      </c>
      <c r="I67" s="13">
        <v>42927.462511574071</v>
      </c>
      <c r="J67" s="7">
        <v>0</v>
      </c>
      <c r="K67" s="89" t="str">
        <f t="shared" si="0"/>
        <v>4019/4020</v>
      </c>
      <c r="L67" s="21" t="str">
        <f>VLOOKUP(A67,'Trips&amp;Operators'!$C$1:$G$99999,5,FALSE)</f>
        <v>LOZA FIDEL</v>
      </c>
      <c r="M67" s="6">
        <f t="shared" si="1"/>
        <v>2.4490740739565808E-2</v>
      </c>
      <c r="N67" s="7">
        <f t="shared" si="25"/>
        <v>35.266666664974764</v>
      </c>
      <c r="O67" s="7"/>
      <c r="P67" s="7"/>
      <c r="Q67" s="22"/>
      <c r="R67" s="170"/>
      <c r="S67" s="213">
        <f t="shared" si="22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-11T09:26:47-0600',mode:absolute,to:'2017-07-11T12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23"/>
        <v>4.7699999999999999E-2</v>
      </c>
      <c r="Z67" s="197">
        <f t="shared" si="24"/>
        <v>23.3293</v>
      </c>
      <c r="AA67" s="197">
        <f t="shared" si="9"/>
        <v>23.281600000000001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s3://rtdc.mdm.uploadarchive.raw/RTDC4020/ "%USERPROFILE%\AppData\Local\Temp\OnboardLogs"\RTDC4020\2017-07-11 --exclude "*" --recursive --include "*20170711*" &amp; "%USERPROFILE%\Documents\GitHub\mrs-test-scripts\Headless Mode &amp; Sideloading\WalkAndUnGZ.bat" "%USERPROFILE%\AppData\Local\Temp\OnboardLogs"\RTDC4020\2017-07-11 &amp; aws s3 cp s3://rtdc.mdm.uploadarchive.raw/RTDC4020/ "%USERPROFILE%\AppData\Local\Temp\OnboardLogs"\RTDC4020\2017-07-12 --exclude "*" --recursive --include "*20170712*" &amp; "%USERPROFILE%\Documents\GitHub\mrs-test-scripts\Headless Mode &amp; Sideloading\WalkAndUnGZ.bat" "%USERPROFILE%\AppData\Local\Temp\OnboardLogs"\RTDC4020\2017-07-12</v>
      </c>
      <c r="AF67" s="74" t="str">
        <f t="shared" si="12"/>
        <v>"C:\Program Files (x86)\AstroGrep\AstroGrep.exe" /e /r /s /spath="%USERPROFILE%\AppData\Local\Temp\OnboardLogs" /stypes="app*4020*20170711*"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155-11 --locoid 4020 --swversion DE.1.0.9.0 --startMP 204:477 --initTime 2017-07-11T10:26:47 --startdatetime 2017-07-11T10:30:45 --delay 1 --endMP 204:233293 --enddatetime 2017-07-11T11:06:01 --enforcementcount 0 &gt;&gt;C:\Users\stu\Documents\GitHub\eaglep3-reporting\EC\2017-07-11-refined-times.txt</v>
      </c>
      <c r="AI67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{"issue":{"subject":"","project_id":79,"tracker_id":40,"status_id":1,"priority_id":2,"assigned_to_id":23,"start_date":"2017-07-11","description":"","custom_fields":[{"id":1,"name":"Subdivision","value":"EC"},{"id":4,"name":"Milepost","value":"23.3293"},{"id":17,"name":"Train ID","value":"155-11"},{"id":16,"name":"Locomotive ID","value":"4020"},{"id":130,"name":"Impact","value":""},{"id":150,"name":"Time of Event (Mountain Time)","value":"11:06:01"},{"id":151,"name":"Denver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4020 --day 2017-07-11</v>
      </c>
      <c r="AN67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582</v>
      </c>
      <c r="B68" s="7">
        <v>4019</v>
      </c>
      <c r="C68" s="21" t="s">
        <v>199</v>
      </c>
      <c r="D68" s="21" t="s">
        <v>453</v>
      </c>
      <c r="E68" s="13">
        <v>42927.466261574074</v>
      </c>
      <c r="F68" s="13">
        <v>42927.477534722224</v>
      </c>
      <c r="G68" s="7">
        <v>1</v>
      </c>
      <c r="H68" s="21" t="s">
        <v>846</v>
      </c>
      <c r="I68" s="13">
        <v>42927.5077662037</v>
      </c>
      <c r="J68" s="7">
        <v>0</v>
      </c>
      <c r="K68" s="89" t="str">
        <f t="shared" si="0"/>
        <v>4019/4020</v>
      </c>
      <c r="L68" s="21" t="str">
        <f>VLOOKUP(A68,'Trips&amp;Operators'!$C$1:$G$99999,5,FALSE)</f>
        <v>LOZA FIDEL</v>
      </c>
      <c r="M68" s="6">
        <f t="shared" si="1"/>
        <v>3.0231481476221234E-2</v>
      </c>
      <c r="N68" s="7">
        <f t="shared" si="25"/>
        <v>43.533333325758576</v>
      </c>
      <c r="O68" s="7"/>
      <c r="P68" s="7"/>
      <c r="Q68" s="22"/>
      <c r="R68" s="170"/>
      <c r="S68" s="213">
        <f t="shared" si="22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-11T10:11:25-0600',mode:absolute,to:'2017-07-11T13:11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23"/>
        <v>23.2973</v>
      </c>
      <c r="Z68" s="197">
        <f t="shared" si="24"/>
        <v>8.8499999999999995E-2</v>
      </c>
      <c r="AA68" s="197">
        <f t="shared" si="9"/>
        <v>23.2088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s3://rtdc.mdm.uploadarchive.raw/RTDC4019/ "%USERPROFILE%\AppData\Local\Temp\OnboardLogs"\RTDC4019\2017-07-11 --exclude "*" --recursive --include "*20170711*" &amp; "%USERPROFILE%\Documents\GitHub\mrs-test-scripts\Headless Mode &amp; Sideloading\WalkAndUnGZ.bat" "%USERPROFILE%\AppData\Local\Temp\OnboardLogs"\RTDC4019\2017-07-11 &amp; aws s3 cp s3://rtdc.mdm.uploadarchive.raw/RTDC4019/ "%USERPROFILE%\AppData\Local\Temp\OnboardLogs"\RTDC4019\2017-07-12 --exclude "*" --recursive --include "*20170712*" &amp; "%USERPROFILE%\Documents\GitHub\mrs-test-scripts\Headless Mode &amp; Sideloading\WalkAndUnGZ.bat" "%USERPROFILE%\AppData\Local\Temp\OnboardLogs"\RTDC4019\2017-07-12</v>
      </c>
      <c r="AF68" s="74" t="str">
        <f t="shared" si="12"/>
        <v>"C:\Program Files (x86)\AstroGrep\AstroGrep.exe" /e /r /s /spath="%USERPROFILE%\AppData\Local\Temp\OnboardLogs" /stypes="app*4019*20170711*"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156-11 --locoid 4019 --swversion DE.1.0.9.0 --startMP 204:232973 --initTime 2017-07-11T11:11:25 --startdatetime 2017-07-11T11:27:39 --delay 1 --endMP 204:885 --enddatetime 2017-07-11T12:11:11 --enforcementcount 0 &gt;&gt;C:\Users\stu\Documents\GitHub\eaglep3-reporting\EC\2017-07-11-refined-times.txt</v>
      </c>
      <c r="AI68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{"issue":{"subject":"","project_id":79,"tracker_id":40,"status_id":1,"priority_id":2,"assigned_to_id":23,"start_date":"2017-07-11","description":"","custom_fields":[{"id":1,"name":"Subdivision","value":"EC"},{"id":4,"name":"Milepost","value":"0.0885"},{"id":17,"name":"Train ID","value":"156-11"},{"id":16,"name":"Locomotive ID","value":"4019"},{"id":130,"name":"Impact","value":""},{"id":150,"name":"Time of Event (Mountain Time)","value":"12:11:11"},{"id":151,"name":"Denver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4019 --day 2017-07-11</v>
      </c>
      <c r="AN68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18:11:11"},{"id":29,"name":"Sharepoint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702</v>
      </c>
      <c r="B69" s="7">
        <v>4008</v>
      </c>
      <c r="C69" s="21" t="s">
        <v>199</v>
      </c>
      <c r="D69" s="21" t="s">
        <v>514</v>
      </c>
      <c r="E69" s="13">
        <v>42927.445335648146</v>
      </c>
      <c r="F69" s="13">
        <v>42927.44840277778</v>
      </c>
      <c r="G69" s="7">
        <v>2</v>
      </c>
      <c r="H69" s="21" t="s">
        <v>454</v>
      </c>
      <c r="I69" s="13">
        <v>42927.474097222221</v>
      </c>
      <c r="J69" s="7">
        <v>0</v>
      </c>
      <c r="K69" s="89" t="str">
        <f t="shared" si="0"/>
        <v>4007/4008</v>
      </c>
      <c r="L69" s="21" t="str">
        <f>VLOOKUP(A69,'Trips&amp;Operators'!$C$1:$G$99999,5,FALSE)</f>
        <v>DAVIS MICHAEL</v>
      </c>
      <c r="M69" s="6">
        <f t="shared" si="1"/>
        <v>2.569444444088731E-2</v>
      </c>
      <c r="N69" s="7">
        <f t="shared" si="25"/>
        <v>36.999999994877726</v>
      </c>
      <c r="O69" s="7"/>
      <c r="P69" s="7"/>
      <c r="Q69" s="22"/>
      <c r="R69" s="170"/>
      <c r="S69" s="213">
        <f t="shared" si="22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-11T09:41:17-0600',mode:absolute,to:'2017-07-11T12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23"/>
        <v>4.3799999999999999E-2</v>
      </c>
      <c r="Z69" s="197">
        <f t="shared" si="24"/>
        <v>23.328900000000001</v>
      </c>
      <c r="AA69" s="197">
        <f t="shared" si="9"/>
        <v>23.2851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69" s="74" t="str">
        <f t="shared" si="12"/>
        <v>"C:\Program Files (x86)\AstroGrep\AstroGrep.exe" /e /r /s /spath="%USERPROFILE%\AppData\Local\Temp\OnboardLogs" /stypes="app*4008*20170711*"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157-11 --locoid 4008 --swversion DE.1.0.9.0 --startMP 204:438 --initTime 2017-07-11T10:41:17 --startdatetime 2017-07-11T10:45:42 --delay 2 --endMP 204:233289 --enddatetime 2017-07-11T11:22:42 --enforcementcount 0 &gt;&gt;C:\Users\stu\Documents\GitHub\eaglep3-reporting\EC\2017-07-11-refined-times.txt</v>
      </c>
      <c r="AI69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{"issue":{"subject":"","project_id":79,"tracker_id":40,"status_id":1,"priority_id":2,"assigned_to_id":23,"start_date":"2017-07-11","description":"","custom_fields":[{"id":1,"name":"Subdivision","value":"EC"},{"id":4,"name":"Milepost","value":"23.3289"},{"id":17,"name":"Train ID","value":"157-11"},{"id":16,"name":"Locomotive ID","value":"4008"},{"id":130,"name":"Impact","value":""},{"id":150,"name":"Time of Event (Mountain Time)","value":"11:22:42"},{"id":151,"name":"Denver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4008 --day 2017-07-11</v>
      </c>
      <c r="AN69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715</v>
      </c>
      <c r="B70" s="7">
        <v>4007</v>
      </c>
      <c r="C70" s="21" t="s">
        <v>199</v>
      </c>
      <c r="D70" s="21" t="s">
        <v>491</v>
      </c>
      <c r="E70" s="13">
        <v>42927.484884259262</v>
      </c>
      <c r="F70" s="13">
        <v>42927.487928240742</v>
      </c>
      <c r="G70" s="7">
        <v>1</v>
      </c>
      <c r="H70" s="21" t="s">
        <v>394</v>
      </c>
      <c r="I70" s="13">
        <v>42927.518020833333</v>
      </c>
      <c r="J70" s="7">
        <v>0</v>
      </c>
      <c r="K70" s="89" t="str">
        <f t="shared" si="0"/>
        <v>4007/4008</v>
      </c>
      <c r="L70" s="21" t="str">
        <f>VLOOKUP(A70,'Trips&amp;Operators'!$C$1:$G$99999,5,FALSE)</f>
        <v>DAVIS MICHAEL</v>
      </c>
      <c r="M70" s="6">
        <f t="shared" si="1"/>
        <v>3.0092592591245193E-2</v>
      </c>
      <c r="N70" s="7">
        <f t="shared" si="25"/>
        <v>43.333333331393078</v>
      </c>
      <c r="O70" s="7"/>
      <c r="P70" s="7"/>
      <c r="Q70" s="22"/>
      <c r="R70" s="170"/>
      <c r="S70" s="213">
        <f t="shared" si="22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-11T10:38:14-0600',mode:absolute,to:'2017-07-11T13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23"/>
        <v>23.298100000000002</v>
      </c>
      <c r="Z70" s="197">
        <f t="shared" si="24"/>
        <v>1.5599999999999999E-2</v>
      </c>
      <c r="AA70" s="197">
        <f t="shared" si="9"/>
        <v>23.282500000000002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70" s="74" t="str">
        <f t="shared" si="12"/>
        <v>"C:\Program Files (x86)\AstroGrep\AstroGrep.exe" /e /r /s /spath="%USERPROFILE%\AppData\Local\Temp\OnboardLogs" /stypes="app*4007*20170711*"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158-11 --locoid 4007 --swversion DE.1.0.9.0 --startMP 204:232981 --initTime 2017-07-11T11:38:14 --startdatetime 2017-07-11T11:42:37 --delay 1 --endMP 204:156 --enddatetime 2017-07-11T12:25:57 --enforcementcount 0 &gt;&gt;C:\Users\stu\Documents\GitHub\eaglep3-reporting\EC\2017-07-11-refined-times.txt</v>
      </c>
      <c r="AI70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{"issue":{"subject":"","project_id":79,"tracker_id":40,"status_id":1,"priority_id":2,"assigned_to_id":23,"start_date":"2017-07-11","description":"","custom_fields":[{"id":1,"name":"Subdivision","value":"EC"},{"id":4,"name":"Milepost","value":"0.0156"},{"id":17,"name":"Train ID","value":"158-11"},{"id":16,"name":"Locomotive ID","value":"4007"},{"id":130,"name":"Impact","value":""},{"id":150,"name":"Time of Event (Mountain Time)","value":"12:25:57"},{"id":151,"name":"Denver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4007 --day 2017-07-11</v>
      </c>
      <c r="AN70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704</v>
      </c>
      <c r="B71" s="7">
        <v>4064</v>
      </c>
      <c r="C71" s="21" t="s">
        <v>199</v>
      </c>
      <c r="D71" s="21" t="s">
        <v>847</v>
      </c>
      <c r="E71" s="13">
        <v>42927.45648148148</v>
      </c>
      <c r="F71" s="13">
        <v>42927.458865740744</v>
      </c>
      <c r="G71" s="7">
        <v>1</v>
      </c>
      <c r="H71" s="21" t="s">
        <v>825</v>
      </c>
      <c r="I71" s="13">
        <v>42927.484143518515</v>
      </c>
      <c r="J71" s="7">
        <v>0</v>
      </c>
      <c r="K71" s="89" t="str">
        <f t="shared" si="0"/>
        <v>4063/4064</v>
      </c>
      <c r="L71" s="21" t="str">
        <f>VLOOKUP(A71,'Trips&amp;Operators'!$C$1:$G$99999,5,FALSE)</f>
        <v>DAVIDSON DAVID</v>
      </c>
      <c r="M71" s="6">
        <f t="shared" si="1"/>
        <v>2.5277777771407273E-2</v>
      </c>
      <c r="N71" s="7">
        <f t="shared" si="25"/>
        <v>36.399999990826473</v>
      </c>
      <c r="O71" s="7"/>
      <c r="P71" s="7"/>
      <c r="Q71" s="22"/>
      <c r="R71" s="170"/>
      <c r="S71" s="213">
        <f t="shared" si="22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-11T09:57:20-0600',mode:absolute,to:'2017-07-11T12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23"/>
        <v>4.8599999999999997E-2</v>
      </c>
      <c r="Z71" s="197">
        <f t="shared" si="24"/>
        <v>23.3293</v>
      </c>
      <c r="AA71" s="197">
        <f t="shared" si="9"/>
        <v>23.2807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s3://rtdc.mdm.uploadarchive.raw/RTDC4064/ "%USERPROFILE%\AppData\Local\Temp\OnboardLogs"\RTDC4064\2017-07-11 --exclude "*" --recursive --include "*20170711*" &amp; "%USERPROFILE%\Documents\GitHub\mrs-test-scripts\Headless Mode &amp; Sideloading\WalkAndUnGZ.bat" "%USERPROFILE%\AppData\Local\Temp\OnboardLogs"\RTDC4064\2017-07-11 &amp; aws s3 cp s3://rtdc.mdm.uploadarchive.raw/RTDC4064/ "%USERPROFILE%\AppData\Local\Temp\OnboardLogs"\RTDC4064\2017-07-12 --exclude "*" --recursive --include "*20170712*" &amp; "%USERPROFILE%\Documents\GitHub\mrs-test-scripts\Headless Mode &amp; Sideloading\WalkAndUnGZ.bat" "%USERPROFILE%\AppData\Local\Temp\OnboardLogs"\RTDC4064\2017-07-12</v>
      </c>
      <c r="AF71" s="74" t="str">
        <f t="shared" si="12"/>
        <v>"C:\Program Files (x86)\AstroGrep\AstroGrep.exe" /e /r /s /spath="%USERPROFILE%\AppData\Local\Temp\OnboardLogs" /stypes="app*4064*20170711*"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159-11 --locoid 4064 --swversion DE.1.0.9.0 --startMP 204:486 --initTime 2017-07-11T10:57:20 --startdatetime 2017-07-11T11:00:46 --delay 1 --endMP 204:233293 --enddatetime 2017-07-11T11:37:10 --enforcementcount 0 &gt;&gt;C:\Users\stu\Documents\GitHub\eaglep3-reporting\EC\2017-07-11-refined-times.txt</v>
      </c>
      <c r="AI71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{"issue":{"subject":"","project_id":79,"tracker_id":40,"status_id":1,"priority_id":2,"assigned_to_id":23,"start_date":"2017-07-11","description":"","custom_fields":[{"id":1,"name":"Subdivision","value":"EC"},{"id":4,"name":"Milepost","value":"23.3293"},{"id":17,"name":"Train ID","value":"159-11"},{"id":16,"name":"Locomotive ID","value":"4064"},{"id":130,"name":"Impact","value":""},{"id":150,"name":"Time of Event (Mountain Time)","value":"11:37:10"},{"id":151,"name":"Denver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4064 --day 2017-07-11</v>
      </c>
      <c r="AN71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716</v>
      </c>
      <c r="B72" s="7">
        <v>4063</v>
      </c>
      <c r="C72" s="21" t="s">
        <v>199</v>
      </c>
      <c r="D72" s="21" t="s">
        <v>515</v>
      </c>
      <c r="E72" s="13">
        <v>42927.486180555556</v>
      </c>
      <c r="F72" s="13">
        <v>42927.498090277775</v>
      </c>
      <c r="G72" s="7">
        <v>2</v>
      </c>
      <c r="H72" s="21" t="s">
        <v>404</v>
      </c>
      <c r="I72" s="13">
        <v>42927.527673611112</v>
      </c>
      <c r="J72" s="7">
        <v>0</v>
      </c>
      <c r="K72" s="89" t="str">
        <f t="shared" si="0"/>
        <v>4063/4064</v>
      </c>
      <c r="L72" s="21" t="str">
        <f>VLOOKUP(A72,'Trips&amp;Operators'!$C$1:$G$99999,5,FALSE)</f>
        <v>DAVIDSON DAVID</v>
      </c>
      <c r="M72" s="6">
        <f t="shared" si="1"/>
        <v>2.9583333336631767E-2</v>
      </c>
      <c r="N72" s="7">
        <f t="shared" si="25"/>
        <v>42.600000004749745</v>
      </c>
      <c r="O72" s="7"/>
      <c r="P72" s="7"/>
      <c r="Q72" s="22"/>
      <c r="R72" s="170"/>
      <c r="S72" s="213">
        <f t="shared" si="22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-11T10:40:06-0600',mode:absolute,to:'2017-07-11T13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23"/>
        <v>23.297799999999999</v>
      </c>
      <c r="Z72" s="197">
        <f t="shared" si="24"/>
        <v>1.38E-2</v>
      </c>
      <c r="AA72" s="197">
        <f t="shared" si="9"/>
        <v>23.283999999999999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AF72" s="74" t="str">
        <f t="shared" si="12"/>
        <v>"C:\Program Files (x86)\AstroGrep\AstroGrep.exe" /e /r /s /spath="%USERPROFILE%\AppData\Local\Temp\OnboardLogs" /stypes="app*4063*20170711*"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160-11 --locoid 4063 --swversion DE.1.0.9.0 --startMP 204:232978 --initTime 2017-07-11T11:40:06 --startdatetime 2017-07-11T11:57:15 --delay 2 --endMP 204:138 --enddatetime 2017-07-11T12:39:51 --enforcementcount 0 &gt;&gt;C:\Users\stu\Documents\GitHub\eaglep3-reporting\EC\2017-07-11-refined-times.txt</v>
      </c>
      <c r="AI72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{"issue":{"subject":"","project_id":79,"tracker_id":40,"status_id":1,"priority_id":2,"assigned_to_id":23,"start_date":"2017-07-11","description":"","custom_fields":[{"id":1,"name":"Subdivision","value":"EC"},{"id":4,"name":"Milepost","value":"0.0138"},{"id":17,"name":"Train ID","value":"160-11"},{"id":16,"name":"Locomotive ID","value":"4063"},{"id":130,"name":"Impact","value":""},{"id":150,"name":"Time of Event (Mountain Time)","value":"12:39:51"},{"id":151,"name":"Denver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4063 --day 2017-07-11</v>
      </c>
      <c r="AN72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707</v>
      </c>
      <c r="B73" s="7">
        <v>4028</v>
      </c>
      <c r="C73" s="21" t="s">
        <v>199</v>
      </c>
      <c r="D73" s="21" t="s">
        <v>547</v>
      </c>
      <c r="E73" s="13">
        <v>42927.466215277775</v>
      </c>
      <c r="F73" s="13">
        <v>42927.469282407408</v>
      </c>
      <c r="G73" s="7">
        <v>2</v>
      </c>
      <c r="H73" s="21" t="s">
        <v>561</v>
      </c>
      <c r="I73" s="13">
        <v>42927.49658564815</v>
      </c>
      <c r="J73" s="7">
        <v>0</v>
      </c>
      <c r="K73" s="89" t="str">
        <f t="shared" si="0"/>
        <v>4027/4028</v>
      </c>
      <c r="L73" s="21" t="str">
        <f>VLOOKUP(A73,'Trips&amp;Operators'!$C$1:$G$99999,5,FALSE)</f>
        <v>STEWART MICHAEL</v>
      </c>
      <c r="M73" s="6">
        <f t="shared" si="1"/>
        <v>2.7303240742185153E-2</v>
      </c>
      <c r="N73" s="7">
        <f t="shared" si="25"/>
        <v>39.31666666874662</v>
      </c>
      <c r="O73" s="7"/>
      <c r="P73" s="7"/>
      <c r="Q73" s="22"/>
      <c r="R73" s="170"/>
      <c r="S73" s="213">
        <f t="shared" si="22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-11T10:11:21-0600',mode:absolute,to:'2017-07-11T12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23"/>
        <v>4.7500000000000001E-2</v>
      </c>
      <c r="Z73" s="197">
        <f t="shared" si="24"/>
        <v>23.328700000000001</v>
      </c>
      <c r="AA73" s="197">
        <f t="shared" si="9"/>
        <v>23.281200000000002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73" s="74" t="str">
        <f t="shared" si="12"/>
        <v>"C:\Program Files (x86)\AstroGrep\AstroGrep.exe" /e /r /s /spath="%USERPROFILE%\AppData\Local\Temp\OnboardLogs" /stypes="app*4028*20170711*"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161-11 --locoid 4028 --swversion DE.1.0.9.0 --startMP 204:475 --initTime 2017-07-11T11:11:21 --startdatetime 2017-07-11T11:15:46 --delay 2 --endMP 204:233287 --enddatetime 2017-07-11T11:55:05 --enforcementcount 0 &gt;&gt;C:\Users\stu\Documents\GitHub\eaglep3-reporting\EC\2017-07-11-refined-times.txt</v>
      </c>
      <c r="AI73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{"issue":{"subject":"","project_id":79,"tracker_id":40,"status_id":1,"priority_id":2,"assigned_to_id":23,"start_date":"2017-07-11","description":"","custom_fields":[{"id":1,"name":"Subdivision","value":"EC"},{"id":4,"name":"Milepost","value":"23.3287"},{"id":17,"name":"Train ID","value":"161-11"},{"id":16,"name":"Locomotive ID","value":"4028"},{"id":130,"name":"Impact","value":""},{"id":150,"name":"Time of Event (Mountain Time)","value":"11:55:05"},{"id":151,"name":"Denver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4028 --day 2017-07-11</v>
      </c>
      <c r="AN73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583</v>
      </c>
      <c r="B74" s="7">
        <v>4027</v>
      </c>
      <c r="C74" s="21" t="s">
        <v>199</v>
      </c>
      <c r="D74" s="21" t="s">
        <v>848</v>
      </c>
      <c r="E74" s="13">
        <v>42927.502118055556</v>
      </c>
      <c r="F74" s="13">
        <v>42927.508506944447</v>
      </c>
      <c r="G74" s="7">
        <v>3</v>
      </c>
      <c r="H74" s="21" t="s">
        <v>438</v>
      </c>
      <c r="I74" s="13">
        <v>42927.540335648147</v>
      </c>
      <c r="J74" s="7">
        <v>0</v>
      </c>
      <c r="K74" s="89" t="str">
        <f t="shared" si="0"/>
        <v>4027/4028</v>
      </c>
      <c r="L74" s="21" t="str">
        <f>VLOOKUP(A74,'Trips&amp;Operators'!$C$1:$G$99999,5,FALSE)</f>
        <v>MILLER KEVIN</v>
      </c>
      <c r="M74" s="6">
        <f t="shared" si="1"/>
        <v>3.1828703700739425E-2</v>
      </c>
      <c r="N74" s="7">
        <f t="shared" si="25"/>
        <v>45.833333329064772</v>
      </c>
      <c r="O74" s="7"/>
      <c r="P74" s="7"/>
      <c r="Q74" s="22"/>
      <c r="R74" s="170"/>
      <c r="S74" s="213">
        <f t="shared" si="22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-11T11:03:03-0600',mode:absolute,to:'2017-07-11T13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23"/>
        <v>23.297599999999999</v>
      </c>
      <c r="Z74" s="197">
        <f t="shared" si="24"/>
        <v>1.6E-2</v>
      </c>
      <c r="AA74" s="197">
        <f t="shared" si="9"/>
        <v>23.281600000000001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74" s="74" t="str">
        <f t="shared" si="12"/>
        <v>"C:\Program Files (x86)\AstroGrep\AstroGrep.exe" /e /r /s /spath="%USERPROFILE%\AppData\Local\Temp\OnboardLogs" /stypes="app*4027*20170711*"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162-11 --locoid 4027 --swversion DE.1.0.9.0 --startMP 204:232976 --initTime 2017-07-11T12:03:03 --startdatetime 2017-07-11T12:12:15 --delay 3 --endMP 204:160 --enddatetime 2017-07-11T12:58:05 --enforcementcount 0 &gt;&gt;C:\Users\stu\Documents\GitHub\eaglep3-reporting\EC\2017-07-11-refined-times.txt</v>
      </c>
      <c r="AI74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{"issue":{"subject":"","project_id":79,"tracker_id":40,"status_id":1,"priority_id":2,"assigned_to_id":23,"start_date":"2017-07-11","description":"","custom_fields":[{"id":1,"name":"Subdivision","value":"EC"},{"id":4,"name":"Milepost","value":"0.016"},{"id":17,"name":"Train ID","value":"162-11"},{"id":16,"name":"Locomotive ID","value":"4027"},{"id":130,"name":"Impact","value":""},{"id":150,"name":"Time of Event (Mountain Time)","value":"12:58:05"},{"id":151,"name":"Denver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4027 --day 2017-07-11</v>
      </c>
      <c r="AN74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18:58:05"},{"id":29,"name":"Sharepoint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709</v>
      </c>
      <c r="B75" s="7">
        <v>4042</v>
      </c>
      <c r="C75" s="21" t="s">
        <v>199</v>
      </c>
      <c r="D75" s="21" t="s">
        <v>841</v>
      </c>
      <c r="E75" s="13">
        <v>42927.476006944446</v>
      </c>
      <c r="F75" s="13">
        <v>42927.479664351849</v>
      </c>
      <c r="G75" s="7">
        <v>2</v>
      </c>
      <c r="H75" s="21" t="s">
        <v>849</v>
      </c>
      <c r="I75" s="13">
        <v>42927.505115740743</v>
      </c>
      <c r="J75" s="7">
        <v>0</v>
      </c>
      <c r="K75" s="89" t="str">
        <f t="shared" si="0"/>
        <v>4041/4042</v>
      </c>
      <c r="L75" s="21" t="str">
        <f>VLOOKUP(A75,'Trips&amp;Operators'!$C$1:$G$99999,5,FALSE)</f>
        <v>HART KEVIN</v>
      </c>
      <c r="M75" s="6">
        <f t="shared" si="1"/>
        <v>2.5451388893998228E-2</v>
      </c>
      <c r="N75" s="7">
        <f t="shared" si="25"/>
        <v>36.650000007357448</v>
      </c>
      <c r="O75" s="7"/>
      <c r="P75" s="7"/>
      <c r="Q75" s="22"/>
      <c r="R75" s="170"/>
      <c r="S75" s="213">
        <f t="shared" si="22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-11T10:25:27-0600',mode:absolute,to:'2017-07-11T13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23"/>
        <v>4.6699999999999998E-2</v>
      </c>
      <c r="Z75" s="197">
        <f t="shared" si="24"/>
        <v>23.335699999999999</v>
      </c>
      <c r="AA75" s="197">
        <f t="shared" si="9"/>
        <v>23.288999999999998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75" s="74" t="str">
        <f t="shared" si="12"/>
        <v>"C:\Program Files (x86)\AstroGrep\AstroGrep.exe" /e /r /s /spath="%USERPROFILE%\AppData\Local\Temp\OnboardLogs" /stypes="app*4042*20170711*"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163-11 --locoid 4042 --swversion DE.1.0.9.0 --startMP 204:467 --initTime 2017-07-11T11:25:27 --startdatetime 2017-07-11T11:30:43 --delay 2 --endMP 204:233357 --enddatetime 2017-07-11T12:07:22 --enforcementcount 0 &gt;&gt;C:\Users\stu\Documents\GitHub\eaglep3-reporting\EC\2017-07-11-refined-times.txt</v>
      </c>
      <c r="AI75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{"issue":{"subject":"","project_id":79,"tracker_id":40,"status_id":1,"priority_id":2,"assigned_to_id":23,"start_date":"2017-07-11","description":"","custom_fields":[{"id":1,"name":"Subdivision","value":"EC"},{"id":4,"name":"Milepost","value":"23.3357"},{"id":17,"name":"Train ID","value":"163-11"},{"id":16,"name":"Locomotive ID","value":"4042"},{"id":130,"name":"Impact","value":""},{"id":150,"name":"Time of Event (Mountain Time)","value":"12:07:22"},{"id":151,"name":"Denver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4042 --day 2017-07-11</v>
      </c>
      <c r="AN75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718</v>
      </c>
      <c r="B76" s="7">
        <v>4041</v>
      </c>
      <c r="C76" s="21" t="s">
        <v>199</v>
      </c>
      <c r="D76" s="21" t="s">
        <v>850</v>
      </c>
      <c r="E76" s="13">
        <v>42927.506898148145</v>
      </c>
      <c r="F76" s="13">
        <v>42927.51898148148</v>
      </c>
      <c r="G76" s="7">
        <v>1</v>
      </c>
      <c r="H76" s="21" t="s">
        <v>429</v>
      </c>
      <c r="I76" s="13">
        <v>42927.549027777779</v>
      </c>
      <c r="J76" s="7">
        <v>0</v>
      </c>
      <c r="K76" s="89" t="str">
        <f t="shared" si="0"/>
        <v>4041/4042</v>
      </c>
      <c r="L76" s="21" t="str">
        <f>VLOOKUP(A76,'Trips&amp;Operators'!$C$1:$G$99999,5,FALSE)</f>
        <v>HART KEVIN</v>
      </c>
      <c r="M76" s="6">
        <f t="shared" si="1"/>
        <v>3.0046296298678499E-2</v>
      </c>
      <c r="N76" s="7">
        <f t="shared" si="25"/>
        <v>43.266666670097038</v>
      </c>
      <c r="O76" s="7"/>
      <c r="P76" s="7"/>
      <c r="Q76" s="22"/>
      <c r="R76" s="170"/>
      <c r="S76" s="213">
        <f t="shared" si="22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-11T11:09:56-0600',mode:absolute,to:'2017-07-11T14:10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23"/>
        <v>23.303000000000001</v>
      </c>
      <c r="Z76" s="197">
        <f t="shared" si="24"/>
        <v>1.3599999999999999E-2</v>
      </c>
      <c r="AA76" s="197">
        <f t="shared" si="9"/>
        <v>23.289400000000001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76" s="74" t="str">
        <f t="shared" si="12"/>
        <v>"C:\Program Files (x86)\AstroGrep\AstroGrep.exe" /e /r /s /spath="%USERPROFILE%\AppData\Local\Temp\OnboardLogs" /stypes="app*4041*20170711*"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164-11 --locoid 4041 --swversion DE.1.0.9.0 --startMP 204:233030 --initTime 2017-07-11T12:09:56 --startdatetime 2017-07-11T12:27:20 --delay 1 --endMP 204:136 --enddatetime 2017-07-11T13:10:36 --enforcementcount 0 &gt;&gt;C:\Users\stu\Documents\GitHub\eaglep3-reporting\EC\2017-07-11-refined-times.txt</v>
      </c>
      <c r="AI76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{"issue":{"subject":"","project_id":79,"tracker_id":40,"status_id":1,"priority_id":2,"assigned_to_id":23,"start_date":"2017-07-11","description":"","custom_fields":[{"id":1,"name":"Subdivision","value":"EC"},{"id":4,"name":"Milepost","value":"0.0136"},{"id":17,"name":"Train ID","value":"164-11"},{"id":16,"name":"Locomotive ID","value":"4041"},{"id":130,"name":"Impact","value":""},{"id":150,"name":"Time of Event (Mountain Time)","value":"13:10:36"},{"id":151,"name":"Denver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4041 --day 2017-07-11</v>
      </c>
      <c r="AN76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19:10:36"},{"id":29,"name":"Sharepoint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712</v>
      </c>
      <c r="B77" s="7">
        <v>4016</v>
      </c>
      <c r="C77" s="21" t="s">
        <v>199</v>
      </c>
      <c r="D77" s="21" t="s">
        <v>841</v>
      </c>
      <c r="E77" s="13">
        <v>42927.484398148146</v>
      </c>
      <c r="F77" s="13">
        <v>42927.490162037036</v>
      </c>
      <c r="G77" s="7">
        <v>2</v>
      </c>
      <c r="H77" s="21" t="s">
        <v>851</v>
      </c>
      <c r="I77" s="13">
        <v>42927.516458333332</v>
      </c>
      <c r="J77" s="7">
        <v>0</v>
      </c>
      <c r="K77" s="89" t="str">
        <f t="shared" ref="K77:K140" si="26">IF(ISEVEN(B77),(B77-1)&amp;"/"&amp;B77,B77&amp;"/"&amp;(B77+1))</f>
        <v>4015/4016</v>
      </c>
      <c r="L77" s="21" t="str">
        <f>VLOOKUP(A77,'Trips&amp;Operators'!$C$1:$G$99999,5,FALSE)</f>
        <v>LEVIN SCOTT</v>
      </c>
      <c r="M77" s="6">
        <f t="shared" ref="M77:M140" si="27">I77-F77</f>
        <v>2.6296296295186039E-2</v>
      </c>
      <c r="N77" s="7">
        <f t="shared" si="25"/>
        <v>37.866666665067896</v>
      </c>
      <c r="O77" s="7"/>
      <c r="P77" s="7"/>
      <c r="Q77" s="22"/>
      <c r="R77" s="170"/>
      <c r="S77" s="213">
        <f t="shared" ref="S77:S98" si="28">SUM(U77:U77)/IF(AG77="EC",12,1)</f>
        <v>1</v>
      </c>
      <c r="T77" s="195" t="str">
        <f t="shared" ref="T77:T140" si="29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-11T10:37:32-0600',mode:absolute,to:'2017-07-11T13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97" t="str">
        <f>IF(AA77&lt;VLOOKUP(AG77,Variables!$AC$3:$AD$8,2,FALSE),"Y","N")</f>
        <v>N</v>
      </c>
      <c r="X77" s="197">
        <f t="shared" ref="X77:X140" si="31">VALUE(LEFT(AD77,4))-VALUE(LEFT(AD76,4))</f>
        <v>1</v>
      </c>
      <c r="Y77" s="197">
        <f t="shared" ref="Y77:Y108" si="32">RIGHT(D77,LEN(D77)-4)/10000</f>
        <v>4.6699999999999998E-2</v>
      </c>
      <c r="Z77" s="197">
        <f t="shared" ref="Z77:Z108" si="33">RIGHT(H77,LEN(H77)-4)/10000</f>
        <v>23.341699999999999</v>
      </c>
      <c r="AA77" s="197">
        <f t="shared" ref="AA77:AA140" si="34">ABS(Z77-Y77)</f>
        <v>23.294999999999998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165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/stypes="app*4016*20170711*"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8"/>
        <v>"%USERPROFILE%\Documents\GitHub\eaglep3\Utilities\RefineRTDCRunTimes.py" --tripid 165-11 --locoid 4016 --swversion DE.1.0.9.0 --startMP 204:467 --initTime 2017-07-11T11:37:32 --startdatetime 2017-07-11T11:45:50 --delay 2 --endMP 204:233417 --enddatetime 2017-07-11T12:23:42 --enforcementcount 0 &gt;&gt;C:\Users\stu\Documents\GitHub\eaglep3-reporting\EC\2017-07-11-refined-times.txt</v>
      </c>
      <c r="AI77" s="96" t="str">
        <f t="shared" si="19"/>
        <v>echo {"issue":{"subject":"","project_id":79,"tracker_id":40,"status_id":1,"priority_id":2,"assigned_to_id":23,"start_date":"2017-07-11","description":"","custom_fields":[{"id":1,"name":"Subdivision","value":"EC"},{"id":4,"name":"Milepost","value":"23.3417"},{"id":17,"name":"Train ID","value":"165-11"},{"id":16,"name":"Locomotive ID","value":"4016"},{"id":130,"name":"Impact","value":""},{"id":150,"name":"Time of Event (Mountain Time)","value":"12:23:42"},{"id":151,"name":"Denver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4016 --day 2017-07-11</v>
      </c>
      <c r="AN77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724</v>
      </c>
      <c r="B78" s="7">
        <v>4015</v>
      </c>
      <c r="C78" s="21" t="s">
        <v>199</v>
      </c>
      <c r="D78" s="21" t="s">
        <v>852</v>
      </c>
      <c r="E78" s="13">
        <v>42927.526736111111</v>
      </c>
      <c r="F78" s="13">
        <v>42927.529421296298</v>
      </c>
      <c r="G78" s="7">
        <v>1</v>
      </c>
      <c r="H78" s="21" t="s">
        <v>853</v>
      </c>
      <c r="I78" s="13">
        <v>42927.557453703703</v>
      </c>
      <c r="J78" s="7">
        <v>0</v>
      </c>
      <c r="K78" s="89" t="str">
        <f t="shared" si="26"/>
        <v>4015/4016</v>
      </c>
      <c r="L78" s="21" t="str">
        <f>VLOOKUP(A78,'Trips&amp;Operators'!$C$1:$G$99999,5,FALSE)</f>
        <v>LEVIN SCOTT</v>
      </c>
      <c r="M78" s="6">
        <f t="shared" si="27"/>
        <v>2.8032407404680271E-2</v>
      </c>
      <c r="N78" s="7">
        <f t="shared" si="25"/>
        <v>40.36666666273959</v>
      </c>
      <c r="O78" s="7"/>
      <c r="P78" s="7"/>
      <c r="Q78" s="22"/>
      <c r="R78" s="170"/>
      <c r="S78" s="213">
        <f t="shared" si="28"/>
        <v>1</v>
      </c>
      <c r="T78" s="195" t="str">
        <f t="shared" si="29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-07-11T11:38:30-0600',mode:absolute,to:'2017-07-11T14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23.31</v>
      </c>
      <c r="Z78" s="197">
        <f t="shared" si="33"/>
        <v>1.2999999999999999E-2</v>
      </c>
      <c r="AA78" s="197">
        <f t="shared" si="34"/>
        <v>23.296999999999997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5"/>
        <v>166</v>
      </c>
      <c r="AE78" s="77" t="str">
        <f t="shared" si="36"/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AF78" s="74" t="str">
        <f t="shared" si="37"/>
        <v>"C:\Program Files (x86)\AstroGrep\AstroGrep.exe" /e /r /s /spath="%USERPROFILE%\AppData\Local\Temp\OnboardLogs" /stypes="app*4015*20170711*" /stext=" 19:.+((SYSTEM_STATE.+slice.+state.+changed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2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166-11 --locoid 4015 --swversion DE.1.0.9.0 --startMP 204:233100 --initTime 2017-07-11T12:38:30 --startdatetime 2017-07-11T12:42:22 --delay 1 --endMP 204:130 --enddatetime 2017-07-11T13:22:44 --enforcementcount 0 &gt;&gt;C:\Users\stu\Documents\GitHub\eaglep3-reporting\EC\2017-07-11-refined-times.txt</v>
      </c>
      <c r="AI78" s="96" t="str">
        <f t="shared" ref="AI78:AI142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{"issue":{"subject":"","project_id":79,"tracker_id":40,"status_id":1,"priority_id":2,"assigned_to_id":23,"start_date":"2017-07-11","description":"","custom_fields":[{"id":1,"name":"Subdivision","value":"EC"},{"id":4,"name":"Milepost","value":"0.013"},{"id":17,"name":"Train ID","value":"166-11"},{"id":16,"name":"Locomotive ID","value":"4015"},{"id":130,"name":"Impact","value":""},{"id":150,"name":"Time of Event (Mountain Time)","value":"13:22:44"},{"id":151,"name":"Denver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2" si="41">"start /low /b "&amp;dls3logs&amp;" --loco "&amp;B78&amp;" --day "&amp;TEXT(F78,"YYYY-MM-DD")</f>
        <v>start /low /b %USERPROFILE%\Documents\GitHub\eaglep3\Utilities\DownloadLogsFromS3.py --loco 4015 --day 2017-07-11</v>
      </c>
      <c r="AN78" s="151" t="str">
        <f t="shared" ref="AN78:AN142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584</v>
      </c>
      <c r="B79" s="7">
        <v>4032</v>
      </c>
      <c r="C79" s="21" t="s">
        <v>199</v>
      </c>
      <c r="D79" s="21" t="s">
        <v>420</v>
      </c>
      <c r="E79" s="13">
        <v>42927.497824074075</v>
      </c>
      <c r="F79" s="13">
        <v>42927.503206018519</v>
      </c>
      <c r="G79" s="7">
        <v>2</v>
      </c>
      <c r="H79" s="21" t="s">
        <v>854</v>
      </c>
      <c r="I79" s="13">
        <v>42927.531018518515</v>
      </c>
      <c r="J79" s="7">
        <v>0</v>
      </c>
      <c r="K79" s="89" t="str">
        <f t="shared" si="26"/>
        <v>4031/4032</v>
      </c>
      <c r="L79" s="21" t="str">
        <f>VLOOKUP(A79,'Trips&amp;Operators'!$C$1:$G$99999,5,FALSE)</f>
        <v>NICHOLSON WESLEY</v>
      </c>
      <c r="M79" s="6">
        <f t="shared" si="27"/>
        <v>2.7812499996798579E-2</v>
      </c>
      <c r="N79" s="7">
        <f t="shared" si="25"/>
        <v>40.049999995389953</v>
      </c>
      <c r="O79" s="7"/>
      <c r="P79" s="7"/>
      <c r="Q79" s="22"/>
      <c r="R79" s="170"/>
      <c r="S79" s="213">
        <f t="shared" si="28"/>
        <v>1</v>
      </c>
      <c r="T79" s="195" t="str">
        <f t="shared" si="29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-07-11T10:56:52-0600',mode:absolute,to:'2017-07-11T13:44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4.58E-2</v>
      </c>
      <c r="Z79" s="197">
        <f t="shared" si="33"/>
        <v>23.3309</v>
      </c>
      <c r="AA79" s="197">
        <f t="shared" si="34"/>
        <v>23.2851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167</v>
      </c>
      <c r="AE79" s="77" t="str">
        <f t="shared" si="36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79" s="74" t="str">
        <f t="shared" si="37"/>
        <v>"C:\Program Files (x86)\AstroGrep\AstroGrep.exe" /e /r /s /spath="%USERPROFILE%\AppData\Local\Temp\OnboardLogs" /stypes="app*4032*20170711*" /stext=" 18:.+((SYSTEM_STATE.+slice.+state.+changed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167-11 --locoid 4032 --swversion DE.1.0.9.0 --startMP 204:458 --initTime 2017-07-11T11:56:52 --startdatetime 2017-07-11T12:04:37 --delay 2 --endMP 204:233309 --enddatetime 2017-07-11T12:44:40 --enforcementcount 0 &gt;&gt;C:\Users\stu\Documents\GitHub\eaglep3-reporting\EC\2017-07-11-refined-times.txt</v>
      </c>
      <c r="AI79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{"issue":{"subject":"","project_id":79,"tracker_id":40,"status_id":1,"priority_id":2,"assigned_to_id":23,"start_date":"2017-07-11","description":"","custom_fields":[{"id":1,"name":"Subdivision","value":"EC"},{"id":4,"name":"Milepost","value":"23.3309"},{"id":17,"name":"Train ID","value":"167-11"},{"id":16,"name":"Locomotive ID","value":"4032"},{"id":130,"name":"Impact","value":""},{"id":150,"name":"Time of Event (Mountain Time)","value":"12:44:40"},{"id":151,"name":"Denver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4032 --day 2017-07-11</v>
      </c>
      <c r="AN79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18:44:40"},{"id":29,"name":"Sharepoint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727</v>
      </c>
      <c r="B80" s="7">
        <v>4031</v>
      </c>
      <c r="C80" s="21" t="s">
        <v>199</v>
      </c>
      <c r="D80" s="21" t="s">
        <v>456</v>
      </c>
      <c r="E80" s="13">
        <v>42927.535277777781</v>
      </c>
      <c r="F80" s="13">
        <v>42927.539918981478</v>
      </c>
      <c r="G80" s="7">
        <v>2</v>
      </c>
      <c r="H80" s="21" t="s">
        <v>546</v>
      </c>
      <c r="I80" s="13">
        <v>42927.570925925924</v>
      </c>
      <c r="J80" s="7">
        <v>0</v>
      </c>
      <c r="K80" s="89" t="str">
        <f t="shared" si="26"/>
        <v>4031/4032</v>
      </c>
      <c r="L80" s="21" t="str">
        <f>VLOOKUP(A80,'Trips&amp;Operators'!$C$1:$G$99999,5,FALSE)</f>
        <v>NICHOLSON WESLEY</v>
      </c>
      <c r="M80" s="6">
        <f t="shared" si="27"/>
        <v>3.1006944445834961E-2</v>
      </c>
      <c r="N80" s="7">
        <f t="shared" si="25"/>
        <v>44.650000002002344</v>
      </c>
      <c r="O80" s="7"/>
      <c r="P80" s="7"/>
      <c r="Q80" s="22"/>
      <c r="R80" s="170"/>
      <c r="S80" s="213">
        <f t="shared" si="28"/>
        <v>1</v>
      </c>
      <c r="T80" s="195" t="str">
        <f t="shared" si="29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-07-11T11:50:48-0600',mode:absolute,to:'2017-07-11T14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23.297699999999999</v>
      </c>
      <c r="Z80" s="197">
        <f t="shared" si="33"/>
        <v>1.5800000000000002E-2</v>
      </c>
      <c r="AA80" s="197">
        <f t="shared" si="34"/>
        <v>23.2819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168</v>
      </c>
      <c r="AE80" s="77" t="str">
        <f t="shared" si="36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80" s="74" t="str">
        <f t="shared" si="37"/>
        <v>"C:\Program Files (x86)\AstroGrep\AstroGrep.exe" /e /r /s /spath="%USERPROFILE%\AppData\Local\Temp\OnboardLogs" /stypes="app*4031*20170711*" /stext=" 19:.+((SYSTEM_STATE.+slice.+state.+changed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168-11 --locoid 4031 --swversion DE.1.0.9.0 --startMP 204:232977 --initTime 2017-07-11T12:50:48 --startdatetime 2017-07-11T12:57:29 --delay 2 --endMP 204:158 --enddatetime 2017-07-11T13:42:08 --enforcementcount 0 &gt;&gt;C:\Users\stu\Documents\GitHub\eaglep3-reporting\EC\2017-07-11-refined-times.txt</v>
      </c>
      <c r="AI80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{"issue":{"subject":"","project_id":79,"tracker_id":40,"status_id":1,"priority_id":2,"assigned_to_id":23,"start_date":"2017-07-11","description":"","custom_fields":[{"id":1,"name":"Subdivision","value":"EC"},{"id":4,"name":"Milepost","value":"0.0158"},{"id":17,"name":"Train ID","value":"168-11"},{"id":16,"name":"Locomotive ID","value":"4031"},{"id":130,"name":"Impact","value":""},{"id":150,"name":"Time of Event (Mountain Time)","value":"13:42:08"},{"id":151,"name":"Denver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4031 --day 2017-07-11</v>
      </c>
      <c r="AN80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720</v>
      </c>
      <c r="B81" s="7">
        <v>4022</v>
      </c>
      <c r="C81" s="21" t="s">
        <v>199</v>
      </c>
      <c r="D81" s="21" t="s">
        <v>428</v>
      </c>
      <c r="E81" s="13">
        <v>42927.507152777776</v>
      </c>
      <c r="F81" s="13">
        <v>42927.511087962965</v>
      </c>
      <c r="G81" s="7">
        <v>2</v>
      </c>
      <c r="H81" s="21" t="s">
        <v>855</v>
      </c>
      <c r="I81" s="13">
        <v>42927.538807870369</v>
      </c>
      <c r="J81" s="7">
        <v>0</v>
      </c>
      <c r="K81" s="89" t="str">
        <f t="shared" si="26"/>
        <v>4021/4022</v>
      </c>
      <c r="L81" s="21" t="str">
        <f>VLOOKUP(A81,'Trips&amp;Operators'!$C$1:$G$99999,5,FALSE)</f>
        <v>THOMPSON LESTER</v>
      </c>
      <c r="M81" s="6">
        <f t="shared" si="27"/>
        <v>2.7719907404389232E-2</v>
      </c>
      <c r="N81" s="7">
        <f t="shared" si="25"/>
        <v>39.916666662320495</v>
      </c>
      <c r="O81" s="7"/>
      <c r="P81" s="7"/>
      <c r="Q81" s="22"/>
      <c r="R81" s="170"/>
      <c r="S81" s="213">
        <f t="shared" si="28"/>
        <v>1</v>
      </c>
      <c r="T81" s="195" t="str">
        <f t="shared" si="29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-07-11T11:10:18-0600',mode:absolute,to:'2017-07-11T13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4.3700000000000003E-2</v>
      </c>
      <c r="Z81" s="197">
        <f t="shared" si="33"/>
        <v>23.33</v>
      </c>
      <c r="AA81" s="197">
        <f t="shared" si="34"/>
        <v>23.286299999999997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169</v>
      </c>
      <c r="AE81" s="77" t="str">
        <f t="shared" si="36"/>
        <v>aws s3 cp s3://rtdc.mdm.uploadarchive.raw/RTDC4022/ "%USERPROFILE%\AppData\Local\Temp\OnboardLogs"\RTDC4022\2017-07-11 --exclude "*" --recursive --include "*20170711*" &amp; "%USERPROFILE%\Documents\GitHub\mrs-test-scripts\Headless Mode &amp; Sideloading\WalkAndUnGZ.bat" "%USERPROFILE%\AppData\Local\Temp\OnboardLogs"\RTDC4022\2017-07-11 &amp; aws s3 cp s3://rtdc.mdm.uploadarchive.raw/RTDC4022/ "%USERPROFILE%\AppData\Local\Temp\OnboardLogs"\RTDC4022\2017-07-12 --exclude "*" --recursive --include "*20170712*" &amp; "%USERPROFILE%\Documents\GitHub\mrs-test-scripts\Headless Mode &amp; Sideloading\WalkAndUnGZ.bat" "%USERPROFILE%\AppData\Local\Temp\OnboardLogs"\RTDC4022\2017-07-12</v>
      </c>
      <c r="AF81" s="74" t="str">
        <f t="shared" si="37"/>
        <v>"C:\Program Files (x86)\AstroGrep\AstroGrep.exe" /e /r /s /spath="%USERPROFILE%\AppData\Local\Temp\OnboardLogs" /stypes="app*4022*20170711*" /stext=" 18:.+((SYSTEM_STATE.+slice.+state.+changed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169-11 --locoid 4022 --swversion DE.1.0.9.0 --startMP 204:437 --initTime 2017-07-11T12:10:18 --startdatetime 2017-07-11T12:15:58 --delay 2 --endMP 204:233300 --enddatetime 2017-07-11T12:55:53 --enforcementcount 0 &gt;&gt;C:\Users\stu\Documents\GitHub\eaglep3-reporting\EC\2017-07-11-refined-times.txt</v>
      </c>
      <c r="AI81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{"issue":{"subject":"","project_id":79,"tracker_id":40,"status_id":1,"priority_id":2,"assigned_to_id":23,"start_date":"2017-07-11","description":"","custom_fields":[{"id":1,"name":"Subdivision","value":"EC"},{"id":4,"name":"Milepost","value":"23.33"},{"id":17,"name":"Train ID","value":"169-11"},{"id":16,"name":"Locomotive ID","value":"4022"},{"id":130,"name":"Impact","value":""},{"id":150,"name":"Time of Event (Mountain Time)","value":"12:55:53"},{"id":151,"name":"Denver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4022 --day 2017-07-11</v>
      </c>
      <c r="AN81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729</v>
      </c>
      <c r="B82" s="7">
        <v>4021</v>
      </c>
      <c r="C82" s="21" t="s">
        <v>199</v>
      </c>
      <c r="D82" s="21" t="s">
        <v>848</v>
      </c>
      <c r="E82" s="13">
        <v>42927.547777777778</v>
      </c>
      <c r="F82" s="13">
        <v>42927.550439814811</v>
      </c>
      <c r="G82" s="7">
        <v>1</v>
      </c>
      <c r="H82" s="21" t="s">
        <v>429</v>
      </c>
      <c r="I82" s="13">
        <v>42927.580949074072</v>
      </c>
      <c r="J82" s="7">
        <v>0</v>
      </c>
      <c r="K82" s="89" t="str">
        <f t="shared" si="26"/>
        <v>4021/4022</v>
      </c>
      <c r="L82" s="21" t="str">
        <f>VLOOKUP(A82,'Trips&amp;Operators'!$C$1:$G$99999,5,FALSE)</f>
        <v>THOMPSON LESTER</v>
      </c>
      <c r="M82" s="6">
        <f t="shared" si="27"/>
        <v>3.050925926072523E-2</v>
      </c>
      <c r="N82" s="7">
        <f t="shared" si="25"/>
        <v>43.933333335444331</v>
      </c>
      <c r="O82" s="7"/>
      <c r="P82" s="7"/>
      <c r="Q82" s="22"/>
      <c r="R82" s="170"/>
      <c r="S82" s="213">
        <f t="shared" si="28"/>
        <v>1</v>
      </c>
      <c r="T82" s="195" t="str">
        <f t="shared" si="29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-07-11T12:08:48-0600',mode:absolute,to:'2017-07-11T14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23.297599999999999</v>
      </c>
      <c r="Z82" s="197">
        <f t="shared" si="33"/>
        <v>1.3599999999999999E-2</v>
      </c>
      <c r="AA82" s="197">
        <f t="shared" si="34"/>
        <v>23.283999999999999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170</v>
      </c>
      <c r="AE82" s="77" t="str">
        <f t="shared" si="36"/>
        <v>aws s3 cp s3://rtdc.mdm.uploadarchive.raw/RTDC4021/ "%USERPROFILE%\AppData\Local\Temp\OnboardLogs"\RTDC4021\2017-07-11 --exclude "*" --recursive --include "*20170711*" &amp; "%USERPROFILE%\Documents\GitHub\mrs-test-scripts\Headless Mode &amp; Sideloading\WalkAndUnGZ.bat" "%USERPROFILE%\AppData\Local\Temp\OnboardLogs"\RTDC4021\2017-07-11 &amp; aws s3 cp s3://rtdc.mdm.uploadarchive.raw/RTDC4021/ "%USERPROFILE%\AppData\Local\Temp\OnboardLogs"\RTDC4021\2017-07-12 --exclude "*" --recursive --include "*20170712*" &amp; "%USERPROFILE%\Documents\GitHub\mrs-test-scripts\Headless Mode &amp; Sideloading\WalkAndUnGZ.bat" "%USERPROFILE%\AppData\Local\Temp\OnboardLogs"\RTDC4021\2017-07-12</v>
      </c>
      <c r="AF82" s="74" t="str">
        <f t="shared" si="37"/>
        <v>"C:\Program Files (x86)\AstroGrep\AstroGrep.exe" /e /r /s /spath="%USERPROFILE%\AppData\Local\Temp\OnboardLogs" /stypes="app*4021*20170711*" /stext=" 19:.+((SYSTEM_STATE.+slice.+state.+changed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170-11 --locoid 4021 --swversion DE.1.0.9.0 --startMP 204:232976 --initTime 2017-07-11T13:08:48 --startdatetime 2017-07-11T13:12:38 --delay 1 --endMP 204:136 --enddatetime 2017-07-11T13:56:34 --enforcementcount 0 &gt;&gt;C:\Users\stu\Documents\GitHub\eaglep3-reporting\EC\2017-07-11-refined-times.txt</v>
      </c>
      <c r="AI82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{"issue":{"subject":"","project_id":79,"tracker_id":40,"status_id":1,"priority_id":2,"assigned_to_id":23,"start_date":"2017-07-11","description":"","custom_fields":[{"id":1,"name":"Subdivision","value":"EC"},{"id":4,"name":"Milepost","value":"0.0136"},{"id":17,"name":"Train ID","value":"170-11"},{"id":16,"name":"Locomotive ID","value":"4021"},{"id":130,"name":"Impact","value":""},{"id":150,"name":"Time of Event (Mountain Time)","value":"13:56:34"},{"id":151,"name":"Denver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4021 --day 2017-07-11</v>
      </c>
      <c r="AN82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722</v>
      </c>
      <c r="B83" s="7">
        <v>4008</v>
      </c>
      <c r="C83" s="21" t="s">
        <v>199</v>
      </c>
      <c r="D83" s="21" t="s">
        <v>400</v>
      </c>
      <c r="E83" s="13">
        <v>42927.520115740743</v>
      </c>
      <c r="F83" s="13">
        <v>42927.521863425929</v>
      </c>
      <c r="G83" s="7">
        <v>1</v>
      </c>
      <c r="H83" s="21" t="s">
        <v>437</v>
      </c>
      <c r="I83" s="13">
        <v>42927.549131944441</v>
      </c>
      <c r="J83" s="7">
        <v>0</v>
      </c>
      <c r="K83" s="89" t="str">
        <f t="shared" si="26"/>
        <v>4007/4008</v>
      </c>
      <c r="L83" s="21" t="str">
        <f>VLOOKUP(A83,'Trips&amp;Operators'!$C$1:$G$99999,5,FALSE)</f>
        <v>DAVIS MICHAEL</v>
      </c>
      <c r="M83" s="6">
        <f t="shared" si="27"/>
        <v>2.7268518511846196E-2</v>
      </c>
      <c r="N83" s="7">
        <f t="shared" si="25"/>
        <v>39.266666657058522</v>
      </c>
      <c r="O83" s="7"/>
      <c r="P83" s="7"/>
      <c r="Q83" s="22"/>
      <c r="R83" s="170"/>
      <c r="S83" s="213">
        <f t="shared" si="28"/>
        <v>1</v>
      </c>
      <c r="T83" s="195" t="str">
        <f t="shared" si="29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-07-11T11:28:58-0600',mode:absolute,to:'2017-07-11T14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4.6899999999999997E-2</v>
      </c>
      <c r="Z83" s="197">
        <f t="shared" si="33"/>
        <v>23.329499999999999</v>
      </c>
      <c r="AA83" s="197">
        <f t="shared" si="34"/>
        <v>23.282599999999999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171</v>
      </c>
      <c r="AE83" s="77" t="str">
        <f t="shared" si="36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83" s="74" t="str">
        <f t="shared" si="37"/>
        <v>"C:\Program Files (x86)\AstroGrep\AstroGrep.exe" /e /r /s /spath="%USERPROFILE%\AppData\Local\Temp\OnboardLogs" /stypes="app*4008*20170711*"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171-11 --locoid 4008 --swversion DE.1.0.9.0 --startMP 204:469 --initTime 2017-07-11T12:28:58 --startdatetime 2017-07-11T12:31:29 --delay 1 --endMP 204:233295 --enddatetime 2017-07-11T13:10:45 --enforcementcount 0 &gt;&gt;C:\Users\stu\Documents\GitHub\eaglep3-reporting\EC\2017-07-11-refined-times.txt</v>
      </c>
      <c r="AI83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{"issue":{"subject":"","project_id":79,"tracker_id":40,"status_id":1,"priority_id":2,"assigned_to_id":23,"start_date":"2017-07-11","description":"","custom_fields":[{"id":1,"name":"Subdivision","value":"EC"},{"id":4,"name":"Milepost","value":"23.3295"},{"id":17,"name":"Train ID","value":"171-11"},{"id":16,"name":"Locomotive ID","value":"4008"},{"id":130,"name":"Impact","value":""},{"id":150,"name":"Time of Event (Mountain Time)","value":"13:10:45"},{"id":151,"name":"Denver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4008 --day 2017-07-11</v>
      </c>
      <c r="AN83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585</v>
      </c>
      <c r="B84" s="7">
        <v>4007</v>
      </c>
      <c r="C84" s="21" t="s">
        <v>199</v>
      </c>
      <c r="D84" s="21" t="s">
        <v>840</v>
      </c>
      <c r="E84" s="13">
        <v>42927.558333333334</v>
      </c>
      <c r="F84" s="13">
        <v>42927.560833333337</v>
      </c>
      <c r="G84" s="7">
        <v>1</v>
      </c>
      <c r="H84" s="21" t="s">
        <v>445</v>
      </c>
      <c r="I84" s="13">
        <v>42927.592939814815</v>
      </c>
      <c r="J84" s="7">
        <v>0</v>
      </c>
      <c r="K84" s="89" t="str">
        <f t="shared" si="26"/>
        <v>4007/4008</v>
      </c>
      <c r="L84" s="21" t="str">
        <f>VLOOKUP(A84,'Trips&amp;Operators'!$C$1:$G$99999,5,FALSE)</f>
        <v>DAVIS MICHAEL</v>
      </c>
      <c r="M84" s="6">
        <f t="shared" si="27"/>
        <v>3.2106481477967463E-2</v>
      </c>
      <c r="N84" s="7">
        <f t="shared" si="25"/>
        <v>46.233333328273147</v>
      </c>
      <c r="O84" s="7"/>
      <c r="P84" s="7"/>
      <c r="Q84" s="22"/>
      <c r="R84" s="170"/>
      <c r="S84" s="213">
        <f t="shared" si="28"/>
        <v>1</v>
      </c>
      <c r="T84" s="195" t="str">
        <f t="shared" si="29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-07-11T12:24:00-0600',mode:absolute,to:'2017-07-11T15:13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23.299399999999999</v>
      </c>
      <c r="Z84" s="197">
        <f t="shared" si="33"/>
        <v>1.32E-2</v>
      </c>
      <c r="AA84" s="197">
        <f t="shared" si="34"/>
        <v>23.286199999999997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172</v>
      </c>
      <c r="AE84" s="77" t="str">
        <f t="shared" si="36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84" s="74" t="str">
        <f t="shared" si="37"/>
        <v>"C:\Program Files (x86)\AstroGrep\AstroGrep.exe" /e /r /s /spath="%USERPROFILE%\AppData\Local\Temp\OnboardLogs" /stypes="app*4007*20170711*" /stext=" 20:.+((SYSTEM_STATE.+slice.+state.+changed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172-11 --locoid 4007 --swversion DE.1.0.9.0 --startMP 204:232994 --initTime 2017-07-11T13:24:00 --startdatetime 2017-07-11T13:27:36 --delay 1 --endMP 204:132 --enddatetime 2017-07-11T14:13:50 --enforcementcount 0 &gt;&gt;C:\Users\stu\Documents\GitHub\eaglep3-reporting\EC\2017-07-11-refined-times.txt</v>
      </c>
      <c r="AI84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{"issue":{"subject":"","project_id":79,"tracker_id":40,"status_id":1,"priority_id":2,"assigned_to_id":23,"start_date":"2017-07-11","description":"","custom_fields":[{"id":1,"name":"Subdivision","value":"EC"},{"id":4,"name":"Milepost","value":"0.0132"},{"id":17,"name":"Train ID","value":"172-11"},{"id":16,"name":"Locomotive ID","value":"4007"},{"id":130,"name":"Impact","value":""},{"id":150,"name":"Time of Event (Mountain Time)","value":"14:13:50"},{"id":151,"name":"Denver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4007 --day 2017-07-11</v>
      </c>
      <c r="AN84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20:13:50"},{"id":29,"name":"Sharepoint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725</v>
      </c>
      <c r="B85" s="7">
        <v>4064</v>
      </c>
      <c r="C85" s="21" t="s">
        <v>199</v>
      </c>
      <c r="D85" s="21" t="s">
        <v>400</v>
      </c>
      <c r="E85" s="13">
        <v>42927.529236111113</v>
      </c>
      <c r="F85" s="13">
        <v>42927.532314814816</v>
      </c>
      <c r="G85" s="7">
        <v>2</v>
      </c>
      <c r="H85" s="21" t="s">
        <v>544</v>
      </c>
      <c r="I85" s="13">
        <v>42927.558310185188</v>
      </c>
      <c r="J85" s="7">
        <v>0</v>
      </c>
      <c r="K85" s="89" t="str">
        <f t="shared" si="26"/>
        <v>4063/4064</v>
      </c>
      <c r="L85" s="21" t="str">
        <f>VLOOKUP(A85,'Trips&amp;Operators'!$C$1:$G$99999,5,FALSE)</f>
        <v>MCREYNOLDS KYLE</v>
      </c>
      <c r="M85" s="6">
        <f t="shared" si="27"/>
        <v>2.5995370371674653E-2</v>
      </c>
      <c r="N85" s="7">
        <f t="shared" si="25"/>
        <v>37.433333335211501</v>
      </c>
      <c r="O85" s="7"/>
      <c r="P85" s="7"/>
      <c r="Q85" s="22"/>
      <c r="R85" s="170"/>
      <c r="S85" s="213">
        <f t="shared" si="28"/>
        <v>1</v>
      </c>
      <c r="T85" s="195" t="str">
        <f t="shared" si="29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-07-11T11:42:06-0600',mode:absolute,to:'2017-07-11T14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4.6899999999999997E-2</v>
      </c>
      <c r="Z85" s="197">
        <f t="shared" si="33"/>
        <v>23.335899999999999</v>
      </c>
      <c r="AA85" s="197">
        <f t="shared" si="34"/>
        <v>23.288999999999998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173</v>
      </c>
      <c r="AE85" s="77" t="str">
        <f t="shared" si="36"/>
        <v>aws s3 cp s3://rtdc.mdm.uploadarchive.raw/RTDC4064/ "%USERPROFILE%\AppData\Local\Temp\OnboardLogs"\RTDC4064\2017-07-11 --exclude "*" --recursive --include "*20170711*" &amp; "%USERPROFILE%\Documents\GitHub\mrs-test-scripts\Headless Mode &amp; Sideloading\WalkAndUnGZ.bat" "%USERPROFILE%\AppData\Local\Temp\OnboardLogs"\RTDC4064\2017-07-11 &amp; aws s3 cp s3://rtdc.mdm.uploadarchive.raw/RTDC4064/ "%USERPROFILE%\AppData\Local\Temp\OnboardLogs"\RTDC4064\2017-07-12 --exclude "*" --recursive --include "*20170712*" &amp; "%USERPROFILE%\Documents\GitHub\mrs-test-scripts\Headless Mode &amp; Sideloading\WalkAndUnGZ.bat" "%USERPROFILE%\AppData\Local\Temp\OnboardLogs"\RTDC4064\2017-07-12</v>
      </c>
      <c r="AF85" s="74" t="str">
        <f t="shared" si="37"/>
        <v>"C:\Program Files (x86)\AstroGrep\AstroGrep.exe" /e /r /s /spath="%USERPROFILE%\AppData\Local\Temp\OnboardLogs" /stypes="app*4064*20170711*" /stext=" 19:.+((SYSTEM_STATE.+slice.+state.+changed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173-11 --locoid 4064 --swversion DE.1.0.9.0 --startMP 204:469 --initTime 2017-07-11T12:42:06 --startdatetime 2017-07-11T12:46:32 --delay 2 --endMP 204:233359 --enddatetime 2017-07-11T13:23:58 --enforcementcount 0 &gt;&gt;C:\Users\stu\Documents\GitHub\eaglep3-reporting\EC\2017-07-11-refined-times.txt</v>
      </c>
      <c r="AI85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{"issue":{"subject":"","project_id":79,"tracker_id":40,"status_id":1,"priority_id":2,"assigned_to_id":23,"start_date":"2017-07-11","description":"","custom_fields":[{"id":1,"name":"Subdivision","value":"EC"},{"id":4,"name":"Milepost","value":"23.3359"},{"id":17,"name":"Train ID","value":"173-11"},{"id":16,"name":"Locomotive ID","value":"4064"},{"id":130,"name":"Impact","value":""},{"id":150,"name":"Time of Event (Mountain Time)","value":"13:23:58"},{"id":151,"name":"Denver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4064 --day 2017-07-11</v>
      </c>
      <c r="AN85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732</v>
      </c>
      <c r="B86" s="7">
        <v>4063</v>
      </c>
      <c r="C86" s="21" t="s">
        <v>199</v>
      </c>
      <c r="D86" s="21" t="s">
        <v>856</v>
      </c>
      <c r="E86" s="13">
        <v>42927.564583333333</v>
      </c>
      <c r="F86" s="13">
        <v>42927.571006944447</v>
      </c>
      <c r="G86" s="7">
        <v>2</v>
      </c>
      <c r="H86" s="21" t="s">
        <v>346</v>
      </c>
      <c r="I86" s="13">
        <v>42927.598414351851</v>
      </c>
      <c r="J86" s="7">
        <v>0</v>
      </c>
      <c r="K86" s="89" t="str">
        <f t="shared" si="26"/>
        <v>4063/4064</v>
      </c>
      <c r="L86" s="21" t="str">
        <f>VLOOKUP(A86,'Trips&amp;Operators'!$C$1:$G$99999,5,FALSE)</f>
        <v>MCREYNOLDS KYLE</v>
      </c>
      <c r="M86" s="6">
        <f t="shared" si="27"/>
        <v>2.7407407404098194E-2</v>
      </c>
      <c r="N86" s="7">
        <f t="shared" si="25"/>
        <v>39.466666661901399</v>
      </c>
      <c r="O86" s="7"/>
      <c r="P86" s="7"/>
      <c r="Q86" s="22"/>
      <c r="R86" s="170"/>
      <c r="S86" s="213">
        <f t="shared" si="28"/>
        <v>1</v>
      </c>
      <c r="T86" s="195" t="str">
        <f t="shared" si="29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-07-11T12:33:00-0600',mode:absolute,to:'2017-07-11T15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23.306000000000001</v>
      </c>
      <c r="Z86" s="197">
        <f t="shared" si="33"/>
        <v>1.43E-2</v>
      </c>
      <c r="AA86" s="197">
        <f t="shared" si="34"/>
        <v>23.291700000000002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174</v>
      </c>
      <c r="AE86" s="77" t="str">
        <f t="shared" si="36"/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AF86" s="74" t="str">
        <f t="shared" si="37"/>
        <v>"C:\Program Files (x86)\AstroGrep\AstroGrep.exe" /e /r /s /spath="%USERPROFILE%\AppData\Local\Temp\OnboardLogs" /stypes="app*4063*20170711*" /stext=" 20:.+((SYSTEM_STATE.+slice.+state.+changed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174-11 --locoid 4063 --swversion DE.1.0.9.0 --startMP 204:233060 --initTime 2017-07-11T13:33:00 --startdatetime 2017-07-11T13:42:15 --delay 2 --endMP 204:143 --enddatetime 2017-07-11T14:21:43 --enforcementcount 0 &gt;&gt;C:\Users\stu\Documents\GitHub\eaglep3-reporting\EC\2017-07-11-refined-times.txt</v>
      </c>
      <c r="AI86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{"issue":{"subject":"","project_id":79,"tracker_id":40,"status_id":1,"priority_id":2,"assigned_to_id":23,"start_date":"2017-07-11","description":"","custom_fields":[{"id":1,"name":"Subdivision","value":"EC"},{"id":4,"name":"Milepost","value":"0.0143"},{"id":17,"name":"Train ID","value":"174-11"},{"id":16,"name":"Locomotive ID","value":"4063"},{"id":130,"name":"Impact","value":""},{"id":150,"name":"Time of Event (Mountain Time)","value":"14:21:43"},{"id":151,"name":"Denver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4063 --day 2017-07-11</v>
      </c>
      <c r="AN86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728</v>
      </c>
      <c r="B87" s="7">
        <v>4028</v>
      </c>
      <c r="C87" s="21" t="s">
        <v>199</v>
      </c>
      <c r="D87" s="21" t="s">
        <v>439</v>
      </c>
      <c r="E87" s="13">
        <v>42927.54247685185</v>
      </c>
      <c r="F87" s="13">
        <v>42927.544212962966</v>
      </c>
      <c r="G87" s="7">
        <v>1</v>
      </c>
      <c r="H87" s="21" t="s">
        <v>541</v>
      </c>
      <c r="I87" s="13">
        <v>42927.569525462961</v>
      </c>
      <c r="J87" s="7">
        <v>0</v>
      </c>
      <c r="K87" s="89" t="str">
        <f t="shared" si="26"/>
        <v>4027/4028</v>
      </c>
      <c r="L87" s="21" t="str">
        <f>VLOOKUP(A87,'Trips&amp;Operators'!$C$1:$G$99999,5,FALSE)</f>
        <v>STEWART MICHAEL</v>
      </c>
      <c r="M87" s="6">
        <f t="shared" si="27"/>
        <v>2.5312499994470272E-2</v>
      </c>
      <c r="N87" s="7">
        <f t="shared" si="25"/>
        <v>36.449999992037192</v>
      </c>
      <c r="O87" s="7"/>
      <c r="P87" s="7"/>
      <c r="Q87" s="22"/>
      <c r="R87" s="170"/>
      <c r="S87" s="213">
        <f t="shared" si="28"/>
        <v>1</v>
      </c>
      <c r="T87" s="195" t="str">
        <f t="shared" si="29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-07-11T12:01:10-0600',mode:absolute,to:'2017-07-11T14:40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4.7100000000000003E-2</v>
      </c>
      <c r="Z87" s="197">
        <f t="shared" si="33"/>
        <v>23.331099999999999</v>
      </c>
      <c r="AA87" s="197">
        <f t="shared" si="34"/>
        <v>23.283999999999999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175</v>
      </c>
      <c r="AE87" s="77" t="str">
        <f t="shared" si="36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87" s="74" t="str">
        <f t="shared" si="37"/>
        <v>"C:\Program Files (x86)\AstroGrep\AstroGrep.exe" /e /r /s /spath="%USERPROFILE%\AppData\Local\Temp\OnboardLogs" /stypes="app*4028*20170711*" /stext=" 19:.+((SYSTEM_STATE.+slice.+state.+changed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175-11 --locoid 4028 --swversion DE.1.0.9.0 --startMP 204:471 --initTime 2017-07-11T13:01:10 --startdatetime 2017-07-11T13:03:40 --delay 1 --endMP 204:233311 --enddatetime 2017-07-11T13:40:07 --enforcementcount 0 &gt;&gt;C:\Users\stu\Documents\GitHub\eaglep3-reporting\EC\2017-07-11-refined-times.txt</v>
      </c>
      <c r="AI87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{"issue":{"subject":"","project_id":79,"tracker_id":40,"status_id":1,"priority_id":2,"assigned_to_id":23,"start_date":"2017-07-11","description":"","custom_fields":[{"id":1,"name":"Subdivision","value":"EC"},{"id":4,"name":"Milepost","value":"23.3311"},{"id":17,"name":"Train ID","value":"175-11"},{"id":16,"name":"Locomotive ID","value":"4028"},{"id":130,"name":"Impact","value":""},{"id":150,"name":"Time of Event (Mountain Time)","value":"13:40:07"},{"id":151,"name":"Denver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4028 --day 2017-07-11</v>
      </c>
      <c r="AN87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19:40:07"},{"id":29,"name":"Sharepoint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735</v>
      </c>
      <c r="B88" s="7">
        <v>4027</v>
      </c>
      <c r="C88" s="21" t="s">
        <v>199</v>
      </c>
      <c r="D88" s="21" t="s">
        <v>456</v>
      </c>
      <c r="E88" s="13">
        <v>42927.577627314815</v>
      </c>
      <c r="F88" s="13">
        <v>42927.581689814811</v>
      </c>
      <c r="G88" s="7">
        <v>1</v>
      </c>
      <c r="H88" s="21" t="s">
        <v>344</v>
      </c>
      <c r="I88" s="13">
        <v>42927.610300925924</v>
      </c>
      <c r="J88" s="7">
        <v>0</v>
      </c>
      <c r="K88" s="89" t="str">
        <f t="shared" si="26"/>
        <v>4027/4028</v>
      </c>
      <c r="L88" s="21" t="str">
        <f>VLOOKUP(A88,'Trips&amp;Operators'!$C$1:$G$99999,5,FALSE)</f>
        <v>STEWART MICHAEL</v>
      </c>
      <c r="M88" s="6">
        <f t="shared" si="27"/>
        <v>2.8611111112695653E-2</v>
      </c>
      <c r="N88" s="7">
        <f t="shared" si="25"/>
        <v>41.20000000228174</v>
      </c>
      <c r="O88" s="7"/>
      <c r="P88" s="7"/>
      <c r="Q88" s="22"/>
      <c r="R88" s="170"/>
      <c r="S88" s="213">
        <f t="shared" si="28"/>
        <v>1</v>
      </c>
      <c r="T88" s="195" t="str">
        <f t="shared" si="29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-07-11T12:51:47-0600',mode:absolute,to:'2017-07-11T15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23.297699999999999</v>
      </c>
      <c r="Z88" s="197">
        <f t="shared" si="33"/>
        <v>1.4999999999999999E-2</v>
      </c>
      <c r="AA88" s="197">
        <f t="shared" si="34"/>
        <v>23.282699999999998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176</v>
      </c>
      <c r="AE88" s="77" t="str">
        <f t="shared" si="36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88" s="74" t="str">
        <f t="shared" si="37"/>
        <v>"C:\Program Files (x86)\AstroGrep\AstroGrep.exe" /e /r /s /spath="%USERPROFILE%\AppData\Local\Temp\OnboardLogs" /stypes="app*4027*20170711*" /stext=" 20:.+((SYSTEM_STATE.+slice.+state.+changed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176-11 --locoid 4027 --swversion DE.1.0.9.0 --startMP 204:232977 --initTime 2017-07-11T13:51:47 --startdatetime 2017-07-11T13:57:38 --delay 1 --endMP 204:150 --enddatetime 2017-07-11T14:38:50 --enforcementcount 0 &gt;&gt;C:\Users\stu\Documents\GitHub\eaglep3-reporting\EC\2017-07-11-refined-times.txt</v>
      </c>
      <c r="AI88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{"issue":{"subject":"","project_id":79,"tracker_id":40,"status_id":1,"priority_id":2,"assigned_to_id":23,"start_date":"2017-07-11","description":"","custom_fields":[{"id":1,"name":"Subdivision","value":"EC"},{"id":4,"name":"Milepost","value":"0.015"},{"id":17,"name":"Train ID","value":"176-11"},{"id":16,"name":"Locomotive ID","value":"4027"},{"id":130,"name":"Impact","value":""},{"id":150,"name":"Time of Event (Mountain Time)","value":"14:38:50"},{"id":151,"name":"Denver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4027 --day 2017-07-11</v>
      </c>
      <c r="AN88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586</v>
      </c>
      <c r="B89" s="7">
        <v>4042</v>
      </c>
      <c r="C89" s="21" t="s">
        <v>199</v>
      </c>
      <c r="D89" s="21" t="s">
        <v>343</v>
      </c>
      <c r="E89" s="13">
        <v>42927.550115740742</v>
      </c>
      <c r="F89" s="13">
        <v>42927.55259259259</v>
      </c>
      <c r="G89" s="7">
        <v>1</v>
      </c>
      <c r="H89" s="21" t="s">
        <v>857</v>
      </c>
      <c r="I89" s="13">
        <v>42927.579108796293</v>
      </c>
      <c r="J89" s="7">
        <v>0</v>
      </c>
      <c r="K89" s="89" t="str">
        <f t="shared" si="26"/>
        <v>4041/4042</v>
      </c>
      <c r="L89" s="21" t="str">
        <f>VLOOKUP(A89,'Trips&amp;Operators'!$C$1:$G$99999,5,FALSE)</f>
        <v>HART KEVIN</v>
      </c>
      <c r="M89" s="6">
        <f t="shared" si="27"/>
        <v>2.6516203703067731E-2</v>
      </c>
      <c r="N89" s="7">
        <f t="shared" si="25"/>
        <v>38.183333332417533</v>
      </c>
      <c r="O89" s="7"/>
      <c r="P89" s="7"/>
      <c r="Q89" s="22"/>
      <c r="R89" s="170"/>
      <c r="S89" s="213">
        <f t="shared" si="28"/>
        <v>1</v>
      </c>
      <c r="T89" s="195" t="str">
        <f t="shared" si="29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-07-11T12:12:10-0600',mode:absolute,to:'2017-07-11T14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4.4600000000000001E-2</v>
      </c>
      <c r="Z89" s="197">
        <f t="shared" si="33"/>
        <v>23.3202</v>
      </c>
      <c r="AA89" s="197">
        <f t="shared" si="34"/>
        <v>23.275600000000001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177</v>
      </c>
      <c r="AE89" s="77" t="str">
        <f t="shared" si="36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89" s="74" t="str">
        <f t="shared" si="37"/>
        <v>"C:\Program Files (x86)\AstroGrep\AstroGrep.exe" /e /r /s /spath="%USERPROFILE%\AppData\Local\Temp\OnboardLogs" /stypes="app*4042*20170711*" /stext=" 19:.+((SYSTEM_STATE.+slice.+state.+changed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177-11 --locoid 4042 --swversion DE.1.0.9.0 --startMP 204:446 --initTime 2017-07-11T13:12:10 --startdatetime 2017-07-11T13:15:44 --delay 1 --endMP 204:233202 --enddatetime 2017-07-11T13:53:55 --enforcementcount 0 &gt;&gt;C:\Users\stu\Documents\GitHub\eaglep3-reporting\EC\2017-07-11-refined-times.txt</v>
      </c>
      <c r="AI89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{"issue":{"subject":"","project_id":79,"tracker_id":40,"status_id":1,"priority_id":2,"assigned_to_id":23,"start_date":"2017-07-11","description":"","custom_fields":[{"id":1,"name":"Subdivision","value":"EC"},{"id":4,"name":"Milepost","value":"23.3202"},{"id":17,"name":"Train ID","value":"177-11"},{"id":16,"name":"Locomotive ID","value":"4042"},{"id":130,"name":"Impact","value":""},{"id":150,"name":"Time of Event (Mountain Time)","value":"13:53:55"},{"id":151,"name":"Denver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4042 --day 2017-07-11</v>
      </c>
      <c r="AN89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737</v>
      </c>
      <c r="B90" s="7">
        <v>4041</v>
      </c>
      <c r="C90" s="21" t="s">
        <v>199</v>
      </c>
      <c r="D90" s="21" t="s">
        <v>858</v>
      </c>
      <c r="E90" s="13">
        <v>42927.588483796295</v>
      </c>
      <c r="F90" s="13">
        <v>42927.591828703706</v>
      </c>
      <c r="G90" s="7">
        <v>1</v>
      </c>
      <c r="H90" s="21" t="s">
        <v>429</v>
      </c>
      <c r="I90" s="13">
        <v>42927.619456018518</v>
      </c>
      <c r="J90" s="7">
        <v>0</v>
      </c>
      <c r="K90" s="89" t="str">
        <f t="shared" si="26"/>
        <v>4041/4042</v>
      </c>
      <c r="L90" s="21" t="str">
        <f>VLOOKUP(A90,'Trips&amp;Operators'!$C$1:$G$99999,5,FALSE)</f>
        <v>HART KEVIN</v>
      </c>
      <c r="M90" s="6">
        <f t="shared" si="27"/>
        <v>2.7627314811979886E-2</v>
      </c>
      <c r="N90" s="7">
        <f t="shared" si="25"/>
        <v>39.783333329251036</v>
      </c>
      <c r="O90" s="7"/>
      <c r="P90" s="7"/>
      <c r="Q90" s="22"/>
      <c r="R90" s="170"/>
      <c r="S90" s="213">
        <f t="shared" si="28"/>
        <v>1</v>
      </c>
      <c r="T90" s="195" t="str">
        <f t="shared" si="29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-07-11T13:07:25-0600',mode:absolute,to:'2017-07-11T15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23.290400000000002</v>
      </c>
      <c r="Z90" s="197">
        <f t="shared" si="33"/>
        <v>1.3599999999999999E-2</v>
      </c>
      <c r="AA90" s="197">
        <f t="shared" si="34"/>
        <v>23.276800000000001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178</v>
      </c>
      <c r="AE90" s="77" t="str">
        <f t="shared" si="36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90" s="74" t="str">
        <f t="shared" si="37"/>
        <v>"C:\Program Files (x86)\AstroGrep\AstroGrep.exe" /e /r /s /spath="%USERPROFILE%\AppData\Local\Temp\OnboardLogs" /stypes="app*4041*20170711*"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178-11 --locoid 4041 --swversion DE.1.0.9.0 --startMP 204:232904 --initTime 2017-07-11T14:07:25 --startdatetime 2017-07-11T14:12:14 --delay 1 --endMP 204:136 --enddatetime 2017-07-11T14:52:01 --enforcementcount 0 &gt;&gt;C:\Users\stu\Documents\GitHub\eaglep3-reporting\EC\2017-07-11-refined-times.txt</v>
      </c>
      <c r="AI90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{"issue":{"subject":"","project_id":79,"tracker_id":40,"status_id":1,"priority_id":2,"assigned_to_id":23,"start_date":"2017-07-11","description":"","custom_fields":[{"id":1,"name":"Subdivision","value":"EC"},{"id":4,"name":"Milepost","value":"0.0136"},{"id":17,"name":"Train ID","value":"178-11"},{"id":16,"name":"Locomotive ID","value":"4041"},{"id":130,"name":"Impact","value":""},{"id":150,"name":"Time of Event (Mountain Time)","value":"14:52:01"},{"id":151,"name":"Denver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4041 --day 2017-07-11</v>
      </c>
      <c r="AN90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587</v>
      </c>
      <c r="B91" s="7">
        <v>4016</v>
      </c>
      <c r="C91" s="21" t="s">
        <v>199</v>
      </c>
      <c r="D91" s="21" t="s">
        <v>514</v>
      </c>
      <c r="E91" s="13">
        <v>42927.558865740742</v>
      </c>
      <c r="F91" s="13">
        <v>42927.562939814816</v>
      </c>
      <c r="G91" s="7">
        <v>1</v>
      </c>
      <c r="H91" s="21" t="s">
        <v>859</v>
      </c>
      <c r="I91" s="13">
        <v>42927.588761574072</v>
      </c>
      <c r="J91" s="7">
        <v>0</v>
      </c>
      <c r="K91" s="89" t="str">
        <f t="shared" si="26"/>
        <v>4015/4016</v>
      </c>
      <c r="L91" s="21" t="str">
        <f>VLOOKUP(A91,'Trips&amp;Operators'!$C$1:$G$99999,5,FALSE)</f>
        <v>LEVIN SCOTT</v>
      </c>
      <c r="M91" s="6">
        <f t="shared" si="27"/>
        <v>2.5821759256359655E-2</v>
      </c>
      <c r="N91" s="7">
        <f t="shared" si="25"/>
        <v>37.183333329157904</v>
      </c>
      <c r="O91" s="7"/>
      <c r="P91" s="7"/>
      <c r="Q91" s="22"/>
      <c r="R91" s="170"/>
      <c r="S91" s="213">
        <f t="shared" si="28"/>
        <v>1</v>
      </c>
      <c r="T91" s="195" t="str">
        <f t="shared" si="29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-07-11T12:24:46-0600',mode:absolute,to:'2017-07-11T15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97" t="str">
        <f>IF(AA91&lt;VLOOKUP(AG91,Variables!$AC$3:$AD$8,2,FALSE),"Y","N")</f>
        <v>N</v>
      </c>
      <c r="X91" s="197">
        <f t="shared" si="31"/>
        <v>1</v>
      </c>
      <c r="Y91" s="197">
        <f t="shared" si="32"/>
        <v>4.3799999999999999E-2</v>
      </c>
      <c r="Z91" s="197">
        <f t="shared" si="33"/>
        <v>23.334900000000001</v>
      </c>
      <c r="AA91" s="197">
        <f t="shared" si="34"/>
        <v>23.2911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179</v>
      </c>
      <c r="AE91" s="77" t="str">
        <f t="shared" si="36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91" s="74" t="str">
        <f t="shared" si="37"/>
        <v>"C:\Program Files (x86)\AstroGrep\AstroGrep.exe" /e /r /s /spath="%USERPROFILE%\AppData\Local\Temp\OnboardLogs" /stypes="app*4016*20170711*" /stext=" 20:.+((SYSTEM_STATE.+slice.+state.+changed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179-11 --locoid 4016 --swversion DE.1.0.9.0 --startMP 204:438 --initTime 2017-07-11T13:24:46 --startdatetime 2017-07-11T13:30:38 --delay 1 --endMP 204:233349 --enddatetime 2017-07-11T14:07:49 --enforcementcount 0 &gt;&gt;C:\Users\stu\Documents\GitHub\eaglep3-reporting\EC\2017-07-11-refined-times.txt</v>
      </c>
      <c r="AI91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{"issue":{"subject":"","project_id":79,"tracker_id":40,"status_id":1,"priority_id":2,"assigned_to_id":23,"start_date":"2017-07-11","description":"","custom_fields":[{"id":1,"name":"Subdivision","value":"EC"},{"id":4,"name":"Milepost","value":"23.3349"},{"id":17,"name":"Train ID","value":"179-11"},{"id":16,"name":"Locomotive ID","value":"4016"},{"id":130,"name":"Impact","value":""},{"id":150,"name":"Time of Event (Mountain Time)","value":"14:07:49"},{"id":151,"name":"Denver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1"/>
        <v>start /low /b %USERPROFILE%\Documents\GitHub\eaglep3\Utilities\DownloadLogsFromS3.py --loco 4016 --day 2017-07-11</v>
      </c>
      <c r="AN91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589</v>
      </c>
      <c r="B92" s="7">
        <v>4015</v>
      </c>
      <c r="C92" s="21" t="s">
        <v>199</v>
      </c>
      <c r="D92" s="21" t="s">
        <v>860</v>
      </c>
      <c r="E92" s="13">
        <v>42927.600266203706</v>
      </c>
      <c r="F92" s="13">
        <v>42927.602268518516</v>
      </c>
      <c r="G92" s="7">
        <v>2</v>
      </c>
      <c r="H92" s="21" t="s">
        <v>354</v>
      </c>
      <c r="I92" s="13">
        <v>42927.631608796299</v>
      </c>
      <c r="J92" s="7">
        <v>0</v>
      </c>
      <c r="K92" s="89" t="str">
        <f t="shared" si="26"/>
        <v>4015/4016</v>
      </c>
      <c r="L92" s="21" t="str">
        <f>VLOOKUP(A92,'Trips&amp;Operators'!$C$1:$G$99999,5,FALSE)</f>
        <v>LEVIN SCOTT</v>
      </c>
      <c r="M92" s="6">
        <f t="shared" si="27"/>
        <v>2.9340277782466728E-2</v>
      </c>
      <c r="N92" s="7">
        <f t="shared" si="25"/>
        <v>42.250000006752089</v>
      </c>
      <c r="O92" s="7"/>
      <c r="P92" s="7"/>
      <c r="Q92" s="22"/>
      <c r="R92" s="170"/>
      <c r="S92" s="213">
        <f t="shared" si="28"/>
        <v>1</v>
      </c>
      <c r="T92" s="195" t="str">
        <f t="shared" si="29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-07-11T13:24:23-0600',mode:absolute,to:'2017-07-11T16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23.305299999999999</v>
      </c>
      <c r="Z92" s="197">
        <f t="shared" si="33"/>
        <v>1.41E-2</v>
      </c>
      <c r="AA92" s="197">
        <f t="shared" si="34"/>
        <v>23.2912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180</v>
      </c>
      <c r="AE92" s="77" t="str">
        <f t="shared" si="36"/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AF92" s="74" t="str">
        <f t="shared" si="37"/>
        <v>"C:\Program Files (x86)\AstroGrep\AstroGrep.exe" /e /r /s /spath="%USERPROFILE%\AppData\Local\Temp\OnboardLogs" /stypes="app*4015*20170711*" /stext=" 21:.+((SYSTEM_STATE.+slice.+state.+changed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180-11 --locoid 4015 --swversion DE.1.0.9.0 --startMP 204:233053 --initTime 2017-07-11T14:24:23 --startdatetime 2017-07-11T14:27:16 --delay 2 --endMP 204:141 --enddatetime 2017-07-11T15:09:31 --enforcementcount 0 &gt;&gt;C:\Users\stu\Documents\GitHub\eaglep3-reporting\EC\2017-07-11-refined-times.txt</v>
      </c>
      <c r="AI92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{"issue":{"subject":"","project_id":79,"tracker_id":40,"status_id":1,"priority_id":2,"assigned_to_id":23,"start_date":"2017-07-11","description":"","custom_fields":[{"id":1,"name":"Subdivision","value":"EC"},{"id":4,"name":"Milepost","value":"0.0141"},{"id":17,"name":"Train ID","value":"180-11"},{"id":16,"name":"Locomotive ID","value":"4015"},{"id":130,"name":"Impact","value":""},{"id":150,"name":"Time of Event (Mountain Time)","value":"15:09:31"},{"id":151,"name":"Denver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4015 --day 2017-07-11</v>
      </c>
      <c r="AN92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734</v>
      </c>
      <c r="B93" s="7">
        <v>4032</v>
      </c>
      <c r="C93" s="21" t="s">
        <v>199</v>
      </c>
      <c r="D93" s="21" t="s">
        <v>547</v>
      </c>
      <c r="E93" s="13">
        <v>42927.572025462963</v>
      </c>
      <c r="F93" s="13">
        <v>42927.573506944442</v>
      </c>
      <c r="G93" s="7">
        <v>1</v>
      </c>
      <c r="H93" s="21" t="s">
        <v>861</v>
      </c>
      <c r="I93" s="13">
        <v>42927.599826388891</v>
      </c>
      <c r="J93" s="7">
        <v>0</v>
      </c>
      <c r="K93" s="89" t="str">
        <f t="shared" si="26"/>
        <v>4031/4032</v>
      </c>
      <c r="L93" s="21" t="str">
        <f>VLOOKUP(A93,'Trips&amp;Operators'!$C$1:$G$99999,5,FALSE)</f>
        <v>NICHOLSON WESLEY</v>
      </c>
      <c r="M93" s="6">
        <f t="shared" si="27"/>
        <v>2.6319444448745344E-2</v>
      </c>
      <c r="N93" s="7">
        <f t="shared" si="25"/>
        <v>37.900000006193295</v>
      </c>
      <c r="O93" s="7"/>
      <c r="P93" s="7"/>
      <c r="Q93" s="22"/>
      <c r="R93" s="170"/>
      <c r="S93" s="213">
        <f t="shared" si="28"/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-07-11T12:43:43-0600',mode:absolute,to:'2017-07-11T15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197" t="str">
        <f>IF(AA93&lt;VLOOKUP(AG93,Variables!$AC$3:$AD$8,2,FALSE),"Y","N")</f>
        <v>N</v>
      </c>
      <c r="X93" s="197">
        <f t="shared" si="31"/>
        <v>1</v>
      </c>
      <c r="Y93" s="197">
        <f t="shared" si="32"/>
        <v>4.7500000000000001E-2</v>
      </c>
      <c r="Z93" s="197">
        <f t="shared" si="33"/>
        <v>23.333200000000001</v>
      </c>
      <c r="AA93" s="197">
        <f t="shared" si="34"/>
        <v>23.285700000000002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181</v>
      </c>
      <c r="AE93" s="77" t="str">
        <f t="shared" si="36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93" s="74" t="str">
        <f t="shared" si="37"/>
        <v>"C:\Program Files (x86)\AstroGrep\AstroGrep.exe" /e /r /s /spath="%USERPROFILE%\AppData\Local\Temp\OnboardLogs" /stypes="app*4032*20170711*" /stext=" 20:.+((SYSTEM_STATE.+slice.+state.+changed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181-11 --locoid 4032 --swversion DE.1.0.9.0 --startMP 204:475 --initTime 2017-07-11T13:43:43 --startdatetime 2017-07-11T13:45:51 --delay 1 --endMP 204:233332 --enddatetime 2017-07-11T14:23:45 --enforcementcount 0 &gt;&gt;C:\Users\stu\Documents\GitHub\eaglep3-reporting\EC\2017-07-11-refined-times.txt</v>
      </c>
      <c r="AI93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{"issue":{"subject":"","project_id":79,"tracker_id":40,"status_id":1,"priority_id":2,"assigned_to_id":23,"start_date":"2017-07-11","description":"","custom_fields":[{"id":1,"name":"Subdivision","value":"EC"},{"id":4,"name":"Milepost","value":"23.3332"},{"id":17,"name":"Train ID","value":"181-11"},{"id":16,"name":"Locomotive ID","value":"4032"},{"id":130,"name":"Impact","value":""},{"id":150,"name":"Time of Event (Mountain Time)","value":"14:23:45"},{"id":151,"name":"Denver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4032 --day 2017-07-11</v>
      </c>
      <c r="AN93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740</v>
      </c>
      <c r="B94" s="7">
        <v>4031</v>
      </c>
      <c r="C94" s="21" t="s">
        <v>199</v>
      </c>
      <c r="D94" s="21" t="s">
        <v>862</v>
      </c>
      <c r="E94" s="13">
        <v>42927.607731481483</v>
      </c>
      <c r="F94" s="13">
        <v>42927.614120370374</v>
      </c>
      <c r="G94" s="7">
        <v>1</v>
      </c>
      <c r="H94" s="21" t="s">
        <v>438</v>
      </c>
      <c r="I94" s="13">
        <v>42927.643391203703</v>
      </c>
      <c r="J94" s="7">
        <v>0</v>
      </c>
      <c r="K94" s="89" t="str">
        <f t="shared" si="26"/>
        <v>4031/4032</v>
      </c>
      <c r="L94" s="21" t="str">
        <f>VLOOKUP(A94,'Trips&amp;Operators'!$C$1:$G$99999,5,FALSE)</f>
        <v>NICHOLSON WESLEY</v>
      </c>
      <c r="M94" s="6">
        <f t="shared" si="27"/>
        <v>2.9270833329064772E-2</v>
      </c>
      <c r="N94" s="7">
        <f t="shared" si="25"/>
        <v>42.149999993853271</v>
      </c>
      <c r="O94" s="7"/>
      <c r="P94" s="7"/>
      <c r="Q94" s="22"/>
      <c r="R94" s="170"/>
      <c r="S94" s="213">
        <f t="shared" si="28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-07-11T13:35:08-0600',mode:absolute,to:'2017-07-11T16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23.3017</v>
      </c>
      <c r="Z94" s="197">
        <f t="shared" si="33"/>
        <v>1.6E-2</v>
      </c>
      <c r="AA94" s="197">
        <f t="shared" si="34"/>
        <v>23.285700000000002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182</v>
      </c>
      <c r="AE94" s="77" t="str">
        <f t="shared" si="36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94" s="74" t="str">
        <f t="shared" si="37"/>
        <v>"C:\Program Files (x86)\AstroGrep\AstroGrep.exe" /e /r /s /spath="%USERPROFILE%\AppData\Local\Temp\OnboardLogs" /stypes="app*4031*20170711*" /stext=" 21:.+((SYSTEM_STATE.+slice.+state.+changed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182-11 --locoid 4031 --swversion DE.1.0.9.0 --startMP 204:233017 --initTime 2017-07-11T14:35:08 --startdatetime 2017-07-11T14:44:20 --delay 1 --endMP 204:160 --enddatetime 2017-07-11T15:26:29 --enforcementcount 0 &gt;&gt;C:\Users\stu\Documents\GitHub\eaglep3-reporting\EC\2017-07-11-refined-times.txt</v>
      </c>
      <c r="AI94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{"issue":{"subject":"","project_id":79,"tracker_id":40,"status_id":1,"priority_id":2,"assigned_to_id":23,"start_date":"2017-07-11","description":"","custom_fields":[{"id":1,"name":"Subdivision","value":"EC"},{"id":4,"name":"Milepost","value":"0.016"},{"id":17,"name":"Train ID","value":"182-11"},{"id":16,"name":"Locomotive ID","value":"4031"},{"id":130,"name":"Impact","value":""},{"id":150,"name":"Time of Event (Mountain Time)","value":"15:26:29"},{"id":151,"name":"Denver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4031 --day 2017-07-11</v>
      </c>
      <c r="AN94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736</v>
      </c>
      <c r="B95" s="7">
        <v>4022</v>
      </c>
      <c r="C95" s="21" t="s">
        <v>199</v>
      </c>
      <c r="D95" s="21" t="s">
        <v>343</v>
      </c>
      <c r="E95" s="13">
        <v>42927.582615740743</v>
      </c>
      <c r="F95" s="13">
        <v>42927.584224537037</v>
      </c>
      <c r="G95" s="7">
        <v>1</v>
      </c>
      <c r="H95" s="21" t="s">
        <v>854</v>
      </c>
      <c r="I95" s="13">
        <v>42927.612037037034</v>
      </c>
      <c r="J95" s="7">
        <v>0</v>
      </c>
      <c r="K95" s="89" t="str">
        <f t="shared" si="26"/>
        <v>4021/4022</v>
      </c>
      <c r="L95" s="21" t="str">
        <f>VLOOKUP(A95,'Trips&amp;Operators'!$C$1:$G$99999,5,FALSE)</f>
        <v>THOMPSON LESTER</v>
      </c>
      <c r="M95" s="6">
        <f t="shared" si="27"/>
        <v>2.7812499996798579E-2</v>
      </c>
      <c r="N95" s="7">
        <f t="shared" si="25"/>
        <v>40.049999995389953</v>
      </c>
      <c r="O95" s="7"/>
      <c r="P95" s="7"/>
      <c r="Q95" s="22"/>
      <c r="R95" s="170"/>
      <c r="S95" s="213">
        <f t="shared" si="28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-07-11T12:58:58-0600',mode:absolute,to:'2017-07-11T15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4.4600000000000001E-2</v>
      </c>
      <c r="Z95" s="197">
        <f t="shared" si="33"/>
        <v>23.3309</v>
      </c>
      <c r="AA95" s="197">
        <f t="shared" si="34"/>
        <v>23.286300000000001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183</v>
      </c>
      <c r="AE95" s="77" t="str">
        <f t="shared" si="36"/>
        <v>aws s3 cp s3://rtdc.mdm.uploadarchive.raw/RTDC4022/ "%USERPROFILE%\AppData\Local\Temp\OnboardLogs"\RTDC4022\2017-07-11 --exclude "*" --recursive --include "*20170711*" &amp; "%USERPROFILE%\Documents\GitHub\mrs-test-scripts\Headless Mode &amp; Sideloading\WalkAndUnGZ.bat" "%USERPROFILE%\AppData\Local\Temp\OnboardLogs"\RTDC4022\2017-07-11 &amp; aws s3 cp s3://rtdc.mdm.uploadarchive.raw/RTDC4022/ "%USERPROFILE%\AppData\Local\Temp\OnboardLogs"\RTDC4022\2017-07-12 --exclude "*" --recursive --include "*20170712*" &amp; "%USERPROFILE%\Documents\GitHub\mrs-test-scripts\Headless Mode &amp; Sideloading\WalkAndUnGZ.bat" "%USERPROFILE%\AppData\Local\Temp\OnboardLogs"\RTDC4022\2017-07-12</v>
      </c>
      <c r="AF95" s="74" t="str">
        <f t="shared" si="37"/>
        <v>"C:\Program Files (x86)\AstroGrep\AstroGrep.exe" /e /r /s /spath="%USERPROFILE%\AppData\Local\Temp\OnboardLogs" /stypes="app*4022*20170711*"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183-11 --locoid 4022 --swversion DE.1.0.9.0 --startMP 204:446 --initTime 2017-07-11T13:58:58 --startdatetime 2017-07-11T14:01:17 --delay 1 --endMP 204:233309 --enddatetime 2017-07-11T14:41:20 --enforcementcount 0 &gt;&gt;C:\Users\stu\Documents\GitHub\eaglep3-reporting\EC\2017-07-11-refined-times.txt</v>
      </c>
      <c r="AI95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{"issue":{"subject":"","project_id":79,"tracker_id":40,"status_id":1,"priority_id":2,"assigned_to_id":23,"start_date":"2017-07-11","description":"","custom_fields":[{"id":1,"name":"Subdivision","value":"EC"},{"id":4,"name":"Milepost","value":"23.3309"},{"id":17,"name":"Train ID","value":"183-11"},{"id":16,"name":"Locomotive ID","value":"4022"},{"id":130,"name":"Impact","value":""},{"id":150,"name":"Time of Event (Mountain Time)","value":"14:41:20"},{"id":151,"name":"Denver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4022 --day 2017-07-11</v>
      </c>
      <c r="AN95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743</v>
      </c>
      <c r="B96" s="7">
        <v>4021</v>
      </c>
      <c r="C96" s="21" t="s">
        <v>199</v>
      </c>
      <c r="D96" s="21" t="s">
        <v>827</v>
      </c>
      <c r="E96" s="13">
        <v>42927.62164351852</v>
      </c>
      <c r="F96" s="13">
        <v>42927.623252314814</v>
      </c>
      <c r="G96" s="7">
        <v>1</v>
      </c>
      <c r="H96" s="21" t="s">
        <v>345</v>
      </c>
      <c r="I96" s="13">
        <v>42927.653333333335</v>
      </c>
      <c r="J96" s="7">
        <v>0</v>
      </c>
      <c r="K96" s="89" t="str">
        <f t="shared" si="26"/>
        <v>4021/4022</v>
      </c>
      <c r="L96" s="21" t="str">
        <f>VLOOKUP(A96,'Trips&amp;Operators'!$C$1:$G$99999,5,FALSE)</f>
        <v>THOMPSON LESTER</v>
      </c>
      <c r="M96" s="6">
        <f t="shared" si="27"/>
        <v>3.0081018521741498E-2</v>
      </c>
      <c r="N96" s="7">
        <f t="shared" si="25"/>
        <v>43.316666671307757</v>
      </c>
      <c r="O96" s="7"/>
      <c r="P96" s="7"/>
      <c r="Q96" s="22"/>
      <c r="R96" s="170"/>
      <c r="S96" s="213">
        <f t="shared" si="28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-07-11T13:55:10-0600',mode:absolute,to:'2017-07-11T16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23.297999999999998</v>
      </c>
      <c r="Z96" s="197">
        <f t="shared" si="33"/>
        <v>1.49E-2</v>
      </c>
      <c r="AA96" s="197">
        <f t="shared" si="34"/>
        <v>23.283099999999997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184</v>
      </c>
      <c r="AE96" s="77" t="str">
        <f t="shared" si="36"/>
        <v>aws s3 cp s3://rtdc.mdm.uploadarchive.raw/RTDC4021/ "%USERPROFILE%\AppData\Local\Temp\OnboardLogs"\RTDC4021\2017-07-11 --exclude "*" --recursive --include "*20170711*" &amp; "%USERPROFILE%\Documents\GitHub\mrs-test-scripts\Headless Mode &amp; Sideloading\WalkAndUnGZ.bat" "%USERPROFILE%\AppData\Local\Temp\OnboardLogs"\RTDC4021\2017-07-11 &amp; aws s3 cp s3://rtdc.mdm.uploadarchive.raw/RTDC4021/ "%USERPROFILE%\AppData\Local\Temp\OnboardLogs"\RTDC4021\2017-07-12 --exclude "*" --recursive --include "*20170712*" &amp; "%USERPROFILE%\Documents\GitHub\mrs-test-scripts\Headless Mode &amp; Sideloading\WalkAndUnGZ.bat" "%USERPROFILE%\AppData\Local\Temp\OnboardLogs"\RTDC4021\2017-07-12</v>
      </c>
      <c r="AF96" s="74" t="str">
        <f t="shared" si="37"/>
        <v>"C:\Program Files (x86)\AstroGrep\AstroGrep.exe" /e /r /s /spath="%USERPROFILE%\AppData\Local\Temp\OnboardLogs" /stypes="app*4021*20170711*"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184-11 --locoid 4021 --swversion DE.1.0.9.0 --startMP 204:232980 --initTime 2017-07-11T14:55:10 --startdatetime 2017-07-11T14:57:29 --delay 1 --endMP 204:149 --enddatetime 2017-07-11T15:40:48 --enforcementcount 0 &gt;&gt;C:\Users\stu\Documents\GitHub\eaglep3-reporting\EC\2017-07-11-refined-times.txt</v>
      </c>
      <c r="AI96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{"issue":{"subject":"","project_id":79,"tracker_id":40,"status_id":1,"priority_id":2,"assigned_to_id":23,"start_date":"2017-07-11","description":"","custom_fields":[{"id":1,"name":"Subdivision","value":"EC"},{"id":4,"name":"Milepost","value":"0.0149"},{"id":17,"name":"Train ID","value":"184-11"},{"id":16,"name":"Locomotive ID","value":"4021"},{"id":130,"name":"Impact","value":""},{"id":150,"name":"Time of Event (Mountain Time)","value":"15:40:48"},{"id":151,"name":"Denver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4021 --day 2017-07-11</v>
      </c>
      <c r="AN96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21:40:48"},{"id":29,"name":"Sharepoint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738</v>
      </c>
      <c r="B97" s="7">
        <v>4008</v>
      </c>
      <c r="C97" s="21" t="s">
        <v>199</v>
      </c>
      <c r="D97" s="21" t="s">
        <v>339</v>
      </c>
      <c r="E97" s="13">
        <v>42927.594884259262</v>
      </c>
      <c r="F97" s="13">
        <v>42927.596342592595</v>
      </c>
      <c r="G97" s="7">
        <v>1</v>
      </c>
      <c r="H97" s="21" t="s">
        <v>863</v>
      </c>
      <c r="I97" s="13">
        <v>42927.622824074075</v>
      </c>
      <c r="J97" s="7">
        <v>0</v>
      </c>
      <c r="K97" s="89" t="str">
        <f t="shared" si="26"/>
        <v>4007/4008</v>
      </c>
      <c r="L97" s="21" t="str">
        <f>VLOOKUP(A97,'Trips&amp;Operators'!$C$1:$G$99999,5,FALSE)</f>
        <v>DAVIS MICHAEL</v>
      </c>
      <c r="M97" s="6">
        <f t="shared" si="27"/>
        <v>2.6481481480004732E-2</v>
      </c>
      <c r="N97" s="7">
        <f t="shared" si="25"/>
        <v>38.133333331206813</v>
      </c>
      <c r="O97" s="7"/>
      <c r="P97" s="7"/>
      <c r="Q97" s="22"/>
      <c r="R97" s="170"/>
      <c r="S97" s="213">
        <f t="shared" si="28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-07-11T13:16:38-0600',mode:absolute,to:'2017-07-11T15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4.4900000000000002E-2</v>
      </c>
      <c r="Z97" s="197">
        <f t="shared" si="33"/>
        <v>23.332699999999999</v>
      </c>
      <c r="AA97" s="197">
        <f t="shared" si="34"/>
        <v>23.287800000000001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185</v>
      </c>
      <c r="AE97" s="77" t="str">
        <f t="shared" si="36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97" s="74" t="str">
        <f t="shared" si="37"/>
        <v>"C:\Program Files (x86)\AstroGrep\AstroGrep.exe" /e /r /s /spath="%USERPROFILE%\AppData\Local\Temp\OnboardLogs" /stypes="app*4008*20170711*"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185-11 --locoid 4008 --swversion DE.1.0.9.0 --startMP 204:449 --initTime 2017-07-11T14:16:38 --startdatetime 2017-07-11T14:18:44 --delay 1 --endMP 204:233327 --enddatetime 2017-07-11T14:56:52 --enforcementcount 0 &gt;&gt;C:\Users\stu\Documents\GitHub\eaglep3-reporting\EC\2017-07-11-refined-times.txt</v>
      </c>
      <c r="AI97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{"issue":{"subject":"","project_id":79,"tracker_id":40,"status_id":1,"priority_id":2,"assigned_to_id":23,"start_date":"2017-07-11","description":"","custom_fields":[{"id":1,"name":"Subdivision","value":"EC"},{"id":4,"name":"Milepost","value":"23.3327"},{"id":17,"name":"Train ID","value":"185-11"},{"id":16,"name":"Locomotive ID","value":"4008"},{"id":130,"name":"Impact","value":""},{"id":150,"name":"Time of Event (Mountain Time)","value":"14:56:52"},{"id":151,"name":"Denver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4008 --day 2017-07-11</v>
      </c>
      <c r="AN97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594</v>
      </c>
      <c r="B98" s="7">
        <v>4007</v>
      </c>
      <c r="C98" s="21" t="s">
        <v>199</v>
      </c>
      <c r="D98" s="21" t="s">
        <v>864</v>
      </c>
      <c r="E98" s="13">
        <v>42927.648472222223</v>
      </c>
      <c r="F98" s="13">
        <v>42927.650208333333</v>
      </c>
      <c r="G98" s="7">
        <v>1</v>
      </c>
      <c r="H98" s="21" t="s">
        <v>865</v>
      </c>
      <c r="I98" s="13">
        <v>42927.672094907408</v>
      </c>
      <c r="J98" s="7">
        <v>0</v>
      </c>
      <c r="K98" s="89" t="str">
        <f t="shared" si="26"/>
        <v>4007/4008</v>
      </c>
      <c r="L98" s="21" t="str">
        <f>VLOOKUP(A98,'Trips&amp;Operators'!$C$1:$G$99999,5,FALSE)</f>
        <v>DAVIS MICHAEL</v>
      </c>
      <c r="M98" s="6">
        <f t="shared" si="27"/>
        <v>2.1886574075324461E-2</v>
      </c>
      <c r="N98" s="7"/>
      <c r="O98" s="7"/>
      <c r="P98" s="7">
        <f>24*60*SUM($M98:$M98)</f>
        <v>31.516666668467224</v>
      </c>
      <c r="Q98" s="22"/>
      <c r="R98" s="170" t="s">
        <v>1028</v>
      </c>
      <c r="S98" s="213">
        <f t="shared" si="28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-07-11T14:33:48-0600',mode:absolute,to:'2017-07-11T17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8" s="197" t="str">
        <f>IF(AA98&lt;VLOOKUP(AG98,Variables!$AC$3:$AD$8,2,FALSE),"Y","N")</f>
        <v>Y</v>
      </c>
      <c r="X98" s="197">
        <f t="shared" si="31"/>
        <v>1</v>
      </c>
      <c r="Y98" s="197">
        <f t="shared" si="32"/>
        <v>12.786899999999999</v>
      </c>
      <c r="Z98" s="197">
        <f t="shared" si="33"/>
        <v>8.8400000000000006E-2</v>
      </c>
      <c r="AA98" s="197">
        <f t="shared" si="34"/>
        <v>12.698499999999999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186</v>
      </c>
      <c r="AE98" s="77" t="str">
        <f t="shared" si="36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98" s="74" t="str">
        <f t="shared" si="37"/>
        <v>"C:\Program Files (x86)\AstroGrep\AstroGrep.exe" /e /r /s /spath="%USERPROFILE%\AppData\Local\Temp\OnboardLogs" /stypes="app*4007*20170711*" /stext=" 22:.+((SYSTEM_STATE.+slice.+state.+changed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186-11 --locoid 4007 --swversion DE.1.0.9.0 --startMP 204:127869 --initTime 2017-07-11T15:33:48 --startdatetime 2017-07-11T15:36:18 --delay 1 --endMP 204:884 --enddatetime 2017-07-11T16:07:49 --enforcementcount 0 &gt;&gt;C:\Users\stu\Documents\GitHub\eaglep3-reporting\EC\2017-07-11-refined-times.txt</v>
      </c>
      <c r="AI98" s="96" t="str">
        <f t="shared" si="40"/>
        <v>echo {"issue":{"subject":"Onboard in-route failure","project_id":79,"tracker_id":40,"status_id":1,"priority_id":2,"assigned_to_id":23,"start_date":"2017-07-11","description":"","custom_fields":[{"id":1,"name":"Subdivision","value":"EC"},{"id":4,"name":"Milepost","value":"0.0884"},{"id":17,"name":"Train ID","value":"186-11"},{"id":16,"name":"Locomotive ID","value":"4007"},{"id":130,"name":"Impact","value":""},{"id":150,"name":"Time of Event (Mountain Time)","value":"16:07:49"},{"id":151,"name":"Denver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4007 --day 2017-07-11</v>
      </c>
      <c r="AN98" s="151" t="str">
        <f t="shared" si="42"/>
        <v>echo {"issue":{"subject":"Onboard in-route failure","project_id":30,"tracker_id":4,"status_id":1,"priority_id":1,"assigned_to_id":10,"start_date":"2017-07-11","description":"","custom_fields":[{"id":30,"name":"Category","value":"Issue"},{"id":3,"name":"Functional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594</v>
      </c>
      <c r="B99" s="7">
        <v>4007</v>
      </c>
      <c r="C99" s="21" t="s">
        <v>199</v>
      </c>
      <c r="D99" s="21" t="s">
        <v>542</v>
      </c>
      <c r="E99" s="13">
        <v>42927.631608796299</v>
      </c>
      <c r="F99" s="13">
        <v>42927.650208333333</v>
      </c>
      <c r="G99" s="7">
        <v>3</v>
      </c>
      <c r="H99" s="21" t="s">
        <v>865</v>
      </c>
      <c r="I99" s="13">
        <v>42927.672094907408</v>
      </c>
      <c r="J99" s="7">
        <v>0</v>
      </c>
      <c r="K99" s="89" t="str">
        <f t="shared" si="26"/>
        <v>4007/4008</v>
      </c>
      <c r="L99" s="21" t="str">
        <f>VLOOKUP(A99,'Trips&amp;Operators'!$C$1:$G$99999,5,FALSE)</f>
        <v>DAVIS MICHAEL</v>
      </c>
      <c r="M99" s="6">
        <f t="shared" si="27"/>
        <v>2.1886574075324461E-2</v>
      </c>
      <c r="N99" s="7"/>
      <c r="O99" s="7"/>
      <c r="P99" s="7"/>
      <c r="Q99" s="22"/>
      <c r="R99" s="170"/>
      <c r="S99" s="213"/>
      <c r="T99" s="195" t="str">
        <f t="shared" si="29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-07-11T14:09:31-0600',mode:absolute,to:'2017-07-11T17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9" s="197" t="str">
        <f>IF(AA99&lt;VLOOKUP(AG99,Variables!$AC$3:$AD$8,2,FALSE),"Y","N")</f>
        <v>N</v>
      </c>
      <c r="X99" s="197">
        <f t="shared" si="31"/>
        <v>0</v>
      </c>
      <c r="Y99" s="197">
        <f t="shared" si="32"/>
        <v>23.3004</v>
      </c>
      <c r="Z99" s="197">
        <f t="shared" si="33"/>
        <v>8.8400000000000006E-2</v>
      </c>
      <c r="AA99" s="197">
        <f t="shared" si="34"/>
        <v>23.212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186</v>
      </c>
      <c r="AE99" s="77" t="str">
        <f t="shared" si="36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99" s="74" t="str">
        <f t="shared" si="37"/>
        <v>"C:\Program Files (x86)\AstroGrep\AstroGrep.exe" /e /r /s /spath="%USERPROFILE%\AppData\Local\Temp\OnboardLogs" /stypes="app*4007*20170711*" /stext=" 22:.+((SYSTEM_STATE.+slice.+state.+changed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186-11 --locoid 4007 --swversion DE.1.0.9.0 --startMP 204:233004 --initTime 2017-07-11T15:09:31 --startdatetime 2017-07-11T15:36:18 --delay 3 --endMP 204:884 --enddatetime 2017-07-11T16:07:49 --enforcementcount 0 &gt;&gt;C:\Users\stu\Documents\GitHub\eaglep3-reporting\EC\2017-07-11-refined-times.txt</v>
      </c>
      <c r="AI99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{"issue":{"subject":"","project_id":79,"tracker_id":40,"status_id":1,"priority_id":2,"assigned_to_id":23,"start_date":"2017-07-11","description":"","custom_fields":[{"id":1,"name":"Subdivision","value":"EC"},{"id":4,"name":"Milepost","value":"0.0884"},{"id":17,"name":"Train ID","value":"186-11"},{"id":16,"name":"Locomotive ID","value":"4007"},{"id":130,"name":"Impact","value":""},{"id":150,"name":"Time of Event (Mountain Time)","value":"16:07:49"},{"id":151,"name":"Denver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4007 --day 2017-07-11</v>
      </c>
      <c r="AN99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739</v>
      </c>
      <c r="B100" s="7">
        <v>4064</v>
      </c>
      <c r="C100" s="21" t="s">
        <v>199</v>
      </c>
      <c r="D100" s="21" t="s">
        <v>381</v>
      </c>
      <c r="E100" s="13">
        <v>42927.600266203706</v>
      </c>
      <c r="F100" s="13">
        <v>42927.604687500003</v>
      </c>
      <c r="G100" s="7">
        <v>1</v>
      </c>
      <c r="H100" s="21" t="s">
        <v>866</v>
      </c>
      <c r="I100" s="13">
        <v>42927.631053240744</v>
      </c>
      <c r="J100" s="7">
        <v>0</v>
      </c>
      <c r="K100" s="89" t="str">
        <f t="shared" si="26"/>
        <v>4063/4064</v>
      </c>
      <c r="L100" s="21" t="str">
        <f>VLOOKUP(A100,'Trips&amp;Operators'!$C$1:$G$99999,5,FALSE)</f>
        <v>MCREYNOLDS KYLE</v>
      </c>
      <c r="M100" s="6">
        <f t="shared" si="27"/>
        <v>2.6365740741312038E-2</v>
      </c>
      <c r="N100" s="7">
        <f t="shared" ref="N100:N112" si="43">24*60*SUM($M100:$M100)</f>
        <v>37.966666667489335</v>
      </c>
      <c r="O100" s="7"/>
      <c r="P100" s="7"/>
      <c r="Q100" s="22"/>
      <c r="R100" s="170"/>
      <c r="S100" s="213">
        <f t="shared" ref="S100:S131" si="44">SUM(U100:U100)/IF(AG100="EC",12,1)</f>
        <v>1</v>
      </c>
      <c r="T100" s="195" t="str">
        <f t="shared" si="29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-07-11T13:24:23-0600',mode:absolute,to:'2017-07-11T16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4.6199999999999998E-2</v>
      </c>
      <c r="Z100" s="197">
        <f t="shared" si="33"/>
        <v>23.338899999999999</v>
      </c>
      <c r="AA100" s="197">
        <f t="shared" si="34"/>
        <v>23.2927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187</v>
      </c>
      <c r="AE100" s="77" t="str">
        <f t="shared" si="36"/>
        <v>aws s3 cp s3://rtdc.mdm.uploadarchive.raw/RTDC4064/ "%USERPROFILE%\AppData\Local\Temp\OnboardLogs"\RTDC4064\2017-07-11 --exclude "*" --recursive --include "*20170711*" &amp; "%USERPROFILE%\Documents\GitHub\mrs-test-scripts\Headless Mode &amp; Sideloading\WalkAndUnGZ.bat" "%USERPROFILE%\AppData\Local\Temp\OnboardLogs"\RTDC4064\2017-07-11 &amp; aws s3 cp s3://rtdc.mdm.uploadarchive.raw/RTDC4064/ "%USERPROFILE%\AppData\Local\Temp\OnboardLogs"\RTDC4064\2017-07-12 --exclude "*" --recursive --include "*20170712*" &amp; "%USERPROFILE%\Documents\GitHub\mrs-test-scripts\Headless Mode &amp; Sideloading\WalkAndUnGZ.bat" "%USERPROFILE%\AppData\Local\Temp\OnboardLogs"\RTDC4064\2017-07-12</v>
      </c>
      <c r="AF100" s="74" t="str">
        <f t="shared" si="37"/>
        <v>"C:\Program Files (x86)\AstroGrep\AstroGrep.exe" /e /r /s /spath="%USERPROFILE%\AppData\Local\Temp\OnboardLogs" /stypes="app*4064*20170711*"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187-11 --locoid 4064 --swversion DE.1.0.9.0 --startMP 204:462 --initTime 2017-07-11T14:24:23 --startdatetime 2017-07-11T14:30:45 --delay 1 --endMP 204:233389 --enddatetime 2017-07-11T15:08:43 --enforcementcount 0 &gt;&gt;C:\Users\stu\Documents\GitHub\eaglep3-reporting\EC\2017-07-11-refined-times.txt</v>
      </c>
      <c r="AI100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{"issue":{"subject":"","project_id":79,"tracker_id":40,"status_id":1,"priority_id":2,"assigned_to_id":23,"start_date":"2017-07-11","description":"","custom_fields":[{"id":1,"name":"Subdivision","value":"EC"},{"id":4,"name":"Milepost","value":"23.3389"},{"id":17,"name":"Train ID","value":"187-11"},{"id":16,"name":"Locomotive ID","value":"4064"},{"id":130,"name":"Impact","value":""},{"id":150,"name":"Time of Event (Mountain Time)","value":"15:08:43"},{"id":151,"name":"Denver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4064 --day 2017-07-11</v>
      </c>
      <c r="AN100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746</v>
      </c>
      <c r="B101" s="7">
        <v>4063</v>
      </c>
      <c r="C101" s="21" t="s">
        <v>199</v>
      </c>
      <c r="D101" s="21" t="s">
        <v>562</v>
      </c>
      <c r="E101" s="13">
        <v>42927.638344907406</v>
      </c>
      <c r="F101" s="13">
        <v>42927.64398148148</v>
      </c>
      <c r="G101" s="7">
        <v>1</v>
      </c>
      <c r="H101" s="21" t="s">
        <v>394</v>
      </c>
      <c r="I101" s="13">
        <v>42927.674386574072</v>
      </c>
      <c r="J101" s="7">
        <v>0</v>
      </c>
      <c r="K101" s="89" t="str">
        <f t="shared" si="26"/>
        <v>4063/4064</v>
      </c>
      <c r="L101" s="21" t="str">
        <f>VLOOKUP(A101,'Trips&amp;Operators'!$C$1:$G$99999,5,FALSE)</f>
        <v>MCREYNOLDS KYLE</v>
      </c>
      <c r="M101" s="6">
        <f t="shared" si="27"/>
        <v>3.0405092591536231E-2</v>
      </c>
      <c r="N101" s="7">
        <f t="shared" si="43"/>
        <v>43.783333331812173</v>
      </c>
      <c r="O101" s="7"/>
      <c r="P101" s="7"/>
      <c r="Q101" s="22"/>
      <c r="R101" s="170"/>
      <c r="S101" s="213">
        <f t="shared" si="44"/>
        <v>1</v>
      </c>
      <c r="T101" s="195" t="str">
        <f t="shared" si="29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-07-11T14:19:13-0600',mode:absolute,to:'2017-07-11T17:11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23.306699999999999</v>
      </c>
      <c r="Z101" s="197">
        <f t="shared" si="33"/>
        <v>1.5599999999999999E-2</v>
      </c>
      <c r="AA101" s="197">
        <f t="shared" si="34"/>
        <v>23.2911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188</v>
      </c>
      <c r="AE101" s="77" t="str">
        <f t="shared" si="36"/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AF101" s="74" t="str">
        <f t="shared" si="37"/>
        <v>"C:\Program Files (x86)\AstroGrep\AstroGrep.exe" /e /r /s /spath="%USERPROFILE%\AppData\Local\Temp\OnboardLogs" /stypes="app*4063*20170711*" /stext=" 22:.+((SYSTEM_STATE.+slice.+state.+changed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188-11 --locoid 4063 --swversion DE.1.0.9.0 --startMP 204:233067 --initTime 2017-07-11T15:19:13 --startdatetime 2017-07-11T15:27:20 --delay 1 --endMP 204:156 --enddatetime 2017-07-11T16:11:07 --enforcementcount 0 &gt;&gt;C:\Users\stu\Documents\GitHub\eaglep3-reporting\EC\2017-07-11-refined-times.txt</v>
      </c>
      <c r="AI101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{"issue":{"subject":"","project_id":79,"tracker_id":40,"status_id":1,"priority_id":2,"assigned_to_id":23,"start_date":"2017-07-11","description":"","custom_fields":[{"id":1,"name":"Subdivision","value":"EC"},{"id":4,"name":"Milepost","value":"0.0156"},{"id":17,"name":"Train ID","value":"188-11"},{"id":16,"name":"Locomotive ID","value":"4063"},{"id":130,"name":"Impact","value":""},{"id":150,"name":"Time of Event (Mountain Time)","value":"16:11:07"},{"id":151,"name":"Denver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4063 --day 2017-07-11</v>
      </c>
      <c r="AN101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22:11:07"},{"id":29,"name":"Sharepoint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590</v>
      </c>
      <c r="B102" s="7">
        <v>4028</v>
      </c>
      <c r="C102" s="21" t="s">
        <v>199</v>
      </c>
      <c r="D102" s="21" t="s">
        <v>350</v>
      </c>
      <c r="E102" s="13">
        <v>42927.612372685187</v>
      </c>
      <c r="F102" s="13">
        <v>42927.615104166667</v>
      </c>
      <c r="G102" s="7">
        <v>1</v>
      </c>
      <c r="H102" s="21" t="s">
        <v>560</v>
      </c>
      <c r="I102" s="13">
        <v>42927.642881944441</v>
      </c>
      <c r="J102" s="7">
        <v>0</v>
      </c>
      <c r="K102" s="89" t="str">
        <f t="shared" si="26"/>
        <v>4027/4028</v>
      </c>
      <c r="L102" s="21" t="str">
        <f>VLOOKUP(A102,'Trips&amp;Operators'!$C$1:$G$99999,5,FALSE)</f>
        <v>STEWART MICHAEL</v>
      </c>
      <c r="M102" s="6">
        <f t="shared" si="27"/>
        <v>2.7777777773735579E-2</v>
      </c>
      <c r="N102" s="7">
        <f t="shared" si="43"/>
        <v>39.999999994179234</v>
      </c>
      <c r="O102" s="7"/>
      <c r="P102" s="7"/>
      <c r="Q102" s="22"/>
      <c r="R102" s="170"/>
      <c r="S102" s="213">
        <f t="shared" si="44"/>
        <v>1</v>
      </c>
      <c r="T102" s="195" t="str">
        <f t="shared" si="29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-07-11T13:41:49-0600',mode:absolute,to:'2017-07-11T16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4.53E-2</v>
      </c>
      <c r="Z102" s="197">
        <f t="shared" si="33"/>
        <v>23.328099999999999</v>
      </c>
      <c r="AA102" s="197">
        <f t="shared" si="34"/>
        <v>23.282799999999998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189</v>
      </c>
      <c r="AE102" s="77" t="str">
        <f t="shared" si="36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102" s="74" t="str">
        <f t="shared" si="37"/>
        <v>"C:\Program Files (x86)\AstroGrep\AstroGrep.exe" /e /r /s /spath="%USERPROFILE%\AppData\Local\Temp\OnboardLogs" /stypes="app*4028*20170711*" /stext=" 21:.+((SYSTEM_STATE.+slice.+state.+changed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189-11 --locoid 4028 --swversion DE.1.0.9.0 --startMP 204:453 --initTime 2017-07-11T14:41:49 --startdatetime 2017-07-11T14:45:45 --delay 1 --endMP 204:233281 --enddatetime 2017-07-11T15:25:45 --enforcementcount 0 &gt;&gt;C:\Users\stu\Documents\GitHub\eaglep3-reporting\EC\2017-07-11-refined-times.txt</v>
      </c>
      <c r="AI102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{"issue":{"subject":"","project_id":79,"tracker_id":40,"status_id":1,"priority_id":2,"assigned_to_id":23,"start_date":"2017-07-11","description":"","custom_fields":[{"id":1,"name":"Subdivision","value":"EC"},{"id":4,"name":"Milepost","value":"23.3281"},{"id":17,"name":"Train ID","value":"189-11"},{"id":16,"name":"Locomotive ID","value":"4028"},{"id":130,"name":"Impact","value":""},{"id":150,"name":"Time of Event (Mountain Time)","value":"15:25:45"},{"id":151,"name":"Denver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4028 --day 2017-07-11</v>
      </c>
      <c r="AN102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595</v>
      </c>
      <c r="B103" s="7">
        <v>4027</v>
      </c>
      <c r="C103" s="21" t="s">
        <v>199</v>
      </c>
      <c r="D103" s="21" t="s">
        <v>835</v>
      </c>
      <c r="E103" s="13">
        <v>42927.65148148148</v>
      </c>
      <c r="F103" s="13">
        <v>42927.654444444444</v>
      </c>
      <c r="G103" s="7">
        <v>1</v>
      </c>
      <c r="H103" s="21" t="s">
        <v>382</v>
      </c>
      <c r="I103" s="13">
        <v>42927.686631944445</v>
      </c>
      <c r="J103" s="7">
        <v>0</v>
      </c>
      <c r="K103" s="89" t="str">
        <f t="shared" si="26"/>
        <v>4027/4028</v>
      </c>
      <c r="L103" s="21" t="str">
        <f>VLOOKUP(A103,'Trips&amp;Operators'!$C$1:$G$99999,5,FALSE)</f>
        <v>STEWART MICHAEL</v>
      </c>
      <c r="M103" s="6">
        <f t="shared" si="27"/>
        <v>3.2187500000873115E-2</v>
      </c>
      <c r="N103" s="7">
        <f t="shared" si="43"/>
        <v>46.350000001257285</v>
      </c>
      <c r="O103" s="7"/>
      <c r="P103" s="7"/>
      <c r="Q103" s="22"/>
      <c r="R103" s="170" t="s">
        <v>1037</v>
      </c>
      <c r="S103" s="213">
        <f t="shared" si="44"/>
        <v>1</v>
      </c>
      <c r="T103" s="195" t="str">
        <f t="shared" si="29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-07-11T14:38:08-0600',mode:absolute,to:'2017-07-11T17:28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23.2989</v>
      </c>
      <c r="Z103" s="197">
        <f t="shared" si="33"/>
        <v>1.54E-2</v>
      </c>
      <c r="AA103" s="197">
        <f t="shared" si="34"/>
        <v>23.2835</v>
      </c>
      <c r="AB103" s="54" t="str">
        <f>VLOOKUP(A103,Enforcements!$C$7:$K$13,8,0)</f>
        <v>Bulletin (2)</v>
      </c>
      <c r="AC103" s="51" t="str">
        <f>VLOOKUP(A103,Enforcements!$C$7:$E$13,3,0)</f>
        <v>GRADE CROSSING</v>
      </c>
      <c r="AD103" s="206">
        <f t="shared" si="35"/>
        <v>190</v>
      </c>
      <c r="AE103" s="77" t="str">
        <f t="shared" si="36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103" s="74" t="str">
        <f t="shared" si="37"/>
        <v>"C:\Program Files (x86)\AstroGrep\AstroGrep.exe" /e /r /s /spath="%USERPROFILE%\AppData\Local\Temp\OnboardLogs" /stypes="app*4027*20170711*" /stext=" 22:.+((SYSTEM_STATE.+slice.+state.+changed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190-11 --locoid 4027 --swversion DE.1.0.9.0 --startMP 204:232989 --initTime 2017-07-11T15:38:08 --startdatetime 2017-07-11T15:42:24 --delay 1 --endMP 204:154 --enddatetime 2017-07-11T16:28:45 --enforcementcount 0 &gt;&gt;C:\Users\stu\Documents\GitHub\eaglep3-reporting\EC\2017-07-11-refined-times.txt</v>
      </c>
      <c r="AI103" s="96" t="str">
        <f t="shared" si="40"/>
        <v>echo {"issue":{"subject":"Consist spam due to error in TMDS finaled trains table","project_id":79,"tracker_id":40,"status_id":1,"priority_id":2,"assigned_to_id":23,"start_date":"2017-07-11","description":"","custom_fields":[{"id":1,"name":"Subdivision","value":"EC"},{"id":4,"name":"Milepost","value":"0.0154"},{"id":17,"name":"Train ID","value":"190-11"},{"id":16,"name":"Locomotive ID","value":"4027"},{"id":130,"name":"Impact","value":""},{"id":150,"name":"Time of Event (Mountain Time)","value":"16:28:45"},{"id":151,"name":"Denver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4027 --day 2017-07-11</v>
      </c>
      <c r="AN103" s="151" t="str">
        <f t="shared" si="42"/>
        <v>echo {"issue":{"subject":"Consist spam due to error in TMDS finaled trains table","project_id":30,"tracker_id":4,"status_id":1,"priority_id":1,"assigned_to_id":10,"start_date":"2017-07-11","description":"","custom_fields":[{"id":30,"name":"Category","value":"Issue"},{"id":3,"name":"Functional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22:28:45"},{"id":29,"name":"Sharepoint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742</v>
      </c>
      <c r="B104" s="7">
        <v>4042</v>
      </c>
      <c r="C104" s="21" t="s">
        <v>199</v>
      </c>
      <c r="D104" s="21" t="s">
        <v>517</v>
      </c>
      <c r="E104" s="13">
        <v>42927.621180555558</v>
      </c>
      <c r="F104" s="13">
        <v>42927.625520833331</v>
      </c>
      <c r="G104" s="7">
        <v>1</v>
      </c>
      <c r="H104" s="21" t="s">
        <v>854</v>
      </c>
      <c r="I104" s="13">
        <v>42927.652002314811</v>
      </c>
      <c r="J104" s="7">
        <v>0</v>
      </c>
      <c r="K104" s="89" t="str">
        <f t="shared" si="26"/>
        <v>4041/4042</v>
      </c>
      <c r="L104" s="21" t="str">
        <f>VLOOKUP(A104,'Trips&amp;Operators'!$C$1:$G$99999,5,FALSE)</f>
        <v>HART KEVIN</v>
      </c>
      <c r="M104" s="6">
        <f t="shared" si="27"/>
        <v>2.6481481480004732E-2</v>
      </c>
      <c r="N104" s="7">
        <f t="shared" si="43"/>
        <v>38.133333331206813</v>
      </c>
      <c r="O104" s="7"/>
      <c r="P104" s="7"/>
      <c r="Q104" s="22"/>
      <c r="R104" s="170"/>
      <c r="S104" s="213">
        <f t="shared" si="44"/>
        <v>1</v>
      </c>
      <c r="T104" s="195" t="str">
        <f t="shared" si="29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-07-11T13:54:30-0600',mode:absolute,to:'2017-07-11T16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4.8000000000000001E-2</v>
      </c>
      <c r="Z104" s="197">
        <f t="shared" si="33"/>
        <v>23.3309</v>
      </c>
      <c r="AA104" s="197">
        <f t="shared" si="34"/>
        <v>23.282900000000001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191</v>
      </c>
      <c r="AE104" s="77" t="str">
        <f t="shared" si="36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104" s="74" t="str">
        <f t="shared" si="37"/>
        <v>"C:\Program Files (x86)\AstroGrep\AstroGrep.exe" /e /r /s /spath="%USERPROFILE%\AppData\Local\Temp\OnboardLogs" /stypes="app*4042*20170711*" /stext=" 21:.+((SYSTEM_STATE.+slice.+state.+changed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191-11 --locoid 4042 --swversion DE.1.0.9.0 --startMP 204:480 --initTime 2017-07-11T14:54:30 --startdatetime 2017-07-11T15:00:45 --delay 1 --endMP 204:233309 --enddatetime 2017-07-11T15:38:53 --enforcementcount 0 &gt;&gt;C:\Users\stu\Documents\GitHub\eaglep3-reporting\EC\2017-07-11-refined-times.txt</v>
      </c>
      <c r="AI104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{"issue":{"subject":"","project_id":79,"tracker_id":40,"status_id":1,"priority_id":2,"assigned_to_id":23,"start_date":"2017-07-11","description":"","custom_fields":[{"id":1,"name":"Subdivision","value":"EC"},{"id":4,"name":"Milepost","value":"23.3309"},{"id":17,"name":"Train ID","value":"191-11"},{"id":16,"name":"Locomotive ID","value":"4042"},{"id":130,"name":"Impact","value":""},{"id":150,"name":"Time of Event (Mountain Time)","value":"15:38:53"},{"id":151,"name":"Denver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4042 --day 2017-07-11</v>
      </c>
      <c r="AN104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753</v>
      </c>
      <c r="B105" s="7">
        <v>4041</v>
      </c>
      <c r="C105" s="21" t="s">
        <v>199</v>
      </c>
      <c r="D105" s="21" t="s">
        <v>399</v>
      </c>
      <c r="E105" s="13">
        <v>42927.661493055559</v>
      </c>
      <c r="F105" s="13">
        <v>42927.664780092593</v>
      </c>
      <c r="G105" s="7">
        <v>1</v>
      </c>
      <c r="H105" s="21" t="s">
        <v>346</v>
      </c>
      <c r="I105" s="13">
        <v>42927.692615740743</v>
      </c>
      <c r="J105" s="7">
        <v>0</v>
      </c>
      <c r="K105" s="89" t="str">
        <f t="shared" si="26"/>
        <v>4041/4042</v>
      </c>
      <c r="L105" s="21" t="str">
        <f>VLOOKUP(A105,'Trips&amp;Operators'!$C$1:$G$99999,5,FALSE)</f>
        <v>HART KEVIN</v>
      </c>
      <c r="M105" s="6">
        <f t="shared" si="27"/>
        <v>2.7835648150357883E-2</v>
      </c>
      <c r="N105" s="7">
        <f t="shared" si="43"/>
        <v>40.083333336515352</v>
      </c>
      <c r="O105" s="7"/>
      <c r="P105" s="7"/>
      <c r="Q105" s="22"/>
      <c r="R105" s="170"/>
      <c r="S105" s="213">
        <f t="shared" si="44"/>
        <v>1</v>
      </c>
      <c r="T105" s="195" t="str">
        <f t="shared" si="29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-07-11T14:52:33-0600',mode:absolute,to:'2017-07-11T17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5" s="197" t="str">
        <f>IF(AA105&lt;VLOOKUP(AG105,Variables!$AC$3:$AD$8,2,FALSE),"Y","N")</f>
        <v>N</v>
      </c>
      <c r="X105" s="197">
        <f t="shared" si="31"/>
        <v>1</v>
      </c>
      <c r="Y105" s="197">
        <f t="shared" si="32"/>
        <v>23.299600000000002</v>
      </c>
      <c r="Z105" s="197">
        <f t="shared" si="33"/>
        <v>1.43E-2</v>
      </c>
      <c r="AA105" s="197">
        <f t="shared" si="34"/>
        <v>23.285300000000003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192</v>
      </c>
      <c r="AE105" s="77" t="str">
        <f t="shared" si="36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105" s="74" t="str">
        <f t="shared" si="37"/>
        <v>"C:\Program Files (x86)\AstroGrep\AstroGrep.exe" /e /r /s /spath="%USERPROFILE%\AppData\Local\Temp\OnboardLogs" /stypes="app*4041*20170711*" /stext=" 22:.+((SYSTEM_STATE.+slice.+state.+changed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192-11 --locoid 4041 --swversion DE.1.0.9.0 --startMP 204:232996 --initTime 2017-07-11T15:52:33 --startdatetime 2017-07-11T15:57:17 --delay 1 --endMP 204:143 --enddatetime 2017-07-11T16:37:22 --enforcementcount 0 &gt;&gt;C:\Users\stu\Documents\GitHub\eaglep3-reporting\EC\2017-07-11-refined-times.txt</v>
      </c>
      <c r="AI105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{"issue":{"subject":"","project_id":79,"tracker_id":40,"status_id":1,"priority_id":2,"assigned_to_id":23,"start_date":"2017-07-11","description":"","custom_fields":[{"id":1,"name":"Subdivision","value":"EC"},{"id":4,"name":"Milepost","value":"0.0143"},{"id":17,"name":"Train ID","value":"192-11"},{"id":16,"name":"Locomotive ID","value":"4041"},{"id":130,"name":"Impact","value":""},{"id":150,"name":"Time of Event (Mountain Time)","value":"16:37:22"},{"id":151,"name":"Denver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4041 --day 2017-07-11</v>
      </c>
      <c r="AN105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593</v>
      </c>
      <c r="B106" s="7">
        <v>4016</v>
      </c>
      <c r="C106" s="21" t="s">
        <v>199</v>
      </c>
      <c r="D106" s="21" t="s">
        <v>867</v>
      </c>
      <c r="E106" s="13">
        <v>42927.632997685185</v>
      </c>
      <c r="F106" s="13">
        <v>42927.635925925926</v>
      </c>
      <c r="G106" s="7">
        <v>1</v>
      </c>
      <c r="H106" s="21" t="s">
        <v>868</v>
      </c>
      <c r="I106" s="13">
        <v>42927.665798611109</v>
      </c>
      <c r="J106" s="7">
        <v>0</v>
      </c>
      <c r="K106" s="89" t="str">
        <f t="shared" si="26"/>
        <v>4015/4016</v>
      </c>
      <c r="L106" s="21" t="str">
        <f>VLOOKUP(A106,'Trips&amp;Operators'!$C$1:$G$99999,5,FALSE)</f>
        <v>LEVIN SCOTT</v>
      </c>
      <c r="M106" s="6">
        <f t="shared" si="27"/>
        <v>2.9872685183363501E-2</v>
      </c>
      <c r="N106" s="7">
        <f t="shared" si="43"/>
        <v>43.016666664043441</v>
      </c>
      <c r="O106" s="7"/>
      <c r="P106" s="7"/>
      <c r="Q106" s="22"/>
      <c r="R106" s="170"/>
      <c r="S106" s="213">
        <f t="shared" si="44"/>
        <v>1</v>
      </c>
      <c r="T106" s="195" t="str">
        <f t="shared" si="29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-07-11T14:11:31-0600',mode:absolute,to:'2017-07-11T16:58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4.5999999999999999E-2</v>
      </c>
      <c r="Z106" s="197">
        <f t="shared" si="33"/>
        <v>23.340199999999999</v>
      </c>
      <c r="AA106" s="197">
        <f t="shared" si="34"/>
        <v>23.2942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193</v>
      </c>
      <c r="AE106" s="77" t="str">
        <f t="shared" si="36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106" s="74" t="str">
        <f t="shared" si="37"/>
        <v>"C:\Program Files (x86)\AstroGrep\AstroGrep.exe" /e /r /s /spath="%USERPROFILE%\AppData\Local\Temp\OnboardLogs" /stypes="app*4016*20170711*" /stext=" 21:.+((SYSTEM_STATE.+slice.+state.+changed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193-11 --locoid 4016 --swversion DE.1.0.9.0 --startMP 204:460 --initTime 2017-07-11T15:11:31 --startdatetime 2017-07-11T15:15:44 --delay 1 --endMP 204:233402 --enddatetime 2017-07-11T15:58:45 --enforcementcount 0 &gt;&gt;C:\Users\stu\Documents\GitHub\eaglep3-reporting\EC\2017-07-11-refined-times.txt</v>
      </c>
      <c r="AI106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{"issue":{"subject":"","project_id":79,"tracker_id":40,"status_id":1,"priority_id":2,"assigned_to_id":23,"start_date":"2017-07-11","description":"","custom_fields":[{"id":1,"name":"Subdivision","value":"EC"},{"id":4,"name":"Milepost","value":"23.3402"},{"id":17,"name":"Train ID","value":"193-11"},{"id":16,"name":"Locomotive ID","value":"4016"},{"id":130,"name":"Impact","value":""},{"id":150,"name":"Time of Event (Mountain Time)","value":"15:58:45"},{"id":151,"name":"Denver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4016 --day 2017-07-11</v>
      </c>
      <c r="AN106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21:58:45"},{"id":29,"name":"Sharepoint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597</v>
      </c>
      <c r="B107" s="7">
        <v>4015</v>
      </c>
      <c r="C107" s="21" t="s">
        <v>199</v>
      </c>
      <c r="D107" s="21" t="s">
        <v>565</v>
      </c>
      <c r="E107" s="13">
        <v>42927.670416666668</v>
      </c>
      <c r="F107" s="13">
        <v>42927.675636574073</v>
      </c>
      <c r="G107" s="7">
        <v>0</v>
      </c>
      <c r="H107" s="21" t="s">
        <v>429</v>
      </c>
      <c r="I107" s="13">
        <v>42927.703449074077</v>
      </c>
      <c r="J107" s="7">
        <v>0</v>
      </c>
      <c r="K107" s="89" t="str">
        <f t="shared" si="26"/>
        <v>4015/4016</v>
      </c>
      <c r="L107" s="21" t="str">
        <f>VLOOKUP(A107,'Trips&amp;Operators'!$C$1:$G$99999,5,FALSE)</f>
        <v>LEVIN SCOTT</v>
      </c>
      <c r="M107" s="6">
        <f t="shared" si="27"/>
        <v>2.7812500004074536E-2</v>
      </c>
      <c r="N107" s="7">
        <f t="shared" si="43"/>
        <v>40.050000005867332</v>
      </c>
      <c r="O107" s="7"/>
      <c r="P107" s="7"/>
      <c r="Q107" s="22"/>
      <c r="R107" s="170"/>
      <c r="S107" s="213">
        <f t="shared" si="44"/>
        <v>1</v>
      </c>
      <c r="T107" s="195" t="str">
        <f t="shared" si="29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-07-11T15:05:24-0600',mode:absolute,to:'2017-07-11T17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197" t="str">
        <f>IF(AA107&lt;VLOOKUP(AG107,Variables!$AC$3:$AD$8,2,FALSE),"Y","N")</f>
        <v>N</v>
      </c>
      <c r="X107" s="197">
        <f t="shared" si="31"/>
        <v>1</v>
      </c>
      <c r="Y107" s="197">
        <f t="shared" si="32"/>
        <v>23.309100000000001</v>
      </c>
      <c r="Z107" s="197">
        <f t="shared" si="33"/>
        <v>1.3599999999999999E-2</v>
      </c>
      <c r="AA107" s="197">
        <f t="shared" si="34"/>
        <v>23.295500000000001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194</v>
      </c>
      <c r="AE107" s="77" t="str">
        <f t="shared" si="36"/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AF107" s="74" t="str">
        <f t="shared" si="37"/>
        <v>"C:\Program Files (x86)\AstroGrep\AstroGrep.exe" /e /r /s /spath="%USERPROFILE%\AppData\Local\Temp\OnboardLogs" /stypes="app*4015*20170711*" /stext=" 22:.+((SYSTEM_STATE.+slice.+state.+changed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194-11 --locoid 4015 --swversion DE.1.0.9.0 --startMP 204:233091 --initTime 2017-07-11T16:05:24 --startdatetime 2017-07-11T16:12:55 --delay 0 --endMP 204:136 --enddatetime 2017-07-11T16:52:58 --enforcementcount 0 &gt;&gt;C:\Users\stu\Documents\GitHub\eaglep3-reporting\EC\2017-07-11-refined-times.txt</v>
      </c>
      <c r="AI107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{"issue":{"subject":"","project_id":79,"tracker_id":40,"status_id":1,"priority_id":2,"assigned_to_id":23,"start_date":"2017-07-11","description":"","custom_fields":[{"id":1,"name":"Subdivision","value":"EC"},{"id":4,"name":"Milepost","value":"0.0136"},{"id":17,"name":"Train ID","value":"194-11"},{"id":16,"name":"Locomotive ID","value":"4015"},{"id":130,"name":"Impact","value":""},{"id":150,"name":"Time of Event (Mountain Time)","value":"16:52:58"},{"id":151,"name":"Denver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4015 --day 2017-07-11</v>
      </c>
      <c r="AN107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750</v>
      </c>
      <c r="B108" s="7">
        <v>4032</v>
      </c>
      <c r="C108" s="21" t="s">
        <v>199</v>
      </c>
      <c r="D108" s="21" t="s">
        <v>196</v>
      </c>
      <c r="E108" s="13">
        <v>42927.644317129627</v>
      </c>
      <c r="F108" s="13">
        <v>42927.646377314813</v>
      </c>
      <c r="G108" s="7">
        <v>1</v>
      </c>
      <c r="H108" s="21" t="s">
        <v>519</v>
      </c>
      <c r="I108" s="13">
        <v>42927.674293981479</v>
      </c>
      <c r="J108" s="7">
        <v>0</v>
      </c>
      <c r="K108" s="89" t="str">
        <f t="shared" si="26"/>
        <v>4031/4032</v>
      </c>
      <c r="L108" s="21" t="str">
        <f>VLOOKUP(A108,'Trips&amp;Operators'!$C$1:$G$99999,5,FALSE)</f>
        <v>NICHOLSON WESLEY</v>
      </c>
      <c r="M108" s="6">
        <f t="shared" si="27"/>
        <v>2.7916666665987577E-2</v>
      </c>
      <c r="N108" s="7">
        <f t="shared" si="43"/>
        <v>40.199999999022111</v>
      </c>
      <c r="O108" s="7"/>
      <c r="P108" s="7"/>
      <c r="Q108" s="22"/>
      <c r="R108" s="170"/>
      <c r="S108" s="213">
        <f t="shared" si="44"/>
        <v>1</v>
      </c>
      <c r="T108" s="195" t="str">
        <f t="shared" si="29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-07-11T14:27:49-0600',mode:absolute,to:'2017-07-11T17:10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197" t="str">
        <f>IF(AA108&lt;VLOOKUP(AG108,Variables!$AC$3:$AD$8,2,FALSE),"Y","N")</f>
        <v>N</v>
      </c>
      <c r="X108" s="197">
        <f t="shared" si="31"/>
        <v>1</v>
      </c>
      <c r="Y108" s="197">
        <f t="shared" si="32"/>
        <v>4.5699999999999998E-2</v>
      </c>
      <c r="Z108" s="197">
        <f t="shared" si="33"/>
        <v>23.332999999999998</v>
      </c>
      <c r="AA108" s="197">
        <f t="shared" si="34"/>
        <v>23.287299999999998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195</v>
      </c>
      <c r="AE108" s="77" t="str">
        <f t="shared" si="36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108" s="74" t="str">
        <f t="shared" si="37"/>
        <v>"C:\Program Files (x86)\AstroGrep\AstroGrep.exe" /e /r /s /spath="%USERPROFILE%\AppData\Local\Temp\OnboardLogs" /stypes="app*4032*20170711*"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195-11 --locoid 4032 --swversion DE.1.0.9.0 --startMP 204:457 --initTime 2017-07-11T15:27:49 --startdatetime 2017-07-11T15:30:47 --delay 1 --endMP 204:233330 --enddatetime 2017-07-11T16:10:59 --enforcementcount 0 &gt;&gt;C:\Users\stu\Documents\GitHub\eaglep3-reporting\EC\2017-07-11-refined-times.txt</v>
      </c>
      <c r="AI108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{"issue":{"subject":"","project_id":79,"tracker_id":40,"status_id":1,"priority_id":2,"assigned_to_id":23,"start_date":"2017-07-11","description":"","custom_fields":[{"id":1,"name":"Subdivision","value":"EC"},{"id":4,"name":"Milepost","value":"23.333"},{"id":17,"name":"Train ID","value":"195-11"},{"id":16,"name":"Locomotive ID","value":"4032"},{"id":130,"name":"Impact","value":""},{"id":150,"name":"Time of Event (Mountain Time)","value":"16:10:59"},{"id":151,"name":"Denver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4032 --day 2017-07-11</v>
      </c>
      <c r="AN108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22:10:59"},{"id":29,"name":"Sharepoint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756</v>
      </c>
      <c r="B109" s="7">
        <v>4031</v>
      </c>
      <c r="C109" s="21" t="s">
        <v>199</v>
      </c>
      <c r="D109" s="21" t="s">
        <v>869</v>
      </c>
      <c r="E109" s="13">
        <v>42927.680474537039</v>
      </c>
      <c r="F109" s="13">
        <v>42927.686053240737</v>
      </c>
      <c r="G109" s="7">
        <v>2</v>
      </c>
      <c r="H109" s="21" t="s">
        <v>345</v>
      </c>
      <c r="I109" s="13">
        <v>42927.713229166664</v>
      </c>
      <c r="J109" s="7">
        <v>0</v>
      </c>
      <c r="K109" s="89" t="str">
        <f t="shared" si="26"/>
        <v>4031/4032</v>
      </c>
      <c r="L109" s="21" t="str">
        <f>VLOOKUP(A109,'Trips&amp;Operators'!$C$1:$G$99999,5,FALSE)</f>
        <v>NICHOLSON WESLEY</v>
      </c>
      <c r="M109" s="6">
        <f t="shared" si="27"/>
        <v>2.7175925926712807E-2</v>
      </c>
      <c r="N109" s="7">
        <f t="shared" si="43"/>
        <v>39.133333334466442</v>
      </c>
      <c r="O109" s="7"/>
      <c r="P109" s="7"/>
      <c r="Q109" s="22"/>
      <c r="R109" s="170"/>
      <c r="S109" s="213">
        <f t="shared" si="44"/>
        <v>1</v>
      </c>
      <c r="T109" s="195" t="str">
        <f t="shared" si="29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-07-11T15:19:53-0600',mode:absolute,to:'2017-07-11T18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9" s="197" t="str">
        <f>IF(AA109&lt;VLOOKUP(AG109,Variables!$AC$3:$AD$8,2,FALSE),"Y","N")</f>
        <v>N</v>
      </c>
      <c r="X109" s="197">
        <f t="shared" si="31"/>
        <v>1</v>
      </c>
      <c r="Y109" s="197">
        <f t="shared" ref="Y109:Y140" si="45">RIGHT(D109,LEN(D109)-4)/10000</f>
        <v>23.3005</v>
      </c>
      <c r="Z109" s="197">
        <f t="shared" ref="Z109:Z140" si="46">RIGHT(H109,LEN(H109)-4)/10000</f>
        <v>1.49E-2</v>
      </c>
      <c r="AA109" s="197">
        <f t="shared" si="34"/>
        <v>23.285599999999999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196</v>
      </c>
      <c r="AE109" s="77" t="str">
        <f t="shared" si="36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109" s="74" t="str">
        <f t="shared" si="37"/>
        <v>"C:\Program Files (x86)\AstroGrep\AstroGrep.exe" /e /r /s /spath="%USERPROFILE%\AppData\Local\Temp\OnboardLogs" /stypes="app*4031*20170711*" /stext=" 23:.+((SYSTEM_STATE.+slice.+state.+changed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196-11 --locoid 4031 --swversion DE.1.0.9.0 --startMP 204:233005 --initTime 2017-07-11T16:19:53 --startdatetime 2017-07-11T16:27:55 --delay 2 --endMP 204:149 --enddatetime 2017-07-11T17:07:03 --enforcementcount 0 &gt;&gt;C:\Users\stu\Documents\GitHub\eaglep3-reporting\EC\2017-07-11-refined-times.txt</v>
      </c>
      <c r="AI109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{"issue":{"subject":"","project_id":79,"tracker_id":40,"status_id":1,"priority_id":2,"assigned_to_id":23,"start_date":"2017-07-11","description":"","custom_fields":[{"id":1,"name":"Subdivision","value":"EC"},{"id":4,"name":"Milepost","value":"0.0149"},{"id":17,"name":"Train ID","value":"196-11"},{"id":16,"name":"Locomotive ID","value":"4031"},{"id":130,"name":"Impact","value":""},{"id":150,"name":"Time of Event (Mountain Time)","value":"17:07:03"},{"id":151,"name":"Denver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4031 --day 2017-07-11</v>
      </c>
      <c r="AN109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751</v>
      </c>
      <c r="B110" s="7">
        <v>4022</v>
      </c>
      <c r="C110" s="21" t="s">
        <v>199</v>
      </c>
      <c r="D110" s="21" t="s">
        <v>870</v>
      </c>
      <c r="E110" s="13">
        <v>42927.655428240738</v>
      </c>
      <c r="F110" s="13">
        <v>42927.657233796293</v>
      </c>
      <c r="G110" s="7">
        <v>1</v>
      </c>
      <c r="H110" s="21" t="s">
        <v>516</v>
      </c>
      <c r="I110" s="13">
        <v>42927.684131944443</v>
      </c>
      <c r="J110" s="7">
        <v>0</v>
      </c>
      <c r="K110" s="89" t="str">
        <f t="shared" si="26"/>
        <v>4021/4022</v>
      </c>
      <c r="L110" s="21" t="str">
        <f>VLOOKUP(A110,'Trips&amp;Operators'!$C$1:$G$99999,5,FALSE)</f>
        <v>THOMPSON LESTER</v>
      </c>
      <c r="M110" s="6">
        <f t="shared" si="27"/>
        <v>2.6898148149484769E-2</v>
      </c>
      <c r="N110" s="7">
        <f t="shared" si="43"/>
        <v>38.733333335258067</v>
      </c>
      <c r="O110" s="7"/>
      <c r="P110" s="7"/>
      <c r="Q110" s="22"/>
      <c r="R110" s="170"/>
      <c r="S110" s="213">
        <f t="shared" si="44"/>
        <v>1</v>
      </c>
      <c r="T110" s="195" t="str">
        <f t="shared" si="29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-07-11T14:43:49-0600',mode:absolute,to:'2017-07-11T17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0" s="197" t="str">
        <f>IF(AA110&lt;VLOOKUP(AG110,Variables!$AC$3:$AD$8,2,FALSE),"Y","N")</f>
        <v>N</v>
      </c>
      <c r="X110" s="197">
        <f t="shared" si="31"/>
        <v>1</v>
      </c>
      <c r="Y110" s="197">
        <f t="shared" si="45"/>
        <v>4.2700000000000002E-2</v>
      </c>
      <c r="Z110" s="197">
        <f t="shared" si="46"/>
        <v>23.330400000000001</v>
      </c>
      <c r="AA110" s="197">
        <f t="shared" si="34"/>
        <v>23.287700000000001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197</v>
      </c>
      <c r="AE110" s="77" t="str">
        <f t="shared" si="36"/>
        <v>aws s3 cp s3://rtdc.mdm.uploadarchive.raw/RTDC4022/ "%USERPROFILE%\AppData\Local\Temp\OnboardLogs"\RTDC4022\2017-07-11 --exclude "*" --recursive --include "*20170711*" &amp; "%USERPROFILE%\Documents\GitHub\mrs-test-scripts\Headless Mode &amp; Sideloading\WalkAndUnGZ.bat" "%USERPROFILE%\AppData\Local\Temp\OnboardLogs"\RTDC4022\2017-07-11 &amp; aws s3 cp s3://rtdc.mdm.uploadarchive.raw/RTDC4022/ "%USERPROFILE%\AppData\Local\Temp\OnboardLogs"\RTDC4022\2017-07-12 --exclude "*" --recursive --include "*20170712*" &amp; "%USERPROFILE%\Documents\GitHub\mrs-test-scripts\Headless Mode &amp; Sideloading\WalkAndUnGZ.bat" "%USERPROFILE%\AppData\Local\Temp\OnboardLogs"\RTDC4022\2017-07-12</v>
      </c>
      <c r="AF110" s="74" t="str">
        <f t="shared" si="37"/>
        <v>"C:\Program Files (x86)\AstroGrep\AstroGrep.exe" /e /r /s /spath="%USERPROFILE%\AppData\Local\Temp\OnboardLogs" /stypes="app*4022*20170711*" /stext=" 22:.+((SYSTEM_STATE.+slice.+state.+changed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197-11 --locoid 4022 --swversion DE.1.0.9.0 --startMP 204:427 --initTime 2017-07-11T15:43:49 --startdatetime 2017-07-11T15:46:25 --delay 1 --endMP 204:233304 --enddatetime 2017-07-11T16:25:09 --enforcementcount 0 &gt;&gt;C:\Users\stu\Documents\GitHub\eaglep3-reporting\EC\2017-07-11-refined-times.txt</v>
      </c>
      <c r="AI110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{"issue":{"subject":"","project_id":79,"tracker_id":40,"status_id":1,"priority_id":2,"assigned_to_id":23,"start_date":"2017-07-11","description":"","custom_fields":[{"id":1,"name":"Subdivision","value":"EC"},{"id":4,"name":"Milepost","value":"23.3304"},{"id":17,"name":"Train ID","value":"197-11"},{"id":16,"name":"Locomotive ID","value":"4022"},{"id":130,"name":"Impact","value":""},{"id":150,"name":"Time of Event (Mountain Time)","value":"16:25:09"},{"id":151,"name":"Denver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4022 --day 2017-07-11</v>
      </c>
      <c r="AN110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760</v>
      </c>
      <c r="B111" s="7">
        <v>4021</v>
      </c>
      <c r="C111" s="21" t="s">
        <v>199</v>
      </c>
      <c r="D111" s="21" t="s">
        <v>399</v>
      </c>
      <c r="E111" s="13">
        <v>42927.694606481484</v>
      </c>
      <c r="F111" s="13">
        <v>42927.696134259262</v>
      </c>
      <c r="G111" s="7">
        <v>1</v>
      </c>
      <c r="H111" s="21" t="s">
        <v>394</v>
      </c>
      <c r="I111" s="13">
        <v>42927.723078703704</v>
      </c>
      <c r="J111" s="7">
        <v>0</v>
      </c>
      <c r="K111" s="89" t="str">
        <f t="shared" si="26"/>
        <v>4021/4022</v>
      </c>
      <c r="L111" s="21" t="str">
        <f>VLOOKUP(A111,'Trips&amp;Operators'!$C$1:$G$99999,5,FALSE)</f>
        <v>THOMPSON LESTER</v>
      </c>
      <c r="M111" s="6">
        <f t="shared" si="27"/>
        <v>2.6944444442051463E-2</v>
      </c>
      <c r="N111" s="7">
        <f t="shared" si="43"/>
        <v>38.799999996554106</v>
      </c>
      <c r="O111" s="7"/>
      <c r="P111" s="7"/>
      <c r="Q111" s="22"/>
      <c r="R111" s="170"/>
      <c r="S111" s="213">
        <f t="shared" si="44"/>
        <v>1</v>
      </c>
      <c r="T111" s="195" t="str">
        <f t="shared" si="29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-07-11T15:40:14-0600',mode:absolute,to:'2017-07-11T18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1" s="197" t="str">
        <f>IF(AA111&lt;VLOOKUP(AG111,Variables!$AC$3:$AD$8,2,FALSE),"Y","N")</f>
        <v>N</v>
      </c>
      <c r="X111" s="197">
        <f t="shared" si="31"/>
        <v>1</v>
      </c>
      <c r="Y111" s="197">
        <f t="shared" si="45"/>
        <v>23.299600000000002</v>
      </c>
      <c r="Z111" s="197">
        <f t="shared" si="46"/>
        <v>1.5599999999999999E-2</v>
      </c>
      <c r="AA111" s="197">
        <f t="shared" si="34"/>
        <v>23.284000000000002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198</v>
      </c>
      <c r="AE111" s="77" t="str">
        <f t="shared" si="36"/>
        <v>aws s3 cp s3://rtdc.mdm.uploadarchive.raw/RTDC4021/ "%USERPROFILE%\AppData\Local\Temp\OnboardLogs"\RTDC4021\2017-07-11 --exclude "*" --recursive --include "*20170711*" &amp; "%USERPROFILE%\Documents\GitHub\mrs-test-scripts\Headless Mode &amp; Sideloading\WalkAndUnGZ.bat" "%USERPROFILE%\AppData\Local\Temp\OnboardLogs"\RTDC4021\2017-07-11 &amp; aws s3 cp s3://rtdc.mdm.uploadarchive.raw/RTDC4021/ "%USERPROFILE%\AppData\Local\Temp\OnboardLogs"\RTDC4021\2017-07-12 --exclude "*" --recursive --include "*20170712*" &amp; "%USERPROFILE%\Documents\GitHub\mrs-test-scripts\Headless Mode &amp; Sideloading\WalkAndUnGZ.bat" "%USERPROFILE%\AppData\Local\Temp\OnboardLogs"\RTDC4021\2017-07-12</v>
      </c>
      <c r="AF111" s="74" t="str">
        <f t="shared" si="37"/>
        <v>"C:\Program Files (x86)\AstroGrep\AstroGrep.exe" /e /r /s /spath="%USERPROFILE%\AppData\Local\Temp\OnboardLogs" /stypes="app*4021*20170711*" /stext=" 23:.+((SYSTEM_STATE.+slice.+state.+changed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198-11 --locoid 4021 --swversion DE.1.0.9.0 --startMP 204:232996 --initTime 2017-07-11T16:40:14 --startdatetime 2017-07-11T16:42:26 --delay 1 --endMP 204:156 --enddatetime 2017-07-11T17:21:14 --enforcementcount 0 &gt;&gt;C:\Users\stu\Documents\GitHub\eaglep3-reporting\EC\2017-07-11-refined-times.txt</v>
      </c>
      <c r="AI111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{"issue":{"subject":"","project_id":79,"tracker_id":40,"status_id":1,"priority_id":2,"assigned_to_id":23,"start_date":"2017-07-11","description":"","custom_fields":[{"id":1,"name":"Subdivision","value":"EC"},{"id":4,"name":"Milepost","value":"0.0156"},{"id":17,"name":"Train ID","value":"198-11"},{"id":16,"name":"Locomotive ID","value":"4021"},{"id":130,"name":"Impact","value":""},{"id":150,"name":"Time of Event (Mountain Time)","value":"17:21:14"},{"id":151,"name":"Denver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4021 --day 2017-07-11</v>
      </c>
      <c r="AN111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752</v>
      </c>
      <c r="B112" s="7">
        <v>4002</v>
      </c>
      <c r="C112" s="21" t="s">
        <v>199</v>
      </c>
      <c r="D112" s="21" t="s">
        <v>518</v>
      </c>
      <c r="E112" s="13">
        <v>42927.661111111112</v>
      </c>
      <c r="F112" s="13">
        <v>42927.667407407411</v>
      </c>
      <c r="G112" s="7">
        <v>5</v>
      </c>
      <c r="H112" s="21" t="s">
        <v>443</v>
      </c>
      <c r="I112" s="13">
        <v>42927.693518518521</v>
      </c>
      <c r="J112" s="7">
        <v>0</v>
      </c>
      <c r="K112" s="89" t="str">
        <f t="shared" si="26"/>
        <v>4001/4002</v>
      </c>
      <c r="L112" s="21" t="str">
        <f>VLOOKUP(A112,'Trips&amp;Operators'!$C$1:$G$99999,5,FALSE)</f>
        <v>CHANDLER KELVIN</v>
      </c>
      <c r="M112" s="6">
        <f t="shared" si="27"/>
        <v>2.6111111110367347E-2</v>
      </c>
      <c r="N112" s="7">
        <f t="shared" si="43"/>
        <v>37.599999998928979</v>
      </c>
      <c r="O112" s="7"/>
      <c r="P112" s="7"/>
      <c r="Q112" s="22"/>
      <c r="R112" s="170"/>
      <c r="S112" s="213">
        <f t="shared" si="44"/>
        <v>1</v>
      </c>
      <c r="T112" s="195" t="str">
        <f t="shared" si="29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-07-11T14:52:00-0600',mode:absolute,to:'2017-07-11T17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2" s="197" t="str">
        <f>IF(AA112&lt;VLOOKUP(AG112,Variables!$AC$3:$AD$8,2,FALSE),"Y","N")</f>
        <v>N</v>
      </c>
      <c r="X112" s="197">
        <f t="shared" si="31"/>
        <v>1</v>
      </c>
      <c r="Y112" s="197">
        <f t="shared" si="45"/>
        <v>4.6399999999999997E-2</v>
      </c>
      <c r="Z112" s="197">
        <f t="shared" si="46"/>
        <v>23.327999999999999</v>
      </c>
      <c r="AA112" s="197">
        <f t="shared" si="34"/>
        <v>23.281600000000001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199</v>
      </c>
      <c r="AE112" s="77" t="str">
        <f t="shared" si="36"/>
        <v>aws s3 cp s3://rtdc.mdm.uploadarchive.raw/RTDC4002/ "%USERPROFILE%\AppData\Local\Temp\OnboardLogs"\RTDC4002\2017-07-11 --exclude "*" --recursive --include "*20170711*" &amp; "%USERPROFILE%\Documents\GitHub\mrs-test-scripts\Headless Mode &amp; Sideloading\WalkAndUnGZ.bat" "%USERPROFILE%\AppData\Local\Temp\OnboardLogs"\RTDC4002\2017-07-11 &amp; 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</v>
      </c>
      <c r="AF112" s="74" t="str">
        <f t="shared" si="37"/>
        <v>"C:\Program Files (x86)\AstroGrep\AstroGrep.exe" /e /r /s /spath="%USERPROFILE%\AppData\Local\Temp\OnboardLogs" /stypes="app*4002*20170711*" /stext=" 22:.+((SYSTEM_STATE.+slice.+state.+changed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199-11 --locoid 4002 --swversion DE.1.0.9.0 --startMP 204:464 --initTime 2017-07-11T15:52:00 --startdatetime 2017-07-11T16:01:04 --delay 5 --endMP 204:233280 --enddatetime 2017-07-11T16:38:40 --enforcementcount 0 &gt;&gt;C:\Users\stu\Documents\GitHub\eaglep3-reporting\EC\2017-07-11-refined-times.txt</v>
      </c>
      <c r="AI112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{"issue":{"subject":"","project_id":79,"tracker_id":40,"status_id":1,"priority_id":2,"assigned_to_id":23,"start_date":"2017-07-11","description":"","custom_fields":[{"id":1,"name":"Subdivision","value":"EC"},{"id":4,"name":"Milepost","value":"23.328"},{"id":17,"name":"Train ID","value":"199-11"},{"id":16,"name":"Locomotive ID","value":"4002"},{"id":130,"name":"Impact","value":""},{"id":150,"name":"Time of Event (Mountain Time)","value":"16:38:40"},{"id":151,"name":"Denver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4002 --day 2017-07-11</v>
      </c>
      <c r="AN112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762</v>
      </c>
      <c r="B113" s="7">
        <v>4001</v>
      </c>
      <c r="C113" s="21" t="s">
        <v>199</v>
      </c>
      <c r="D113" s="21" t="s">
        <v>518</v>
      </c>
      <c r="E113" s="13">
        <v>42927.661111111112</v>
      </c>
      <c r="F113" s="13">
        <v>42927.705555555556</v>
      </c>
      <c r="G113" s="7">
        <v>5</v>
      </c>
      <c r="H113" s="21" t="s">
        <v>443</v>
      </c>
      <c r="I113" s="13">
        <v>42927.706250000003</v>
      </c>
      <c r="J113" s="7">
        <v>0</v>
      </c>
      <c r="K113" s="89" t="str">
        <f t="shared" si="26"/>
        <v>4001/4002</v>
      </c>
      <c r="L113" s="21" t="str">
        <f>VLOOKUP(A113,'Trips&amp;Operators'!$C$1:$G$99999,5,FALSE)</f>
        <v>CHANDLER KELVIN</v>
      </c>
      <c r="M113" s="6">
        <f t="shared" si="27"/>
        <v>6.944444467080757E-4</v>
      </c>
      <c r="N113" s="7"/>
      <c r="O113" s="7"/>
      <c r="P113" s="7">
        <f>24*60*SUM($M113:$M113)</f>
        <v>1.000000003259629</v>
      </c>
      <c r="Q113" s="22"/>
      <c r="R113" s="170" t="s">
        <v>1029</v>
      </c>
      <c r="S113" s="213">
        <f t="shared" si="44"/>
        <v>0</v>
      </c>
      <c r="T113" s="195" t="str">
        <f t="shared" si="29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-07-11T14:52:00-0600',mode:absolute,to:'2017-07-11T17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3" s="197" t="str">
        <f>IF(AA113&lt;VLOOKUP(AG113,Variables!$AC$3:$AD$8,2,FALSE),"Y","N")</f>
        <v>N</v>
      </c>
      <c r="X113" s="197">
        <f t="shared" si="31"/>
        <v>1</v>
      </c>
      <c r="Y113" s="197">
        <f t="shared" si="45"/>
        <v>4.6399999999999997E-2</v>
      </c>
      <c r="Z113" s="197">
        <f t="shared" si="46"/>
        <v>23.327999999999999</v>
      </c>
      <c r="AA113" s="197">
        <f t="shared" si="34"/>
        <v>23.281600000000001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200</v>
      </c>
      <c r="AE113" s="77" t="str">
        <f t="shared" si="36"/>
        <v>aws s3 cp s3://rtdc.mdm.uploadarchive.raw/RTDC4001/ "%USERPROFILE%\AppData\Local\Temp\OnboardLogs"\RTDC4001\2017-07-11 --exclude "*" --recursive --include "*20170711*" &amp; "%USERPROFILE%\Documents\GitHub\mrs-test-scripts\Headless Mode &amp; Sideloading\WalkAndUnGZ.bat" "%USERPROFILE%\AppData\Local\Temp\OnboardLogs"\RTDC4001\2017-07-11 &amp; 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</v>
      </c>
      <c r="AF113" s="74" t="str">
        <f t="shared" si="37"/>
        <v>"C:\Program Files (x86)\AstroGrep\AstroGrep.exe" /e /r /s /spath="%USERPROFILE%\AppData\Local\Temp\OnboardLogs" /stypes="app*4001*20170711*"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ref="AH113" si="47"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"&amp;J113&amp;IF(outputrefinedruntimes," &gt;&gt;"&amp;RefinedRTDCRunTimesOutputFile,"")</f>
        <v>"%USERPROFILE%\Documents\GitHub\eaglep3\Utilities\RefineRTDCRunTimes.py" --tripid 200-11 --locoid 4001 --swversion DE.1.0.9.0 --startMP 204:464 --initTime 2017-07-11T15:52:00 --startdatetime 2017-07-11T16:56:00 --delay 5 --endMP 204:233280 --enddatetime 2017-07-11T16:57:00 --enforcementcount 0 &gt;&gt;C:\Users\stu\Documents\GitHub\eaglep3-reporting\EC\2017-07-11-refined-times.txt</v>
      </c>
      <c r="AI113" s="96" t="str">
        <f t="shared" ref="AI113" si="48"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Z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-X POST -H ""Content-Type: application/json"" -H ""X-Redmine-API-Key: "&amp;redm_api_key&amp;""" "&amp;redm_url&amp;" --data @-"</f>
        <v>echo {"issue":{"subject":"ATC buzzer issues","project_id":79,"tracker_id":40,"status_id":1,"priority_id":2,"assigned_to_id":23,"start_date":"2017-07-11","description":"","custom_fields":[{"id":1,"name":"Subdivision","value":"EC"},{"id":4,"name":"Milepost","value":"23.328"},{"id":17,"name":"Train ID","value":"200-11"},{"id":16,"name":"Locomotive ID","value":"4001"},{"id":130,"name":"Impact","value":""},{"id":150,"name":"Time of Event (Mountain Time)","value":"16:57:00"},{"id":151,"name":"Denver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ref="AM113" si="49">"start /low /b "&amp;dls3logs&amp;" --loco "&amp;B113&amp;" --day "&amp;TEXT(F113,"YYYY-MM-DD")</f>
        <v>start /low /b %USERPROFILE%\Documents\GitHub\eaglep3\Utilities\DownloadLogsFromS3.py --loco 4001 --day 2017-07-11</v>
      </c>
      <c r="AN113" s="151" t="str">
        <f t="shared" ref="AN113" si="50">"echo {""issue"":{""subject"":"""&amp;R113&amp;""",""project_id"":30,""tracker_id"":4,""status_id"":"&amp;redmine_status_wcr&amp;",""priority_id"":"&amp;redmine_priority_wcr&amp;",""assigned_to_id"":"&amp;redmine_assignee_wcr&amp;",""start_date"":"""&amp;TEXT(I113-utc_offset/24,"YYYY-mm-dd")&amp;""",""description"":"""&amp;AJ113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{"issue":{"subject":"ATC buzzer issues","project_id":30,"tracker_id":4,"status_id":1,"priority_id":1,"assigned_to_id":10,"start_date":"2017-07-11","description":"","custom_fields":[{"id":30,"name":"Category","value":"Issue"},{"id":3,"name":"Functional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2" t="s">
        <v>754</v>
      </c>
      <c r="B114" s="7">
        <v>4064</v>
      </c>
      <c r="C114" s="21" t="s">
        <v>199</v>
      </c>
      <c r="D114" s="21" t="s">
        <v>867</v>
      </c>
      <c r="E114" s="13">
        <v>42927.675925925927</v>
      </c>
      <c r="F114" s="13">
        <v>42927.677835648145</v>
      </c>
      <c r="G114" s="7">
        <v>1</v>
      </c>
      <c r="H114" s="21" t="s">
        <v>545</v>
      </c>
      <c r="I114" s="13">
        <v>42927.702384259261</v>
      </c>
      <c r="J114" s="7">
        <v>0</v>
      </c>
      <c r="K114" s="89" t="str">
        <f t="shared" si="26"/>
        <v>4063/4064</v>
      </c>
      <c r="L114" s="21" t="str">
        <f>VLOOKUP(A114,'Trips&amp;Operators'!$C$1:$G$99999,5,FALSE)</f>
        <v>MCREYNOLDS KYLE</v>
      </c>
      <c r="M114" s="6">
        <f t="shared" si="27"/>
        <v>2.4548611116188113E-2</v>
      </c>
      <c r="N114" s="7">
        <f>24*60*SUM($M114:$M114)</f>
        <v>35.350000007310882</v>
      </c>
      <c r="O114" s="7"/>
      <c r="P114" s="7"/>
      <c r="Q114" s="22"/>
      <c r="R114" s="170"/>
      <c r="S114" s="213">
        <f t="shared" si="44"/>
        <v>1</v>
      </c>
      <c r="T114" s="195" t="str">
        <f t="shared" si="29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-07-11T15:13:20-0600',mode:absolute,to:'2017-07-11T17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4" s="197" t="str">
        <f>IF(AA114&lt;VLOOKUP(AG114,Variables!$AC$3:$AD$8,2,FALSE),"Y","N")</f>
        <v>N</v>
      </c>
      <c r="X114" s="197">
        <f t="shared" si="31"/>
        <v>1</v>
      </c>
      <c r="Y114" s="197">
        <f t="shared" si="45"/>
        <v>4.5999999999999999E-2</v>
      </c>
      <c r="Z114" s="197">
        <f t="shared" si="46"/>
        <v>23.334599999999998</v>
      </c>
      <c r="AA114" s="197">
        <f t="shared" si="34"/>
        <v>23.288599999999999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201</v>
      </c>
      <c r="AE114" s="77" t="str">
        <f t="shared" si="36"/>
        <v>aws s3 cp s3://rtdc.mdm.uploadarchive.raw/RTDC4064/ "%USERPROFILE%\AppData\Local\Temp\OnboardLogs"\RTDC4064\2017-07-11 --exclude "*" --recursive --include "*20170711*" &amp; "%USERPROFILE%\Documents\GitHub\mrs-test-scripts\Headless Mode &amp; Sideloading\WalkAndUnGZ.bat" "%USERPROFILE%\AppData\Local\Temp\OnboardLogs"\RTDC4064\2017-07-11 &amp; aws s3 cp s3://rtdc.mdm.uploadarchive.raw/RTDC4064/ "%USERPROFILE%\AppData\Local\Temp\OnboardLogs"\RTDC4064\2017-07-12 --exclude "*" --recursive --include "*20170712*" &amp; "%USERPROFILE%\Documents\GitHub\mrs-test-scripts\Headless Mode &amp; Sideloading\WalkAndUnGZ.bat" "%USERPROFILE%\AppData\Local\Temp\OnboardLogs"\RTDC4064\2017-07-12</v>
      </c>
      <c r="AF114" s="74" t="str">
        <f t="shared" si="37"/>
        <v>"C:\Program Files (x86)\AstroGrep\AstroGrep.exe" /e /r /s /spath="%USERPROFILE%\AppData\Local\Temp\OnboardLogs" /stypes="app*4064*20170711*" /stext=" 22:.+((SYSTEM_STATE.+slice.+state.+changed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201-11 --locoid 4064 --swversion DE.1.0.9.0 --startMP 204:460 --initTime 2017-07-11T16:13:20 --startdatetime 2017-07-11T16:16:05 --delay 1 --endMP 204:233346 --enddatetime 2017-07-11T16:51:26 --enforcementcount 0 &gt;&gt;C:\Users\stu\Documents\GitHub\eaglep3-reporting\EC\2017-07-11-refined-times.txt</v>
      </c>
      <c r="AI114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{"issue":{"subject":"","project_id":79,"tracker_id":40,"status_id":1,"priority_id":2,"assigned_to_id":23,"start_date":"2017-07-11","description":"","custom_fields":[{"id":1,"name":"Subdivision","value":"EC"},{"id":4,"name":"Milepost","value":"23.3346"},{"id":17,"name":"Train ID","value":"201-11"},{"id":16,"name":"Locomotive ID","value":"4064"},{"id":130,"name":"Impact","value":""},{"id":150,"name":"Time of Event (Mountain Time)","value":"16:51:26"},{"id":151,"name":"Denver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4064 --day 2017-07-11</v>
      </c>
      <c r="AN114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764</v>
      </c>
      <c r="B115" s="7">
        <v>4063</v>
      </c>
      <c r="C115" s="21" t="s">
        <v>199</v>
      </c>
      <c r="D115" s="21" t="s">
        <v>871</v>
      </c>
      <c r="E115" s="13">
        <v>42927.710763888892</v>
      </c>
      <c r="F115" s="13">
        <v>42927.717523148145</v>
      </c>
      <c r="G115" s="7">
        <v>1</v>
      </c>
      <c r="H115" s="21" t="s">
        <v>872</v>
      </c>
      <c r="I115" s="13">
        <v>42927.74796296296</v>
      </c>
      <c r="J115" s="7">
        <v>0</v>
      </c>
      <c r="K115" s="89" t="str">
        <f t="shared" si="26"/>
        <v>4063/4064</v>
      </c>
      <c r="L115" s="21" t="str">
        <f>VLOOKUP(A115,'Trips&amp;Operators'!$C$1:$G$99999,5,FALSE)</f>
        <v>MCREYNOLDS KYLE</v>
      </c>
      <c r="M115" s="6">
        <f t="shared" si="27"/>
        <v>3.0439814814599231E-2</v>
      </c>
      <c r="N115" s="7">
        <f>24*60*SUM($M115:$M115)</f>
        <v>43.833333333022892</v>
      </c>
      <c r="O115" s="7"/>
      <c r="P115" s="7"/>
      <c r="Q115" s="22"/>
      <c r="R115" s="170"/>
      <c r="S115" s="213">
        <f t="shared" si="44"/>
        <v>1</v>
      </c>
      <c r="T115" s="195" t="str">
        <f t="shared" si="29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-07-11T16:03:30-0600',mode:absolute,to:'2017-07-11T18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5" s="197" t="str">
        <f>IF(AA115&lt;VLOOKUP(AG115,Variables!$AC$3:$AD$8,2,FALSE),"Y","N")</f>
        <v>N</v>
      </c>
      <c r="X115" s="197">
        <f t="shared" si="31"/>
        <v>1</v>
      </c>
      <c r="Y115" s="197">
        <f t="shared" si="45"/>
        <v>23.306999999999999</v>
      </c>
      <c r="Z115" s="197">
        <f t="shared" si="46"/>
        <v>1.7399999999999999E-2</v>
      </c>
      <c r="AA115" s="197">
        <f t="shared" si="34"/>
        <v>23.2896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202</v>
      </c>
      <c r="AE115" s="77" t="str">
        <f t="shared" si="36"/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AF115" s="74" t="str">
        <f t="shared" si="37"/>
        <v>"C:\Program Files (x86)\AstroGrep\AstroGrep.exe" /e /r /s /spath="%USERPROFILE%\AppData\Local\Temp\OnboardLogs" /stypes="app*4063*20170711*" /stext=" 23:.+((SYSTEM_STATE.+slice.+state.+changed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202-11 --locoid 4063 --swversion DE.1.0.9.0 --startMP 204:233070 --initTime 2017-07-11T17:03:30 --startdatetime 2017-07-11T17:13:14 --delay 1 --endMP 204:174 --enddatetime 2017-07-11T17:57:04 --enforcementcount 0 &gt;&gt;C:\Users\stu\Documents\GitHub\eaglep3-reporting\EC\2017-07-11-refined-times.txt</v>
      </c>
      <c r="AI115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{"issue":{"subject":"","project_id":79,"tracker_id":40,"status_id":1,"priority_id":2,"assigned_to_id":23,"start_date":"2017-07-11","description":"","custom_fields":[{"id":1,"name":"Subdivision","value":"EC"},{"id":4,"name":"Milepost","value":"0.0174"},{"id":17,"name":"Train ID","value":"202-11"},{"id":16,"name":"Locomotive ID","value":"4063"},{"id":130,"name":"Impact","value":""},{"id":150,"name":"Time of Event (Mountain Time)","value":"17:57:04"},{"id":151,"name":"Denver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4063 --day 2017-07-11</v>
      </c>
      <c r="AN115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761</v>
      </c>
      <c r="B116" s="7">
        <v>4028</v>
      </c>
      <c r="C116" s="21" t="s">
        <v>199</v>
      </c>
      <c r="D116" s="21" t="s">
        <v>873</v>
      </c>
      <c r="E116" s="13">
        <v>42927.696851851855</v>
      </c>
      <c r="F116" s="13">
        <v>42927.698611111111</v>
      </c>
      <c r="G116" s="7">
        <v>2</v>
      </c>
      <c r="H116" s="21" t="s">
        <v>432</v>
      </c>
      <c r="I116" s="13">
        <v>42927.721701388888</v>
      </c>
      <c r="J116" s="7">
        <v>0</v>
      </c>
      <c r="K116" s="89" t="str">
        <f t="shared" si="26"/>
        <v>4027/4028</v>
      </c>
      <c r="L116" s="21" t="str">
        <f>VLOOKUP(A116,'Trips&amp;Operators'!$C$1:$G$99999,5,FALSE)</f>
        <v>STEWART MICHAEL</v>
      </c>
      <c r="M116" s="6">
        <f t="shared" si="27"/>
        <v>2.3090277776645962E-2</v>
      </c>
      <c r="N116" s="7"/>
      <c r="O116" s="7"/>
      <c r="P116" s="7">
        <f>24*60*SUM($M116:$M116)</f>
        <v>33.249999998370185</v>
      </c>
      <c r="Q116" s="22"/>
      <c r="R116" s="170" t="s">
        <v>1028</v>
      </c>
      <c r="S116" s="213">
        <f t="shared" si="44"/>
        <v>1</v>
      </c>
      <c r="T116" s="195" t="str">
        <f t="shared" si="29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-07-11T15:43:28-0600',mode:absolute,to:'2017-07-11T18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6" s="197" t="str">
        <f>IF(AA116&lt;VLOOKUP(AG116,Variables!$AC$3:$AD$8,2,FALSE),"Y","N")</f>
        <v>Y</v>
      </c>
      <c r="X116" s="197">
        <f t="shared" si="31"/>
        <v>1</v>
      </c>
      <c r="Y116" s="197">
        <f t="shared" si="45"/>
        <v>1.9128000000000001</v>
      </c>
      <c r="Z116" s="197">
        <f t="shared" si="46"/>
        <v>23.329699999999999</v>
      </c>
      <c r="AA116" s="197">
        <f t="shared" si="34"/>
        <v>21.416899999999998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203</v>
      </c>
      <c r="AE116" s="77" t="str">
        <f t="shared" si="36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116" s="74" t="str">
        <f t="shared" si="37"/>
        <v>"C:\Program Files (x86)\AstroGrep\AstroGrep.exe" /e /r /s /spath="%USERPROFILE%\AppData\Local\Temp\OnboardLogs" /stypes="app*4028*20170711*"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203-11 --locoid 4028 --swversion DE.1.0.9.0 --startMP 204:19128 --initTime 2017-07-11T16:43:28 --startdatetime 2017-07-11T16:46:00 --delay 2 --endMP 204:233297 --enddatetime 2017-07-11T17:19:15 --enforcementcount 0 &gt;&gt;C:\Users\stu\Documents\GitHub\eaglep3-reporting\EC\2017-07-11-refined-times.txt</v>
      </c>
      <c r="AI116" s="96" t="str">
        <f t="shared" si="40"/>
        <v>echo {"issue":{"subject":"Onboard in-route failure","project_id":79,"tracker_id":40,"status_id":1,"priority_id":2,"assigned_to_id":23,"start_date":"2017-07-11","description":"2088/1089 messages right after init attempt, that's a sign of the TMC restarting itself. So that's why we conclude OBIRF","custom_fields":[{"id":1,"name":"Subdivision","value":"EC"},{"id":4,"name":"Milepost","value":"23.3297"},{"id":17,"name":"Train ID","value":"203-11"},{"id":16,"name":"Locomotive ID","value":"4028"},{"id":130,"name":"Impact","value":""},{"id":150,"name":"Time of Event (Mountain Time)","value":"17:19:15"},{"id":151,"name":"Denver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20" t="s">
        <v>1030</v>
      </c>
      <c r="AK116" s="47"/>
      <c r="AL116" s="47"/>
      <c r="AM116" s="142" t="str">
        <f t="shared" si="41"/>
        <v>start /low /b %USERPROFILE%\Documents\GitHub\eaglep3\Utilities\DownloadLogsFromS3.py --loco 4028 --day 2017-07-11</v>
      </c>
      <c r="AN116" s="151" t="str">
        <f t="shared" si="42"/>
        <v>echo {"issue":{"subject":"Onboard in-route failure","project_id":30,"tracker_id":4,"status_id":1,"priority_id":1,"assigned_to_id":10,"start_date":"2017-07-11","description":"2088/1089 messages right after init attempt, that's a sign of the TMC restarting itself. So that's why we conclude OBIRF","custom_fields":[{"id":30,"name":"Category","value":"Issue"},{"id":3,"name":"Functional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770</v>
      </c>
      <c r="B117" s="7">
        <v>4027</v>
      </c>
      <c r="C117" s="21" t="s">
        <v>199</v>
      </c>
      <c r="D117" s="21" t="s">
        <v>493</v>
      </c>
      <c r="E117" s="13">
        <v>42927.726099537038</v>
      </c>
      <c r="F117" s="13">
        <v>42927.727743055555</v>
      </c>
      <c r="G117" s="7">
        <v>1</v>
      </c>
      <c r="H117" s="21" t="s">
        <v>382</v>
      </c>
      <c r="I117" s="13">
        <v>42927.755636574075</v>
      </c>
      <c r="J117" s="7">
        <v>0</v>
      </c>
      <c r="K117" s="89" t="str">
        <f t="shared" si="26"/>
        <v>4027/4028</v>
      </c>
      <c r="L117" s="21" t="str">
        <f>VLOOKUP(A117,'Trips&amp;Operators'!$C$1:$G$99999,5,FALSE)</f>
        <v>STEWART MICHAEL</v>
      </c>
      <c r="M117" s="6">
        <f t="shared" si="27"/>
        <v>2.789351851970423E-2</v>
      </c>
      <c r="N117" s="7">
        <f>24*60*SUM($M117:$M117)</f>
        <v>40.166666668374091</v>
      </c>
      <c r="O117" s="7"/>
      <c r="P117" s="7"/>
      <c r="Q117" s="22"/>
      <c r="R117" s="170"/>
      <c r="S117" s="213">
        <f t="shared" si="44"/>
        <v>1</v>
      </c>
      <c r="T117" s="195" t="str">
        <f t="shared" si="29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-07-11T16:25:35-0600',mode:absolute,to:'2017-07-11T19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197" t="str">
        <f>IF(AA117&lt;VLOOKUP(AG117,Variables!$AC$3:$AD$8,2,FALSE),"Y","N")</f>
        <v>N</v>
      </c>
      <c r="X117" s="197">
        <f t="shared" si="31"/>
        <v>1</v>
      </c>
      <c r="Y117" s="197">
        <f t="shared" si="45"/>
        <v>23.296700000000001</v>
      </c>
      <c r="Z117" s="197">
        <f t="shared" si="46"/>
        <v>1.54E-2</v>
      </c>
      <c r="AA117" s="197">
        <f t="shared" si="34"/>
        <v>23.281300000000002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204</v>
      </c>
      <c r="AE117" s="77" t="str">
        <f t="shared" si="36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117" s="74" t="str">
        <f t="shared" si="37"/>
        <v>"C:\Program Files (x86)\AstroGrep\AstroGrep.exe" /e /r /s /spath="%USERPROFILE%\AppData\Local\Temp\OnboardLogs" /stypes="app*4027*20170712*" /stext=" 00:.+((SYSTEM_STATE.+slice.+state.+changed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204-11 --locoid 4027 --swversion DE.1.0.9.0 --startMP 204:232967 --initTime 2017-07-11T17:25:35 --startdatetime 2017-07-11T17:27:57 --delay 1 --endMP 204:154 --enddatetime 2017-07-11T18:08:07 --enforcementcount 0 &gt;&gt;C:\Users\stu\Documents\GitHub\eaglep3-reporting\EC\2017-07-11-refined-times.txt</v>
      </c>
      <c r="AI117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{"issue":{"subject":"","project_id":79,"tracker_id":40,"status_id":1,"priority_id":2,"assigned_to_id":23,"start_date":"2017-07-11","description":"","custom_fields":[{"id":1,"name":"Subdivision","value":"EC"},{"id":4,"name":"Milepost","value":"0.0154"},{"id":17,"name":"Train ID","value":"204-11"},{"id":16,"name":"Locomotive ID","value":"4027"},{"id":130,"name":"Impact","value":""},{"id":150,"name":"Time of Event (Mountain Time)","value":"18:08:07"},{"id":151,"name":"Denver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4027 --day 2017-07-11</v>
      </c>
      <c r="AN117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759</v>
      </c>
      <c r="B118" s="7">
        <v>4042</v>
      </c>
      <c r="C118" s="21" t="s">
        <v>199</v>
      </c>
      <c r="D118" s="21" t="s">
        <v>351</v>
      </c>
      <c r="E118" s="13">
        <v>42927.694479166668</v>
      </c>
      <c r="F118" s="13">
        <v>42927.69972222222</v>
      </c>
      <c r="G118" s="7">
        <v>1</v>
      </c>
      <c r="H118" s="21" t="s">
        <v>874</v>
      </c>
      <c r="I118" s="13">
        <v>42927.724143518521</v>
      </c>
      <c r="J118" s="7">
        <v>0</v>
      </c>
      <c r="K118" s="89" t="str">
        <f t="shared" si="26"/>
        <v>4041/4042</v>
      </c>
      <c r="L118" s="21" t="str">
        <f>VLOOKUP(A118,'Trips&amp;Operators'!$C$1:$G$99999,5,FALSE)</f>
        <v>HART KEVIN</v>
      </c>
      <c r="M118" s="6">
        <f t="shared" si="27"/>
        <v>2.4421296300715767E-2</v>
      </c>
      <c r="N118" s="7">
        <f>24*60*SUM($M118:$M118)</f>
        <v>35.166666673030704</v>
      </c>
      <c r="O118" s="7"/>
      <c r="P118" s="7"/>
      <c r="Q118" s="22"/>
      <c r="R118" s="170"/>
      <c r="S118" s="213">
        <f t="shared" si="44"/>
        <v>1</v>
      </c>
      <c r="T118" s="195" t="str">
        <f t="shared" si="29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-07-11T15:40:03-0600',mode:absolute,to:'2017-07-11T18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8" s="197" t="str">
        <f>IF(AA118&lt;VLOOKUP(AG118,Variables!$AC$3:$AD$8,2,FALSE),"Y","N")</f>
        <v>N</v>
      </c>
      <c r="X118" s="197">
        <f t="shared" si="31"/>
        <v>1</v>
      </c>
      <c r="Y118" s="197">
        <f t="shared" si="45"/>
        <v>4.4699999999999997E-2</v>
      </c>
      <c r="Z118" s="197">
        <f t="shared" si="46"/>
        <v>23.340599999999998</v>
      </c>
      <c r="AA118" s="197">
        <f t="shared" si="34"/>
        <v>23.2959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205</v>
      </c>
      <c r="AE118" s="77" t="str">
        <f t="shared" si="36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118" s="74" t="str">
        <f t="shared" si="37"/>
        <v>"C:\Program Files (x86)\AstroGrep\AstroGrep.exe" /e /r /s /spath="%USERPROFILE%\AppData\Local\Temp\OnboardLogs" /stypes="app*4042*20170711*" /stext=" 23:.+((SYSTEM_STATE.+slice.+state.+changed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205-11 --locoid 4042 --swversion DE.1.0.9.0 --startMP 204:447 --initTime 2017-07-11T16:40:03 --startdatetime 2017-07-11T16:47:36 --delay 1 --endMP 204:233406 --enddatetime 2017-07-11T17:22:46 --enforcementcount 0 &gt;&gt;C:\Users\stu\Documents\GitHub\eaglep3-reporting\EC\2017-07-11-refined-times.txt</v>
      </c>
      <c r="AI118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{"issue":{"subject":"","project_id":79,"tracker_id":40,"status_id":1,"priority_id":2,"assigned_to_id":23,"start_date":"2017-07-11","description":"","custom_fields":[{"id":1,"name":"Subdivision","value":"EC"},{"id":4,"name":"Milepost","value":"23.3406"},{"id":17,"name":"Train ID","value":"205-11"},{"id":16,"name":"Locomotive ID","value":"4042"},{"id":130,"name":"Impact","value":""},{"id":150,"name":"Time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4042 --day 2017-07-11</v>
      </c>
      <c r="AN118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769</v>
      </c>
      <c r="B119" s="7">
        <v>4041</v>
      </c>
      <c r="C119" s="21" t="s">
        <v>199</v>
      </c>
      <c r="D119" s="21" t="s">
        <v>875</v>
      </c>
      <c r="E119" s="13">
        <v>42927.725266203706</v>
      </c>
      <c r="F119" s="13">
        <v>42927.737650462965</v>
      </c>
      <c r="G119" s="7">
        <v>1</v>
      </c>
      <c r="H119" s="21" t="s">
        <v>404</v>
      </c>
      <c r="I119" s="13">
        <v>42927.764803240738</v>
      </c>
      <c r="J119" s="7">
        <v>0</v>
      </c>
      <c r="K119" s="89" t="str">
        <f t="shared" si="26"/>
        <v>4041/4042</v>
      </c>
      <c r="L119" s="21" t="str">
        <f>VLOOKUP(A119,'Trips&amp;Operators'!$C$1:$G$99999,5,FALSE)</f>
        <v>HART KEVIN</v>
      </c>
      <c r="M119" s="6">
        <f t="shared" si="27"/>
        <v>2.7152777773153502E-2</v>
      </c>
      <c r="N119" s="7">
        <f>24*60*SUM($M119:$M119)</f>
        <v>39.099999993341044</v>
      </c>
      <c r="O119" s="7"/>
      <c r="P119" s="7"/>
      <c r="Q119" s="22"/>
      <c r="R119" s="170"/>
      <c r="S119" s="213">
        <f t="shared" si="44"/>
        <v>1</v>
      </c>
      <c r="T119" s="195" t="str">
        <f t="shared" si="29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-07-11T16:24:23-0600',mode:absolute,to:'2017-07-11T19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9" s="197" t="str">
        <f>IF(AA119&lt;VLOOKUP(AG119,Variables!$AC$3:$AD$8,2,FALSE),"Y","N")</f>
        <v>N</v>
      </c>
      <c r="X119" s="197">
        <f t="shared" si="31"/>
        <v>1</v>
      </c>
      <c r="Y119" s="197">
        <f t="shared" si="45"/>
        <v>23.3111</v>
      </c>
      <c r="Z119" s="197">
        <f t="shared" si="46"/>
        <v>1.38E-2</v>
      </c>
      <c r="AA119" s="197">
        <f t="shared" si="34"/>
        <v>23.2973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206</v>
      </c>
      <c r="AE119" s="77" t="str">
        <f t="shared" si="36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119" s="74" t="str">
        <f t="shared" si="37"/>
        <v>"C:\Program Files (x86)\AstroGrep\AstroGrep.exe" /e /r /s /spath="%USERPROFILE%\AppData\Local\Temp\OnboardLogs" /stypes="app*4041*20170712*" /stext=" 00:.+((SYSTEM_STATE.+slice.+state.+changed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206-11 --locoid 4041 --swversion DE.1.0.9.0 --startMP 204:233111 --initTime 2017-07-11T17:24:23 --startdatetime 2017-07-11T17:42:13 --delay 1 --endMP 204:138 --enddatetime 2017-07-11T18:21:19 --enforcementcount 0 &gt;&gt;C:\Users\stu\Documents\GitHub\eaglep3-reporting\EC\2017-07-11-refined-times.txt</v>
      </c>
      <c r="AI119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{"issue":{"subject":"","project_id":79,"tracker_id":40,"status_id":1,"priority_id":2,"assigned_to_id":23,"start_date":"2017-07-11","description":"","custom_fields":[{"id":1,"name":"Subdivision","value":"EC"},{"id":4,"name":"Milepost","value":"0.0138"},{"id":17,"name":"Train ID","value":"206-11"},{"id":16,"name":"Locomotive ID","value":"4041"},{"id":130,"name":"Impact","value":""},{"id":150,"name":"Time of Event (Mountain Time)","value":"18:21:19"},{"id":151,"name":"Denver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4041 --day 2017-07-11</v>
      </c>
      <c r="AN119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599</v>
      </c>
      <c r="B120" s="7">
        <v>4016</v>
      </c>
      <c r="C120" s="21" t="s">
        <v>199</v>
      </c>
      <c r="D120" s="21" t="s">
        <v>876</v>
      </c>
      <c r="E120" s="13">
        <v>42927.711828703701</v>
      </c>
      <c r="F120" s="13">
        <v>42927.712708333333</v>
      </c>
      <c r="G120" s="7">
        <v>0</v>
      </c>
      <c r="H120" s="21" t="s">
        <v>877</v>
      </c>
      <c r="I120" s="13">
        <v>42927.734386574077</v>
      </c>
      <c r="J120" s="7">
        <v>0</v>
      </c>
      <c r="K120" s="89" t="str">
        <f t="shared" si="26"/>
        <v>4015/4016</v>
      </c>
      <c r="L120" s="21" t="str">
        <f>VLOOKUP(A120,'Trips&amp;Operators'!$C$1:$G$99999,5,FALSE)</f>
        <v>LEVIN SCOTT</v>
      </c>
      <c r="M120" s="6">
        <f t="shared" si="27"/>
        <v>2.1678240744222421E-2</v>
      </c>
      <c r="N120" s="7"/>
      <c r="O120" s="7"/>
      <c r="P120" s="7">
        <f>24*60*SUM($M120:$M120)</f>
        <v>31.216666671680287</v>
      </c>
      <c r="Q120" s="22"/>
      <c r="R120" s="170" t="s">
        <v>1028</v>
      </c>
      <c r="S120" s="213">
        <f t="shared" si="44"/>
        <v>1</v>
      </c>
      <c r="T120" s="195" t="str">
        <f t="shared" si="29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-07-11T16:05:02-0600',mode:absolute,to:'2017-07-11T18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97" t="str">
        <f>IF(AA120&lt;VLOOKUP(AG120,Variables!$AC$3:$AD$8,2,FALSE),"Y","N")</f>
        <v>Y</v>
      </c>
      <c r="X120" s="197">
        <f t="shared" si="31"/>
        <v>1</v>
      </c>
      <c r="Y120" s="197">
        <f t="shared" si="45"/>
        <v>1.9519</v>
      </c>
      <c r="Z120" s="197">
        <f t="shared" si="46"/>
        <v>23.340800000000002</v>
      </c>
      <c r="AA120" s="197">
        <f t="shared" si="34"/>
        <v>21.388900000000003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207</v>
      </c>
      <c r="AE120" s="77" t="str">
        <f t="shared" si="36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120" s="74" t="str">
        <f t="shared" si="37"/>
        <v>"C:\Program Files (x86)\AstroGrep\AstroGrep.exe" /e /r /s /spath="%USERPROFILE%\AppData\Local\Temp\OnboardLogs" /stypes="app*4016*20170711*" /stext=" 23:.+((SYSTEM_STATE.+slice.+state.+changed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207-11 --locoid 4016 --swversion DE.1.0.9.0 --startMP 204:19519 --initTime 2017-07-11T17:05:02 --startdatetime 2017-07-11T17:06:18 --delay 0 --endMP 204:233408 --enddatetime 2017-07-11T17:37:31 --enforcementcount 0 &gt;&gt;C:\Users\stu\Documents\GitHub\eaglep3-reporting\EC\2017-07-11-refined-times.txt</v>
      </c>
      <c r="AI120" s="96" t="str">
        <f t="shared" si="40"/>
        <v>echo {"issue":{"subject":"Onboard in-route failure","project_id":79,"tracker_id":40,"status_id":1,"priority_id":2,"assigned_to_id":23,"start_date":"2017-07-11","description":"","custom_fields":[{"id":1,"name":"Subdivision","value":"EC"},{"id":4,"name":"Milepost","value":"23.3408"},{"id":17,"name":"Train ID","value":"207-11"},{"id":16,"name":"Locomotive ID","value":"4016"},{"id":130,"name":"Impact","value":""},{"id":150,"name":"Time of Event (Mountain Time)","value":"17:37:31"},{"id":151,"name":"Denver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4016 --day 2017-07-11</v>
      </c>
      <c r="AN120" s="151" t="str">
        <f t="shared" si="42"/>
        <v>echo {"issue":{"subject":"Onboard in-route failure","project_id":30,"tracker_id":4,"status_id":1,"priority_id":1,"assigned_to_id":10,"start_date":"2017-07-11","description":"","custom_fields":[{"id":30,"name":"Category","value":"Issue"},{"id":3,"name":"Functional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599</v>
      </c>
      <c r="B121" s="7">
        <v>4016</v>
      </c>
      <c r="C121" s="21" t="s">
        <v>199</v>
      </c>
      <c r="D121" s="21" t="s">
        <v>424</v>
      </c>
      <c r="E121" s="13">
        <v>42927.705254629633</v>
      </c>
      <c r="F121" s="13">
        <v>42927.712708333333</v>
      </c>
      <c r="G121" s="7">
        <v>1</v>
      </c>
      <c r="H121" s="21" t="s">
        <v>878</v>
      </c>
      <c r="I121" s="13">
        <v>42927.734386574077</v>
      </c>
      <c r="J121" s="7">
        <v>0</v>
      </c>
      <c r="K121" s="89" t="str">
        <f t="shared" si="26"/>
        <v>4015/4016</v>
      </c>
      <c r="L121" s="21" t="str">
        <f>VLOOKUP(A121,'Trips&amp;Operators'!$C$1:$G$99999,5,FALSE)</f>
        <v>LEVIN SCOTT</v>
      </c>
      <c r="M121" s="6">
        <f t="shared" si="27"/>
        <v>2.1678240744222421E-2</v>
      </c>
      <c r="N121" s="7"/>
      <c r="O121" s="7"/>
      <c r="P121" s="7"/>
      <c r="Q121" s="22"/>
      <c r="R121" s="170"/>
      <c r="S121" s="213"/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0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-07-11T15:55:34-0600',mode:absolute,to:'2017-07-11T18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197" t="str">
        <f>IF(AA121&lt;VLOOKUP(AG121,Variables!$AC$3:$AD$8,2,FALSE),"Y","N")</f>
        <v>Y</v>
      </c>
      <c r="X121" s="197">
        <f t="shared" si="31"/>
        <v>0</v>
      </c>
      <c r="Y121" s="197">
        <f t="shared" si="45"/>
        <v>4.4400000000000002E-2</v>
      </c>
      <c r="Z121" s="197">
        <f t="shared" si="46"/>
        <v>0.89319999999999999</v>
      </c>
      <c r="AA121" s="197">
        <f t="shared" si="34"/>
        <v>0.8488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207</v>
      </c>
      <c r="AE121" s="77" t="str">
        <f t="shared" si="36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121" s="74" t="str">
        <f t="shared" si="37"/>
        <v>"C:\Program Files (x86)\AstroGrep\AstroGrep.exe" /e /r /s /spath="%USERPROFILE%\AppData\Local\Temp\OnboardLogs" /stypes="app*4016*20170711*"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207-11 --locoid 4016 --swversion DE.1.0.9.0 --startMP 204:444 --initTime 2017-07-11T16:55:34 --startdatetime 2017-07-11T17:06:18 --delay 1 --endMP 204:8932 --enddatetime 2017-07-11T17:37:31 --enforcementcount 0 &gt;&gt;C:\Users\stu\Documents\GitHub\eaglep3-reporting\EC\2017-07-11-refined-times.txt</v>
      </c>
      <c r="AI121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{"issue":{"subject":"","project_id":79,"tracker_id":40,"status_id":1,"priority_id":2,"assigned_to_id":23,"start_date":"2017-07-11","description":"","custom_fields":[{"id":1,"name":"Subdivision","value":"EC"},{"id":4,"name":"Milepost","value":"0.8932"},{"id":17,"name":"Train ID","value":"207-11"},{"id":16,"name":"Locomotive ID","value":"4016"},{"id":130,"name":"Impact","value":""},{"id":150,"name":"Time of Event (Mountain Time)","value":"17:37:31"},{"id":151,"name":"Denver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4016 --day 2017-07-11</v>
      </c>
      <c r="AN121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774</v>
      </c>
      <c r="B122" s="7">
        <v>4015</v>
      </c>
      <c r="C122" s="21" t="s">
        <v>199</v>
      </c>
      <c r="D122" s="21" t="s">
        <v>875</v>
      </c>
      <c r="E122" s="13">
        <v>42927.743483796294</v>
      </c>
      <c r="F122" s="13">
        <v>42927.748171296298</v>
      </c>
      <c r="G122" s="7">
        <v>1</v>
      </c>
      <c r="H122" s="21" t="s">
        <v>879</v>
      </c>
      <c r="I122" s="13">
        <v>42927.774525462963</v>
      </c>
      <c r="J122" s="7">
        <v>0</v>
      </c>
      <c r="K122" s="89" t="str">
        <f t="shared" si="26"/>
        <v>4015/4016</v>
      </c>
      <c r="L122" s="21" t="str">
        <f>VLOOKUP(A122,'Trips&amp;Operators'!$C$1:$G$99999,5,FALSE)</f>
        <v>LEVIN SCOTT</v>
      </c>
      <c r="M122" s="6">
        <f t="shared" si="27"/>
        <v>2.6354166664532386E-2</v>
      </c>
      <c r="N122" s="7">
        <f t="shared" ref="N121:N152" si="51">24*60*SUM($M122:$M122)</f>
        <v>37.949999996926636</v>
      </c>
      <c r="O122" s="7"/>
      <c r="P122" s="7"/>
      <c r="Q122" s="22"/>
      <c r="R122" s="170"/>
      <c r="S122" s="213">
        <f t="shared" si="44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-07-11T16:50:37-0600',mode:absolute,to:'2017-07-11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197" t="str">
        <f>IF(AA122&lt;VLOOKUP(AG122,Variables!$AC$3:$AD$8,2,FALSE),"Y","N")</f>
        <v>N</v>
      </c>
      <c r="X122" s="197">
        <f t="shared" si="31"/>
        <v>1</v>
      </c>
      <c r="Y122" s="197">
        <f t="shared" si="45"/>
        <v>23.3111</v>
      </c>
      <c r="Z122" s="197">
        <f t="shared" si="46"/>
        <v>1.23E-2</v>
      </c>
      <c r="AA122" s="197">
        <f t="shared" si="34"/>
        <v>23.2988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208</v>
      </c>
      <c r="AE122" s="77" t="str">
        <f t="shared" si="36"/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AF122" s="74" t="str">
        <f t="shared" si="37"/>
        <v>"C:\Program Files (x86)\AstroGrep\AstroGrep.exe" /e /r /s /spath="%USERPROFILE%\AppData\Local\Temp\OnboardLogs" /stypes="app*4015*20170712*"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208-11 --locoid 4015 --swversion DE.1.0.9.0 --startMP 204:233111 --initTime 2017-07-11T17:50:37 --startdatetime 2017-07-11T17:57:22 --delay 1 --endMP 204:123 --enddatetime 2017-07-11T18:35:19 --enforcementcount 0 &gt;&gt;C:\Users\stu\Documents\GitHub\eaglep3-reporting\EC\2017-07-11-refined-times.txt</v>
      </c>
      <c r="AI122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{"issue":{"subject":"","project_id":79,"tracker_id":40,"status_id":1,"priority_id":2,"assigned_to_id":23,"start_date":"2017-07-11","description":"","custom_fields":[{"id":1,"name":"Subdivision","value":"EC"},{"id":4,"name":"Milepost","value":"0.0123"},{"id":17,"name":"Train ID","value":"208-11"},{"id":16,"name":"Locomotive ID","value":"4015"},{"id":130,"name":"Impact","value":""},{"id":150,"name":"Time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4015 --day 2017-07-11</v>
      </c>
      <c r="AN122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598</v>
      </c>
      <c r="B123" s="7">
        <v>4032</v>
      </c>
      <c r="C123" s="21" t="s">
        <v>199</v>
      </c>
      <c r="D123" s="21" t="s">
        <v>350</v>
      </c>
      <c r="E123" s="13">
        <v>42927.716423611113</v>
      </c>
      <c r="F123" s="13">
        <v>42927.719606481478</v>
      </c>
      <c r="G123" s="7">
        <v>2</v>
      </c>
      <c r="H123" s="21" t="s">
        <v>880</v>
      </c>
      <c r="I123" s="13">
        <v>42927.746921296297</v>
      </c>
      <c r="J123" s="7">
        <v>0</v>
      </c>
      <c r="K123" s="89" t="str">
        <f t="shared" si="26"/>
        <v>4031/4032</v>
      </c>
      <c r="L123" s="21" t="str">
        <f>VLOOKUP(A123,'Trips&amp;Operators'!$C$1:$G$99999,5,FALSE)</f>
        <v>NICHOLSON WESLEY</v>
      </c>
      <c r="M123" s="6">
        <f t="shared" si="27"/>
        <v>2.7314814818964805E-2</v>
      </c>
      <c r="N123" s="7">
        <f t="shared" si="51"/>
        <v>39.33333333930932</v>
      </c>
      <c r="O123" s="7"/>
      <c r="P123" s="7"/>
      <c r="Q123" s="22"/>
      <c r="R123" s="170"/>
      <c r="S123" s="213">
        <f t="shared" si="44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-07-11T16:11:39-0600',mode:absolute,to:'2017-07-11T18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3" s="197" t="str">
        <f>IF(AA123&lt;VLOOKUP(AG123,Variables!$AC$3:$AD$8,2,FALSE),"Y","N")</f>
        <v>N</v>
      </c>
      <c r="X123" s="197">
        <f t="shared" si="31"/>
        <v>1</v>
      </c>
      <c r="Y123" s="197">
        <f t="shared" si="45"/>
        <v>4.53E-2</v>
      </c>
      <c r="Z123" s="197">
        <f t="shared" si="46"/>
        <v>23.32</v>
      </c>
      <c r="AA123" s="197">
        <f t="shared" si="34"/>
        <v>23.274699999999999</v>
      </c>
      <c r="AB123" s="54" t="str">
        <f>VLOOKUP(A123,Enforcements!$C$7:$K$13,8,0)</f>
        <v>Bulletin (2)</v>
      </c>
      <c r="AC123" s="51" t="str">
        <f>VLOOKUP(A123,Enforcements!$C$7:$E$13,3,0)</f>
        <v>GRADE CROSSING</v>
      </c>
      <c r="AD123" s="206">
        <f t="shared" si="35"/>
        <v>209</v>
      </c>
      <c r="AE123" s="77" t="str">
        <f t="shared" si="36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123" s="74" t="str">
        <f t="shared" si="37"/>
        <v>"C:\Program Files (x86)\AstroGrep\AstroGrep.exe" /e /r /s /spath="%USERPROFILE%\AppData\Local\Temp\OnboardLogs" /stypes="app*4032*20170711*" /stext=" 23:.+((SYSTEM_STATE.+slice.+state.+changed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209-11 --locoid 4032 --swversion DE.1.0.9.0 --startMP 204:453 --initTime 2017-07-11T17:11:39 --startdatetime 2017-07-11T17:16:14 --delay 2 --endMP 204:233200 --enddatetime 2017-07-11T17:55:34 --enforcementcount 0 &gt;&gt;C:\Users\stu\Documents\GitHub\eaglep3-reporting\EC\2017-07-11-refined-times.txt</v>
      </c>
      <c r="AI123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{"issue":{"subject":"","project_id":79,"tracker_id":40,"status_id":1,"priority_id":2,"assigned_to_id":23,"start_date":"2017-07-11","description":"","custom_fields":[{"id":1,"name":"Subdivision","value":"EC"},{"id":4,"name":"Milepost","value":"23.32"},{"id":17,"name":"Train ID","value":"209-11"},{"id":16,"name":"Locomotive ID","value":"4032"},{"id":130,"name":"Impact","value":""},{"id":150,"name":"Time of Event (Mountain Time)","value":"17:55:34"},{"id":151,"name":"Denver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4032 --day 2017-07-11</v>
      </c>
      <c r="AN123" s="151" t="str">
        <f t="shared" si="4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602</v>
      </c>
      <c r="B124" s="7">
        <v>4031</v>
      </c>
      <c r="C124" s="21" t="s">
        <v>199</v>
      </c>
      <c r="D124" s="21" t="s">
        <v>881</v>
      </c>
      <c r="E124" s="13">
        <v>42927.754467592589</v>
      </c>
      <c r="F124" s="13">
        <v>42927.758564814816</v>
      </c>
      <c r="G124" s="7">
        <v>1</v>
      </c>
      <c r="H124" s="21" t="s">
        <v>882</v>
      </c>
      <c r="I124" s="13">
        <v>42927.787129629629</v>
      </c>
      <c r="J124" s="7">
        <v>0</v>
      </c>
      <c r="K124" s="89" t="str">
        <f t="shared" si="26"/>
        <v>4031/4032</v>
      </c>
      <c r="L124" s="21" t="str">
        <f>VLOOKUP(A124,'Trips&amp;Operators'!$C$1:$G$99999,5,FALSE)</f>
        <v>NICHOLSON WESLEY</v>
      </c>
      <c r="M124" s="6">
        <f t="shared" si="27"/>
        <v>2.8564814812853001E-2</v>
      </c>
      <c r="N124" s="7">
        <f t="shared" si="51"/>
        <v>41.133333330508322</v>
      </c>
      <c r="O124" s="7"/>
      <c r="P124" s="7"/>
      <c r="Q124" s="22"/>
      <c r="R124" s="170"/>
      <c r="S124" s="213">
        <f t="shared" si="44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-07-11T17:06:26-0600',mode:absolute,to:'2017-07-11T19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4" s="197" t="str">
        <f>IF(AA124&lt;VLOOKUP(AG124,Variables!$AC$3:$AD$8,2,FALSE),"Y","N")</f>
        <v>N</v>
      </c>
      <c r="X124" s="197">
        <f t="shared" si="31"/>
        <v>1</v>
      </c>
      <c r="Y124" s="197">
        <f t="shared" si="45"/>
        <v>23.289400000000001</v>
      </c>
      <c r="Z124" s="197">
        <f t="shared" si="46"/>
        <v>2.07E-2</v>
      </c>
      <c r="AA124" s="197">
        <f t="shared" si="34"/>
        <v>23.268699999999999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210</v>
      </c>
      <c r="AE124" s="77" t="str">
        <f t="shared" si="36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124" s="74" t="str">
        <f t="shared" si="37"/>
        <v>"C:\Program Files (x86)\AstroGrep\AstroGrep.exe" /e /r /s /spath="%USERPROFILE%\AppData\Local\Temp\OnboardLogs" /stypes="app*4031*20170712*"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210-11 --locoid 4031 --swversion DE.1.0.9.0 --startMP 204:232894 --initTime 2017-07-11T18:06:26 --startdatetime 2017-07-11T18:12:20 --delay 1 --endMP 204:207 --enddatetime 2017-07-11T18:53:28 --enforcementcount 0 &gt;&gt;C:\Users\stu\Documents\GitHub\eaglep3-reporting\EC\2017-07-11-refined-times.txt</v>
      </c>
      <c r="AI124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{"issue":{"subject":"","project_id":79,"tracker_id":40,"status_id":1,"priority_id":2,"assigned_to_id":23,"start_date":"2017-07-11","description":"","custom_fields":[{"id":1,"name":"Subdivision","value":"EC"},{"id":4,"name":"Milepost","value":"0.0207"},{"id":17,"name":"Train ID","value":"210-11"},{"id":16,"name":"Locomotive ID","value":"4031"},{"id":130,"name":"Impact","value":""},{"id":150,"name":"Time of Event (Mountain Time)","value":"18:53:28"},{"id":151,"name":"Denver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4031 --day 2017-07-11</v>
      </c>
      <c r="AN124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768</v>
      </c>
      <c r="B125" s="7">
        <v>4022</v>
      </c>
      <c r="C125" s="21" t="s">
        <v>199</v>
      </c>
      <c r="D125" s="21" t="s">
        <v>424</v>
      </c>
      <c r="E125" s="13">
        <v>42927.72483796296</v>
      </c>
      <c r="F125" s="13">
        <v>42927.729861111111</v>
      </c>
      <c r="G125" s="7">
        <v>1</v>
      </c>
      <c r="H125" s="21" t="s">
        <v>437</v>
      </c>
      <c r="I125" s="13">
        <v>42927.756238425929</v>
      </c>
      <c r="J125" s="7">
        <v>0</v>
      </c>
      <c r="K125" s="89" t="str">
        <f t="shared" si="26"/>
        <v>4021/4022</v>
      </c>
      <c r="L125" s="21" t="str">
        <f>VLOOKUP(A125,'Trips&amp;Operators'!$C$1:$G$99999,5,FALSE)</f>
        <v>THOMPSON LESTER</v>
      </c>
      <c r="M125" s="6">
        <f t="shared" si="27"/>
        <v>2.6377314818091691E-2</v>
      </c>
      <c r="N125" s="7">
        <f t="shared" si="51"/>
        <v>37.983333338052034</v>
      </c>
      <c r="O125" s="7"/>
      <c r="P125" s="7"/>
      <c r="Q125" s="22"/>
      <c r="R125" s="170"/>
      <c r="S125" s="213">
        <f t="shared" si="44"/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-07-11T16:23:46-0600',mode:absolute,to:'2017-07-11T19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5" s="197" t="str">
        <f>IF(AA125&lt;VLOOKUP(AG125,Variables!$AC$3:$AD$8,2,FALSE),"Y","N")</f>
        <v>N</v>
      </c>
      <c r="X125" s="197">
        <f t="shared" si="31"/>
        <v>1</v>
      </c>
      <c r="Y125" s="197">
        <f t="shared" si="45"/>
        <v>4.4400000000000002E-2</v>
      </c>
      <c r="Z125" s="197">
        <f t="shared" si="46"/>
        <v>23.329499999999999</v>
      </c>
      <c r="AA125" s="197">
        <f t="shared" si="34"/>
        <v>23.2851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211</v>
      </c>
      <c r="AE125" s="77" t="str">
        <f t="shared" si="36"/>
        <v>aws s3 cp s3://rtdc.mdm.uploadarchive.raw/RTDC4022/ "%USERPROFILE%\AppData\Local\Temp\OnboardLogs"\RTDC4022\2017-07-11 --exclude "*" --recursive --include "*20170711*" &amp; "%USERPROFILE%\Documents\GitHub\mrs-test-scripts\Headless Mode &amp; Sideloading\WalkAndUnGZ.bat" "%USERPROFILE%\AppData\Local\Temp\OnboardLogs"\RTDC4022\2017-07-11 &amp; aws s3 cp s3://rtdc.mdm.uploadarchive.raw/RTDC4022/ "%USERPROFILE%\AppData\Local\Temp\OnboardLogs"\RTDC4022\2017-07-12 --exclude "*" --recursive --include "*20170712*" &amp; "%USERPROFILE%\Documents\GitHub\mrs-test-scripts\Headless Mode &amp; Sideloading\WalkAndUnGZ.bat" "%USERPROFILE%\AppData\Local\Temp\OnboardLogs"\RTDC4022\2017-07-12</v>
      </c>
      <c r="AF125" s="74" t="str">
        <f t="shared" si="37"/>
        <v>"C:\Program Files (x86)\AstroGrep\AstroGrep.exe" /e /r /s /spath="%USERPROFILE%\AppData\Local\Temp\OnboardLogs" /stypes="app*4022*20170712*" /stext=" 00:.+((SYSTEM_STATE.+slice.+state.+changed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211-11 --locoid 4022 --swversion DE.1.0.9.0 --startMP 204:444 --initTime 2017-07-11T17:23:46 --startdatetime 2017-07-11T17:31:00 --delay 1 --endMP 204:233295 --enddatetime 2017-07-11T18:08:59 --enforcementcount 0 &gt;&gt;C:\Users\stu\Documents\GitHub\eaglep3-reporting\EC\2017-07-11-refined-times.txt</v>
      </c>
      <c r="AI125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{"issue":{"subject":"","project_id":79,"tracker_id":40,"status_id":1,"priority_id":2,"assigned_to_id":23,"start_date":"2017-07-11","description":"","custom_fields":[{"id":1,"name":"Subdivision","value":"EC"},{"id":4,"name":"Milepost","value":"23.3295"},{"id":17,"name":"Train ID","value":"211-11"},{"id":16,"name":"Locomotive ID","value":"4022"},{"id":130,"name":"Impact","value":""},{"id":150,"name":"Time of Event (Mountain Time)","value":"18:08:59"},{"id":151,"name":"Denver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4022 --day 2017-07-11</v>
      </c>
      <c r="AN125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780</v>
      </c>
      <c r="B126" s="7">
        <v>4021</v>
      </c>
      <c r="C126" s="21" t="s">
        <v>199</v>
      </c>
      <c r="D126" s="21" t="s">
        <v>442</v>
      </c>
      <c r="E126" s="13">
        <v>42927.767118055555</v>
      </c>
      <c r="F126" s="13">
        <v>42927.76903935185</v>
      </c>
      <c r="G126" s="7">
        <v>1</v>
      </c>
      <c r="H126" s="21" t="s">
        <v>355</v>
      </c>
      <c r="I126" s="13">
        <v>42927.797037037039</v>
      </c>
      <c r="J126" s="7">
        <v>0</v>
      </c>
      <c r="K126" s="89" t="str">
        <f t="shared" si="26"/>
        <v>4021/4022</v>
      </c>
      <c r="L126" s="21" t="str">
        <f>VLOOKUP(A126,'Trips&amp;Operators'!$C$1:$G$99999,5,FALSE)</f>
        <v>THOMPSON LESTER</v>
      </c>
      <c r="M126" s="6">
        <f t="shared" si="27"/>
        <v>2.7997685188893229E-2</v>
      </c>
      <c r="N126" s="7">
        <f t="shared" si="51"/>
        <v>40.316666672006249</v>
      </c>
      <c r="O126" s="7"/>
      <c r="P126" s="7"/>
      <c r="Q126" s="22"/>
      <c r="R126" s="170"/>
      <c r="S126" s="213">
        <f t="shared" si="44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-07-11T17:24:39-0600',mode:absolute,to:'2017-07-11T20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6" s="197" t="str">
        <f>IF(AA126&lt;VLOOKUP(AG126,Variables!$AC$3:$AD$8,2,FALSE),"Y","N")</f>
        <v>N</v>
      </c>
      <c r="X126" s="197">
        <f t="shared" si="31"/>
        <v>1</v>
      </c>
      <c r="Y126" s="197">
        <f t="shared" si="45"/>
        <v>23.296900000000001</v>
      </c>
      <c r="Z126" s="197">
        <f t="shared" si="46"/>
        <v>1.47E-2</v>
      </c>
      <c r="AA126" s="197">
        <f t="shared" si="34"/>
        <v>23.2822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212</v>
      </c>
      <c r="AE126" s="77" t="str">
        <f t="shared" si="36"/>
        <v>aws s3 cp s3://rtdc.mdm.uploadarchive.raw/RTDC4021/ "%USERPROFILE%\AppData\Local\Temp\OnboardLogs"\RTDC4021\2017-07-11 --exclude "*" --recursive --include "*20170711*" &amp; "%USERPROFILE%\Documents\GitHub\mrs-test-scripts\Headless Mode &amp; Sideloading\WalkAndUnGZ.bat" "%USERPROFILE%\AppData\Local\Temp\OnboardLogs"\RTDC4021\2017-07-11 &amp; aws s3 cp s3://rtdc.mdm.uploadarchive.raw/RTDC4021/ "%USERPROFILE%\AppData\Local\Temp\OnboardLogs"\RTDC4021\2017-07-12 --exclude "*" --recursive --include "*20170712*" &amp; "%USERPROFILE%\Documents\GitHub\mrs-test-scripts\Headless Mode &amp; Sideloading\WalkAndUnGZ.bat" "%USERPROFILE%\AppData\Local\Temp\OnboardLogs"\RTDC4021\2017-07-12</v>
      </c>
      <c r="AF126" s="74" t="str">
        <f t="shared" si="37"/>
        <v>"C:\Program Files (x86)\AstroGrep\AstroGrep.exe" /e /r /s /spath="%USERPROFILE%\AppData\Local\Temp\OnboardLogs" /stypes="app*4021*20170712*" /stext=" 01:.+((SYSTEM_STATE.+slice.+state.+changed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212-11 --locoid 4021 --swversion DE.1.0.9.0 --startMP 204:232969 --initTime 2017-07-11T18:24:39 --startdatetime 2017-07-11T18:27:25 --delay 1 --endMP 204:147 --enddatetime 2017-07-11T19:07:44 --enforcementcount 0 &gt;&gt;C:\Users\stu\Documents\GitHub\eaglep3-reporting\EC\2017-07-11-refined-times.txt</v>
      </c>
      <c r="AI126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{"issue":{"subject":"","project_id":79,"tracker_id":40,"status_id":1,"priority_id":2,"assigned_to_id":23,"start_date":"2017-07-11","description":"","custom_fields":[{"id":1,"name":"Subdivision","value":"EC"},{"id":4,"name":"Milepost","value":"0.0147"},{"id":17,"name":"Train ID","value":"212-11"},{"id":16,"name":"Locomotive ID","value":"4021"},{"id":130,"name":"Impact","value":""},{"id":150,"name":"Time of Event (Mountain Time)","value":"19:07:44"},{"id":151,"name":"Denver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4021 --day 2017-07-11</v>
      </c>
      <c r="AN126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772</v>
      </c>
      <c r="B127" s="7">
        <v>4008</v>
      </c>
      <c r="C127" s="21" t="s">
        <v>199</v>
      </c>
      <c r="D127" s="21" t="s">
        <v>883</v>
      </c>
      <c r="E127" s="13">
        <v>42927.734837962962</v>
      </c>
      <c r="F127" s="13">
        <v>42927.74013888889</v>
      </c>
      <c r="G127" s="7">
        <v>1</v>
      </c>
      <c r="H127" s="21" t="s">
        <v>454</v>
      </c>
      <c r="I127" s="13">
        <v>42927.766875000001</v>
      </c>
      <c r="J127" s="7">
        <v>0</v>
      </c>
      <c r="K127" s="89" t="str">
        <f t="shared" si="26"/>
        <v>4007/4008</v>
      </c>
      <c r="L127" s="21" t="str">
        <f>VLOOKUP(A127,'Trips&amp;Operators'!$C$1:$G$99999,5,FALSE)</f>
        <v>BIRKHOLZ NADINE</v>
      </c>
      <c r="M127" s="6">
        <f t="shared" si="27"/>
        <v>2.6736111110949423E-2</v>
      </c>
      <c r="N127" s="7">
        <f t="shared" si="51"/>
        <v>38.499999999767169</v>
      </c>
      <c r="O127" s="7"/>
      <c r="P127" s="7"/>
      <c r="Q127" s="22"/>
      <c r="R127" s="170"/>
      <c r="S127" s="213">
        <f t="shared" si="44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-07-11T16:38:10-0600',mode:absolute,to:'2017-07-11T19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7" s="197" t="str">
        <f>IF(AA127&lt;VLOOKUP(AG127,Variables!$AC$3:$AD$8,2,FALSE),"Y","N")</f>
        <v>N</v>
      </c>
      <c r="X127" s="197">
        <f t="shared" si="31"/>
        <v>1</v>
      </c>
      <c r="Y127" s="197">
        <f t="shared" si="45"/>
        <v>4.2000000000000003E-2</v>
      </c>
      <c r="Z127" s="197">
        <f t="shared" si="46"/>
        <v>23.328900000000001</v>
      </c>
      <c r="AA127" s="197">
        <f t="shared" si="34"/>
        <v>23.286899999999999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213</v>
      </c>
      <c r="AE127" s="77" t="str">
        <f t="shared" si="36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127" s="74" t="str">
        <f t="shared" si="37"/>
        <v>"C:\Program Files (x86)\AstroGrep\AstroGrep.exe" /e /r /s /spath="%USERPROFILE%\AppData\Local\Temp\OnboardLogs" /stypes="app*4008*20170712*"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213-11 --locoid 4008 --swversion DE.1.0.9.0 --startMP 204:420 --initTime 2017-07-11T17:38:10 --startdatetime 2017-07-11T17:45:48 --delay 1 --endMP 204:233289 --enddatetime 2017-07-11T18:24:18 --enforcementcount 0 &gt;&gt;C:\Users\stu\Documents\GitHub\eaglep3-reporting\EC\2017-07-11-refined-times.txt</v>
      </c>
      <c r="AI127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{"issue":{"subject":"","project_id":79,"tracker_id":40,"status_id":1,"priority_id":2,"assigned_to_id":23,"start_date":"2017-07-11","description":"","custom_fields":[{"id":1,"name":"Subdivision","value":"EC"},{"id":4,"name":"Milepost","value":"23.3289"},{"id":17,"name":"Train ID","value":"213-11"},{"id":16,"name":"Locomotive ID","value":"4008"},{"id":130,"name":"Impact","value":""},{"id":150,"name":"Time of Event (Mountain Time)","value":"18:24:18"},{"id":151,"name":"Denver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4008 --day 2017-07-11</v>
      </c>
      <c r="AN127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782</v>
      </c>
      <c r="B128" s="7">
        <v>4007</v>
      </c>
      <c r="C128" s="21" t="s">
        <v>199</v>
      </c>
      <c r="D128" s="21" t="s">
        <v>826</v>
      </c>
      <c r="E128" s="13">
        <v>42927.774710648147</v>
      </c>
      <c r="F128" s="13">
        <v>42927.779363425929</v>
      </c>
      <c r="G128" s="7">
        <v>1</v>
      </c>
      <c r="H128" s="21" t="s">
        <v>345</v>
      </c>
      <c r="I128" s="13">
        <v>42927.80777777778</v>
      </c>
      <c r="J128" s="7">
        <v>0</v>
      </c>
      <c r="K128" s="89" t="str">
        <f t="shared" si="26"/>
        <v>4007/4008</v>
      </c>
      <c r="L128" s="21" t="str">
        <f>VLOOKUP(A128,'Trips&amp;Operators'!$C$1:$G$99999,5,FALSE)</f>
        <v>BIRKHOLZ NADINE</v>
      </c>
      <c r="M128" s="6">
        <f t="shared" si="27"/>
        <v>2.8414351851097308E-2</v>
      </c>
      <c r="N128" s="7">
        <f t="shared" si="51"/>
        <v>40.916666665580124</v>
      </c>
      <c r="O128" s="7"/>
      <c r="P128" s="7"/>
      <c r="Q128" s="22"/>
      <c r="R128" s="170"/>
      <c r="S128" s="213">
        <f t="shared" si="44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-07-11T17:35:35-0600',mode:absolute,to:'2017-07-11T20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8" s="197" t="str">
        <f>IF(AA128&lt;VLOOKUP(AG128,Variables!$AC$3:$AD$8,2,FALSE),"Y","N")</f>
        <v>N</v>
      </c>
      <c r="X128" s="197">
        <f t="shared" si="31"/>
        <v>1</v>
      </c>
      <c r="Y128" s="197">
        <f t="shared" si="45"/>
        <v>23.2974</v>
      </c>
      <c r="Z128" s="197">
        <f t="shared" si="46"/>
        <v>1.49E-2</v>
      </c>
      <c r="AA128" s="197">
        <f t="shared" si="34"/>
        <v>23.282499999999999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214</v>
      </c>
      <c r="AE128" s="77" t="str">
        <f t="shared" si="36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128" s="74" t="str">
        <f t="shared" si="37"/>
        <v>"C:\Program Files (x86)\AstroGrep\AstroGrep.exe" /e /r /s /spath="%USERPROFILE%\AppData\Local\Temp\OnboardLogs" /stypes="app*4007*20170712*"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214-11 --locoid 4007 --swversion DE.1.0.9.0 --startMP 204:232974 --initTime 2017-07-11T18:35:35 --startdatetime 2017-07-11T18:42:17 --delay 1 --endMP 204:149 --enddatetime 2017-07-11T19:23:12 --enforcementcount 0 &gt;&gt;C:\Users\stu\Documents\GitHub\eaglep3-reporting\EC\2017-07-11-refined-times.txt</v>
      </c>
      <c r="AI128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{"issue":{"subject":"","project_id":79,"tracker_id":40,"status_id":1,"priority_id":2,"assigned_to_id":23,"start_date":"2017-07-11","description":"","custom_fields":[{"id":1,"name":"Subdivision","value":"EC"},{"id":4,"name":"Milepost","value":"0.0149"},{"id":17,"name":"Train ID","value":"214-11"},{"id":16,"name":"Locomotive ID","value":"4007"},{"id":130,"name":"Impact","value":""},{"id":150,"name":"Time of Event (Mountain Time)","value":"19:23:12"},{"id":151,"name":"Denver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4007 --day 2017-07-11</v>
      </c>
      <c r="AN128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775</v>
      </c>
      <c r="B129" s="7">
        <v>4064</v>
      </c>
      <c r="C129" s="21" t="s">
        <v>199</v>
      </c>
      <c r="D129" s="21" t="s">
        <v>439</v>
      </c>
      <c r="E129" s="13">
        <v>42927.749374999999</v>
      </c>
      <c r="F129" s="13">
        <v>42927.750983796293</v>
      </c>
      <c r="G129" s="7">
        <v>1</v>
      </c>
      <c r="H129" s="21" t="s">
        <v>884</v>
      </c>
      <c r="I129" s="13">
        <v>42927.77584490741</v>
      </c>
      <c r="J129" s="7">
        <v>0</v>
      </c>
      <c r="K129" s="89" t="str">
        <f t="shared" si="26"/>
        <v>4063/4064</v>
      </c>
      <c r="L129" s="21" t="str">
        <f>VLOOKUP(A129,'Trips&amp;Operators'!$C$1:$G$99999,5,FALSE)</f>
        <v>MCREYNOLDS KYLE</v>
      </c>
      <c r="M129" s="6">
        <f t="shared" si="27"/>
        <v>2.4861111116479151E-2</v>
      </c>
      <c r="N129" s="7">
        <f t="shared" si="51"/>
        <v>35.800000007729977</v>
      </c>
      <c r="O129" s="7"/>
      <c r="P129" s="7"/>
      <c r="Q129" s="22"/>
      <c r="R129" s="170"/>
      <c r="S129" s="213">
        <f t="shared" si="44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-07-11T16:59:06-0600',mode:absolute,to:'2017-07-11T19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9" s="197" t="str">
        <f>IF(AA129&lt;VLOOKUP(AG129,Variables!$AC$3:$AD$8,2,FALSE),"Y","N")</f>
        <v>N</v>
      </c>
      <c r="X129" s="197">
        <f t="shared" si="31"/>
        <v>1</v>
      </c>
      <c r="Y129" s="197">
        <f t="shared" si="45"/>
        <v>4.7100000000000003E-2</v>
      </c>
      <c r="Z129" s="197">
        <f t="shared" si="46"/>
        <v>23.334499999999998</v>
      </c>
      <c r="AA129" s="197">
        <f t="shared" si="34"/>
        <v>23.287399999999998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215</v>
      </c>
      <c r="AE129" s="77" t="str">
        <f t="shared" si="36"/>
        <v>aws s3 cp s3://rtdc.mdm.uploadarchive.raw/RTDC4064/ "%USERPROFILE%\AppData\Local\Temp\OnboardLogs"\RTDC4064\2017-07-11 --exclude "*" --recursive --include "*20170711*" &amp; "%USERPROFILE%\Documents\GitHub\mrs-test-scripts\Headless Mode &amp; Sideloading\WalkAndUnGZ.bat" "%USERPROFILE%\AppData\Local\Temp\OnboardLogs"\RTDC4064\2017-07-11 &amp; aws s3 cp s3://rtdc.mdm.uploadarchive.raw/RTDC4064/ "%USERPROFILE%\AppData\Local\Temp\OnboardLogs"\RTDC4064\2017-07-12 --exclude "*" --recursive --include "*20170712*" &amp; "%USERPROFILE%\Documents\GitHub\mrs-test-scripts\Headless Mode &amp; Sideloading\WalkAndUnGZ.bat" "%USERPROFILE%\AppData\Local\Temp\OnboardLogs"\RTDC4064\2017-07-12</v>
      </c>
      <c r="AF129" s="74" t="str">
        <f t="shared" si="37"/>
        <v>"C:\Program Files (x86)\AstroGrep\AstroGrep.exe" /e /r /s /spath="%USERPROFILE%\AppData\Local\Temp\OnboardLogs" /stypes="app*4064*20170712*"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215-11 --locoid 4064 --swversion DE.1.0.9.0 --startMP 204:471 --initTime 2017-07-11T17:59:06 --startdatetime 2017-07-11T18:01:25 --delay 1 --endMP 204:233345 --enddatetime 2017-07-11T18:37:13 --enforcementcount 0 &gt;&gt;C:\Users\stu\Documents\GitHub\eaglep3-reporting\EC\2017-07-11-refined-times.txt</v>
      </c>
      <c r="AI129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{"issue":{"subject":"","project_id":79,"tracker_id":40,"status_id":1,"priority_id":2,"assigned_to_id":23,"start_date":"2017-07-11","description":"","custom_fields":[{"id":1,"name":"Subdivision","value":"EC"},{"id":4,"name":"Milepost","value":"23.3345"},{"id":17,"name":"Train ID","value":"215-11"},{"id":16,"name":"Locomotive ID","value":"4064"},{"id":130,"name":"Impact","value":""},{"id":150,"name":"Time of Event (Mountain Time)","value":"18:37:13"},{"id":151,"name":"Denver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4064 --day 2017-07-11</v>
      </c>
      <c r="AN129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784</v>
      </c>
      <c r="B130" s="7">
        <v>4063</v>
      </c>
      <c r="C130" s="21" t="s">
        <v>199</v>
      </c>
      <c r="D130" s="21" t="s">
        <v>885</v>
      </c>
      <c r="E130" s="13">
        <v>42927.78266203704</v>
      </c>
      <c r="F130" s="13">
        <v>42927.78974537037</v>
      </c>
      <c r="G130" s="7">
        <v>1</v>
      </c>
      <c r="H130" s="21" t="s">
        <v>394</v>
      </c>
      <c r="I130" s="13">
        <v>42927.816250000003</v>
      </c>
      <c r="J130" s="7">
        <v>0</v>
      </c>
      <c r="K130" s="89" t="str">
        <f t="shared" si="26"/>
        <v>4063/4064</v>
      </c>
      <c r="L130" s="21" t="str">
        <f>VLOOKUP(A130,'Trips&amp;Operators'!$C$1:$G$99999,5,FALSE)</f>
        <v>MCREYNOLDS KYLE</v>
      </c>
      <c r="M130" s="6">
        <f t="shared" si="27"/>
        <v>2.6504629633564036E-2</v>
      </c>
      <c r="N130" s="7">
        <f t="shared" si="51"/>
        <v>38.166666672332212</v>
      </c>
      <c r="O130" s="7"/>
      <c r="P130" s="7"/>
      <c r="Q130" s="22"/>
      <c r="R130" s="170"/>
      <c r="S130" s="213">
        <f t="shared" si="44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-07-11T17:47:02-0600',mode:absolute,to:'2017-07-11T20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0" s="197" t="str">
        <f>IF(AA130&lt;VLOOKUP(AG130,Variables!$AC$3:$AD$8,2,FALSE),"Y","N")</f>
        <v>N</v>
      </c>
      <c r="X130" s="197">
        <f t="shared" si="31"/>
        <v>1</v>
      </c>
      <c r="Y130" s="197">
        <f t="shared" si="45"/>
        <v>23.303599999999999</v>
      </c>
      <c r="Z130" s="197">
        <f t="shared" si="46"/>
        <v>1.5599999999999999E-2</v>
      </c>
      <c r="AA130" s="197">
        <f t="shared" si="34"/>
        <v>23.288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216</v>
      </c>
      <c r="AE130" s="77" t="str">
        <f t="shared" si="36"/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AF130" s="74" t="str">
        <f t="shared" si="37"/>
        <v>"C:\Program Files (x86)\AstroGrep\AstroGrep.exe" /e /r /s /spath="%USERPROFILE%\AppData\Local\Temp\OnboardLogs" /stypes="app*4063*20170712*"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216-11 --locoid 4063 --swversion DE.1.0.9.0 --startMP 204:233036 --initTime 2017-07-11T18:47:02 --startdatetime 2017-07-11T18:57:14 --delay 1 --endMP 204:156 --enddatetime 2017-07-11T19:35:24 --enforcementcount 0 &gt;&gt;C:\Users\stu\Documents\GitHub\eaglep3-reporting\EC\2017-07-11-refined-times.txt</v>
      </c>
      <c r="AI130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{"issue":{"subject":"","project_id":79,"tracker_id":40,"status_id":1,"priority_id":2,"assigned_to_id":23,"start_date":"2017-07-11","description":"","custom_fields":[{"id":1,"name":"Subdivision","value":"EC"},{"id":4,"name":"Milepost","value":"0.0156"},{"id":17,"name":"Train ID","value":"216-11"},{"id":16,"name":"Locomotive ID","value":"4063"},{"id":130,"name":"Impact","value":""},{"id":150,"name":"Time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4063 --day 2017-07-11</v>
      </c>
      <c r="AN130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600</v>
      </c>
      <c r="B131" s="7">
        <v>4028</v>
      </c>
      <c r="C131" s="21" t="s">
        <v>199</v>
      </c>
      <c r="D131" s="21" t="s">
        <v>347</v>
      </c>
      <c r="E131" s="13">
        <v>42927.757893518516</v>
      </c>
      <c r="F131" s="13">
        <v>42927.761076388888</v>
      </c>
      <c r="G131" s="7">
        <v>2</v>
      </c>
      <c r="H131" s="21" t="s">
        <v>886</v>
      </c>
      <c r="I131" s="13">
        <v>42927.787476851852</v>
      </c>
      <c r="J131" s="7">
        <v>0</v>
      </c>
      <c r="K131" s="89" t="str">
        <f t="shared" si="26"/>
        <v>4027/4028</v>
      </c>
      <c r="L131" s="21" t="str">
        <f>VLOOKUP(A131,'Trips&amp;Operators'!$C$1:$G$99999,5,FALSE)</f>
        <v>FORTUNATO FRANK</v>
      </c>
      <c r="M131" s="6">
        <f t="shared" si="27"/>
        <v>2.6400462964375038E-2</v>
      </c>
      <c r="N131" s="7">
        <f t="shared" si="51"/>
        <v>38.016666668700054</v>
      </c>
      <c r="O131" s="7"/>
      <c r="P131" s="7"/>
      <c r="Q131" s="22"/>
      <c r="R131" s="170"/>
      <c r="S131" s="213">
        <f t="shared" si="44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-07-11T17:11:22-0600',mode:absolute,to:'2017-07-11T19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97" t="str">
        <f>IF(AA131&lt;VLOOKUP(AG131,Variables!$AC$3:$AD$8,2,FALSE),"Y","N")</f>
        <v>N</v>
      </c>
      <c r="X131" s="197">
        <f t="shared" si="31"/>
        <v>1</v>
      </c>
      <c r="Y131" s="197">
        <f t="shared" si="45"/>
        <v>4.6600000000000003E-2</v>
      </c>
      <c r="Z131" s="197">
        <f t="shared" si="46"/>
        <v>23.336099999999998</v>
      </c>
      <c r="AA131" s="197">
        <f t="shared" si="34"/>
        <v>23.289499999999997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217</v>
      </c>
      <c r="AE131" s="77" t="str">
        <f t="shared" si="36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131" s="74" t="str">
        <f t="shared" si="37"/>
        <v>"C:\Program Files (x86)\AstroGrep\AstroGrep.exe" /e /r /s /spath="%USERPROFILE%\AppData\Local\Temp\OnboardLogs" /stypes="app*4028*20170712*" /stext=" 00:.+((SYSTEM_STATE.+slice.+state.+changed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217-11 --locoid 4028 --swversion DE.1.0.9.0 --startMP 204:466 --initTime 2017-07-11T18:11:22 --startdatetime 2017-07-11T18:15:57 --delay 2 --endMP 204:233361 --enddatetime 2017-07-11T18:53:58 --enforcementcount 0 &gt;&gt;C:\Users\stu\Documents\GitHub\eaglep3-reporting\EC\2017-07-11-refined-times.txt</v>
      </c>
      <c r="AI131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{"issue":{"subject":"","project_id":79,"tracker_id":40,"status_id":1,"priority_id":2,"assigned_to_id":23,"start_date":"2017-07-11","description":"","custom_fields":[{"id":1,"name":"Subdivision","value":"EC"},{"id":4,"name":"Milepost","value":"23.3361"},{"id":17,"name":"Train ID","value":"217-11"},{"id":16,"name":"Locomotive ID","value":"4028"},{"id":130,"name":"Impact","value":""},{"id":150,"name":"Time of Event (Mountain Time)","value":"18:53:58"},{"id":151,"name":"Denver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4028 --day 2017-07-11</v>
      </c>
      <c r="AN131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604</v>
      </c>
      <c r="B132" s="7">
        <v>4027</v>
      </c>
      <c r="C132" s="21" t="s">
        <v>199</v>
      </c>
      <c r="D132" s="21" t="s">
        <v>887</v>
      </c>
      <c r="E132" s="13">
        <v>42927.789270833331</v>
      </c>
      <c r="F132" s="13">
        <v>42927.800162037034</v>
      </c>
      <c r="G132" s="7">
        <v>1</v>
      </c>
      <c r="H132" s="21" t="s">
        <v>404</v>
      </c>
      <c r="I132" s="13">
        <v>42927.827511574076</v>
      </c>
      <c r="J132" s="7">
        <v>0</v>
      </c>
      <c r="K132" s="89" t="str">
        <f t="shared" si="26"/>
        <v>4027/4028</v>
      </c>
      <c r="L132" s="21" t="str">
        <f>VLOOKUP(A132,'Trips&amp;Operators'!$C$1:$G$99999,5,FALSE)</f>
        <v>FORTUNATO FRANK</v>
      </c>
      <c r="M132" s="6">
        <f t="shared" si="27"/>
        <v>2.7349537042027805E-2</v>
      </c>
      <c r="N132" s="7">
        <f t="shared" si="51"/>
        <v>39.383333340520039</v>
      </c>
      <c r="O132" s="7"/>
      <c r="P132" s="7"/>
      <c r="Q132" s="22"/>
      <c r="R132" s="170"/>
      <c r="S132" s="213">
        <f t="shared" ref="S132:S163" si="52">SUM(U132:U132)/IF(AG132="EC",12,1)</f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-07-11T17:56:33-0600',mode:absolute,to:'2017-07-11T20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97" t="str">
        <f>IF(AA132&lt;VLOOKUP(AG132,Variables!$AC$3:$AD$8,2,FALSE),"Y","N")</f>
        <v>N</v>
      </c>
      <c r="X132" s="197">
        <f t="shared" si="31"/>
        <v>1</v>
      </c>
      <c r="Y132" s="197">
        <f t="shared" si="45"/>
        <v>23.303999999999998</v>
      </c>
      <c r="Z132" s="197">
        <f t="shared" si="46"/>
        <v>1.38E-2</v>
      </c>
      <c r="AA132" s="197">
        <f t="shared" si="34"/>
        <v>23.290199999999999</v>
      </c>
      <c r="AB132" s="54" t="str">
        <f>VLOOKUP(A132,Enforcements!$C$7:$K$13,8,0)</f>
        <v>Bulletin (2)</v>
      </c>
      <c r="AC132" s="51" t="str">
        <f>VLOOKUP(A132,Enforcements!$C$7:$E$13,3,0)</f>
        <v>GRADE CROSSING</v>
      </c>
      <c r="AD132" s="206">
        <f t="shared" si="35"/>
        <v>218</v>
      </c>
      <c r="AE132" s="77" t="str">
        <f t="shared" si="36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132" s="74" t="str">
        <f t="shared" si="37"/>
        <v>"C:\Program Files (x86)\AstroGrep\AstroGrep.exe" /e /r /s /spath="%USERPROFILE%\AppData\Local\Temp\OnboardLogs" /stypes="app*4027*20170712*"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218-11 --locoid 4027 --swversion DE.1.0.9.0 --startMP 204:233040 --initTime 2017-07-11T18:56:33 --startdatetime 2017-07-11T19:12:14 --delay 1 --endMP 204:138 --enddatetime 2017-07-11T19:51:37 --enforcementcount 0 &gt;&gt;C:\Users\stu\Documents\GitHub\eaglep3-reporting\EC\2017-07-11-refined-times.txt</v>
      </c>
      <c r="AI132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{"issue":{"subject":"","project_id":79,"tracker_id":40,"status_id":1,"priority_id":2,"assigned_to_id":23,"start_date":"2017-07-11","description":"","custom_fields":[{"id":1,"name":"Subdivision","value":"EC"},{"id":4,"name":"Milepost","value":"0.0138"},{"id":17,"name":"Train ID","value":"218-11"},{"id":16,"name":"Locomotive ID","value":"4027"},{"id":130,"name":"Impact","value":""},{"id":150,"name":"Time of Event (Mountain Time)","value":"19:51:37"},{"id":151,"name":"Denver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4027 --day 2017-07-11</v>
      </c>
      <c r="AN132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781</v>
      </c>
      <c r="B133" s="7">
        <v>4042</v>
      </c>
      <c r="C133" s="21" t="s">
        <v>199</v>
      </c>
      <c r="D133" s="21" t="s">
        <v>347</v>
      </c>
      <c r="E133" s="13">
        <v>42927.767847222225</v>
      </c>
      <c r="F133" s="13">
        <v>42927.810763888891</v>
      </c>
      <c r="G133" s="7">
        <v>2</v>
      </c>
      <c r="H133" s="21" t="s">
        <v>888</v>
      </c>
      <c r="I133" s="13">
        <v>42927.836851851855</v>
      </c>
      <c r="J133" s="7">
        <v>0</v>
      </c>
      <c r="K133" s="89" t="str">
        <f t="shared" si="26"/>
        <v>4041/4042</v>
      </c>
      <c r="L133" s="21" t="str">
        <f>VLOOKUP(A133,'Trips&amp;Operators'!$C$1:$G$99999,5,FALSE)</f>
        <v>LAMAR NEKESHA</v>
      </c>
      <c r="M133" s="6">
        <f t="shared" si="27"/>
        <v>2.6087962964083999E-2</v>
      </c>
      <c r="N133" s="7">
        <f t="shared" si="51"/>
        <v>37.566666668280959</v>
      </c>
      <c r="O133" s="7"/>
      <c r="P133" s="7"/>
      <c r="Q133" s="22"/>
      <c r="R133" s="170"/>
      <c r="S133" s="213">
        <f t="shared" si="52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-07-11T17:25:42-0600',mode:absolute,to:'2017-07-11T21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197" t="str">
        <f>IF(AA133&lt;VLOOKUP(AG133,Variables!$AC$3:$AD$8,2,FALSE),"Y","N")</f>
        <v>N</v>
      </c>
      <c r="X133" s="197">
        <f t="shared" si="31"/>
        <v>1</v>
      </c>
      <c r="Y133" s="197">
        <f t="shared" si="45"/>
        <v>4.6600000000000003E-2</v>
      </c>
      <c r="Z133" s="197">
        <f t="shared" si="46"/>
        <v>23.3307</v>
      </c>
      <c r="AA133" s="197">
        <f t="shared" si="34"/>
        <v>23.284099999999999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219</v>
      </c>
      <c r="AE133" s="77" t="str">
        <f t="shared" si="36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133" s="74" t="str">
        <f t="shared" si="37"/>
        <v>"C:\Program Files (x86)\AstroGrep\AstroGrep.exe" /e /r /s /spath="%USERPROFILE%\AppData\Local\Temp\OnboardLogs" /stypes="app*4042*20170712*" /stext=" 02:.+((SYSTEM_STATE.+slice.+state.+changed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219-11 --locoid 4042 --swversion DE.1.0.9.0 --startMP 204:466 --initTime 2017-07-11T18:25:42 --startdatetime 2017-07-11T19:27:30 --delay 2 --endMP 204:233307 --enddatetime 2017-07-11T20:05:04 --enforcementcount 0 &gt;&gt;C:\Users\stu\Documents\GitHub\eaglep3-reporting\EC\2017-07-11-refined-times.txt</v>
      </c>
      <c r="AI133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{"issue":{"subject":"","project_id":79,"tracker_id":40,"status_id":1,"priority_id":2,"assigned_to_id":23,"start_date":"2017-07-11","description":"","custom_fields":[{"id":1,"name":"Subdivision","value":"EC"},{"id":4,"name":"Milepost","value":"23.3307"},{"id":17,"name":"Train ID","value":"219-11"},{"id":16,"name":"Locomotive ID","value":"4042"},{"id":130,"name":"Impact","value":""},{"id":150,"name":"Time of Event (Mountain Time)","value":"20:05:04"},{"id":151,"name":"Denver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4042 --day 2017-07-11</v>
      </c>
      <c r="AN133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789</v>
      </c>
      <c r="B134" s="7">
        <v>4041</v>
      </c>
      <c r="C134" s="21" t="s">
        <v>199</v>
      </c>
      <c r="D134" s="21" t="s">
        <v>564</v>
      </c>
      <c r="E134" s="13">
        <v>42927.807627314818</v>
      </c>
      <c r="F134" s="13">
        <v>42927.810763888891</v>
      </c>
      <c r="G134" s="7">
        <v>3</v>
      </c>
      <c r="H134" s="21" t="s">
        <v>889</v>
      </c>
      <c r="I134" s="13">
        <v>42927.836851851855</v>
      </c>
      <c r="J134" s="7">
        <v>0</v>
      </c>
      <c r="K134" s="89" t="str">
        <f t="shared" si="26"/>
        <v>4041/4042</v>
      </c>
      <c r="L134" s="21" t="str">
        <f>VLOOKUP(A134,'Trips&amp;Operators'!$C$1:$G$99999,5,FALSE)</f>
        <v>LAMAR NEKESHA</v>
      </c>
      <c r="M134" s="6">
        <f t="shared" si="27"/>
        <v>2.6087962964083999E-2</v>
      </c>
      <c r="N134" s="7">
        <f t="shared" si="51"/>
        <v>37.566666668280959</v>
      </c>
      <c r="O134" s="7"/>
      <c r="P134" s="7"/>
      <c r="Q134" s="22"/>
      <c r="R134" s="170"/>
      <c r="S134" s="213">
        <f t="shared" si="52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-07-11T18:22:59-0600',mode:absolute,to:'2017-07-11T21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197" t="str">
        <f>IF(AA134&lt;VLOOKUP(AG134,Variables!$AC$3:$AD$8,2,FALSE),"Y","N")</f>
        <v>N</v>
      </c>
      <c r="X134" s="197">
        <f t="shared" si="31"/>
        <v>1</v>
      </c>
      <c r="Y134" s="197">
        <f t="shared" si="45"/>
        <v>23.2986</v>
      </c>
      <c r="Z134" s="197">
        <f t="shared" si="46"/>
        <v>1.6899999999999998E-2</v>
      </c>
      <c r="AA134" s="197">
        <f t="shared" si="34"/>
        <v>23.281700000000001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220</v>
      </c>
      <c r="AE134" s="77" t="str">
        <f t="shared" si="36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134" s="74" t="str">
        <f t="shared" si="37"/>
        <v>"C:\Program Files (x86)\AstroGrep\AstroGrep.exe" /e /r /s /spath="%USERPROFILE%\AppData\Local\Temp\OnboardLogs" /stypes="app*4041*20170712*" /stext=" 02:.+((SYSTEM_STATE.+slice.+state.+changed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220-11 --locoid 4041 --swversion DE.1.0.9.0 --startMP 204:232986 --initTime 2017-07-11T19:22:59 --startdatetime 2017-07-11T19:27:30 --delay 3 --endMP 204:169 --enddatetime 2017-07-11T20:05:04 --enforcementcount 0 &gt;&gt;C:\Users\stu\Documents\GitHub\eaglep3-reporting\EC\2017-07-11-refined-times.txt</v>
      </c>
      <c r="AI134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{"issue":{"subject":"","project_id":79,"tracker_id":40,"status_id":1,"priority_id":2,"assigned_to_id":23,"start_date":"2017-07-11","description":"","custom_fields":[{"id":1,"name":"Subdivision","value":"EC"},{"id":4,"name":"Milepost","value":"0.0169"},{"id":17,"name":"Train ID","value":"220-11"},{"id":16,"name":"Locomotive ID","value":"4041"},{"id":130,"name":"Impact","value":""},{"id":150,"name":"Time of Event (Mountain Time)","value":"20:05:04"},{"id":151,"name":"Denver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4041 --day 2017-07-11</v>
      </c>
      <c r="AN134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785</v>
      </c>
      <c r="B135" s="7">
        <v>4032</v>
      </c>
      <c r="C135" s="21" t="s">
        <v>199</v>
      </c>
      <c r="D135" s="21" t="s">
        <v>543</v>
      </c>
      <c r="E135" s="13">
        <v>42927.788993055554</v>
      </c>
      <c r="F135" s="13">
        <v>42927.792199074072</v>
      </c>
      <c r="G135" s="7">
        <v>1</v>
      </c>
      <c r="H135" s="21" t="s">
        <v>437</v>
      </c>
      <c r="I135" s="13">
        <v>42927.817800925928</v>
      </c>
      <c r="J135" s="7">
        <v>0</v>
      </c>
      <c r="K135" s="89" t="str">
        <f t="shared" si="26"/>
        <v>4031/4032</v>
      </c>
      <c r="L135" s="21" t="str">
        <f>VLOOKUP(A135,'Trips&amp;Operators'!$C$1:$G$99999,5,FALSE)</f>
        <v>HAITHCOX MICHAEL</v>
      </c>
      <c r="M135" s="6">
        <f t="shared" si="27"/>
        <v>2.5601851855753921E-2</v>
      </c>
      <c r="N135" s="7">
        <f t="shared" si="51"/>
        <v>36.866666672285646</v>
      </c>
      <c r="O135" s="7"/>
      <c r="P135" s="7"/>
      <c r="Q135" s="22"/>
      <c r="R135" s="170"/>
      <c r="S135" s="213">
        <f t="shared" si="52"/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-07-11T17:56:09-0600',mode:absolute,to:'2017-07-11T20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5" s="197" t="str">
        <f>IF(AA135&lt;VLOOKUP(AG135,Variables!$AC$3:$AD$8,2,FALSE),"Y","N")</f>
        <v>N</v>
      </c>
      <c r="X135" s="197">
        <f t="shared" si="31"/>
        <v>1</v>
      </c>
      <c r="Y135" s="197">
        <f t="shared" si="45"/>
        <v>5.04E-2</v>
      </c>
      <c r="Z135" s="197">
        <f t="shared" si="46"/>
        <v>23.329499999999999</v>
      </c>
      <c r="AA135" s="197">
        <f t="shared" si="34"/>
        <v>23.2791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221</v>
      </c>
      <c r="AE135" s="77" t="str">
        <f t="shared" si="36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135" s="74" t="str">
        <f t="shared" si="37"/>
        <v>"C:\Program Files (x86)\AstroGrep\AstroGrep.exe" /e /r /s /spath="%USERPROFILE%\AppData\Local\Temp\OnboardLogs" /stypes="app*4032*20170712*" /stext=" 01:.+((SYSTEM_STATE.+slice.+state.+changed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221-11 --locoid 4032 --swversion DE.1.0.9.0 --startMP 204:504 --initTime 2017-07-11T18:56:09 --startdatetime 2017-07-11T19:00:46 --delay 1 --endMP 204:233295 --enddatetime 2017-07-11T19:37:38 --enforcementcount 0 &gt;&gt;C:\Users\stu\Documents\GitHub\eaglep3-reporting\EC\2017-07-11-refined-times.txt</v>
      </c>
      <c r="AI135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{"issue":{"subject":"","project_id":79,"tracker_id":40,"status_id":1,"priority_id":2,"assigned_to_id":23,"start_date":"2017-07-11","description":"","custom_fields":[{"id":1,"name":"Subdivision","value":"EC"},{"id":4,"name":"Milepost","value":"23.3295"},{"id":17,"name":"Train ID","value":"221-11"},{"id":16,"name":"Locomotive ID","value":"4032"},{"id":130,"name":"Impact","value":""},{"id":150,"name":"Time of Event (Mountain Time)","value":"19:37:38"},{"id":151,"name":"Denver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4032 --day 2017-07-11</v>
      </c>
      <c r="AN135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605</v>
      </c>
      <c r="B136" s="7">
        <v>4031</v>
      </c>
      <c r="C136" s="21" t="s">
        <v>199</v>
      </c>
      <c r="D136" s="21" t="s">
        <v>456</v>
      </c>
      <c r="E136" s="13">
        <v>42927.820625</v>
      </c>
      <c r="F136" s="13">
        <v>42927.831493055557</v>
      </c>
      <c r="G136" s="7">
        <v>1</v>
      </c>
      <c r="H136" s="21" t="s">
        <v>445</v>
      </c>
      <c r="I136" s="13">
        <v>42927.859351851854</v>
      </c>
      <c r="J136" s="7">
        <v>0</v>
      </c>
      <c r="K136" s="89" t="str">
        <f t="shared" si="26"/>
        <v>4031/4032</v>
      </c>
      <c r="L136" s="21" t="str">
        <f>VLOOKUP(A136,'Trips&amp;Operators'!$C$1:$G$99999,5,FALSE)</f>
        <v>HAITHCOX MICHAEL</v>
      </c>
      <c r="M136" s="6">
        <f t="shared" si="27"/>
        <v>2.7858796296641231E-2</v>
      </c>
      <c r="N136" s="7">
        <f t="shared" si="51"/>
        <v>40.116666667163372</v>
      </c>
      <c r="O136" s="7"/>
      <c r="P136" s="7"/>
      <c r="Q136" s="22"/>
      <c r="R136" s="170"/>
      <c r="S136" s="213">
        <f t="shared" si="52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-07-11T18:41:42-0600',mode:absolute,to:'2017-07-11T21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6" s="197" t="str">
        <f>IF(AA136&lt;VLOOKUP(AG136,Variables!$AC$3:$AD$8,2,FALSE),"Y","N")</f>
        <v>N</v>
      </c>
      <c r="X136" s="197">
        <f t="shared" si="31"/>
        <v>1</v>
      </c>
      <c r="Y136" s="197">
        <f t="shared" si="45"/>
        <v>23.297699999999999</v>
      </c>
      <c r="Z136" s="197">
        <f t="shared" si="46"/>
        <v>1.32E-2</v>
      </c>
      <c r="AA136" s="197">
        <f t="shared" si="34"/>
        <v>23.284499999999998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222</v>
      </c>
      <c r="AE136" s="77" t="str">
        <f t="shared" si="36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136" s="74" t="str">
        <f t="shared" si="37"/>
        <v>"C:\Program Files (x86)\AstroGrep\AstroGrep.exe" /e /r /s /spath="%USERPROFILE%\AppData\Local\Temp\OnboardLogs" /stypes="app*4031*20170712*"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222-11 --locoid 4031 --swversion DE.1.0.9.0 --startMP 204:232977 --initTime 2017-07-11T19:41:42 --startdatetime 2017-07-11T19:57:21 --delay 1 --endMP 204:132 --enddatetime 2017-07-11T20:37:28 --enforcementcount 0 &gt;&gt;C:\Users\stu\Documents\GitHub\eaglep3-reporting\EC\2017-07-11-refined-times.txt</v>
      </c>
      <c r="AI136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{"issue":{"subject":"","project_id":79,"tracker_id":40,"status_id":1,"priority_id":2,"assigned_to_id":23,"start_date":"2017-07-11","description":"","custom_fields":[{"id":1,"name":"Subdivision","value":"EC"},{"id":4,"name":"Milepost","value":"0.0132"},{"id":17,"name":"Train ID","value":"222-11"},{"id":16,"name":"Locomotive ID","value":"4031"},{"id":130,"name":"Impact","value":""},{"id":150,"name":"Time of Event (Mountain Time)","value":"20:37:28"},{"id":151,"name":"Denver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4031 --day 2017-07-11</v>
      </c>
      <c r="AN136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790</v>
      </c>
      <c r="B137" s="7">
        <v>4008</v>
      </c>
      <c r="C137" s="21" t="s">
        <v>199</v>
      </c>
      <c r="D137" s="21" t="s">
        <v>408</v>
      </c>
      <c r="E137" s="13">
        <v>42927.809201388889</v>
      </c>
      <c r="F137" s="13">
        <v>42927.813020833331</v>
      </c>
      <c r="G137" s="7">
        <v>1</v>
      </c>
      <c r="H137" s="21" t="s">
        <v>890</v>
      </c>
      <c r="I137" s="13">
        <v>42927.844560185185</v>
      </c>
      <c r="J137" s="7">
        <v>0</v>
      </c>
      <c r="K137" s="89" t="str">
        <f t="shared" si="26"/>
        <v>4007/4008</v>
      </c>
      <c r="L137" s="21" t="str">
        <f>VLOOKUP(A137,'Trips&amp;Operators'!$C$1:$G$99999,5,FALSE)</f>
        <v>BIRKHOLZ NADINE</v>
      </c>
      <c r="M137" s="6">
        <f t="shared" si="27"/>
        <v>3.1539351854007691E-2</v>
      </c>
      <c r="N137" s="7">
        <f t="shared" si="51"/>
        <v>45.416666669771075</v>
      </c>
      <c r="O137" s="7"/>
      <c r="P137" s="7"/>
      <c r="Q137" s="22"/>
      <c r="R137" s="170"/>
      <c r="S137" s="213">
        <f t="shared" si="52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-07-11T18:25:15-0600',mode:absolute,to:'2017-07-11T21:16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7" s="197" t="str">
        <f>IF(AA137&lt;VLOOKUP(AG137,Variables!$AC$3:$AD$8,2,FALSE),"Y","N")</f>
        <v>N</v>
      </c>
      <c r="X137" s="197">
        <f t="shared" si="31"/>
        <v>1</v>
      </c>
      <c r="Y137" s="197">
        <f t="shared" si="45"/>
        <v>4.5499999999999999E-2</v>
      </c>
      <c r="Z137" s="197">
        <f t="shared" si="46"/>
        <v>23.3247</v>
      </c>
      <c r="AA137" s="197">
        <f t="shared" si="34"/>
        <v>23.279199999999999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223</v>
      </c>
      <c r="AE137" s="77" t="str">
        <f t="shared" si="36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137" s="74" t="str">
        <f t="shared" si="37"/>
        <v>"C:\Program Files (x86)\AstroGrep\AstroGrep.exe" /e /r /s /spath="%USERPROFILE%\AppData\Local\Temp\OnboardLogs" /stypes="app*4008*20170712*" /stext=" 02:.+((SYSTEM_STATE.+slice.+state.+changed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223-11 --locoid 4008 --swversion DE.1.0.9.0 --startMP 204:455 --initTime 2017-07-11T19:25:15 --startdatetime 2017-07-11T19:30:45 --delay 1 --endMP 204:233247 --enddatetime 2017-07-11T20:16:10 --enforcementcount 0 &gt;&gt;C:\Users\stu\Documents\GitHub\eaglep3-reporting\EC\2017-07-11-refined-times.txt</v>
      </c>
      <c r="AI137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{"issue":{"subject":"","project_id":79,"tracker_id":40,"status_id":1,"priority_id":2,"assigned_to_id":23,"start_date":"2017-07-11","description":"","custom_fields":[{"id":1,"name":"Subdivision","value":"EC"},{"id":4,"name":"Milepost","value":"23.3247"},{"id":17,"name":"Train ID","value":"223-11"},{"id":16,"name":"Locomotive ID","value":"4008"},{"id":130,"name":"Impact","value":""},{"id":150,"name":"Time of Event (Mountain Time)","value":"20:16:10"},{"id":151,"name":"Denver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4008 --day 2017-07-11</v>
      </c>
      <c r="AN137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02:16:10"},{"id":29,"name":"Sharepoint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795</v>
      </c>
      <c r="B138" s="7">
        <v>4007</v>
      </c>
      <c r="C138" s="21" t="s">
        <v>199</v>
      </c>
      <c r="D138" s="21" t="s">
        <v>891</v>
      </c>
      <c r="E138" s="13">
        <v>42927.84783564815</v>
      </c>
      <c r="F138" s="13">
        <v>42927.852361111109</v>
      </c>
      <c r="G138" s="7">
        <v>1</v>
      </c>
      <c r="H138" s="21" t="s">
        <v>546</v>
      </c>
      <c r="I138" s="13">
        <v>42927.879918981482</v>
      </c>
      <c r="J138" s="7">
        <v>0</v>
      </c>
      <c r="K138" s="89" t="str">
        <f t="shared" si="26"/>
        <v>4007/4008</v>
      </c>
      <c r="L138" s="21" t="str">
        <f>VLOOKUP(A138,'Trips&amp;Operators'!$C$1:$G$99999,5,FALSE)</f>
        <v>BIRKHOLZ NADINE</v>
      </c>
      <c r="M138" s="6">
        <f t="shared" si="27"/>
        <v>2.7557870373129845E-2</v>
      </c>
      <c r="N138" s="7">
        <f t="shared" si="51"/>
        <v>39.683333337306976</v>
      </c>
      <c r="O138" s="7"/>
      <c r="P138" s="7"/>
      <c r="Q138" s="22"/>
      <c r="R138" s="170"/>
      <c r="S138" s="213">
        <f t="shared" si="52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-07-11T19:20:53-0600',mode:absolute,to:'2017-07-11T22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8" s="197" t="str">
        <f>IF(AA138&lt;VLOOKUP(AG138,Variables!$AC$3:$AD$8,2,FALSE),"Y","N")</f>
        <v>N</v>
      </c>
      <c r="X138" s="197">
        <f t="shared" si="31"/>
        <v>1</v>
      </c>
      <c r="Y138" s="197">
        <f t="shared" si="45"/>
        <v>23.295200000000001</v>
      </c>
      <c r="Z138" s="197">
        <f t="shared" si="46"/>
        <v>1.5800000000000002E-2</v>
      </c>
      <c r="AA138" s="197">
        <f t="shared" si="34"/>
        <v>23.279400000000003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224</v>
      </c>
      <c r="AE138" s="77" t="str">
        <f t="shared" si="36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138" s="74" t="str">
        <f t="shared" si="37"/>
        <v>"C:\Program Files (x86)\AstroGrep\AstroGrep.exe" /e /r /s /spath="%USERPROFILE%\AppData\Local\Temp\OnboardLogs" /stypes="app*4007*20170712*" /stext=" 03:.+((SYSTEM_STATE.+slice.+state.+changed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224-11 --locoid 4007 --swversion DE.1.0.9.0 --startMP 204:232952 --initTime 2017-07-11T20:20:53 --startdatetime 2017-07-11T20:27:24 --delay 1 --endMP 204:158 --enddatetime 2017-07-11T21:07:05 --enforcementcount 0 &gt;&gt;C:\Users\stu\Documents\GitHub\eaglep3-reporting\EC\2017-07-11-refined-times.txt</v>
      </c>
      <c r="AI138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{"issue":{"subject":"","project_id":79,"tracker_id":40,"status_id":1,"priority_id":2,"assigned_to_id":23,"start_date":"2017-07-11","description":"","custom_fields":[{"id":1,"name":"Subdivision","value":"EC"},{"id":4,"name":"Milepost","value":"0.0158"},{"id":17,"name":"Train ID","value":"224-11"},{"id":16,"name":"Locomotive ID","value":"4007"},{"id":130,"name":"Impact","value":""},{"id":150,"name":"Time of Event (Mountain Time)","value":"21:07:05"},{"id":151,"name":"Denver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4007 --day 2017-07-11</v>
      </c>
      <c r="AN138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03:07:05"},{"id":29,"name":"Sharepoint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793</v>
      </c>
      <c r="B139" s="7">
        <v>4028</v>
      </c>
      <c r="C139" s="21" t="s">
        <v>199</v>
      </c>
      <c r="D139" s="21" t="s">
        <v>350</v>
      </c>
      <c r="E139" s="13">
        <v>42927.830370370371</v>
      </c>
      <c r="F139" s="13">
        <v>42927.833831018521</v>
      </c>
      <c r="G139" s="7">
        <v>1</v>
      </c>
      <c r="H139" s="21" t="s">
        <v>892</v>
      </c>
      <c r="I139" s="13">
        <v>42927.859699074077</v>
      </c>
      <c r="J139" s="7">
        <v>0</v>
      </c>
      <c r="K139" s="89" t="str">
        <f t="shared" si="26"/>
        <v>4027/4028</v>
      </c>
      <c r="L139" s="21" t="str">
        <f>VLOOKUP(A139,'Trips&amp;Operators'!$C$1:$G$99999,5,FALSE)</f>
        <v>FORTUNATO FRANK</v>
      </c>
      <c r="M139" s="6">
        <f t="shared" si="27"/>
        <v>2.5868055556202307E-2</v>
      </c>
      <c r="N139" s="7">
        <f t="shared" si="51"/>
        <v>37.250000000931323</v>
      </c>
      <c r="O139" s="7"/>
      <c r="P139" s="7"/>
      <c r="Q139" s="22"/>
      <c r="R139" s="170"/>
      <c r="S139" s="213">
        <f t="shared" si="52"/>
        <v>1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-07-11T18:55:44-0600',mode:absolute,to:'2017-07-11T21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97" t="str">
        <f>IF(AA139&lt;VLOOKUP(AG139,Variables!$AC$3:$AD$8,2,FALSE),"Y","N")</f>
        <v>N</v>
      </c>
      <c r="X139" s="197">
        <f t="shared" si="31"/>
        <v>1</v>
      </c>
      <c r="Y139" s="197">
        <f t="shared" si="45"/>
        <v>4.53E-2</v>
      </c>
      <c r="Z139" s="197">
        <f t="shared" si="46"/>
        <v>23.3322</v>
      </c>
      <c r="AA139" s="197">
        <f t="shared" si="34"/>
        <v>23.286899999999999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225</v>
      </c>
      <c r="AE139" s="77" t="str">
        <f t="shared" si="36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139" s="74" t="str">
        <f t="shared" si="37"/>
        <v>"C:\Program Files (x86)\AstroGrep\AstroGrep.exe" /e /r /s /spath="%USERPROFILE%\AppData\Local\Temp\OnboardLogs" /stypes="app*4028*20170712*" /stext=" 02:.+((SYSTEM_STATE.+slice.+state.+changed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225-11 --locoid 4028 --swversion DE.1.0.9.0 --startMP 204:453 --initTime 2017-07-11T19:55:44 --startdatetime 2017-07-11T20:00:43 --delay 1 --endMP 204:233322 --enddatetime 2017-07-11T20:37:58 --enforcementcount 0 &gt;&gt;C:\Users\stu\Documents\GitHub\eaglep3-reporting\EC\2017-07-11-refined-times.txt</v>
      </c>
      <c r="AI139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{"issue":{"subject":"","project_id":79,"tracker_id":40,"status_id":1,"priority_id":2,"assigned_to_id":23,"start_date":"2017-07-11","description":"","custom_fields":[{"id":1,"name":"Subdivision","value":"EC"},{"id":4,"name":"Milepost","value":"23.3322"},{"id":17,"name":"Train ID","value":"225-11"},{"id":16,"name":"Locomotive ID","value":"4028"},{"id":130,"name":"Impact","value":""},{"id":150,"name":"Time of Event (Mountain Time)","value":"20:37:58"},{"id":151,"name":"Denver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4028 --day 2017-07-11</v>
      </c>
      <c r="AN139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02:37:58"},{"id":29,"name":"Sharepoint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799</v>
      </c>
      <c r="B140" s="7">
        <v>4027</v>
      </c>
      <c r="C140" s="21" t="s">
        <v>199</v>
      </c>
      <c r="D140" s="21" t="s">
        <v>515</v>
      </c>
      <c r="E140" s="13">
        <v>42927.866585648146</v>
      </c>
      <c r="F140" s="13">
        <v>42927.873067129629</v>
      </c>
      <c r="G140" s="7">
        <v>1</v>
      </c>
      <c r="H140" s="21" t="s">
        <v>853</v>
      </c>
      <c r="I140" s="13">
        <v>42927.900613425925</v>
      </c>
      <c r="J140" s="7">
        <v>0</v>
      </c>
      <c r="K140" s="89" t="str">
        <f t="shared" si="26"/>
        <v>4027/4028</v>
      </c>
      <c r="L140" s="21" t="str">
        <f>VLOOKUP(A140,'Trips&amp;Operators'!$C$1:$G$99999,5,FALSE)</f>
        <v>FORTUNATO FRANK</v>
      </c>
      <c r="M140" s="6">
        <f t="shared" si="27"/>
        <v>2.7546296296350192E-2</v>
      </c>
      <c r="N140" s="7">
        <f t="shared" si="51"/>
        <v>39.666666666744277</v>
      </c>
      <c r="O140" s="7"/>
      <c r="P140" s="7"/>
      <c r="Q140" s="22"/>
      <c r="R140" s="170"/>
      <c r="S140" s="213">
        <f t="shared" si="52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-07-11T19:47:53-0600',mode:absolute,to:'2017-07-11T22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97" t="str">
        <f>IF(AA140&lt;VLOOKUP(AG140,Variables!$AC$3:$AD$8,2,FALSE),"Y","N")</f>
        <v>N</v>
      </c>
      <c r="X140" s="197">
        <f t="shared" si="31"/>
        <v>1</v>
      </c>
      <c r="Y140" s="197">
        <f t="shared" si="45"/>
        <v>23.297799999999999</v>
      </c>
      <c r="Z140" s="197">
        <f t="shared" si="46"/>
        <v>1.2999999999999999E-2</v>
      </c>
      <c r="AA140" s="197">
        <f t="shared" si="34"/>
        <v>23.284799999999997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226</v>
      </c>
      <c r="AE140" s="77" t="str">
        <f t="shared" si="36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140" s="74" t="str">
        <f t="shared" si="37"/>
        <v>"C:\Program Files (x86)\AstroGrep\AstroGrep.exe" /e /r /s /spath="%USERPROFILE%\AppData\Local\Temp\OnboardLogs" /stypes="app*4027*20170712*"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226-11 --locoid 4027 --swversion DE.1.0.9.0 --startMP 204:232978 --initTime 2017-07-11T20:47:53 --startdatetime 2017-07-11T20:57:13 --delay 1 --endMP 204:130 --enddatetime 2017-07-11T21:36:53 --enforcementcount 0 &gt;&gt;C:\Users\stu\Documents\GitHub\eaglep3-reporting\EC\2017-07-11-refined-times.txt</v>
      </c>
      <c r="AI140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{"issue":{"subject":"","project_id":79,"tracker_id":40,"status_id":1,"priority_id":2,"assigned_to_id":23,"start_date":"2017-07-11","description":"","custom_fields":[{"id":1,"name":"Subdivision","value":"EC"},{"id":4,"name":"Milepost","value":"0.013"},{"id":17,"name":"Train ID","value":"226-11"},{"id":16,"name":"Locomotive ID","value":"4027"},{"id":130,"name":"Impact","value":""},{"id":150,"name":"Time of Event (Mountain Time)","value":"21:36:53"},{"id":151,"name":"Denver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4027 --day 2017-07-11</v>
      </c>
      <c r="AN140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03:36:53"},{"id":29,"name":"Sharepoint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796</v>
      </c>
      <c r="B141" s="7">
        <v>4042</v>
      </c>
      <c r="C141" s="21" t="s">
        <v>199</v>
      </c>
      <c r="D141" s="21" t="s">
        <v>400</v>
      </c>
      <c r="E141" s="13">
        <v>42927.851423611108</v>
      </c>
      <c r="F141" s="13">
        <v>42927.854664351849</v>
      </c>
      <c r="G141" s="7">
        <v>1</v>
      </c>
      <c r="H141" s="21" t="s">
        <v>893</v>
      </c>
      <c r="I141" s="13">
        <v>42927.880347222221</v>
      </c>
      <c r="J141" s="7">
        <v>0</v>
      </c>
      <c r="K141" s="89" t="str">
        <f t="shared" ref="K141:K203" si="53">IF(ISEVEN(B141),(B141-1)&amp;"/"&amp;B141,B141&amp;"/"&amp;(B141+1))</f>
        <v>4041/4042</v>
      </c>
      <c r="L141" s="21" t="str">
        <f>VLOOKUP(A141,'Trips&amp;Operators'!$C$1:$G$99999,5,FALSE)</f>
        <v>LAMAR NEKESHA</v>
      </c>
      <c r="M141" s="6">
        <f t="shared" ref="M141:M203" si="54">I141-F141</f>
        <v>2.5682870371383615E-2</v>
      </c>
      <c r="N141" s="7">
        <f t="shared" si="51"/>
        <v>36.983333334792405</v>
      </c>
      <c r="O141" s="7"/>
      <c r="P141" s="7"/>
      <c r="Q141" s="22"/>
      <c r="R141" s="170"/>
      <c r="S141" s="213">
        <f t="shared" si="52"/>
        <v>1</v>
      </c>
      <c r="T141" s="195" t="str">
        <f t="shared" ref="T141:T203" si="55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3" si="5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-11T19:26:03-0600',mode:absolute,to:'2017-07-11T22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197" t="str">
        <f>IF(AA141&lt;VLOOKUP(AG141,Variables!$AC$3:$AD$8,2,FALSE),"Y","N")</f>
        <v>N</v>
      </c>
      <c r="X141" s="197">
        <f t="shared" ref="X141:X204" si="57">VALUE(LEFT(AD141,4))-VALUE(LEFT(AD140,4))</f>
        <v>1</v>
      </c>
      <c r="Y141" s="197">
        <f t="shared" ref="Y141:Y172" si="58">RIGHT(D141,LEN(D141)-4)/10000</f>
        <v>4.6899999999999997E-2</v>
      </c>
      <c r="Z141" s="197">
        <f t="shared" ref="Z141:Z172" si="59">RIGHT(H141,LEN(H141)-4)/10000</f>
        <v>23.325299999999999</v>
      </c>
      <c r="AA141" s="197">
        <f t="shared" ref="AA141:AA203" si="60">ABS(Z141-Y141)</f>
        <v>23.278399999999998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3" si="61">VALUE(LEFT(A141,LEN(A141)-3))</f>
        <v>227</v>
      </c>
      <c r="AE141" s="77" t="str">
        <f t="shared" ref="AE141:AE203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141" s="74" t="str">
        <f t="shared" ref="AF141:AF203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/stypes="app*4042*20170712*" /stext=" 03:.+((SYSTEM_STATE.+slice.+state.+changed )|(ment ac)|(multiple cpu faults)|(system.+state.+changed )|(\[timeout)|(PRM\|1\|D)|(kpr)|(kdp)|(train st.+moving)|(\|lc)|(penalty))"</v>
      </c>
      <c r="AG141" s="209" t="str">
        <f t="shared" ref="AG141:AG203" si="64">DetSubdiv(A141)</f>
        <v>EC</v>
      </c>
      <c r="AH141" s="78" t="str">
        <f t="shared" si="39"/>
        <v>"%USERPROFILE%\Documents\GitHub\eaglep3\Utilities\RefineRTDCRunTimes.py" --tripid 227-11 --locoid 4042 --swversion DE.1.0.9.0 --startMP 204:469 --initTime 2017-07-11T20:26:03 --startdatetime 2017-07-11T20:30:43 --delay 1 --endMP 204:233253 --enddatetime 2017-07-11T21:07:42 --enforcementcount 0 &gt;&gt;C:\Users\stu\Documents\GitHub\eaglep3-reporting\EC\2017-07-11-refined-times.txt</v>
      </c>
      <c r="AI141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{"issue":{"subject":"","project_id":79,"tracker_id":40,"status_id":1,"priority_id":2,"assigned_to_id":23,"start_date":"2017-07-11","description":"","custom_fields":[{"id":1,"name":"Subdivision","value":"EC"},{"id":4,"name":"Milepost","value":"23.3253"},{"id":17,"name":"Train ID","value":"227-11"},{"id":16,"name":"Locomotive ID","value":"4042"},{"id":130,"name":"Impact","value":""},{"id":150,"name":"Time of Event (Mountain Time)","value":"21:07:42"},{"id":151,"name":"Denver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1"/>
        <v>start /low /b %USERPROFILE%\Documents\GitHub\eaglep3\Utilities\DownloadLogsFromS3.py --loco 4042 --day 2017-07-11</v>
      </c>
      <c r="AN141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03:07:42"},{"id":29,"name":"Sharepoint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801</v>
      </c>
      <c r="B142" s="7">
        <v>4041</v>
      </c>
      <c r="C142" s="21" t="s">
        <v>199</v>
      </c>
      <c r="D142" s="21" t="s">
        <v>457</v>
      </c>
      <c r="E142" s="13">
        <v>42927.890428240738</v>
      </c>
      <c r="F142" s="13">
        <v>42927.893900462965</v>
      </c>
      <c r="G142" s="7">
        <v>1</v>
      </c>
      <c r="H142" s="21" t="s">
        <v>394</v>
      </c>
      <c r="I142" s="13">
        <v>42927.921388888892</v>
      </c>
      <c r="J142" s="7">
        <v>0</v>
      </c>
      <c r="K142" s="89" t="str">
        <f t="shared" si="53"/>
        <v>4041/4042</v>
      </c>
      <c r="L142" s="21" t="str">
        <f>VLOOKUP(A142,'Trips&amp;Operators'!$C$1:$G$99999,5,FALSE)</f>
        <v>LAMAR NEKESHA</v>
      </c>
      <c r="M142" s="6">
        <f t="shared" si="54"/>
        <v>2.7488425927003846E-2</v>
      </c>
      <c r="N142" s="7">
        <f t="shared" si="51"/>
        <v>39.583333334885538</v>
      </c>
      <c r="O142" s="7"/>
      <c r="P142" s="7"/>
      <c r="Q142" s="22"/>
      <c r="R142" s="170"/>
      <c r="S142" s="213">
        <f t="shared" si="52"/>
        <v>1</v>
      </c>
      <c r="T142" s="195" t="str">
        <f t="shared" si="55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6"/>
        <v>https://d0f6bd738d7f1b3e5a7ca70fe4ff75f0.us-east-1.aws.found.io/app/kibana#/discover/Steve-Slow-Train-Analysis-(2080s-and-2083s)?_g=(refreshInterval:(display:Off,pause:!f,section:0,value:0),time:(from:'2017-07-11T20:22:13-0600',mode:absolute,to:'2017-07-11T23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197" t="str">
        <f>IF(AA142&lt;VLOOKUP(AG142,Variables!$AC$3:$AD$8,2,FALSE),"Y","N")</f>
        <v>N</v>
      </c>
      <c r="X142" s="197">
        <f t="shared" si="57"/>
        <v>1</v>
      </c>
      <c r="Y142" s="197">
        <f t="shared" si="58"/>
        <v>23.2971</v>
      </c>
      <c r="Z142" s="197">
        <f t="shared" si="59"/>
        <v>1.5599999999999999E-2</v>
      </c>
      <c r="AA142" s="197">
        <f t="shared" si="60"/>
        <v>23.281500000000001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1"/>
        <v>228</v>
      </c>
      <c r="AE142" s="77" t="str">
        <f t="shared" si="62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142" s="74" t="str">
        <f t="shared" si="63"/>
        <v>"C:\Program Files (x86)\AstroGrep\AstroGrep.exe" /e /r /s /spath="%USERPROFILE%\AppData\Local\Temp\OnboardLogs" /stypes="app*4041*20170712*" /stext=" 04:.+((SYSTEM_STATE.+slice.+state.+changed )|(ment ac)|(multiple cpu faults)|(system.+state.+changed )|(\[timeout)|(PRM\|1\|D)|(kpr)|(kdp)|(train st.+moving)|(\|lc)|(penalty))"</v>
      </c>
      <c r="AG142" s="209" t="str">
        <f t="shared" si="64"/>
        <v>EC</v>
      </c>
      <c r="AH142" s="78" t="str">
        <f t="shared" si="39"/>
        <v>"%USERPROFILE%\Documents\GitHub\eaglep3\Utilities\RefineRTDCRunTimes.py" --tripid 228-11 --locoid 4041 --swversion DE.1.0.9.0 --startMP 204:232971 --initTime 2017-07-11T21:22:13 --startdatetime 2017-07-11T21:27:13 --delay 1 --endMP 204:156 --enddatetime 2017-07-11T22:06:48 --enforcementcount 0 &gt;&gt;C:\Users\stu\Documents\GitHub\eaglep3-reporting\EC\2017-07-11-refined-times.txt</v>
      </c>
      <c r="AI142" s="96" t="str">
        <f t="shared" si="40"/>
        <v>echo {"issue":{"subject":"","project_id":79,"tracker_id":40,"status_id":1,"priority_id":2,"assigned_to_id":23,"start_date":"2017-07-11","description":"","custom_fields":[{"id":1,"name":"Subdivision","value":"EC"},{"id":4,"name":"Milepost","value":"0.0156"},{"id":17,"name":"Train ID","value":"228-11"},{"id":16,"name":"Locomotive ID","value":"4041"},{"id":130,"name":"Impact","value":""},{"id":150,"name":"Time of Event (Mountain Time)","value":"22:06:48"},{"id":151,"name":"Denver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1"/>
        <v>start /low /b %USERPROFILE%\Documents\GitHub\eaglep3\Utilities\DownloadLogsFromS3.py --loco 4041 --day 2017-07-11</v>
      </c>
      <c r="AN142" s="151" t="str">
        <f t="shared" si="4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04:06:48"},{"id":29,"name":"Sharepoint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798</v>
      </c>
      <c r="B143" s="7">
        <v>4032</v>
      </c>
      <c r="C143" s="21" t="s">
        <v>199</v>
      </c>
      <c r="D143" s="21" t="s">
        <v>841</v>
      </c>
      <c r="E143" s="13">
        <v>42927.862314814818</v>
      </c>
      <c r="F143" s="13">
        <v>42927.875578703701</v>
      </c>
      <c r="G143" s="7">
        <v>1</v>
      </c>
      <c r="H143" s="21" t="s">
        <v>454</v>
      </c>
      <c r="I143" s="13">
        <v>42927.901863425926</v>
      </c>
      <c r="J143" s="7">
        <v>0</v>
      </c>
      <c r="K143" s="89" t="str">
        <f t="shared" si="53"/>
        <v>4031/4032</v>
      </c>
      <c r="L143" s="21" t="str">
        <f>VLOOKUP(A143,'Trips&amp;Operators'!$C$1:$G$99999,5,FALSE)</f>
        <v>HAITHCOX MICHAEL</v>
      </c>
      <c r="M143" s="6">
        <f t="shared" si="54"/>
        <v>2.6284722225682344E-2</v>
      </c>
      <c r="N143" s="7">
        <f t="shared" si="51"/>
        <v>37.850000004982576</v>
      </c>
      <c r="O143" s="7"/>
      <c r="P143" s="7"/>
      <c r="Q143" s="22"/>
      <c r="R143" s="170"/>
      <c r="S143" s="213">
        <f t="shared" si="52"/>
        <v>1</v>
      </c>
      <c r="T143" s="195" t="str">
        <f t="shared" si="55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6"/>
        <v>https://d0f6bd738d7f1b3e5a7ca70fe4ff75f0.us-east-1.aws.found.io/app/kibana#/discover/Steve-Slow-Train-Analysis-(2080s-and-2083s)?_g=(refreshInterval:(display:Off,pause:!f,section:0,value:0),time:(from:'2017-07-11T19:41:44-0600',mode:absolute,to:'2017-07-11T22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3" s="197" t="str">
        <f>IF(AA143&lt;VLOOKUP(AG143,Variables!$AC$3:$AD$8,2,FALSE),"Y","N")</f>
        <v>N</v>
      </c>
      <c r="X143" s="197">
        <f t="shared" si="57"/>
        <v>1</v>
      </c>
      <c r="Y143" s="197">
        <f t="shared" si="58"/>
        <v>4.6699999999999998E-2</v>
      </c>
      <c r="Z143" s="197">
        <f t="shared" si="59"/>
        <v>23.328900000000001</v>
      </c>
      <c r="AA143" s="197">
        <f t="shared" si="60"/>
        <v>23.2822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1"/>
        <v>229</v>
      </c>
      <c r="AE143" s="77" t="str">
        <f t="shared" si="62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143" s="74" t="str">
        <f t="shared" si="63"/>
        <v>"C:\Program Files (x86)\AstroGrep\AstroGrep.exe" /e /r /s /spath="%USERPROFILE%\AppData\Local\Temp\OnboardLogs" /stypes="app*4032*20170712*" /stext=" 03:.+((SYSTEM_STATE.+slice.+state.+changed )|(ment ac)|(multiple cpu faults)|(system.+state.+changed )|(\[timeout)|(PRM\|1\|D)|(kpr)|(kdp)|(train st.+moving)|(\|lc)|(penalty))"</v>
      </c>
      <c r="AG143" s="209" t="str">
        <f t="shared" si="64"/>
        <v>EC</v>
      </c>
      <c r="AH143" s="78" t="str">
        <f t="shared" ref="AH143:AH206" si="6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229-11 --locoid 4032 --swversion DE.1.0.9.0 --startMP 204:467 --initTime 2017-07-11T20:41:44 --startdatetime 2017-07-11T21:00:50 --delay 1 --endMP 204:233289 --enddatetime 2017-07-11T21:38:41 --enforcementcount 0 &gt;&gt;C:\Users\stu\Documents\GitHub\eaglep3-reporting\EC\2017-07-11-refined-times.txt</v>
      </c>
      <c r="AI143" s="96" t="str">
        <f t="shared" ref="AI143:AI206" si="6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{"issue":{"subject":"","project_id":79,"tracker_id":40,"status_id":1,"priority_id":2,"assigned_to_id":23,"start_date":"2017-07-11","description":"","custom_fields":[{"id":1,"name":"Subdivision","value":"EC"},{"id":4,"name":"Milepost","value":"23.3289"},{"id":17,"name":"Train ID","value":"229-11"},{"id":16,"name":"Locomotive ID","value":"4032"},{"id":130,"name":"Impact","value":""},{"id":150,"name":"Time of Event (Mountain Time)","value":"21:38:41"},{"id":151,"name":"Denver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6" si="67">"start /low /b "&amp;dls3logs&amp;" --loco "&amp;B143&amp;" --day "&amp;TEXT(F143,"YYYY-MM-DD")</f>
        <v>start /low /b %USERPROFILE%\Documents\GitHub\eaglep3\Utilities\DownloadLogsFromS3.py --loco 4032 --day 2017-07-11</v>
      </c>
      <c r="AN143" s="151" t="str">
        <f t="shared" ref="AN143:AN206" si="6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03:38:41"},{"id":29,"name":"Sharepoint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802</v>
      </c>
      <c r="B144" s="7">
        <v>4031</v>
      </c>
      <c r="C144" s="21" t="s">
        <v>199</v>
      </c>
      <c r="D144" s="21" t="s">
        <v>894</v>
      </c>
      <c r="E144" s="13">
        <v>42927.902939814812</v>
      </c>
      <c r="F144" s="13">
        <v>42927.91474537037</v>
      </c>
      <c r="G144" s="7">
        <v>1</v>
      </c>
      <c r="H144" s="21" t="s">
        <v>539</v>
      </c>
      <c r="I144" s="13">
        <v>42927.943923611114</v>
      </c>
      <c r="J144" s="7">
        <v>0</v>
      </c>
      <c r="K144" s="89" t="str">
        <f t="shared" si="53"/>
        <v>4031/4032</v>
      </c>
      <c r="L144" s="21" t="str">
        <f>VLOOKUP(A144,'Trips&amp;Operators'!$C$1:$G$99999,5,FALSE)</f>
        <v>HAITHCOX MICHAEL</v>
      </c>
      <c r="M144" s="6">
        <f t="shared" si="54"/>
        <v>2.9178240743931383E-2</v>
      </c>
      <c r="N144" s="7">
        <f t="shared" si="51"/>
        <v>42.016666671261191</v>
      </c>
      <c r="O144" s="7"/>
      <c r="P144" s="7"/>
      <c r="Q144" s="22"/>
      <c r="R144" s="170"/>
      <c r="S144" s="213">
        <f t="shared" si="52"/>
        <v>1</v>
      </c>
      <c r="T144" s="195" t="str">
        <f t="shared" si="55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6"/>
        <v>https://d0f6bd738d7f1b3e5a7ca70fe4ff75f0.us-east-1.aws.found.io/app/kibana#/discover/Steve-Slow-Train-Analysis-(2080s-and-2083s)?_g=(refreshInterval:(display:Off,pause:!f,section:0,value:0),time:(from:'2017-07-11T20:40:14-0600',mode:absolute,to:'2017-07-11T23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4" s="197" t="str">
        <f>IF(AA144&lt;VLOOKUP(AG144,Variables!$AC$3:$AD$8,2,FALSE),"Y","N")</f>
        <v>N</v>
      </c>
      <c r="X144" s="197">
        <f t="shared" si="57"/>
        <v>1</v>
      </c>
      <c r="Y144" s="197">
        <f t="shared" si="58"/>
        <v>23.298200000000001</v>
      </c>
      <c r="Z144" s="197">
        <f t="shared" si="59"/>
        <v>1.72E-2</v>
      </c>
      <c r="AA144" s="197">
        <f t="shared" si="60"/>
        <v>23.281000000000002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1"/>
        <v>230</v>
      </c>
      <c r="AE144" s="77" t="str">
        <f t="shared" si="62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144" s="74" t="str">
        <f t="shared" si="63"/>
        <v>"C:\Program Files (x86)\AstroGrep\AstroGrep.exe" /e /r /s /spath="%USERPROFILE%\AppData\Local\Temp\OnboardLogs" /stypes="app*4031*20170712*" /stext=" 04:.+((SYSTEM_STATE.+slice.+state.+changed )|(ment ac)|(multiple cpu faults)|(system.+state.+changed )|(\[timeout)|(PRM\|1\|D)|(kpr)|(kdp)|(train st.+moving)|(\|lc)|(penalty))"</v>
      </c>
      <c r="AG144" s="209" t="str">
        <f t="shared" si="64"/>
        <v>EC</v>
      </c>
      <c r="AH144" s="78" t="str">
        <f t="shared" si="65"/>
        <v>"%USERPROFILE%\Documents\GitHub\eaglep3\Utilities\RefineRTDCRunTimes.py" --tripid 230-11 --locoid 4031 --swversion DE.1.0.9.0 --startMP 204:232982 --initTime 2017-07-11T21:40:14 --startdatetime 2017-07-11T21:57:14 --delay 1 --endMP 204:172 --enddatetime 2017-07-11T22:39:15 --enforcementcount 0 &gt;&gt;C:\Users\stu\Documents\GitHub\eaglep3-reporting\EC\2017-07-11-refined-times.txt</v>
      </c>
      <c r="AI144" s="96" t="str">
        <f t="shared" si="66"/>
        <v>echo {"issue":{"subject":"","project_id":79,"tracker_id":40,"status_id":1,"priority_id":2,"assigned_to_id":23,"start_date":"2017-07-11","description":"","custom_fields":[{"id":1,"name":"Subdivision","value":"EC"},{"id":4,"name":"Milepost","value":"0.0172"},{"id":17,"name":"Train ID","value":"230-11"},{"id":16,"name":"Locomotive ID","value":"4031"},{"id":130,"name":"Impact","value":""},{"id":150,"name":"Time of Event (Mountain Time)","value":"22:39:15"},{"id":151,"name":"Denver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7"/>
        <v>start /low /b %USERPROFILE%\Documents\GitHub\eaglep3\Utilities\DownloadLogsFromS3.py --loco 4031 --day 2017-07-11</v>
      </c>
      <c r="AN144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04:39:15"},{"id":29,"name":"Sharepoint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800</v>
      </c>
      <c r="B145" s="7">
        <v>4008</v>
      </c>
      <c r="C145" s="21" t="s">
        <v>199</v>
      </c>
      <c r="D145" s="21" t="s">
        <v>408</v>
      </c>
      <c r="E145" s="13">
        <v>42927.883472222224</v>
      </c>
      <c r="F145" s="13">
        <v>42927.89638888889</v>
      </c>
      <c r="G145" s="7">
        <v>1</v>
      </c>
      <c r="H145" s="21" t="s">
        <v>540</v>
      </c>
      <c r="I145" s="13">
        <v>42927.924375000002</v>
      </c>
      <c r="J145" s="7">
        <v>0</v>
      </c>
      <c r="K145" s="89" t="str">
        <f t="shared" si="53"/>
        <v>4007/4008</v>
      </c>
      <c r="L145" s="21" t="str">
        <f>VLOOKUP(A145,'Trips&amp;Operators'!$C$1:$G$99999,5,FALSE)</f>
        <v>BIRKHOLZ NADINE</v>
      </c>
      <c r="M145" s="6">
        <f t="shared" si="54"/>
        <v>2.7986111112113576E-2</v>
      </c>
      <c r="N145" s="7">
        <f t="shared" si="51"/>
        <v>40.30000000144355</v>
      </c>
      <c r="O145" s="7"/>
      <c r="P145" s="7"/>
      <c r="Q145" s="22"/>
      <c r="R145" s="170"/>
      <c r="S145" s="213">
        <f t="shared" si="52"/>
        <v>1</v>
      </c>
      <c r="T145" s="195" t="str">
        <f t="shared" si="55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6"/>
        <v>https://d0f6bd738d7f1b3e5a7ca70fe4ff75f0.us-east-1.aws.found.io/app/kibana#/discover/Steve-Slow-Train-Analysis-(2080s-and-2083s)?_g=(refreshInterval:(display:Off,pause:!f,section:0,value:0),time:(from:'2017-07-11T20:12:12-0600',mode:absolute,to:'2017-07-11T23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5" s="197" t="str">
        <f>IF(AA145&lt;VLOOKUP(AG145,Variables!$AC$3:$AD$8,2,FALSE),"Y","N")</f>
        <v>N</v>
      </c>
      <c r="X145" s="197">
        <f t="shared" si="57"/>
        <v>1</v>
      </c>
      <c r="Y145" s="197">
        <f t="shared" si="58"/>
        <v>4.5499999999999999E-2</v>
      </c>
      <c r="Z145" s="197">
        <f t="shared" si="59"/>
        <v>23.3291</v>
      </c>
      <c r="AA145" s="197">
        <f t="shared" si="60"/>
        <v>23.2836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1"/>
        <v>231</v>
      </c>
      <c r="AE145" s="77" t="str">
        <f t="shared" si="62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145" s="74" t="str">
        <f t="shared" si="63"/>
        <v>"C:\Program Files (x86)\AstroGrep\AstroGrep.exe" /e /r /s /spath="%USERPROFILE%\AppData\Local\Temp\OnboardLogs" /stypes="app*4008*20170712*" /stext=" 04:.+((SYSTEM_STATE.+slice.+state.+changed )|(ment ac)|(multiple cpu faults)|(system.+state.+changed )|(\[timeout)|(PRM\|1\|D)|(kpr)|(kdp)|(train st.+moving)|(\|lc)|(penalty))"</v>
      </c>
      <c r="AG145" s="209" t="str">
        <f t="shared" si="64"/>
        <v>EC</v>
      </c>
      <c r="AH145" s="78" t="str">
        <f t="shared" si="65"/>
        <v>"%USERPROFILE%\Documents\GitHub\eaglep3\Utilities\RefineRTDCRunTimes.py" --tripid 231-11 --locoid 4008 --swversion DE.1.0.9.0 --startMP 204:455 --initTime 2017-07-11T21:12:12 --startdatetime 2017-07-11T21:30:48 --delay 1 --endMP 204:233291 --enddatetime 2017-07-11T22:11:06 --enforcementcount 0 &gt;&gt;C:\Users\stu\Documents\GitHub\eaglep3-reporting\EC\2017-07-11-refined-times.txt</v>
      </c>
      <c r="AI145" s="96" t="str">
        <f t="shared" si="66"/>
        <v>echo {"issue":{"subject":"","project_id":79,"tracker_id":40,"status_id":1,"priority_id":2,"assigned_to_id":23,"start_date":"2017-07-11","description":"","custom_fields":[{"id":1,"name":"Subdivision","value":"EC"},{"id":4,"name":"Milepost","value":"23.3291"},{"id":17,"name":"Train ID","value":"231-11"},{"id":16,"name":"Locomotive ID","value":"4008"},{"id":130,"name":"Impact","value":""},{"id":150,"name":"Time of Event (Mountain Time)","value":"22:11:06"},{"id":151,"name":"Denver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7"/>
        <v>start /low /b %USERPROFILE%\Documents\GitHub\eaglep3\Utilities\DownloadLogsFromS3.py --loco 4008 --day 2017-07-11</v>
      </c>
      <c r="AN145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04:11:06"},{"id":29,"name":"Sharepoint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608</v>
      </c>
      <c r="B146" s="7">
        <v>4007</v>
      </c>
      <c r="C146" s="21" t="s">
        <v>199</v>
      </c>
      <c r="D146" s="21" t="s">
        <v>493</v>
      </c>
      <c r="E146" s="13">
        <v>42927.927557870367</v>
      </c>
      <c r="F146" s="13">
        <v>42927.935694444444</v>
      </c>
      <c r="G146" s="7">
        <v>1</v>
      </c>
      <c r="H146" s="21" t="s">
        <v>539</v>
      </c>
      <c r="I146" s="13">
        <v>42927.964699074073</v>
      </c>
      <c r="J146" s="7">
        <v>0</v>
      </c>
      <c r="K146" s="89" t="str">
        <f t="shared" si="53"/>
        <v>4007/4008</v>
      </c>
      <c r="L146" s="21" t="str">
        <f>VLOOKUP(A146,'Trips&amp;Operators'!$C$1:$G$99999,5,FALSE)</f>
        <v>BIRKHOLZ NADINE</v>
      </c>
      <c r="M146" s="6">
        <f t="shared" si="54"/>
        <v>2.9004629628616385E-2</v>
      </c>
      <c r="N146" s="7">
        <f t="shared" si="51"/>
        <v>41.766666665207595</v>
      </c>
      <c r="O146" s="7"/>
      <c r="P146" s="7"/>
      <c r="Q146" s="22"/>
      <c r="R146" s="170"/>
      <c r="S146" s="213">
        <f t="shared" si="52"/>
        <v>1</v>
      </c>
      <c r="T146" s="195" t="str">
        <f t="shared" si="55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6"/>
        <v>https://d0f6bd738d7f1b3e5a7ca70fe4ff75f0.us-east-1.aws.found.io/app/kibana#/discover/Steve-Slow-Train-Analysis-(2080s-and-2083s)?_g=(refreshInterval:(display:Off,pause:!f,section:0,value:0),time:(from:'2017-07-11T21:15:41-0600',mode:absolute,to:'2017-07-12T00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6" s="197" t="str">
        <f>IF(AA146&lt;VLOOKUP(AG146,Variables!$AC$3:$AD$8,2,FALSE),"Y","N")</f>
        <v>N</v>
      </c>
      <c r="X146" s="197">
        <f t="shared" si="57"/>
        <v>1</v>
      </c>
      <c r="Y146" s="197">
        <f t="shared" si="58"/>
        <v>23.296700000000001</v>
      </c>
      <c r="Z146" s="197">
        <f t="shared" si="59"/>
        <v>1.72E-2</v>
      </c>
      <c r="AA146" s="197">
        <f t="shared" si="60"/>
        <v>23.279500000000002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1"/>
        <v>232</v>
      </c>
      <c r="AE146" s="77" t="str">
        <f t="shared" si="62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146" s="74" t="str">
        <f t="shared" si="63"/>
        <v>"C:\Program Files (x86)\AstroGrep\AstroGrep.exe" /e /r /s /spath="%USERPROFILE%\AppData\Local\Temp\OnboardLogs" /stypes="app*4007*20170712*" /stext=" 05:.+((SYSTEM_STATE.+slice.+state.+changed )|(ment ac)|(multiple cpu faults)|(system.+state.+changed )|(\[timeout)|(PRM\|1\|D)|(kpr)|(kdp)|(train st.+moving)|(\|lc)|(penalty))"</v>
      </c>
      <c r="AG146" s="209" t="str">
        <f t="shared" si="64"/>
        <v>EC</v>
      </c>
      <c r="AH146" s="78" t="str">
        <f t="shared" si="65"/>
        <v>"%USERPROFILE%\Documents\GitHub\eaglep3\Utilities\RefineRTDCRunTimes.py" --tripid 232-11 --locoid 4007 --swversion DE.1.0.9.0 --startMP 204:232967 --initTime 2017-07-11T22:15:41 --startdatetime 2017-07-11T22:27:24 --delay 1 --endMP 204:172 --enddatetime 2017-07-11T23:09:10 --enforcementcount 0 &gt;&gt;C:\Users\stu\Documents\GitHub\eaglep3-reporting\EC\2017-07-11-refined-times.txt</v>
      </c>
      <c r="AI146" s="96" t="str">
        <f t="shared" si="66"/>
        <v>echo {"issue":{"subject":"","project_id":79,"tracker_id":40,"status_id":1,"priority_id":2,"assigned_to_id":23,"start_date":"2017-07-11","description":"","custom_fields":[{"id":1,"name":"Subdivision","value":"EC"},{"id":4,"name":"Milepost","value":"0.0172"},{"id":17,"name":"Train ID","value":"232-11"},{"id":16,"name":"Locomotive ID","value":"4007"},{"id":130,"name":"Impact","value":""},{"id":150,"name":"Time of Event (Mountain Time)","value":"23:09:10"},{"id":151,"name":"Denver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7"/>
        <v>start /low /b %USERPROFILE%\Documents\GitHub\eaglep3\Utilities\DownloadLogsFromS3.py --loco 4007 --day 2017-07-11</v>
      </c>
      <c r="AN146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05:09:10"},{"id":29,"name":"Sharepoint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803</v>
      </c>
      <c r="B147" s="7">
        <v>4028</v>
      </c>
      <c r="C147" s="21" t="s">
        <v>199</v>
      </c>
      <c r="D147" s="21" t="s">
        <v>348</v>
      </c>
      <c r="E147" s="13">
        <v>42927.904108796298</v>
      </c>
      <c r="F147" s="13">
        <v>42927.917187500003</v>
      </c>
      <c r="G147" s="7">
        <v>1</v>
      </c>
      <c r="H147" s="21" t="s">
        <v>444</v>
      </c>
      <c r="I147" s="13">
        <v>42927.943553240744</v>
      </c>
      <c r="J147" s="7">
        <v>0</v>
      </c>
      <c r="K147" s="89" t="str">
        <f t="shared" si="53"/>
        <v>4027/4028</v>
      </c>
      <c r="L147" s="21" t="str">
        <f>VLOOKUP(A147,'Trips&amp;Operators'!$C$1:$G$99999,5,FALSE)</f>
        <v>FORTUNATO FRANK</v>
      </c>
      <c r="M147" s="6">
        <f t="shared" si="54"/>
        <v>2.6365740741312038E-2</v>
      </c>
      <c r="N147" s="7">
        <f t="shared" si="51"/>
        <v>37.966666667489335</v>
      </c>
      <c r="O147" s="7"/>
      <c r="P147" s="7"/>
      <c r="Q147" s="22"/>
      <c r="R147" s="170"/>
      <c r="S147" s="213">
        <f t="shared" si="52"/>
        <v>1</v>
      </c>
      <c r="T147" s="195" t="str">
        <f t="shared" si="55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6"/>
        <v>https://d0f6bd738d7f1b3e5a7ca70fe4ff75f0.us-east-1.aws.found.io/app/kibana#/discover/Steve-Slow-Train-Analysis-(2080s-and-2083s)?_g=(refreshInterval:(display:Off,pause:!f,section:0,value:0),time:(from:'2017-07-11T20:41:55-0600',mode:absolute,to:'2017-07-11T23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97" t="str">
        <f>IF(AA147&lt;VLOOKUP(AG147,Variables!$AC$3:$AD$8,2,FALSE),"Y","N")</f>
        <v>N</v>
      </c>
      <c r="X147" s="197">
        <f t="shared" si="57"/>
        <v>1</v>
      </c>
      <c r="Y147" s="197">
        <f t="shared" si="58"/>
        <v>4.5100000000000001E-2</v>
      </c>
      <c r="Z147" s="197">
        <f t="shared" si="59"/>
        <v>23.331499999999998</v>
      </c>
      <c r="AA147" s="197">
        <f t="shared" si="60"/>
        <v>23.286399999999997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1"/>
        <v>233</v>
      </c>
      <c r="AE147" s="77" t="str">
        <f t="shared" si="62"/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AF147" s="74" t="str">
        <f t="shared" si="63"/>
        <v>"C:\Program Files (x86)\AstroGrep\AstroGrep.exe" /e /r /s /spath="%USERPROFILE%\AppData\Local\Temp\OnboardLogs" /stypes="app*4028*20170712*" /stext=" 04:.+((SYSTEM_STATE.+slice.+state.+changed )|(ment ac)|(multiple cpu faults)|(system.+state.+changed )|(\[timeout)|(PRM\|1\|D)|(kpr)|(kdp)|(train st.+moving)|(\|lc)|(penalty))"</v>
      </c>
      <c r="AG147" s="209" t="str">
        <f t="shared" si="64"/>
        <v>EC</v>
      </c>
      <c r="AH147" s="78" t="str">
        <f t="shared" si="65"/>
        <v>"%USERPROFILE%\Documents\GitHub\eaglep3\Utilities\RefineRTDCRunTimes.py" --tripid 233-11 --locoid 4028 --swversion DE.1.0.9.0 --startMP 204:451 --initTime 2017-07-11T21:41:55 --startdatetime 2017-07-11T22:00:45 --delay 1 --endMP 204:233315 --enddatetime 2017-07-11T22:38:43 --enforcementcount 0 &gt;&gt;C:\Users\stu\Documents\GitHub\eaglep3-reporting\EC\2017-07-11-refined-times.txt</v>
      </c>
      <c r="AI147" s="96" t="str">
        <f t="shared" si="66"/>
        <v>echo {"issue":{"subject":"","project_id":79,"tracker_id":40,"status_id":1,"priority_id":2,"assigned_to_id":23,"start_date":"2017-07-11","description":"","custom_fields":[{"id":1,"name":"Subdivision","value":"EC"},{"id":4,"name":"Milepost","value":"23.3315"},{"id":17,"name":"Train ID","value":"233-11"},{"id":16,"name":"Locomotive ID","value":"4028"},{"id":130,"name":"Impact","value":""},{"id":150,"name":"Time of Event (Mountain Time)","value":"22:38:43"},{"id":151,"name":"Denver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7"/>
        <v>start /low /b %USERPROFILE%\Documents\GitHub\eaglep3\Utilities\DownloadLogsFromS3.py --loco 4028 --day 2017-07-11</v>
      </c>
      <c r="AN147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04:38:43"},{"id":29,"name":"Sharepoint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808</v>
      </c>
      <c r="B148" s="7">
        <v>4027</v>
      </c>
      <c r="C148" s="21" t="s">
        <v>199</v>
      </c>
      <c r="D148" s="21" t="s">
        <v>895</v>
      </c>
      <c r="E148" s="13">
        <v>42927.948263888888</v>
      </c>
      <c r="F148" s="13">
        <v>42927.956805555557</v>
      </c>
      <c r="G148" s="7">
        <v>1</v>
      </c>
      <c r="H148" s="21" t="s">
        <v>404</v>
      </c>
      <c r="I148" s="13">
        <v>42927.983576388891</v>
      </c>
      <c r="J148" s="7">
        <v>0</v>
      </c>
      <c r="K148" s="89" t="str">
        <f t="shared" si="53"/>
        <v>4027/4028</v>
      </c>
      <c r="L148" s="21" t="str">
        <f>VLOOKUP(A148,'Trips&amp;Operators'!$C$1:$G$99999,5,FALSE)</f>
        <v>FORTUNATO FRANK</v>
      </c>
      <c r="M148" s="6">
        <f t="shared" si="54"/>
        <v>2.6770833334012423E-2</v>
      </c>
      <c r="N148" s="7">
        <f t="shared" si="51"/>
        <v>38.550000000977889</v>
      </c>
      <c r="O148" s="7"/>
      <c r="P148" s="7"/>
      <c r="Q148" s="22"/>
      <c r="R148" s="170"/>
      <c r="S148" s="213">
        <f t="shared" si="52"/>
        <v>1</v>
      </c>
      <c r="T148" s="195" t="str">
        <f t="shared" si="55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6"/>
        <v>https://d0f6bd738d7f1b3e5a7ca70fe4ff75f0.us-east-1.aws.found.io/app/kibana#/discover/Steve-Slow-Train-Analysis-(2080s-and-2083s)?_g=(refreshInterval:(display:Off,pause:!f,section:0,value:0),time:(from:'2017-07-11T21:45:30-0600',mode:absolute,to:'2017-07-12T00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97" t="str">
        <f>IF(AA148&lt;VLOOKUP(AG148,Variables!$AC$3:$AD$8,2,FALSE),"Y","N")</f>
        <v>N</v>
      </c>
      <c r="X148" s="197">
        <f t="shared" si="57"/>
        <v>1</v>
      </c>
      <c r="Y148" s="197">
        <f t="shared" si="58"/>
        <v>23.300799999999999</v>
      </c>
      <c r="Z148" s="197">
        <f t="shared" si="59"/>
        <v>1.38E-2</v>
      </c>
      <c r="AA148" s="197">
        <f t="shared" si="60"/>
        <v>23.286999999999999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1"/>
        <v>234</v>
      </c>
      <c r="AE148" s="77" t="str">
        <f t="shared" si="62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148" s="74" t="str">
        <f t="shared" si="63"/>
        <v>"C:\Program Files (x86)\AstroGrep\AstroGrep.exe" /e /r /s /spath="%USERPROFILE%\AppData\Local\Temp\OnboardLogs" /stypes="app*4027*20170712*" /stext=" 05:.+((SYSTEM_STATE.+slice.+state.+changed )|(ment ac)|(multiple cpu faults)|(system.+state.+changed )|(\[timeout)|(PRM\|1\|D)|(kpr)|(kdp)|(train st.+moving)|(\|lc)|(penalty))"</v>
      </c>
      <c r="AG148" s="209" t="str">
        <f t="shared" si="64"/>
        <v>EC</v>
      </c>
      <c r="AH148" s="78" t="str">
        <f t="shared" si="65"/>
        <v>"%USERPROFILE%\Documents\GitHub\eaglep3\Utilities\RefineRTDCRunTimes.py" --tripid 234-11 --locoid 4027 --swversion DE.1.0.9.0 --startMP 204:233008 --initTime 2017-07-11T22:45:30 --startdatetime 2017-07-11T22:57:48 --delay 1 --endMP 204:138 --enddatetime 2017-07-11T23:36:21 --enforcementcount 0 &gt;&gt;C:\Users\stu\Documents\GitHub\eaglep3-reporting\EC\2017-07-11-refined-times.txt</v>
      </c>
      <c r="AI148" s="96" t="str">
        <f t="shared" si="66"/>
        <v>echo {"issue":{"subject":"","project_id":79,"tracker_id":40,"status_id":1,"priority_id":2,"assigned_to_id":23,"start_date":"2017-07-11","description":"","custom_fields":[{"id":1,"name":"Subdivision","value":"EC"},{"id":4,"name":"Milepost","value":"0.0138"},{"id":17,"name":"Train ID","value":"234-11"},{"id":16,"name":"Locomotive ID","value":"4027"},{"id":130,"name":"Impact","value":""},{"id":150,"name":"Time of Event (Mountain Time)","value":"23:36:21"},{"id":151,"name":"Denver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7"/>
        <v>start /low /b %USERPROFILE%\Documents\GitHub\eaglep3\Utilities\DownloadLogsFromS3.py --loco 4027 --day 2017-07-11</v>
      </c>
      <c r="AN148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05:36:21"},{"id":29,"name":"Sharepoint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805</v>
      </c>
      <c r="B149" s="7">
        <v>4042</v>
      </c>
      <c r="C149" s="21" t="s">
        <v>199</v>
      </c>
      <c r="D149" s="21" t="s">
        <v>400</v>
      </c>
      <c r="E149" s="13">
        <v>42927.933379629627</v>
      </c>
      <c r="F149" s="13">
        <v>42927.937997685185</v>
      </c>
      <c r="G149" s="7">
        <v>0</v>
      </c>
      <c r="H149" s="21" t="s">
        <v>540</v>
      </c>
      <c r="I149" s="13">
        <v>42927.963842592595</v>
      </c>
      <c r="J149" s="7">
        <v>0</v>
      </c>
      <c r="K149" s="89" t="str">
        <f t="shared" si="53"/>
        <v>4041/4042</v>
      </c>
      <c r="L149" s="21" t="str">
        <f>VLOOKUP(A149,'Trips&amp;Operators'!$C$1:$G$99999,5,FALSE)</f>
        <v>LAMAR NEKESHA</v>
      </c>
      <c r="M149" s="6">
        <f t="shared" si="54"/>
        <v>2.584490740991896E-2</v>
      </c>
      <c r="N149" s="7">
        <f t="shared" si="51"/>
        <v>37.216666670283303</v>
      </c>
      <c r="O149" s="7"/>
      <c r="P149" s="7"/>
      <c r="Q149" s="22"/>
      <c r="R149" s="170"/>
      <c r="S149" s="213">
        <f t="shared" si="52"/>
        <v>1</v>
      </c>
      <c r="T149" s="195" t="str">
        <f t="shared" si="55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6"/>
        <v>https://d0f6bd738d7f1b3e5a7ca70fe4ff75f0.us-east-1.aws.found.io/app/kibana#/discover/Steve-Slow-Train-Analysis-(2080s-and-2083s)?_g=(refreshInterval:(display:Off,pause:!f,section:0,value:0),time:(from:'2017-07-11T21:24:04-0600',mode:absolute,to:'2017-07-12T00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197" t="str">
        <f>IF(AA149&lt;VLOOKUP(AG149,Variables!$AC$3:$AD$8,2,FALSE),"Y","N")</f>
        <v>N</v>
      </c>
      <c r="X149" s="197">
        <f t="shared" si="57"/>
        <v>1</v>
      </c>
      <c r="Y149" s="197">
        <f t="shared" si="58"/>
        <v>4.6899999999999997E-2</v>
      </c>
      <c r="Z149" s="197">
        <f t="shared" si="59"/>
        <v>23.3291</v>
      </c>
      <c r="AA149" s="197">
        <f t="shared" si="60"/>
        <v>23.2822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1"/>
        <v>235</v>
      </c>
      <c r="AE149" s="77" t="str">
        <f t="shared" si="62"/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AF149" s="74" t="str">
        <f t="shared" si="63"/>
        <v>"C:\Program Files (x86)\AstroGrep\AstroGrep.exe" /e /r /s /spath="%USERPROFILE%\AppData\Local\Temp\OnboardLogs" /stypes="app*4042*20170712*" /stext=" 05:.+((SYSTEM_STATE.+slice.+state.+changed )|(ment ac)|(multiple cpu faults)|(system.+state.+changed )|(\[timeout)|(PRM\|1\|D)|(kpr)|(kdp)|(train st.+moving)|(\|lc)|(penalty))"</v>
      </c>
      <c r="AG149" s="209" t="str">
        <f t="shared" si="64"/>
        <v>EC</v>
      </c>
      <c r="AH149" s="78" t="str">
        <f t="shared" si="65"/>
        <v>"%USERPROFILE%\Documents\GitHub\eaglep3\Utilities\RefineRTDCRunTimes.py" --tripid 235-11 --locoid 4042 --swversion DE.1.0.9.0 --startMP 204:469 --initTime 2017-07-11T22:24:04 --startdatetime 2017-07-11T22:30:43 --delay 0 --endMP 204:233291 --enddatetime 2017-07-11T23:07:56 --enforcementcount 0 &gt;&gt;C:\Users\stu\Documents\GitHub\eaglep3-reporting\EC\2017-07-11-refined-times.txt</v>
      </c>
      <c r="AI149" s="96" t="str">
        <f t="shared" si="66"/>
        <v>echo {"issue":{"subject":"","project_id":79,"tracker_id":40,"status_id":1,"priority_id":2,"assigned_to_id":23,"start_date":"2017-07-11","description":"","custom_fields":[{"id":1,"name":"Subdivision","value":"EC"},{"id":4,"name":"Milepost","value":"23.3291"},{"id":17,"name":"Train ID","value":"235-11"},{"id":16,"name":"Locomotive ID","value":"4042"},{"id":130,"name":"Impact","value":""},{"id":150,"name":"Time of Event (Mountain Time)","value":"23:07:56"},{"id":151,"name":"Denver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7"/>
        <v>start /low /b %USERPROFILE%\Documents\GitHub\eaglep3\Utilities\DownloadLogsFromS3.py --loco 4042 --day 2017-07-11</v>
      </c>
      <c r="AN149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05:07:56"},{"id":29,"name":"Sharepoint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609</v>
      </c>
      <c r="B150" s="7">
        <v>4041</v>
      </c>
      <c r="C150" s="21" t="s">
        <v>199</v>
      </c>
      <c r="D150" s="21" t="s">
        <v>826</v>
      </c>
      <c r="E150" s="13">
        <v>42927.973460648151</v>
      </c>
      <c r="F150" s="13">
        <v>42927.977233796293</v>
      </c>
      <c r="G150" s="7">
        <v>1</v>
      </c>
      <c r="H150" s="21" t="s">
        <v>896</v>
      </c>
      <c r="I150" s="13">
        <v>42928.003865740742</v>
      </c>
      <c r="J150" s="7">
        <v>0</v>
      </c>
      <c r="K150" s="89" t="str">
        <f t="shared" si="53"/>
        <v>4041/4042</v>
      </c>
      <c r="L150" s="21" t="str">
        <f>VLOOKUP(A150,'Trips&amp;Operators'!$C$1:$G$99999,5,FALSE)</f>
        <v>LAMAR NEKESHA</v>
      </c>
      <c r="M150" s="6">
        <f t="shared" si="54"/>
        <v>2.6631944449036382E-2</v>
      </c>
      <c r="N150" s="7">
        <f t="shared" si="51"/>
        <v>38.35000000661239</v>
      </c>
      <c r="O150" s="7"/>
      <c r="P150" s="7"/>
      <c r="Q150" s="22"/>
      <c r="R150" s="170"/>
      <c r="S150" s="213">
        <f t="shared" si="52"/>
        <v>1</v>
      </c>
      <c r="T150" s="195" t="str">
        <f t="shared" si="55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6"/>
        <v>https://d0f6bd738d7f1b3e5a7ca70fe4ff75f0.us-east-1.aws.found.io/app/kibana#/discover/Steve-Slow-Train-Analysis-(2080s-and-2083s)?_g=(refreshInterval:(display:Off,pause:!f,section:0,value:0),time:(from:'2017-07-11T22:21:47-0600',mode:absolute,to:'2017-07-12T01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197" t="str">
        <f>IF(AA150&lt;VLOOKUP(AG150,Variables!$AC$3:$AD$8,2,FALSE),"Y","N")</f>
        <v>N</v>
      </c>
      <c r="X150" s="197">
        <f t="shared" si="57"/>
        <v>1</v>
      </c>
      <c r="Y150" s="197">
        <f t="shared" si="58"/>
        <v>23.2974</v>
      </c>
      <c r="Z150" s="197">
        <f t="shared" si="59"/>
        <v>0.02</v>
      </c>
      <c r="AA150" s="197">
        <f t="shared" si="60"/>
        <v>23.2774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1"/>
        <v>236</v>
      </c>
      <c r="AE150" s="77" t="str">
        <f t="shared" si="62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150" s="74" t="str">
        <f t="shared" si="63"/>
        <v>"C:\Program Files (x86)\AstroGrep\AstroGrep.exe" /e /r /s /spath="%USERPROFILE%\AppData\Local\Temp\OnboardLogs" /stypes="app*4041*20170712*" /stext=" 06:.+((SYSTEM_STATE.+slice.+state.+changed )|(ment ac)|(multiple cpu faults)|(system.+state.+changed )|(\[timeout)|(PRM\|1\|D)|(kpr)|(kdp)|(train st.+moving)|(\|lc)|(penalty))"</v>
      </c>
      <c r="AG150" s="209" t="str">
        <f t="shared" si="64"/>
        <v>EC</v>
      </c>
      <c r="AH150" s="78" t="str">
        <f t="shared" si="65"/>
        <v>"%USERPROFILE%\Documents\GitHub\eaglep3\Utilities\RefineRTDCRunTimes.py" --tripid 236-11 --locoid 4041 --swversion DE.1.0.9.0 --startMP 204:232974 --initTime 2017-07-11T23:21:47 --startdatetime 2017-07-11T23:27:13 --delay 1 --endMP 204:200 --enddatetime 2017-07-12T00:05:34 --enforcementcount 0 &gt;&gt;C:\Users\stu\Documents\GitHub\eaglep3-reporting\EC\2017-07-11-refined-times.txt</v>
      </c>
      <c r="AI150" s="96" t="str">
        <f t="shared" si="66"/>
        <v>echo {"issue":{"subject":"","project_id":79,"tracker_id":40,"status_id":1,"priority_id":2,"assigned_to_id":23,"start_date":"2017-07-12","description":"","custom_fields":[{"id":1,"name":"Subdivision","value":"EC"},{"id":4,"name":"Milepost","value":"0.02"},{"id":17,"name":"Train ID","value":"236-11"},{"id":16,"name":"Locomotive ID","value":"4041"},{"id":130,"name":"Impact","value":""},{"id":150,"name":"Time of Event (Mountain Time)","value":"00:05:34"},{"id":151,"name":"Denver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7"/>
        <v>start /low /b %USERPROFILE%\Documents\GitHub\eaglep3\Utilities\DownloadLogsFromS3.py --loco 4041 --day 2017-07-11</v>
      </c>
      <c r="AN150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06:05:34"},{"id":29,"name":"Sharepoint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807</v>
      </c>
      <c r="B151" s="7">
        <v>4032</v>
      </c>
      <c r="C151" s="21" t="s">
        <v>199</v>
      </c>
      <c r="D151" s="21" t="s">
        <v>547</v>
      </c>
      <c r="E151" s="13">
        <v>42927.945162037038</v>
      </c>
      <c r="F151" s="13">
        <v>42927.958865740744</v>
      </c>
      <c r="G151" s="7">
        <v>1</v>
      </c>
      <c r="H151" s="21" t="s">
        <v>897</v>
      </c>
      <c r="I151" s="13">
        <v>42927.984351851854</v>
      </c>
      <c r="J151" s="7">
        <v>0</v>
      </c>
      <c r="K151" s="89" t="str">
        <f t="shared" si="53"/>
        <v>4031/4032</v>
      </c>
      <c r="L151" s="21" t="str">
        <f>VLOOKUP(A151,'Trips&amp;Operators'!$C$1:$G$99999,5,FALSE)</f>
        <v>HAITHCOX MICHAEL</v>
      </c>
      <c r="M151" s="6">
        <f t="shared" si="54"/>
        <v>2.548611110978527E-2</v>
      </c>
      <c r="N151" s="7">
        <f t="shared" si="51"/>
        <v>36.699999998090789</v>
      </c>
      <c r="O151" s="7"/>
      <c r="P151" s="7"/>
      <c r="Q151" s="22"/>
      <c r="R151" s="170"/>
      <c r="S151" s="213">
        <f t="shared" si="52"/>
        <v>1</v>
      </c>
      <c r="T151" s="195" t="str">
        <f t="shared" si="55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6"/>
        <v>https://d0f6bd738d7f1b3e5a7ca70fe4ff75f0.us-east-1.aws.found.io/app/kibana#/discover/Steve-Slow-Train-Analysis-(2080s-and-2083s)?_g=(refreshInterval:(display:Off,pause:!f,section:0,value:0),time:(from:'2017-07-11T21:41:02-0600',mode:absolute,to:'2017-07-12T00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1" s="197" t="str">
        <f>IF(AA151&lt;VLOOKUP(AG151,Variables!$AC$3:$AD$8,2,FALSE),"Y","N")</f>
        <v>N</v>
      </c>
      <c r="X151" s="197">
        <f t="shared" si="57"/>
        <v>1</v>
      </c>
      <c r="Y151" s="197">
        <f t="shared" si="58"/>
        <v>4.7500000000000001E-2</v>
      </c>
      <c r="Z151" s="197">
        <f t="shared" si="59"/>
        <v>23.327200000000001</v>
      </c>
      <c r="AA151" s="197">
        <f t="shared" si="60"/>
        <v>23.279700000000002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1"/>
        <v>237</v>
      </c>
      <c r="AE151" s="77" t="str">
        <f t="shared" si="62"/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AF151" s="74" t="str">
        <f t="shared" si="63"/>
        <v>"C:\Program Files (x86)\AstroGrep\AstroGrep.exe" /e /r /s /spath="%USERPROFILE%\AppData\Local\Temp\OnboardLogs" /stypes="app*4032*20170712*" /stext=" 05:.+((SYSTEM_STATE.+slice.+state.+changed )|(ment ac)|(multiple cpu faults)|(system.+state.+changed )|(\[timeout)|(PRM\|1\|D)|(kpr)|(kdp)|(train st.+moving)|(\|lc)|(penalty))"</v>
      </c>
      <c r="AG151" s="209" t="str">
        <f t="shared" si="64"/>
        <v>EC</v>
      </c>
      <c r="AH151" s="78" t="str">
        <f t="shared" si="65"/>
        <v>"%USERPROFILE%\Documents\GitHub\eaglep3\Utilities\RefineRTDCRunTimes.py" --tripid 237-11 --locoid 4032 --swversion DE.1.0.9.0 --startMP 204:475 --initTime 2017-07-11T22:41:02 --startdatetime 2017-07-11T23:00:46 --delay 1 --endMP 204:233272 --enddatetime 2017-07-11T23:37:28 --enforcementcount 0 &gt;&gt;C:\Users\stu\Documents\GitHub\eaglep3-reporting\EC\2017-07-11-refined-times.txt</v>
      </c>
      <c r="AI151" s="96" t="str">
        <f t="shared" si="66"/>
        <v>echo {"issue":{"subject":"","project_id":79,"tracker_id":40,"status_id":1,"priority_id":2,"assigned_to_id":23,"start_date":"2017-07-11","description":"","custom_fields":[{"id":1,"name":"Subdivision","value":"EC"},{"id":4,"name":"Milepost","value":"23.3272"},{"id":17,"name":"Train ID","value":"237-11"},{"id":16,"name":"Locomotive ID","value":"4032"},{"id":130,"name":"Impact","value":""},{"id":150,"name":"Time of Event (Mountain Time)","value":"23:37:28"},{"id":151,"name":"Denver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7"/>
        <v>start /low /b %USERPROFILE%\Documents\GitHub\eaglep3\Utilities\DownloadLogsFromS3.py --loco 4032 --day 2017-07-11</v>
      </c>
      <c r="AN151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05:37:28"},{"id":29,"name":"Sharepoint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811</v>
      </c>
      <c r="B152" s="7">
        <v>4031</v>
      </c>
      <c r="C152" s="21" t="s">
        <v>199</v>
      </c>
      <c r="D152" s="21" t="s">
        <v>898</v>
      </c>
      <c r="E152" s="13">
        <v>42927.985289351855</v>
      </c>
      <c r="F152" s="13">
        <v>42927.998252314814</v>
      </c>
      <c r="G152" s="7">
        <v>1</v>
      </c>
      <c r="H152" s="21" t="s">
        <v>899</v>
      </c>
      <c r="I152" s="13">
        <v>42928.025069444448</v>
      </c>
      <c r="J152" s="7">
        <v>0</v>
      </c>
      <c r="K152" s="89" t="str">
        <f t="shared" si="53"/>
        <v>4031/4032</v>
      </c>
      <c r="L152" s="21" t="str">
        <f>VLOOKUP(A152,'Trips&amp;Operators'!$C$1:$G$99999,5,FALSE)</f>
        <v>HAITHCOX MICHAEL</v>
      </c>
      <c r="M152" s="6">
        <f t="shared" si="54"/>
        <v>2.6817129633855075E-2</v>
      </c>
      <c r="N152" s="7">
        <f t="shared" si="51"/>
        <v>38.616666672751307</v>
      </c>
      <c r="O152" s="7"/>
      <c r="P152" s="7"/>
      <c r="Q152" s="22"/>
      <c r="R152" s="170"/>
      <c r="S152" s="213">
        <f t="shared" si="52"/>
        <v>1</v>
      </c>
      <c r="T152" s="195" t="str">
        <f t="shared" si="55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6"/>
        <v>https://d0f6bd738d7f1b3e5a7ca70fe4ff75f0.us-east-1.aws.found.io/app/kibana#/discover/Steve-Slow-Train-Analysis-(2080s-and-2083s)?_g=(refreshInterval:(display:Off,pause:!f,section:0,value:0),time:(from:'2017-07-11T22:38:49-0600',mode:absolute,to:'2017-07-12T01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2" s="197" t="str">
        <f>IF(AA152&lt;VLOOKUP(AG152,Variables!$AC$3:$AD$8,2,FALSE),"Y","N")</f>
        <v>N</v>
      </c>
      <c r="X152" s="197">
        <f t="shared" si="57"/>
        <v>1</v>
      </c>
      <c r="Y152" s="197">
        <f t="shared" si="58"/>
        <v>23.2957</v>
      </c>
      <c r="Z152" s="197">
        <f t="shared" si="59"/>
        <v>1.66E-2</v>
      </c>
      <c r="AA152" s="197">
        <f t="shared" si="60"/>
        <v>23.2791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1"/>
        <v>238</v>
      </c>
      <c r="AE152" s="77" t="str">
        <f t="shared" si="62"/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AF152" s="74" t="str">
        <f t="shared" si="63"/>
        <v>"C:\Program Files (x86)\AstroGrep\AstroGrep.exe" /e /r /s /spath="%USERPROFILE%\AppData\Local\Temp\OnboardLogs" /stypes="app*4031*20170712*" /stext=" 06:.+((SYSTEM_STATE.+slice.+state.+changed )|(ment ac)|(multiple cpu faults)|(system.+state.+changed )|(\[timeout)|(PRM\|1\|D)|(kpr)|(kdp)|(train st.+moving)|(\|lc)|(penalty))"</v>
      </c>
      <c r="AG152" s="209" t="str">
        <f t="shared" si="64"/>
        <v>EC</v>
      </c>
      <c r="AH152" s="78" t="str">
        <f t="shared" si="65"/>
        <v>"%USERPROFILE%\Documents\GitHub\eaglep3\Utilities\RefineRTDCRunTimes.py" --tripid 238-11 --locoid 4031 --swversion DE.1.0.9.0 --startMP 204:232957 --initTime 2017-07-11T23:38:49 --startdatetime 2017-07-11T23:57:29 --delay 1 --endMP 204:166 --enddatetime 2017-07-12T00:36:06 --enforcementcount 0 &gt;&gt;C:\Users\stu\Documents\GitHub\eaglep3-reporting\EC\2017-07-11-refined-times.txt</v>
      </c>
      <c r="AI152" s="96" t="str">
        <f t="shared" si="66"/>
        <v>echo {"issue":{"subject":"","project_id":79,"tracker_id":40,"status_id":1,"priority_id":2,"assigned_to_id":23,"start_date":"2017-07-12","description":"","custom_fields":[{"id":1,"name":"Subdivision","value":"EC"},{"id":4,"name":"Milepost","value":"0.0166"},{"id":17,"name":"Train ID","value":"238-11"},{"id":16,"name":"Locomotive ID","value":"4031"},{"id":130,"name":"Impact","value":""},{"id":150,"name":"Time of Event (Mountain Time)","value":"00:36:06"},{"id":151,"name":"Denver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7"/>
        <v>start /low /b %USERPROFILE%\Documents\GitHub\eaglep3\Utilities\DownloadLogsFromS3.py --loco 4031 --day 2017-07-11</v>
      </c>
      <c r="AN152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06:36:06"},{"id":29,"name":"Sharepoint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809</v>
      </c>
      <c r="B153" s="7">
        <v>4008</v>
      </c>
      <c r="C153" s="21" t="s">
        <v>199</v>
      </c>
      <c r="D153" s="21" t="s">
        <v>841</v>
      </c>
      <c r="E153" s="13">
        <v>42927.971967592595</v>
      </c>
      <c r="F153" s="13">
        <v>42927.979710648149</v>
      </c>
      <c r="G153" s="7">
        <v>1</v>
      </c>
      <c r="H153" s="21" t="s">
        <v>854</v>
      </c>
      <c r="I153" s="13">
        <v>42928.004131944443</v>
      </c>
      <c r="J153" s="7">
        <v>0</v>
      </c>
      <c r="K153" s="89" t="str">
        <f t="shared" si="53"/>
        <v>4007/4008</v>
      </c>
      <c r="L153" s="21" t="str">
        <f>VLOOKUP(A153,'Trips&amp;Operators'!$C$1:$G$99999,5,FALSE)</f>
        <v>BIRKHOLZ NADINE</v>
      </c>
      <c r="M153" s="6">
        <f t="shared" si="54"/>
        <v>2.4421296293439809E-2</v>
      </c>
      <c r="N153" s="7">
        <f t="shared" ref="N153:N178" si="69">24*60*SUM($M153:$M153)</f>
        <v>35.166666662553325</v>
      </c>
      <c r="O153" s="7"/>
      <c r="P153" s="7"/>
      <c r="Q153" s="22"/>
      <c r="R153" s="170"/>
      <c r="S153" s="213">
        <f t="shared" si="52"/>
        <v>1</v>
      </c>
      <c r="T153" s="195" t="str">
        <f t="shared" si="55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6"/>
        <v>https://d0f6bd738d7f1b3e5a7ca70fe4ff75f0.us-east-1.aws.found.io/app/kibana#/discover/Steve-Slow-Train-Analysis-(2080s-and-2083s)?_g=(refreshInterval:(display:Off,pause:!f,section:0,value:0),time:(from:'2017-07-11T22:19:38-0600',mode:absolute,to:'2017-07-12T01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3" s="197" t="str">
        <f>IF(AA153&lt;VLOOKUP(AG153,Variables!$AC$3:$AD$8,2,FALSE),"Y","N")</f>
        <v>N</v>
      </c>
      <c r="X153" s="197">
        <f t="shared" si="57"/>
        <v>1</v>
      </c>
      <c r="Y153" s="197">
        <f t="shared" si="58"/>
        <v>4.6699999999999998E-2</v>
      </c>
      <c r="Z153" s="197">
        <f t="shared" si="59"/>
        <v>23.3309</v>
      </c>
      <c r="AA153" s="197">
        <f t="shared" si="60"/>
        <v>23.284199999999998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1"/>
        <v>239</v>
      </c>
      <c r="AE153" s="77" t="str">
        <f t="shared" si="62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153" s="74" t="str">
        <f t="shared" si="63"/>
        <v>"C:\Program Files (x86)\AstroGrep\AstroGrep.exe" /e /r /s /spath="%USERPROFILE%\AppData\Local\Temp\OnboardLogs" /stypes="app*4008*20170712*" /stext=" 06:.+((SYSTEM_STATE.+slice.+state.+changed )|(ment ac)|(multiple cpu faults)|(system.+state.+changed )|(\[timeout)|(PRM\|1\|D)|(kpr)|(kdp)|(train st.+moving)|(\|lc)|(penalty))"</v>
      </c>
      <c r="AG153" s="209" t="str">
        <f t="shared" si="64"/>
        <v>EC</v>
      </c>
      <c r="AH153" s="78" t="str">
        <f t="shared" si="65"/>
        <v>"%USERPROFILE%\Documents\GitHub\eaglep3\Utilities\RefineRTDCRunTimes.py" --tripid 239-11 --locoid 4008 --swversion DE.1.0.9.0 --startMP 204:467 --initTime 2017-07-11T23:19:38 --startdatetime 2017-07-11T23:30:47 --delay 1 --endMP 204:233309 --enddatetime 2017-07-12T00:05:57 --enforcementcount 0 &gt;&gt;C:\Users\stu\Documents\GitHub\eaglep3-reporting\EC\2017-07-11-refined-times.txt</v>
      </c>
      <c r="AI153" s="96" t="str">
        <f t="shared" si="66"/>
        <v>echo {"issue":{"subject":"","project_id":79,"tracker_id":40,"status_id":1,"priority_id":2,"assigned_to_id":23,"start_date":"2017-07-12","description":"","custom_fields":[{"id":1,"name":"Subdivision","value":"EC"},{"id":4,"name":"Milepost","value":"23.3309"},{"id":17,"name":"Train ID","value":"239-11"},{"id":16,"name":"Locomotive ID","value":"4008"},{"id":130,"name":"Impact","value":""},{"id":150,"name":"Time of Event (Mountain Time)","value":"00:05:57"},{"id":151,"name":"Denver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7"/>
        <v>start /low /b %USERPROFILE%\Documents\GitHub\eaglep3\Utilities\DownloadLogsFromS3.py --loco 4008 --day 2017-07-11</v>
      </c>
      <c r="AN153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06:05:57"},{"id":29,"name":"Sharepoint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812</v>
      </c>
      <c r="B154" s="7">
        <v>4007</v>
      </c>
      <c r="C154" s="21" t="s">
        <v>199</v>
      </c>
      <c r="D154" s="21" t="s">
        <v>894</v>
      </c>
      <c r="E154" s="13">
        <v>42928.012175925927</v>
      </c>
      <c r="F154" s="13">
        <v>42928.01898148148</v>
      </c>
      <c r="G154" s="7">
        <v>1</v>
      </c>
      <c r="H154" s="21" t="s">
        <v>900</v>
      </c>
      <c r="I154" s="13">
        <v>42928.046249999999</v>
      </c>
      <c r="J154" s="7">
        <v>0</v>
      </c>
      <c r="K154" s="89" t="str">
        <f t="shared" si="53"/>
        <v>4007/4008</v>
      </c>
      <c r="L154" s="21" t="str">
        <f>VLOOKUP(A154,'Trips&amp;Operators'!$C$1:$G$99999,5,FALSE)</f>
        <v>BIRKHOLZ NADINE</v>
      </c>
      <c r="M154" s="6">
        <f t="shared" si="54"/>
        <v>2.7268518519122154E-2</v>
      </c>
      <c r="N154" s="7">
        <f t="shared" si="69"/>
        <v>39.266666667535901</v>
      </c>
      <c r="O154" s="7"/>
      <c r="P154" s="7"/>
      <c r="Q154" s="22"/>
      <c r="R154" s="170"/>
      <c r="S154" s="213">
        <f t="shared" si="52"/>
        <v>1</v>
      </c>
      <c r="T154" s="195" t="str">
        <f t="shared" si="55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6"/>
        <v>https://d0f6bd738d7f1b3e5a7ca70fe4ff75f0.us-east-1.aws.found.io/app/kibana#/discover/Steve-Slow-Train-Analysis-(2080s-and-2083s)?_g=(refreshInterval:(display:Off,pause:!f,section:0,value:0),time:(from:'2017-07-11T23:17:32-0600',mode:absolute,to:'2017-07-12T02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4" s="197" t="str">
        <f>IF(AA154&lt;VLOOKUP(AG154,Variables!$AC$3:$AD$8,2,FALSE),"Y","N")</f>
        <v>N</v>
      </c>
      <c r="X154" s="197">
        <f t="shared" si="57"/>
        <v>1</v>
      </c>
      <c r="Y154" s="197">
        <f t="shared" si="58"/>
        <v>23.298200000000001</v>
      </c>
      <c r="Z154" s="197">
        <f t="shared" si="59"/>
        <v>1.4800000000000001E-2</v>
      </c>
      <c r="AA154" s="197">
        <f t="shared" si="60"/>
        <v>23.2834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1"/>
        <v>240</v>
      </c>
      <c r="AE154" s="77" t="str">
        <f t="shared" si="62"/>
        <v>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 &amp; 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</v>
      </c>
      <c r="AF154" s="74" t="str">
        <f t="shared" si="63"/>
        <v>"C:\Program Files (x86)\AstroGrep\AstroGrep.exe" /e /r /s /spath="%USERPROFILE%\AppData\Local\Temp\OnboardLogs" /stypes="app*4007*20170712*" /stext=" 07:.+((SYSTEM_STATE.+slice.+state.+changed )|(ment ac)|(multiple cpu faults)|(system.+state.+changed )|(\[timeout)|(PRM\|1\|D)|(kpr)|(kdp)|(train st.+moving)|(\|lc)|(penalty))"</v>
      </c>
      <c r="AG154" s="209" t="str">
        <f t="shared" si="64"/>
        <v>EC</v>
      </c>
      <c r="AH154" s="78" t="str">
        <f t="shared" si="65"/>
        <v>"%USERPROFILE%\Documents\GitHub\eaglep3\Utilities\RefineRTDCRunTimes.py" --tripid 240-11 --locoid 4007 --swversion DE.1.0.9.0 --startMP 204:232982 --initTime 2017-07-12T00:17:32 --startdatetime 2017-07-12T00:27:20 --delay 1 --endMP 204:148 --enddatetime 2017-07-12T01:06:36 --enforcementcount 0 &gt;&gt;C:\Users\stu\Documents\GitHub\eaglep3-reporting\EC\2017-07-11-refined-times.txt</v>
      </c>
      <c r="AI154" s="96" t="str">
        <f t="shared" si="66"/>
        <v>echo {"issue":{"subject":"","project_id":79,"tracker_id":40,"status_id":1,"priority_id":2,"assigned_to_id":23,"start_date":"2017-07-12","description":"","custom_fields":[{"id":1,"name":"Subdivision","value":"EC"},{"id":4,"name":"Milepost","value":"0.0148"},{"id":17,"name":"Train ID","value":"240-11"},{"id":16,"name":"Locomotive ID","value":"4007"},{"id":130,"name":"Impact","value":""},{"id":150,"name":"Time of Event (Mountain Time)","value":"01:06:36"},{"id":151,"name":"Denver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7"/>
        <v>start /low /b %USERPROFILE%\Documents\GitHub\eaglep3\Utilities\DownloadLogsFromS3.py --loco 4007 --day 2017-07-12</v>
      </c>
      <c r="AN154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07:06:36"},{"id":29,"name":"Sharepoint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810</v>
      </c>
      <c r="B155" s="7">
        <v>4028</v>
      </c>
      <c r="C155" s="21" t="s">
        <v>199</v>
      </c>
      <c r="D155" s="21" t="s">
        <v>339</v>
      </c>
      <c r="E155" s="13">
        <v>42927.98510416667</v>
      </c>
      <c r="F155" s="13">
        <v>42928.000555555554</v>
      </c>
      <c r="G155" s="7">
        <v>1</v>
      </c>
      <c r="H155" s="21" t="s">
        <v>901</v>
      </c>
      <c r="I155" s="13">
        <v>42928.025879629633</v>
      </c>
      <c r="J155" s="7">
        <v>0</v>
      </c>
      <c r="K155" s="89" t="str">
        <f t="shared" si="53"/>
        <v>4027/4028</v>
      </c>
      <c r="L155" s="21" t="str">
        <f>VLOOKUP(A155,'Trips&amp;Operators'!$C$1:$G$99999,5,FALSE)</f>
        <v>FORTUNATO FRANK</v>
      </c>
      <c r="M155" s="6">
        <f t="shared" si="54"/>
        <v>2.5324074078525882E-2</v>
      </c>
      <c r="N155" s="7">
        <f t="shared" si="69"/>
        <v>36.46666667307727</v>
      </c>
      <c r="O155" s="7"/>
      <c r="P155" s="7"/>
      <c r="Q155" s="22"/>
      <c r="R155" s="170"/>
      <c r="S155" s="213">
        <f t="shared" si="52"/>
        <v>1</v>
      </c>
      <c r="T155" s="195" t="str">
        <f t="shared" si="55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6"/>
        <v>https://d0f6bd738d7f1b3e5a7ca70fe4ff75f0.us-east-1.aws.found.io/app/kibana#/discover/Steve-Slow-Train-Analysis-(2080s-and-2083s)?_g=(refreshInterval:(display:Off,pause:!f,section:0,value:0),time:(from:'2017-07-11T22:38:33-0600',mode:absolute,to:'2017-07-12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97" t="str">
        <f>IF(AA155&lt;VLOOKUP(AG155,Variables!$AC$3:$AD$8,2,FALSE),"Y","N")</f>
        <v>N</v>
      </c>
      <c r="X155" s="197">
        <f t="shared" si="57"/>
        <v>1</v>
      </c>
      <c r="Y155" s="197">
        <f t="shared" si="58"/>
        <v>4.4900000000000002E-2</v>
      </c>
      <c r="Z155" s="197">
        <f t="shared" si="59"/>
        <v>23.334399999999999</v>
      </c>
      <c r="AA155" s="197">
        <f t="shared" si="60"/>
        <v>23.2895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1"/>
        <v>241</v>
      </c>
      <c r="AE155" s="77" t="str">
        <f t="shared" si="62"/>
        <v>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 &amp; 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</v>
      </c>
      <c r="AF155" s="74" t="str">
        <f t="shared" si="63"/>
        <v>"C:\Program Files (x86)\AstroGrep\AstroGrep.exe" /e /r /s /spath="%USERPROFILE%\AppData\Local\Temp\OnboardLogs" /stypes="app*4028*20170712*" /stext=" 06:.+((SYSTEM_STATE.+slice.+state.+changed )|(ment ac)|(multiple cpu faults)|(system.+state.+changed )|(\[timeout)|(PRM\|1\|D)|(kpr)|(kdp)|(train st.+moving)|(\|lc)|(penalty))"</v>
      </c>
      <c r="AG155" s="209" t="str">
        <f t="shared" si="64"/>
        <v>EC</v>
      </c>
      <c r="AH155" s="78" t="str">
        <f t="shared" si="65"/>
        <v>"%USERPROFILE%\Documents\GitHub\eaglep3\Utilities\RefineRTDCRunTimes.py" --tripid 241-11 --locoid 4028 --swversion DE.1.0.9.0 --startMP 204:449 --initTime 2017-07-11T23:38:33 --startdatetime 2017-07-12T00:00:48 --delay 1 --endMP 204:233344 --enddatetime 2017-07-12T00:37:16 --enforcementcount 0 &gt;&gt;C:\Users\stu\Documents\GitHub\eaglep3-reporting\EC\2017-07-11-refined-times.txt</v>
      </c>
      <c r="AI155" s="96" t="str">
        <f t="shared" si="66"/>
        <v>echo {"issue":{"subject":"","project_id":79,"tracker_id":40,"status_id":1,"priority_id":2,"assigned_to_id":23,"start_date":"2017-07-12","description":"","custom_fields":[{"id":1,"name":"Subdivision","value":"EC"},{"id":4,"name":"Milepost","value":"23.3344"},{"id":17,"name":"Train ID","value":"241-11"},{"id":16,"name":"Locomotive ID","value":"4028"},{"id":130,"name":"Impact","value":""},{"id":150,"name":"Time of Event (Mountain Time)","value":"00:37:16"},{"id":151,"name":"Denver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67"/>
        <v>start /low /b %USERPROFILE%\Documents\GitHub\eaglep3\Utilities\DownloadLogsFromS3.py --loco 4028 --day 2017-07-12</v>
      </c>
      <c r="AN155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06:37:16"},{"id":29,"name":"Sharepoint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x14ac:dyDescent="0.25">
      <c r="A156" s="32" t="s">
        <v>815</v>
      </c>
      <c r="B156" s="7">
        <v>4027</v>
      </c>
      <c r="C156" s="21" t="s">
        <v>199</v>
      </c>
      <c r="D156" s="21" t="s">
        <v>495</v>
      </c>
      <c r="E156" s="13">
        <v>42928.030636574076</v>
      </c>
      <c r="F156" s="13">
        <v>42928.039861111109</v>
      </c>
      <c r="G156" s="7">
        <v>1</v>
      </c>
      <c r="H156" s="21" t="s">
        <v>404</v>
      </c>
      <c r="I156" s="13">
        <v>42928.066979166666</v>
      </c>
      <c r="J156" s="7">
        <v>0</v>
      </c>
      <c r="K156" s="89" t="str">
        <f t="shared" si="53"/>
        <v>4027/4028</v>
      </c>
      <c r="L156" s="21" t="str">
        <f>VLOOKUP(A156,'Trips&amp;Operators'!$C$1:$G$99999,5,FALSE)</f>
        <v>FORTUNATO FRANK</v>
      </c>
      <c r="M156" s="6">
        <f t="shared" si="54"/>
        <v>2.7118055557366461E-2</v>
      </c>
      <c r="N156" s="7">
        <f t="shared" si="69"/>
        <v>39.050000002607703</v>
      </c>
      <c r="O156" s="7"/>
      <c r="P156" s="7"/>
      <c r="Q156" s="22"/>
      <c r="R156" s="170"/>
      <c r="S156" s="213">
        <f t="shared" si="52"/>
        <v>1</v>
      </c>
      <c r="T156" s="195" t="str">
        <f t="shared" si="55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6"/>
        <v>https://d0f6bd738d7f1b3e5a7ca70fe4ff75f0.us-east-1.aws.found.io/app/kibana#/discover/Steve-Slow-Train-Analysis-(2080s-and-2083s)?_g=(refreshInterval:(display:Off,pause:!f,section:0,value:0),time:(from:'2017-07-11T23:44:07-0600',mode:absolute,to:'2017-07-12T02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97" t="str">
        <f>IF(AA156&lt;VLOOKUP(AG156,Variables!$AC$3:$AD$8,2,FALSE),"Y","N")</f>
        <v>N</v>
      </c>
      <c r="X156" s="197">
        <f t="shared" si="57"/>
        <v>1</v>
      </c>
      <c r="Y156" s="197">
        <f t="shared" si="58"/>
        <v>23.300599999999999</v>
      </c>
      <c r="Z156" s="197">
        <f t="shared" si="59"/>
        <v>1.38E-2</v>
      </c>
      <c r="AA156" s="197">
        <f t="shared" si="60"/>
        <v>23.286799999999999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1"/>
        <v>242</v>
      </c>
      <c r="AE156" s="77" t="str">
        <f t="shared" si="62"/>
        <v>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 &amp; 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</v>
      </c>
      <c r="AF156" s="74" t="str">
        <f t="shared" si="63"/>
        <v>"C:\Program Files (x86)\AstroGrep\AstroGrep.exe" /e /r /s /spath="%USERPROFILE%\AppData\Local\Temp\OnboardLogs" /stypes="app*4027*20170712*" /stext=" 07:.+((SYSTEM_STATE.+slice.+state.+changed )|(ment ac)|(multiple cpu faults)|(system.+state.+changed )|(\[timeout)|(PRM\|1\|D)|(kpr)|(kdp)|(train st.+moving)|(\|lc)|(penalty))"</v>
      </c>
      <c r="AG156" s="209" t="str">
        <f t="shared" si="64"/>
        <v>EC</v>
      </c>
      <c r="AH156" s="78" t="str">
        <f t="shared" si="65"/>
        <v>"%USERPROFILE%\Documents\GitHub\eaglep3\Utilities\RefineRTDCRunTimes.py" --tripid 242-11 --locoid 4027 --swversion DE.1.0.9.0 --startMP 204:233006 --initTime 2017-07-12T00:44:07 --startdatetime 2017-07-12T00:57:24 --delay 1 --endMP 204:138 --enddatetime 2017-07-12T01:36:27 --enforcementcount 0 &gt;&gt;C:\Users\stu\Documents\GitHub\eaglep3-reporting\EC\2017-07-11-refined-times.txt</v>
      </c>
      <c r="AI156" s="96" t="str">
        <f t="shared" si="66"/>
        <v>echo {"issue":{"subject":"","project_id":79,"tracker_id":40,"status_id":1,"priority_id":2,"assigned_to_id":23,"start_date":"2017-07-12","description":"","custom_fields":[{"id":1,"name":"Subdivision","value":"EC"},{"id":4,"name":"Milepost","value":"0.0138"},{"id":17,"name":"Train ID","value":"242-11"},{"id":16,"name":"Locomotive ID","value":"4027"},{"id":130,"name":"Impact","value":""},{"id":150,"name":"Time of Event (Mountain Time)","value":"01:36:27"},{"id":151,"name":"Denver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67"/>
        <v>start /low /b %USERPROFILE%\Documents\GitHub\eaglep3\Utilities\DownloadLogsFromS3.py --loco 4027 --day 2017-07-12</v>
      </c>
      <c r="AN156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07:36:27"},{"id":29,"name":"Sharepoint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s="20" customFormat="1" x14ac:dyDescent="0.25">
      <c r="A157" s="32" t="s">
        <v>813</v>
      </c>
      <c r="B157" s="7">
        <v>4042</v>
      </c>
      <c r="C157" s="21" t="s">
        <v>199</v>
      </c>
      <c r="D157" s="21" t="s">
        <v>902</v>
      </c>
      <c r="E157" s="13">
        <v>42928.016180555554</v>
      </c>
      <c r="F157" s="13">
        <v>42928.02134259259</v>
      </c>
      <c r="G157" s="7">
        <v>1</v>
      </c>
      <c r="H157" s="21" t="s">
        <v>903</v>
      </c>
      <c r="I157" s="13">
        <v>42928.045937499999</v>
      </c>
      <c r="J157" s="7">
        <v>0</v>
      </c>
      <c r="K157" s="89" t="str">
        <f t="shared" si="53"/>
        <v>4041/4042</v>
      </c>
      <c r="L157" s="21" t="str">
        <f>VLOOKUP(A157,'Trips&amp;Operators'!$C$1:$G$99999,5,FALSE)</f>
        <v>LAMAR NEKESHA</v>
      </c>
      <c r="M157" s="6">
        <f t="shared" si="54"/>
        <v>2.4594907408754807E-2</v>
      </c>
      <c r="N157" s="7">
        <f t="shared" si="69"/>
        <v>35.416666668606922</v>
      </c>
      <c r="O157" s="7"/>
      <c r="P157" s="7"/>
      <c r="Q157" s="22"/>
      <c r="R157" s="170"/>
      <c r="S157" s="213">
        <f t="shared" si="52"/>
        <v>1</v>
      </c>
      <c r="T157" s="195" t="str">
        <f t="shared" si="55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6"/>
        <v>https://d0f6bd738d7f1b3e5a7ca70fe4ff75f0.us-east-1.aws.found.io/app/kibana#/discover/Steve-Slow-Train-Analysis-(2080s-and-2083s)?_g=(refreshInterval:(display:Off,pause:!f,section:0,value:0),time:(from:'2017-07-11T23:23:18-0600',mode:absolute,to:'2017-07-12T02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7" s="197" t="str">
        <f>IF(AA157&lt;VLOOKUP(AG157,Variables!$AC$3:$AD$8,2,FALSE),"Y","N")</f>
        <v>N</v>
      </c>
      <c r="X157" s="197">
        <f t="shared" si="57"/>
        <v>1</v>
      </c>
      <c r="Y157" s="197">
        <f t="shared" si="58"/>
        <v>5.1999999999999998E-2</v>
      </c>
      <c r="Z157" s="197">
        <f t="shared" si="59"/>
        <v>23.330500000000001</v>
      </c>
      <c r="AA157" s="197">
        <f t="shared" si="60"/>
        <v>23.278500000000001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1"/>
        <v>243</v>
      </c>
      <c r="AE157" s="77" t="str">
        <f t="shared" si="62"/>
        <v>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 &amp; 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</v>
      </c>
      <c r="AF157" s="74" t="str">
        <f t="shared" si="63"/>
        <v>"C:\Program Files (x86)\AstroGrep\AstroGrep.exe" /e /r /s /spath="%USERPROFILE%\AppData\Local\Temp\OnboardLogs" /stypes="app*4042*20170712*" /stext=" 07:.+((SYSTEM_STATE.+slice.+state.+changed )|(ment ac)|(multiple cpu faults)|(system.+state.+changed )|(\[timeout)|(PRM\|1\|D)|(kpr)|(kdp)|(train st.+moving)|(\|lc)|(penalty))"</v>
      </c>
      <c r="AG157" s="209" t="str">
        <f t="shared" si="64"/>
        <v>EC</v>
      </c>
      <c r="AH157" s="78" t="str">
        <f t="shared" si="65"/>
        <v>"%USERPROFILE%\Documents\GitHub\eaglep3\Utilities\RefineRTDCRunTimes.py" --tripid 243-11 --locoid 4042 --swversion DE.1.0.9.0 --startMP 204:520 --initTime 2017-07-12T00:23:18 --startdatetime 2017-07-12T00:30:44 --delay 1 --endMP 204:233305 --enddatetime 2017-07-12T01:06:09 --enforcementcount 0 &gt;&gt;C:\Users\stu\Documents\GitHub\eaglep3-reporting\EC\2017-07-11-refined-times.txt</v>
      </c>
      <c r="AI157" s="96" t="str">
        <f t="shared" si="66"/>
        <v>echo {"issue":{"subject":"","project_id":79,"tracker_id":40,"status_id":1,"priority_id":2,"assigned_to_id":23,"start_date":"2017-07-12","description":"","custom_fields":[{"id":1,"name":"Subdivision","value":"EC"},{"id":4,"name":"Milepost","value":"23.3305"},{"id":17,"name":"Train ID","value":"243-11"},{"id":16,"name":"Locomotive ID","value":"4042"},{"id":130,"name":"Impact","value":""},{"id":150,"name":"Time of Event (Mountain Time)","value":"01:06:09"},{"id":151,"name":"Denver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7"/>
        <v>start /low /b %USERPROFILE%\Documents\GitHub\eaglep3\Utilities\DownloadLogsFromS3.py --loco 4042 --day 2017-07-12</v>
      </c>
      <c r="AN157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07:06:09"},{"id":29,"name":"Sharepoint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817</v>
      </c>
      <c r="B158" s="7">
        <v>4041</v>
      </c>
      <c r="C158" s="21" t="s">
        <v>199</v>
      </c>
      <c r="D158" s="21" t="s">
        <v>833</v>
      </c>
      <c r="E158" s="13">
        <v>42928.056585648148</v>
      </c>
      <c r="F158" s="13">
        <v>42928.060578703706</v>
      </c>
      <c r="G158" s="7">
        <v>1</v>
      </c>
      <c r="H158" s="21" t="s">
        <v>904</v>
      </c>
      <c r="I158" s="13">
        <v>42928.086956018517</v>
      </c>
      <c r="J158" s="7">
        <v>0</v>
      </c>
      <c r="K158" s="89" t="str">
        <f t="shared" si="53"/>
        <v>4041/4042</v>
      </c>
      <c r="L158" s="21" t="str">
        <f>VLOOKUP(A158,'Trips&amp;Operators'!$C$1:$G$99999,5,FALSE)</f>
        <v>LAMAR NEKESHA</v>
      </c>
      <c r="M158" s="6">
        <f t="shared" si="54"/>
        <v>2.6377314810815733E-2</v>
      </c>
      <c r="N158" s="7">
        <f t="shared" si="69"/>
        <v>37.983333327574655</v>
      </c>
      <c r="O158" s="7"/>
      <c r="P158" s="7"/>
      <c r="Q158" s="22"/>
      <c r="R158" s="170"/>
      <c r="S158" s="213">
        <f t="shared" si="52"/>
        <v>1</v>
      </c>
      <c r="T158" s="195" t="str">
        <f t="shared" si="55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6"/>
        <v>https://d0f6bd738d7f1b3e5a7ca70fe4ff75f0.us-east-1.aws.found.io/app/kibana#/discover/Steve-Slow-Train-Analysis-(2080s-and-2083s)?_g=(refreshInterval:(display:Off,pause:!f,section:0,value:0),time:(from:'2017-07-12T00:21:29-0600',mode:absolute,to:'2017-07-12T03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8" s="197" t="str">
        <f>IF(AA158&lt;VLOOKUP(AG158,Variables!$AC$3:$AD$8,2,FALSE),"Y","N")</f>
        <v>N</v>
      </c>
      <c r="X158" s="197">
        <f t="shared" si="57"/>
        <v>1</v>
      </c>
      <c r="Y158" s="197">
        <f t="shared" si="58"/>
        <v>23.2988</v>
      </c>
      <c r="Z158" s="197">
        <f t="shared" si="59"/>
        <v>1.7299999999999999E-2</v>
      </c>
      <c r="AA158" s="197">
        <f t="shared" si="60"/>
        <v>23.281500000000001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1"/>
        <v>244</v>
      </c>
      <c r="AE158" s="77" t="str">
        <f t="shared" si="62"/>
        <v>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 &amp; 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</v>
      </c>
      <c r="AF158" s="74" t="str">
        <f t="shared" si="63"/>
        <v>"C:\Program Files (x86)\AstroGrep\AstroGrep.exe" /e /r /s /spath="%USERPROFILE%\AppData\Local\Temp\OnboardLogs" /stypes="app*4041*20170712*" /stext=" 08:.+((SYSTEM_STATE.+slice.+state.+changed )|(ment ac)|(multiple cpu faults)|(system.+state.+changed )|(\[timeout)|(PRM\|1\|D)|(kpr)|(kdp)|(train st.+moving)|(\|lc)|(penalty))"</v>
      </c>
      <c r="AG158" s="209" t="str">
        <f t="shared" si="64"/>
        <v>EC</v>
      </c>
      <c r="AH158" s="78" t="str">
        <f t="shared" si="65"/>
        <v>"%USERPROFILE%\Documents\GitHub\eaglep3\Utilities\RefineRTDCRunTimes.py" --tripid 244-11 --locoid 4041 --swversion DE.1.0.9.0 --startMP 204:232988 --initTime 2017-07-12T01:21:29 --startdatetime 2017-07-12T01:27:14 --delay 1 --endMP 204:173 --enddatetime 2017-07-12T02:05:13 --enforcementcount 0 &gt;&gt;C:\Users\stu\Documents\GitHub\eaglep3-reporting\EC\2017-07-11-refined-times.txt</v>
      </c>
      <c r="AI158" s="96" t="str">
        <f t="shared" si="66"/>
        <v>echo {"issue":{"subject":"","project_id":79,"tracker_id":40,"status_id":1,"priority_id":2,"assigned_to_id":23,"start_date":"2017-07-12","description":"","custom_fields":[{"id":1,"name":"Subdivision","value":"EC"},{"id":4,"name":"Milepost","value":"0.0173"},{"id":17,"name":"Train ID","value":"244-11"},{"id":16,"name":"Locomotive ID","value":"4041"},{"id":130,"name":"Impact","value":""},{"id":150,"name":"Time of Event (Mountain Time)","value":"02:05:13"},{"id":151,"name":"Denver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67"/>
        <v>start /low /b %USERPROFILE%\Documents\GitHub\eaglep3\Utilities\DownloadLogsFromS3.py --loco 4041 --day 2017-07-12</v>
      </c>
      <c r="AN158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08:05:13"},{"id":29,"name":"Sharepoint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647</v>
      </c>
      <c r="B159" s="7">
        <v>4061</v>
      </c>
      <c r="C159" s="21" t="s">
        <v>199</v>
      </c>
      <c r="D159" s="21" t="s">
        <v>938</v>
      </c>
      <c r="E159" s="13">
        <v>42927.220648148148</v>
      </c>
      <c r="F159" s="13">
        <v>42927.22184027778</v>
      </c>
      <c r="G159" s="7">
        <v>0</v>
      </c>
      <c r="H159" s="21" t="s">
        <v>939</v>
      </c>
      <c r="I159" s="13">
        <v>42927.230497685188</v>
      </c>
      <c r="J159" s="7">
        <v>0</v>
      </c>
      <c r="K159" s="89" t="str">
        <f t="shared" si="53"/>
        <v>4061/4062</v>
      </c>
      <c r="L159" s="21" t="str">
        <f>VLOOKUP(A159,'Trips&amp;Operators'!$C$1:$G$99999,5,FALSE)</f>
        <v>HELVIE ADAM</v>
      </c>
      <c r="M159" s="6">
        <f t="shared" si="54"/>
        <v>8.6574074084637687E-3</v>
      </c>
      <c r="N159" s="7">
        <f t="shared" si="69"/>
        <v>12.466666668187827</v>
      </c>
      <c r="O159" s="7"/>
      <c r="P159" s="7"/>
      <c r="Q159" s="22"/>
      <c r="R159" s="170"/>
      <c r="S159" s="213">
        <f t="shared" si="52"/>
        <v>1</v>
      </c>
      <c r="T159" s="195" t="str">
        <f t="shared" si="55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6"/>
        <v>https://d0f6bd738d7f1b3e5a7ca70fe4ff75f0.us-east-1.aws.found.io/app/kibana#/discover/Steve-Slow-Train-Analysis-(2080s-and-2083s)?_g=(refreshInterval:(display:Off,pause:!f,section:0,value:0),time:(from:'2017-07-11T04:17:44-0600',mode:absolute,to:'2017-07-11T06:31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9" s="197" t="str">
        <f>IF(AA159&lt;VLOOKUP(AG159,Variables!$AC$3:$AD$8,2,FALSE),"Y","N")</f>
        <v>N</v>
      </c>
      <c r="X159" s="197">
        <f t="shared" si="57"/>
        <v>556</v>
      </c>
      <c r="Y159" s="197">
        <f t="shared" si="58"/>
        <v>5.8616999999999999</v>
      </c>
      <c r="Z159" s="197">
        <f t="shared" si="59"/>
        <v>7.6100000000000001E-2</v>
      </c>
      <c r="AA159" s="197">
        <f t="shared" si="60"/>
        <v>5.7855999999999996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1"/>
        <v>800</v>
      </c>
      <c r="AE159" s="77" t="str">
        <f t="shared" si="62"/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AF159" s="74" t="str">
        <f t="shared" si="63"/>
        <v>"C:\Program Files (x86)\AstroGrep\AstroGrep.exe" /e /r /s /spath="%USERPROFILE%\AppData\Local\Temp\OnboardLogs" /stypes="app*4061*20170711*" /stext=" 11:.+((SYSTEM_STATE.+slice.+state.+changed )|(ment ac)|(multiple cpu faults)|(system.+state.+changed )|(\[timeout)|(PRM\|1\|D)|(kpr)|(kdp)|(train st.+moving)|(\|lc)|(penalty))"</v>
      </c>
      <c r="AG159" s="209" t="str">
        <f t="shared" si="64"/>
        <v>NW</v>
      </c>
      <c r="AH159" s="78" t="str">
        <f t="shared" si="65"/>
        <v>"%USERPROFILE%\Documents\GitHub\eaglep3\Utilities\RefineRTDCRunTimes.py" --tripid 800-11 --locoid 4061 --swversion DE.1.0.9.0 --startMP 300:58617 --initTime 2017-07-11T05:17:44 --startdatetime 2017-07-11T05:19:27 --delay 0 --endMP 204:761 --enddatetime 2017-07-11T05:31:55 --enforcementcount 0 &gt;&gt;C:\Users\stu\Documents\GitHub\eaglep3-reporting\EC\2017-07-11-refined-times.txt</v>
      </c>
      <c r="AI159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{"issue":{"subject":"","project_id":79,"tracker_id":40,"status_id":1,"priority_id":2,"assigned_to_id":23,"start_date":"2017-07-11","description":"","custom_fields":[{"id":1,"name":"Subdivision","value":"NW"},{"id":4,"name":"Milepost","value":"0.0761"},{"id":17,"name":"Train ID","value":"800-11"},{"id":16,"name":"Locomotive ID","value":"4061"},{"id":130,"name":"Impact","value":""},{"id":150,"name":"Time of Event (Mountain Time)","value":"05:31:55"},{"id":151,"name":"Denver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7"/>
        <v>start /low /b %USERPROFILE%\Documents\GitHub\eaglep3\Utilities\DownloadLogsFromS3.py --loco 4061 --day 2017-07-11</v>
      </c>
      <c r="AN159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11:31:55"},{"id":29,"name":"Sharepoint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652</v>
      </c>
      <c r="B160" s="7">
        <v>4062</v>
      </c>
      <c r="C160" s="21" t="s">
        <v>199</v>
      </c>
      <c r="D160" s="21" t="s">
        <v>940</v>
      </c>
      <c r="E160" s="13">
        <v>42927.240740740737</v>
      </c>
      <c r="F160" s="13">
        <v>42927.244108796294</v>
      </c>
      <c r="G160" s="7">
        <v>1</v>
      </c>
      <c r="H160" s="21" t="s">
        <v>941</v>
      </c>
      <c r="I160" s="13">
        <v>42927.253333333334</v>
      </c>
      <c r="J160" s="7">
        <v>0</v>
      </c>
      <c r="K160" s="89" t="str">
        <f t="shared" si="53"/>
        <v>4061/4062</v>
      </c>
      <c r="L160" s="21" t="str">
        <f>VLOOKUP(A160,'Trips&amp;Operators'!$C$1:$G$99999,5,FALSE)</f>
        <v>HELVIE ADAM</v>
      </c>
      <c r="M160" s="6">
        <f t="shared" si="54"/>
        <v>9.2245370396994986E-3</v>
      </c>
      <c r="N160" s="7">
        <f t="shared" si="69"/>
        <v>13.283333337167278</v>
      </c>
      <c r="O160" s="7"/>
      <c r="P160" s="7"/>
      <c r="Q160" s="22"/>
      <c r="R160" s="170"/>
      <c r="S160" s="213">
        <f t="shared" si="52"/>
        <v>1</v>
      </c>
      <c r="T160" s="195" t="str">
        <f t="shared" si="55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6"/>
        <v>https://d0f6bd738d7f1b3e5a7ca70fe4ff75f0.us-east-1.aws.found.io/app/kibana#/discover/Steve-Slow-Train-Analysis-(2080s-and-2083s)?_g=(refreshInterval:(display:Off,pause:!f,section:0,value:0),time:(from:'2017-07-11T04:46:40-0600',mode:absolute,to:'2017-07-11T07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0" s="197" t="str">
        <f>IF(AA160&lt;VLOOKUP(AG160,Variables!$AC$3:$AD$8,2,FALSE),"Y","N")</f>
        <v>N</v>
      </c>
      <c r="X160" s="197">
        <f t="shared" si="57"/>
        <v>1</v>
      </c>
      <c r="Y160" s="197">
        <f t="shared" si="58"/>
        <v>0.1048</v>
      </c>
      <c r="Z160" s="197">
        <f t="shared" si="59"/>
        <v>5.8935000000000004</v>
      </c>
      <c r="AA160" s="197">
        <f t="shared" si="60"/>
        <v>5.7887000000000004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1"/>
        <v>801</v>
      </c>
      <c r="AE160" s="77" t="str">
        <f t="shared" si="62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160" s="74" t="str">
        <f t="shared" si="63"/>
        <v>"C:\Program Files (x86)\AstroGrep\AstroGrep.exe" /e /r /s /spath="%USERPROFILE%\AppData\Local\Temp\OnboardLogs" /stypes="app*4062*20170711*" /stext=" 12:.+((SYSTEM_STATE.+slice.+state.+changed )|(ment ac)|(multiple cpu faults)|(system.+state.+changed )|(\[timeout)|(PRM\|1\|D)|(kpr)|(kdp)|(train st.+moving)|(\|lc)|(penalty))"</v>
      </c>
      <c r="AG160" s="209" t="str">
        <f t="shared" si="64"/>
        <v>NW</v>
      </c>
      <c r="AH160" s="78" t="str">
        <f t="shared" si="65"/>
        <v>"%USERPROFILE%\Documents\GitHub\eaglep3\Utilities\RefineRTDCRunTimes.py" --tripid 801-11 --locoid 4062 --swversion DE.1.0.9.0 --startMP 204:1048 --initTime 2017-07-11T05:46:40 --startdatetime 2017-07-11T05:51:31 --delay 1 --endMP 300:58935 --enddatetime 2017-07-11T06:04:48 --enforcementcount 0 &gt;&gt;C:\Users\stu\Documents\GitHub\eaglep3-reporting\EC\2017-07-11-refined-times.txt</v>
      </c>
      <c r="AI160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{"issue":{"subject":"","project_id":79,"tracker_id":40,"status_id":1,"priority_id":2,"assigned_to_id":23,"start_date":"2017-07-11","description":"","custom_fields":[{"id":1,"name":"Subdivision","value":"NW"},{"id":4,"name":"Milepost","value":"5.8935"},{"id":17,"name":"Train ID","value":"801-11"},{"id":16,"name":"Locomotive ID","value":"4062"},{"id":130,"name":"Impact","value":""},{"id":150,"name":"Time of Event (Mountain Time)","value":"06:04:48"},{"id":151,"name":"Denver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7"/>
        <v>start /low /b %USERPROFILE%\Documents\GitHub\eaglep3\Utilities\DownloadLogsFromS3.py --loco 4062 --day 2017-07-11</v>
      </c>
      <c r="AN160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655</v>
      </c>
      <c r="B161" s="7">
        <v>4061</v>
      </c>
      <c r="C161" s="21" t="s">
        <v>199</v>
      </c>
      <c r="D161" s="21" t="s">
        <v>938</v>
      </c>
      <c r="E161" s="13">
        <v>42927.254513888889</v>
      </c>
      <c r="F161" s="13">
        <v>42927.258101851854</v>
      </c>
      <c r="G161" s="7">
        <v>1</v>
      </c>
      <c r="H161" s="21" t="s">
        <v>942</v>
      </c>
      <c r="I161" s="13">
        <v>42927.267164351855</v>
      </c>
      <c r="J161" s="7">
        <v>0</v>
      </c>
      <c r="K161" s="89" t="str">
        <f t="shared" si="53"/>
        <v>4061/4062</v>
      </c>
      <c r="L161" s="21" t="str">
        <f>VLOOKUP(A161,'Trips&amp;Operators'!$C$1:$G$99999,5,FALSE)</f>
        <v>HELVIE ADAM</v>
      </c>
      <c r="M161" s="6">
        <f t="shared" si="54"/>
        <v>9.0625000011641532E-3</v>
      </c>
      <c r="N161" s="7">
        <f t="shared" si="69"/>
        <v>13.050000001676381</v>
      </c>
      <c r="O161" s="7"/>
      <c r="P161" s="7"/>
      <c r="Q161" s="22"/>
      <c r="R161" s="170"/>
      <c r="S161" s="213">
        <f t="shared" si="52"/>
        <v>1</v>
      </c>
      <c r="T161" s="195" t="str">
        <f t="shared" si="55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6"/>
        <v>https://d0f6bd738d7f1b3e5a7ca70fe4ff75f0.us-east-1.aws.found.io/app/kibana#/discover/Steve-Slow-Train-Analysis-(2080s-and-2083s)?_g=(refreshInterval:(display:Off,pause:!f,section:0,value:0),time:(from:'2017-07-11T05:06:30-0600',mode:absolute,to:'2017-07-11T07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1" s="197" t="str">
        <f>IF(AA161&lt;VLOOKUP(AG161,Variables!$AC$3:$AD$8,2,FALSE),"Y","N")</f>
        <v>N</v>
      </c>
      <c r="X161" s="197">
        <f t="shared" si="57"/>
        <v>1</v>
      </c>
      <c r="Y161" s="197">
        <f t="shared" si="58"/>
        <v>5.8616999999999999</v>
      </c>
      <c r="Z161" s="197">
        <f t="shared" si="59"/>
        <v>1.1299999999999999E-2</v>
      </c>
      <c r="AA161" s="197">
        <f t="shared" si="60"/>
        <v>5.8503999999999996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1"/>
        <v>802</v>
      </c>
      <c r="AE161" s="77" t="str">
        <f t="shared" si="62"/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AF161" s="74" t="str">
        <f t="shared" si="63"/>
        <v>"C:\Program Files (x86)\AstroGrep\AstroGrep.exe" /e /r /s /spath="%USERPROFILE%\AppData\Local\Temp\OnboardLogs" /stypes="app*4061*20170711*" /stext=" 12:.+((SYSTEM_STATE.+slice.+state.+changed )|(ment ac)|(multiple cpu faults)|(system.+state.+changed )|(\[timeout)|(PRM\|1\|D)|(kpr)|(kdp)|(train st.+moving)|(\|lc)|(penalty))"</v>
      </c>
      <c r="AG161" s="209" t="str">
        <f t="shared" si="64"/>
        <v>NW</v>
      </c>
      <c r="AH161" s="78" t="str">
        <f t="shared" si="65"/>
        <v>"%USERPROFILE%\Documents\GitHub\eaglep3\Utilities\RefineRTDCRunTimes.py" --tripid 802-11 --locoid 4061 --swversion DE.1.0.9.0 --startMP 300:58617 --initTime 2017-07-11T06:06:30 --startdatetime 2017-07-11T06:11:40 --delay 1 --endMP 204:113 --enddatetime 2017-07-11T06:24:43 --enforcementcount 0 &gt;&gt;C:\Users\stu\Documents\GitHub\eaglep3-reporting\EC\2017-07-11-refined-times.txt</v>
      </c>
      <c r="AI161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{"issue":{"subject":"","project_id":79,"tracker_id":40,"status_id":1,"priority_id":2,"assigned_to_id":23,"start_date":"2017-07-11","description":"","custom_fields":[{"id":1,"name":"Subdivision","value":"NW"},{"id":4,"name":"Milepost","value":"0.0113"},{"id":17,"name":"Train ID","value":"802-11"},{"id":16,"name":"Locomotive ID","value":"4061"},{"id":130,"name":"Impact","value":""},{"id":150,"name":"Time of Event (Mountain Time)","value":"06:24:43"},{"id":151,"name":"Denver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7"/>
        <v>start /low /b %USERPROFILE%\Documents\GitHub\eaglep3\Utilities\DownloadLogsFromS3.py --loco 4061 --day 2017-07-11</v>
      </c>
      <c r="AN161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659</v>
      </c>
      <c r="B162" s="7">
        <v>4024</v>
      </c>
      <c r="C162" s="21" t="s">
        <v>199</v>
      </c>
      <c r="D162" s="21" t="s">
        <v>943</v>
      </c>
      <c r="E162" s="13">
        <v>42927.265289351853</v>
      </c>
      <c r="F162" s="13">
        <v>42927.267476851855</v>
      </c>
      <c r="G162" s="7">
        <v>1</v>
      </c>
      <c r="H162" s="21" t="s">
        <v>944</v>
      </c>
      <c r="I162" s="13">
        <v>42927.276469907411</v>
      </c>
      <c r="J162" s="7">
        <v>0</v>
      </c>
      <c r="K162" s="89" t="str">
        <f t="shared" si="53"/>
        <v>4023/4024</v>
      </c>
      <c r="L162" s="21" t="str">
        <f>VLOOKUP(A162,'Trips&amp;Operators'!$C$1:$G$99999,5,FALSE)</f>
        <v>YANG JAN</v>
      </c>
      <c r="M162" s="6">
        <f t="shared" si="54"/>
        <v>8.9930555550381541E-3</v>
      </c>
      <c r="N162" s="7">
        <f t="shared" si="69"/>
        <v>12.949999999254942</v>
      </c>
      <c r="O162" s="7"/>
      <c r="P162" s="7"/>
      <c r="Q162" s="22"/>
      <c r="R162" s="170"/>
      <c r="S162" s="213">
        <f t="shared" si="52"/>
        <v>1</v>
      </c>
      <c r="T162" s="195" t="str">
        <f t="shared" si="55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6"/>
        <v>https://d0f6bd738d7f1b3e5a7ca70fe4ff75f0.us-east-1.aws.found.io/app/kibana#/discover/Steve-Slow-Train-Analysis-(2080s-and-2083s)?_g=(refreshInterval:(display:Off,pause:!f,section:0,value:0),time:(from:'2017-07-11T05:22:01-0600',mode:absolute,to:'2017-07-11T07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2" s="197" t="str">
        <f>IF(AA162&lt;VLOOKUP(AG162,Variables!$AC$3:$AD$8,2,FALSE),"Y","N")</f>
        <v>N</v>
      </c>
      <c r="X162" s="197">
        <f t="shared" si="57"/>
        <v>1</v>
      </c>
      <c r="Y162" s="197">
        <f t="shared" si="58"/>
        <v>0.1032</v>
      </c>
      <c r="Z162" s="197">
        <f t="shared" si="59"/>
        <v>5.8933</v>
      </c>
      <c r="AA162" s="197">
        <f t="shared" si="60"/>
        <v>5.7900999999999998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1"/>
        <v>803</v>
      </c>
      <c r="AE162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62" s="74" t="str">
        <f t="shared" si="63"/>
        <v>"C:\Program Files (x86)\AstroGrep\AstroGrep.exe" /e /r /s /spath="%USERPROFILE%\AppData\Local\Temp\OnboardLogs" /stypes="app*4024*20170711*" /stext=" 12:.+((SYSTEM_STATE.+slice.+state.+changed )|(ment ac)|(multiple cpu faults)|(system.+state.+changed )|(\[timeout)|(PRM\|1\|D)|(kpr)|(kdp)|(train st.+moving)|(\|lc)|(penalty))"</v>
      </c>
      <c r="AG162" s="209" t="str">
        <f t="shared" si="64"/>
        <v>NW</v>
      </c>
      <c r="AH162" s="78" t="str">
        <f t="shared" si="65"/>
        <v>"%USERPROFILE%\Documents\GitHub\eaglep3\Utilities\RefineRTDCRunTimes.py" --tripid 803-11 --locoid 4024 --swversion DE.1.0.9.0 --startMP 204:1032 --initTime 2017-07-11T06:22:01 --startdatetime 2017-07-11T06:25:10 --delay 1 --endMP 300:58933 --enddatetime 2017-07-11T06:38:07 --enforcementcount 0 &gt;&gt;C:\Users\stu\Documents\GitHub\eaglep3-reporting\EC\2017-07-11-refined-times.txt</v>
      </c>
      <c r="AI162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{"issue":{"subject":"","project_id":79,"tracker_id":40,"status_id":1,"priority_id":2,"assigned_to_id":23,"start_date":"2017-07-11","description":"","custom_fields":[{"id":1,"name":"Subdivision","value":"NW"},{"id":4,"name":"Milepost","value":"5.8933"},{"id":17,"name":"Train ID","value":"803-11"},{"id":16,"name":"Locomotive ID","value":"4024"},{"id":130,"name":"Impact","value":""},{"id":150,"name":"Time of Event (Mountain Time)","value":"06:38:07"},{"id":151,"name":"Denver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7"/>
        <v>start /low /b %USERPROFILE%\Documents\GitHub\eaglep3\Utilities\DownloadLogsFromS3.py --loco 4024 --day 2017-07-11</v>
      </c>
      <c r="AN162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662</v>
      </c>
      <c r="B163" s="7">
        <v>4023</v>
      </c>
      <c r="C163" s="21" t="s">
        <v>199</v>
      </c>
      <c r="D163" s="21" t="s">
        <v>553</v>
      </c>
      <c r="E163" s="13">
        <v>42927.277650462966</v>
      </c>
      <c r="F163" s="13">
        <v>42927.279108796298</v>
      </c>
      <c r="G163" s="7">
        <v>1</v>
      </c>
      <c r="H163" s="21" t="s">
        <v>945</v>
      </c>
      <c r="I163" s="13">
        <v>42927.288726851853</v>
      </c>
      <c r="J163" s="7">
        <v>0</v>
      </c>
      <c r="K163" s="89" t="str">
        <f t="shared" si="53"/>
        <v>4023/4024</v>
      </c>
      <c r="L163" s="21" t="str">
        <f>VLOOKUP(A163,'Trips&amp;Operators'!$C$1:$G$99999,5,FALSE)</f>
        <v>YANG JAN</v>
      </c>
      <c r="M163" s="6">
        <f t="shared" si="54"/>
        <v>9.6180555556202307E-3</v>
      </c>
      <c r="N163" s="7">
        <f t="shared" si="69"/>
        <v>13.850000000093132</v>
      </c>
      <c r="O163" s="7"/>
      <c r="P163" s="7"/>
      <c r="Q163" s="22"/>
      <c r="R163" s="170"/>
      <c r="S163" s="213">
        <f t="shared" si="52"/>
        <v>1</v>
      </c>
      <c r="T163" s="195" t="str">
        <f t="shared" si="55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6"/>
        <v>https://d0f6bd738d7f1b3e5a7ca70fe4ff75f0.us-east-1.aws.found.io/app/kibana#/discover/Steve-Slow-Train-Analysis-(2080s-and-2083s)?_g=(refreshInterval:(display:Off,pause:!f,section:0,value:0),time:(from:'2017-07-11T05:39:49-0600',mode:absolute,to:'2017-07-11T07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3" s="197" t="str">
        <f>IF(AA163&lt;VLOOKUP(AG163,Variables!$AC$3:$AD$8,2,FALSE),"Y","N")</f>
        <v>N</v>
      </c>
      <c r="X163" s="197">
        <f t="shared" si="57"/>
        <v>1</v>
      </c>
      <c r="Y163" s="197">
        <f t="shared" si="58"/>
        <v>5.8624000000000001</v>
      </c>
      <c r="Z163" s="197">
        <f t="shared" si="59"/>
        <v>6.9900000000000004E-2</v>
      </c>
      <c r="AA163" s="197">
        <f t="shared" si="60"/>
        <v>5.7925000000000004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1"/>
        <v>804</v>
      </c>
      <c r="AE163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63" s="74" t="str">
        <f t="shared" si="63"/>
        <v>"C:\Program Files (x86)\AstroGrep\AstroGrep.exe" /e /r /s /spath="%USERPROFILE%\AppData\Local\Temp\OnboardLogs" /stypes="app*4023*20170711*" /stext=" 12:.+((SYSTEM_STATE.+slice.+state.+changed )|(ment ac)|(multiple cpu faults)|(system.+state.+changed )|(\[timeout)|(PRM\|1\|D)|(kpr)|(kdp)|(train st.+moving)|(\|lc)|(penalty))"</v>
      </c>
      <c r="AG163" s="209" t="str">
        <f t="shared" si="64"/>
        <v>NW</v>
      </c>
      <c r="AH163" s="78" t="str">
        <f t="shared" si="65"/>
        <v>"%USERPROFILE%\Documents\GitHub\eaglep3\Utilities\RefineRTDCRunTimes.py" --tripid 804-11 --locoid 4023 --swversion DE.1.0.9.0 --startMP 300:58624 --initTime 2017-07-11T06:39:49 --startdatetime 2017-07-11T06:41:55 --delay 1 --endMP 204:699 --enddatetime 2017-07-11T06:55:46 --enforcementcount 0 &gt;&gt;C:\Users\stu\Documents\GitHub\eaglep3-reporting\EC\2017-07-11-refined-times.txt</v>
      </c>
      <c r="AI163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{"issue":{"subject":"","project_id":79,"tracker_id":40,"status_id":1,"priority_id":2,"assigned_to_id":23,"start_date":"2017-07-11","description":"","custom_fields":[{"id":1,"name":"Subdivision","value":"NW"},{"id":4,"name":"Milepost","value":"0.0699"},{"id":17,"name":"Train ID","value":"804-11"},{"id":16,"name":"Locomotive ID","value":"4023"},{"id":130,"name":"Impact","value":""},{"id":150,"name":"Time of Event (Mountain Time)","value":"06:55:46"},{"id":151,"name":"Denver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7"/>
        <v>start /low /b %USERPROFILE%\Documents\GitHub\eaglep3\Utilities\DownloadLogsFromS3.py --loco 4023 --day 2017-07-11</v>
      </c>
      <c r="AN163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666</v>
      </c>
      <c r="B164" s="7">
        <v>4062</v>
      </c>
      <c r="C164" s="21" t="s">
        <v>199</v>
      </c>
      <c r="D164" s="21" t="s">
        <v>946</v>
      </c>
      <c r="E164" s="13">
        <v>42927.28193287037</v>
      </c>
      <c r="F164" s="13">
        <v>42927.285925925928</v>
      </c>
      <c r="G164" s="7">
        <v>1</v>
      </c>
      <c r="H164" s="21" t="s">
        <v>554</v>
      </c>
      <c r="I164" s="13">
        <v>42927.295312499999</v>
      </c>
      <c r="J164" s="7">
        <v>0</v>
      </c>
      <c r="K164" s="89" t="str">
        <f t="shared" si="53"/>
        <v>4061/4062</v>
      </c>
      <c r="L164" s="21" t="str">
        <f>VLOOKUP(A164,'Trips&amp;Operators'!$C$1:$G$99999,5,FALSE)</f>
        <v>HELVIE ADAM</v>
      </c>
      <c r="M164" s="6">
        <f t="shared" si="54"/>
        <v>9.3865740709588863E-3</v>
      </c>
      <c r="N164" s="7">
        <f t="shared" si="69"/>
        <v>13.516666662180796</v>
      </c>
      <c r="O164" s="7"/>
      <c r="P164" s="7"/>
      <c r="Q164" s="22"/>
      <c r="R164" s="170"/>
      <c r="S164" s="213">
        <f t="shared" ref="S164:S194" si="70">SUM(U164:U164)/IF(AG164="EC",12,1)</f>
        <v>1</v>
      </c>
      <c r="T164" s="195" t="str">
        <f t="shared" si="55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6"/>
        <v>https://d0f6bd738d7f1b3e5a7ca70fe4ff75f0.us-east-1.aws.found.io/app/kibana#/discover/Steve-Slow-Train-Analysis-(2080s-and-2083s)?_g=(refreshInterval:(display:Off,pause:!f,section:0,value:0),time:(from:'2017-07-11T05:45:59-0600',mode:absolute,to:'2017-07-11T08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4" s="197" t="str">
        <f>IF(AA164&lt;VLOOKUP(AG164,Variables!$AC$3:$AD$8,2,FALSE),"Y","N")</f>
        <v>N</v>
      </c>
      <c r="X164" s="197">
        <f t="shared" si="57"/>
        <v>1</v>
      </c>
      <c r="Y164" s="197">
        <f t="shared" si="58"/>
        <v>4.0599999999999997E-2</v>
      </c>
      <c r="Z164" s="197">
        <f t="shared" si="59"/>
        <v>5.8940999999999999</v>
      </c>
      <c r="AA164" s="197">
        <f t="shared" si="60"/>
        <v>5.8534999999999995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1"/>
        <v>805</v>
      </c>
      <c r="AE164" s="77" t="str">
        <f t="shared" si="62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164" s="74" t="str">
        <f t="shared" si="63"/>
        <v>"C:\Program Files (x86)\AstroGrep\AstroGrep.exe" /e /r /s /spath="%USERPROFILE%\AppData\Local\Temp\OnboardLogs" /stypes="app*4062*20170711*" /stext=" 13:.+((SYSTEM_STATE.+slice.+state.+changed )|(ment ac)|(multiple cpu faults)|(system.+state.+changed )|(\[timeout)|(PRM\|1\|D)|(kpr)|(kdp)|(train st.+moving)|(\|lc)|(penalty))"</v>
      </c>
      <c r="AG164" s="209" t="str">
        <f t="shared" si="64"/>
        <v>NW</v>
      </c>
      <c r="AH164" s="78" t="str">
        <f t="shared" si="65"/>
        <v>"%USERPROFILE%\Documents\GitHub\eaglep3\Utilities\RefineRTDCRunTimes.py" --tripid 805-11 --locoid 4062 --swversion DE.1.0.9.0 --startMP 204:406 --initTime 2017-07-11T06:45:59 --startdatetime 2017-07-11T06:51:44 --delay 1 --endMP 300:58941 --enddatetime 2017-07-11T07:05:15 --enforcementcount 0 &gt;&gt;C:\Users\stu\Documents\GitHub\eaglep3-reporting\EC\2017-07-11-refined-times.txt</v>
      </c>
      <c r="AI164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{"issue":{"subject":"","project_id":79,"tracker_id":40,"status_id":1,"priority_id":2,"assigned_to_id":23,"start_date":"2017-07-11","description":"","custom_fields":[{"id":1,"name":"Subdivision","value":"NW"},{"id":4,"name":"Milepost","value":"5.8941"},{"id":17,"name":"Train ID","value":"805-11"},{"id":16,"name":"Locomotive ID","value":"4062"},{"id":130,"name":"Impact","value":""},{"id":150,"name":"Time of Event (Mountain Time)","value":"07:05:15"},{"id":151,"name":"Denver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7"/>
        <v>start /low /b %USERPROFILE%\Documents\GitHub\eaglep3\Utilities\DownloadLogsFromS3.py --loco 4062 --day 2017-07-11</v>
      </c>
      <c r="AN164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572</v>
      </c>
      <c r="B165" s="7">
        <v>4061</v>
      </c>
      <c r="C165" s="21" t="s">
        <v>199</v>
      </c>
      <c r="D165" s="21" t="s">
        <v>947</v>
      </c>
      <c r="E165" s="13">
        <v>42927.296226851853</v>
      </c>
      <c r="F165" s="13">
        <v>42927.299930555557</v>
      </c>
      <c r="G165" s="7">
        <v>1</v>
      </c>
      <c r="H165" s="21" t="s">
        <v>948</v>
      </c>
      <c r="I165" s="13">
        <v>42927.309432870374</v>
      </c>
      <c r="J165" s="7">
        <v>0</v>
      </c>
      <c r="K165" s="89" t="str">
        <f t="shared" si="53"/>
        <v>4061/4062</v>
      </c>
      <c r="L165" s="21" t="str">
        <f>VLOOKUP(A165,'Trips&amp;Operators'!$C$1:$G$99999,5,FALSE)</f>
        <v>HELVIE ADAM</v>
      </c>
      <c r="M165" s="6">
        <f t="shared" si="54"/>
        <v>9.5023148169275373E-3</v>
      </c>
      <c r="N165" s="7">
        <f t="shared" si="69"/>
        <v>13.683333336375654</v>
      </c>
      <c r="O165" s="7"/>
      <c r="P165" s="7"/>
      <c r="Q165" s="22"/>
      <c r="R165" s="170"/>
      <c r="S165" s="213">
        <f t="shared" si="70"/>
        <v>1</v>
      </c>
      <c r="T165" s="195" t="str">
        <f t="shared" si="55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6"/>
        <v>https://d0f6bd738d7f1b3e5a7ca70fe4ff75f0.us-east-1.aws.found.io/app/kibana#/discover/Steve-Slow-Train-Analysis-(2080s-and-2083s)?_g=(refreshInterval:(display:Off,pause:!f,section:0,value:0),time:(from:'2017-07-11T06:06:34-0600',mode:absolute,to:'2017-07-11T08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5" s="197" t="str">
        <f>IF(AA165&lt;VLOOKUP(AG165,Variables!$AC$3:$AD$8,2,FALSE),"Y","N")</f>
        <v>N</v>
      </c>
      <c r="X165" s="197">
        <f t="shared" si="57"/>
        <v>1</v>
      </c>
      <c r="Y165" s="197">
        <f t="shared" si="58"/>
        <v>5.8615000000000004</v>
      </c>
      <c r="Z165" s="197">
        <f t="shared" si="59"/>
        <v>8.4599999999999995E-2</v>
      </c>
      <c r="AA165" s="197">
        <f t="shared" si="60"/>
        <v>5.7769000000000004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1"/>
        <v>806</v>
      </c>
      <c r="AE165" s="77" t="str">
        <f t="shared" si="62"/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AF165" s="74" t="str">
        <f t="shared" si="63"/>
        <v>"C:\Program Files (x86)\AstroGrep\AstroGrep.exe" /e /r /s /spath="%USERPROFILE%\AppData\Local\Temp\OnboardLogs" /stypes="app*4061*20170711*" /stext=" 13:.+((SYSTEM_STATE.+slice.+state.+changed )|(ment ac)|(multiple cpu faults)|(system.+state.+changed )|(\[timeout)|(PRM\|1\|D)|(kpr)|(kdp)|(train st.+moving)|(\|lc)|(penalty))"</v>
      </c>
      <c r="AG165" s="209" t="str">
        <f t="shared" si="64"/>
        <v>NW</v>
      </c>
      <c r="AH165" s="78" t="str">
        <f t="shared" si="65"/>
        <v>"%USERPROFILE%\Documents\GitHub\eaglep3\Utilities\RefineRTDCRunTimes.py" --tripid 806-11 --locoid 4061 --swversion DE.1.0.9.0 --startMP 300:58615 --initTime 2017-07-11T07:06:34 --startdatetime 2017-07-11T07:11:54 --delay 1 --endMP 204:846 --enddatetime 2017-07-11T07:25:35 --enforcementcount 0 &gt;&gt;C:\Users\stu\Documents\GitHub\eaglep3-reporting\EC\2017-07-11-refined-times.txt</v>
      </c>
      <c r="AI165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{"issue":{"subject":"","project_id":79,"tracker_id":40,"status_id":1,"priority_id":2,"assigned_to_id":23,"start_date":"2017-07-11","description":"","custom_fields":[{"id":1,"name":"Subdivision","value":"NW"},{"id":4,"name":"Milepost","value":"0.0846"},{"id":17,"name":"Train ID","value":"806-11"},{"id":16,"name":"Locomotive ID","value":"4061"},{"id":130,"name":"Impact","value":""},{"id":150,"name":"Time of Event (Mountain Time)","value":"07:25:35"},{"id":151,"name":"Denver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7"/>
        <v>start /low /b %USERPROFILE%\Documents\GitHub\eaglep3\Utilities\DownloadLogsFromS3.py --loco 4061 --day 2017-07-11</v>
      </c>
      <c r="AN165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671</v>
      </c>
      <c r="B166" s="7">
        <v>4024</v>
      </c>
      <c r="C166" s="21" t="s">
        <v>199</v>
      </c>
      <c r="D166" s="21" t="s">
        <v>949</v>
      </c>
      <c r="E166" s="13">
        <v>42927.300798611112</v>
      </c>
      <c r="F166" s="13">
        <v>42927.306493055556</v>
      </c>
      <c r="G166" s="7">
        <v>1</v>
      </c>
      <c r="H166" s="21" t="s">
        <v>944</v>
      </c>
      <c r="I166" s="13">
        <v>42927.315671296295</v>
      </c>
      <c r="J166" s="7">
        <v>0</v>
      </c>
      <c r="K166" s="89" t="str">
        <f t="shared" si="53"/>
        <v>4023/4024</v>
      </c>
      <c r="L166" s="21" t="str">
        <f>VLOOKUP(A166,'Trips&amp;Operators'!$C$1:$G$99999,5,FALSE)</f>
        <v>YANG JAN</v>
      </c>
      <c r="M166" s="6">
        <f t="shared" si="54"/>
        <v>9.1782407398568466E-3</v>
      </c>
      <c r="N166" s="7">
        <f t="shared" si="69"/>
        <v>13.216666665393859</v>
      </c>
      <c r="O166" s="7"/>
      <c r="P166" s="7"/>
      <c r="Q166" s="22"/>
      <c r="R166" s="170"/>
      <c r="S166" s="213">
        <f t="shared" si="70"/>
        <v>1</v>
      </c>
      <c r="T166" s="195" t="str">
        <f t="shared" si="55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6"/>
        <v>https://d0f6bd738d7f1b3e5a7ca70fe4ff75f0.us-east-1.aws.found.io/app/kibana#/discover/Steve-Slow-Train-Analysis-(2080s-and-2083s)?_g=(refreshInterval:(display:Off,pause:!f,section:0,value:0),time:(from:'2017-07-11T06:13:09-0600',mode:absolute,to:'2017-07-11T08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6" s="197" t="str">
        <f>IF(AA166&lt;VLOOKUP(AG166,Variables!$AC$3:$AD$8,2,FALSE),"Y","N")</f>
        <v>N</v>
      </c>
      <c r="X166" s="197">
        <f t="shared" si="57"/>
        <v>1</v>
      </c>
      <c r="Y166" s="197">
        <f t="shared" si="58"/>
        <v>9.8100000000000007E-2</v>
      </c>
      <c r="Z166" s="197">
        <f t="shared" si="59"/>
        <v>5.8933</v>
      </c>
      <c r="AA166" s="197">
        <f t="shared" si="60"/>
        <v>5.7952000000000004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1"/>
        <v>807</v>
      </c>
      <c r="AE166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66" s="74" t="str">
        <f t="shared" si="63"/>
        <v>"C:\Program Files (x86)\AstroGrep\AstroGrep.exe" /e /r /s /spath="%USERPROFILE%\AppData\Local\Temp\OnboardLogs" /stypes="app*4024*20170711*" /stext=" 13:.+((SYSTEM_STATE.+slice.+state.+changed )|(ment ac)|(multiple cpu faults)|(system.+state.+changed )|(\[timeout)|(PRM\|1\|D)|(kpr)|(kdp)|(train st.+moving)|(\|lc)|(penalty))"</v>
      </c>
      <c r="AG166" s="209" t="str">
        <f t="shared" si="64"/>
        <v>NW</v>
      </c>
      <c r="AH166" s="78" t="str">
        <f t="shared" si="65"/>
        <v>"%USERPROFILE%\Documents\GitHub\eaglep3\Utilities\RefineRTDCRunTimes.py" --tripid 807-11 --locoid 4024 --swversion DE.1.0.9.0 --startMP 204:981 --initTime 2017-07-11T07:13:09 --startdatetime 2017-07-11T07:21:21 --delay 1 --endMP 300:58933 --enddatetime 2017-07-11T07:34:34 --enforcementcount 0 &gt;&gt;C:\Users\stu\Documents\GitHub\eaglep3-reporting\EC\2017-07-11-refined-times.txt</v>
      </c>
      <c r="AI166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{"issue":{"subject":"","project_id":79,"tracker_id":40,"status_id":1,"priority_id":2,"assigned_to_id":23,"start_date":"2017-07-11","description":"","custom_fields":[{"id":1,"name":"Subdivision","value":"NW"},{"id":4,"name":"Milepost","value":"5.8933"},{"id":17,"name":"Train ID","value":"807-11"},{"id":16,"name":"Locomotive ID","value":"4024"},{"id":130,"name":"Impact","value":""},{"id":150,"name":"Time of Event (Mountain Time)","value":"07:34:34"},{"id":151,"name":"Denver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7"/>
        <v>start /low /b %USERPROFILE%\Documents\GitHub\eaglep3\Utilities\DownloadLogsFromS3.py --loco 4024 --day 2017-07-11</v>
      </c>
      <c r="AN166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575</v>
      </c>
      <c r="B167" s="7">
        <v>4023</v>
      </c>
      <c r="C167" s="21" t="s">
        <v>199</v>
      </c>
      <c r="D167" s="21" t="s">
        <v>950</v>
      </c>
      <c r="E167" s="13">
        <v>42927.317662037036</v>
      </c>
      <c r="F167" s="13">
        <v>42927.320034722223</v>
      </c>
      <c r="G167" s="7">
        <v>1</v>
      </c>
      <c r="H167" s="21" t="s">
        <v>951</v>
      </c>
      <c r="I167" s="13">
        <v>42927.329618055555</v>
      </c>
      <c r="J167" s="7">
        <v>0</v>
      </c>
      <c r="K167" s="89" t="str">
        <f t="shared" si="53"/>
        <v>4023/4024</v>
      </c>
      <c r="L167" s="21" t="str">
        <f>VLOOKUP(A167,'Trips&amp;Operators'!$C$1:$G$99999,5,FALSE)</f>
        <v>YANG JAN</v>
      </c>
      <c r="M167" s="6">
        <f t="shared" si="54"/>
        <v>9.5833333325572312E-3</v>
      </c>
      <c r="N167" s="7">
        <f t="shared" si="69"/>
        <v>13.799999998882413</v>
      </c>
      <c r="O167" s="7"/>
      <c r="P167" s="7"/>
      <c r="Q167" s="22"/>
      <c r="R167" s="170"/>
      <c r="S167" s="213">
        <f t="shared" si="70"/>
        <v>1</v>
      </c>
      <c r="T167" s="195" t="str">
        <f t="shared" si="55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6"/>
        <v>https://d0f6bd738d7f1b3e5a7ca70fe4ff75f0.us-east-1.aws.found.io/app/kibana#/discover/Steve-Slow-Train-Analysis-(2080s-and-2083s)?_g=(refreshInterval:(display:Off,pause:!f,section:0,value:0),time:(from:'2017-07-11T06:37:26-0600',mode:absolute,to:'2017-07-11T08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7" s="197" t="str">
        <f>IF(AA167&lt;VLOOKUP(AG167,Variables!$AC$3:$AD$8,2,FALSE),"Y","N")</f>
        <v>N</v>
      </c>
      <c r="X167" s="197">
        <f t="shared" si="57"/>
        <v>1</v>
      </c>
      <c r="Y167" s="197">
        <f t="shared" si="58"/>
        <v>5.8611000000000004</v>
      </c>
      <c r="Z167" s="197">
        <f t="shared" si="59"/>
        <v>6.9199999999999998E-2</v>
      </c>
      <c r="AA167" s="197">
        <f t="shared" si="60"/>
        <v>5.7919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1"/>
        <v>808</v>
      </c>
      <c r="AE167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67" s="74" t="str">
        <f t="shared" si="63"/>
        <v>"C:\Program Files (x86)\AstroGrep\AstroGrep.exe" /e /r /s /spath="%USERPROFILE%\AppData\Local\Temp\OnboardLogs" /stypes="app*4023*20170711*" /stext=" 13:.+((SYSTEM_STATE.+slice.+state.+changed )|(ment ac)|(multiple cpu faults)|(system.+state.+changed )|(\[timeout)|(PRM\|1\|D)|(kpr)|(kdp)|(train st.+moving)|(\|lc)|(penalty))"</v>
      </c>
      <c r="AG167" s="209" t="str">
        <f t="shared" si="64"/>
        <v>NW</v>
      </c>
      <c r="AH167" s="78" t="str">
        <f t="shared" si="65"/>
        <v>"%USERPROFILE%\Documents\GitHub\eaglep3\Utilities\RefineRTDCRunTimes.py" --tripid 808-11 --locoid 4023 --swversion DE.1.0.9.0 --startMP 300:58611 --initTime 2017-07-11T07:37:26 --startdatetime 2017-07-11T07:40:51 --delay 1 --endMP 204:692 --enddatetime 2017-07-11T07:54:39 --enforcementcount 0 &gt;&gt;C:\Users\stu\Documents\GitHub\eaglep3-reporting\EC\2017-07-11-refined-times.txt</v>
      </c>
      <c r="AI167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{"issue":{"subject":"","project_id":79,"tracker_id":40,"status_id":1,"priority_id":2,"assigned_to_id":23,"start_date":"2017-07-11","description":"","custom_fields":[{"id":1,"name":"Subdivision","value":"NW"},{"id":4,"name":"Milepost","value":"0.0692"},{"id":17,"name":"Train ID","value":"808-11"},{"id":16,"name":"Locomotive ID","value":"4023"},{"id":130,"name":"Impact","value":""},{"id":150,"name":"Time of Event (Mountain Time)","value":"07:54:39"},{"id":151,"name":"Denver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7"/>
        <v>start /low /b %USERPROFILE%\Documents\GitHub\eaglep3\Utilities\DownloadLogsFromS3.py --loco 4023 --day 2017-07-11</v>
      </c>
      <c r="AN167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13:54:39"},{"id":29,"name":"Sharepoint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675</v>
      </c>
      <c r="B168" s="7">
        <v>4062</v>
      </c>
      <c r="C168" s="21" t="s">
        <v>199</v>
      </c>
      <c r="D168" s="21" t="s">
        <v>952</v>
      </c>
      <c r="E168" s="13">
        <v>42927.323298611111</v>
      </c>
      <c r="F168" s="13">
        <v>42927.327291666668</v>
      </c>
      <c r="G168" s="7">
        <v>1</v>
      </c>
      <c r="H168" s="21" t="s">
        <v>554</v>
      </c>
      <c r="I168" s="13">
        <v>42927.33630787037</v>
      </c>
      <c r="J168" s="7">
        <v>0</v>
      </c>
      <c r="K168" s="89" t="str">
        <f t="shared" si="53"/>
        <v>4061/4062</v>
      </c>
      <c r="L168" s="21" t="str">
        <f>VLOOKUP(A168,'Trips&amp;Operators'!$C$1:$G$99999,5,FALSE)</f>
        <v>HELVIE ADAM</v>
      </c>
      <c r="M168" s="6">
        <f t="shared" si="54"/>
        <v>9.0162037013215013E-3</v>
      </c>
      <c r="N168" s="7">
        <f t="shared" si="69"/>
        <v>12.983333329902962</v>
      </c>
      <c r="O168" s="7"/>
      <c r="P168" s="7"/>
      <c r="Q168" s="22"/>
      <c r="R168" s="170"/>
      <c r="S168" s="213">
        <f t="shared" si="70"/>
        <v>1</v>
      </c>
      <c r="T168" s="195" t="str">
        <f t="shared" si="55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6"/>
        <v>https://d0f6bd738d7f1b3e5a7ca70fe4ff75f0.us-east-1.aws.found.io/app/kibana#/discover/Steve-Slow-Train-Analysis-(2080s-and-2083s)?_g=(refreshInterval:(display:Off,pause:!f,section:0,value:0),time:(from:'2017-07-11T06:45:33-0600',mode:absolute,to:'2017-07-11T09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8" s="197" t="str">
        <f>IF(AA168&lt;VLOOKUP(AG168,Variables!$AC$3:$AD$8,2,FALSE),"Y","N")</f>
        <v>N</v>
      </c>
      <c r="X168" s="197">
        <f t="shared" si="57"/>
        <v>1</v>
      </c>
      <c r="Y168" s="197">
        <f t="shared" si="58"/>
        <v>0.1118</v>
      </c>
      <c r="Z168" s="197">
        <f t="shared" si="59"/>
        <v>5.8940999999999999</v>
      </c>
      <c r="AA168" s="197">
        <f t="shared" si="60"/>
        <v>5.7823000000000002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1"/>
        <v>809</v>
      </c>
      <c r="AE168" s="77" t="str">
        <f t="shared" si="62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168" s="74" t="str">
        <f t="shared" si="63"/>
        <v>"C:\Program Files (x86)\AstroGrep\AstroGrep.exe" /e /r /s /spath="%USERPROFILE%\AppData\Local\Temp\OnboardLogs" /stypes="app*4062*20170711*" /stext=" 14:.+((SYSTEM_STATE.+slice.+state.+changed )|(ment ac)|(multiple cpu faults)|(system.+state.+changed )|(\[timeout)|(PRM\|1\|D)|(kpr)|(kdp)|(train st.+moving)|(\|lc)|(penalty))"</v>
      </c>
      <c r="AG168" s="209" t="str">
        <f t="shared" si="64"/>
        <v>NW</v>
      </c>
      <c r="AH168" s="78" t="str">
        <f t="shared" si="65"/>
        <v>"%USERPROFILE%\Documents\GitHub\eaglep3\Utilities\RefineRTDCRunTimes.py" --tripid 809-11 --locoid 4062 --swversion DE.1.0.9.0 --startMP 204:1118 --initTime 2017-07-11T07:45:33 --startdatetime 2017-07-11T07:51:18 --delay 1 --endMP 300:58941 --enddatetime 2017-07-11T08:04:17 --enforcementcount 0 &gt;&gt;C:\Users\stu\Documents\GitHub\eaglep3-reporting\EC\2017-07-11-refined-times.txt</v>
      </c>
      <c r="AI168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{"issue":{"subject":"","project_id":79,"tracker_id":40,"status_id":1,"priority_id":2,"assigned_to_id":23,"start_date":"2017-07-11","description":"","custom_fields":[{"id":1,"name":"Subdivision","value":"NW"},{"id":4,"name":"Milepost","value":"5.8941"},{"id":17,"name":"Train ID","value":"809-11"},{"id":16,"name":"Locomotive ID","value":"4062"},{"id":130,"name":"Impact","value":""},{"id":150,"name":"Time of Event (Mountain Time)","value":"08:04:17"},{"id":151,"name":"Denver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7"/>
        <v>start /low /b %USERPROFILE%\Documents\GitHub\eaglep3\Utilities\DownloadLogsFromS3.py --loco 4062 --day 2017-07-11</v>
      </c>
      <c r="AN168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678</v>
      </c>
      <c r="B169" s="7">
        <v>4061</v>
      </c>
      <c r="C169" s="21" t="s">
        <v>199</v>
      </c>
      <c r="D169" s="21" t="s">
        <v>947</v>
      </c>
      <c r="E169" s="13">
        <v>42927.337476851855</v>
      </c>
      <c r="F169" s="13">
        <v>42927.341562499998</v>
      </c>
      <c r="G169" s="7">
        <v>1</v>
      </c>
      <c r="H169" s="21" t="s">
        <v>953</v>
      </c>
      <c r="I169" s="13">
        <v>42927.350717592592</v>
      </c>
      <c r="J169" s="7">
        <v>0</v>
      </c>
      <c r="K169" s="89" t="str">
        <f t="shared" si="53"/>
        <v>4061/4062</v>
      </c>
      <c r="L169" s="21" t="str">
        <f>VLOOKUP(A169,'Trips&amp;Operators'!$C$1:$G$99999,5,FALSE)</f>
        <v>HELVIE ADAM</v>
      </c>
      <c r="M169" s="6">
        <f t="shared" si="54"/>
        <v>9.1550925935734995E-3</v>
      </c>
      <c r="N169" s="7">
        <f t="shared" si="69"/>
        <v>13.183333334745839</v>
      </c>
      <c r="O169" s="7"/>
      <c r="P169" s="7"/>
      <c r="Q169" s="22"/>
      <c r="R169" s="170"/>
      <c r="S169" s="213">
        <f t="shared" si="70"/>
        <v>1</v>
      </c>
      <c r="T169" s="195" t="str">
        <f t="shared" si="55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6"/>
        <v>https://d0f6bd738d7f1b3e5a7ca70fe4ff75f0.us-east-1.aws.found.io/app/kibana#/discover/Steve-Slow-Train-Analysis-(2080s-and-2083s)?_g=(refreshInterval:(display:Off,pause:!f,section:0,value:0),time:(from:'2017-07-11T07:05:58-0600',mode:absolute,to:'2017-07-11T09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9" s="197" t="str">
        <f>IF(AA169&lt;VLOOKUP(AG169,Variables!$AC$3:$AD$8,2,FALSE),"Y","N")</f>
        <v>N</v>
      </c>
      <c r="X169" s="197">
        <f t="shared" si="57"/>
        <v>1</v>
      </c>
      <c r="Y169" s="197">
        <f t="shared" si="58"/>
        <v>5.8615000000000004</v>
      </c>
      <c r="Z169" s="197">
        <f t="shared" si="59"/>
        <v>7.6600000000000001E-2</v>
      </c>
      <c r="AA169" s="197">
        <f t="shared" si="60"/>
        <v>5.7849000000000004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1"/>
        <v>810</v>
      </c>
      <c r="AE169" s="77" t="str">
        <f t="shared" si="62"/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AF169" s="74" t="str">
        <f t="shared" si="63"/>
        <v>"C:\Program Files (x86)\AstroGrep\AstroGrep.exe" /e /r /s /spath="%USERPROFILE%\AppData\Local\Temp\OnboardLogs" /stypes="app*4061*20170711*" /stext=" 14:.+((SYSTEM_STATE.+slice.+state.+changed )|(ment ac)|(multiple cpu faults)|(system.+state.+changed )|(\[timeout)|(PRM\|1\|D)|(kpr)|(kdp)|(train st.+moving)|(\|lc)|(penalty))"</v>
      </c>
      <c r="AG169" s="209" t="str">
        <f t="shared" si="64"/>
        <v>NW</v>
      </c>
      <c r="AH169" s="78" t="str">
        <f t="shared" si="65"/>
        <v>"%USERPROFILE%\Documents\GitHub\eaglep3\Utilities\RefineRTDCRunTimes.py" --tripid 810-11 --locoid 4061 --swversion DE.1.0.9.0 --startMP 300:58615 --initTime 2017-07-11T08:05:58 --startdatetime 2017-07-11T08:11:51 --delay 1 --endMP 204:766 --enddatetime 2017-07-11T08:25:02 --enforcementcount 0 &gt;&gt;C:\Users\stu\Documents\GitHub\eaglep3-reporting\EC\2017-07-11-refined-times.txt</v>
      </c>
      <c r="AI169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{"issue":{"subject":"","project_id":79,"tracker_id":40,"status_id":1,"priority_id":2,"assigned_to_id":23,"start_date":"2017-07-11","description":"","custom_fields":[{"id":1,"name":"Subdivision","value":"NW"},{"id":4,"name":"Milepost","value":"0.0766"},{"id":17,"name":"Train ID","value":"810-11"},{"id":16,"name":"Locomotive ID","value":"4061"},{"id":130,"name":"Impact","value":""},{"id":150,"name":"Time of Event (Mountain Time)","value":"08:25:02"},{"id":151,"name":"Denver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7"/>
        <v>start /low /b %USERPROFILE%\Documents\GitHub\eaglep3\Utilities\DownloadLogsFromS3.py --loco 4061 --day 2017-07-11</v>
      </c>
      <c r="AN169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681</v>
      </c>
      <c r="B170" s="7">
        <v>4024</v>
      </c>
      <c r="C170" s="21" t="s">
        <v>199</v>
      </c>
      <c r="D170" s="21" t="s">
        <v>440</v>
      </c>
      <c r="E170" s="13">
        <v>42927.342974537038</v>
      </c>
      <c r="F170" s="13">
        <v>42927.348171296297</v>
      </c>
      <c r="G170" s="7">
        <v>1</v>
      </c>
      <c r="H170" s="21" t="s">
        <v>941</v>
      </c>
      <c r="I170" s="13">
        <v>42927.357557870368</v>
      </c>
      <c r="J170" s="7">
        <v>0</v>
      </c>
      <c r="K170" s="89" t="str">
        <f t="shared" si="53"/>
        <v>4023/4024</v>
      </c>
      <c r="L170" s="21" t="str">
        <f>VLOOKUP(A170,'Trips&amp;Operators'!$C$1:$G$99999,5,FALSE)</f>
        <v>YANG JAN</v>
      </c>
      <c r="M170" s="6">
        <f t="shared" si="54"/>
        <v>9.3865740709588863E-3</v>
      </c>
      <c r="N170" s="7">
        <f t="shared" si="69"/>
        <v>13.516666662180796</v>
      </c>
      <c r="O170" s="7"/>
      <c r="P170" s="7"/>
      <c r="Q170" s="22"/>
      <c r="R170" s="170"/>
      <c r="S170" s="213">
        <f t="shared" si="70"/>
        <v>1</v>
      </c>
      <c r="T170" s="195" t="str">
        <f t="shared" si="55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6"/>
        <v>https://d0f6bd738d7f1b3e5a7ca70fe4ff75f0.us-east-1.aws.found.io/app/kibana#/discover/Steve-Slow-Train-Analysis-(2080s-and-2083s)?_g=(refreshInterval:(display:Off,pause:!f,section:0,value:0),time:(from:'2017-07-11T07:13:53-0600',mode:absolute,to:'2017-07-11T09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0" s="197" t="str">
        <f>IF(AA170&lt;VLOOKUP(AG170,Variables!$AC$3:$AD$8,2,FALSE),"Y","N")</f>
        <v>N</v>
      </c>
      <c r="X170" s="197">
        <f t="shared" si="57"/>
        <v>1</v>
      </c>
      <c r="Y170" s="197">
        <f t="shared" si="58"/>
        <v>9.8299999999999998E-2</v>
      </c>
      <c r="Z170" s="197">
        <f t="shared" si="59"/>
        <v>5.8935000000000004</v>
      </c>
      <c r="AA170" s="197">
        <f t="shared" si="60"/>
        <v>5.7952000000000004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1"/>
        <v>811</v>
      </c>
      <c r="AE170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70" s="74" t="str">
        <f t="shared" si="63"/>
        <v>"C:\Program Files (x86)\AstroGrep\AstroGrep.exe" /e /r /s /spath="%USERPROFILE%\AppData\Local\Temp\OnboardLogs" /stypes="app*4024*20170711*" /stext=" 14:.+((SYSTEM_STATE.+slice.+state.+changed )|(ment ac)|(multiple cpu faults)|(system.+state.+changed )|(\[timeout)|(PRM\|1\|D)|(kpr)|(kdp)|(train st.+moving)|(\|lc)|(penalty))"</v>
      </c>
      <c r="AG170" s="209" t="str">
        <f t="shared" si="64"/>
        <v>NW</v>
      </c>
      <c r="AH170" s="78" t="str">
        <f t="shared" si="65"/>
        <v>"%USERPROFILE%\Documents\GitHub\eaglep3\Utilities\RefineRTDCRunTimes.py" --tripid 811-11 --locoid 4024 --swversion DE.1.0.9.0 --startMP 204:983 --initTime 2017-07-11T08:13:53 --startdatetime 2017-07-11T08:21:22 --delay 1 --endMP 300:58935 --enddatetime 2017-07-11T08:34:53 --enforcementcount 0 &gt;&gt;C:\Users\stu\Documents\GitHub\eaglep3-reporting\EC\2017-07-11-refined-times.txt</v>
      </c>
      <c r="AI170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{"issue":{"subject":"","project_id":79,"tracker_id":40,"status_id":1,"priority_id":2,"assigned_to_id":23,"start_date":"2017-07-11","description":"","custom_fields":[{"id":1,"name":"Subdivision","value":"NW"},{"id":4,"name":"Milepost","value":"5.8935"},{"id":17,"name":"Train ID","value":"811-11"},{"id":16,"name":"Locomotive ID","value":"4024"},{"id":130,"name":"Impact","value":""},{"id":150,"name":"Time of Event (Mountain Time)","value":"08:34:53"},{"id":151,"name":"Denver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7"/>
        <v>start /low /b %USERPROFILE%\Documents\GitHub\eaglep3\Utilities\DownloadLogsFromS3.py --loco 4024 --day 2017-07-11</v>
      </c>
      <c r="AN170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685</v>
      </c>
      <c r="B171" s="7">
        <v>4023</v>
      </c>
      <c r="C171" s="21" t="s">
        <v>199</v>
      </c>
      <c r="D171" s="21" t="s">
        <v>441</v>
      </c>
      <c r="E171" s="13">
        <v>42927.359537037039</v>
      </c>
      <c r="F171" s="13">
        <v>42927.361747685187</v>
      </c>
      <c r="G171" s="7">
        <v>1</v>
      </c>
      <c r="H171" s="21" t="s">
        <v>954</v>
      </c>
      <c r="I171" s="13">
        <v>42927.371805555558</v>
      </c>
      <c r="J171" s="7">
        <v>0</v>
      </c>
      <c r="K171" s="89" t="str">
        <f t="shared" si="53"/>
        <v>4023/4024</v>
      </c>
      <c r="L171" s="21" t="str">
        <f>VLOOKUP(A171,'Trips&amp;Operators'!$C$1:$G$99999,5,FALSE)</f>
        <v>YANG JAN</v>
      </c>
      <c r="M171" s="6">
        <f t="shared" si="54"/>
        <v>1.0057870371383615E-2</v>
      </c>
      <c r="N171" s="7">
        <f t="shared" si="69"/>
        <v>14.483333334792405</v>
      </c>
      <c r="O171" s="7"/>
      <c r="P171" s="7"/>
      <c r="Q171" s="22"/>
      <c r="R171" s="170"/>
      <c r="S171" s="213">
        <f t="shared" si="70"/>
        <v>1</v>
      </c>
      <c r="T171" s="195" t="str">
        <f t="shared" si="55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6"/>
        <v>https://d0f6bd738d7f1b3e5a7ca70fe4ff75f0.us-east-1.aws.found.io/app/kibana#/discover/Steve-Slow-Train-Analysis-(2080s-and-2083s)?_g=(refreshInterval:(display:Off,pause:!f,section:0,value:0),time:(from:'2017-07-11T07:37:44-0600',mode:absolute,to:'2017-07-11T09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1" s="197" t="str">
        <f>IF(AA171&lt;VLOOKUP(AG171,Variables!$AC$3:$AD$8,2,FALSE),"Y","N")</f>
        <v>N</v>
      </c>
      <c r="X171" s="197">
        <f t="shared" si="57"/>
        <v>1</v>
      </c>
      <c r="Y171" s="197">
        <f t="shared" si="58"/>
        <v>5.8628</v>
      </c>
      <c r="Z171" s="197">
        <f t="shared" si="59"/>
        <v>6.8500000000000005E-2</v>
      </c>
      <c r="AA171" s="197">
        <f t="shared" si="60"/>
        <v>5.7942999999999998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1"/>
        <v>812</v>
      </c>
      <c r="AE171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71" s="74" t="str">
        <f t="shared" si="63"/>
        <v>"C:\Program Files (x86)\AstroGrep\AstroGrep.exe" /e /r /s /spath="%USERPROFILE%\AppData\Local\Temp\OnboardLogs" /stypes="app*4023*20170711*" /stext=" 14:.+((SYSTEM_STATE.+slice.+state.+changed )|(ment ac)|(multiple cpu faults)|(system.+state.+changed )|(\[timeout)|(PRM\|1\|D)|(kpr)|(kdp)|(train st.+moving)|(\|lc)|(penalty))"</v>
      </c>
      <c r="AG171" s="209" t="str">
        <f t="shared" si="64"/>
        <v>NW</v>
      </c>
      <c r="AH171" s="78" t="str">
        <f t="shared" si="65"/>
        <v>"%USERPROFILE%\Documents\GitHub\eaglep3\Utilities\RefineRTDCRunTimes.py" --tripid 812-11 --locoid 4023 --swversion DE.1.0.9.0 --startMP 300:58628 --initTime 2017-07-11T08:37:44 --startdatetime 2017-07-11T08:40:55 --delay 1 --endMP 204:685 --enddatetime 2017-07-11T08:55:24 --enforcementcount 0 &gt;&gt;C:\Users\stu\Documents\GitHub\eaglep3-reporting\EC\2017-07-11-refined-times.txt</v>
      </c>
      <c r="AI171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{"issue":{"subject":"","project_id":79,"tracker_id":40,"status_id":1,"priority_id":2,"assigned_to_id":23,"start_date":"2017-07-11","description":"","custom_fields":[{"id":1,"name":"Subdivision","value":"NW"},{"id":4,"name":"Milepost","value":"0.0685"},{"id":17,"name":"Train ID","value":"812-11"},{"id":16,"name":"Locomotive ID","value":"4023"},{"id":130,"name":"Impact","value":""},{"id":150,"name":"Time of Event (Mountain Time)","value":"08:55:24"},{"id":151,"name":"Denver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7"/>
        <v>start /low /b %USERPROFILE%\Documents\GitHub\eaglep3\Utilities\DownloadLogsFromS3.py --loco 4023 --day 2017-07-11</v>
      </c>
      <c r="AN171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689</v>
      </c>
      <c r="B172" s="7">
        <v>4024</v>
      </c>
      <c r="C172" s="21" t="s">
        <v>199</v>
      </c>
      <c r="D172" s="21" t="s">
        <v>955</v>
      </c>
      <c r="E172" s="13">
        <v>42927.383159722223</v>
      </c>
      <c r="F172" s="13">
        <v>42927.389826388891</v>
      </c>
      <c r="G172" s="7">
        <v>1</v>
      </c>
      <c r="H172" s="21" t="s">
        <v>941</v>
      </c>
      <c r="I172" s="13">
        <v>42927.399143518516</v>
      </c>
      <c r="J172" s="7">
        <v>0</v>
      </c>
      <c r="K172" s="89" t="str">
        <f t="shared" si="53"/>
        <v>4023/4024</v>
      </c>
      <c r="L172" s="21" t="str">
        <f>VLOOKUP(A172,'Trips&amp;Operators'!$C$1:$G$99999,5,FALSE)</f>
        <v>YANG JAN</v>
      </c>
      <c r="M172" s="6">
        <f t="shared" si="54"/>
        <v>9.3171296248328872E-3</v>
      </c>
      <c r="N172" s="7">
        <f t="shared" si="69"/>
        <v>13.416666659759358</v>
      </c>
      <c r="O172" s="7"/>
      <c r="P172" s="7"/>
      <c r="Q172" s="22"/>
      <c r="R172" s="170"/>
      <c r="S172" s="213">
        <f t="shared" si="70"/>
        <v>1</v>
      </c>
      <c r="T172" s="195" t="str">
        <f t="shared" si="55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6"/>
        <v>https://d0f6bd738d7f1b3e5a7ca70fe4ff75f0.us-east-1.aws.found.io/app/kibana#/discover/Steve-Slow-Train-Analysis-(2080s-and-2083s)?_g=(refreshInterval:(display:Off,pause:!f,section:0,value:0),time:(from:'2017-07-11T08:11:45-0600',mode:absolute,to:'2017-07-11T10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2" s="197" t="str">
        <f>IF(AA172&lt;VLOOKUP(AG172,Variables!$AC$3:$AD$8,2,FALSE),"Y","N")</f>
        <v>N</v>
      </c>
      <c r="X172" s="197">
        <f t="shared" si="57"/>
        <v>1</v>
      </c>
      <c r="Y172" s="197">
        <f t="shared" si="58"/>
        <v>9.7199999999999995E-2</v>
      </c>
      <c r="Z172" s="197">
        <f t="shared" si="59"/>
        <v>5.8935000000000004</v>
      </c>
      <c r="AA172" s="197">
        <f t="shared" si="60"/>
        <v>5.7963000000000005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1"/>
        <v>813</v>
      </c>
      <c r="AE172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72" s="74" t="str">
        <f t="shared" si="63"/>
        <v>"C:\Program Files (x86)\AstroGrep\AstroGrep.exe" /e /r /s /spath="%USERPROFILE%\AppData\Local\Temp\OnboardLogs" /stypes="app*4024*20170711*" /stext=" 15:.+((SYSTEM_STATE.+slice.+state.+changed )|(ment ac)|(multiple cpu faults)|(system.+state.+changed )|(\[timeout)|(PRM\|1\|D)|(kpr)|(kdp)|(train st.+moving)|(\|lc)|(penalty))"</v>
      </c>
      <c r="AG172" s="209" t="str">
        <f t="shared" si="64"/>
        <v>NW</v>
      </c>
      <c r="AH172" s="78" t="str">
        <f t="shared" si="65"/>
        <v>"%USERPROFILE%\Documents\GitHub\eaglep3\Utilities\RefineRTDCRunTimes.py" --tripid 813-11 --locoid 4024 --swversion DE.1.0.9.0 --startMP 204:972 --initTime 2017-07-11T09:11:45 --startdatetime 2017-07-11T09:21:21 --delay 1 --endMP 300:58935 --enddatetime 2017-07-11T09:34:46 --enforcementcount 0 &gt;&gt;C:\Users\stu\Documents\GitHub\eaglep3-reporting\EC\2017-07-11-refined-times.txt</v>
      </c>
      <c r="AI172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{"issue":{"subject":"","project_id":79,"tracker_id":40,"status_id":1,"priority_id":2,"assigned_to_id":23,"start_date":"2017-07-11","description":"","custom_fields":[{"id":1,"name":"Subdivision","value":"NW"},{"id":4,"name":"Milepost","value":"5.8935"},{"id":17,"name":"Train ID","value":"813-11"},{"id":16,"name":"Locomotive ID","value":"4024"},{"id":130,"name":"Impact","value":""},{"id":150,"name":"Time of Event (Mountain Time)","value":"09:34:46"},{"id":151,"name":"Denver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7"/>
        <v>start /low /b %USERPROFILE%\Documents\GitHub\eaglep3\Utilities\DownloadLogsFromS3.py --loco 4024 --day 2017-07-11</v>
      </c>
      <c r="AN172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694</v>
      </c>
      <c r="B173" s="7">
        <v>4023</v>
      </c>
      <c r="C173" s="21" t="s">
        <v>199</v>
      </c>
      <c r="D173" s="21" t="s">
        <v>956</v>
      </c>
      <c r="E173" s="13">
        <v>42927.400960648149</v>
      </c>
      <c r="F173" s="13">
        <v>42927.403414351851</v>
      </c>
      <c r="G173" s="7">
        <v>1</v>
      </c>
      <c r="H173" s="21" t="s">
        <v>945</v>
      </c>
      <c r="I173" s="13">
        <v>42927.412951388891</v>
      </c>
      <c r="J173" s="7">
        <v>0</v>
      </c>
      <c r="K173" s="89" t="str">
        <f t="shared" si="53"/>
        <v>4023/4024</v>
      </c>
      <c r="L173" s="21" t="str">
        <f>VLOOKUP(A173,'Trips&amp;Operators'!$C$1:$G$99999,5,FALSE)</f>
        <v>YANG JAN</v>
      </c>
      <c r="M173" s="6">
        <f t="shared" si="54"/>
        <v>9.5370370399905369E-3</v>
      </c>
      <c r="N173" s="7">
        <f t="shared" si="69"/>
        <v>13.733333337586373</v>
      </c>
      <c r="O173" s="7"/>
      <c r="P173" s="7"/>
      <c r="Q173" s="22"/>
      <c r="R173" s="170"/>
      <c r="S173" s="213">
        <f t="shared" si="70"/>
        <v>1</v>
      </c>
      <c r="T173" s="195" t="str">
        <f t="shared" si="55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6"/>
        <v>https://d0f6bd738d7f1b3e5a7ca70fe4ff75f0.us-east-1.aws.found.io/app/kibana#/discover/Steve-Slow-Train-Analysis-(2080s-and-2083s)?_g=(refreshInterval:(display:Off,pause:!f,section:0,value:0),time:(from:'2017-07-11T08:37:23-0600',mode:absolute,to:'2017-07-11T10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3" s="197" t="str">
        <f>IF(AA173&lt;VLOOKUP(AG173,Variables!$AC$3:$AD$8,2,FALSE),"Y","N")</f>
        <v>N</v>
      </c>
      <c r="X173" s="197">
        <f t="shared" si="57"/>
        <v>1</v>
      </c>
      <c r="Y173" s="197">
        <f t="shared" ref="Y173:Y178" si="71">RIGHT(D173,LEN(D173)-4)/10000</f>
        <v>5.8605999999999998</v>
      </c>
      <c r="Z173" s="197">
        <f t="shared" ref="Z173:Z178" si="72">RIGHT(H173,LEN(H173)-4)/10000</f>
        <v>6.9900000000000004E-2</v>
      </c>
      <c r="AA173" s="197">
        <f t="shared" si="60"/>
        <v>5.7907000000000002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1"/>
        <v>814</v>
      </c>
      <c r="AE173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73" s="74" t="str">
        <f t="shared" si="63"/>
        <v>"C:\Program Files (x86)\AstroGrep\AstroGrep.exe" /e /r /s /spath="%USERPROFILE%\AppData\Local\Temp\OnboardLogs" /stypes="app*4023*20170711*" /stext=" 15:.+((SYSTEM_STATE.+slice.+state.+changed )|(ment ac)|(multiple cpu faults)|(system.+state.+changed )|(\[timeout)|(PRM\|1\|D)|(kpr)|(kdp)|(train st.+moving)|(\|lc)|(penalty))"</v>
      </c>
      <c r="AG173" s="209" t="str">
        <f t="shared" si="64"/>
        <v>NW</v>
      </c>
      <c r="AH173" s="78" t="str">
        <f t="shared" si="65"/>
        <v>"%USERPROFILE%\Documents\GitHub\eaglep3\Utilities\RefineRTDCRunTimes.py" --tripid 814-11 --locoid 4023 --swversion DE.1.0.9.0 --startMP 300:58606 --initTime 2017-07-11T09:37:23 --startdatetime 2017-07-11T09:40:55 --delay 1 --endMP 204:699 --enddatetime 2017-07-11T09:54:39 --enforcementcount 0 &gt;&gt;C:\Users\stu\Documents\GitHub\eaglep3-reporting\EC\2017-07-11-refined-times.txt</v>
      </c>
      <c r="AI173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{"issue":{"subject":"","project_id":79,"tracker_id":40,"status_id":1,"priority_id":2,"assigned_to_id":23,"start_date":"2017-07-11","description":"","custom_fields":[{"id":1,"name":"Subdivision","value":"NW"},{"id":4,"name":"Milepost","value":"0.0699"},{"id":17,"name":"Train ID","value":"814-11"},{"id":16,"name":"Locomotive ID","value":"4023"},{"id":130,"name":"Impact","value":""},{"id":150,"name":"Time of Event (Mountain Time)","value":"09:54:39"},{"id":151,"name":"Denver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7"/>
        <v>start /low /b %USERPROFILE%\Documents\GitHub\eaglep3\Utilities\DownloadLogsFromS3.py --loco 4023 --day 2017-07-11</v>
      </c>
      <c r="AN173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15:54:39"},{"id":29,"name":"Sharepoint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580</v>
      </c>
      <c r="B174" s="7">
        <v>4024</v>
      </c>
      <c r="C174" s="21" t="s">
        <v>199</v>
      </c>
      <c r="D174" s="21" t="s">
        <v>556</v>
      </c>
      <c r="E174" s="13">
        <v>42927.421666666669</v>
      </c>
      <c r="F174" s="13">
        <v>42927.431527777779</v>
      </c>
      <c r="G174" s="7">
        <v>1</v>
      </c>
      <c r="H174" s="21" t="s">
        <v>957</v>
      </c>
      <c r="I174" s="13">
        <v>42927.441238425927</v>
      </c>
      <c r="J174" s="7">
        <v>0</v>
      </c>
      <c r="K174" s="89" t="str">
        <f t="shared" si="53"/>
        <v>4023/4024</v>
      </c>
      <c r="L174" s="21" t="str">
        <f>VLOOKUP(A174,'Trips&amp;Operators'!$C$1:$G$99999,5,FALSE)</f>
        <v>YANG JAN</v>
      </c>
      <c r="M174" s="6">
        <f t="shared" si="54"/>
        <v>9.710648148029577E-3</v>
      </c>
      <c r="N174" s="7">
        <f t="shared" si="69"/>
        <v>13.983333333162591</v>
      </c>
      <c r="O174" s="7"/>
      <c r="P174" s="7"/>
      <c r="Q174" s="22"/>
      <c r="R174" s="170"/>
      <c r="S174" s="213">
        <f t="shared" si="70"/>
        <v>1</v>
      </c>
      <c r="T174" s="195" t="str">
        <f t="shared" si="55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6"/>
        <v>https://d0f6bd738d7f1b3e5a7ca70fe4ff75f0.us-east-1.aws.found.io/app/kibana#/discover/Steve-Slow-Train-Analysis-(2080s-and-2083s)?_g=(refreshInterval:(display:Off,pause:!f,section:0,value:0),time:(from:'2017-07-11T09:07:12-0600',mode:absolute,to:'2017-07-11T11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4" s="197" t="str">
        <f>IF(AA174&lt;VLOOKUP(AG174,Variables!$AC$3:$AD$8,2,FALSE),"Y","N")</f>
        <v>N</v>
      </c>
      <c r="X174" s="197">
        <f t="shared" si="57"/>
        <v>1</v>
      </c>
      <c r="Y174" s="197">
        <f t="shared" si="71"/>
        <v>9.8799999999999999E-2</v>
      </c>
      <c r="Z174" s="197">
        <f t="shared" si="72"/>
        <v>5.8925999999999998</v>
      </c>
      <c r="AA174" s="197">
        <f t="shared" si="60"/>
        <v>5.7938000000000001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1"/>
        <v>815</v>
      </c>
      <c r="AE174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74" s="74" t="str">
        <f t="shared" si="63"/>
        <v>"C:\Program Files (x86)\AstroGrep\AstroGrep.exe" /e /r /s /spath="%USERPROFILE%\AppData\Local\Temp\OnboardLogs" /stypes="app*4024*20170711*" /stext=" 16:.+((SYSTEM_STATE.+slice.+state.+changed )|(ment ac)|(multiple cpu faults)|(system.+state.+changed )|(\[timeout)|(PRM\|1\|D)|(kpr)|(kdp)|(train st.+moving)|(\|lc)|(penalty))"</v>
      </c>
      <c r="AG174" s="209" t="str">
        <f t="shared" si="64"/>
        <v>NW</v>
      </c>
      <c r="AH174" s="78" t="str">
        <f t="shared" si="65"/>
        <v>"%USERPROFILE%\Documents\GitHub\eaglep3\Utilities\RefineRTDCRunTimes.py" --tripid 815-11 --locoid 4024 --swversion DE.1.0.9.0 --startMP 204:988 --initTime 2017-07-11T10:07:12 --startdatetime 2017-07-11T10:21:24 --delay 1 --endMP 300:58926 --enddatetime 2017-07-11T10:35:23 --enforcementcount 0 &gt;&gt;C:\Users\stu\Documents\GitHub\eaglep3-reporting\EC\2017-07-11-refined-times.txt</v>
      </c>
      <c r="AI174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{"issue":{"subject":"","project_id":79,"tracker_id":40,"status_id":1,"priority_id":2,"assigned_to_id":23,"start_date":"2017-07-11","description":"","custom_fields":[{"id":1,"name":"Subdivision","value":"NW"},{"id":4,"name":"Milepost","value":"5.8926"},{"id":17,"name":"Train ID","value":"815-11"},{"id":16,"name":"Locomotive ID","value":"4024"},{"id":130,"name":"Impact","value":""},{"id":150,"name":"Time of Event (Mountain Time)","value":"10:35:23"},{"id":151,"name":"Denver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7"/>
        <v>start /low /b %USERPROFILE%\Documents\GitHub\eaglep3\Utilities\DownloadLogsFromS3.py --loco 4024 --day 2017-07-11</v>
      </c>
      <c r="AN174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700</v>
      </c>
      <c r="B175" s="7">
        <v>4023</v>
      </c>
      <c r="C175" s="21" t="s">
        <v>199</v>
      </c>
      <c r="D175" s="21" t="s">
        <v>956</v>
      </c>
      <c r="E175" s="13">
        <v>42927.443460648145</v>
      </c>
      <c r="F175" s="13">
        <v>42927.444988425923</v>
      </c>
      <c r="G175" s="7">
        <v>0</v>
      </c>
      <c r="H175" s="21" t="s">
        <v>951</v>
      </c>
      <c r="I175" s="13">
        <v>42927.454710648148</v>
      </c>
      <c r="J175" s="7">
        <v>0</v>
      </c>
      <c r="K175" s="89" t="str">
        <f t="shared" si="53"/>
        <v>4023/4024</v>
      </c>
      <c r="L175" s="21" t="str">
        <f>VLOOKUP(A175,'Trips&amp;Operators'!$C$1:$G$99999,5,FALSE)</f>
        <v>YANG JAN</v>
      </c>
      <c r="M175" s="6">
        <f t="shared" si="54"/>
        <v>9.7222222248092294E-3</v>
      </c>
      <c r="N175" s="7">
        <f t="shared" si="69"/>
        <v>14.00000000372529</v>
      </c>
      <c r="O175" s="7"/>
      <c r="P175" s="7"/>
      <c r="Q175" s="22"/>
      <c r="R175" s="170"/>
      <c r="S175" s="213">
        <f t="shared" si="70"/>
        <v>1</v>
      </c>
      <c r="T175" s="195" t="str">
        <f t="shared" si="55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6"/>
        <v>https://d0f6bd738d7f1b3e5a7ca70fe4ff75f0.us-east-1.aws.found.io/app/kibana#/discover/Steve-Slow-Train-Analysis-(2080s-and-2083s)?_g=(refreshInterval:(display:Off,pause:!f,section:0,value:0),time:(from:'2017-07-11T09:38:35-0600',mode:absolute,to:'2017-07-11T11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5" s="197" t="str">
        <f>IF(AA175&lt;VLOOKUP(AG175,Variables!$AC$3:$AD$8,2,FALSE),"Y","N")</f>
        <v>N</v>
      </c>
      <c r="X175" s="197">
        <f t="shared" si="57"/>
        <v>1</v>
      </c>
      <c r="Y175" s="197">
        <f t="shared" si="71"/>
        <v>5.8605999999999998</v>
      </c>
      <c r="Z175" s="197">
        <f t="shared" si="72"/>
        <v>6.9199999999999998E-2</v>
      </c>
      <c r="AA175" s="197">
        <f t="shared" si="60"/>
        <v>5.7913999999999994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1"/>
        <v>816</v>
      </c>
      <c r="AE175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75" s="74" t="str">
        <f t="shared" si="63"/>
        <v>"C:\Program Files (x86)\AstroGrep\AstroGrep.exe" /e /r /s /spath="%USERPROFILE%\AppData\Local\Temp\OnboardLogs" /stypes="app*4023*20170711*" /stext=" 16:.+((SYSTEM_STATE.+slice.+state.+changed )|(ment ac)|(multiple cpu faults)|(system.+state.+changed )|(\[timeout)|(PRM\|1\|D)|(kpr)|(kdp)|(train st.+moving)|(\|lc)|(penalty))"</v>
      </c>
      <c r="AG175" s="209" t="str">
        <f t="shared" si="64"/>
        <v>NW</v>
      </c>
      <c r="AH175" s="78" t="str">
        <f t="shared" si="65"/>
        <v>"%USERPROFILE%\Documents\GitHub\eaglep3\Utilities\RefineRTDCRunTimes.py" --tripid 816-11 --locoid 4023 --swversion DE.1.0.9.0 --startMP 300:58606 --initTime 2017-07-11T10:38:35 --startdatetime 2017-07-11T10:40:47 --delay 0 --endMP 204:692 --enddatetime 2017-07-11T10:54:47 --enforcementcount 0 &gt;&gt;C:\Users\stu\Documents\GitHub\eaglep3-reporting\EC\2017-07-11-refined-times.txt</v>
      </c>
      <c r="AI175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{"issue":{"subject":"","project_id":79,"tracker_id":40,"status_id":1,"priority_id":2,"assigned_to_id":23,"start_date":"2017-07-11","description":"","custom_fields":[{"id":1,"name":"Subdivision","value":"NW"},{"id":4,"name":"Milepost","value":"0.0692"},{"id":17,"name":"Train ID","value":"816-11"},{"id":16,"name":"Locomotive ID","value":"4023"},{"id":130,"name":"Impact","value":""},{"id":150,"name":"Time of Event (Mountain Time)","value":"10:54:47"},{"id":151,"name":"Denver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7"/>
        <v>start /low /b %USERPROFILE%\Documents\GitHub\eaglep3\Utilities\DownloadLogsFromS3.py --loco 4023 --day 2017-07-11</v>
      </c>
      <c r="AN175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16:54:47"},{"id":29,"name":"Sharepoint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706</v>
      </c>
      <c r="B176" s="7">
        <v>4024</v>
      </c>
      <c r="C176" s="21" t="s">
        <v>199</v>
      </c>
      <c r="D176" s="21" t="s">
        <v>548</v>
      </c>
      <c r="E176" s="13">
        <v>42927.466620370367</v>
      </c>
      <c r="F176" s="13">
        <v>42927.47315972222</v>
      </c>
      <c r="G176" s="7">
        <v>1</v>
      </c>
      <c r="H176" s="21" t="s">
        <v>957</v>
      </c>
      <c r="I176" s="13">
        <v>42927.482314814813</v>
      </c>
      <c r="J176" s="7">
        <v>0</v>
      </c>
      <c r="K176" s="89" t="str">
        <f t="shared" si="53"/>
        <v>4023/4024</v>
      </c>
      <c r="L176" s="21" t="str">
        <f>VLOOKUP(A176,'Trips&amp;Operators'!$C$1:$G$99999,5,FALSE)</f>
        <v>YANG JAN</v>
      </c>
      <c r="M176" s="6">
        <f t="shared" si="54"/>
        <v>9.1550925935734995E-3</v>
      </c>
      <c r="N176" s="7">
        <f t="shared" si="69"/>
        <v>13.183333334745839</v>
      </c>
      <c r="O176" s="7"/>
      <c r="P176" s="7"/>
      <c r="Q176" s="22"/>
      <c r="R176" s="170"/>
      <c r="S176" s="213">
        <f t="shared" si="70"/>
        <v>1</v>
      </c>
      <c r="T176" s="195" t="str">
        <f t="shared" si="55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6"/>
        <v>https://d0f6bd738d7f1b3e5a7ca70fe4ff75f0.us-east-1.aws.found.io/app/kibana#/discover/Steve-Slow-Train-Analysis-(2080s-and-2083s)?_g=(refreshInterval:(display:Off,pause:!f,section:0,value:0),time:(from:'2017-07-11T10:11:56-0600',mode:absolute,to:'2017-07-11T12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6" s="197" t="str">
        <f>IF(AA176&lt;VLOOKUP(AG176,Variables!$AC$3:$AD$8,2,FALSE),"Y","N")</f>
        <v>N</v>
      </c>
      <c r="X176" s="197">
        <f t="shared" si="57"/>
        <v>1</v>
      </c>
      <c r="Y176" s="197">
        <f t="shared" si="71"/>
        <v>9.9199999999999997E-2</v>
      </c>
      <c r="Z176" s="197">
        <f t="shared" si="72"/>
        <v>5.8925999999999998</v>
      </c>
      <c r="AA176" s="197">
        <f t="shared" si="60"/>
        <v>5.7934000000000001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1"/>
        <v>817</v>
      </c>
      <c r="AE176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76" s="74" t="str">
        <f t="shared" si="63"/>
        <v>"C:\Program Files (x86)\AstroGrep\AstroGrep.exe" /e /r /s /spath="%USERPROFILE%\AppData\Local\Temp\OnboardLogs" /stypes="app*4024*20170711*" /stext=" 17:.+((SYSTEM_STATE.+slice.+state.+changed )|(ment ac)|(multiple cpu faults)|(system.+state.+changed )|(\[timeout)|(PRM\|1\|D)|(kpr)|(kdp)|(train st.+moving)|(\|lc)|(penalty))"</v>
      </c>
      <c r="AG176" s="209" t="str">
        <f t="shared" si="64"/>
        <v>NW</v>
      </c>
      <c r="AH176" s="78" t="str">
        <f t="shared" si="65"/>
        <v>"%USERPROFILE%\Documents\GitHub\eaglep3\Utilities\RefineRTDCRunTimes.py" --tripid 817-11 --locoid 4024 --swversion DE.1.0.9.0 --startMP 204:992 --initTime 2017-07-11T11:11:56 --startdatetime 2017-07-11T11:21:21 --delay 1 --endMP 300:58926 --enddatetime 2017-07-11T11:34:32 --enforcementcount 0 &gt;&gt;C:\Users\stu\Documents\GitHub\eaglep3-reporting\EC\2017-07-11-refined-times.txt</v>
      </c>
      <c r="AI176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{"issue":{"subject":"","project_id":79,"tracker_id":40,"status_id":1,"priority_id":2,"assigned_to_id":23,"start_date":"2017-07-11","description":"","custom_fields":[{"id":1,"name":"Subdivision","value":"NW"},{"id":4,"name":"Milepost","value":"5.8926"},{"id":17,"name":"Train ID","value":"817-11"},{"id":16,"name":"Locomotive ID","value":"4024"},{"id":130,"name":"Impact","value":""},{"id":150,"name":"Time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7"/>
        <v>start /low /b %USERPROFILE%\Documents\GitHub\eaglep3\Utilities\DownloadLogsFromS3.py --loco 4024 --day 2017-07-11</v>
      </c>
      <c r="AN176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711</v>
      </c>
      <c r="B177" s="7">
        <v>4023</v>
      </c>
      <c r="C177" s="21" t="s">
        <v>199</v>
      </c>
      <c r="D177" s="21" t="s">
        <v>947</v>
      </c>
      <c r="E177" s="13">
        <v>42927.483831018515</v>
      </c>
      <c r="F177" s="13">
        <v>42927.486597222225</v>
      </c>
      <c r="G177" s="7">
        <v>1</v>
      </c>
      <c r="H177" s="21" t="s">
        <v>958</v>
      </c>
      <c r="I177" s="13">
        <v>42927.49659722222</v>
      </c>
      <c r="J177" s="7">
        <v>0</v>
      </c>
      <c r="K177" s="89" t="str">
        <f t="shared" si="53"/>
        <v>4023/4024</v>
      </c>
      <c r="L177" s="21" t="str">
        <f>VLOOKUP(A177,'Trips&amp;Operators'!$C$1:$G$99999,5,FALSE)</f>
        <v>YANG JAN</v>
      </c>
      <c r="M177" s="6">
        <f t="shared" si="54"/>
        <v>9.9999999947613105E-3</v>
      </c>
      <c r="N177" s="7">
        <f t="shared" si="69"/>
        <v>14.399999992456287</v>
      </c>
      <c r="O177" s="7"/>
      <c r="P177" s="7"/>
      <c r="Q177" s="22"/>
      <c r="R177" s="170"/>
      <c r="S177" s="213">
        <f t="shared" si="70"/>
        <v>1</v>
      </c>
      <c r="T177" s="195" t="str">
        <f t="shared" si="55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6"/>
        <v>https://d0f6bd738d7f1b3e5a7ca70fe4ff75f0.us-east-1.aws.found.io/app/kibana#/discover/Steve-Slow-Train-Analysis-(2080s-and-2083s)?_g=(refreshInterval:(display:Off,pause:!f,section:0,value:0),time:(from:'2017-07-11T10:36:43-0600',mode:absolute,to:'2017-07-11T12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7" s="197" t="str">
        <f>IF(AA177&lt;VLOOKUP(AG177,Variables!$AC$3:$AD$8,2,FALSE),"Y","N")</f>
        <v>N</v>
      </c>
      <c r="X177" s="197">
        <f t="shared" si="57"/>
        <v>1</v>
      </c>
      <c r="Y177" s="197">
        <f t="shared" si="71"/>
        <v>5.8615000000000004</v>
      </c>
      <c r="Z177" s="197">
        <f t="shared" si="72"/>
        <v>6.8000000000000005E-2</v>
      </c>
      <c r="AA177" s="197">
        <f t="shared" si="60"/>
        <v>5.7935000000000008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1"/>
        <v>818</v>
      </c>
      <c r="AE177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77" s="74" t="str">
        <f t="shared" si="63"/>
        <v>"C:\Program Files (x86)\AstroGrep\AstroGrep.exe" /e /r /s /spath="%USERPROFILE%\AppData\Local\Temp\OnboardLogs" /stypes="app*4023*20170711*" /stext=" 17:.+((SYSTEM_STATE.+slice.+state.+changed )|(ment ac)|(multiple cpu faults)|(system.+state.+changed )|(\[timeout)|(PRM\|1\|D)|(kpr)|(kdp)|(train st.+moving)|(\|lc)|(penalty))"</v>
      </c>
      <c r="AG177" s="209" t="str">
        <f t="shared" si="64"/>
        <v>NW</v>
      </c>
      <c r="AH177" s="78" t="str">
        <f t="shared" si="65"/>
        <v>"%USERPROFILE%\Documents\GitHub\eaglep3\Utilities\RefineRTDCRunTimes.py" --tripid 818-11 --locoid 4023 --swversion DE.1.0.9.0 --startMP 300:58615 --initTime 2017-07-11T11:36:43 --startdatetime 2017-07-11T11:40:42 --delay 1 --endMP 204:680 --enddatetime 2017-07-11T11:55:06 --enforcementcount 0 &gt;&gt;C:\Users\stu\Documents\GitHub\eaglep3-reporting\EC\2017-07-11-refined-times.txt</v>
      </c>
      <c r="AI177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{"issue":{"subject":"","project_id":79,"tracker_id":40,"status_id":1,"priority_id":2,"assigned_to_id":23,"start_date":"2017-07-11","description":"","custom_fields":[{"id":1,"name":"Subdivision","value":"NW"},{"id":4,"name":"Milepost","value":"0.068"},{"id":17,"name":"Train ID","value":"818-11"},{"id":16,"name":"Locomotive ID","value":"4023"},{"id":130,"name":"Impact","value":""},{"id":150,"name":"Time of Event (Mountain Time)","value":"11:55:06"},{"id":151,"name":"Denver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7"/>
        <v>start /low /b %USERPROFILE%\Documents\GitHub\eaglep3\Utilities\DownloadLogsFromS3.py --loco 4023 --day 2017-07-11</v>
      </c>
      <c r="AN177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721</v>
      </c>
      <c r="B178" s="7">
        <v>4024</v>
      </c>
      <c r="C178" s="21" t="s">
        <v>199</v>
      </c>
      <c r="D178" s="21" t="s">
        <v>955</v>
      </c>
      <c r="E178" s="13">
        <v>42927.508402777778</v>
      </c>
      <c r="F178" s="13">
        <v>42927.514826388891</v>
      </c>
      <c r="G178" s="7">
        <v>1</v>
      </c>
      <c r="H178" s="21" t="s">
        <v>959</v>
      </c>
      <c r="I178" s="13">
        <v>42927.524143518516</v>
      </c>
      <c r="J178" s="7">
        <v>0</v>
      </c>
      <c r="K178" s="89" t="str">
        <f t="shared" si="53"/>
        <v>4023/4024</v>
      </c>
      <c r="L178" s="21" t="str">
        <f>VLOOKUP(A178,'Trips&amp;Operators'!$C$1:$G$99999,5,FALSE)</f>
        <v>YANG JAN</v>
      </c>
      <c r="M178" s="6">
        <f t="shared" si="54"/>
        <v>9.3171296248328872E-3</v>
      </c>
      <c r="N178" s="7">
        <f t="shared" si="69"/>
        <v>13.416666659759358</v>
      </c>
      <c r="O178" s="7"/>
      <c r="P178" s="7"/>
      <c r="Q178" s="22"/>
      <c r="R178" s="170"/>
      <c r="S178" s="213">
        <f t="shared" si="70"/>
        <v>1</v>
      </c>
      <c r="T178" s="195" t="str">
        <f t="shared" si="55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6"/>
        <v>https://d0f6bd738d7f1b3e5a7ca70fe4ff75f0.us-east-1.aws.found.io/app/kibana#/discover/Steve-Slow-Train-Analysis-(2080s-and-2083s)?_g=(refreshInterval:(display:Off,pause:!f,section:0,value:0),time:(from:'2017-07-11T11:12:06-0600',mode:absolute,to:'2017-07-11T13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8" s="197" t="str">
        <f>IF(AA178&lt;VLOOKUP(AG178,Variables!$AC$3:$AD$8,2,FALSE),"Y","N")</f>
        <v>N</v>
      </c>
      <c r="X178" s="197">
        <f t="shared" si="57"/>
        <v>1</v>
      </c>
      <c r="Y178" s="197">
        <f t="shared" si="71"/>
        <v>9.7199999999999995E-2</v>
      </c>
      <c r="Z178" s="197">
        <f t="shared" si="72"/>
        <v>5.8939000000000004</v>
      </c>
      <c r="AA178" s="197">
        <f t="shared" si="60"/>
        <v>5.7967000000000004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1"/>
        <v>819</v>
      </c>
      <c r="AE178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78" s="74" t="str">
        <f t="shared" si="63"/>
        <v>"C:\Program Files (x86)\AstroGrep\AstroGrep.exe" /e /r /s /spath="%USERPROFILE%\AppData\Local\Temp\OnboardLogs" /stypes="app*4024*20170711*" /stext=" 18:.+((SYSTEM_STATE.+slice.+state.+changed )|(ment ac)|(multiple cpu faults)|(system.+state.+changed )|(\[timeout)|(PRM\|1\|D)|(kpr)|(kdp)|(train st.+moving)|(\|lc)|(penalty))"</v>
      </c>
      <c r="AG178" s="209" t="str">
        <f t="shared" si="64"/>
        <v>NW</v>
      </c>
      <c r="AH178" s="78" t="str">
        <f t="shared" si="65"/>
        <v>"%USERPROFILE%\Documents\GitHub\eaglep3\Utilities\RefineRTDCRunTimes.py" --tripid 819-11 --locoid 4024 --swversion DE.1.0.9.0 --startMP 204:972 --initTime 2017-07-11T12:12:06 --startdatetime 2017-07-11T12:21:21 --delay 1 --endMP 300:58939 --enddatetime 2017-07-11T12:34:46 --enforcementcount 0 &gt;&gt;C:\Users\stu\Documents\GitHub\eaglep3-reporting\EC\2017-07-11-refined-times.txt</v>
      </c>
      <c r="AI178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{"issue":{"subject":"","project_id":79,"tracker_id":40,"status_id":1,"priority_id":2,"assigned_to_id":23,"start_date":"2017-07-11","description":"","custom_fields":[{"id":1,"name":"Subdivision","value":"NW"},{"id":4,"name":"Milepost","value":"5.8939"},{"id":17,"name":"Train ID","value":"819-11"},{"id":16,"name":"Locomotive ID","value":"4024"},{"id":130,"name":"Impact","value":""},{"id":150,"name":"Time of Event (Mountain Time)","value":"12:34:46"},{"id":151,"name":"Denver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7"/>
        <v>start /low /b %USERPROFILE%\Documents\GitHub\eaglep3\Utilities\DownloadLogsFromS3.py --loco 4024 --day 2017-07-11</v>
      </c>
      <c r="AN178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723</v>
      </c>
      <c r="B179" s="7">
        <v>4023</v>
      </c>
      <c r="C179" s="21" t="s">
        <v>199</v>
      </c>
      <c r="D179" s="21" t="s">
        <v>955</v>
      </c>
      <c r="E179" s="13">
        <v>42927.508402777778</v>
      </c>
      <c r="F179" s="13">
        <v>42927.525694444441</v>
      </c>
      <c r="G179" s="7">
        <v>1</v>
      </c>
      <c r="H179" s="21" t="s">
        <v>959</v>
      </c>
      <c r="I179" s="13">
        <v>42927.526388888888</v>
      </c>
      <c r="J179" s="7">
        <v>0</v>
      </c>
      <c r="K179" s="89" t="str">
        <f t="shared" si="53"/>
        <v>4023/4024</v>
      </c>
      <c r="L179" s="21" t="str">
        <f>VLOOKUP(A179,'Trips&amp;Operators'!$C$1:$G$99999,5,FALSE)</f>
        <v>YANG JAN</v>
      </c>
      <c r="M179" s="6">
        <f t="shared" si="54"/>
        <v>6.944444467080757E-4</v>
      </c>
      <c r="N179" s="7"/>
      <c r="O179" s="7"/>
      <c r="P179" s="7">
        <f>24*60*SUM($M179:$M179)</f>
        <v>1.000000003259629</v>
      </c>
      <c r="Q179" s="22"/>
      <c r="R179" s="170" t="s">
        <v>1028</v>
      </c>
      <c r="S179" s="213">
        <f t="shared" si="70"/>
        <v>0</v>
      </c>
      <c r="T179" s="195" t="str">
        <f t="shared" si="55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196" t="str">
        <f t="shared" si="56"/>
        <v>https://d0f6bd738d7f1b3e5a7ca70fe4ff75f0.us-east-1.aws.found.io/app/kibana#/discover/Steve-Slow-Train-Analysis-(2080s-and-2083s)?_g=(refreshInterval:(display:Off,pause:!f,section:0,value:0),time:(from:'2017-07-11T11:12:06-0600',mode:absolute,to:'2017-07-11T13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9" s="197" t="str">
        <f>IF(AA179&lt;VLOOKUP(AG179,Variables!$AC$3:$AD$8,2,FALSE),"Y","N")</f>
        <v>Y</v>
      </c>
      <c r="X179" s="197">
        <f t="shared" si="57"/>
        <v>1</v>
      </c>
      <c r="Y179" s="197">
        <v>0</v>
      </c>
      <c r="Z179" s="197">
        <v>0</v>
      </c>
      <c r="AA179" s="197">
        <f t="shared" si="60"/>
        <v>0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1"/>
        <v>820</v>
      </c>
      <c r="AE179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79" s="74" t="str">
        <f t="shared" si="63"/>
        <v>"C:\Program Files (x86)\AstroGrep\AstroGrep.exe" /e /r /s /spath="%USERPROFILE%\AppData\Local\Temp\OnboardLogs" /stypes="app*4023*20170711*" /stext=" 18:.+((SYSTEM_STATE.+slice.+state.+changed )|(ment ac)|(multiple cpu faults)|(system.+state.+changed )|(\[timeout)|(PRM\|1\|D)|(kpr)|(kdp)|(train st.+moving)|(\|lc)|(penalty))"</v>
      </c>
      <c r="AG179" s="209" t="str">
        <f t="shared" si="64"/>
        <v>NW</v>
      </c>
      <c r="AH179" s="78" t="str">
        <f t="shared" ref="AH179" si="73"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820-11 --locoid 4023 --swversion DE.1.0.9.0 --startMP 204:972 --initTime 2017-07-11T12:12:06 --startdatetime 2017-07-11T12:37:00 --delay 1 --endMP 300:58939 --enddatetime 2017-07-11T12:38:00 --enforcementcount 0 &gt;&gt;C:\Users\stu\Documents\GitHub\eaglep3-reporting\EC\2017-07-11-refined-times.txt</v>
      </c>
      <c r="AI179" s="96" t="str">
        <f t="shared" ref="AI179" si="74"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failure","project_id":79,"tracker_id":40,"status_id":1,"priority_id":2,"assigned_to_id":23,"start_date":"2017-07-11","description":"","custom_fields":[{"id":1,"name":"Subdivision","value":"NW"},{"id":4,"name":"Milepost","value":"0"},{"id":17,"name":"Train ID","value":"820-11"},{"id":16,"name":"Locomotive ID","value":"4023"},{"id":130,"name":"Impact","value":""},{"id":150,"name":"Time of Event (Mountain Time)","value":"12:38:00"},{"id":151,"name":"Denver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ref="AM179" si="75">"start /low /b "&amp;dls3logs&amp;" --loco "&amp;B179&amp;" --day "&amp;TEXT(F179,"YYYY-MM-DD")</f>
        <v>start /low /b %USERPROFILE%\Documents\GitHub\eaglep3\Utilities\DownloadLogsFromS3.py --loco 4023 --day 2017-07-11</v>
      </c>
      <c r="AN179" s="151" t="str">
        <f t="shared" ref="AN179" si="76">"echo {""issue"":{""subject"":"""&amp;R179&amp;""",""project_id"":30,""tracker_id"":4,""status_id"":"&amp;redmine_status_wcr&amp;",""priority_id"":"&amp;redmine_priority_wcr&amp;",""assigned_to_id"":"&amp;redmine_assignee_wcr&amp;",""start_date"":"""&amp;TEXT(I179-utc_offset/24,"YYYY-mm-dd")&amp;""",""description"":"""&amp;AJ179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730</v>
      </c>
      <c r="B180" s="7">
        <v>4024</v>
      </c>
      <c r="C180" s="21" t="s">
        <v>199</v>
      </c>
      <c r="D180" s="21" t="s">
        <v>960</v>
      </c>
      <c r="E180" s="13">
        <v>42927.548275462963</v>
      </c>
      <c r="F180" s="13">
        <v>42927.556446759256</v>
      </c>
      <c r="G180" s="7">
        <v>2</v>
      </c>
      <c r="H180" s="21" t="s">
        <v>961</v>
      </c>
      <c r="I180" s="13">
        <v>42927.566643518519</v>
      </c>
      <c r="J180" s="7">
        <v>0</v>
      </c>
      <c r="K180" s="89" t="str">
        <f t="shared" si="53"/>
        <v>4023/4024</v>
      </c>
      <c r="L180" s="21" t="str">
        <f>VLOOKUP(A180,'Trips&amp;Operators'!$C$1:$G$99999,5,FALSE)</f>
        <v>CASSIDY BRANDON</v>
      </c>
      <c r="M180" s="6">
        <f t="shared" si="54"/>
        <v>1.0196759263635613E-2</v>
      </c>
      <c r="N180" s="7">
        <f t="shared" ref="N180:P210" si="77">24*60*SUM($M180:$M180)</f>
        <v>14.683333339635283</v>
      </c>
      <c r="O180" s="7"/>
      <c r="P180" s="7"/>
      <c r="Q180" s="22"/>
      <c r="R180" s="170"/>
      <c r="S180" s="213">
        <f t="shared" si="70"/>
        <v>1</v>
      </c>
      <c r="T180" s="195" t="str">
        <f t="shared" si="55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6"/>
        <v>https://d0f6bd738d7f1b3e5a7ca70fe4ff75f0.us-east-1.aws.found.io/app/kibana#/discover/Steve-Slow-Train-Analysis-(2080s-and-2083s)?_g=(refreshInterval:(display:Off,pause:!f,section:0,value:0),time:(from:'2017-07-11T12:09:31-0600',mode:absolute,to:'2017-07-11T14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0" s="197" t="str">
        <f>IF(AA180&lt;VLOOKUP(AG180,Variables!$AC$3:$AD$8,2,FALSE),"Y","N")</f>
        <v>N</v>
      </c>
      <c r="X180" s="197">
        <f t="shared" si="57"/>
        <v>1</v>
      </c>
      <c r="Y180" s="197">
        <f t="shared" ref="Y180:Y210" si="78">RIGHT(D180,LEN(D180)-4)/10000</f>
        <v>0.1021</v>
      </c>
      <c r="Z180" s="197">
        <f t="shared" ref="Z180:Z210" si="79">RIGHT(H180,LEN(H180)-4)/10000</f>
        <v>5.8944000000000001</v>
      </c>
      <c r="AA180" s="197">
        <f t="shared" si="60"/>
        <v>5.7923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1"/>
        <v>821</v>
      </c>
      <c r="AE180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80" s="74" t="str">
        <f t="shared" si="63"/>
        <v>"C:\Program Files (x86)\AstroGrep\AstroGrep.exe" /e /r /s /spath="%USERPROFILE%\AppData\Local\Temp\OnboardLogs" /stypes="app*4024*20170711*" /stext=" 19:.+((SYSTEM_STATE.+slice.+state.+changed )|(ment ac)|(multiple cpu faults)|(system.+state.+changed )|(\[timeout)|(PRM\|1\|D)|(kpr)|(kdp)|(train st.+moving)|(\|lc)|(penalty))"</v>
      </c>
      <c r="AG180" s="209" t="str">
        <f t="shared" si="64"/>
        <v>NW</v>
      </c>
      <c r="AH180" s="78" t="str">
        <f t="shared" si="65"/>
        <v>"%USERPROFILE%\Documents\GitHub\eaglep3\Utilities\RefineRTDCRunTimes.py" --tripid 821-11 --locoid 4024 --swversion DE.1.0.9.0 --startMP 204:1021 --initTime 2017-07-11T13:09:31 --startdatetime 2017-07-11T13:21:17 --delay 2 --endMP 300:58944 --enddatetime 2017-07-11T13:35:58 --enforcementcount 0 &gt;&gt;C:\Users\stu\Documents\GitHub\eaglep3-reporting\EC\2017-07-11-refined-times.txt</v>
      </c>
      <c r="AI180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{"issue":{"subject":"","project_id":79,"tracker_id":40,"status_id":1,"priority_id":2,"assigned_to_id":23,"start_date":"2017-07-11","description":"","custom_fields":[{"id":1,"name":"Subdivision","value":"NW"},{"id":4,"name":"Milepost","value":"5.8944"},{"id":17,"name":"Train ID","value":"821-11"},{"id":16,"name":"Locomotive ID","value":"4024"},{"id":130,"name":"Impact","value":""},{"id":150,"name":"Time of Event (Mountain Time)","value":"13:35:58"},{"id":151,"name":"Denver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7"/>
        <v>start /low /b %USERPROFILE%\Documents\GitHub\eaglep3\Utilities\DownloadLogsFromS3.py --loco 4024 --day 2017-07-11</v>
      </c>
      <c r="AN180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733</v>
      </c>
      <c r="B181" s="7">
        <v>4023</v>
      </c>
      <c r="C181" s="21" t="s">
        <v>199</v>
      </c>
      <c r="D181" s="21" t="s">
        <v>962</v>
      </c>
      <c r="E181" s="13">
        <v>42927.568692129629</v>
      </c>
      <c r="F181" s="13">
        <v>42927.570891203701</v>
      </c>
      <c r="G181" s="7">
        <v>1</v>
      </c>
      <c r="H181" s="21" t="s">
        <v>963</v>
      </c>
      <c r="I181" s="13">
        <v>42927.580081018517</v>
      </c>
      <c r="J181" s="7">
        <v>0</v>
      </c>
      <c r="K181" s="89" t="str">
        <f t="shared" si="53"/>
        <v>4023/4024</v>
      </c>
      <c r="L181" s="21" t="str">
        <f>VLOOKUP(A181,'Trips&amp;Operators'!$C$1:$G$99999,5,FALSE)</f>
        <v>CASSIDY BRANDON</v>
      </c>
      <c r="M181" s="6">
        <f t="shared" si="54"/>
        <v>9.189814816636499E-3</v>
      </c>
      <c r="N181" s="7">
        <f t="shared" si="77"/>
        <v>13.233333335956559</v>
      </c>
      <c r="O181" s="7"/>
      <c r="P181" s="7"/>
      <c r="Q181" s="22"/>
      <c r="R181" s="170"/>
      <c r="S181" s="213">
        <f t="shared" si="70"/>
        <v>1</v>
      </c>
      <c r="T181" s="195" t="str">
        <f t="shared" si="55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6"/>
        <v>https://d0f6bd738d7f1b3e5a7ca70fe4ff75f0.us-east-1.aws.found.io/app/kibana#/discover/Steve-Slow-Train-Analysis-(2080s-and-2083s)?_g=(refreshInterval:(display:Off,pause:!f,section:0,value:0),time:(from:'2017-07-11T12:38:55-0600',mode:absolute,to:'2017-07-11T14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1" s="197" t="str">
        <f>IF(AA181&lt;VLOOKUP(AG181,Variables!$AC$3:$AD$8,2,FALSE),"Y","N")</f>
        <v>N</v>
      </c>
      <c r="X181" s="197">
        <f t="shared" si="57"/>
        <v>1</v>
      </c>
      <c r="Y181" s="197">
        <f t="shared" si="78"/>
        <v>5.8625999999999996</v>
      </c>
      <c r="Z181" s="197">
        <f t="shared" si="79"/>
        <v>7.4300000000000005E-2</v>
      </c>
      <c r="AA181" s="197">
        <f t="shared" si="60"/>
        <v>5.7882999999999996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1"/>
        <v>822</v>
      </c>
      <c r="AE181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81" s="74" t="str">
        <f t="shared" si="63"/>
        <v>"C:\Program Files (x86)\AstroGrep\AstroGrep.exe" /e /r /s /spath="%USERPROFILE%\AppData\Local\Temp\OnboardLogs" /stypes="app*4023*20170711*" /stext=" 19:.+((SYSTEM_STATE.+slice.+state.+changed )|(ment ac)|(multiple cpu faults)|(system.+state.+changed )|(\[timeout)|(PRM\|1\|D)|(kpr)|(kdp)|(train st.+moving)|(\|lc)|(penalty))"</v>
      </c>
      <c r="AG181" s="209" t="str">
        <f t="shared" si="64"/>
        <v>NW</v>
      </c>
      <c r="AH181" s="78" t="str">
        <f t="shared" si="65"/>
        <v>"%USERPROFILE%\Documents\GitHub\eaglep3\Utilities\RefineRTDCRunTimes.py" --tripid 822-11 --locoid 4023 --swversion DE.1.0.9.0 --startMP 300:58626 --initTime 2017-07-11T13:38:55 --startdatetime 2017-07-11T13:42:05 --delay 1 --endMP 204:743 --enddatetime 2017-07-11T13:55:19 --enforcementcount 0 &gt;&gt;C:\Users\stu\Documents\GitHub\eaglep3-reporting\EC\2017-07-11-refined-times.txt</v>
      </c>
      <c r="AI181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{"issue":{"subject":"","project_id":79,"tracker_id":40,"status_id":1,"priority_id":2,"assigned_to_id":23,"start_date":"2017-07-11","description":"","custom_fields":[{"id":1,"name":"Subdivision","value":"NW"},{"id":4,"name":"Milepost","value":"0.0743"},{"id":17,"name":"Train ID","value":"822-11"},{"id":16,"name":"Locomotive ID","value":"4023"},{"id":130,"name":"Impact","value":""},{"id":150,"name":"Time of Event (Mountain Time)","value":"13:55:19"},{"id":151,"name":"Denver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7"/>
        <v>start /low /b %USERPROFILE%\Documents\GitHub\eaglep3\Utilities\DownloadLogsFromS3.py --loco 4023 --day 2017-07-11</v>
      </c>
      <c r="AN181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588</v>
      </c>
      <c r="B182" s="7">
        <v>4024</v>
      </c>
      <c r="C182" s="21" t="s">
        <v>199</v>
      </c>
      <c r="D182" s="21" t="s">
        <v>964</v>
      </c>
      <c r="E182" s="13">
        <v>42927.594513888886</v>
      </c>
      <c r="F182" s="13">
        <v>42927.598321759258</v>
      </c>
      <c r="G182" s="7">
        <v>1</v>
      </c>
      <c r="H182" s="21" t="s">
        <v>965</v>
      </c>
      <c r="I182" s="13">
        <v>42927.609456018516</v>
      </c>
      <c r="J182" s="7">
        <v>0</v>
      </c>
      <c r="K182" s="89" t="str">
        <f t="shared" si="53"/>
        <v>4023/4024</v>
      </c>
      <c r="L182" s="21" t="str">
        <f>VLOOKUP(A182,'Trips&amp;Operators'!$C$1:$G$99999,5,FALSE)</f>
        <v>CASSIDY BRANDON</v>
      </c>
      <c r="M182" s="6">
        <f t="shared" si="54"/>
        <v>1.113425925723277E-2</v>
      </c>
      <c r="N182" s="7">
        <f t="shared" si="77"/>
        <v>16.033333330415189</v>
      </c>
      <c r="O182" s="7"/>
      <c r="P182" s="7"/>
      <c r="Q182" s="22"/>
      <c r="R182" s="170"/>
      <c r="S182" s="213">
        <f t="shared" si="70"/>
        <v>1</v>
      </c>
      <c r="T182" s="195" t="str">
        <f t="shared" si="55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6"/>
        <v>https://d0f6bd738d7f1b3e5a7ca70fe4ff75f0.us-east-1.aws.found.io/app/kibana#/discover/Steve-Slow-Train-Analysis-(2080s-and-2083s)?_g=(refreshInterval:(display:Off,pause:!f,section:0,value:0),time:(from:'2017-07-11T13:16:06-0600',mode:absolute,to:'2017-07-11T15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2" s="197" t="str">
        <f>IF(AA182&lt;VLOOKUP(AG182,Variables!$AC$3:$AD$8,2,FALSE),"Y","N")</f>
        <v>N</v>
      </c>
      <c r="X182" s="197">
        <f t="shared" si="57"/>
        <v>1</v>
      </c>
      <c r="Y182" s="197">
        <f t="shared" si="78"/>
        <v>0.10199999999999999</v>
      </c>
      <c r="Z182" s="197">
        <f t="shared" si="79"/>
        <v>5.8971</v>
      </c>
      <c r="AA182" s="197">
        <f t="shared" si="60"/>
        <v>5.7950999999999997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1"/>
        <v>823</v>
      </c>
      <c r="AE182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82" s="74" t="str">
        <f t="shared" si="63"/>
        <v>"C:\Program Files (x86)\AstroGrep\AstroGrep.exe" /e /r /s /spath="%USERPROFILE%\AppData\Local\Temp\OnboardLogs" /stypes="app*4024*20170711*" /stext=" 20:.+((SYSTEM_STATE.+slice.+state.+changed )|(ment ac)|(multiple cpu faults)|(system.+state.+changed )|(\[timeout)|(PRM\|1\|D)|(kpr)|(kdp)|(train st.+moving)|(\|lc)|(penalty))"</v>
      </c>
      <c r="AG182" s="209" t="str">
        <f t="shared" si="64"/>
        <v>NW</v>
      </c>
      <c r="AH182" s="78" t="str">
        <f t="shared" si="65"/>
        <v>"%USERPROFILE%\Documents\GitHub\eaglep3\Utilities\RefineRTDCRunTimes.py" --tripid 823-11 --locoid 4024 --swversion DE.1.0.9.0 --startMP 204:1020 --initTime 2017-07-11T14:16:06 --startdatetime 2017-07-11T14:21:35 --delay 1 --endMP 300:58971 --enddatetime 2017-07-11T14:37:37 --enforcementcount 0 &gt;&gt;C:\Users\stu\Documents\GitHub\eaglep3-reporting\EC\2017-07-11-refined-times.txt</v>
      </c>
      <c r="AI182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{"issue":{"subject":"","project_id":79,"tracker_id":40,"status_id":1,"priority_id":2,"assigned_to_id":23,"start_date":"2017-07-11","description":"","custom_fields":[{"id":1,"name":"Subdivision","value":"NW"},{"id":4,"name":"Milepost","value":"5.8971"},{"id":17,"name":"Train ID","value":"823-11"},{"id":16,"name":"Locomotive ID","value":"4024"},{"id":130,"name":"Impact","value":""},{"id":150,"name":"Time of Event (Mountain Time)","value":"14:37:37"},{"id":151,"name":"Denver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7"/>
        <v>start /low /b %USERPROFILE%\Documents\GitHub\eaglep3\Utilities\DownloadLogsFromS3.py --loco 4024 --day 2017-07-11</v>
      </c>
      <c r="AN182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741</v>
      </c>
      <c r="B183" s="7">
        <v>4023</v>
      </c>
      <c r="C183" s="21" t="s">
        <v>199</v>
      </c>
      <c r="D183" s="21" t="s">
        <v>966</v>
      </c>
      <c r="E183" s="13">
        <v>42927.610555555555</v>
      </c>
      <c r="F183" s="13">
        <v>42927.612164351849</v>
      </c>
      <c r="G183" s="7">
        <v>1</v>
      </c>
      <c r="H183" s="21" t="s">
        <v>549</v>
      </c>
      <c r="I183" s="13">
        <v>42927.621562499997</v>
      </c>
      <c r="J183" s="7">
        <v>0</v>
      </c>
      <c r="K183" s="89" t="str">
        <f t="shared" si="53"/>
        <v>4023/4024</v>
      </c>
      <c r="L183" s="21" t="str">
        <f>VLOOKUP(A183,'Trips&amp;Operators'!$C$1:$G$99999,5,FALSE)</f>
        <v>CASSIDY BRANDON</v>
      </c>
      <c r="M183" s="6">
        <f t="shared" si="54"/>
        <v>9.3981481477385387E-3</v>
      </c>
      <c r="N183" s="7">
        <f t="shared" si="77"/>
        <v>13.533333332743496</v>
      </c>
      <c r="O183" s="7"/>
      <c r="P183" s="7"/>
      <c r="Q183" s="22"/>
      <c r="R183" s="170"/>
      <c r="S183" s="213">
        <f t="shared" si="70"/>
        <v>1</v>
      </c>
      <c r="T183" s="195" t="str">
        <f t="shared" si="55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6"/>
        <v>https://d0f6bd738d7f1b3e5a7ca70fe4ff75f0.us-east-1.aws.found.io/app/kibana#/discover/Steve-Slow-Train-Analysis-(2080s-and-2083s)?_g=(refreshInterval:(display:Off,pause:!f,section:0,value:0),time:(from:'2017-07-11T13:39:12-0600',mode:absolute,to:'2017-07-11T15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3" s="197" t="str">
        <f>IF(AA183&lt;VLOOKUP(AG183,Variables!$AC$3:$AD$8,2,FALSE),"Y","N")</f>
        <v>N</v>
      </c>
      <c r="X183" s="197">
        <f t="shared" si="57"/>
        <v>1</v>
      </c>
      <c r="Y183" s="197">
        <f t="shared" si="78"/>
        <v>5.8651</v>
      </c>
      <c r="Z183" s="197">
        <f t="shared" si="79"/>
        <v>7.0499999999999993E-2</v>
      </c>
      <c r="AA183" s="197">
        <f t="shared" si="60"/>
        <v>5.7946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1"/>
        <v>824</v>
      </c>
      <c r="AE183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83" s="74" t="str">
        <f t="shared" si="63"/>
        <v>"C:\Program Files (x86)\AstroGrep\AstroGrep.exe" /e /r /s /spath="%USERPROFILE%\AppData\Local\Temp\OnboardLogs" /stypes="app*4023*20170711*" /stext=" 20:.+((SYSTEM_STATE.+slice.+state.+changed )|(ment ac)|(multiple cpu faults)|(system.+state.+changed )|(\[timeout)|(PRM\|1\|D)|(kpr)|(kdp)|(train st.+moving)|(\|lc)|(penalty))"</v>
      </c>
      <c r="AG183" s="209" t="str">
        <f t="shared" si="64"/>
        <v>NW</v>
      </c>
      <c r="AH183" s="78" t="str">
        <f t="shared" si="65"/>
        <v>"%USERPROFILE%\Documents\GitHub\eaglep3\Utilities\RefineRTDCRunTimes.py" --tripid 824-11 --locoid 4023 --swversion DE.1.0.9.0 --startMP 300:58651 --initTime 2017-07-11T14:39:12 --startdatetime 2017-07-11T14:41:31 --delay 1 --endMP 204:705 --enddatetime 2017-07-11T14:55:03 --enforcementcount 0 &gt;&gt;C:\Users\stu\Documents\GitHub\eaglep3-reporting\EC\2017-07-11-refined-times.txt</v>
      </c>
      <c r="AI183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{"issue":{"subject":"","project_id":79,"tracker_id":40,"status_id":1,"priority_id":2,"assigned_to_id":23,"start_date":"2017-07-11","description":"","custom_fields":[{"id":1,"name":"Subdivision","value":"NW"},{"id":4,"name":"Milepost","value":"0.0705"},{"id":17,"name":"Train ID","value":"824-11"},{"id":16,"name":"Locomotive ID","value":"4023"},{"id":130,"name":"Impact","value":""},{"id":150,"name":"Time of Event (Mountain Time)","value":"14:55:03"},{"id":151,"name":"Denver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7"/>
        <v>start /low /b %USERPROFILE%\Documents\GitHub\eaglep3\Utilities\DownloadLogsFromS3.py --loco 4023 --day 2017-07-11</v>
      </c>
      <c r="AN183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20:55:03"},{"id":29,"name":"Sharepoint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744</v>
      </c>
      <c r="B184" s="7">
        <v>4024</v>
      </c>
      <c r="C184" s="21" t="s">
        <v>199</v>
      </c>
      <c r="D184" s="21" t="s">
        <v>967</v>
      </c>
      <c r="E184" s="13">
        <v>42927.636469907404</v>
      </c>
      <c r="F184" s="13">
        <v>42927.640057870369</v>
      </c>
      <c r="G184" s="7">
        <v>1</v>
      </c>
      <c r="H184" s="21" t="s">
        <v>968</v>
      </c>
      <c r="I184" s="13">
        <v>42927.650011574071</v>
      </c>
      <c r="J184" s="7">
        <v>0</v>
      </c>
      <c r="K184" s="89" t="str">
        <f t="shared" si="53"/>
        <v>4023/4024</v>
      </c>
      <c r="L184" s="21" t="str">
        <f>VLOOKUP(A184,'Trips&amp;Operators'!$C$1:$G$99999,5,FALSE)</f>
        <v>CASSIDY BRANDON</v>
      </c>
      <c r="M184" s="6">
        <f t="shared" si="54"/>
        <v>9.9537037021946162E-3</v>
      </c>
      <c r="N184" s="7">
        <f t="shared" si="77"/>
        <v>14.333333331160247</v>
      </c>
      <c r="O184" s="7"/>
      <c r="P184" s="7"/>
      <c r="Q184" s="22"/>
      <c r="R184" s="170"/>
      <c r="S184" s="213">
        <f t="shared" si="70"/>
        <v>1</v>
      </c>
      <c r="T184" s="195" t="str">
        <f t="shared" si="55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6"/>
        <v>https://d0f6bd738d7f1b3e5a7ca70fe4ff75f0.us-east-1.aws.found.io/app/kibana#/discover/Steve-Slow-Train-Analysis-(2080s-and-2083s)?_g=(refreshInterval:(display:Off,pause:!f,section:0,value:0),time:(from:'2017-07-11T14:16:31-0600',mode:absolute,to:'2017-07-11T16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4" s="197" t="str">
        <f>IF(AA184&lt;VLOOKUP(AG184,Variables!$AC$3:$AD$8,2,FALSE),"Y","N")</f>
        <v>N</v>
      </c>
      <c r="X184" s="197">
        <f t="shared" si="57"/>
        <v>1</v>
      </c>
      <c r="Y184" s="197">
        <f t="shared" si="78"/>
        <v>0.1013</v>
      </c>
      <c r="Z184" s="197">
        <f t="shared" si="79"/>
        <v>5.8929</v>
      </c>
      <c r="AA184" s="197">
        <f t="shared" si="60"/>
        <v>5.7915999999999999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1"/>
        <v>825</v>
      </c>
      <c r="AE184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84" s="74" t="str">
        <f t="shared" si="63"/>
        <v>"C:\Program Files (x86)\AstroGrep\AstroGrep.exe" /e /r /s /spath="%USERPROFILE%\AppData\Local\Temp\OnboardLogs" /stypes="app*4024*20170711*" /stext=" 21:.+((SYSTEM_STATE.+slice.+state.+changed )|(ment ac)|(multiple cpu faults)|(system.+state.+changed )|(\[timeout)|(PRM\|1\|D)|(kpr)|(kdp)|(train st.+moving)|(\|lc)|(penalty))"</v>
      </c>
      <c r="AG184" s="209" t="str">
        <f t="shared" si="64"/>
        <v>NW</v>
      </c>
      <c r="AH184" s="78" t="str">
        <f t="shared" si="65"/>
        <v>"%USERPROFILE%\Documents\GitHub\eaglep3\Utilities\RefineRTDCRunTimes.py" --tripid 825-11 --locoid 4024 --swversion DE.1.0.9.0 --startMP 204:1013 --initTime 2017-07-11T15:16:31 --startdatetime 2017-07-11T15:21:41 --delay 1 --endMP 300:58929 --enddatetime 2017-07-11T15:36:01 --enforcementcount 0 &gt;&gt;C:\Users\stu\Documents\GitHub\eaglep3-reporting\EC\2017-07-11-refined-times.txt</v>
      </c>
      <c r="AI184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{"issue":{"subject":"","project_id":79,"tracker_id":40,"status_id":1,"priority_id":2,"assigned_to_id":23,"start_date":"2017-07-11","description":"","custom_fields":[{"id":1,"name":"Subdivision","value":"NW"},{"id":4,"name":"Milepost","value":"5.8929"},{"id":17,"name":"Train ID","value":"825-11"},{"id":16,"name":"Locomotive ID","value":"4024"},{"id":130,"name":"Impact","value":""},{"id":150,"name":"Time of Event (Mountain Time)","value":"15:36:01"},{"id":151,"name":"Denver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7"/>
        <v>start /low /b %USERPROFILE%\Documents\GitHub\eaglep3\Utilities\DownloadLogsFromS3.py --loco 4024 --day 2017-07-11</v>
      </c>
      <c r="AN184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591</v>
      </c>
      <c r="B185" s="7">
        <v>4023</v>
      </c>
      <c r="C185" s="21" t="s">
        <v>199</v>
      </c>
      <c r="D185" s="21" t="s">
        <v>553</v>
      </c>
      <c r="E185" s="13">
        <v>42927.652025462965</v>
      </c>
      <c r="F185" s="13">
        <v>42927.653969907406</v>
      </c>
      <c r="G185" s="7">
        <v>1</v>
      </c>
      <c r="H185" s="21" t="s">
        <v>969</v>
      </c>
      <c r="I185" s="13">
        <v>42927.663877314815</v>
      </c>
      <c r="J185" s="7">
        <v>0</v>
      </c>
      <c r="K185" s="89" t="str">
        <f t="shared" si="53"/>
        <v>4023/4024</v>
      </c>
      <c r="L185" s="21" t="str">
        <f>VLOOKUP(A185,'Trips&amp;Operators'!$C$1:$G$99999,5,FALSE)</f>
        <v>CASSIDY BRANDON</v>
      </c>
      <c r="M185" s="6">
        <f t="shared" si="54"/>
        <v>9.9074074096279219E-3</v>
      </c>
      <c r="N185" s="7">
        <f t="shared" si="77"/>
        <v>14.266666669864208</v>
      </c>
      <c r="O185" s="7"/>
      <c r="P185" s="7"/>
      <c r="Q185" s="22"/>
      <c r="R185" s="170"/>
      <c r="S185" s="213">
        <f t="shared" si="70"/>
        <v>1</v>
      </c>
      <c r="T185" s="195" t="str">
        <f t="shared" si="55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6"/>
        <v>https://d0f6bd738d7f1b3e5a7ca70fe4ff75f0.us-east-1.aws.found.io/app/kibana#/discover/Steve-Slow-Train-Analysis-(2080s-and-2083s)?_g=(refreshInterval:(display:Off,pause:!f,section:0,value:0),time:(from:'2017-07-11T14:38:55-0600',mode:absolute,to:'2017-07-11T16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5" s="197" t="str">
        <f>IF(AA185&lt;VLOOKUP(AG185,Variables!$AC$3:$AD$8,2,FALSE),"Y","N")</f>
        <v>N</v>
      </c>
      <c r="X185" s="197">
        <f t="shared" si="57"/>
        <v>1</v>
      </c>
      <c r="Y185" s="197">
        <f t="shared" si="78"/>
        <v>5.8624000000000001</v>
      </c>
      <c r="Z185" s="197">
        <f t="shared" si="79"/>
        <v>7.6200000000000004E-2</v>
      </c>
      <c r="AA185" s="197">
        <f t="shared" si="60"/>
        <v>5.7862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1"/>
        <v>826</v>
      </c>
      <c r="AE185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85" s="74" t="str">
        <f t="shared" si="63"/>
        <v>"C:\Program Files (x86)\AstroGrep\AstroGrep.exe" /e /r /s /spath="%USERPROFILE%\AppData\Local\Temp\OnboardLogs" /stypes="app*4023*20170711*" /stext=" 21:.+((SYSTEM_STATE.+slice.+state.+changed )|(ment ac)|(multiple cpu faults)|(system.+state.+changed )|(\[timeout)|(PRM\|1\|D)|(kpr)|(kdp)|(train st.+moving)|(\|lc)|(penalty))"</v>
      </c>
      <c r="AG185" s="209" t="str">
        <f t="shared" si="64"/>
        <v>NW</v>
      </c>
      <c r="AH185" s="78" t="str">
        <f t="shared" si="65"/>
        <v>"%USERPROFILE%\Documents\GitHub\eaglep3\Utilities\RefineRTDCRunTimes.py" --tripid 826-11 --locoid 4023 --swversion DE.1.0.9.0 --startMP 300:58624 --initTime 2017-07-11T15:38:55 --startdatetime 2017-07-11T15:41:43 --delay 1 --endMP 204:762 --enddatetime 2017-07-11T15:55:59 --enforcementcount 0 &gt;&gt;C:\Users\stu\Documents\GitHub\eaglep3-reporting\EC\2017-07-11-refined-times.txt</v>
      </c>
      <c r="AI185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{"issue":{"subject":"","project_id":79,"tracker_id":40,"status_id":1,"priority_id":2,"assigned_to_id":23,"start_date":"2017-07-11","description":"","custom_fields":[{"id":1,"name":"Subdivision","value":"NW"},{"id":4,"name":"Milepost","value":"0.0762"},{"id":17,"name":"Train ID","value":"826-11"},{"id":16,"name":"Locomotive ID","value":"4023"},{"id":130,"name":"Impact","value":""},{"id":150,"name":"Time of Event (Mountain Time)","value":"15:55:59"},{"id":151,"name":"Denver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7"/>
        <v>start /low /b %USERPROFILE%\Documents\GitHub\eaglep3\Utilities\DownloadLogsFromS3.py --loco 4023 --day 2017-07-11</v>
      </c>
      <c r="AN185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592</v>
      </c>
      <c r="B186" s="7">
        <v>4062</v>
      </c>
      <c r="C186" s="21" t="s">
        <v>199</v>
      </c>
      <c r="D186" s="21" t="s">
        <v>970</v>
      </c>
      <c r="E186" s="13">
        <v>42927.647581018522</v>
      </c>
      <c r="F186" s="13">
        <v>42927.660752314812</v>
      </c>
      <c r="G186" s="7">
        <v>2</v>
      </c>
      <c r="H186" s="21" t="s">
        <v>971</v>
      </c>
      <c r="I186" s="13">
        <v>42927.670798611114</v>
      </c>
      <c r="J186" s="7">
        <v>0</v>
      </c>
      <c r="K186" s="89" t="str">
        <f t="shared" si="53"/>
        <v>4061/4062</v>
      </c>
      <c r="L186" s="21" t="str">
        <f>VLOOKUP(A186,'Trips&amp;Operators'!$C$1:$G$99999,5,FALSE)</f>
        <v>ELBAUM MIKE</v>
      </c>
      <c r="M186" s="6">
        <f t="shared" si="54"/>
        <v>1.004629630187992E-2</v>
      </c>
      <c r="N186" s="7">
        <f t="shared" si="77"/>
        <v>14.466666674707085</v>
      </c>
      <c r="O186" s="7"/>
      <c r="P186" s="7"/>
      <c r="Q186" s="22"/>
      <c r="R186" s="170"/>
      <c r="S186" s="213">
        <f t="shared" si="70"/>
        <v>1</v>
      </c>
      <c r="T186" s="195" t="str">
        <f t="shared" si="55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6"/>
        <v>https://d0f6bd738d7f1b3e5a7ca70fe4ff75f0.us-east-1.aws.found.io/app/kibana#/discover/Steve-Slow-Train-Analysis-(2080s-and-2083s)?_g=(refreshInterval:(display:Off,pause:!f,section:0,value:0),time:(from:'2017-07-11T14:32:31-0600',mode:absolute,to:'2017-07-11T17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6" s="197" t="str">
        <f>IF(AA186&lt;VLOOKUP(AG186,Variables!$AC$3:$AD$8,2,FALSE),"Y","N")</f>
        <v>N</v>
      </c>
      <c r="X186" s="197">
        <f t="shared" si="57"/>
        <v>1</v>
      </c>
      <c r="Y186" s="197">
        <f t="shared" si="78"/>
        <v>9.6699999999999994E-2</v>
      </c>
      <c r="Z186" s="197">
        <f t="shared" si="79"/>
        <v>5.8909000000000002</v>
      </c>
      <c r="AA186" s="197">
        <f t="shared" si="60"/>
        <v>5.7942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1"/>
        <v>827</v>
      </c>
      <c r="AE186" s="77" t="str">
        <f t="shared" si="62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186" s="74" t="str">
        <f t="shared" si="63"/>
        <v>"C:\Program Files (x86)\AstroGrep\AstroGrep.exe" /e /r /s /spath="%USERPROFILE%\AppData\Local\Temp\OnboardLogs" /stypes="app*4062*20170711*" /stext=" 22:.+((SYSTEM_STATE.+slice.+state.+changed )|(ment ac)|(multiple cpu faults)|(system.+state.+changed )|(\[timeout)|(PRM\|1\|D)|(kpr)|(kdp)|(train st.+moving)|(\|lc)|(penalty))"</v>
      </c>
      <c r="AG186" s="209" t="str">
        <f t="shared" si="64"/>
        <v>NW</v>
      </c>
      <c r="AH186" s="78" t="str">
        <f t="shared" si="65"/>
        <v>"%USERPROFILE%\Documents\GitHub\eaglep3\Utilities\RefineRTDCRunTimes.py" --tripid 827-11 --locoid 4062 --swversion DE.1.0.9.0 --startMP 204:967 --initTime 2017-07-11T15:32:31 --startdatetime 2017-07-11T15:51:29 --delay 2 --endMP 300:58909 --enddatetime 2017-07-11T16:05:57 --enforcementcount 0 &gt;&gt;C:\Users\stu\Documents\GitHub\eaglep3-reporting\EC\2017-07-11-refined-times.txt</v>
      </c>
      <c r="AI186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{"issue":{"subject":"","project_id":79,"tracker_id":40,"status_id":1,"priority_id":2,"assigned_to_id":23,"start_date":"2017-07-11","description":"","custom_fields":[{"id":1,"name":"Subdivision","value":"NW"},{"id":4,"name":"Milepost","value":"5.8909"},{"id":17,"name":"Train ID","value":"827-11"},{"id":16,"name":"Locomotive ID","value":"4062"},{"id":130,"name":"Impact","value":""},{"id":150,"name":"Time of Event (Mountain Time)","value":"16:05:57"},{"id":151,"name":"Denver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7"/>
        <v>start /low /b %USERPROFILE%\Documents\GitHub\eaglep3\Utilities\DownloadLogsFromS3.py --loco 4062 --day 2017-07-11</v>
      </c>
      <c r="AN186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596</v>
      </c>
      <c r="B187" s="7">
        <v>4061</v>
      </c>
      <c r="C187" s="21" t="s">
        <v>199</v>
      </c>
      <c r="D187" s="21" t="s">
        <v>972</v>
      </c>
      <c r="E187" s="13">
        <v>42927.671909722223</v>
      </c>
      <c r="F187" s="13">
        <v>42927.674166666664</v>
      </c>
      <c r="G187" s="7">
        <v>2</v>
      </c>
      <c r="H187" s="21" t="s">
        <v>458</v>
      </c>
      <c r="I187" s="13">
        <v>42927.685057870367</v>
      </c>
      <c r="J187" s="7">
        <v>0</v>
      </c>
      <c r="K187" s="89" t="str">
        <f t="shared" si="53"/>
        <v>4061/4062</v>
      </c>
      <c r="L187" s="21" t="str">
        <f>VLOOKUP(A187,'Trips&amp;Operators'!$C$1:$G$99999,5,FALSE)</f>
        <v>ELBAUM MIKE</v>
      </c>
      <c r="M187" s="6">
        <f t="shared" si="54"/>
        <v>1.0891203703067731E-2</v>
      </c>
      <c r="N187" s="7">
        <f t="shared" si="77"/>
        <v>15.683333332417533</v>
      </c>
      <c r="O187" s="7"/>
      <c r="P187" s="7"/>
      <c r="Q187" s="22"/>
      <c r="R187" s="170"/>
      <c r="S187" s="213">
        <f t="shared" si="70"/>
        <v>1</v>
      </c>
      <c r="T187" s="195" t="str">
        <f t="shared" si="55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6"/>
        <v>https://d0f6bd738d7f1b3e5a7ca70fe4ff75f0.us-east-1.aws.found.io/app/kibana#/discover/Steve-Slow-Train-Analysis-(2080s-and-2083s)?_g=(refreshInterval:(display:Off,pause:!f,section:0,value:0),time:(from:'2017-07-11T15:07:33-0600',mode:absolute,to:'2017-07-11T17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7" s="197" t="str">
        <f>IF(AA187&lt;VLOOKUP(AG187,Variables!$AC$3:$AD$8,2,FALSE),"Y","N")</f>
        <v>N</v>
      </c>
      <c r="X187" s="197">
        <f t="shared" si="57"/>
        <v>1</v>
      </c>
      <c r="Y187" s="197">
        <f t="shared" si="78"/>
        <v>5.8597999999999999</v>
      </c>
      <c r="Z187" s="197">
        <f t="shared" si="79"/>
        <v>6.9400000000000003E-2</v>
      </c>
      <c r="AA187" s="197">
        <f t="shared" si="60"/>
        <v>5.7904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1"/>
        <v>828</v>
      </c>
      <c r="AE187" s="77" t="str">
        <f t="shared" si="62"/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AF187" s="74" t="str">
        <f t="shared" si="63"/>
        <v>"C:\Program Files (x86)\AstroGrep\AstroGrep.exe" /e /r /s /spath="%USERPROFILE%\AppData\Local\Temp\OnboardLogs" /stypes="app*4061*20170711*" /stext=" 22:.+((SYSTEM_STATE.+slice.+state.+changed )|(ment ac)|(multiple cpu faults)|(system.+state.+changed )|(\[timeout)|(PRM\|1\|D)|(kpr)|(kdp)|(train st.+moving)|(\|lc)|(penalty))"</v>
      </c>
      <c r="AG187" s="209" t="str">
        <f t="shared" si="64"/>
        <v>NW</v>
      </c>
      <c r="AH187" s="78" t="str">
        <f t="shared" si="65"/>
        <v>"%USERPROFILE%\Documents\GitHub\eaglep3\Utilities\RefineRTDCRunTimes.py" --tripid 828-11 --locoid 4061 --swversion DE.1.0.9.0 --startMP 300:58598 --initTime 2017-07-11T16:07:33 --startdatetime 2017-07-11T16:10:48 --delay 2 --endMP 204:694 --enddatetime 2017-07-11T16:26:29 --enforcementcount 0 &gt;&gt;C:\Users\stu\Documents\GitHub\eaglep3-reporting\EC\2017-07-11-refined-times.txt</v>
      </c>
      <c r="AI187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{"issue":{"subject":"","project_id":79,"tracker_id":40,"status_id":1,"priority_id":2,"assigned_to_id":23,"start_date":"2017-07-11","description":"","custom_fields":[{"id":1,"name":"Subdivision","value":"NW"},{"id":4,"name":"Milepost","value":"0.0694"},{"id":17,"name":"Train ID","value":"828-11"},{"id":16,"name":"Locomotive ID","value":"4061"},{"id":130,"name":"Impact","value":""},{"id":150,"name":"Time of Event (Mountain Time)","value":"16:26:29"},{"id":151,"name":"Denver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7"/>
        <v>start /low /b %USERPROFILE%\Documents\GitHub\eaglep3\Utilities\DownloadLogsFromS3.py --loco 4061 --day 2017-07-11</v>
      </c>
      <c r="AN187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755</v>
      </c>
      <c r="B188" s="7">
        <v>4024</v>
      </c>
      <c r="C188" s="21" t="s">
        <v>199</v>
      </c>
      <c r="D188" s="21" t="s">
        <v>973</v>
      </c>
      <c r="E188" s="13">
        <v>42927.677453703705</v>
      </c>
      <c r="F188" s="13">
        <v>42927.681435185186</v>
      </c>
      <c r="G188" s="7">
        <v>1</v>
      </c>
      <c r="H188" s="21" t="s">
        <v>974</v>
      </c>
      <c r="I188" s="13">
        <v>42927.691666666666</v>
      </c>
      <c r="J188" s="7">
        <v>0</v>
      </c>
      <c r="K188" s="89" t="str">
        <f t="shared" si="53"/>
        <v>4023/4024</v>
      </c>
      <c r="L188" s="21" t="str">
        <f>VLOOKUP(A188,'Trips&amp;Operators'!$C$1:$G$99999,5,FALSE)</f>
        <v>CASSIDY BRANDON</v>
      </c>
      <c r="M188" s="6">
        <f t="shared" si="54"/>
        <v>1.0231481479422655E-2</v>
      </c>
      <c r="N188" s="7">
        <f t="shared" si="77"/>
        <v>14.733333330368623</v>
      </c>
      <c r="O188" s="7"/>
      <c r="P188" s="7"/>
      <c r="Q188" s="22"/>
      <c r="R188" s="170"/>
      <c r="S188" s="213">
        <f t="shared" si="70"/>
        <v>1</v>
      </c>
      <c r="T188" s="195" t="str">
        <f t="shared" si="55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6"/>
        <v>https://d0f6bd738d7f1b3e5a7ca70fe4ff75f0.us-east-1.aws.found.io/app/kibana#/discover/Steve-Slow-Train-Analysis-(2080s-and-2083s)?_g=(refreshInterval:(display:Off,pause:!f,section:0,value:0),time:(from:'2017-07-11T15:15:32-0600',mode:absolute,to:'2017-07-11T17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8" s="197" t="str">
        <f>IF(AA188&lt;VLOOKUP(AG188,Variables!$AC$3:$AD$8,2,FALSE),"Y","N")</f>
        <v>N</v>
      </c>
      <c r="X188" s="197">
        <f t="shared" si="57"/>
        <v>1</v>
      </c>
      <c r="Y188" s="197">
        <f t="shared" si="78"/>
        <v>0.1046</v>
      </c>
      <c r="Z188" s="197">
        <f t="shared" si="79"/>
        <v>5.8949999999999996</v>
      </c>
      <c r="AA188" s="197">
        <f t="shared" si="60"/>
        <v>5.7904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1"/>
        <v>829</v>
      </c>
      <c r="AE188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88" s="74" t="str">
        <f t="shared" si="63"/>
        <v>"C:\Program Files (x86)\AstroGrep\AstroGrep.exe" /e /r /s /spath="%USERPROFILE%\AppData\Local\Temp\OnboardLogs" /stypes="app*4024*20170711*" /stext=" 22:.+((SYSTEM_STATE.+slice.+state.+changed )|(ment ac)|(multiple cpu faults)|(system.+state.+changed )|(\[timeout)|(PRM\|1\|D)|(kpr)|(kdp)|(train st.+moving)|(\|lc)|(penalty))"</v>
      </c>
      <c r="AG188" s="209" t="str">
        <f t="shared" si="64"/>
        <v>NW</v>
      </c>
      <c r="AH188" s="78" t="str">
        <f t="shared" si="65"/>
        <v>"%USERPROFILE%\Documents\GitHub\eaglep3\Utilities\RefineRTDCRunTimes.py" --tripid 829-11 --locoid 4024 --swversion DE.1.0.9.0 --startMP 204:1046 --initTime 2017-07-11T16:15:32 --startdatetime 2017-07-11T16:21:16 --delay 1 --endMP 300:58950 --enddatetime 2017-07-11T16:36:00 --enforcementcount 0 &gt;&gt;C:\Users\stu\Documents\GitHub\eaglep3-reporting\EC\2017-07-11-refined-times.txt</v>
      </c>
      <c r="AI188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{"issue":{"subject":"","project_id":79,"tracker_id":40,"status_id":1,"priority_id":2,"assigned_to_id":23,"start_date":"2017-07-11","description":"","custom_fields":[{"id":1,"name":"Subdivision","value":"NW"},{"id":4,"name":"Milepost","value":"5.895"},{"id":17,"name":"Train ID","value":"829-11"},{"id":16,"name":"Locomotive ID","value":"4024"},{"id":130,"name":"Impact","value":""},{"id":150,"name":"Time of Event (Mountain Time)","value":"16:36:00"},{"id":151,"name":"Denver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7"/>
        <v>start /low /b %USERPROFILE%\Documents\GitHub\eaglep3\Utilities\DownloadLogsFromS3.py --loco 4024 --day 2017-07-11</v>
      </c>
      <c r="AN188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758</v>
      </c>
      <c r="B189" s="7">
        <v>4023</v>
      </c>
      <c r="C189" s="21" t="s">
        <v>199</v>
      </c>
      <c r="D189" s="21" t="s">
        <v>497</v>
      </c>
      <c r="E189" s="13">
        <v>42927.693599537037</v>
      </c>
      <c r="F189" s="13">
        <v>42927.695486111108</v>
      </c>
      <c r="G189" s="7">
        <v>1</v>
      </c>
      <c r="H189" s="21" t="s">
        <v>975</v>
      </c>
      <c r="I189" s="13">
        <v>42927.70521990741</v>
      </c>
      <c r="J189" s="7">
        <v>0</v>
      </c>
      <c r="K189" s="89" t="str">
        <f t="shared" si="53"/>
        <v>4023/4024</v>
      </c>
      <c r="L189" s="21" t="str">
        <f>VLOOKUP(A189,'Trips&amp;Operators'!$C$1:$G$99999,5,FALSE)</f>
        <v>CASSIDY BRANDON</v>
      </c>
      <c r="M189" s="6">
        <f t="shared" si="54"/>
        <v>9.7337963015888818E-3</v>
      </c>
      <c r="N189" s="7">
        <f t="shared" si="77"/>
        <v>14.01666667428799</v>
      </c>
      <c r="O189" s="7"/>
      <c r="P189" s="7"/>
      <c r="Q189" s="22"/>
      <c r="R189" s="170"/>
      <c r="S189" s="213">
        <f t="shared" si="70"/>
        <v>1</v>
      </c>
      <c r="T189" s="195" t="str">
        <f t="shared" si="55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6"/>
        <v>https://d0f6bd738d7f1b3e5a7ca70fe4ff75f0.us-east-1.aws.found.io/app/kibana#/discover/Steve-Slow-Train-Analysis-(2080s-and-2083s)?_g=(refreshInterval:(display:Off,pause:!f,section:0,value:0),time:(from:'2017-07-11T15:38:47-0600',mode:absolute,to:'2017-07-11T17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9" s="197" t="str">
        <f>IF(AA189&lt;VLOOKUP(AG189,Variables!$AC$3:$AD$8,2,FALSE),"Y","N")</f>
        <v>N</v>
      </c>
      <c r="X189" s="197">
        <f t="shared" si="57"/>
        <v>1</v>
      </c>
      <c r="Y189" s="197">
        <f t="shared" si="78"/>
        <v>5.8632</v>
      </c>
      <c r="Z189" s="197">
        <f t="shared" si="79"/>
        <v>7.1499999999999994E-2</v>
      </c>
      <c r="AA189" s="197">
        <f t="shared" si="60"/>
        <v>5.7916999999999996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1"/>
        <v>830</v>
      </c>
      <c r="AE189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89" s="74" t="str">
        <f t="shared" si="63"/>
        <v>"C:\Program Files (x86)\AstroGrep\AstroGrep.exe" /e /r /s /spath="%USERPROFILE%\AppData\Local\Temp\OnboardLogs" /stypes="app*4023*20170711*" /stext=" 22:.+((SYSTEM_STATE.+slice.+state.+changed )|(ment ac)|(multiple cpu faults)|(system.+state.+changed )|(\[timeout)|(PRM\|1\|D)|(kpr)|(kdp)|(train st.+moving)|(\|lc)|(penalty))"</v>
      </c>
      <c r="AG189" s="209" t="str">
        <f t="shared" si="64"/>
        <v>NW</v>
      </c>
      <c r="AH189" s="78" t="str">
        <f t="shared" si="65"/>
        <v>"%USERPROFILE%\Documents\GitHub\eaglep3\Utilities\RefineRTDCRunTimes.py" --tripid 830-11 --locoid 4023 --swversion DE.1.0.9.0 --startMP 300:58632 --initTime 2017-07-11T16:38:47 --startdatetime 2017-07-11T16:41:30 --delay 1 --endMP 204:715 --enddatetime 2017-07-11T16:55:31 --enforcementcount 0 &gt;&gt;C:\Users\stu\Documents\GitHub\eaglep3-reporting\EC\2017-07-11-refined-times.txt</v>
      </c>
      <c r="AI189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{"issue":{"subject":"","project_id":79,"tracker_id":40,"status_id":1,"priority_id":2,"assigned_to_id":23,"start_date":"2017-07-11","description":"","custom_fields":[{"id":1,"name":"Subdivision","value":"NW"},{"id":4,"name":"Milepost","value":"0.0715"},{"id":17,"name":"Train ID","value":"830-11"},{"id":16,"name":"Locomotive ID","value":"4023"},{"id":130,"name":"Impact","value":""},{"id":150,"name":"Time of Event (Mountain Time)","value":"16:55:31"},{"id":151,"name":"Denver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7"/>
        <v>start /low /b %USERPROFILE%\Documents\GitHub\eaglep3\Utilities\DownloadLogsFromS3.py --loco 4023 --day 2017-07-11</v>
      </c>
      <c r="AN189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22:55:31"},{"id":29,"name":"Sharepoint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757</v>
      </c>
      <c r="B190" s="7">
        <v>4062</v>
      </c>
      <c r="C190" s="21" t="s">
        <v>199</v>
      </c>
      <c r="D190" s="21" t="s">
        <v>955</v>
      </c>
      <c r="E190" s="13">
        <v>42927.686932870369</v>
      </c>
      <c r="F190" s="13">
        <v>42927.702372685184</v>
      </c>
      <c r="G190" s="7">
        <v>1</v>
      </c>
      <c r="H190" s="21" t="s">
        <v>551</v>
      </c>
      <c r="I190" s="13">
        <v>42927.711539351854</v>
      </c>
      <c r="J190" s="7">
        <v>0</v>
      </c>
      <c r="K190" s="89" t="str">
        <f t="shared" si="53"/>
        <v>4061/4062</v>
      </c>
      <c r="L190" s="21" t="str">
        <f>VLOOKUP(A190,'Trips&amp;Operators'!$C$1:$G$99999,5,FALSE)</f>
        <v>ELBAUM MIKE</v>
      </c>
      <c r="M190" s="6">
        <f t="shared" si="54"/>
        <v>9.1666666703531519E-3</v>
      </c>
      <c r="N190" s="7">
        <f t="shared" si="77"/>
        <v>13.200000005308539</v>
      </c>
      <c r="O190" s="7"/>
      <c r="P190" s="7"/>
      <c r="Q190" s="22"/>
      <c r="R190" s="170"/>
      <c r="S190" s="213">
        <f t="shared" si="70"/>
        <v>1</v>
      </c>
      <c r="T190" s="195" t="str">
        <f t="shared" si="55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6"/>
        <v>https://d0f6bd738d7f1b3e5a7ca70fe4ff75f0.us-east-1.aws.found.io/app/kibana#/discover/Steve-Slow-Train-Analysis-(2080s-and-2083s)?_g=(refreshInterval:(display:Off,pause:!f,section:0,value:0),time:(from:'2017-07-11T15:29:11-0600',mode:absolute,to:'2017-07-11T18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0" s="197" t="str">
        <f>IF(AA190&lt;VLOOKUP(AG190,Variables!$AC$3:$AD$8,2,FALSE),"Y","N")</f>
        <v>N</v>
      </c>
      <c r="X190" s="197">
        <f t="shared" si="57"/>
        <v>1</v>
      </c>
      <c r="Y190" s="197">
        <f t="shared" si="78"/>
        <v>9.7199999999999995E-2</v>
      </c>
      <c r="Z190" s="197">
        <f t="shared" si="79"/>
        <v>5.8943000000000003</v>
      </c>
      <c r="AA190" s="197">
        <f t="shared" si="60"/>
        <v>5.7971000000000004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1"/>
        <v>831</v>
      </c>
      <c r="AE190" s="77" t="str">
        <f t="shared" si="62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190" s="74" t="str">
        <f t="shared" si="63"/>
        <v>"C:\Program Files (x86)\AstroGrep\AstroGrep.exe" /e /r /s /spath="%USERPROFILE%\AppData\Local\Temp\OnboardLogs" /stypes="app*4062*20170711*" /stext=" 23:.+((SYSTEM_STATE.+slice.+state.+changed )|(ment ac)|(multiple cpu faults)|(system.+state.+changed )|(\[timeout)|(PRM\|1\|D)|(kpr)|(kdp)|(train st.+moving)|(\|lc)|(penalty))"</v>
      </c>
      <c r="AG190" s="209" t="str">
        <f t="shared" si="64"/>
        <v>NW</v>
      </c>
      <c r="AH190" s="78" t="str">
        <f t="shared" si="65"/>
        <v>"%USERPROFILE%\Documents\GitHub\eaglep3\Utilities\RefineRTDCRunTimes.py" --tripid 831-11 --locoid 4062 --swversion DE.1.0.9.0 --startMP 204:972 --initTime 2017-07-11T16:29:11 --startdatetime 2017-07-11T16:51:25 --delay 1 --endMP 300:58943 --enddatetime 2017-07-11T17:04:37 --enforcementcount 0 &gt;&gt;C:\Users\stu\Documents\GitHub\eaglep3-reporting\EC\2017-07-11-refined-times.txt</v>
      </c>
      <c r="AI190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{"issue":{"subject":"","project_id":79,"tracker_id":40,"status_id":1,"priority_id":2,"assigned_to_id":23,"start_date":"2017-07-11","description":"","custom_fields":[{"id":1,"name":"Subdivision","value":"NW"},{"id":4,"name":"Milepost","value":"5.8943"},{"id":17,"name":"Train ID","value":"831-11"},{"id":16,"name":"Locomotive ID","value":"4062"},{"id":130,"name":"Impact","value":""},{"id":150,"name":"Time of Event (Mountain Time)","value":"17:04:37"},{"id":151,"name":"Denver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7"/>
        <v>start /low /b %USERPROFILE%\Documents\GitHub\eaglep3\Utilities\DownloadLogsFromS3.py --loco 4062 --day 2017-07-11</v>
      </c>
      <c r="AN190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765</v>
      </c>
      <c r="B191" s="7">
        <v>4061</v>
      </c>
      <c r="C191" s="21" t="s">
        <v>199</v>
      </c>
      <c r="D191" s="21" t="s">
        <v>962</v>
      </c>
      <c r="E191" s="13">
        <v>42927.712511574071</v>
      </c>
      <c r="F191" s="13">
        <v>42927.716157407405</v>
      </c>
      <c r="G191" s="7">
        <v>1</v>
      </c>
      <c r="H191" s="21" t="s">
        <v>549</v>
      </c>
      <c r="I191" s="13">
        <v>42927.726678240739</v>
      </c>
      <c r="J191" s="7">
        <v>0</v>
      </c>
      <c r="K191" s="89" t="str">
        <f t="shared" si="53"/>
        <v>4061/4062</v>
      </c>
      <c r="L191" s="21" t="str">
        <f>VLOOKUP(A191,'Trips&amp;Operators'!$C$1:$G$99999,5,FALSE)</f>
        <v>ELBAUM MIKE</v>
      </c>
      <c r="M191" s="6">
        <f t="shared" si="54"/>
        <v>1.0520833333430346E-2</v>
      </c>
      <c r="N191" s="7">
        <f t="shared" si="77"/>
        <v>15.150000000139698</v>
      </c>
      <c r="O191" s="7"/>
      <c r="P191" s="7"/>
      <c r="Q191" s="22"/>
      <c r="R191" s="170"/>
      <c r="S191" s="213">
        <f t="shared" si="70"/>
        <v>1</v>
      </c>
      <c r="T191" s="195" t="str">
        <f t="shared" si="55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6"/>
        <v>https://d0f6bd738d7f1b3e5a7ca70fe4ff75f0.us-east-1.aws.found.io/app/kibana#/discover/Steve-Slow-Train-Analysis-(2080s-and-2083s)?_g=(refreshInterval:(display:Off,pause:!f,section:0,value:0),time:(from:'2017-07-11T16:06:01-0600',mode:absolute,to:'2017-07-11T18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1" s="197" t="str">
        <f>IF(AA191&lt;VLOOKUP(AG191,Variables!$AC$3:$AD$8,2,FALSE),"Y","N")</f>
        <v>N</v>
      </c>
      <c r="X191" s="197">
        <f t="shared" si="57"/>
        <v>1</v>
      </c>
      <c r="Y191" s="197">
        <f t="shared" si="78"/>
        <v>5.8625999999999996</v>
      </c>
      <c r="Z191" s="197">
        <f t="shared" si="79"/>
        <v>7.0499999999999993E-2</v>
      </c>
      <c r="AA191" s="197">
        <f t="shared" si="60"/>
        <v>5.7920999999999996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1"/>
        <v>832</v>
      </c>
      <c r="AE191" s="77" t="str">
        <f t="shared" si="62"/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AF191" s="74" t="str">
        <f t="shared" si="63"/>
        <v>"C:\Program Files (x86)\AstroGrep\AstroGrep.exe" /e /r /s /spath="%USERPROFILE%\AppData\Local\Temp\OnboardLogs" /stypes="app*4061*20170711*" /stext=" 23:.+((SYSTEM_STATE.+slice.+state.+changed )|(ment ac)|(multiple cpu faults)|(system.+state.+changed )|(\[timeout)|(PRM\|1\|D)|(kpr)|(kdp)|(train st.+moving)|(\|lc)|(penalty))"</v>
      </c>
      <c r="AG191" s="209" t="str">
        <f t="shared" si="64"/>
        <v>NW</v>
      </c>
      <c r="AH191" s="78" t="str">
        <f t="shared" si="65"/>
        <v>"%USERPROFILE%\Documents\GitHub\eaglep3\Utilities\RefineRTDCRunTimes.py" --tripid 832-11 --locoid 4061 --swversion DE.1.0.9.0 --startMP 300:58626 --initTime 2017-07-11T17:06:01 --startdatetime 2017-07-11T17:11:16 --delay 1 --endMP 204:705 --enddatetime 2017-07-11T17:26:25 --enforcementcount 0 &gt;&gt;C:\Users\stu\Documents\GitHub\eaglep3-reporting\EC\2017-07-11-refined-times.txt</v>
      </c>
      <c r="AI191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{"issue":{"subject":"","project_id":79,"tracker_id":40,"status_id":1,"priority_id":2,"assigned_to_id":23,"start_date":"2017-07-11","description":"","custom_fields":[{"id":1,"name":"Subdivision","value":"NW"},{"id":4,"name":"Milepost","value":"0.0705"},{"id":17,"name":"Train ID","value":"832-11"},{"id":16,"name":"Locomotive ID","value":"4061"},{"id":130,"name":"Impact","value":""},{"id":150,"name":"Time of Event (Mountain Time)","value":"17:26:25"},{"id":151,"name":"Denver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67"/>
        <v>start /low /b %USERPROFILE%\Documents\GitHub\eaglep3\Utilities\DownloadLogsFromS3.py --loco 4061 --day 2017-07-11</v>
      </c>
      <c r="AN191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766</v>
      </c>
      <c r="B192" s="7">
        <v>4024</v>
      </c>
      <c r="C192" s="21" t="s">
        <v>199</v>
      </c>
      <c r="D192" s="21" t="s">
        <v>976</v>
      </c>
      <c r="E192" s="13">
        <v>42927.718391203707</v>
      </c>
      <c r="F192" s="13">
        <v>42927.723101851851</v>
      </c>
      <c r="G192" s="7">
        <v>1</v>
      </c>
      <c r="H192" s="21" t="s">
        <v>521</v>
      </c>
      <c r="I192" s="13">
        <v>42927.733090277776</v>
      </c>
      <c r="J192" s="7">
        <v>0</v>
      </c>
      <c r="K192" s="89" t="str">
        <f t="shared" si="53"/>
        <v>4023/4024</v>
      </c>
      <c r="L192" s="21" t="str">
        <f>VLOOKUP(A192,'Trips&amp;Operators'!$C$1:$G$99999,5,FALSE)</f>
        <v>CASSIDY BRANDON</v>
      </c>
      <c r="M192" s="6">
        <f t="shared" si="54"/>
        <v>9.9884259252576157E-3</v>
      </c>
      <c r="N192" s="7">
        <f t="shared" si="77"/>
        <v>14.383333332370967</v>
      </c>
      <c r="O192" s="7"/>
      <c r="P192" s="7"/>
      <c r="Q192" s="22"/>
      <c r="R192" s="170"/>
      <c r="S192" s="213">
        <f t="shared" si="70"/>
        <v>1</v>
      </c>
      <c r="T192" s="195" t="str">
        <f t="shared" si="55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6"/>
        <v>https://d0f6bd738d7f1b3e5a7ca70fe4ff75f0.us-east-1.aws.found.io/app/kibana#/discover/Steve-Slow-Train-Analysis-(2080s-and-2083s)?_g=(refreshInterval:(display:Off,pause:!f,section:0,value:0),time:(from:'2017-07-11T16:14:29-0600',mode:absolute,to:'2017-07-11T18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2" s="197" t="str">
        <f>IF(AA192&lt;VLOOKUP(AG192,Variables!$AC$3:$AD$8,2,FALSE),"Y","N")</f>
        <v>N</v>
      </c>
      <c r="X192" s="197">
        <f t="shared" si="57"/>
        <v>1</v>
      </c>
      <c r="Y192" s="197">
        <f t="shared" si="78"/>
        <v>0.1028</v>
      </c>
      <c r="Z192" s="197">
        <f t="shared" si="79"/>
        <v>5.8994999999999997</v>
      </c>
      <c r="AA192" s="197">
        <f t="shared" si="60"/>
        <v>5.7966999999999995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1"/>
        <v>833</v>
      </c>
      <c r="AE192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92" s="74" t="str">
        <f t="shared" si="63"/>
        <v>"C:\Program Files (x86)\AstroGrep\AstroGrep.exe" /e /r /s /spath="%USERPROFILE%\AppData\Local\Temp\OnboardLogs" /stypes="app*4024*20170711*" /stext=" 23:.+((SYSTEM_STATE.+slice.+state.+changed )|(ment ac)|(multiple cpu faults)|(system.+state.+changed )|(\[timeout)|(PRM\|1\|D)|(kpr)|(kdp)|(train st.+moving)|(\|lc)|(penalty))"</v>
      </c>
      <c r="AG192" s="209" t="str">
        <f t="shared" si="64"/>
        <v>NW</v>
      </c>
      <c r="AH192" s="78" t="str">
        <f t="shared" si="65"/>
        <v>"%USERPROFILE%\Documents\GitHub\eaglep3\Utilities\RefineRTDCRunTimes.py" --tripid 833-11 --locoid 4024 --swversion DE.1.0.9.0 --startMP 204:1028 --initTime 2017-07-11T17:14:29 --startdatetime 2017-07-11T17:21:16 --delay 1 --endMP 300:58995 --enddatetime 2017-07-11T17:35:39 --enforcementcount 0 &gt;&gt;C:\Users\stu\Documents\GitHub\eaglep3-reporting\EC\2017-07-11-refined-times.txt</v>
      </c>
      <c r="AI192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{"issue":{"subject":"","project_id":79,"tracker_id":40,"status_id":1,"priority_id":2,"assigned_to_id":23,"start_date":"2017-07-11","description":"","custom_fields":[{"id":1,"name":"Subdivision","value":"NW"},{"id":4,"name":"Milepost","value":"5.8995"},{"id":17,"name":"Train ID","value":"833-11"},{"id":16,"name":"Locomotive ID","value":"4024"},{"id":130,"name":"Impact","value":""},{"id":150,"name":"Time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7"/>
        <v>start /low /b %USERPROFILE%\Documents\GitHub\eaglep3\Utilities\DownloadLogsFromS3.py --loco 4024 --day 2017-07-11</v>
      </c>
      <c r="AN192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773</v>
      </c>
      <c r="B193" s="7">
        <v>4023</v>
      </c>
      <c r="C193" s="21" t="s">
        <v>199</v>
      </c>
      <c r="D193" s="21" t="s">
        <v>977</v>
      </c>
      <c r="E193" s="13">
        <v>42927.734988425924</v>
      </c>
      <c r="F193" s="13">
        <v>42927.737083333333</v>
      </c>
      <c r="G193" s="7">
        <v>1</v>
      </c>
      <c r="H193" s="21" t="s">
        <v>557</v>
      </c>
      <c r="I193" s="13">
        <v>42927.748067129629</v>
      </c>
      <c r="J193" s="7">
        <v>0</v>
      </c>
      <c r="K193" s="89" t="str">
        <f t="shared" si="53"/>
        <v>4023/4024</v>
      </c>
      <c r="L193" s="21" t="str">
        <f>VLOOKUP(A193,'Trips&amp;Operators'!$C$1:$G$99999,5,FALSE)</f>
        <v>CASSIDY BRANDON</v>
      </c>
      <c r="M193" s="6">
        <f t="shared" si="54"/>
        <v>1.0983796295477077E-2</v>
      </c>
      <c r="N193" s="7">
        <f t="shared" si="77"/>
        <v>15.816666665486991</v>
      </c>
      <c r="O193" s="7"/>
      <c r="P193" s="7"/>
      <c r="Q193" s="22"/>
      <c r="R193" s="170"/>
      <c r="S193" s="213">
        <f t="shared" si="70"/>
        <v>1</v>
      </c>
      <c r="T193" s="195" t="str">
        <f t="shared" si="55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6"/>
        <v>https://d0f6bd738d7f1b3e5a7ca70fe4ff75f0.us-east-1.aws.found.io/app/kibana#/discover/Steve-Slow-Train-Analysis-(2080s-and-2083s)?_g=(refreshInterval:(display:Off,pause:!f,section:0,value:0),time:(from:'2017-07-11T16:38:23-0600',mode:absolute,to:'2017-07-11T18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3" s="197" t="str">
        <f>IF(AA193&lt;VLOOKUP(AG193,Variables!$AC$3:$AD$8,2,FALSE),"Y","N")</f>
        <v>N</v>
      </c>
      <c r="X193" s="197">
        <f t="shared" si="57"/>
        <v>1</v>
      </c>
      <c r="Y193" s="197">
        <f t="shared" si="78"/>
        <v>5.8658000000000001</v>
      </c>
      <c r="Z193" s="197">
        <f t="shared" si="79"/>
        <v>7.1999999999999995E-2</v>
      </c>
      <c r="AA193" s="197">
        <f t="shared" si="60"/>
        <v>5.7938000000000001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1"/>
        <v>834</v>
      </c>
      <c r="AE193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93" s="74" t="str">
        <f t="shared" si="63"/>
        <v>"C:\Program Files (x86)\AstroGrep\AstroGrep.exe" /e /r /s /spath="%USERPROFILE%\AppData\Local\Temp\OnboardLogs" /stypes="app*4023*20170711*" /stext=" 23:.+((SYSTEM_STATE.+slice.+state.+changed )|(ment ac)|(multiple cpu faults)|(system.+state.+changed )|(\[timeout)|(PRM\|1\|D)|(kpr)|(kdp)|(train st.+moving)|(\|lc)|(penalty))"</v>
      </c>
      <c r="AG193" s="209" t="str">
        <f t="shared" si="64"/>
        <v>NW</v>
      </c>
      <c r="AH193" s="78" t="str">
        <f t="shared" si="65"/>
        <v>"%USERPROFILE%\Documents\GitHub\eaglep3\Utilities\RefineRTDCRunTimes.py" --tripid 834-11 --locoid 4023 --swversion DE.1.0.9.0 --startMP 300:58658 --initTime 2017-07-11T17:38:23 --startdatetime 2017-07-11T17:41:24 --delay 1 --endMP 204:720 --enddatetime 2017-07-11T17:57:13 --enforcementcount 0 &gt;&gt;C:\Users\stu\Documents\GitHub\eaglep3-reporting\EC\2017-07-11-refined-times.txt</v>
      </c>
      <c r="AI193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{"issue":{"subject":"","project_id":79,"tracker_id":40,"status_id":1,"priority_id":2,"assigned_to_id":23,"start_date":"2017-07-11","description":"","custom_fields":[{"id":1,"name":"Subdivision","value":"NW"},{"id":4,"name":"Milepost","value":"0.072"},{"id":17,"name":"Train ID","value":"834-11"},{"id":16,"name":"Locomotive ID","value":"4023"},{"id":130,"name":"Impact","value":""},{"id":150,"name":"Time of Event (Mountain Time)","value":"17:57:13"},{"id":151,"name":"Denver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7"/>
        <v>start /low /b %USERPROFILE%\Documents\GitHub\eaglep3\Utilities\DownloadLogsFromS3.py --loco 4023 --day 2017-07-11</v>
      </c>
      <c r="AN193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771</v>
      </c>
      <c r="B194" s="7">
        <v>4062</v>
      </c>
      <c r="C194" s="21" t="s">
        <v>199</v>
      </c>
      <c r="D194" s="21" t="s">
        <v>558</v>
      </c>
      <c r="E194" s="13">
        <v>42927.728472222225</v>
      </c>
      <c r="F194" s="13">
        <v>42927.744340277779</v>
      </c>
      <c r="G194" s="7">
        <v>1</v>
      </c>
      <c r="H194" s="21" t="s">
        <v>978</v>
      </c>
      <c r="I194" s="13">
        <v>42927.745092592595</v>
      </c>
      <c r="J194" s="7">
        <v>0</v>
      </c>
      <c r="K194" s="89" t="str">
        <f t="shared" si="53"/>
        <v>4061/4062</v>
      </c>
      <c r="L194" s="21" t="str">
        <f>VLOOKUP(A194,'Trips&amp;Operators'!$C$1:$G$99999,5,FALSE)</f>
        <v>ELBAUM MIKE</v>
      </c>
      <c r="M194" s="6">
        <f t="shared" si="54"/>
        <v>7.5231481605442241E-4</v>
      </c>
      <c r="N194" s="7"/>
      <c r="O194" s="7"/>
      <c r="P194" s="7">
        <f t="shared" si="77"/>
        <v>1.0833333351183683</v>
      </c>
      <c r="Q194" s="22"/>
      <c r="R194" s="218" t="s">
        <v>1032</v>
      </c>
      <c r="S194" s="213">
        <f t="shared" si="70"/>
        <v>0</v>
      </c>
      <c r="T194" s="195" t="str">
        <f t="shared" si="55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196" t="str">
        <f t="shared" si="56"/>
        <v>https://d0f6bd738d7f1b3e5a7ca70fe4ff75f0.us-east-1.aws.found.io/app/kibana#/discover/Steve-Slow-Train-Analysis-(2080s-and-2083s)?_g=(refreshInterval:(display:Off,pause:!f,section:0,value:0),time:(from:'2017-07-11T16:29:00-0600',mode:absolute,to:'2017-07-11T18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4" s="197" t="str">
        <f>IF(AA194&lt;VLOOKUP(AG194,Variables!$AC$3:$AD$8,2,FALSE),"Y","N")</f>
        <v>Y</v>
      </c>
      <c r="X194" s="197">
        <f t="shared" si="57"/>
        <v>1</v>
      </c>
      <c r="Y194" s="197">
        <f t="shared" si="78"/>
        <v>0.1</v>
      </c>
      <c r="Z194" s="197">
        <f t="shared" si="79"/>
        <v>0.34570000000000001</v>
      </c>
      <c r="AA194" s="197">
        <f t="shared" si="60"/>
        <v>0.2457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1"/>
        <v>835</v>
      </c>
      <c r="AE194" s="77" t="str">
        <f t="shared" si="62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194" s="74" t="str">
        <f t="shared" si="63"/>
        <v>"C:\Program Files (x86)\AstroGrep\AstroGrep.exe" /e /r /s /spath="%USERPROFILE%\AppData\Local\Temp\OnboardLogs" /stypes="app*4062*20170711*" /stext=" 23:.+((SYSTEM_STATE.+slice.+state.+changed )|(ment ac)|(multiple cpu faults)|(system.+state.+changed )|(\[timeout)|(PRM\|1\|D)|(kpr)|(kdp)|(train st.+moving)|(\|lc)|(penalty))"</v>
      </c>
      <c r="AG194" s="209" t="str">
        <f t="shared" si="64"/>
        <v>NW</v>
      </c>
      <c r="AH194" s="78" t="str">
        <f t="shared" si="65"/>
        <v>"%USERPROFILE%\Documents\GitHub\eaglep3\Utilities\RefineRTDCRunTimes.py" --tripid 835-11 --locoid 4062 --swversion DE.1.0.9.0 --startMP 204:1000 --initTime 2017-07-11T17:29:00 --startdatetime 2017-07-11T17:51:51 --delay 1 --endMP 204:3457 --enddatetime 2017-07-11T17:52:56 --enforcementcount 0 &gt;&gt;C:\Users\stu\Documents\GitHub\eaglep3-reporting\EC\2017-07-11-refined-times.txt</v>
      </c>
      <c r="AI194" s="96" t="str">
        <f t="shared" si="66"/>
        <v>echo {"issue":{"subject":"Non-sync subdivision due to TMDS not updating Form C CRC","project_id":79,"tracker_id":40,"status_id":1,"priority_id":2,"assigned_to_id":23,"start_date":"2017-07-11","description":"","custom_fields":[{"id":1,"name":"Subdivision","value":"NW"},{"id":4,"name":"Milepost","value":"0.3457"},{"id":17,"name":"Train ID","value":"835-11"},{"id":16,"name":"Locomotive ID","value":"4062"},{"id":130,"name":"Impact","value":""},{"id":150,"name":"Time of Event (Mountain Time)","value":"17:52:56"},{"id":151,"name":"Denver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7"/>
        <v>start /low /b %USERPROFILE%\Documents\GitHub\eaglep3\Utilities\DownloadLogsFromS3.py --loco 4062 --day 2017-07-11</v>
      </c>
      <c r="AN194" s="151" t="str">
        <f t="shared" si="68"/>
        <v>echo {"issue":{"subject":"Non-sync subdivision due to TMDS not updating Form C CRC","project_id":30,"tracker_id":4,"status_id":1,"priority_id":1,"assigned_to_id":10,"start_date":"2017-07-11","description":"","custom_fields":[{"id":30,"name":"Category","value":"Issue"},{"id":3,"name":"Functional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771</v>
      </c>
      <c r="B195" s="7">
        <v>4062</v>
      </c>
      <c r="C195" s="21" t="s">
        <v>199</v>
      </c>
      <c r="D195" s="21" t="s">
        <v>979</v>
      </c>
      <c r="E195" s="13">
        <v>42927.739814814813</v>
      </c>
      <c r="F195" s="13">
        <v>42927.744340277779</v>
      </c>
      <c r="G195" s="7">
        <v>1</v>
      </c>
      <c r="H195" s="21" t="s">
        <v>978</v>
      </c>
      <c r="I195" s="13">
        <v>42927.745092592595</v>
      </c>
      <c r="J195" s="7">
        <v>0</v>
      </c>
      <c r="K195" s="89" t="str">
        <f t="shared" si="53"/>
        <v>4061/4062</v>
      </c>
      <c r="L195" s="21" t="str">
        <f>VLOOKUP(A195,'Trips&amp;Operators'!$C$1:$G$99999,5,FALSE)</f>
        <v>ELBAUM MIKE</v>
      </c>
      <c r="M195" s="6">
        <f t="shared" si="54"/>
        <v>7.5231481605442241E-4</v>
      </c>
      <c r="N195" s="7"/>
      <c r="O195" s="7"/>
      <c r="P195" s="7"/>
      <c r="Q195" s="22"/>
      <c r="R195" s="170"/>
      <c r="S195" s="213"/>
      <c r="T195" s="195" t="str">
        <f t="shared" si="55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96" t="str">
        <f t="shared" si="56"/>
        <v>https://d0f6bd738d7f1b3e5a7ca70fe4ff75f0.us-east-1.aws.found.io/app/kibana#/discover/Steve-Slow-Train-Analysis-(2080s-and-2083s)?_g=(refreshInterval:(display:Off,pause:!f,section:0,value:0),time:(from:'2017-07-11T16:45:20-0600',mode:absolute,to:'2017-07-11T18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5" s="197" t="str">
        <f>IF(AA195&lt;VLOOKUP(AG195,Variables!$AC$3:$AD$8,2,FALSE),"Y","N")</f>
        <v>Y</v>
      </c>
      <c r="X195" s="197">
        <f t="shared" si="57"/>
        <v>0</v>
      </c>
      <c r="Y195" s="197">
        <f t="shared" si="78"/>
        <v>0.1009</v>
      </c>
      <c r="Z195" s="197">
        <f t="shared" si="79"/>
        <v>0.34570000000000001</v>
      </c>
      <c r="AA195" s="197">
        <f t="shared" si="60"/>
        <v>0.24480000000000002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1"/>
        <v>835</v>
      </c>
      <c r="AE195" s="77" t="str">
        <f t="shared" si="62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195" s="74" t="str">
        <f t="shared" si="63"/>
        <v>"C:\Program Files (x86)\AstroGrep\AstroGrep.exe" /e /r /s /spath="%USERPROFILE%\AppData\Local\Temp\OnboardLogs" /stypes="app*4062*20170711*" /stext=" 23:.+((SYSTEM_STATE.+slice.+state.+changed )|(ment ac)|(multiple cpu faults)|(system.+state.+changed )|(\[timeout)|(PRM\|1\|D)|(kpr)|(kdp)|(train st.+moving)|(\|lc)|(penalty))"</v>
      </c>
      <c r="AG195" s="209" t="str">
        <f t="shared" si="64"/>
        <v>NW</v>
      </c>
      <c r="AH195" s="78" t="str">
        <f t="shared" si="65"/>
        <v>"%USERPROFILE%\Documents\GitHub\eaglep3\Utilities\RefineRTDCRunTimes.py" --tripid 835-11 --locoid 4062 --swversion DE.1.0.9.0 --startMP 204:1009 --initTime 2017-07-11T17:45:20 --startdatetime 2017-07-11T17:51:51 --delay 1 --endMP 204:3457 --enddatetime 2017-07-11T17:52:56 --enforcementcount 0 &gt;&gt;C:\Users\stu\Documents\GitHub\eaglep3-reporting\EC\2017-07-11-refined-times.txt</v>
      </c>
      <c r="AI195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{"issue":{"subject":"","project_id":79,"tracker_id":40,"status_id":1,"priority_id":2,"assigned_to_id":23,"start_date":"2017-07-11","description":"","custom_fields":[{"id":1,"name":"Subdivision","value":"NW"},{"id":4,"name":"Milepost","value":"0.3457"},{"id":17,"name":"Train ID","value":"835-11"},{"id":16,"name":"Locomotive ID","value":"4062"},{"id":130,"name":"Impact","value":""},{"id":150,"name":"Time of Event (Mountain Time)","value":"17:52:56"},{"id":151,"name":"Denver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67"/>
        <v>start /low /b %USERPROFILE%\Documents\GitHub\eaglep3\Utilities\DownloadLogsFromS3.py --loco 4062 --day 2017-07-11</v>
      </c>
      <c r="AN195" s="151" t="str">
        <f t="shared" si="68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777</v>
      </c>
      <c r="B196" s="7">
        <v>4061</v>
      </c>
      <c r="C196" s="21" t="s">
        <v>199</v>
      </c>
      <c r="D196" s="21" t="s">
        <v>972</v>
      </c>
      <c r="E196" s="13">
        <v>42927.755740740744</v>
      </c>
      <c r="F196" s="13">
        <v>42927.758391203701</v>
      </c>
      <c r="G196" s="7">
        <v>3</v>
      </c>
      <c r="H196" s="21" t="s">
        <v>980</v>
      </c>
      <c r="I196" s="13">
        <v>42927.768460648149</v>
      </c>
      <c r="J196" s="7">
        <v>0</v>
      </c>
      <c r="K196" s="89" t="str">
        <f t="shared" si="53"/>
        <v>4061/4062</v>
      </c>
      <c r="L196" s="21" t="str">
        <f>VLOOKUP(A196,'Trips&amp;Operators'!$C$1:$G$99999,5,FALSE)</f>
        <v>ELBAUM MIKE</v>
      </c>
      <c r="M196" s="6">
        <f t="shared" si="54"/>
        <v>1.0069444448163267E-2</v>
      </c>
      <c r="N196" s="7">
        <f t="shared" si="77"/>
        <v>14.500000005355105</v>
      </c>
      <c r="O196" s="7"/>
      <c r="P196" s="7"/>
      <c r="Q196" s="22"/>
      <c r="R196" s="170"/>
      <c r="S196" s="213">
        <f t="shared" ref="S196:S226" si="80">SUM(U196:U196)/IF(AG196="EC",12,1)</f>
        <v>1</v>
      </c>
      <c r="T196" s="195" t="str">
        <f t="shared" si="55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6"/>
        <v>https://d0f6bd738d7f1b3e5a7ca70fe4ff75f0.us-east-1.aws.found.io/app/kibana#/discover/Steve-Slow-Train-Analysis-(2080s-and-2083s)?_g=(refreshInterval:(display:Off,pause:!f,section:0,value:0),time:(from:'2017-07-11T17:08:16-0600',mode:absolute,to:'2017-07-11T19:26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6" s="197" t="str">
        <f>IF(AA196&lt;VLOOKUP(AG196,Variables!$AC$3:$AD$8,2,FALSE),"Y","N")</f>
        <v>N</v>
      </c>
      <c r="X196" s="197">
        <f t="shared" si="57"/>
        <v>1</v>
      </c>
      <c r="Y196" s="197">
        <f t="shared" si="78"/>
        <v>5.8597999999999999</v>
      </c>
      <c r="Z196" s="197">
        <f t="shared" si="79"/>
        <v>6.9099999999999995E-2</v>
      </c>
      <c r="AA196" s="197">
        <f t="shared" si="60"/>
        <v>5.7907000000000002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1"/>
        <v>836</v>
      </c>
      <c r="AE196" s="77" t="str">
        <f t="shared" si="62"/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AF196" s="74" t="str">
        <f t="shared" si="63"/>
        <v>"C:\Program Files (x86)\AstroGrep\AstroGrep.exe" /e /r /s /spath="%USERPROFILE%\AppData\Local\Temp\OnboardLogs" /stypes="app*4061*20170712*" /stext=" 00:.+((SYSTEM_STATE.+slice.+state.+changed )|(ment ac)|(multiple cpu faults)|(system.+state.+changed )|(\[timeout)|(PRM\|1\|D)|(kpr)|(kdp)|(train st.+moving)|(\|lc)|(penalty))"</v>
      </c>
      <c r="AG196" s="209" t="str">
        <f t="shared" si="64"/>
        <v>NW</v>
      </c>
      <c r="AH196" s="78" t="str">
        <f t="shared" si="65"/>
        <v>"%USERPROFILE%\Documents\GitHub\eaglep3\Utilities\RefineRTDCRunTimes.py" --tripid 836-11 --locoid 4061 --swversion DE.1.0.9.0 --startMP 300:58598 --initTime 2017-07-11T18:08:16 --startdatetime 2017-07-11T18:12:05 --delay 3 --endMP 204:691 --enddatetime 2017-07-11T18:26:35 --enforcementcount 0 &gt;&gt;C:\Users\stu\Documents\GitHub\eaglep3-reporting\EC\2017-07-11-refined-times.txt</v>
      </c>
      <c r="AI196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{"issue":{"subject":"","project_id":79,"tracker_id":40,"status_id":1,"priority_id":2,"assigned_to_id":23,"start_date":"2017-07-11","description":"","custom_fields":[{"id":1,"name":"Subdivision","value":"NW"},{"id":4,"name":"Milepost","value":"0.0691"},{"id":17,"name":"Train ID","value":"836-11"},{"id":16,"name":"Locomotive ID","value":"4061"},{"id":130,"name":"Impact","value":""},{"id":150,"name":"Time of Event (Mountain Time)","value":"18:26:35"},{"id":151,"name":"Denver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7"/>
        <v>start /low /b %USERPROFILE%\Documents\GitHub\eaglep3\Utilities\DownloadLogsFromS3.py --loco 4061 --day 2017-07-11</v>
      </c>
      <c r="AN196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779</v>
      </c>
      <c r="B197" s="7">
        <v>4024</v>
      </c>
      <c r="C197" s="21" t="s">
        <v>199</v>
      </c>
      <c r="D197" s="21" t="s">
        <v>981</v>
      </c>
      <c r="E197" s="13">
        <v>42927.761053240742</v>
      </c>
      <c r="F197" s="13">
        <v>42927.764768518522</v>
      </c>
      <c r="G197" s="7">
        <v>1</v>
      </c>
      <c r="H197" s="21" t="s">
        <v>559</v>
      </c>
      <c r="I197" s="13">
        <v>42927.774837962963</v>
      </c>
      <c r="J197" s="7">
        <v>0</v>
      </c>
      <c r="K197" s="89" t="str">
        <f t="shared" si="53"/>
        <v>4023/4024</v>
      </c>
      <c r="L197" s="21" t="str">
        <f>VLOOKUP(A197,'Trips&amp;Operators'!$C$1:$G$99999,5,FALSE)</f>
        <v>CASSIDY BRANDON</v>
      </c>
      <c r="M197" s="6">
        <f t="shared" si="54"/>
        <v>1.006944444088731E-2</v>
      </c>
      <c r="N197" s="7">
        <f t="shared" si="77"/>
        <v>14.499999994877726</v>
      </c>
      <c r="O197" s="7"/>
      <c r="P197" s="7"/>
      <c r="Q197" s="22"/>
      <c r="R197" s="170"/>
      <c r="S197" s="213">
        <f t="shared" si="80"/>
        <v>1</v>
      </c>
      <c r="T197" s="195" t="str">
        <f t="shared" si="55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6"/>
        <v>https://d0f6bd738d7f1b3e5a7ca70fe4ff75f0.us-east-1.aws.found.io/app/kibana#/discover/Steve-Slow-Train-Analysis-(2080s-and-2083s)?_g=(refreshInterval:(display:Off,pause:!f,section:0,value:0),time:(from:'2017-07-11T17:15:55-0600',mode:absolute,to:'2017-07-11T19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197" t="str">
        <f>IF(AA197&lt;VLOOKUP(AG197,Variables!$AC$3:$AD$8,2,FALSE),"Y","N")</f>
        <v>N</v>
      </c>
      <c r="X197" s="197">
        <f t="shared" si="57"/>
        <v>1</v>
      </c>
      <c r="Y197" s="197">
        <f t="shared" si="78"/>
        <v>0.1018</v>
      </c>
      <c r="Z197" s="197">
        <f t="shared" si="79"/>
        <v>5.8979999999999997</v>
      </c>
      <c r="AA197" s="197">
        <f t="shared" si="60"/>
        <v>5.7961999999999998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1"/>
        <v>837</v>
      </c>
      <c r="AE197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197" s="74" t="str">
        <f t="shared" si="63"/>
        <v>"C:\Program Files (x86)\AstroGrep\AstroGrep.exe" /e /r /s /spath="%USERPROFILE%\AppData\Local\Temp\OnboardLogs" /stypes="app*4024*20170712*" /stext=" 00:.+((SYSTEM_STATE.+slice.+state.+changed )|(ment ac)|(multiple cpu faults)|(system.+state.+changed )|(\[timeout)|(PRM\|1\|D)|(kpr)|(kdp)|(train st.+moving)|(\|lc)|(penalty))"</v>
      </c>
      <c r="AG197" s="209" t="str">
        <f t="shared" si="64"/>
        <v>NW</v>
      </c>
      <c r="AH197" s="78" t="str">
        <f t="shared" si="65"/>
        <v>"%USERPROFILE%\Documents\GitHub\eaglep3\Utilities\RefineRTDCRunTimes.py" --tripid 837-11 --locoid 4024 --swversion DE.1.0.9.0 --startMP 204:1018 --initTime 2017-07-11T18:15:55 --startdatetime 2017-07-11T18:21:16 --delay 1 --endMP 300:58980 --enddatetime 2017-07-11T18:35:46 --enforcementcount 0 &gt;&gt;C:\Users\stu\Documents\GitHub\eaglep3-reporting\EC\2017-07-11-refined-times.txt</v>
      </c>
      <c r="AI197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{"issue":{"subject":"","project_id":79,"tracker_id":40,"status_id":1,"priority_id":2,"assigned_to_id":23,"start_date":"2017-07-11","description":"","custom_fields":[{"id":1,"name":"Subdivision","value":"NW"},{"id":4,"name":"Milepost","value":"5.898"},{"id":17,"name":"Train ID","value":"837-11"},{"id":16,"name":"Locomotive ID","value":"4024"},{"id":130,"name":"Impact","value":""},{"id":150,"name":"Time of Event (Mountain Time)","value":"18:35:46"},{"id":151,"name":"Denver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67"/>
        <v>start /low /b %USERPROFILE%\Documents\GitHub\eaglep3\Utilities\DownloadLogsFromS3.py --loco 4024 --day 2017-07-11</v>
      </c>
      <c r="AN197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601</v>
      </c>
      <c r="B198" s="7">
        <v>4023</v>
      </c>
      <c r="C198" s="21" t="s">
        <v>199</v>
      </c>
      <c r="D198" s="21" t="s">
        <v>982</v>
      </c>
      <c r="E198" s="13">
        <v>42927.776412037034</v>
      </c>
      <c r="F198" s="13">
        <v>42927.778217592589</v>
      </c>
      <c r="G198" s="7">
        <v>1</v>
      </c>
      <c r="H198" s="21" t="s">
        <v>983</v>
      </c>
      <c r="I198" s="13">
        <v>42927.789143518516</v>
      </c>
      <c r="J198" s="7">
        <v>0</v>
      </c>
      <c r="K198" s="89" t="str">
        <f t="shared" si="53"/>
        <v>4023/4024</v>
      </c>
      <c r="L198" s="21" t="str">
        <f>VLOOKUP(A198,'Trips&amp;Operators'!$C$1:$G$99999,5,FALSE)</f>
        <v>CASSIDY BRANDON</v>
      </c>
      <c r="M198" s="6">
        <f t="shared" si="54"/>
        <v>1.0925925926130731E-2</v>
      </c>
      <c r="N198" s="7">
        <f t="shared" si="77"/>
        <v>15.733333333628252</v>
      </c>
      <c r="O198" s="7"/>
      <c r="P198" s="7"/>
      <c r="Q198" s="22"/>
      <c r="R198" s="170"/>
      <c r="S198" s="213">
        <f t="shared" si="80"/>
        <v>1</v>
      </c>
      <c r="T198" s="195" t="str">
        <f t="shared" si="55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6"/>
        <v>https://d0f6bd738d7f1b3e5a7ca70fe4ff75f0.us-east-1.aws.found.io/app/kibana#/discover/Steve-Slow-Train-Analysis-(2080s-and-2083s)?_g=(refreshInterval:(display:Off,pause:!f,section:0,value:0),time:(from:'2017-07-11T17:38:02-0600',mode:absolute,to:'2017-07-11T19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8" s="197" t="str">
        <f>IF(AA198&lt;VLOOKUP(AG198,Variables!$AC$3:$AD$8,2,FALSE),"Y","N")</f>
        <v>N</v>
      </c>
      <c r="X198" s="197">
        <f t="shared" si="57"/>
        <v>1</v>
      </c>
      <c r="Y198" s="197">
        <f t="shared" si="78"/>
        <v>5.8661000000000003</v>
      </c>
      <c r="Z198" s="197">
        <f t="shared" si="79"/>
        <v>7.3599999999999999E-2</v>
      </c>
      <c r="AA198" s="197">
        <f t="shared" si="60"/>
        <v>5.7925000000000004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1"/>
        <v>838</v>
      </c>
      <c r="AE198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198" s="74" t="str">
        <f t="shared" si="63"/>
        <v>"C:\Program Files (x86)\AstroGrep\AstroGrep.exe" /e /r /s /spath="%USERPROFILE%\AppData\Local\Temp\OnboardLogs" /stypes="app*4023*20170712*" /stext=" 00:.+((SYSTEM_STATE.+slice.+state.+changed )|(ment ac)|(multiple cpu faults)|(system.+state.+changed )|(\[timeout)|(PRM\|1\|D)|(kpr)|(kdp)|(train st.+moving)|(\|lc)|(penalty))"</v>
      </c>
      <c r="AG198" s="209" t="str">
        <f t="shared" si="64"/>
        <v>NW</v>
      </c>
      <c r="AH198" s="78" t="str">
        <f t="shared" si="65"/>
        <v>"%USERPROFILE%\Documents\GitHub\eaglep3\Utilities\RefineRTDCRunTimes.py" --tripid 838-11 --locoid 4023 --swversion DE.1.0.9.0 --startMP 300:58661 --initTime 2017-07-11T18:38:02 --startdatetime 2017-07-11T18:40:38 --delay 1 --endMP 204:736 --enddatetime 2017-07-11T18:56:22 --enforcementcount 0 &gt;&gt;C:\Users\stu\Documents\GitHub\eaglep3-reporting\EC\2017-07-11-refined-times.txt</v>
      </c>
      <c r="AI198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{"issue":{"subject":"","project_id":79,"tracker_id":40,"status_id":1,"priority_id":2,"assigned_to_id":23,"start_date":"2017-07-11","description":"","custom_fields":[{"id":1,"name":"Subdivision","value":"NW"},{"id":4,"name":"Milepost","value":"0.0736"},{"id":17,"name":"Train ID","value":"838-11"},{"id":16,"name":"Locomotive ID","value":"4023"},{"id":130,"name":"Impact","value":""},{"id":150,"name":"Time of Event (Mountain Time)","value":"18:56:22"},{"id":151,"name":"Denver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7"/>
        <v>start /low /b %USERPROFILE%\Documents\GitHub\eaglep3\Utilities\DownloadLogsFromS3.py --loco 4023 --day 2017-07-11</v>
      </c>
      <c r="AN198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603</v>
      </c>
      <c r="B199" s="7">
        <v>4062</v>
      </c>
      <c r="C199" s="21" t="s">
        <v>199</v>
      </c>
      <c r="D199" s="21" t="s">
        <v>552</v>
      </c>
      <c r="E199" s="13">
        <v>42927.781307870369</v>
      </c>
      <c r="F199" s="13">
        <v>42927.786203703705</v>
      </c>
      <c r="G199" s="7">
        <v>2</v>
      </c>
      <c r="H199" s="21" t="s">
        <v>984</v>
      </c>
      <c r="I199" s="13">
        <v>42927.796875</v>
      </c>
      <c r="J199" s="7">
        <v>0</v>
      </c>
      <c r="K199" s="89" t="str">
        <f t="shared" si="53"/>
        <v>4061/4062</v>
      </c>
      <c r="L199" s="21" t="str">
        <f>VLOOKUP(A199,'Trips&amp;Operators'!$C$1:$G$99999,5,FALSE)</f>
        <v>ELBAUM MIKE</v>
      </c>
      <c r="M199" s="6">
        <f t="shared" si="54"/>
        <v>1.0671296295186039E-2</v>
      </c>
      <c r="N199" s="7">
        <f t="shared" si="77"/>
        <v>15.366666665067896</v>
      </c>
      <c r="O199" s="7"/>
      <c r="P199" s="7"/>
      <c r="Q199" s="22"/>
      <c r="R199" s="170"/>
      <c r="S199" s="213">
        <f t="shared" si="80"/>
        <v>1</v>
      </c>
      <c r="T199" s="195" t="str">
        <f t="shared" si="55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6"/>
        <v>https://d0f6bd738d7f1b3e5a7ca70fe4ff75f0.us-east-1.aws.found.io/app/kibana#/discover/Steve-Slow-Train-Analysis-(2080s-and-2083s)?_g=(refreshInterval:(display:Off,pause:!f,section:0,value:0),time:(from:'2017-07-11T17:45:05-0600',mode:absolute,to:'2017-07-11T20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9" s="197" t="str">
        <f>IF(AA199&lt;VLOOKUP(AG199,Variables!$AC$3:$AD$8,2,FALSE),"Y","N")</f>
        <v>N</v>
      </c>
      <c r="X199" s="197">
        <f t="shared" si="57"/>
        <v>1</v>
      </c>
      <c r="Y199" s="197">
        <f t="shared" si="78"/>
        <v>9.9000000000000005E-2</v>
      </c>
      <c r="Z199" s="197">
        <f t="shared" si="79"/>
        <v>5.891</v>
      </c>
      <c r="AA199" s="197">
        <f t="shared" si="60"/>
        <v>5.7919999999999998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1"/>
        <v>839</v>
      </c>
      <c r="AE199" s="77" t="str">
        <f t="shared" si="62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199" s="74" t="str">
        <f t="shared" si="63"/>
        <v>"C:\Program Files (x86)\AstroGrep\AstroGrep.exe" /e /r /s /spath="%USERPROFILE%\AppData\Local\Temp\OnboardLogs" /stypes="app*4062*20170712*" /stext=" 01:.+((SYSTEM_STATE.+slice.+state.+changed )|(ment ac)|(multiple cpu faults)|(system.+state.+changed )|(\[timeout)|(PRM\|1\|D)|(kpr)|(kdp)|(train st.+moving)|(\|lc)|(penalty))"</v>
      </c>
      <c r="AG199" s="209" t="str">
        <f t="shared" si="64"/>
        <v>NW</v>
      </c>
      <c r="AH199" s="78" t="str">
        <f t="shared" si="65"/>
        <v>"%USERPROFILE%\Documents\GitHub\eaglep3\Utilities\RefineRTDCRunTimes.py" --tripid 839-11 --locoid 4062 --swversion DE.1.0.9.0 --startMP 204:990 --initTime 2017-07-11T18:45:05 --startdatetime 2017-07-11T18:52:08 --delay 2 --endMP 300:58910 --enddatetime 2017-07-11T19:07:30 --enforcementcount 0 &gt;&gt;C:\Users\stu\Documents\GitHub\eaglep3-reporting\EC\2017-07-11-refined-times.txt</v>
      </c>
      <c r="AI199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{"issue":{"subject":"","project_id":79,"tracker_id":40,"status_id":1,"priority_id":2,"assigned_to_id":23,"start_date":"2017-07-11","description":"","custom_fields":[{"id":1,"name":"Subdivision","value":"NW"},{"id":4,"name":"Milepost","value":"5.891"},{"id":17,"name":"Train ID","value":"839-11"},{"id":16,"name":"Locomotive ID","value":"4062"},{"id":130,"name":"Impact","value":""},{"id":150,"name":"Time of Event (Mountain Time)","value":"19:07:30"},{"id":151,"name":"Denver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7"/>
        <v>start /low /b %USERPROFILE%\Documents\GitHub\eaglep3\Utilities\DownloadLogsFromS3.py --loco 4062 --day 2017-07-11</v>
      </c>
      <c r="AN199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791</v>
      </c>
      <c r="B200" s="7">
        <v>4023</v>
      </c>
      <c r="C200" s="21" t="s">
        <v>199</v>
      </c>
      <c r="D200" s="21" t="s">
        <v>985</v>
      </c>
      <c r="E200" s="13">
        <v>42927.817523148151</v>
      </c>
      <c r="F200" s="13">
        <v>42927.818993055553</v>
      </c>
      <c r="G200" s="7">
        <v>1</v>
      </c>
      <c r="H200" s="21" t="s">
        <v>986</v>
      </c>
      <c r="I200" s="13">
        <v>42927.830034722225</v>
      </c>
      <c r="J200" s="7">
        <v>0</v>
      </c>
      <c r="K200" s="89" t="str">
        <f t="shared" si="53"/>
        <v>4023/4024</v>
      </c>
      <c r="L200" s="21" t="str">
        <f>VLOOKUP(A200,'Trips&amp;Operators'!$C$1:$G$99999,5,FALSE)</f>
        <v>CASSIDY BRANDON</v>
      </c>
      <c r="M200" s="6">
        <f t="shared" si="54"/>
        <v>1.1041666672099382E-2</v>
      </c>
      <c r="N200" s="7">
        <f t="shared" si="77"/>
        <v>15.90000000782311</v>
      </c>
      <c r="O200" s="7"/>
      <c r="P200" s="7"/>
      <c r="Q200" s="22"/>
      <c r="R200" s="170"/>
      <c r="S200" s="213">
        <f t="shared" si="80"/>
        <v>1</v>
      </c>
      <c r="T200" s="195" t="str">
        <f t="shared" si="55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6"/>
        <v>https://d0f6bd738d7f1b3e5a7ca70fe4ff75f0.us-east-1.aws.found.io/app/kibana#/discover/Steve-Slow-Train-Analysis-(2080s-and-2083s)?_g=(refreshInterval:(display:Off,pause:!f,section:0,value:0),time:(from:'2017-07-11T18:37:14-0600',mode:absolute,to:'2017-07-11T20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0" s="197" t="str">
        <f>IF(AA200&lt;VLOOKUP(AG200,Variables!$AC$3:$AD$8,2,FALSE),"Y","N")</f>
        <v>N</v>
      </c>
      <c r="X200" s="197">
        <f t="shared" si="57"/>
        <v>1</v>
      </c>
      <c r="Y200" s="197">
        <f t="shared" si="78"/>
        <v>5.8601999999999999</v>
      </c>
      <c r="Z200" s="197">
        <f t="shared" si="79"/>
        <v>7.3300000000000004E-2</v>
      </c>
      <c r="AA200" s="197">
        <f t="shared" si="60"/>
        <v>5.7869000000000002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1"/>
        <v>840</v>
      </c>
      <c r="AE200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200" s="74" t="str">
        <f t="shared" si="63"/>
        <v>"C:\Program Files (x86)\AstroGrep\AstroGrep.exe" /e /r /s /spath="%USERPROFILE%\AppData\Local\Temp\OnboardLogs" /stypes="app*4023*20170712*" /stext=" 01:.+((SYSTEM_STATE.+slice.+state.+changed )|(ment ac)|(multiple cpu faults)|(system.+state.+changed )|(\[timeout)|(PRM\|1\|D)|(kpr)|(kdp)|(train st.+moving)|(\|lc)|(penalty))"</v>
      </c>
      <c r="AG200" s="209" t="str">
        <f t="shared" si="64"/>
        <v>NW</v>
      </c>
      <c r="AH200" s="78" t="str">
        <f t="shared" si="65"/>
        <v>"%USERPROFILE%\Documents\GitHub\eaglep3\Utilities\RefineRTDCRunTimes.py" --tripid 840-11 --locoid 4023 --swversion DE.1.0.9.0 --startMP 300:58602 --initTime 2017-07-11T19:37:14 --startdatetime 2017-07-11T19:39:21 --delay 1 --endMP 204:733 --enddatetime 2017-07-11T19:55:15 --enforcementcount 0 &gt;&gt;C:\Users\stu\Documents\GitHub\eaglep3-reporting\EC\2017-07-11-refined-times.txt</v>
      </c>
      <c r="AI200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{"issue":{"subject":"","project_id":79,"tracker_id":40,"status_id":1,"priority_id":2,"assigned_to_id":23,"start_date":"2017-07-11","description":"","custom_fields":[{"id":1,"name":"Subdivision","value":"NW"},{"id":4,"name":"Milepost","value":"0.0733"},{"id":17,"name":"Train ID","value":"840-11"},{"id":16,"name":"Locomotive ID","value":"4023"},{"id":130,"name":"Impact","value":""},{"id":150,"name":"Time of Event (Mountain Time)","value":"19:55:15"},{"id":151,"name":"Denver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7"/>
        <v>start /low /b %USERPROFILE%\Documents\GitHub\eaglep3\Utilities\DownloadLogsFromS3.py --loco 4023 --day 2017-07-11</v>
      </c>
      <c r="AN200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788</v>
      </c>
      <c r="B201" s="7">
        <v>4024</v>
      </c>
      <c r="C201" s="21" t="s">
        <v>199</v>
      </c>
      <c r="D201" s="21" t="s">
        <v>987</v>
      </c>
      <c r="E201" s="13">
        <v>42927.801539351851</v>
      </c>
      <c r="F201" s="13">
        <v>42927.806435185186</v>
      </c>
      <c r="G201" s="7">
        <v>1</v>
      </c>
      <c r="H201" s="21" t="s">
        <v>944</v>
      </c>
      <c r="I201" s="13">
        <v>42927.81621527778</v>
      </c>
      <c r="J201" s="7">
        <v>0</v>
      </c>
      <c r="K201" s="89" t="str">
        <f t="shared" si="53"/>
        <v>4023/4024</v>
      </c>
      <c r="L201" s="21" t="str">
        <f>VLOOKUP(A201,'Trips&amp;Operators'!$C$1:$G$99999,5,FALSE)</f>
        <v>CASSIDY BRANDON</v>
      </c>
      <c r="M201" s="6">
        <f t="shared" si="54"/>
        <v>9.7800925941555761E-3</v>
      </c>
      <c r="N201" s="7">
        <f t="shared" si="77"/>
        <v>14.08333333558403</v>
      </c>
      <c r="O201" s="7"/>
      <c r="P201" s="7"/>
      <c r="Q201" s="22"/>
      <c r="R201" s="170"/>
      <c r="S201" s="213">
        <f t="shared" si="80"/>
        <v>1</v>
      </c>
      <c r="T201" s="195" t="str">
        <f t="shared" si="55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6"/>
        <v>https://d0f6bd738d7f1b3e5a7ca70fe4ff75f0.us-east-1.aws.found.io/app/kibana#/discover/Steve-Slow-Train-Analysis-(2080s-and-2083s)?_g=(refreshInterval:(display:Off,pause:!f,section:0,value:0),time:(from:'2017-07-11T18:14:13-0600',mode:absolute,to:'2017-07-11T20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197" t="str">
        <f>IF(AA201&lt;VLOOKUP(AG201,Variables!$AC$3:$AD$8,2,FALSE),"Y","N")</f>
        <v>N</v>
      </c>
      <c r="X201" s="197">
        <f t="shared" si="57"/>
        <v>1</v>
      </c>
      <c r="Y201" s="197">
        <f t="shared" si="78"/>
        <v>0.1014</v>
      </c>
      <c r="Z201" s="197">
        <f t="shared" si="79"/>
        <v>5.8933</v>
      </c>
      <c r="AA201" s="197">
        <f t="shared" si="60"/>
        <v>5.7919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1"/>
        <v>841</v>
      </c>
      <c r="AE201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201" s="74" t="str">
        <f t="shared" si="63"/>
        <v>"C:\Program Files (x86)\AstroGrep\AstroGrep.exe" /e /r /s /spath="%USERPROFILE%\AppData\Local\Temp\OnboardLogs" /stypes="app*4024*20170712*" /stext=" 01:.+((SYSTEM_STATE.+slice.+state.+changed )|(ment ac)|(multiple cpu faults)|(system.+state.+changed )|(\[timeout)|(PRM\|1\|D)|(kpr)|(kdp)|(train st.+moving)|(\|lc)|(penalty))"</v>
      </c>
      <c r="AG201" s="209" t="str">
        <f t="shared" si="64"/>
        <v>NW</v>
      </c>
      <c r="AH201" s="78" t="str">
        <f t="shared" si="65"/>
        <v>"%USERPROFILE%\Documents\GitHub\eaglep3\Utilities\RefineRTDCRunTimes.py" --tripid 841-11 --locoid 4024 --swversion DE.1.0.9.0 --startMP 204:1014 --initTime 2017-07-11T19:14:13 --startdatetime 2017-07-11T19:21:16 --delay 1 --endMP 300:58933 --enddatetime 2017-07-11T19:35:21 --enforcementcount 0 &gt;&gt;C:\Users\stu\Documents\GitHub\eaglep3-reporting\EC\2017-07-11-refined-times.txt</v>
      </c>
      <c r="AI201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{"issue":{"subject":"","project_id":79,"tracker_id":40,"status_id":1,"priority_id":2,"assigned_to_id":23,"start_date":"2017-07-11","description":"","custom_fields":[{"id":1,"name":"Subdivision","value":"NW"},{"id":4,"name":"Milepost","value":"5.8933"},{"id":17,"name":"Train ID","value":"841-11"},{"id":16,"name":"Locomotive ID","value":"4024"},{"id":130,"name":"Impact","value":""},{"id":150,"name":"Time of Event (Mountain Time)","value":"19:35:21"},{"id":151,"name":"Denver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7"/>
        <v>start /low /b %USERPROFILE%\Documents\GitHub\eaglep3\Utilities\DownloadLogsFromS3.py --loco 4024 --day 2017-07-11</v>
      </c>
      <c r="AN201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797</v>
      </c>
      <c r="B202" s="7">
        <v>4023</v>
      </c>
      <c r="C202" s="21" t="s">
        <v>199</v>
      </c>
      <c r="D202" s="21" t="s">
        <v>555</v>
      </c>
      <c r="E202" s="13">
        <v>42927.861481481479</v>
      </c>
      <c r="F202" s="13">
        <v>42927.862812500003</v>
      </c>
      <c r="G202" s="7">
        <v>1</v>
      </c>
      <c r="H202" s="21" t="s">
        <v>988</v>
      </c>
      <c r="I202" s="13">
        <v>42927.871712962966</v>
      </c>
      <c r="J202" s="7">
        <v>0</v>
      </c>
      <c r="K202" s="89" t="str">
        <f t="shared" si="53"/>
        <v>4023/4024</v>
      </c>
      <c r="L202" s="21" t="str">
        <f>VLOOKUP(A202,'Trips&amp;Operators'!$C$1:$G$99999,5,FALSE)</f>
        <v>CASSIDY BRANDON</v>
      </c>
      <c r="M202" s="6">
        <f t="shared" si="54"/>
        <v>8.9004629626288079E-3</v>
      </c>
      <c r="N202" s="7">
        <f t="shared" si="77"/>
        <v>12.816666666185483</v>
      </c>
      <c r="O202" s="7"/>
      <c r="P202" s="7"/>
      <c r="Q202" s="22"/>
      <c r="R202" s="170"/>
      <c r="S202" s="213">
        <f t="shared" si="80"/>
        <v>1</v>
      </c>
      <c r="T202" s="195" t="str">
        <f t="shared" si="55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6"/>
        <v>https://d0f6bd738d7f1b3e5a7ca70fe4ff75f0.us-east-1.aws.found.io/app/kibana#/discover/Steve-Slow-Train-Analysis-(2080s-and-2083s)?_g=(refreshInterval:(display:Off,pause:!f,section:0,value:0),time:(from:'2017-07-11T19:40:32-0600',mode:absolute,to:'2017-07-11T21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197" t="str">
        <f>IF(AA202&lt;VLOOKUP(AG202,Variables!$AC$3:$AD$8,2,FALSE),"Y","N")</f>
        <v>N</v>
      </c>
      <c r="X202" s="197">
        <f t="shared" si="57"/>
        <v>1</v>
      </c>
      <c r="Y202" s="197">
        <f t="shared" si="78"/>
        <v>5.8623000000000003</v>
      </c>
      <c r="Z202" s="197">
        <f t="shared" si="79"/>
        <v>7.2900000000000006E-2</v>
      </c>
      <c r="AA202" s="197">
        <f t="shared" si="60"/>
        <v>5.7894000000000005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1"/>
        <v>842</v>
      </c>
      <c r="AE202" s="77" t="str">
        <f t="shared" si="62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202" s="74" t="str">
        <f t="shared" si="63"/>
        <v>"C:\Program Files (x86)\AstroGrep\AstroGrep.exe" /e /r /s /spath="%USERPROFILE%\AppData\Local\Temp\OnboardLogs" /stypes="app*4023*20170712*" /stext=" 02:.+((SYSTEM_STATE.+slice.+state.+changed )|(ment ac)|(multiple cpu faults)|(system.+state.+changed )|(\[timeout)|(PRM\|1\|D)|(kpr)|(kdp)|(train st.+moving)|(\|lc)|(penalty))"</v>
      </c>
      <c r="AG202" s="209" t="str">
        <f t="shared" si="64"/>
        <v>NW</v>
      </c>
      <c r="AH202" s="78" t="str">
        <f t="shared" si="65"/>
        <v>"%USERPROFILE%\Documents\GitHub\eaglep3\Utilities\RefineRTDCRunTimes.py" --tripid 842-11 --locoid 4023 --swversion DE.1.0.9.0 --startMP 300:58623 --initTime 2017-07-11T20:40:32 --startdatetime 2017-07-11T20:42:27 --delay 1 --endMP 204:729 --enddatetime 2017-07-11T20:55:16 --enforcementcount 0 &gt;&gt;C:\Users\stu\Documents\GitHub\eaglep3-reporting\EC\2017-07-11-refined-times.txt</v>
      </c>
      <c r="AI202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{"issue":{"subject":"","project_id":79,"tracker_id":40,"status_id":1,"priority_id":2,"assigned_to_id":23,"start_date":"2017-07-11","description":"","custom_fields":[{"id":1,"name":"Subdivision","value":"NW"},{"id":4,"name":"Milepost","value":"0.0729"},{"id":17,"name":"Train ID","value":"842-11"},{"id":16,"name":"Locomotive ID","value":"4023"},{"id":130,"name":"Impact","value":""},{"id":150,"name":"Time of Event (Mountain Time)","value":"20:55:16"},{"id":151,"name":"Denver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7"/>
        <v>start /low /b %USERPROFILE%\Documents\GitHub\eaglep3\Utilities\DownloadLogsFromS3.py --loco 4023 --day 2017-07-11</v>
      </c>
      <c r="AN202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02:55:16"},{"id":29,"name":"Sharepoint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794</v>
      </c>
      <c r="B203" s="7">
        <v>4024</v>
      </c>
      <c r="C203" s="21" t="s">
        <v>199</v>
      </c>
      <c r="D203" s="21" t="s">
        <v>989</v>
      </c>
      <c r="E203" s="13">
        <v>42927.843263888892</v>
      </c>
      <c r="F203" s="13">
        <v>42927.844988425924</v>
      </c>
      <c r="G203" s="7">
        <v>2</v>
      </c>
      <c r="H203" s="21" t="s">
        <v>554</v>
      </c>
      <c r="I203" s="13">
        <v>42927.86041666667</v>
      </c>
      <c r="J203" s="7">
        <v>0</v>
      </c>
      <c r="K203" s="89" t="str">
        <f t="shared" si="53"/>
        <v>4023/4024</v>
      </c>
      <c r="L203" s="21" t="str">
        <f>VLOOKUP(A203,'Trips&amp;Operators'!$C$1:$G$99999,5,FALSE)</f>
        <v>CASSIDY BRANDON</v>
      </c>
      <c r="M203" s="6">
        <f t="shared" si="54"/>
        <v>1.5428240745677613E-2</v>
      </c>
      <c r="N203" s="7">
        <f t="shared" si="77"/>
        <v>22.216666673775762</v>
      </c>
      <c r="O203" s="7"/>
      <c r="P203" s="7"/>
      <c r="Q203" s="22"/>
      <c r="R203" s="170" t="s">
        <v>1031</v>
      </c>
      <c r="S203" s="213">
        <f t="shared" si="80"/>
        <v>1</v>
      </c>
      <c r="T203" s="195" t="str">
        <f t="shared" si="55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6"/>
        <v>https://d0f6bd738d7f1b3e5a7ca70fe4ff75f0.us-east-1.aws.found.io/app/kibana#/discover/Steve-Slow-Train-Analysis-(2080s-and-2083s)?_g=(refreshInterval:(display:Off,pause:!f,section:0,value:0),time:(from:'2017-07-11T19:14:18-0600',mode:absolute,to:'2017-07-11T21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3" s="197" t="str">
        <f>IF(AA203&lt;VLOOKUP(AG203,Variables!$AC$3:$AD$8,2,FALSE),"Y","N")</f>
        <v>N</v>
      </c>
      <c r="X203" s="197">
        <f t="shared" si="57"/>
        <v>1</v>
      </c>
      <c r="Y203" s="197">
        <f t="shared" si="78"/>
        <v>0.1007</v>
      </c>
      <c r="Z203" s="197">
        <f t="shared" si="79"/>
        <v>5.8940999999999999</v>
      </c>
      <c r="AA203" s="197">
        <f t="shared" si="60"/>
        <v>5.7934000000000001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1"/>
        <v>843</v>
      </c>
      <c r="AE203" s="77" t="str">
        <f t="shared" si="62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203" s="74" t="str">
        <f t="shared" si="63"/>
        <v>"C:\Program Files (x86)\AstroGrep\AstroGrep.exe" /e /r /s /spath="%USERPROFILE%\AppData\Local\Temp\OnboardLogs" /stypes="app*4024*20170712*" /stext=" 02:.+((SYSTEM_STATE.+slice.+state.+changed )|(ment ac)|(multiple cpu faults)|(system.+state.+changed )|(\[timeout)|(PRM\|1\|D)|(kpr)|(kdp)|(train st.+moving)|(\|lc)|(penalty))"</v>
      </c>
      <c r="AG203" s="209" t="str">
        <f t="shared" si="64"/>
        <v>NW</v>
      </c>
      <c r="AH203" s="78" t="str">
        <f t="shared" si="65"/>
        <v>"%USERPROFILE%\Documents\GitHub\eaglep3\Utilities\RefineRTDCRunTimes.py" --tripid 843-11 --locoid 4024 --swversion DE.1.0.9.0 --startMP 204:1007 --initTime 2017-07-11T20:14:18 --startdatetime 2017-07-11T20:16:47 --delay 2 --endMP 300:58941 --enddatetime 2017-07-11T20:39:00 --enforcementcount 0 &gt;&gt;C:\Users\stu\Documents\GitHub\eaglep3-reporting\EC\2017-07-11-refined-times.txt</v>
      </c>
      <c r="AI203" s="96" t="str">
        <f t="shared" si="66"/>
        <v>echo {"issue":{"subject":"Delayed by onboard in-route failure","project_id":79,"tracker_id":40,"status_id":1,"priority_id":2,"assigned_to_id":23,"start_date":"2017-07-11","description":"","custom_fields":[{"id":1,"name":"Subdivision","value":"NW"},{"id":4,"name":"Milepost","value":"5.8941"},{"id":17,"name":"Train ID","value":"843-11"},{"id":16,"name":"Locomotive ID","value":"4024"},{"id":130,"name":"Impact","value":""},{"id":150,"name":"Time of Event (Mountain Time)","value":"20:39:00"},{"id":151,"name":"Denver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7"/>
        <v>start /low /b %USERPROFILE%\Documents\GitHub\eaglep3\Utilities\DownloadLogsFromS3.py --loco 4024 --day 2017-07-11</v>
      </c>
      <c r="AN203" s="151" t="str">
        <f t="shared" si="68"/>
        <v>echo {"issue":{"subject":"Delayed by onboard in-route failure","project_id":30,"tracker_id":4,"status_id":1,"priority_id":1,"assigned_to_id":10,"start_date":"2017-07-12","description":"","custom_fields":[{"id":30,"name":"Category","value":"Issue"},{"id":3,"name":"Functional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02:39:00"},{"id":29,"name":"Sharepoint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607</v>
      </c>
      <c r="B204" s="7">
        <v>4023</v>
      </c>
      <c r="C204" s="21" t="s">
        <v>199</v>
      </c>
      <c r="D204" s="21" t="s">
        <v>990</v>
      </c>
      <c r="E204" s="13">
        <v>42927.903217592589</v>
      </c>
      <c r="F204" s="13">
        <v>42927.905057870368</v>
      </c>
      <c r="G204" s="7">
        <v>1</v>
      </c>
      <c r="H204" s="21" t="s">
        <v>991</v>
      </c>
      <c r="I204" s="13">
        <v>42927.91646990741</v>
      </c>
      <c r="J204" s="7">
        <v>0</v>
      </c>
      <c r="K204" s="89" t="str">
        <f t="shared" ref="K204:K241" si="81">IF(ISEVEN(B204),(B204-1)&amp;"/"&amp;B204,B204&amp;"/"&amp;(B204+1))</f>
        <v>4023/4024</v>
      </c>
      <c r="L204" s="21" t="str">
        <f>VLOOKUP(A204,'Trips&amp;Operators'!$C$1:$G$99999,5,FALSE)</f>
        <v>ELBAUM MIKE</v>
      </c>
      <c r="M204" s="6">
        <f t="shared" ref="M204:M241" si="82">I204-F204</f>
        <v>1.1412037041736767E-2</v>
      </c>
      <c r="N204" s="7">
        <f t="shared" si="77"/>
        <v>16.433333340100944</v>
      </c>
      <c r="O204" s="7"/>
      <c r="P204" s="7"/>
      <c r="Q204" s="22"/>
      <c r="R204" s="170"/>
      <c r="S204" s="213">
        <f t="shared" si="80"/>
        <v>1</v>
      </c>
      <c r="T204" s="195" t="str">
        <f t="shared" ref="T204:T241" si="83">IF(ISEVEN(LEFT(AD204,4)),"Southbound","NorthBound")</f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ref="V204:V241" si="84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-07-11T20:40:38-0600',mode:absolute,to:'2017-07-11T22:59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197" t="str">
        <f>IF(AA204&lt;VLOOKUP(AG204,Variables!$AC$3:$AD$8,2,FALSE),"Y","N")</f>
        <v>N</v>
      </c>
      <c r="X204" s="197">
        <f t="shared" si="57"/>
        <v>1</v>
      </c>
      <c r="Y204" s="197">
        <f t="shared" si="78"/>
        <v>5.8574999999999999</v>
      </c>
      <c r="Z204" s="197">
        <f t="shared" si="79"/>
        <v>7.6899999999999996E-2</v>
      </c>
      <c r="AA204" s="197">
        <f t="shared" ref="AA204:AA267" si="85">ABS(Z204-Y204)</f>
        <v>5.7805999999999997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ref="AD204:AD241" si="86">VALUE(LEFT(A204,LEN(A204)-3))</f>
        <v>844</v>
      </c>
      <c r="AE204" s="77" t="str">
        <f t="shared" ref="AE204:AE241" si="87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204" s="74" t="str">
        <f t="shared" ref="AF204:AF241" si="88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/stypes="app*4023*20170712*" /stext=" 03:.+((SYSTEM_STATE.+slice.+state.+changed )|(ment ac)|(multiple cpu faults)|(system.+state.+changed )|(\[timeout)|(PRM\|1\|D)|(kpr)|(kdp)|(train st.+moving)|(\|lc)|(penalty))"</v>
      </c>
      <c r="AG204" s="209" t="str">
        <f t="shared" ref="AG204:AG241" si="89">DetSubdiv(A204)</f>
        <v>NW</v>
      </c>
      <c r="AH204" s="78" t="str">
        <f t="shared" si="65"/>
        <v>"%USERPROFILE%\Documents\GitHub\eaglep3\Utilities\RefineRTDCRunTimes.py" --tripid 844-11 --locoid 4023 --swversion DE.1.0.9.0 --startMP 300:58575 --initTime 2017-07-11T21:40:38 --startdatetime 2017-07-11T21:43:17 --delay 1 --endMP 204:769 --enddatetime 2017-07-11T21:59:43 --enforcementcount 0 &gt;&gt;C:\Users\stu\Documents\GitHub\eaglep3-reporting\EC\2017-07-11-refined-times.txt</v>
      </c>
      <c r="AI204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{"issue":{"subject":"","project_id":79,"tracker_id":40,"status_id":1,"priority_id":2,"assigned_to_id":23,"start_date":"2017-07-11","description":"","custom_fields":[{"id":1,"name":"Subdivision","value":"NW"},{"id":4,"name":"Milepost","value":"0.0769"},{"id":17,"name":"Train ID","value":"844-11"},{"id":16,"name":"Locomotive ID","value":"4023"},{"id":130,"name":"Impact","value":""},{"id":150,"name":"Time of Event (Mountain Time)","value":"21:59:43"},{"id":151,"name":"Denver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67"/>
        <v>start /low /b %USERPROFILE%\Documents\GitHub\eaglep3\Utilities\DownloadLogsFromS3.py --loco 4023 --day 2017-07-11</v>
      </c>
      <c r="AN204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03:59:43"},{"id":29,"name":"Sharepoint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606</v>
      </c>
      <c r="B205" s="7">
        <v>4024</v>
      </c>
      <c r="C205" s="21" t="s">
        <v>199</v>
      </c>
      <c r="D205" s="21" t="s">
        <v>992</v>
      </c>
      <c r="E205" s="13">
        <v>42927.88653935185</v>
      </c>
      <c r="F205" s="13">
        <v>42927.890416666669</v>
      </c>
      <c r="G205" s="7">
        <v>1</v>
      </c>
      <c r="H205" s="21" t="s">
        <v>993</v>
      </c>
      <c r="I205" s="13">
        <v>42927.90185185185</v>
      </c>
      <c r="J205" s="7">
        <v>0</v>
      </c>
      <c r="K205" s="89" t="str">
        <f t="shared" si="81"/>
        <v>4023/4024</v>
      </c>
      <c r="L205" s="21" t="str">
        <f>VLOOKUP(A205,'Trips&amp;Operators'!$C$1:$G$99999,5,FALSE)</f>
        <v>ELBAUM MIKE</v>
      </c>
      <c r="M205" s="6">
        <f t="shared" si="82"/>
        <v>1.1435185180744156E-2</v>
      </c>
      <c r="N205" s="7">
        <f t="shared" si="77"/>
        <v>16.466666660271585</v>
      </c>
      <c r="O205" s="7"/>
      <c r="P205" s="7"/>
      <c r="Q205" s="22"/>
      <c r="R205" s="170"/>
      <c r="S205" s="213">
        <f t="shared" si="80"/>
        <v>1</v>
      </c>
      <c r="T205" s="195" t="str">
        <f t="shared" si="83"/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si="84"/>
        <v>https://d0f6bd738d7f1b3e5a7ca70fe4ff75f0.us-east-1.aws.found.io/app/kibana#/discover/Steve-Slow-Train-Analysis-(2080s-and-2083s)?_g=(refreshInterval:(display:Off,pause:!f,section:0,value:0),time:(from:'2017-07-11T20:16:37-0600',mode:absolute,to:'2017-07-11T22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197" t="str">
        <f>IF(AA205&lt;VLOOKUP(AG205,Variables!$AC$3:$AD$8,2,FALSE),"Y","N")</f>
        <v>N</v>
      </c>
      <c r="X205" s="197">
        <f t="shared" ref="X205" si="90">VALUE(LEFT(AD205,4))-VALUE(LEFT(AD204,4))</f>
        <v>1</v>
      </c>
      <c r="Y205" s="197">
        <f t="shared" si="78"/>
        <v>0.1002</v>
      </c>
      <c r="Z205" s="197">
        <f t="shared" si="79"/>
        <v>5.8901000000000003</v>
      </c>
      <c r="AA205" s="197">
        <f t="shared" si="85"/>
        <v>5.7899000000000003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si="86"/>
        <v>845</v>
      </c>
      <c r="AE205" s="77" t="str">
        <f t="shared" si="87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205" s="74" t="str">
        <f t="shared" si="88"/>
        <v>"C:\Program Files (x86)\AstroGrep\AstroGrep.exe" /e /r /s /spath="%USERPROFILE%\AppData\Local\Temp\OnboardLogs" /stypes="app*4024*20170712*" /stext=" 03:.+((SYSTEM_STATE.+slice.+state.+changed )|(ment ac)|(multiple cpu faults)|(system.+state.+changed )|(\[timeout)|(PRM\|1\|D)|(kpr)|(kdp)|(train st.+moving)|(\|lc)|(penalty))"</v>
      </c>
      <c r="AG205" s="209" t="str">
        <f t="shared" si="89"/>
        <v>NW</v>
      </c>
      <c r="AH205" s="78" t="str">
        <f t="shared" si="65"/>
        <v>"%USERPROFILE%\Documents\GitHub\eaglep3\Utilities\RefineRTDCRunTimes.py" --tripid 845-11 --locoid 4024 --swversion DE.1.0.9.0 --startMP 204:1002 --initTime 2017-07-11T21:16:37 --startdatetime 2017-07-11T21:22:12 --delay 1 --endMP 300:58901 --enddatetime 2017-07-11T21:38:40 --enforcementcount 0 &gt;&gt;C:\Users\stu\Documents\GitHub\eaglep3-reporting\EC\2017-07-11-refined-times.txt</v>
      </c>
      <c r="AI205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{"issue":{"subject":"","project_id":79,"tracker_id":40,"status_id":1,"priority_id":2,"assigned_to_id":23,"start_date":"2017-07-11","description":"","custom_fields":[{"id":1,"name":"Subdivision","value":"NW"},{"id":4,"name":"Milepost","value":"5.8901"},{"id":17,"name":"Train ID","value":"845-11"},{"id":16,"name":"Locomotive ID","value":"4024"},{"id":130,"name":"Impact","value":""},{"id":150,"name":"Time of Event (Mountain Time)","value":"21:38:40"},{"id":151,"name":"Denver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67"/>
        <v>start /low /b %USERPROFILE%\Documents\GitHub\eaglep3\Utilities\DownloadLogsFromS3.py --loco 4024 --day 2017-07-11</v>
      </c>
      <c r="AN205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03:38:40"},{"id":29,"name":"Sharepoint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804</v>
      </c>
      <c r="B206" s="7">
        <v>4024</v>
      </c>
      <c r="C206" s="21" t="s">
        <v>199</v>
      </c>
      <c r="D206" s="21" t="s">
        <v>994</v>
      </c>
      <c r="E206" s="13">
        <v>42927.918368055558</v>
      </c>
      <c r="F206" s="13">
        <v>42927.932037037041</v>
      </c>
      <c r="G206" s="7">
        <v>1</v>
      </c>
      <c r="H206" s="21" t="s">
        <v>434</v>
      </c>
      <c r="I206" s="13">
        <v>42927.940949074073</v>
      </c>
      <c r="J206" s="7">
        <v>0</v>
      </c>
      <c r="K206" s="89" t="str">
        <f t="shared" si="81"/>
        <v>4023/4024</v>
      </c>
      <c r="L206" s="21" t="str">
        <f>VLOOKUP(A206,'Trips&amp;Operators'!$C$1:$G$99999,5,FALSE)</f>
        <v>ELBAUM MIKE</v>
      </c>
      <c r="M206" s="6">
        <f t="shared" si="82"/>
        <v>8.9120370321325026E-3</v>
      </c>
      <c r="N206" s="7">
        <f t="shared" si="77"/>
        <v>12.833333326270804</v>
      </c>
      <c r="O206" s="7"/>
      <c r="P206" s="7"/>
      <c r="Q206" s="22"/>
      <c r="R206" s="170"/>
      <c r="S206" s="213">
        <f t="shared" si="80"/>
        <v>1</v>
      </c>
      <c r="T206" s="195" t="str">
        <f t="shared" si="83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4"/>
        <v>https://d0f6bd738d7f1b3e5a7ca70fe4ff75f0.us-east-1.aws.found.io/app/kibana#/discover/Steve-Slow-Train-Analysis-(2080s-and-2083s)?_g=(refreshInterval:(display:Off,pause:!f,section:0,value:0),time:(from:'2017-07-11T21:02:27-0600',mode:absolute,to:'2017-07-11T23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6" s="197" t="str">
        <f>IF(AA206&lt;VLOOKUP(AG206,Variables!$AC$3:$AD$8,2,FALSE),"Y","N")</f>
        <v>N</v>
      </c>
      <c r="X206" s="197">
        <f t="shared" ref="X205:X241" si="91">VALUE(LEFT(AD206,4))-VALUE(LEFT(AD205,4))</f>
        <v>2</v>
      </c>
      <c r="Y206" s="197">
        <f t="shared" si="78"/>
        <v>0.10390000000000001</v>
      </c>
      <c r="Z206" s="197">
        <f t="shared" si="79"/>
        <v>5.8954000000000004</v>
      </c>
      <c r="AA206" s="197">
        <f t="shared" si="85"/>
        <v>5.7915000000000001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6"/>
        <v>847</v>
      </c>
      <c r="AE206" s="77" t="str">
        <f t="shared" si="87"/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AF206" s="74" t="str">
        <f t="shared" si="88"/>
        <v>"C:\Program Files (x86)\AstroGrep\AstroGrep.exe" /e /r /s /spath="%USERPROFILE%\AppData\Local\Temp\OnboardLogs" /stypes="app*4024*20170712*" /stext=" 04:.+((SYSTEM_STATE.+slice.+state.+changed )|(ment ac)|(multiple cpu faults)|(system.+state.+changed )|(\[timeout)|(PRM\|1\|D)|(kpr)|(kdp)|(train st.+moving)|(\|lc)|(penalty))"</v>
      </c>
      <c r="AG206" s="209" t="str">
        <f t="shared" si="89"/>
        <v>NW</v>
      </c>
      <c r="AH206" s="78" t="str">
        <f t="shared" si="65"/>
        <v>"%USERPROFILE%\Documents\GitHub\eaglep3\Utilities\RefineRTDCRunTimes.py" --tripid 847-11 --locoid 4024 --swversion DE.1.0.9.0 --startMP 204:1039 --initTime 2017-07-11T22:02:27 --startdatetime 2017-07-11T22:22:08 --delay 1 --endMP 300:58954 --enddatetime 2017-07-11T22:34:58 --enforcementcount 0 &gt;&gt;C:\Users\stu\Documents\GitHub\eaglep3-reporting\EC\2017-07-11-refined-times.txt</v>
      </c>
      <c r="AI206" s="96" t="str">
        <f t="shared" si="66"/>
        <v>echo {"issue":{"subject":"","project_id":79,"tracker_id":40,"status_id":1,"priority_id":2,"assigned_to_id":23,"start_date":"2017-07-11","description":"","custom_fields":[{"id":1,"name":"Subdivision","value":"NW"},{"id":4,"name":"Milepost","value":"5.8954"},{"id":17,"name":"Train ID","value":"847-11"},{"id":16,"name":"Locomotive ID","value":"4024"},{"id":130,"name":"Impact","value":""},{"id":150,"name":"Time of Event (Mountain Time)","value":"22:34:58"},{"id":151,"name":"Denver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67"/>
        <v>start /low /b %USERPROFILE%\Documents\GitHub\eaglep3\Utilities\DownloadLogsFromS3.py --loco 4024 --day 2017-07-11</v>
      </c>
      <c r="AN206" s="151" t="str">
        <f t="shared" si="6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04:34:58"},{"id":29,"name":"Sharepoint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616</v>
      </c>
      <c r="B207" s="7">
        <v>4021</v>
      </c>
      <c r="C207" s="21" t="s">
        <v>199</v>
      </c>
      <c r="D207" s="21" t="s">
        <v>905</v>
      </c>
      <c r="E207" s="13">
        <v>42927.113865740743</v>
      </c>
      <c r="F207" s="13">
        <v>42927.118043981478</v>
      </c>
      <c r="G207" s="7">
        <v>5</v>
      </c>
      <c r="H207" s="21" t="s">
        <v>355</v>
      </c>
      <c r="I207" s="13">
        <v>42927.123437499999</v>
      </c>
      <c r="J207" s="7">
        <v>0</v>
      </c>
      <c r="K207" s="89" t="str">
        <f t="shared" si="81"/>
        <v>4021/4022</v>
      </c>
      <c r="L207" s="21" t="str">
        <f>VLOOKUP(A207,'Trips&amp;Operators'!$C$1:$G$99999,5,FALSE)</f>
        <v>STARKS ANGELINA</v>
      </c>
      <c r="M207" s="6">
        <f t="shared" si="82"/>
        <v>5.393518520577345E-3</v>
      </c>
      <c r="N207" s="7">
        <f t="shared" si="77"/>
        <v>7.7666666696313769</v>
      </c>
      <c r="O207" s="7"/>
      <c r="P207" s="7"/>
      <c r="Q207" s="22"/>
      <c r="R207" s="170"/>
      <c r="S207" s="213">
        <f t="shared" si="80"/>
        <v>1</v>
      </c>
      <c r="T207" s="195" t="str">
        <f t="shared" si="83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4"/>
        <v>https://d0f6bd738d7f1b3e5a7ca70fe4ff75f0.us-east-1.aws.found.io/app/kibana#/discover/Steve-Slow-Train-Analysis-(2080s-and-2083s)?_g=(refreshInterval:(display:Off,pause:!f,section:0,value:0),time:(from:'2017-07-11T01:43:58-0600',mode:absolute,to:'2017-07-11T03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7" s="197" t="str">
        <f>IF(AA207&lt;VLOOKUP(AG207,Variables!$AC$3:$AD$8,2,FALSE),"Y","N")</f>
        <v>Y</v>
      </c>
      <c r="X207" s="197">
        <f t="shared" si="91"/>
        <v>-547</v>
      </c>
      <c r="Y207" s="197">
        <f t="shared" si="78"/>
        <v>2.0074000000000001</v>
      </c>
      <c r="Z207" s="197">
        <f t="shared" si="79"/>
        <v>1.47E-2</v>
      </c>
      <c r="AA207" s="197">
        <f t="shared" si="85"/>
        <v>1.9927000000000001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6"/>
        <v>300</v>
      </c>
      <c r="AE207" s="77" t="str">
        <f t="shared" si="87"/>
        <v>aws s3 cp s3://rtdc.mdm.uploadarchive.raw/RTDC4021/ "%USERPROFILE%\AppData\Local\Temp\OnboardLogs"\RTDC4021\2017-07-11 --exclude "*" --recursive --include "*20170711*" &amp; "%USERPROFILE%\Documents\GitHub\mrs-test-scripts\Headless Mode &amp; Sideloading\WalkAndUnGZ.bat" "%USERPROFILE%\AppData\Local\Temp\OnboardLogs"\RTDC4021\2017-07-11 &amp; aws s3 cp s3://rtdc.mdm.uploadarchive.raw/RTDC4021/ "%USERPROFILE%\AppData\Local\Temp\OnboardLogs"\RTDC4021\2017-07-12 --exclude "*" --recursive --include "*20170712*" &amp; "%USERPROFILE%\Documents\GitHub\mrs-test-scripts\Headless Mode &amp; Sideloading\WalkAndUnGZ.bat" "%USERPROFILE%\AppData\Local\Temp\OnboardLogs"\RTDC4021\2017-07-12</v>
      </c>
      <c r="AF207" s="74" t="str">
        <f t="shared" si="88"/>
        <v>"C:\Program Files (x86)\AstroGrep\AstroGrep.exe" /e /r /s /spath="%USERPROFILE%\AppData\Local\Temp\OnboardLogs" /stypes="app*4021*20170711*" /stext=" 08:.+((SYSTEM_STATE.+slice.+state.+changed )|(ment ac)|(multiple cpu faults)|(system.+state.+changed )|(\[timeout)|(PRM\|1\|D)|(kpr)|(kdp)|(train st.+moving)|(\|lc)|(penalty))"</v>
      </c>
      <c r="AG207" s="209" t="str">
        <f t="shared" si="89"/>
        <v>Other</v>
      </c>
      <c r="AH207" s="78" t="str">
        <f t="shared" ref="AH207:AH241" si="92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300-11 --locoid 4021 --swversion DE.1.0.9.0 --startMP 300:20074 --initTime 2017-07-11T02:43:58 --startdatetime 2017-07-11T02:49:59 --delay 5 --endMP 204:147 --enddatetime 2017-07-11T02:57:45 --enforcementcount 0 &gt;&gt;C:\Users\stu\Documents\GitHub\eaglep3-reporting\EC\2017-07-11-refined-times.txt</v>
      </c>
      <c r="AI207" s="96" t="str">
        <f t="shared" ref="AI207:AI241" si="93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{"issue":{"subject":"","project_id":79,"tracker_id":40,"status_id":1,"priority_id":2,"assigned_to_id":23,"start_date":"2017-07-11","description":"","custom_fields":[{"id":1,"name":"Subdivision","value":"Other"},{"id":4,"name":"Milepost","value":"0.0147"},{"id":17,"name":"Train ID","value":"300-11"},{"id":16,"name":"Locomotive ID","value":"4021"},{"id":130,"name":"Impact","value":""},{"id":150,"name":"Time of Event (Mountain Time)","value":"02:57:45"},{"id":151,"name":"Denver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ref="AM207:AM241" si="94">"start /low /b "&amp;dls3logs&amp;" --loco "&amp;B207&amp;" --day "&amp;TEXT(F207,"YYYY-MM-DD")</f>
        <v>start /low /b %USERPROFILE%\Documents\GitHub\eaglep3\Utilities\DownloadLogsFromS3.py --loco 4021 --day 2017-07-11</v>
      </c>
      <c r="AN207" s="151" t="str">
        <f t="shared" ref="AN207:AN241" si="95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08:57:45"},{"id":29,"name":"Sharepoint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783</v>
      </c>
      <c r="B208" s="7">
        <v>4016</v>
      </c>
      <c r="C208" s="21" t="s">
        <v>199</v>
      </c>
      <c r="D208" s="21" t="s">
        <v>906</v>
      </c>
      <c r="E208" s="13">
        <v>42927.776053240741</v>
      </c>
      <c r="F208" s="13">
        <v>42927.780462962961</v>
      </c>
      <c r="G208" s="7">
        <v>1</v>
      </c>
      <c r="H208" s="21" t="s">
        <v>907</v>
      </c>
      <c r="I208" s="13">
        <v>42927.783275462964</v>
      </c>
      <c r="J208" s="7">
        <v>0</v>
      </c>
      <c r="K208" s="89" t="str">
        <f t="shared" si="81"/>
        <v>4015/4016</v>
      </c>
      <c r="L208" s="21" t="str">
        <f>VLOOKUP(A208,'Trips&amp;Operators'!$C$1:$G$99999,5,FALSE)</f>
        <v>LEVIN SCOTT</v>
      </c>
      <c r="M208" s="6">
        <f t="shared" si="82"/>
        <v>2.8125000026193447E-3</v>
      </c>
      <c r="N208" s="7"/>
      <c r="O208" s="7"/>
      <c r="P208" s="7">
        <f t="shared" si="77"/>
        <v>4.0500000037718564</v>
      </c>
      <c r="Q208" s="22"/>
      <c r="R208" s="170" t="s">
        <v>1038</v>
      </c>
      <c r="S208" s="213">
        <f t="shared" si="80"/>
        <v>0</v>
      </c>
      <c r="T208" s="195" t="str">
        <f t="shared" si="83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84"/>
        <v>https://d0f6bd738d7f1b3e5a7ca70fe4ff75f0.us-east-1.aws.found.io/app/kibana#/discover/Steve-Slow-Train-Analysis-(2080s-and-2083s)?_g=(refreshInterval:(display:Off,pause:!f,section:0,value:0),time:(from:'2017-07-11T17:37:31-0600',mode:absolute,to:'2017-07-11T19:47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197" t="str">
        <f>IF(AA208&lt;VLOOKUP(AG208,Variables!$AC$3:$AD$8,2,FALSE),"Y","N")</f>
        <v>Y</v>
      </c>
      <c r="X208" s="197">
        <f t="shared" si="91"/>
        <v>1</v>
      </c>
      <c r="Y208" s="197">
        <f t="shared" si="78"/>
        <v>5.62E-2</v>
      </c>
      <c r="Z208" s="197">
        <f t="shared" si="79"/>
        <v>0.52229999999999999</v>
      </c>
      <c r="AA208" s="197">
        <f t="shared" si="85"/>
        <v>0.46609999999999996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6"/>
        <v>301</v>
      </c>
      <c r="AE208" s="77" t="str">
        <f t="shared" si="87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208" s="74" t="str">
        <f t="shared" si="88"/>
        <v>"C:\Program Files (x86)\AstroGrep\AstroGrep.exe" /e /r /s /spath="%USERPROFILE%\AppData\Local\Temp\OnboardLogs" /stypes="app*4016*20170712*" /stext=" 00:.+((SYSTEM_STATE.+slice.+state.+changed )|(ment ac)|(multiple cpu faults)|(system.+state.+changed )|(\[timeout)|(PRM\|1\|D)|(kpr)|(kdp)|(train st.+moving)|(\|lc)|(penalty))"</v>
      </c>
      <c r="AG208" s="209" t="str">
        <f t="shared" si="89"/>
        <v>Other</v>
      </c>
      <c r="AH208" s="78" t="str">
        <f t="shared" si="92"/>
        <v>"%USERPROFILE%\Documents\GitHub\eaglep3\Utilities\RefineRTDCRunTimes.py" --tripid 301-11 --locoid 4016 --swversion DE.1.0.9.0 --startMP 204:562 --initTime 2017-07-11T18:37:31 --startdatetime 2017-07-11T18:43:52 --delay 1 --endMP 300:5223 --enddatetime 2017-07-11T18:47:55 --enforcementcount 0 &gt;&gt;C:\Users\stu\Documents\GitHub\eaglep3-reporting\EC\2017-07-11-refined-times.txt</v>
      </c>
      <c r="AI208" s="96" t="str">
        <f t="shared" si="93"/>
        <v>echo {"issue":{"subject":"Onboard in-route failure, then tried to load map while in unmapped yard track","project_id":79,"tracker_id":40,"status_id":1,"priority_id":2,"assigned_to_id":23,"start_date":"2017-07-11","description":"","custom_fields":[{"id":1,"name":"Subdivision","value":"Other"},{"id":4,"name":"Milepost","value":"0.5223"},{"id":17,"name":"Train ID","value":"301-11"},{"id":16,"name":"Locomotive ID","value":"4016"},{"id":130,"name":"Impact","value":""},{"id":150,"name":"Time of Event (Mountain Time)","value":"18:47:55"},{"id":151,"name":"Denver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4"/>
        <v>start /low /b %USERPROFILE%\Documents\GitHub\eaglep3\Utilities\DownloadLogsFromS3.py --loco 4016 --day 2017-07-11</v>
      </c>
      <c r="AN208" s="151" t="str">
        <f t="shared" si="95"/>
        <v>echo {"issue":{"subject":"Onboard in-route failure, then tried to load map while in unmapped yard track","project_id":30,"tracker_id":4,"status_id":1,"priority_id":1,"assigned_to_id":10,"start_date":"2017-07-12","description":"","custom_fields":[{"id":30,"name":"Category","value":"Issue"},{"id":3,"name":"Functional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00:47:55"},{"id":29,"name":"Sharepoint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783</v>
      </c>
      <c r="B209" s="7">
        <v>4016</v>
      </c>
      <c r="C209" s="21" t="s">
        <v>199</v>
      </c>
      <c r="D209" s="21" t="s">
        <v>908</v>
      </c>
      <c r="E209" s="13">
        <v>42927.778668981482</v>
      </c>
      <c r="F209" s="13">
        <v>42927.780462962961</v>
      </c>
      <c r="G209" s="7">
        <v>2</v>
      </c>
      <c r="H209" s="21" t="s">
        <v>568</v>
      </c>
      <c r="I209" s="13">
        <v>42927.783275462964</v>
      </c>
      <c r="J209" s="7">
        <v>0</v>
      </c>
      <c r="K209" s="89" t="str">
        <f t="shared" si="81"/>
        <v>4015/4016</v>
      </c>
      <c r="L209" s="21" t="str">
        <f>VLOOKUP(A209,'Trips&amp;Operators'!$C$1:$G$99999,5,FALSE)</f>
        <v>LEVIN SCOTT</v>
      </c>
      <c r="M209" s="6">
        <f t="shared" si="82"/>
        <v>2.8125000026193447E-3</v>
      </c>
      <c r="N209" s="7">
        <f t="shared" si="77"/>
        <v>4.0500000037718564</v>
      </c>
      <c r="O209" s="7"/>
      <c r="P209" s="7"/>
      <c r="Q209" s="22"/>
      <c r="R209" s="170"/>
      <c r="S209" s="213">
        <f t="shared" si="80"/>
        <v>0</v>
      </c>
      <c r="T209" s="195" t="str">
        <f t="shared" si="83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84"/>
        <v>https://d0f6bd738d7f1b3e5a7ca70fe4ff75f0.us-east-1.aws.found.io/app/kibana#/discover/Steve-Slow-Train-Analysis-(2080s-and-2083s)?_g=(refreshInterval:(display:Off,pause:!f,section:0,value:0),time:(from:'2017-07-11T17:41:17-0600',mode:absolute,to:'2017-07-11T19:47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197" t="str">
        <f>IF(AA209&lt;VLOOKUP(AG209,Variables!$AC$3:$AD$8,2,FALSE),"Y","N")</f>
        <v>Y</v>
      </c>
      <c r="X209" s="197">
        <f t="shared" si="91"/>
        <v>0</v>
      </c>
      <c r="Y209" s="197">
        <f t="shared" si="78"/>
        <v>1.7638</v>
      </c>
      <c r="Z209" s="197">
        <f t="shared" si="79"/>
        <v>2.3308</v>
      </c>
      <c r="AA209" s="197">
        <f t="shared" si="85"/>
        <v>0.56699999999999995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6"/>
        <v>301</v>
      </c>
      <c r="AE209" s="77" t="str">
        <f t="shared" si="87"/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AF209" s="74" t="str">
        <f t="shared" si="88"/>
        <v>"C:\Program Files (x86)\AstroGrep\AstroGrep.exe" /e /r /s /spath="%USERPROFILE%\AppData\Local\Temp\OnboardLogs" /stypes="app*4016*20170712*" /stext=" 00:.+((SYSTEM_STATE.+slice.+state.+changed )|(ment ac)|(multiple cpu faults)|(system.+state.+changed )|(\[timeout)|(PRM\|1\|D)|(kpr)|(kdp)|(train st.+moving)|(\|lc)|(penalty))"</v>
      </c>
      <c r="AG209" s="209" t="str">
        <f t="shared" si="89"/>
        <v>Other</v>
      </c>
      <c r="AH209" s="78" t="str">
        <f t="shared" si="92"/>
        <v>"%USERPROFILE%\Documents\GitHub\eaglep3\Utilities\RefineRTDCRunTimes.py" --tripid 301-11 --locoid 4016 --swversion DE.1.0.9.0 --startMP 300:17638 --initTime 2017-07-11T18:41:17 --startdatetime 2017-07-11T18:43:52 --delay 2 --endMP 300:23308 --enddatetime 2017-07-11T18:47:55 --enforcementcount 0 &gt;&gt;C:\Users\stu\Documents\GitHub\eaglep3-reporting\EC\2017-07-11-refined-times.txt</v>
      </c>
      <c r="AI209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{"issue":{"subject":"","project_id":79,"tracker_id":40,"status_id":1,"priority_id":2,"assigned_to_id":23,"start_date":"2017-07-11","description":"","custom_fields":[{"id":1,"name":"Subdivision","value":"Other"},{"id":4,"name":"Milepost","value":"2.3308"},{"id":17,"name":"Train ID","value":"301-11"},{"id":16,"name":"Locomotive ID","value":"4016"},{"id":130,"name":"Impact","value":""},{"id":150,"name":"Time of Event (Mountain Time)","value":"18:47:55"},{"id":151,"name":"Denver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4"/>
        <v>start /low /b %USERPROFILE%\Documents\GitHub\eaglep3\Utilities\DownloadLogsFromS3.py --loco 4016 --day 2017-07-11</v>
      </c>
      <c r="AN209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00:47:55"},{"id":29,"name":"Sharepoint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621</v>
      </c>
      <c r="B210" s="7">
        <v>4007</v>
      </c>
      <c r="C210" s="21" t="s">
        <v>199</v>
      </c>
      <c r="D210" s="21" t="s">
        <v>909</v>
      </c>
      <c r="E210" s="13">
        <v>42927.142476851855</v>
      </c>
      <c r="F210" s="13">
        <v>42927.147141203706</v>
      </c>
      <c r="G210" s="7">
        <v>6</v>
      </c>
      <c r="H210" s="21" t="s">
        <v>394</v>
      </c>
      <c r="I210" s="13">
        <v>42927.152696759258</v>
      </c>
      <c r="J210" s="7">
        <v>0</v>
      </c>
      <c r="K210" s="89" t="str">
        <f t="shared" si="81"/>
        <v>4007/4008</v>
      </c>
      <c r="L210" s="21" t="str">
        <f>VLOOKUP(A210,'Trips&amp;Operators'!$C$1:$G$99999,5,FALSE)</f>
        <v>GONZALEZ ARMANDO</v>
      </c>
      <c r="M210" s="6">
        <f t="shared" si="82"/>
        <v>5.5555555518367328E-3</v>
      </c>
      <c r="N210" s="7">
        <f t="shared" si="77"/>
        <v>7.9999999946448952</v>
      </c>
      <c r="O210" s="7"/>
      <c r="P210" s="7"/>
      <c r="Q210" s="22"/>
      <c r="R210" s="170"/>
      <c r="S210" s="213">
        <f t="shared" si="80"/>
        <v>1</v>
      </c>
      <c r="T210" s="195" t="str">
        <f t="shared" si="83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4"/>
        <v>https://d0f6bd738d7f1b3e5a7ca70fe4ff75f0.us-east-1.aws.found.io/app/kibana#/discover/Steve-Slow-Train-Analysis-(2080s-and-2083s)?_g=(refreshInterval:(display:Off,pause:!f,section:0,value:0),time:(from:'2017-07-11T02:25:10-0600',mode:absolute,to:'2017-07-11T04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0" s="197" t="str">
        <f>IF(AA210&lt;VLOOKUP(AG210,Variables!$AC$3:$AD$8,2,FALSE),"Y","N")</f>
        <v>Y</v>
      </c>
      <c r="X210" s="197">
        <f t="shared" si="91"/>
        <v>1</v>
      </c>
      <c r="Y210" s="197">
        <f t="shared" si="78"/>
        <v>2.3188</v>
      </c>
      <c r="Z210" s="197">
        <f t="shared" si="79"/>
        <v>1.5599999999999999E-2</v>
      </c>
      <c r="AA210" s="197">
        <f t="shared" si="85"/>
        <v>2.3031999999999999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6"/>
        <v>302</v>
      </c>
      <c r="AE210" s="77" t="str">
        <f t="shared" si="87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210" s="74" t="str">
        <f t="shared" si="88"/>
        <v>"C:\Program Files (x86)\AstroGrep\AstroGrep.exe" /e /r /s /spath="%USERPROFILE%\AppData\Local\Temp\OnboardLogs" /stypes="app*4007*20170711*" /stext=" 09:.+((SYSTEM_STATE.+slice.+state.+changed )|(ment ac)|(multiple cpu faults)|(system.+state.+changed )|(\[timeout)|(PRM\|1\|D)|(kpr)|(kdp)|(train st.+moving)|(\|lc)|(penalty))"</v>
      </c>
      <c r="AG210" s="209" t="str">
        <f t="shared" si="89"/>
        <v>Other</v>
      </c>
      <c r="AH210" s="78" t="str">
        <f t="shared" si="92"/>
        <v>"%USERPROFILE%\Documents\GitHub\eaglep3\Utilities\RefineRTDCRunTimes.py" --tripid 302-11 --locoid 4007 --swversion DE.1.0.9.0 --startMP 300:23188 --initTime 2017-07-11T03:25:10 --startdatetime 2017-07-11T03:31:53 --delay 6 --endMP 204:156 --enddatetime 2017-07-11T03:39:53 --enforcementcount 0 &gt;&gt;C:\Users\stu\Documents\GitHub\eaglep3-reporting\EC\2017-07-11-refined-times.txt</v>
      </c>
      <c r="AI210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{"issue":{"subject":"","project_id":79,"tracker_id":40,"status_id":1,"priority_id":2,"assigned_to_id":23,"start_date":"2017-07-11","description":"","custom_fields":[{"id":1,"name":"Subdivision","value":"Other"},{"id":4,"name":"Milepost","value":"0.0156"},{"id":17,"name":"Train ID","value":"302-11"},{"id":16,"name":"Locomotive ID","value":"4007"},{"id":130,"name":"Impact","value":""},{"id":150,"name":"Time of Event (Mountain Time)","value":"03:39:53"},{"id":151,"name":"Denver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4"/>
        <v>start /low /b %USERPROFILE%\Documents\GitHub\eaglep3\Utilities\DownloadLogsFromS3.py --loco 4007 --day 2017-07-11</v>
      </c>
      <c r="AN210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09:39:53"},{"id":29,"name":"Sharepoint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787</v>
      </c>
      <c r="B211" s="7">
        <v>4022</v>
      </c>
      <c r="C211" s="21" t="s">
        <v>199</v>
      </c>
      <c r="D211" s="21" t="s">
        <v>408</v>
      </c>
      <c r="E211" s="13">
        <v>42927.799710648149</v>
      </c>
      <c r="F211" s="13">
        <v>42927.801030092596</v>
      </c>
      <c r="G211" s="7">
        <v>1</v>
      </c>
      <c r="H211" s="21" t="s">
        <v>569</v>
      </c>
      <c r="I211" s="13">
        <v>42927.808564814812</v>
      </c>
      <c r="J211" s="7">
        <v>0</v>
      </c>
      <c r="K211" s="89" t="str">
        <f t="shared" si="81"/>
        <v>4021/4022</v>
      </c>
      <c r="L211" s="21" t="str">
        <f>VLOOKUP(A211,'Trips&amp;Operators'!$C$1:$G$99999,5,FALSE)</f>
        <v>THOMPSON LESTER</v>
      </c>
      <c r="M211" s="6">
        <f t="shared" si="82"/>
        <v>7.5347222154960036E-3</v>
      </c>
      <c r="N211" s="7">
        <f t="shared" ref="N211:P241" si="96">24*60*SUM($M211:$M211)</f>
        <v>10.849999990314245</v>
      </c>
      <c r="O211" s="7"/>
      <c r="P211" s="7"/>
      <c r="Q211" s="22"/>
      <c r="R211" s="170"/>
      <c r="S211" s="213">
        <f t="shared" si="80"/>
        <v>1</v>
      </c>
      <c r="T211" s="195" t="str">
        <f t="shared" si="83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4"/>
        <v>https://d0f6bd738d7f1b3e5a7ca70fe4ff75f0.us-east-1.aws.found.io/app/kibana#/discover/Steve-Slow-Train-Analysis-(2080s-and-2083s)?_g=(refreshInterval:(display:Off,pause:!f,section:0,value:0),time:(from:'2017-07-11T18:11:35-0600',mode:absolute,to:'2017-07-11T20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1" s="197" t="str">
        <f>IF(AA211&lt;VLOOKUP(AG211,Variables!$AC$3:$AD$8,2,FALSE),"Y","N")</f>
        <v>Y</v>
      </c>
      <c r="X211" s="197">
        <f t="shared" si="91"/>
        <v>1</v>
      </c>
      <c r="Y211" s="197">
        <f t="shared" ref="Y211:Y241" si="97">RIGHT(D211,LEN(D211)-4)/10000</f>
        <v>4.5499999999999999E-2</v>
      </c>
      <c r="Z211" s="197">
        <f t="shared" ref="Z211:Z241" si="98">RIGHT(H211,LEN(H211)-4)/10000</f>
        <v>2.3302</v>
      </c>
      <c r="AA211" s="197">
        <f t="shared" si="85"/>
        <v>2.2847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6"/>
        <v>303</v>
      </c>
      <c r="AE211" s="77" t="str">
        <f t="shared" si="87"/>
        <v>aws s3 cp s3://rtdc.mdm.uploadarchive.raw/RTDC4022/ "%USERPROFILE%\AppData\Local\Temp\OnboardLogs"\RTDC4022\2017-07-11 --exclude "*" --recursive --include "*20170711*" &amp; "%USERPROFILE%\Documents\GitHub\mrs-test-scripts\Headless Mode &amp; Sideloading\WalkAndUnGZ.bat" "%USERPROFILE%\AppData\Local\Temp\OnboardLogs"\RTDC4022\2017-07-11 &amp; aws s3 cp s3://rtdc.mdm.uploadarchive.raw/RTDC4022/ "%USERPROFILE%\AppData\Local\Temp\OnboardLogs"\RTDC4022\2017-07-12 --exclude "*" --recursive --include "*20170712*" &amp; "%USERPROFILE%\Documents\GitHub\mrs-test-scripts\Headless Mode &amp; Sideloading\WalkAndUnGZ.bat" "%USERPROFILE%\AppData\Local\Temp\OnboardLogs"\RTDC4022\2017-07-12</v>
      </c>
      <c r="AF211" s="74" t="str">
        <f t="shared" si="88"/>
        <v>"C:\Program Files (x86)\AstroGrep\AstroGrep.exe" /e /r /s /spath="%USERPROFILE%\AppData\Local\Temp\OnboardLogs" /stypes="app*4022*20170712*" /stext=" 01:.+((SYSTEM_STATE.+slice.+state.+changed )|(ment ac)|(multiple cpu faults)|(system.+state.+changed )|(\[timeout)|(PRM\|1\|D)|(kpr)|(kdp)|(train st.+moving)|(\|lc)|(penalty))"</v>
      </c>
      <c r="AG211" s="209" t="str">
        <f t="shared" si="89"/>
        <v>Other</v>
      </c>
      <c r="AH211" s="78" t="str">
        <f t="shared" si="92"/>
        <v>"%USERPROFILE%\Documents\GitHub\eaglep3\Utilities\RefineRTDCRunTimes.py" --tripid 303-11 --locoid 4022 --swversion DE.1.0.9.0 --startMP 204:455 --initTime 2017-07-11T19:11:35 --startdatetime 2017-07-11T19:13:29 --delay 1 --endMP 300:23302 --enddatetime 2017-07-11T19:24:20 --enforcementcount 0 &gt;&gt;C:\Users\stu\Documents\GitHub\eaglep3-reporting\EC\2017-07-11-refined-times.txt</v>
      </c>
      <c r="AI211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{"issue":{"subject":"","project_id":79,"tracker_id":40,"status_id":1,"priority_id":2,"assigned_to_id":23,"start_date":"2017-07-11","description":"","custom_fields":[{"id":1,"name":"Subdivision","value":"Other"},{"id":4,"name":"Milepost","value":"2.3302"},{"id":17,"name":"Train ID","value":"303-11"},{"id":16,"name":"Locomotive ID","value":"4022"},{"id":130,"name":"Impact","value":""},{"id":150,"name":"Time of Event (Mountain Time)","value":"19:24:20"},{"id":151,"name":"Denver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4"/>
        <v>start /low /b %USERPROFILE%\Documents\GitHub\eaglep3\Utilities\DownloadLogsFromS3.py --loco 4022 --day 2017-07-11</v>
      </c>
      <c r="AN211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625</v>
      </c>
      <c r="B212" s="7">
        <v>4027</v>
      </c>
      <c r="C212" s="21" t="s">
        <v>199</v>
      </c>
      <c r="D212" s="21" t="s">
        <v>910</v>
      </c>
      <c r="E212" s="13">
        <v>42927.162928240738</v>
      </c>
      <c r="F212" s="13">
        <v>42927.166435185187</v>
      </c>
      <c r="G212" s="7">
        <v>4</v>
      </c>
      <c r="H212" s="21" t="s">
        <v>346</v>
      </c>
      <c r="I212" s="13">
        <v>42927.172118055554</v>
      </c>
      <c r="J212" s="7">
        <v>0</v>
      </c>
      <c r="K212" s="89" t="str">
        <f t="shared" si="81"/>
        <v>4027/4028</v>
      </c>
      <c r="L212" s="21" t="str">
        <f>VLOOKUP(A212,'Trips&amp;Operators'!$C$1:$G$99999,5,FALSE)</f>
        <v>MAELZER KURT</v>
      </c>
      <c r="M212" s="6">
        <f t="shared" si="82"/>
        <v>5.6828703673090786E-3</v>
      </c>
      <c r="N212" s="7">
        <f t="shared" si="96"/>
        <v>8.1833333289250731</v>
      </c>
      <c r="O212" s="7"/>
      <c r="P212" s="7"/>
      <c r="Q212" s="22"/>
      <c r="R212" s="170"/>
      <c r="S212" s="213">
        <f t="shared" si="80"/>
        <v>1</v>
      </c>
      <c r="T212" s="195" t="str">
        <f t="shared" si="83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4"/>
        <v>https://d0f6bd738d7f1b3e5a7ca70fe4ff75f0.us-east-1.aws.found.io/app/kibana#/discover/Steve-Slow-Train-Analysis-(2080s-and-2083s)?_g=(refreshInterval:(display:Off,pause:!f,section:0,value:0),time:(from:'2017-07-11T02:54:37-0600',mode:absolute,to:'2017-07-11T05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97" t="str">
        <f>IF(AA212&lt;VLOOKUP(AG212,Variables!$AC$3:$AD$8,2,FALSE),"Y","N")</f>
        <v>Y</v>
      </c>
      <c r="X212" s="197">
        <f t="shared" si="91"/>
        <v>1</v>
      </c>
      <c r="Y212" s="197">
        <f t="shared" si="97"/>
        <v>2.3266</v>
      </c>
      <c r="Z212" s="197">
        <f t="shared" si="98"/>
        <v>1.43E-2</v>
      </c>
      <c r="AA212" s="197">
        <f t="shared" si="85"/>
        <v>2.3123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6"/>
        <v>304</v>
      </c>
      <c r="AE212" s="77" t="str">
        <f t="shared" si="87"/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AF212" s="74" t="str">
        <f t="shared" si="88"/>
        <v>"C:\Program Files (x86)\AstroGrep\AstroGrep.exe" /e /r /s /spath="%USERPROFILE%\AppData\Local\Temp\OnboardLogs" /stypes="app*4027*20170711*" /stext=" 10:.+((SYSTEM_STATE.+slice.+state.+changed )|(ment ac)|(multiple cpu faults)|(system.+state.+changed )|(\[timeout)|(PRM\|1\|D)|(kpr)|(kdp)|(train st.+moving)|(\|lc)|(penalty))"</v>
      </c>
      <c r="AG212" s="209" t="str">
        <f t="shared" si="89"/>
        <v>Other</v>
      </c>
      <c r="AH212" s="78" t="str">
        <f t="shared" si="92"/>
        <v>"%USERPROFILE%\Documents\GitHub\eaglep3\Utilities\RefineRTDCRunTimes.py" --tripid 304-11 --locoid 4027 --swversion DE.1.0.9.0 --startMP 300:23266 --initTime 2017-07-11T03:54:37 --startdatetime 2017-07-11T03:59:40 --delay 4 --endMP 204:143 --enddatetime 2017-07-11T04:07:51 --enforcementcount 0 &gt;&gt;C:\Users\stu\Documents\GitHub\eaglep3-reporting\EC\2017-07-11-refined-times.txt</v>
      </c>
      <c r="AI212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{"issue":{"subject":"","project_id":79,"tracker_id":40,"status_id":1,"priority_id":2,"assigned_to_id":23,"start_date":"2017-07-11","description":"","custom_fields":[{"id":1,"name":"Subdivision","value":"Other"},{"id":4,"name":"Milepost","value":"0.0143"},{"id":17,"name":"Train ID","value":"304-11"},{"id":16,"name":"Locomotive ID","value":"4027"},{"id":130,"name":"Impact","value":""},{"id":150,"name":"Time of Event (Mountain Time)","value":"04:07:51"},{"id":151,"name":"Denver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4"/>
        <v>start /low /b %USERPROFILE%\Documents\GitHub\eaglep3\Utilities\DownloadLogsFromS3.py --loco 4027 --day 2017-07-11</v>
      </c>
      <c r="AN212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10:07:51"},{"id":29,"name":"Sharepoint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792</v>
      </c>
      <c r="B213" s="7">
        <v>4064</v>
      </c>
      <c r="C213" s="21" t="s">
        <v>199</v>
      </c>
      <c r="D213" s="21" t="s">
        <v>867</v>
      </c>
      <c r="E213" s="13">
        <v>42927.819050925929</v>
      </c>
      <c r="F213" s="13">
        <v>42927.820324074077</v>
      </c>
      <c r="G213" s="7">
        <v>1</v>
      </c>
      <c r="H213" s="21" t="s">
        <v>911</v>
      </c>
      <c r="I213" s="13">
        <v>42927.829629629632</v>
      </c>
      <c r="J213" s="7">
        <v>0</v>
      </c>
      <c r="K213" s="89" t="str">
        <f t="shared" si="81"/>
        <v>4063/4064</v>
      </c>
      <c r="L213" s="21" t="str">
        <f>VLOOKUP(A213,'Trips&amp;Operators'!$C$1:$G$99999,5,FALSE)</f>
        <v>MCREYNOLDS KYLE</v>
      </c>
      <c r="M213" s="6">
        <f t="shared" si="82"/>
        <v>9.3055555553291924E-3</v>
      </c>
      <c r="N213" s="7">
        <f t="shared" si="96"/>
        <v>13.399999999674037</v>
      </c>
      <c r="O213" s="7"/>
      <c r="P213" s="7"/>
      <c r="Q213" s="22"/>
      <c r="R213" s="170"/>
      <c r="S213" s="213">
        <f t="shared" si="80"/>
        <v>1</v>
      </c>
      <c r="T213" s="195" t="str">
        <f t="shared" si="83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4"/>
        <v>https://d0f6bd738d7f1b3e5a7ca70fe4ff75f0.us-east-1.aws.found.io/app/kibana#/discover/Steve-Slow-Train-Analysis-(2080s-and-2083s)?_g=(refreshInterval:(display:Off,pause:!f,section:0,value:0),time:(from:'2017-07-11T18:39:26-0600',mode:absolute,to:'2017-07-11T20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3" s="197" t="str">
        <f>IF(AA213&lt;VLOOKUP(AG213,Variables!$AC$3:$AD$8,2,FALSE),"Y","N")</f>
        <v>Y</v>
      </c>
      <c r="X213" s="197">
        <f t="shared" si="91"/>
        <v>1</v>
      </c>
      <c r="Y213" s="197">
        <f t="shared" si="97"/>
        <v>4.5999999999999999E-2</v>
      </c>
      <c r="Z213" s="197">
        <f t="shared" si="98"/>
        <v>2.3300999999999998</v>
      </c>
      <c r="AA213" s="197">
        <f t="shared" si="85"/>
        <v>2.2841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6"/>
        <v>305</v>
      </c>
      <c r="AE213" s="77" t="str">
        <f t="shared" si="87"/>
        <v>aws s3 cp s3://rtdc.mdm.uploadarchive.raw/RTDC4064/ "%USERPROFILE%\AppData\Local\Temp\OnboardLogs"\RTDC4064\2017-07-11 --exclude "*" --recursive --include "*20170711*" &amp; "%USERPROFILE%\Documents\GitHub\mrs-test-scripts\Headless Mode &amp; Sideloading\WalkAndUnGZ.bat" "%USERPROFILE%\AppData\Local\Temp\OnboardLogs"\RTDC4064\2017-07-11 &amp; aws s3 cp s3://rtdc.mdm.uploadarchive.raw/RTDC4064/ "%USERPROFILE%\AppData\Local\Temp\OnboardLogs"\RTDC4064\2017-07-12 --exclude "*" --recursive --include "*20170712*" &amp; "%USERPROFILE%\Documents\GitHub\mrs-test-scripts\Headless Mode &amp; Sideloading\WalkAndUnGZ.bat" "%USERPROFILE%\AppData\Local\Temp\OnboardLogs"\RTDC4064\2017-07-12</v>
      </c>
      <c r="AF213" s="74" t="str">
        <f t="shared" si="88"/>
        <v>"C:\Program Files (x86)\AstroGrep\AstroGrep.exe" /e /r /s /spath="%USERPROFILE%\AppData\Local\Temp\OnboardLogs" /stypes="app*4064*20170712*" /stext=" 01:.+((SYSTEM_STATE.+slice.+state.+changed )|(ment ac)|(multiple cpu faults)|(system.+state.+changed )|(\[timeout)|(PRM\|1\|D)|(kpr)|(kdp)|(train st.+moving)|(\|lc)|(penalty))"</v>
      </c>
      <c r="AG213" s="209" t="str">
        <f t="shared" si="89"/>
        <v>Other</v>
      </c>
      <c r="AH213" s="78" t="str">
        <f t="shared" si="92"/>
        <v>"%USERPROFILE%\Documents\GitHub\eaglep3\Utilities\RefineRTDCRunTimes.py" --tripid 305-11 --locoid 4064 --swversion DE.1.0.9.0 --startMP 204:460 --initTime 2017-07-11T19:39:26 --startdatetime 2017-07-11T19:41:16 --delay 1 --endMP 300:23301 --enddatetime 2017-07-11T19:54:40 --enforcementcount 0 &gt;&gt;C:\Users\stu\Documents\GitHub\eaglep3-reporting\EC\2017-07-11-refined-times.txt</v>
      </c>
      <c r="AI213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{"issue":{"subject":"","project_id":79,"tracker_id":40,"status_id":1,"priority_id":2,"assigned_to_id":23,"start_date":"2017-07-11","description":"","custom_fields":[{"id":1,"name":"Subdivision","value":"Other"},{"id":4,"name":"Milepost","value":"2.3301"},{"id":17,"name":"Train ID","value":"305-11"},{"id":16,"name":"Locomotive ID","value":"4064"},{"id":130,"name":"Impact","value":""},{"id":150,"name":"Time of Event (Mountain Time)","value":"19:54:40"},{"id":151,"name":"Denver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4"/>
        <v>start /low /b %USERPROFILE%\Documents\GitHub\eaglep3\Utilities\DownloadLogsFromS3.py --loco 4064 --day 2017-07-11</v>
      </c>
      <c r="AN213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627</v>
      </c>
      <c r="B214" s="7">
        <v>4041</v>
      </c>
      <c r="C214" s="21" t="s">
        <v>199</v>
      </c>
      <c r="D214" s="21" t="s">
        <v>912</v>
      </c>
      <c r="E214" s="13">
        <v>42927.170127314814</v>
      </c>
      <c r="F214" s="13">
        <v>42927.175127314818</v>
      </c>
      <c r="G214" s="7">
        <v>7</v>
      </c>
      <c r="H214" s="21" t="s">
        <v>494</v>
      </c>
      <c r="I214" s="13">
        <v>42927.181851851848</v>
      </c>
      <c r="J214" s="7">
        <v>0</v>
      </c>
      <c r="K214" s="89" t="str">
        <f t="shared" si="81"/>
        <v>4041/4042</v>
      </c>
      <c r="L214" s="21" t="str">
        <f>VLOOKUP(A214,'Trips&amp;Operators'!$C$1:$G$99999,5,FALSE)</f>
        <v>DE LA ROSA ALEX</v>
      </c>
      <c r="M214" s="6">
        <f t="shared" si="82"/>
        <v>6.7245370300952345E-3</v>
      </c>
      <c r="N214" s="7">
        <f t="shared" si="96"/>
        <v>9.6833333233371377</v>
      </c>
      <c r="O214" s="7"/>
      <c r="P214" s="7"/>
      <c r="Q214" s="22"/>
      <c r="R214" s="170"/>
      <c r="S214" s="213">
        <f t="shared" si="80"/>
        <v>1</v>
      </c>
      <c r="T214" s="195" t="str">
        <f t="shared" si="83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4"/>
        <v>https://d0f6bd738d7f1b3e5a7ca70fe4ff75f0.us-east-1.aws.found.io/app/kibana#/discover/Steve-Slow-Train-Analysis-(2080s-and-2083s)?_g=(refreshInterval:(display:Off,pause:!f,section:0,value:0),time:(from:'2017-07-11T03:04:59-0600',mode:absolute,to:'2017-07-11T05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197" t="str">
        <f>IF(AA214&lt;VLOOKUP(AG214,Variables!$AC$3:$AD$8,2,FALSE),"Y","N")</f>
        <v>Y</v>
      </c>
      <c r="X214" s="197">
        <f t="shared" si="91"/>
        <v>1</v>
      </c>
      <c r="Y214" s="197">
        <f t="shared" si="97"/>
        <v>2.0684</v>
      </c>
      <c r="Z214" s="197">
        <f t="shared" si="98"/>
        <v>1.61E-2</v>
      </c>
      <c r="AA214" s="197">
        <f t="shared" si="85"/>
        <v>2.0523000000000002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6"/>
        <v>306</v>
      </c>
      <c r="AE214" s="77" t="str">
        <f t="shared" si="87"/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AF214" s="74" t="str">
        <f t="shared" si="88"/>
        <v>"C:\Program Files (x86)\AstroGrep\AstroGrep.exe" /e /r /s /spath="%USERPROFILE%\AppData\Local\Temp\OnboardLogs" /stypes="app*4041*20170711*" /stext=" 10:.+((SYSTEM_STATE.+slice.+state.+changed )|(ment ac)|(multiple cpu faults)|(system.+state.+changed )|(\[timeout)|(PRM\|1\|D)|(kpr)|(kdp)|(train st.+moving)|(\|lc)|(penalty))"</v>
      </c>
      <c r="AG214" s="209" t="str">
        <f t="shared" si="89"/>
        <v>Other</v>
      </c>
      <c r="AH214" s="78" t="str">
        <f t="shared" si="92"/>
        <v>"%USERPROFILE%\Documents\GitHub\eaglep3\Utilities\RefineRTDCRunTimes.py" --tripid 306-11 --locoid 4041 --swversion DE.1.0.9.0 --startMP 300:20684 --initTime 2017-07-11T04:04:59 --startdatetime 2017-07-11T04:12:11 --delay 7 --endMP 204:161 --enddatetime 2017-07-11T04:21:52 --enforcementcount 0 &gt;&gt;C:\Users\stu\Documents\GitHub\eaglep3-reporting\EC\2017-07-11-refined-times.txt</v>
      </c>
      <c r="AI214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{"issue":{"subject":"","project_id":79,"tracker_id":40,"status_id":1,"priority_id":2,"assigned_to_id":23,"start_date":"2017-07-11","description":"","custom_fields":[{"id":1,"name":"Subdivision","value":"Other"},{"id":4,"name":"Milepost","value":"0.0161"},{"id":17,"name":"Train ID","value":"306-11"},{"id":16,"name":"Locomotive ID","value":"4041"},{"id":130,"name":"Impact","value":""},{"id":150,"name":"Time of Event (Mountain Time)","value":"04:21:52"},{"id":151,"name":"Denver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4"/>
        <v>start /low /b %USERPROFILE%\Documents\GitHub\eaglep3\Utilities\DownloadLogsFromS3.py --loco 4041 --day 2017-07-11</v>
      </c>
      <c r="AN214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10:21:52"},{"id":29,"name":"Sharepoint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814</v>
      </c>
      <c r="B215" s="7">
        <v>4032</v>
      </c>
      <c r="C215" s="21" t="s">
        <v>199</v>
      </c>
      <c r="D215" s="21" t="s">
        <v>424</v>
      </c>
      <c r="E215" s="13">
        <v>42928.027453703704</v>
      </c>
      <c r="F215" s="13">
        <v>42928.02884259259</v>
      </c>
      <c r="G215" s="7">
        <v>1</v>
      </c>
      <c r="H215" s="21" t="s">
        <v>349</v>
      </c>
      <c r="I215" s="13">
        <v>42928.037002314813</v>
      </c>
      <c r="J215" s="7">
        <v>0</v>
      </c>
      <c r="K215" s="89" t="str">
        <f t="shared" si="81"/>
        <v>4031/4032</v>
      </c>
      <c r="L215" s="21" t="str">
        <f>VLOOKUP(A215,'Trips&amp;Operators'!$C$1:$G$99999,5,FALSE)</f>
        <v>HAITHCOX MICHAEL</v>
      </c>
      <c r="M215" s="6">
        <f t="shared" si="82"/>
        <v>8.1597222233540379E-3</v>
      </c>
      <c r="N215" s="7">
        <f t="shared" si="96"/>
        <v>11.750000001629815</v>
      </c>
      <c r="O215" s="7"/>
      <c r="P215" s="7"/>
      <c r="Q215" s="22"/>
      <c r="R215" s="170"/>
      <c r="S215" s="213">
        <f t="shared" si="80"/>
        <v>1</v>
      </c>
      <c r="T215" s="195" t="str">
        <f t="shared" si="83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4"/>
        <v>https://d0f6bd738d7f1b3e5a7ca70fe4ff75f0.us-east-1.aws.found.io/app/kibana#/discover/Steve-Slow-Train-Analysis-(2080s-and-2083s)?_g=(refreshInterval:(display:Off,pause:!f,section:0,value:0),time:(from:'2017-07-11T23:39:32-0600',mode:absolute,to:'2017-07-12T01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5" s="197" t="str">
        <f>IF(AA215&lt;VLOOKUP(AG215,Variables!$AC$3:$AD$8,2,FALSE),"Y","N")</f>
        <v>Y</v>
      </c>
      <c r="X215" s="197">
        <f t="shared" si="91"/>
        <v>1</v>
      </c>
      <c r="Y215" s="197">
        <f t="shared" si="97"/>
        <v>4.4400000000000002E-2</v>
      </c>
      <c r="Z215" s="197">
        <f t="shared" si="98"/>
        <v>2.3346</v>
      </c>
      <c r="AA215" s="197">
        <f t="shared" si="85"/>
        <v>2.2902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6"/>
        <v>307</v>
      </c>
      <c r="AE215" s="77" t="str">
        <f t="shared" si="87"/>
        <v>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 &amp; aws s3 cp s3://rtdc.mdm.uploadarchive.raw/RTDC4032/ "%USERPROFILE%\AppData\Local\Temp\OnboardLogs"\RTDC4032\2017-07-13 --exclude "*" --recursive --include "*20170713*" &amp; "%USERPROFILE%\Documents\GitHub\mrs-test-scripts\Headless Mode &amp; Sideloading\WalkAndUnGZ.bat" "%USERPROFILE%\AppData\Local\Temp\OnboardLogs"\RTDC4032\2017-07-13</v>
      </c>
      <c r="AF215" s="74" t="str">
        <f t="shared" si="88"/>
        <v>"C:\Program Files (x86)\AstroGrep\AstroGrep.exe" /e /r /s /spath="%USERPROFILE%\AppData\Local\Temp\OnboardLogs" /stypes="app*4032*20170712*" /stext=" 06:.+((SYSTEM_STATE.+slice.+state.+changed )|(ment ac)|(multiple cpu faults)|(system.+state.+changed )|(\[timeout)|(PRM\|1\|D)|(kpr)|(kdp)|(train st.+moving)|(\|lc)|(penalty))"</v>
      </c>
      <c r="AG215" s="209" t="str">
        <f t="shared" si="89"/>
        <v>Other</v>
      </c>
      <c r="AH215" s="78" t="str">
        <f t="shared" si="92"/>
        <v>"%USERPROFILE%\Documents\GitHub\eaglep3\Utilities\RefineRTDCRunTimes.py" --tripid 307-11 --locoid 4032 --swversion DE.1.0.9.0 --startMP 204:444 --initTime 2017-07-12T00:39:32 --startdatetime 2017-07-12T00:41:32 --delay 1 --endMP 300:23346 --enddatetime 2017-07-12T00:53:17 --enforcementcount 0 &gt;&gt;C:\Users\stu\Documents\GitHub\eaglep3-reporting\EC\2017-07-11-refined-times.txt</v>
      </c>
      <c r="AI215" s="96" t="str">
        <f t="shared" si="93"/>
        <v>echo {"issue":{"subject":"","project_id":79,"tracker_id":40,"status_id":1,"priority_id":2,"assigned_to_id":23,"start_date":"2017-07-12","description":"","custom_fields":[{"id":1,"name":"Subdivision","value":"Other"},{"id":4,"name":"Milepost","value":"2.3346"},{"id":17,"name":"Train ID","value":"307-11"},{"id":16,"name":"Locomotive ID","value":"4032"},{"id":130,"name":"Impact","value":""},{"id":150,"name":"Time of Event (Mountain Time)","value":"00:53:17"},{"id":151,"name":"Denver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4"/>
        <v>start /low /b %USERPROFILE%\Documents\GitHub\eaglep3\Utilities\DownloadLogsFromS3.py --loco 4032 --day 2017-07-12</v>
      </c>
      <c r="AN215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06:53:17"},{"id":29,"name":"Sharepoint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632</v>
      </c>
      <c r="B216" s="7">
        <v>4015</v>
      </c>
      <c r="C216" s="21" t="s">
        <v>199</v>
      </c>
      <c r="D216" s="21" t="s">
        <v>913</v>
      </c>
      <c r="E216" s="13">
        <v>42927.185798611114</v>
      </c>
      <c r="F216" s="13">
        <v>42927.188263888886</v>
      </c>
      <c r="G216" s="7">
        <v>3</v>
      </c>
      <c r="H216" s="21" t="s">
        <v>389</v>
      </c>
      <c r="I216" s="13">
        <v>42927.193854166668</v>
      </c>
      <c r="J216" s="7">
        <v>0</v>
      </c>
      <c r="K216" s="89" t="str">
        <f t="shared" si="81"/>
        <v>4015/4016</v>
      </c>
      <c r="L216" s="21" t="str">
        <f>VLOOKUP(A216,'Trips&amp;Operators'!$C$1:$G$99999,5,FALSE)</f>
        <v>MACDONALD THOMAS</v>
      </c>
      <c r="M216" s="6">
        <f t="shared" si="82"/>
        <v>5.5902777821756899E-3</v>
      </c>
      <c r="N216" s="7">
        <f t="shared" si="96"/>
        <v>8.0500000063329935</v>
      </c>
      <c r="O216" s="7"/>
      <c r="P216" s="7"/>
      <c r="Q216" s="22"/>
      <c r="R216" s="170"/>
      <c r="S216" s="213">
        <f t="shared" si="80"/>
        <v>1</v>
      </c>
      <c r="T216" s="195" t="str">
        <f t="shared" si="83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4"/>
        <v>https://d0f6bd738d7f1b3e5a7ca70fe4ff75f0.us-east-1.aws.found.io/app/kibana#/discover/Steve-Slow-Train-Analysis-(2080s-and-2083s)?_g=(refreshInterval:(display:Off,pause:!f,section:0,value:0),time:(from:'2017-07-11T03:27:33-0600',mode:absolute,to:'2017-07-11T05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197" t="str">
        <f>IF(AA216&lt;VLOOKUP(AG216,Variables!$AC$3:$AD$8,2,FALSE),"Y","N")</f>
        <v>Y</v>
      </c>
      <c r="X216" s="197">
        <f t="shared" si="91"/>
        <v>1</v>
      </c>
      <c r="Y216" s="197">
        <f t="shared" si="97"/>
        <v>2.3420999999999998</v>
      </c>
      <c r="Z216" s="197">
        <f t="shared" si="98"/>
        <v>1.4500000000000001E-2</v>
      </c>
      <c r="AA216" s="197">
        <f t="shared" si="85"/>
        <v>2.3275999999999999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6"/>
        <v>308</v>
      </c>
      <c r="AE216" s="77" t="str">
        <f t="shared" si="87"/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AF216" s="74" t="str">
        <f t="shared" si="88"/>
        <v>"C:\Program Files (x86)\AstroGrep\AstroGrep.exe" /e /r /s /spath="%USERPROFILE%\AppData\Local\Temp\OnboardLogs" /stypes="app*4015*20170711*" /stext=" 10:.+((SYSTEM_STATE.+slice.+state.+changed )|(ment ac)|(multiple cpu faults)|(system.+state.+changed )|(\[timeout)|(PRM\|1\|D)|(kpr)|(kdp)|(train st.+moving)|(\|lc)|(penalty))"</v>
      </c>
      <c r="AG216" s="209" t="str">
        <f t="shared" si="89"/>
        <v>Other</v>
      </c>
      <c r="AH216" s="78" t="str">
        <f t="shared" si="92"/>
        <v>"%USERPROFILE%\Documents\GitHub\eaglep3\Utilities\RefineRTDCRunTimes.py" --tripid 308-11 --locoid 4015 --swversion DE.1.0.9.0 --startMP 300:23421 --initTime 2017-07-11T04:27:33 --startdatetime 2017-07-11T04:31:06 --delay 3 --endMP 204:145 --enddatetime 2017-07-11T04:39:09 --enforcementcount 0 &gt;&gt;C:\Users\stu\Documents\GitHub\eaglep3-reporting\EC\2017-07-11-refined-times.txt</v>
      </c>
      <c r="AI216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{"issue":{"subject":"","project_id":79,"tracker_id":40,"status_id":1,"priority_id":2,"assigned_to_id":23,"start_date":"2017-07-11","description":"","custom_fields":[{"id":1,"name":"Subdivision","value":"Other"},{"id":4,"name":"Milepost","value":"0.0145"},{"id":17,"name":"Train ID","value":"308-11"},{"id":16,"name":"Locomotive ID","value":"4015"},{"id":130,"name":"Impact","value":""},{"id":150,"name":"Time of Event (Mountain Time)","value":"04:39:09"},{"id":151,"name":"Denver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4"/>
        <v>start /low /b %USERPROFILE%\Documents\GitHub\eaglep3\Utilities\DownloadLogsFromS3.py --loco 4015 --day 2017-07-11</v>
      </c>
      <c r="AN216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10:39:09"},{"id":29,"name":"Sharepoint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816</v>
      </c>
      <c r="B217" s="7">
        <v>4008</v>
      </c>
      <c r="C217" s="21" t="s">
        <v>199</v>
      </c>
      <c r="D217" s="21" t="s">
        <v>914</v>
      </c>
      <c r="E217" s="13">
        <v>42928.048773148148</v>
      </c>
      <c r="F217" s="13">
        <v>42928.050428240742</v>
      </c>
      <c r="G217" s="7">
        <v>1</v>
      </c>
      <c r="H217" s="21" t="s">
        <v>915</v>
      </c>
      <c r="I217" s="13">
        <v>42928.060624999998</v>
      </c>
      <c r="J217" s="7">
        <v>0</v>
      </c>
      <c r="K217" s="89" t="str">
        <f t="shared" si="81"/>
        <v>4007/4008</v>
      </c>
      <c r="L217" s="21" t="str">
        <f>VLOOKUP(A217,'Trips&amp;Operators'!$C$1:$G$99999,5,FALSE)</f>
        <v>BIRKHOLZ NADINE</v>
      </c>
      <c r="M217" s="6">
        <f t="shared" si="82"/>
        <v>1.0196759256359655E-2</v>
      </c>
      <c r="N217" s="7">
        <f t="shared" si="96"/>
        <v>14.683333329157904</v>
      </c>
      <c r="O217" s="7"/>
      <c r="P217" s="7"/>
      <c r="Q217" s="22"/>
      <c r="R217" s="170"/>
      <c r="S217" s="213">
        <f t="shared" si="80"/>
        <v>1</v>
      </c>
      <c r="T217" s="195" t="str">
        <f t="shared" si="83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4"/>
        <v>https://d0f6bd738d7f1b3e5a7ca70fe4ff75f0.us-east-1.aws.found.io/app/kibana#/discover/Steve-Slow-Train-Analysis-(2080s-and-2083s)?_g=(refreshInterval:(display:Off,pause:!f,section:0,value:0),time:(from:'2017-07-12T00:10:14-0600',mode:absolute,to:'2017-07-12T02:27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197" t="str">
        <f>IF(AA217&lt;VLOOKUP(AG217,Variables!$AC$3:$AD$8,2,FALSE),"Y","N")</f>
        <v>Y</v>
      </c>
      <c r="X217" s="197">
        <f t="shared" si="91"/>
        <v>1</v>
      </c>
      <c r="Y217" s="197">
        <f t="shared" si="97"/>
        <v>4.48E-2</v>
      </c>
      <c r="Z217" s="197">
        <f t="shared" si="98"/>
        <v>2.331</v>
      </c>
      <c r="AA217" s="197">
        <f t="shared" si="85"/>
        <v>2.2862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6"/>
        <v>309</v>
      </c>
      <c r="AE217" s="77" t="str">
        <f t="shared" si="87"/>
        <v>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 &amp; 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</v>
      </c>
      <c r="AF217" s="74" t="str">
        <f t="shared" si="88"/>
        <v>"C:\Program Files (x86)\AstroGrep\AstroGrep.exe" /e /r /s /spath="%USERPROFILE%\AppData\Local\Temp\OnboardLogs" /stypes="app*4008*20170712*" /stext=" 07:.+((SYSTEM_STATE.+slice.+state.+changed )|(ment ac)|(multiple cpu faults)|(system.+state.+changed )|(\[timeout)|(PRM\|1\|D)|(kpr)|(kdp)|(train st.+moving)|(\|lc)|(penalty))"</v>
      </c>
      <c r="AG217" s="209" t="str">
        <f t="shared" si="89"/>
        <v>Other</v>
      </c>
      <c r="AH217" s="78" t="str">
        <f t="shared" si="92"/>
        <v>"%USERPROFILE%\Documents\GitHub\eaglep3\Utilities\RefineRTDCRunTimes.py" --tripid 309-11 --locoid 4008 --swversion DE.1.0.9.0 --startMP 204:448 --initTime 2017-07-12T01:10:14 --startdatetime 2017-07-12T01:12:37 --delay 1 --endMP 300:23310 --enddatetime 2017-07-12T01:27:18 --enforcementcount 0 &gt;&gt;C:\Users\stu\Documents\GitHub\eaglep3-reporting\EC\2017-07-11-refined-times.txt</v>
      </c>
      <c r="AI217" s="96" t="str">
        <f t="shared" si="93"/>
        <v>echo {"issue":{"subject":"","project_id":79,"tracker_id":40,"status_id":1,"priority_id":2,"assigned_to_id":23,"start_date":"2017-07-12","description":"","custom_fields":[{"id":1,"name":"Subdivision","value":"Other"},{"id":4,"name":"Milepost","value":"2.331"},{"id":17,"name":"Train ID","value":"309-11"},{"id":16,"name":"Locomotive ID","value":"4008"},{"id":130,"name":"Impact","value":""},{"id":150,"name":"Time of Event (Mountain Time)","value":"01:27:18"},{"id":151,"name":"Denver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4"/>
        <v>start /low /b %USERPROFILE%\Documents\GitHub\eaglep3\Utilities\DownloadLogsFromS3.py --loco 4008 --day 2017-07-12</v>
      </c>
      <c r="AN217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07:27:18"},{"id":29,"name":"Sharepoint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639</v>
      </c>
      <c r="B218" s="7">
        <v>4019</v>
      </c>
      <c r="C218" s="21" t="s">
        <v>199</v>
      </c>
      <c r="D218" s="21" t="s">
        <v>916</v>
      </c>
      <c r="E218" s="13">
        <v>42927.205289351848</v>
      </c>
      <c r="F218" s="13">
        <v>42927.210277777776</v>
      </c>
      <c r="G218" s="7">
        <v>7</v>
      </c>
      <c r="H218" s="21" t="s">
        <v>352</v>
      </c>
      <c r="I218" s="13">
        <v>42927.215428240743</v>
      </c>
      <c r="J218" s="7">
        <v>0</v>
      </c>
      <c r="K218" s="89" t="str">
        <f t="shared" si="81"/>
        <v>4019/4020</v>
      </c>
      <c r="L218" s="21" t="str">
        <f>VLOOKUP(A218,'Trips&amp;Operators'!$C$1:$G$99999,5,FALSE)</f>
        <v>LOZA FIDEL</v>
      </c>
      <c r="M218" s="6">
        <f t="shared" si="82"/>
        <v>5.1504629664123058E-3</v>
      </c>
      <c r="N218" s="7">
        <f t="shared" si="96"/>
        <v>7.4166666716337204</v>
      </c>
      <c r="O218" s="7"/>
      <c r="P218" s="7"/>
      <c r="Q218" s="22"/>
      <c r="R218" s="170"/>
      <c r="S218" s="213">
        <f t="shared" si="80"/>
        <v>1</v>
      </c>
      <c r="T218" s="195" t="str">
        <f t="shared" si="83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84"/>
        <v>https://d0f6bd738d7f1b3e5a7ca70fe4ff75f0.us-east-1.aws.found.io/app/kibana#/discover/Steve-Slow-Train-Analysis-(2080s-and-2083s)?_g=(refreshInterval:(display:Off,pause:!f,section:0,value:0),time:(from:'2017-07-11T03:55:37-0600',mode:absolute,to:'2017-07-11T06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8" s="197" t="str">
        <f>IF(AA218&lt;VLOOKUP(AG218,Variables!$AC$3:$AD$8,2,FALSE),"Y","N")</f>
        <v>Y</v>
      </c>
      <c r="X218" s="197">
        <f t="shared" si="91"/>
        <v>1</v>
      </c>
      <c r="Y218" s="197">
        <f t="shared" si="97"/>
        <v>2.3338999999999999</v>
      </c>
      <c r="Z218" s="197">
        <f t="shared" si="98"/>
        <v>1.3899999999999999E-2</v>
      </c>
      <c r="AA218" s="197">
        <f t="shared" si="85"/>
        <v>2.3199999999999998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6"/>
        <v>310</v>
      </c>
      <c r="AE218" s="77" t="str">
        <f t="shared" si="87"/>
        <v>aws s3 cp s3://rtdc.mdm.uploadarchive.raw/RTDC4019/ "%USERPROFILE%\AppData\Local\Temp\OnboardLogs"\RTDC4019\2017-07-11 --exclude "*" --recursive --include "*20170711*" &amp; "%USERPROFILE%\Documents\GitHub\mrs-test-scripts\Headless Mode &amp; Sideloading\WalkAndUnGZ.bat" "%USERPROFILE%\AppData\Local\Temp\OnboardLogs"\RTDC4019\2017-07-11 &amp; aws s3 cp s3://rtdc.mdm.uploadarchive.raw/RTDC4019/ "%USERPROFILE%\AppData\Local\Temp\OnboardLogs"\RTDC4019\2017-07-12 --exclude "*" --recursive --include "*20170712*" &amp; "%USERPROFILE%\Documents\GitHub\mrs-test-scripts\Headless Mode &amp; Sideloading\WalkAndUnGZ.bat" "%USERPROFILE%\AppData\Local\Temp\OnboardLogs"\RTDC4019\2017-07-12</v>
      </c>
      <c r="AF218" s="74" t="str">
        <f t="shared" si="88"/>
        <v>"C:\Program Files (x86)\AstroGrep\AstroGrep.exe" /e /r /s /spath="%USERPROFILE%\AppData\Local\Temp\OnboardLogs" /stypes="app*4019*20170711*" /stext=" 11:.+((SYSTEM_STATE.+slice.+state.+changed )|(ment ac)|(multiple cpu faults)|(system.+state.+changed )|(\[timeout)|(PRM\|1\|D)|(kpr)|(kdp)|(train st.+moving)|(\|lc)|(penalty))"</v>
      </c>
      <c r="AG218" s="209" t="str">
        <f t="shared" si="89"/>
        <v>Other</v>
      </c>
      <c r="AH218" s="78" t="str">
        <f t="shared" si="92"/>
        <v>"%USERPROFILE%\Documents\GitHub\eaglep3\Utilities\RefineRTDCRunTimes.py" --tripid 310-11 --locoid 4019 --swversion DE.1.0.9.0 --startMP 300:23339 --initTime 2017-07-11T04:55:37 --startdatetime 2017-07-11T05:02:48 --delay 7 --endMP 204:139 --enddatetime 2017-07-11T05:10:13 --enforcementcount 0 &gt;&gt;C:\Users\stu\Documents\GitHub\eaglep3-reporting\EC\2017-07-11-refined-times.txt</v>
      </c>
      <c r="AI218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{"issue":{"subject":"","project_id":79,"tracker_id":40,"status_id":1,"priority_id":2,"assigned_to_id":23,"start_date":"2017-07-11","description":"","custom_fields":[{"id":1,"name":"Subdivision","value":"Other"},{"id":4,"name":"Milepost","value":"0.0139"},{"id":17,"name":"Train ID","value":"310-11"},{"id":16,"name":"Locomotive ID","value":"4019"},{"id":130,"name":"Impact","value":""},{"id":150,"name":"Time of Event (Mountain Time)","value":"05:10:13"},{"id":151,"name":"Denver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4"/>
        <v>start /low /b %USERPROFILE%\Documents\GitHub\eaglep3\Utilities\DownloadLogsFromS3.py --loco 4019 --day 2017-07-11</v>
      </c>
      <c r="AN218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11:10:13"},{"id":29,"name":"Sharepoint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818</v>
      </c>
      <c r="B219" s="7">
        <v>4028</v>
      </c>
      <c r="C219" s="21" t="s">
        <v>199</v>
      </c>
      <c r="D219" s="21" t="s">
        <v>347</v>
      </c>
      <c r="E219" s="13">
        <v>42928.070428240739</v>
      </c>
      <c r="F219" s="13">
        <v>42928.071493055555</v>
      </c>
      <c r="G219" s="7">
        <v>1</v>
      </c>
      <c r="H219" s="21" t="s">
        <v>917</v>
      </c>
      <c r="I219" s="13">
        <v>42928.080185185187</v>
      </c>
      <c r="J219" s="7">
        <v>0</v>
      </c>
      <c r="K219" s="89" t="str">
        <f t="shared" si="81"/>
        <v>4027/4028</v>
      </c>
      <c r="L219" s="21" t="str">
        <f>VLOOKUP(A219,'Trips&amp;Operators'!$C$1:$G$99999,5,FALSE)</f>
        <v>FORTUNATO FRANK</v>
      </c>
      <c r="M219" s="6">
        <f t="shared" si="82"/>
        <v>8.6921296315267682E-3</v>
      </c>
      <c r="N219" s="7">
        <f t="shared" si="96"/>
        <v>12.516666669398546</v>
      </c>
      <c r="O219" s="7"/>
      <c r="P219" s="7"/>
      <c r="Q219" s="22"/>
      <c r="R219" s="170"/>
      <c r="S219" s="213">
        <f t="shared" si="80"/>
        <v>1</v>
      </c>
      <c r="T219" s="195" t="str">
        <f t="shared" si="83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4"/>
        <v>https://d0f6bd738d7f1b3e5a7ca70fe4ff75f0.us-east-1.aws.found.io/app/kibana#/discover/Steve-Slow-Train-Analysis-(2080s-and-2083s)?_g=(refreshInterval:(display:Off,pause:!f,section:0,value:0),time:(from:'2017-07-12T00:41:25-0600',mode:absolute,to:'2017-07-12T02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197" t="str">
        <f>IF(AA219&lt;VLOOKUP(AG219,Variables!$AC$3:$AD$8,2,FALSE),"Y","N")</f>
        <v>Y</v>
      </c>
      <c r="X219" s="197">
        <f t="shared" si="91"/>
        <v>1</v>
      </c>
      <c r="Y219" s="197">
        <f t="shared" si="97"/>
        <v>4.6600000000000003E-2</v>
      </c>
      <c r="Z219" s="197">
        <f t="shared" si="98"/>
        <v>2.3298999999999999</v>
      </c>
      <c r="AA219" s="197">
        <f t="shared" si="85"/>
        <v>2.2832999999999997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6"/>
        <v>311</v>
      </c>
      <c r="AE219" s="77" t="str">
        <f t="shared" si="87"/>
        <v>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 &amp; 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</v>
      </c>
      <c r="AF219" s="74" t="str">
        <f t="shared" si="88"/>
        <v>"C:\Program Files (x86)\AstroGrep\AstroGrep.exe" /e /r /s /spath="%USERPROFILE%\AppData\Local\Temp\OnboardLogs" /stypes="app*4028*20170712*" /stext=" 07:.+((SYSTEM_STATE.+slice.+state.+changed )|(ment ac)|(multiple cpu faults)|(system.+state.+changed )|(\[timeout)|(PRM\|1\|D)|(kpr)|(kdp)|(train st.+moving)|(\|lc)|(penalty))"</v>
      </c>
      <c r="AG219" s="209" t="str">
        <f t="shared" si="89"/>
        <v>Other</v>
      </c>
      <c r="AH219" s="78" t="str">
        <f t="shared" si="92"/>
        <v>"%USERPROFILE%\Documents\GitHub\eaglep3\Utilities\RefineRTDCRunTimes.py" --tripid 311-11 --locoid 4028 --swversion DE.1.0.9.0 --startMP 204:466 --initTime 2017-07-12T01:41:25 --startdatetime 2017-07-12T01:42:57 --delay 1 --endMP 300:23299 --enddatetime 2017-07-12T01:55:28 --enforcementcount 0 &gt;&gt;C:\Users\stu\Documents\GitHub\eaglep3-reporting\EC\2017-07-11-refined-times.txt</v>
      </c>
      <c r="AI219" s="96" t="str">
        <f t="shared" si="93"/>
        <v>echo {"issue":{"subject":"","project_id":79,"tracker_id":40,"status_id":1,"priority_id":2,"assigned_to_id":23,"start_date":"2017-07-12","description":"","custom_fields":[{"id":1,"name":"Subdivision","value":"Other"},{"id":4,"name":"Milepost","value":"2.3299"},{"id":17,"name":"Train ID","value":"311-11"},{"id":16,"name":"Locomotive ID","value":"4028"},{"id":130,"name":"Impact","value":""},{"id":150,"name":"Time of Event (Mountain Time)","value":"01:55:28"},{"id":151,"name":"Denver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94"/>
        <v>start /low /b %USERPROFILE%\Documents\GitHub\eaglep3\Utilities\DownloadLogsFromS3.py --loco 4028 --day 2017-07-12</v>
      </c>
      <c r="AN219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07:55:28"},{"id":29,"name":"Sharepoint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644</v>
      </c>
      <c r="B220" s="7">
        <v>4063</v>
      </c>
      <c r="C220" s="21" t="s">
        <v>199</v>
      </c>
      <c r="D220" s="21" t="s">
        <v>918</v>
      </c>
      <c r="E220" s="13">
        <v>42927.218900462962</v>
      </c>
      <c r="F220" s="13">
        <v>42927.228750000002</v>
      </c>
      <c r="G220" s="7">
        <v>13</v>
      </c>
      <c r="H220" s="21" t="s">
        <v>494</v>
      </c>
      <c r="I220" s="13">
        <v>42927.235613425924</v>
      </c>
      <c r="J220" s="7">
        <v>0</v>
      </c>
      <c r="K220" s="89" t="str">
        <f t="shared" si="81"/>
        <v>4063/4064</v>
      </c>
      <c r="L220" s="21" t="str">
        <f>VLOOKUP(A220,'Trips&amp;Operators'!$C$1:$G$99999,5,FALSE)</f>
        <v>ANDERS STEVEN</v>
      </c>
      <c r="M220" s="6">
        <f t="shared" si="82"/>
        <v>6.8634259223472327E-3</v>
      </c>
      <c r="N220" s="7">
        <f t="shared" si="96"/>
        <v>9.8833333281800151</v>
      </c>
      <c r="O220" s="7"/>
      <c r="P220" s="7"/>
      <c r="Q220" s="22"/>
      <c r="R220" s="170"/>
      <c r="S220" s="213">
        <f t="shared" si="80"/>
        <v>1</v>
      </c>
      <c r="T220" s="195" t="str">
        <f t="shared" si="83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84"/>
        <v>https://d0f6bd738d7f1b3e5a7ca70fe4ff75f0.us-east-1.aws.found.io/app/kibana#/discover/Steve-Slow-Train-Analysis-(2080s-and-2083s)?_g=(refreshInterval:(display:Off,pause:!f,section:0,value:0),time:(from:'2017-07-11T04:15:13-0600',mode:absolute,to:'2017-07-11T06:39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197" t="str">
        <f>IF(AA220&lt;VLOOKUP(AG220,Variables!$AC$3:$AD$8,2,FALSE),"Y","N")</f>
        <v>Y</v>
      </c>
      <c r="X220" s="197">
        <f t="shared" si="91"/>
        <v>1</v>
      </c>
      <c r="Y220" s="197">
        <f t="shared" si="97"/>
        <v>2.3010000000000002</v>
      </c>
      <c r="Z220" s="197">
        <f t="shared" si="98"/>
        <v>1.61E-2</v>
      </c>
      <c r="AA220" s="197">
        <f t="shared" si="85"/>
        <v>2.2849000000000004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6"/>
        <v>312</v>
      </c>
      <c r="AE220" s="77" t="str">
        <f t="shared" si="87"/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AF220" s="74" t="str">
        <f t="shared" si="88"/>
        <v>"C:\Program Files (x86)\AstroGrep\AstroGrep.exe" /e /r /s /spath="%USERPROFILE%\AppData\Local\Temp\OnboardLogs" /stypes="app*4063*20170711*" /stext=" 11:.+((SYSTEM_STATE.+slice.+state.+changed )|(ment ac)|(multiple cpu faults)|(system.+state.+changed )|(\[timeout)|(PRM\|1\|D)|(kpr)|(kdp)|(train st.+moving)|(\|lc)|(penalty))"</v>
      </c>
      <c r="AG220" s="209" t="str">
        <f t="shared" si="89"/>
        <v>Other</v>
      </c>
      <c r="AH220" s="78" t="str">
        <f t="shared" si="92"/>
        <v>"%USERPROFILE%\Documents\GitHub\eaglep3\Utilities\RefineRTDCRunTimes.py" --tripid 312-11 --locoid 4063 --swversion DE.1.0.9.0 --startMP 300:23010 --initTime 2017-07-11T05:15:13 --startdatetime 2017-07-11T05:29:24 --delay 13 --endMP 204:161 --enddatetime 2017-07-11T05:39:17 --enforcementcount 0 &gt;&gt;C:\Users\stu\Documents\GitHub\eaglep3-reporting\EC\2017-07-11-refined-times.txt</v>
      </c>
      <c r="AI220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{"issue":{"subject":"","project_id":79,"tracker_id":40,"status_id":1,"priority_id":2,"assigned_to_id":23,"start_date":"2017-07-11","description":"","custom_fields":[{"id":1,"name":"Subdivision","value":"Other"},{"id":4,"name":"Milepost","value":"0.0161"},{"id":17,"name":"Train ID","value":"312-11"},{"id":16,"name":"Locomotive ID","value":"4063"},{"id":130,"name":"Impact","value":""},{"id":150,"name":"Time of Event (Mountain Time)","value":"05:39:17"},{"id":151,"name":"Denver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4"/>
        <v>start /low /b %USERPROFILE%\Documents\GitHub\eaglep3\Utilities\DownloadLogsFromS3.py --loco 4063 --day 2017-07-11</v>
      </c>
      <c r="AN220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11:39:17"},{"id":29,"name":"Sharepoint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614</v>
      </c>
      <c r="B221" s="7">
        <v>4006</v>
      </c>
      <c r="C221" s="21" t="s">
        <v>199</v>
      </c>
      <c r="D221" s="21" t="s">
        <v>845</v>
      </c>
      <c r="E221" s="13">
        <v>42927.094247685185</v>
      </c>
      <c r="F221" s="13">
        <v>42927.095567129632</v>
      </c>
      <c r="G221" s="7">
        <v>1</v>
      </c>
      <c r="H221" s="21" t="s">
        <v>568</v>
      </c>
      <c r="I221" s="13">
        <v>42927.105717592596</v>
      </c>
      <c r="J221" s="7">
        <v>0</v>
      </c>
      <c r="K221" s="89" t="str">
        <f t="shared" si="81"/>
        <v>4005/4006</v>
      </c>
      <c r="L221" s="21" t="str">
        <f>VLOOKUP(A221,'Trips&amp;Operators'!$C$1:$G$99999,5,FALSE)</f>
        <v>GUZMAN DANNY</v>
      </c>
      <c r="M221" s="6">
        <f t="shared" si="82"/>
        <v>1.0150462963792961E-2</v>
      </c>
      <c r="N221" s="7">
        <f t="shared" si="96"/>
        <v>14.616666667861864</v>
      </c>
      <c r="O221" s="7"/>
      <c r="P221" s="7"/>
      <c r="Q221" s="22"/>
      <c r="R221" s="170"/>
      <c r="S221" s="213">
        <f t="shared" si="80"/>
        <v>1</v>
      </c>
      <c r="T221" s="195" t="str">
        <f t="shared" si="83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84"/>
        <v>https://d0f6bd738d7f1b3e5a7ca70fe4ff75f0.us-east-1.aws.found.io/app/kibana#/discover/Steve-Slow-Train-Analysis-(2080s-and-2083s)?_g=(refreshInterval:(display:Off,pause:!f,section:0,value:0),time:(from:'2017-07-11T01:15:43-0600',mode:absolute,to:'2017-07-11T03:32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197" t="str">
        <f>IF(AA221&lt;VLOOKUP(AG221,Variables!$AC$3:$AD$8,2,FALSE),"Y","N")</f>
        <v>Y</v>
      </c>
      <c r="X221" s="197">
        <f t="shared" si="91"/>
        <v>1</v>
      </c>
      <c r="Y221" s="197">
        <f t="shared" si="97"/>
        <v>4.7699999999999999E-2</v>
      </c>
      <c r="Z221" s="197">
        <f t="shared" si="98"/>
        <v>2.3308</v>
      </c>
      <c r="AA221" s="197">
        <f t="shared" si="85"/>
        <v>2.2831000000000001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6"/>
        <v>313</v>
      </c>
      <c r="AE221" s="77" t="str">
        <f t="shared" si="87"/>
        <v>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 &amp; 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</v>
      </c>
      <c r="AF221" s="74" t="str">
        <f t="shared" si="88"/>
        <v>"C:\Program Files (x86)\AstroGrep\AstroGrep.exe" /e /r /s /spath="%USERPROFILE%\AppData\Local\Temp\OnboardLogs" /stypes="app*4006*20170711*" /stext=" 08:.+((SYSTEM_STATE.+slice.+state.+changed )|(ment ac)|(multiple cpu faults)|(system.+state.+changed )|(\[timeout)|(PRM\|1\|D)|(kpr)|(kdp)|(train st.+moving)|(\|lc)|(penalty))"</v>
      </c>
      <c r="AG221" s="209" t="str">
        <f t="shared" si="89"/>
        <v>Other</v>
      </c>
      <c r="AH221" s="78" t="str">
        <f t="shared" si="92"/>
        <v>"%USERPROFILE%\Documents\GitHub\eaglep3\Utilities\RefineRTDCRunTimes.py" --tripid 313-10 --locoid 4006 --swversion DE.1.0.9.0 --startMP 204:477 --initTime 2017-07-11T02:15:43 --startdatetime 2017-07-11T02:17:37 --delay 1 --endMP 300:23308 --enddatetime 2017-07-11T02:32:14 --enforcementcount 0 &gt;&gt;C:\Users\stu\Documents\GitHub\eaglep3-reporting\EC\2017-07-11-refined-times.txt</v>
      </c>
      <c r="AI221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{"issue":{"subject":"","project_id":79,"tracker_id":40,"status_id":1,"priority_id":2,"assigned_to_id":23,"start_date":"2017-07-11","description":"","custom_fields":[{"id":1,"name":"Subdivision","value":"Other"},{"id":4,"name":"Milepost","value":"2.3308"},{"id":17,"name":"Train ID","value":"313-10"},{"id":16,"name":"Locomotive ID","value":"4006"},{"id":130,"name":"Impact","value":""},{"id":150,"name":"Time of Event (Mountain Time)","value":"02:32:14"},{"id":151,"name":"Denver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94"/>
        <v>start /low /b %USERPROFILE%\Documents\GitHub\eaglep3\Utilities\DownloadLogsFromS3.py --loco 4006 --day 2017-07-11</v>
      </c>
      <c r="AN221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08:32:14"},{"id":29,"name":"Sharepoint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819</v>
      </c>
      <c r="B222" s="7">
        <v>4042</v>
      </c>
      <c r="C222" s="21" t="s">
        <v>199</v>
      </c>
      <c r="D222" s="21" t="s">
        <v>421</v>
      </c>
      <c r="E222" s="13">
        <v>42928.088865740741</v>
      </c>
      <c r="F222" s="13">
        <v>42928.091840277775</v>
      </c>
      <c r="G222" s="7">
        <v>1</v>
      </c>
      <c r="H222" s="21" t="s">
        <v>349</v>
      </c>
      <c r="I222" s="13">
        <v>42928.099849537037</v>
      </c>
      <c r="J222" s="7">
        <v>0</v>
      </c>
      <c r="K222" s="89" t="str">
        <f t="shared" si="81"/>
        <v>4041/4042</v>
      </c>
      <c r="L222" s="21" t="str">
        <f>VLOOKUP(A222,'Trips&amp;Operators'!$C$1:$G$99999,5,FALSE)</f>
        <v>LAMAR NEKESHA</v>
      </c>
      <c r="M222" s="6">
        <f t="shared" si="82"/>
        <v>8.0092592615983449E-3</v>
      </c>
      <c r="N222" s="7">
        <f t="shared" si="96"/>
        <v>11.533333336701617</v>
      </c>
      <c r="O222" s="7"/>
      <c r="P222" s="7"/>
      <c r="Q222" s="22"/>
      <c r="R222" s="170"/>
      <c r="S222" s="213">
        <f t="shared" si="80"/>
        <v>1</v>
      </c>
      <c r="T222" s="195" t="str">
        <f t="shared" si="83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84"/>
        <v>https://d0f6bd738d7f1b3e5a7ca70fe4ff75f0.us-east-1.aws.found.io/app/kibana#/discover/Steve-Slow-Train-Analysis-(2080s-and-2083s)?_g=(refreshInterval:(display:Off,pause:!f,section:0,value:0),time:(from:'2017-07-12T01:07:58-0600',mode:absolute,to:'2017-07-12T03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2" s="197" t="str">
        <f>IF(AA222&lt;VLOOKUP(AG222,Variables!$AC$3:$AD$8,2,FALSE),"Y","N")</f>
        <v>Y</v>
      </c>
      <c r="X222" s="197">
        <f t="shared" si="91"/>
        <v>0</v>
      </c>
      <c r="Y222" s="197">
        <f t="shared" si="97"/>
        <v>4.7300000000000002E-2</v>
      </c>
      <c r="Z222" s="197">
        <f t="shared" si="98"/>
        <v>2.3346</v>
      </c>
      <c r="AA222" s="197">
        <f t="shared" si="85"/>
        <v>2.2873000000000001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6"/>
        <v>313</v>
      </c>
      <c r="AE222" s="77" t="str">
        <f t="shared" si="87"/>
        <v>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 &amp; 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</v>
      </c>
      <c r="AF222" s="74" t="str">
        <f t="shared" si="88"/>
        <v>"C:\Program Files (x86)\AstroGrep\AstroGrep.exe" /e /r /s /spath="%USERPROFILE%\AppData\Local\Temp\OnboardLogs" /stypes="app*4042*20170712*" /stext=" 08:.+((SYSTEM_STATE.+slice.+state.+changed )|(ment ac)|(multiple cpu faults)|(system.+state.+changed )|(\[timeout)|(PRM\|1\|D)|(kpr)|(kdp)|(train st.+moving)|(\|lc)|(penalty))"</v>
      </c>
      <c r="AG222" s="209" t="str">
        <f t="shared" si="89"/>
        <v>Other</v>
      </c>
      <c r="AH222" s="78" t="str">
        <f t="shared" si="92"/>
        <v>"%USERPROFILE%\Documents\GitHub\eaglep3\Utilities\RefineRTDCRunTimes.py" --tripid 313-11 --locoid 4042 --swversion DE.1.0.9.0 --startMP 204:473 --initTime 2017-07-12T02:07:58 --startdatetime 2017-07-12T02:12:15 --delay 1 --endMP 300:23346 --enddatetime 2017-07-12T02:23:47 --enforcementcount 0 &gt;&gt;C:\Users\stu\Documents\GitHub\eaglep3-reporting\EC\2017-07-11-refined-times.txt</v>
      </c>
      <c r="AI222" s="96" t="str">
        <f t="shared" si="93"/>
        <v>echo {"issue":{"subject":"","project_id":79,"tracker_id":40,"status_id":1,"priority_id":2,"assigned_to_id":23,"start_date":"2017-07-12","description":"","custom_fields":[{"id":1,"name":"Subdivision","value":"Other"},{"id":4,"name":"Milepost","value":"2.3346"},{"id":17,"name":"Train ID","value":"313-11"},{"id":16,"name":"Locomotive ID","value":"4042"},{"id":130,"name":"Impact","value":""},{"id":150,"name":"Time of Event (Mountain Time)","value":"02:23:47"},{"id":151,"name":"Denver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94"/>
        <v>start /low /b %USERPROFILE%\Documents\GitHub\eaglep3\Utilities\DownloadLogsFromS3.py --loco 4042 --day 2017-07-12</v>
      </c>
      <c r="AN222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08:23:47"},{"id":29,"name":"Sharepoint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635</v>
      </c>
      <c r="B223" s="7">
        <v>4062</v>
      </c>
      <c r="C223" s="21" t="s">
        <v>199</v>
      </c>
      <c r="D223" s="21" t="s">
        <v>997</v>
      </c>
      <c r="E223" s="13">
        <v>42927.20857638889</v>
      </c>
      <c r="F223" s="13">
        <v>42927.212812500002</v>
      </c>
      <c r="G223" s="7">
        <v>6</v>
      </c>
      <c r="H223" s="21" t="s">
        <v>941</v>
      </c>
      <c r="I223" s="13">
        <v>42927.218206018515</v>
      </c>
      <c r="J223" s="7">
        <v>0</v>
      </c>
      <c r="K223" s="89" t="str">
        <f t="shared" si="81"/>
        <v>4061/4062</v>
      </c>
      <c r="L223" s="21" t="str">
        <f>VLOOKUP(A223,'Trips&amp;Operators'!$C$1:$G$99999,5,FALSE)</f>
        <v>HELVIE ADAM</v>
      </c>
      <c r="M223" s="6">
        <f t="shared" si="82"/>
        <v>5.3935185133013874E-3</v>
      </c>
      <c r="N223" s="7">
        <f t="shared" si="96"/>
        <v>7.7666666591539979</v>
      </c>
      <c r="O223" s="7"/>
      <c r="P223" s="7"/>
      <c r="Q223" s="22"/>
      <c r="R223" s="170"/>
      <c r="S223" s="213">
        <f t="shared" si="80"/>
        <v>0</v>
      </c>
      <c r="T223" s="195" t="str">
        <f t="shared" si="83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84"/>
        <v>https://d0f6bd738d7f1b3e5a7ca70fe4ff75f0.us-east-1.aws.found.io/app/kibana#/discover/Steve-Slow-Train-Analysis-(2080s-and-2083s)?_g=(refreshInterval:(display:Off,pause:!f,section:0,value:0),time:(from:'2017-07-11T04:00:21-0600',mode:absolute,to:'2017-07-11T06:14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3" s="197" t="str">
        <f>IF(AA223&lt;VLOOKUP(AG223,Variables!$AC$3:$AD$8,2,FALSE),"Y","N")</f>
        <v>Y</v>
      </c>
      <c r="X223" s="197">
        <f t="shared" si="91"/>
        <v>588</v>
      </c>
      <c r="Y223" s="197">
        <f t="shared" si="97"/>
        <v>3.0129000000000001</v>
      </c>
      <c r="Z223" s="197">
        <f t="shared" si="98"/>
        <v>5.8935000000000004</v>
      </c>
      <c r="AA223" s="197">
        <f t="shared" si="85"/>
        <v>2.8806000000000003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6"/>
        <v>901</v>
      </c>
      <c r="AE223" s="77" t="str">
        <f t="shared" si="87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223" s="74" t="str">
        <f t="shared" si="88"/>
        <v>"C:\Program Files (x86)\AstroGrep\AstroGrep.exe" /e /r /s /spath="%USERPROFILE%\AppData\Local\Temp\OnboardLogs" /stypes="app*4062*20170711*" /stext=" 11:.+((SYSTEM_STATE.+slice.+state.+changed )|(ment ac)|(multiple cpu faults)|(system.+state.+changed )|(\[timeout)|(PRM\|1\|D)|(kpr)|(kdp)|(train st.+moving)|(\|lc)|(penalty))"</v>
      </c>
      <c r="AG223" s="209" t="str">
        <f t="shared" si="89"/>
        <v>Other</v>
      </c>
      <c r="AH223" s="78" t="str">
        <f t="shared" si="92"/>
        <v>"%USERPROFILE%\Documents\GitHub\eaglep3\Utilities\RefineRTDCRunTimes.py" --tripid 901-11 --locoid 4062 --swversion DE.1.0.9.0 --startMP 300:30129 --initTime 2017-07-11T05:00:21 --startdatetime 2017-07-11T05:06:27 --delay 6 --endMP 300:58935 --enddatetime 2017-07-11T05:14:13 --enforcementcount 0 &gt;&gt;C:\Users\stu\Documents\GitHub\eaglep3-reporting\EC\2017-07-11-refined-times.txt</v>
      </c>
      <c r="AI223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{"issue":{"subject":"","project_id":79,"tracker_id":40,"status_id":1,"priority_id":2,"assigned_to_id":23,"start_date":"2017-07-11","description":"","custom_fields":[{"id":1,"name":"Subdivision","value":"Other"},{"id":4,"name":"Milepost","value":"5.8935"},{"id":17,"name":"Train ID","value":"901-11"},{"id":16,"name":"Locomotive ID","value":"4062"},{"id":130,"name":"Impact","value":""},{"id":150,"name":"Time of Event (Mountain Time)","value":"05:14:13"},{"id":151,"name":"Denver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4"/>
        <v>start /low /b %USERPROFILE%\Documents\GitHub\eaglep3\Utilities\DownloadLogsFromS3.py --loco 4062 --day 2017-07-11</v>
      </c>
      <c r="AN223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11:14:13"},{"id":29,"name":"Sharepoint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654</v>
      </c>
      <c r="B224" s="7">
        <v>4023</v>
      </c>
      <c r="C224" s="21" t="s">
        <v>199</v>
      </c>
      <c r="D224" s="21" t="s">
        <v>998</v>
      </c>
      <c r="E224" s="13">
        <v>42927.254710648151</v>
      </c>
      <c r="F224" s="13">
        <v>42927.258287037039</v>
      </c>
      <c r="G224" s="7">
        <v>4</v>
      </c>
      <c r="H224" s="21" t="s">
        <v>999</v>
      </c>
      <c r="I224" s="13">
        <v>42927.263518518521</v>
      </c>
      <c r="J224" s="7">
        <v>0</v>
      </c>
      <c r="K224" s="89" t="str">
        <f t="shared" si="81"/>
        <v>4023/4024</v>
      </c>
      <c r="L224" s="21" t="str">
        <f>VLOOKUP(A224,'Trips&amp;Operators'!$C$1:$G$99999,5,FALSE)</f>
        <v>YANG JAN</v>
      </c>
      <c r="M224" s="6">
        <f t="shared" si="82"/>
        <v>5.2314814820419997E-3</v>
      </c>
      <c r="N224" s="7">
        <f t="shared" si="96"/>
        <v>7.5333333341404796</v>
      </c>
      <c r="O224" s="7"/>
      <c r="P224" s="7"/>
      <c r="Q224" s="22"/>
      <c r="R224" s="170"/>
      <c r="S224" s="213">
        <f t="shared" si="80"/>
        <v>1</v>
      </c>
      <c r="T224" s="195" t="str">
        <f t="shared" si="83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4"/>
        <v>https://d0f6bd738d7f1b3e5a7ca70fe4ff75f0.us-east-1.aws.found.io/app/kibana#/discover/Steve-Slow-Train-Analysis-(2080s-and-2083s)?_g=(refreshInterval:(display:Off,pause:!f,section:0,value:0),time:(from:'2017-07-11T05:06:47-0600',mode:absolute,to:'2017-07-11T07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4" s="197" t="str">
        <f>IF(AA224&lt;VLOOKUP(AG224,Variables!$AC$3:$AD$8,2,FALSE),"Y","N")</f>
        <v>Y</v>
      </c>
      <c r="X224" s="197">
        <f t="shared" si="91"/>
        <v>1</v>
      </c>
      <c r="Y224" s="197">
        <f t="shared" si="97"/>
        <v>2.3792</v>
      </c>
      <c r="Z224" s="197">
        <f t="shared" si="98"/>
        <v>7.1900000000000006E-2</v>
      </c>
      <c r="AA224" s="197">
        <f t="shared" si="85"/>
        <v>2.3073000000000001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6"/>
        <v>902</v>
      </c>
      <c r="AE224" s="77" t="str">
        <f t="shared" si="87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224" s="74" t="str">
        <f t="shared" si="88"/>
        <v>"C:\Program Files (x86)\AstroGrep\AstroGrep.exe" /e /r /s /spath="%USERPROFILE%\AppData\Local\Temp\OnboardLogs" /stypes="app*4023*20170711*" /stext=" 12:.+((SYSTEM_STATE.+slice.+state.+changed )|(ment ac)|(multiple cpu faults)|(system.+state.+changed )|(\[timeout)|(PRM\|1\|D)|(kpr)|(kdp)|(train st.+moving)|(\|lc)|(penalty))"</v>
      </c>
      <c r="AG224" s="209" t="str">
        <f t="shared" si="89"/>
        <v>Other</v>
      </c>
      <c r="AH224" s="78" t="str">
        <f t="shared" si="92"/>
        <v>"%USERPROFILE%\Documents\GitHub\eaglep3\Utilities\RefineRTDCRunTimes.py" --tripid 902-11 --locoid 4023 --swversion DE.1.0.9.0 --startMP 300:23792 --initTime 2017-07-11T06:06:47 --startdatetime 2017-07-11T06:11:56 --delay 4 --endMP 204:719 --enddatetime 2017-07-11T06:19:28 --enforcementcount 0 &gt;&gt;C:\Users\stu\Documents\GitHub\eaglep3-reporting\EC\2017-07-11-refined-times.txt</v>
      </c>
      <c r="AI224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{"issue":{"subject":"","project_id":79,"tracker_id":40,"status_id":1,"priority_id":2,"assigned_to_id":23,"start_date":"2017-07-11","description":"","custom_fields":[{"id":1,"name":"Subdivision","value":"Other"},{"id":4,"name":"Milepost","value":"0.0719"},{"id":17,"name":"Train ID","value":"902-11"},{"id":16,"name":"Locomotive ID","value":"4023"},{"id":130,"name":"Impact","value":""},{"id":150,"name":"Time of Event (Mountain Time)","value":"06:19:28"},{"id":151,"name":"Denver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94"/>
        <v>start /low /b %USERPROFILE%\Documents\GitHub\eaglep3\Utilities\DownloadLogsFromS3.py --loco 4023 --day 2017-07-11</v>
      </c>
      <c r="AN224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12:19:28"},{"id":29,"name":"Sharepoint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682</v>
      </c>
      <c r="B225" s="7">
        <v>4062</v>
      </c>
      <c r="C225" s="21" t="s">
        <v>199</v>
      </c>
      <c r="D225" s="21" t="s">
        <v>1000</v>
      </c>
      <c r="E225" s="13">
        <v>42927.352361111109</v>
      </c>
      <c r="F225" s="13">
        <v>42927.354016203702</v>
      </c>
      <c r="G225" s="7">
        <v>1</v>
      </c>
      <c r="H225" s="21" t="s">
        <v>1001</v>
      </c>
      <c r="I225" s="13">
        <v>42927.359282407408</v>
      </c>
      <c r="J225" s="7">
        <v>0</v>
      </c>
      <c r="K225" s="89" t="str">
        <f t="shared" si="81"/>
        <v>4061/4062</v>
      </c>
      <c r="L225" s="21" t="str">
        <f>VLOOKUP(A225,'Trips&amp;Operators'!$C$1:$G$99999,5,FALSE)</f>
        <v>HELVIE ADAM</v>
      </c>
      <c r="M225" s="6">
        <f t="shared" si="82"/>
        <v>5.2662037051049992E-3</v>
      </c>
      <c r="N225" s="7">
        <f t="shared" si="96"/>
        <v>7.5833333353511989</v>
      </c>
      <c r="O225" s="7"/>
      <c r="P225" s="7"/>
      <c r="Q225" s="22"/>
      <c r="R225" s="170"/>
      <c r="S225" s="213">
        <f t="shared" si="80"/>
        <v>1</v>
      </c>
      <c r="T225" s="195" t="str">
        <f t="shared" si="83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84"/>
        <v>https://d0f6bd738d7f1b3e5a7ca70fe4ff75f0.us-east-1.aws.found.io/app/kibana#/discover/Steve-Slow-Train-Analysis-(2080s-and-2083s)?_g=(refreshInterval:(display:Off,pause:!f,section:0,value:0),time:(from:'2017-07-11T07:27:24-0600',mode:absolute,to:'2017-07-11T09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5" s="197" t="str">
        <f>IF(AA225&lt;VLOOKUP(AG225,Variables!$AC$3:$AD$8,2,FALSE),"Y","N")</f>
        <v>Y</v>
      </c>
      <c r="X225" s="197">
        <f t="shared" si="91"/>
        <v>1</v>
      </c>
      <c r="Y225" s="197">
        <f t="shared" si="97"/>
        <v>0.1065</v>
      </c>
      <c r="Z225" s="197">
        <f t="shared" si="98"/>
        <v>2.4281000000000001</v>
      </c>
      <c r="AA225" s="197">
        <f t="shared" si="85"/>
        <v>2.3216000000000001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6"/>
        <v>903</v>
      </c>
      <c r="AE225" s="77" t="str">
        <f t="shared" si="87"/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AF225" s="74" t="str">
        <f t="shared" si="88"/>
        <v>"C:\Program Files (x86)\AstroGrep\AstroGrep.exe" /e /r /s /spath="%USERPROFILE%\AppData\Local\Temp\OnboardLogs" /stypes="app*4062*20170711*" /stext=" 14:.+((SYSTEM_STATE.+slice.+state.+changed )|(ment ac)|(multiple cpu faults)|(system.+state.+changed )|(\[timeout)|(PRM\|1\|D)|(kpr)|(kdp)|(train st.+moving)|(\|lc)|(penalty))"</v>
      </c>
      <c r="AG225" s="209" t="str">
        <f t="shared" si="89"/>
        <v>Other</v>
      </c>
      <c r="AH225" s="78" t="str">
        <f t="shared" si="92"/>
        <v>"%USERPROFILE%\Documents\GitHub\eaglep3\Utilities\RefineRTDCRunTimes.py" --tripid 903-11 --locoid 4062 --swversion DE.1.0.9.0 --startMP 204:1065 --initTime 2017-07-11T08:27:24 --startdatetime 2017-07-11T08:29:47 --delay 1 --endMP 300:24281 --enddatetime 2017-07-11T08:37:22 --enforcementcount 0 &gt;&gt;C:\Users\stu\Documents\GitHub\eaglep3-reporting\EC\2017-07-11-refined-times.txt</v>
      </c>
      <c r="AI225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{"issue":{"subject":"","project_id":79,"tracker_id":40,"status_id":1,"priority_id":2,"assigned_to_id":23,"start_date":"2017-07-11","description":"","custom_fields":[{"id":1,"name":"Subdivision","value":"Other"},{"id":4,"name":"Milepost","value":"2.4281"},{"id":17,"name":"Train ID","value":"903-11"},{"id":16,"name":"Locomotive ID","value":"4062"},{"id":130,"name":"Impact","value":""},{"id":150,"name":"Time of Event (Mountain Time)","value":"08:37:22"},{"id":151,"name":"Denver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94"/>
        <v>start /low /b %USERPROFILE%\Documents\GitHub\eaglep3\Utilities\DownloadLogsFromS3.py --loco 4062 --day 2017-07-11</v>
      </c>
      <c r="AN225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14:37:22"},{"id":29,"name":"Sharepoint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745</v>
      </c>
      <c r="B226" s="7">
        <v>4061</v>
      </c>
      <c r="C226" s="21" t="s">
        <v>199</v>
      </c>
      <c r="D226" s="21" t="s">
        <v>1002</v>
      </c>
      <c r="E226" s="13">
        <v>42927.638148148151</v>
      </c>
      <c r="F226" s="13">
        <v>42927.640208333331</v>
      </c>
      <c r="G226" s="7">
        <v>2</v>
      </c>
      <c r="H226" s="21" t="s">
        <v>550</v>
      </c>
      <c r="I226" s="13">
        <v>42927.645462962966</v>
      </c>
      <c r="J226" s="7">
        <v>0</v>
      </c>
      <c r="K226" s="89" t="str">
        <f t="shared" si="81"/>
        <v>4061/4062</v>
      </c>
      <c r="L226" s="21" t="str">
        <f>VLOOKUP(A226,'Trips&amp;Operators'!$C$1:$G$99999,5,FALSE)</f>
        <v>ELBAUM MIKE</v>
      </c>
      <c r="M226" s="6">
        <f t="shared" si="82"/>
        <v>5.2546296356013045E-3</v>
      </c>
      <c r="N226" s="7">
        <f t="shared" si="96"/>
        <v>7.5666666752658784</v>
      </c>
      <c r="O226" s="7"/>
      <c r="P226" s="7"/>
      <c r="Q226" s="22"/>
      <c r="R226" s="170"/>
      <c r="S226" s="213">
        <f t="shared" si="80"/>
        <v>1</v>
      </c>
      <c r="T226" s="195" t="str">
        <f t="shared" si="83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84"/>
        <v>https://d0f6bd738d7f1b3e5a7ca70fe4ff75f0.us-east-1.aws.found.io/app/kibana#/discover/Steve-Slow-Train-Analysis-(2080s-and-2083s)?_g=(refreshInterval:(display:Off,pause:!f,section:0,value:0),time:(from:'2017-07-11T14:18:56-0600',mode:absolute,to:'2017-07-11T16:29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197" t="str">
        <f>IF(AA226&lt;VLOOKUP(AG226,Variables!$AC$3:$AD$8,2,FALSE),"Y","N")</f>
        <v>Y</v>
      </c>
      <c r="X226" s="197">
        <f t="shared" si="91"/>
        <v>1</v>
      </c>
      <c r="Y226" s="197">
        <f t="shared" si="97"/>
        <v>2.3372000000000002</v>
      </c>
      <c r="Z226" s="197">
        <f t="shared" si="98"/>
        <v>7.0999999999999994E-2</v>
      </c>
      <c r="AA226" s="197">
        <f t="shared" si="85"/>
        <v>2.2662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6"/>
        <v>904</v>
      </c>
      <c r="AE226" s="77" t="str">
        <f t="shared" si="87"/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AF226" s="74" t="str">
        <f t="shared" si="88"/>
        <v>"C:\Program Files (x86)\AstroGrep\AstroGrep.exe" /e /r /s /spath="%USERPROFILE%\AppData\Local\Temp\OnboardLogs" /stypes="app*4061*20170711*" /stext=" 21:.+((SYSTEM_STATE.+slice.+state.+changed )|(ment ac)|(multiple cpu faults)|(system.+state.+changed )|(\[timeout)|(PRM\|1\|D)|(kpr)|(kdp)|(train st.+moving)|(\|lc)|(penalty))"</v>
      </c>
      <c r="AG226" s="209" t="str">
        <f t="shared" si="89"/>
        <v>Other</v>
      </c>
      <c r="AH226" s="78" t="str">
        <f t="shared" si="92"/>
        <v>"%USERPROFILE%\Documents\GitHub\eaglep3\Utilities\RefineRTDCRunTimes.py" --tripid 904-11 --locoid 4061 --swversion DE.1.0.9.0 --startMP 300:23372 --initTime 2017-07-11T15:18:56 --startdatetime 2017-07-11T15:21:54 --delay 2 --endMP 204:710 --enddatetime 2017-07-11T15:29:28 --enforcementcount 0 &gt;&gt;C:\Users\stu\Documents\GitHub\eaglep3-reporting\EC\2017-07-11-refined-times.txt</v>
      </c>
      <c r="AI226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{"issue":{"subject":"","project_id":79,"tracker_id":40,"status_id":1,"priority_id":2,"assigned_to_id":23,"start_date":"2017-07-11","description":"","custom_fields":[{"id":1,"name":"Subdivision","value":"Other"},{"id":4,"name":"Milepost","value":"0.071"},{"id":17,"name":"Train ID","value":"904-11"},{"id":16,"name":"Locomotive ID","value":"4061"},{"id":130,"name":"Impact","value":""},{"id":150,"name":"Time of Event (Mountain Time)","value":"15:29:28"},{"id":151,"name":"Denver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94"/>
        <v>start /low /b %USERPROFILE%\Documents\GitHub\eaglep3\Utilities\DownloadLogsFromS3.py --loco 4061 --day 2017-07-11</v>
      </c>
      <c r="AN226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21:29:28"},{"id":29,"name":"Sharepoint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786</v>
      </c>
      <c r="B227" s="7">
        <v>4061</v>
      </c>
      <c r="C227" s="21" t="s">
        <v>199</v>
      </c>
      <c r="D227" s="21" t="s">
        <v>1003</v>
      </c>
      <c r="E227" s="13">
        <v>42927.798310185186</v>
      </c>
      <c r="F227" s="13">
        <v>42927.802083333336</v>
      </c>
      <c r="G227" s="7">
        <v>4</v>
      </c>
      <c r="H227" s="21" t="s">
        <v>1004</v>
      </c>
      <c r="I227" s="13">
        <v>42927.808946759258</v>
      </c>
      <c r="J227" s="7">
        <v>0</v>
      </c>
      <c r="K227" s="89" t="str">
        <f t="shared" si="81"/>
        <v>4061/4062</v>
      </c>
      <c r="L227" s="21" t="str">
        <f>VLOOKUP(A227,'Trips&amp;Operators'!$C$1:$G$99999,5,FALSE)</f>
        <v>ELBAUM MIKE</v>
      </c>
      <c r="M227" s="6">
        <f t="shared" si="82"/>
        <v>6.8634259223472327E-3</v>
      </c>
      <c r="N227" s="7">
        <f t="shared" si="96"/>
        <v>9.8833333281800151</v>
      </c>
      <c r="O227" s="7"/>
      <c r="P227" s="7"/>
      <c r="Q227" s="22"/>
      <c r="R227" s="170"/>
      <c r="S227" s="213">
        <f t="shared" ref="S227:S241" si="99">SUM(U227:U227)/IF(AG227="EC",12,1)</f>
        <v>0</v>
      </c>
      <c r="T227" s="195" t="str">
        <f t="shared" si="83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84"/>
        <v>https://d0f6bd738d7f1b3e5a7ca70fe4ff75f0.us-east-1.aws.found.io/app/kibana#/discover/Steve-Slow-Train-Analysis-(2080s-and-2083s)?_g=(refreshInterval:(display:Off,pause:!f,section:0,value:0),time:(from:'2017-07-11T18:09:34-0600',mode:absolute,to:'2017-07-11T20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197" t="str">
        <f>IF(AA227&lt;VLOOKUP(AG227,Variables!$AC$3:$AD$8,2,FALSE),"Y","N")</f>
        <v>Y</v>
      </c>
      <c r="X227" s="197">
        <f t="shared" si="91"/>
        <v>2</v>
      </c>
      <c r="Y227" s="197">
        <f t="shared" si="97"/>
        <v>5.8582999999999998</v>
      </c>
      <c r="Z227" s="197">
        <f t="shared" si="98"/>
        <v>2.8786</v>
      </c>
      <c r="AA227" s="197">
        <f t="shared" si="85"/>
        <v>2.9796999999999998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6"/>
        <v>906</v>
      </c>
      <c r="AE227" s="77" t="str">
        <f t="shared" si="87"/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AF227" s="74" t="str">
        <f t="shared" si="88"/>
        <v>"C:\Program Files (x86)\AstroGrep\AstroGrep.exe" /e /r /s /spath="%USERPROFILE%\AppData\Local\Temp\OnboardLogs" /stypes="app*4061*20170712*" /stext=" 01:.+((SYSTEM_STATE.+slice.+state.+changed )|(ment ac)|(multiple cpu faults)|(system.+state.+changed )|(\[timeout)|(PRM\|1\|D)|(kpr)|(kdp)|(train st.+moving)|(\|lc)|(penalty))"</v>
      </c>
      <c r="AG227" s="209" t="str">
        <f t="shared" si="89"/>
        <v>Other</v>
      </c>
      <c r="AH227" s="78" t="str">
        <f t="shared" si="92"/>
        <v>"%USERPROFILE%\Documents\GitHub\eaglep3\Utilities\RefineRTDCRunTimes.py" --tripid 906-11 --locoid 4061 --swversion DE.1.0.9.0 --startMP 300:58583 --initTime 2017-07-11T19:09:34 --startdatetime 2017-07-11T19:15:00 --delay 4 --endMP 300:28786 --enddatetime 2017-07-11T19:24:53 --enforcementcount 0 &gt;&gt;C:\Users\stu\Documents\GitHub\eaglep3-reporting\EC\2017-07-11-refined-times.txt</v>
      </c>
      <c r="AI227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{"issue":{"subject":"","project_id":79,"tracker_id":40,"status_id":1,"priority_id":2,"assigned_to_id":23,"start_date":"2017-07-11","description":"","custom_fields":[{"id":1,"name":"Subdivision","value":"Other"},{"id":4,"name":"Milepost","value":"2.8786"},{"id":17,"name":"Train ID","value":"906-11"},{"id":16,"name":"Locomotive ID","value":"4061"},{"id":130,"name":"Impact","value":""},{"id":150,"name":"Time of Event (Mountain Time)","value":"19:24:53"},{"id":151,"name":"Denver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94"/>
        <v>start /low /b %USERPROFILE%\Documents\GitHub\eaglep3\Utilities\DownloadLogsFromS3.py --loco 4061 --day 2017-07-11</v>
      </c>
      <c r="AN227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01:24:53"},{"id":29,"name":"Sharepoint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806</v>
      </c>
      <c r="B228" s="7">
        <v>4023</v>
      </c>
      <c r="C228" s="21" t="s">
        <v>199</v>
      </c>
      <c r="D228" s="21" t="s">
        <v>441</v>
      </c>
      <c r="E228" s="13">
        <v>42927.942118055558</v>
      </c>
      <c r="F228" s="13">
        <v>42927.943668981483</v>
      </c>
      <c r="G228" s="7">
        <v>1</v>
      </c>
      <c r="H228" s="21" t="s">
        <v>1004</v>
      </c>
      <c r="I228" s="13">
        <v>42927.950115740743</v>
      </c>
      <c r="J228" s="7">
        <v>0</v>
      </c>
      <c r="K228" s="89" t="str">
        <f t="shared" si="81"/>
        <v>4023/4024</v>
      </c>
      <c r="L228" s="21" t="str">
        <f>VLOOKUP(A228,'Trips&amp;Operators'!$C$1:$G$99999,5,FALSE)</f>
        <v>ELBAUM MIKE</v>
      </c>
      <c r="M228" s="6">
        <f t="shared" si="82"/>
        <v>6.4467592601431534E-3</v>
      </c>
      <c r="N228" s="7">
        <f t="shared" si="96"/>
        <v>9.2833333346061409</v>
      </c>
      <c r="O228" s="7"/>
      <c r="P228" s="7"/>
      <c r="Q228" s="22"/>
      <c r="R228" s="170"/>
      <c r="S228" s="213">
        <f t="shared" si="99"/>
        <v>0</v>
      </c>
      <c r="T228" s="195" t="str">
        <f t="shared" si="83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84"/>
        <v>https://d0f6bd738d7f1b3e5a7ca70fe4ff75f0.us-east-1.aws.found.io/app/kibana#/discover/Steve-Slow-Train-Analysis-(2080s-and-2083s)?_g=(refreshInterval:(display:Off,pause:!f,section:0,value:0),time:(from:'2017-07-11T21:36:39-0600',mode:absolute,to:'2017-07-11T23:48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8" s="197" t="str">
        <f>IF(AA228&lt;VLOOKUP(AG228,Variables!$AC$3:$AD$8,2,FALSE),"Y","N")</f>
        <v>Y</v>
      </c>
      <c r="X228" s="197">
        <f t="shared" si="91"/>
        <v>2</v>
      </c>
      <c r="Y228" s="197">
        <f t="shared" si="97"/>
        <v>5.8628</v>
      </c>
      <c r="Z228" s="197">
        <f t="shared" si="98"/>
        <v>2.8786</v>
      </c>
      <c r="AA228" s="197">
        <f t="shared" si="85"/>
        <v>2.9842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6"/>
        <v>908</v>
      </c>
      <c r="AE228" s="77" t="str">
        <f t="shared" si="87"/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AF228" s="74" t="str">
        <f t="shared" si="88"/>
        <v>"C:\Program Files (x86)\AstroGrep\AstroGrep.exe" /e /r /s /spath="%USERPROFILE%\AppData\Local\Temp\OnboardLogs" /stypes="app*4023*20170712*" /stext=" 04:.+((SYSTEM_STATE.+slice.+state.+changed )|(ment ac)|(multiple cpu faults)|(system.+state.+changed )|(\[timeout)|(PRM\|1\|D)|(kpr)|(kdp)|(train st.+moving)|(\|lc)|(penalty))"</v>
      </c>
      <c r="AG228" s="209" t="str">
        <f t="shared" si="89"/>
        <v>Other</v>
      </c>
      <c r="AH228" s="78" t="str">
        <f t="shared" si="92"/>
        <v>"%USERPROFILE%\Documents\GitHub\eaglep3\Utilities\RefineRTDCRunTimes.py" --tripid 908-11 --locoid 4023 --swversion DE.1.0.9.0 --startMP 300:58628 --initTime 2017-07-11T22:36:39 --startdatetime 2017-07-11T22:38:53 --delay 1 --endMP 300:28786 --enddatetime 2017-07-11T22:48:10 --enforcementcount 0 &gt;&gt;C:\Users\stu\Documents\GitHub\eaglep3-reporting\EC\2017-07-11-refined-times.txt</v>
      </c>
      <c r="AI228" s="96" t="str">
        <f t="shared" si="93"/>
        <v>echo {"issue":{"subject":"","project_id":79,"tracker_id":40,"status_id":1,"priority_id":2,"assigned_to_id":23,"start_date":"2017-07-11","description":"","custom_fields":[{"id":1,"name":"Subdivision","value":"Other"},{"id":4,"name":"Milepost","value":"2.8786"},{"id":17,"name":"Train ID","value":"908-11"},{"id":16,"name":"Locomotive ID","value":"4023"},{"id":130,"name":"Impact","value":""},{"id":150,"name":"Time of Event (Mountain Time)","value":"22:48:10"},{"id":151,"name":"Denver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4"/>
        <v>start /low /b %USERPROFILE%\Documents\GitHub\eaglep3\Utilities\DownloadLogsFromS3.py --loco 4023 --day 2017-07-11</v>
      </c>
      <c r="AN228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04:48:10"},{"id":29,"name":"Sharepoint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581</v>
      </c>
      <c r="B229" s="7">
        <v>4043</v>
      </c>
      <c r="C229" s="21" t="s">
        <v>199</v>
      </c>
      <c r="D229" s="21" t="s">
        <v>919</v>
      </c>
      <c r="E229" s="13">
        <v>42927.447106481479</v>
      </c>
      <c r="F229" s="13">
        <v>42927.480185185188</v>
      </c>
      <c r="G229" s="7">
        <v>6</v>
      </c>
      <c r="H229" s="21" t="s">
        <v>920</v>
      </c>
      <c r="I229" s="13">
        <v>42927.488541666666</v>
      </c>
      <c r="J229" s="7">
        <v>0</v>
      </c>
      <c r="K229" s="89" t="str">
        <f t="shared" si="81"/>
        <v>4043/4044</v>
      </c>
      <c r="L229" s="21" t="str">
        <f>VLOOKUP(A229,'Trips&amp;Operators'!$C$1:$G$99999,5,FALSE)</f>
        <v>ROBINSON KADDIBA</v>
      </c>
      <c r="M229" s="6">
        <f t="shared" si="82"/>
        <v>8.3564814776764251E-3</v>
      </c>
      <c r="N229" s="7">
        <f t="shared" si="96"/>
        <v>12.033333327854052</v>
      </c>
      <c r="O229" s="7"/>
      <c r="P229" s="7"/>
      <c r="Q229" s="22"/>
      <c r="R229" s="170"/>
      <c r="S229" s="213">
        <f t="shared" si="99"/>
        <v>0</v>
      </c>
      <c r="T229" s="195" t="str">
        <f t="shared" si="83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84"/>
        <v>https://d0f6bd738d7f1b3e5a7ca70fe4ff75f0.us-east-1.aws.found.io/app/kibana#/discover/Steve-Slow-Train-Analysis-(2080s-and-2083s)?_g=(refreshInterval:(display:Off,pause:!f,section:0,value:0),time:(from:'2017-07-11T09:43:50-0600',mode:absolute,to:'2017-07-11T12:43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197" t="str">
        <f>IF(AA229&lt;VLOOKUP(AG229,Variables!$AC$3:$AD$8,2,FALSE),"Y","N")</f>
        <v>Y</v>
      </c>
      <c r="X229" s="197">
        <f t="shared" si="91"/>
        <v>-857</v>
      </c>
      <c r="Y229" s="197">
        <f t="shared" si="97"/>
        <v>2.3572000000000002</v>
      </c>
      <c r="Z229" s="197">
        <f t="shared" si="98"/>
        <v>8.5800000000000001E-2</v>
      </c>
      <c r="AA229" s="197">
        <f t="shared" si="85"/>
        <v>2.2714000000000003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6"/>
        <v>51</v>
      </c>
      <c r="AE229" s="77" t="str">
        <f t="shared" si="87"/>
        <v>aws s3 cp s3://rtdc.mdm.uploadarchive.raw/RTDC4043/ "%USERPROFILE%\AppData\Local\Temp\OnboardLogs"\RTDC4043\2017-07-11 --exclude "*" --recursive --include "*20170711*" &amp; "%USERPROFILE%\Documents\GitHub\mrs-test-scripts\Headless Mode &amp; Sideloading\WalkAndUnGZ.bat" "%USERPROFILE%\AppData\Local\Temp\OnboardLogs"\RTDC4043\2017-07-11 &amp; aws s3 cp s3://rtdc.mdm.uploadarchive.raw/RTDC4043/ "%USERPROFILE%\AppData\Local\Temp\OnboardLogs"\RTDC4043\2017-07-12 --exclude "*" --recursive --include "*20170712*" &amp; "%USERPROFILE%\Documents\GitHub\mrs-test-scripts\Headless Mode &amp; Sideloading\WalkAndUnGZ.bat" "%USERPROFILE%\AppData\Local\Temp\OnboardLogs"\RTDC4043\2017-07-12</v>
      </c>
      <c r="AF229" s="74" t="str">
        <f t="shared" si="88"/>
        <v>"C:\Program Files (x86)\AstroGrep\AstroGrep.exe" /e /r /s /spath="%USERPROFILE%\AppData\Local\Temp\OnboardLogs" /stypes="app*4043*20170711*" /stext=" 17:.+((SYSTEM_STATE.+slice.+state.+changed )|(ment ac)|(multiple cpu faults)|(system.+state.+changed )|(\[timeout)|(PRM\|1\|D)|(kpr)|(kdp)|(train st.+moving)|(\|lc)|(penalty))"</v>
      </c>
      <c r="AG229" s="209" t="str">
        <f t="shared" si="89"/>
        <v>Shuttle/Test</v>
      </c>
      <c r="AH229" s="78" t="str">
        <f t="shared" si="92"/>
        <v>"%USERPROFILE%\Documents\GitHub\eaglep3\Utilities\RefineRTDCRunTimes.py" --tripid 51-11 --locoid 4043 --swversion DE.1.0.9.0 --startMP 300:23572 --initTime 2017-07-11T10:43:50 --startdatetime 2017-07-11T11:31:28 --delay 6 --endMP 204:858 --enddatetime 2017-07-11T11:43:30 --enforcementcount 0 &gt;&gt;C:\Users\stu\Documents\GitHub\eaglep3-reporting\EC\2017-07-11-refined-times.txt</v>
      </c>
      <c r="AI229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0.0858"},{"id":17,"name":"Train ID","value":"51-11"},{"id":16,"name":"Locomotive ID","value":"4043"},{"id":130,"name":"Impact","value":""},{"id":150,"name":"Time of Event (Mountain Time)","value":"11:43:30"},{"id":151,"name":"Denver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94"/>
        <v>start /low /b %USERPROFILE%\Documents\GitHub\eaglep3\Utilities\DownloadLogsFromS3.py --loco 4043 --day 2017-07-11</v>
      </c>
      <c r="AN229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17:43:30"},{"id":29,"name":"Sharepoint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581</v>
      </c>
      <c r="B230" s="7">
        <v>4044</v>
      </c>
      <c r="C230" s="21" t="s">
        <v>199</v>
      </c>
      <c r="D230" s="21" t="s">
        <v>921</v>
      </c>
      <c r="E230" s="13">
        <v>42927.478078703702</v>
      </c>
      <c r="F230" s="13">
        <v>42927.480185185188</v>
      </c>
      <c r="G230" s="7">
        <v>1</v>
      </c>
      <c r="H230" s="21" t="s">
        <v>922</v>
      </c>
      <c r="I230" s="13">
        <v>42927.488541666666</v>
      </c>
      <c r="J230" s="7">
        <v>0</v>
      </c>
      <c r="K230" s="89" t="str">
        <f t="shared" si="81"/>
        <v>4043/4044</v>
      </c>
      <c r="L230" s="21" t="str">
        <f>VLOOKUP(A230,'Trips&amp;Operators'!$C$1:$G$99999,5,FALSE)</f>
        <v>ROBINSON KADDIBA</v>
      </c>
      <c r="M230" s="6">
        <f t="shared" si="82"/>
        <v>8.3564814776764251E-3</v>
      </c>
      <c r="N230" s="7">
        <f t="shared" si="96"/>
        <v>12.033333327854052</v>
      </c>
      <c r="O230" s="7"/>
      <c r="P230" s="7"/>
      <c r="Q230" s="22"/>
      <c r="R230" s="170"/>
      <c r="S230" s="213">
        <f t="shared" si="99"/>
        <v>1</v>
      </c>
      <c r="T230" s="195" t="str">
        <f t="shared" si="83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84"/>
        <v>https://d0f6bd738d7f1b3e5a7ca70fe4ff75f0.us-east-1.aws.found.io/app/kibana#/discover/Steve-Slow-Train-Analysis-(2080s-and-2083s)?_g=(refreshInterval:(display:Off,pause:!f,section:0,value:0),time:(from:'2017-07-11T10:28:26-0600',mode:absolute,to:'2017-07-11T12:43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0" s="197" t="str">
        <f>IF(AA230&lt;VLOOKUP(AG230,Variables!$AC$3:$AD$8,2,FALSE),"Y","N")</f>
        <v>Y</v>
      </c>
      <c r="X230" s="197">
        <f t="shared" si="91"/>
        <v>0</v>
      </c>
      <c r="Y230" s="197">
        <f t="shared" si="97"/>
        <v>0.1168</v>
      </c>
      <c r="Z230" s="197">
        <f t="shared" si="98"/>
        <v>2.4214000000000002</v>
      </c>
      <c r="AA230" s="197">
        <f t="shared" si="85"/>
        <v>2.3046000000000002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6"/>
        <v>51</v>
      </c>
      <c r="AE230" s="77" t="str">
        <f t="shared" si="87"/>
        <v>aws s3 cp s3://rtdc.mdm.uploadarchive.raw/RTDC4044/ "%USERPROFILE%\AppData\Local\Temp\OnboardLogs"\RTDC4044\2017-07-11 --exclude "*" --recursive --include "*20170711*" &amp; "%USERPROFILE%\Documents\GitHub\mrs-test-scripts\Headless Mode &amp; Sideloading\WalkAndUnGZ.bat" "%USERPROFILE%\AppData\Local\Temp\OnboardLogs"\RTDC4044\2017-07-11 &amp; aws s3 cp s3://rtdc.mdm.uploadarchive.raw/RTDC4044/ "%USERPROFILE%\AppData\Local\Temp\OnboardLogs"\RTDC4044\2017-07-12 --exclude "*" --recursive --include "*20170712*" &amp; "%USERPROFILE%\Documents\GitHub\mrs-test-scripts\Headless Mode &amp; Sideloading\WalkAndUnGZ.bat" "%USERPROFILE%\AppData\Local\Temp\OnboardLogs"\RTDC4044\2017-07-12</v>
      </c>
      <c r="AF230" s="74" t="str">
        <f t="shared" si="88"/>
        <v>"C:\Program Files (x86)\AstroGrep\AstroGrep.exe" /e /r /s /spath="%USERPROFILE%\AppData\Local\Temp\OnboardLogs" /stypes="app*4044*20170711*" /stext=" 17:.+((SYSTEM_STATE.+slice.+state.+changed )|(ment ac)|(multiple cpu faults)|(system.+state.+changed )|(\[timeout)|(PRM\|1\|D)|(kpr)|(kdp)|(train st.+moving)|(\|lc)|(penalty))"</v>
      </c>
      <c r="AG230" s="209" t="str">
        <f t="shared" si="89"/>
        <v>Shuttle/Test</v>
      </c>
      <c r="AH230" s="78" t="str">
        <f t="shared" si="92"/>
        <v>"%USERPROFILE%\Documents\GitHub\eaglep3\Utilities\RefineRTDCRunTimes.py" --tripid 51-11 --locoid 4044 --swversion DE.1.0.9.0 --startMP 204:1168 --initTime 2017-07-11T11:28:26 --startdatetime 2017-07-11T11:31:28 --delay 1 --endMP 300:24214 --enddatetime 2017-07-11T11:43:30 --enforcementcount 0 &gt;&gt;C:\Users\stu\Documents\GitHub\eaglep3-reporting\EC\2017-07-11-refined-times.txt</v>
      </c>
      <c r="AI230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2.4214"},{"id":17,"name":"Train ID","value":"51-11"},{"id":16,"name":"Locomotive ID","value":"4044"},{"id":130,"name":"Impact","value":""},{"id":150,"name":"Time of Event (Mountain Time)","value":"11:43:30"},{"id":151,"name":"Denver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94"/>
        <v>start /low /b %USERPROFILE%\Documents\GitHub\eaglep3\Utilities\DownloadLogsFromS3.py --loco 4044 --day 2017-07-11</v>
      </c>
      <c r="AN230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17:43:30"},{"id":29,"name":"Sharepoint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717</v>
      </c>
      <c r="B231" s="7">
        <v>4022</v>
      </c>
      <c r="C231" s="21" t="s">
        <v>199</v>
      </c>
      <c r="D231" s="21" t="s">
        <v>923</v>
      </c>
      <c r="E231" s="13">
        <v>42927.493148148147</v>
      </c>
      <c r="F231" s="13">
        <v>42927.550439814811</v>
      </c>
      <c r="G231" s="7">
        <v>1</v>
      </c>
      <c r="H231" s="21" t="s">
        <v>924</v>
      </c>
      <c r="I231" s="13">
        <v>42927.580949074072</v>
      </c>
      <c r="J231" s="7">
        <v>0</v>
      </c>
      <c r="K231" s="89" t="str">
        <f t="shared" si="81"/>
        <v>4021/4022</v>
      </c>
      <c r="L231" s="21" t="str">
        <f>VLOOKUP(A231,'Trips&amp;Operators'!$C$1:$G$99999,5,FALSE)</f>
        <v>MOSES BRADLEY</v>
      </c>
      <c r="M231" s="6">
        <f t="shared" si="82"/>
        <v>3.050925926072523E-2</v>
      </c>
      <c r="N231" s="7">
        <f t="shared" si="96"/>
        <v>43.933333335444331</v>
      </c>
      <c r="O231" s="7"/>
      <c r="P231" s="7"/>
      <c r="Q231" s="22"/>
      <c r="R231" s="170"/>
      <c r="S231" s="213">
        <f t="shared" si="99"/>
        <v>0</v>
      </c>
      <c r="T231" s="195" t="str">
        <f t="shared" si="83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84"/>
        <v>https://d0f6bd738d7f1b3e5a7ca70fe4ff75f0.us-east-1.aws.found.io/app/kibana#/discover/Steve-Slow-Train-Analysis-(2080s-and-2083s)?_g=(refreshInterval:(display:Off,pause:!f,section:0,value:0),time:(from:'2017-07-11T10:50:08-0600',mode:absolute,to:'2017-07-11T14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1" s="197" t="str">
        <f>IF(AA231&lt;VLOOKUP(AG231,Variables!$AC$3:$AD$8,2,FALSE),"Y","N")</f>
        <v>Y</v>
      </c>
      <c r="X231" s="197">
        <f t="shared" si="91"/>
        <v>2</v>
      </c>
      <c r="Y231" s="197">
        <f t="shared" si="97"/>
        <v>0.1484</v>
      </c>
      <c r="Z231" s="197">
        <f t="shared" si="98"/>
        <v>0.35320000000000001</v>
      </c>
      <c r="AA231" s="197">
        <f t="shared" si="85"/>
        <v>0.20480000000000001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6"/>
        <v>53</v>
      </c>
      <c r="AE231" s="77" t="str">
        <f t="shared" si="87"/>
        <v>aws s3 cp s3://rtdc.mdm.uploadarchive.raw/RTDC4022/ "%USERPROFILE%\AppData\Local\Temp\OnboardLogs"\RTDC4022\2017-07-11 --exclude "*" --recursive --include "*20170711*" &amp; "%USERPROFILE%\Documents\GitHub\mrs-test-scripts\Headless Mode &amp; Sideloading\WalkAndUnGZ.bat" "%USERPROFILE%\AppData\Local\Temp\OnboardLogs"\RTDC4022\2017-07-11 &amp; aws s3 cp s3://rtdc.mdm.uploadarchive.raw/RTDC4022/ "%USERPROFILE%\AppData\Local\Temp\OnboardLogs"\RTDC4022\2017-07-12 --exclude "*" --recursive --include "*20170712*" &amp; "%USERPROFILE%\Documents\GitHub\mrs-test-scripts\Headless Mode &amp; Sideloading\WalkAndUnGZ.bat" "%USERPROFILE%\AppData\Local\Temp\OnboardLogs"\RTDC4022\2017-07-12</v>
      </c>
      <c r="AF231" s="74" t="str">
        <f t="shared" si="88"/>
        <v>"C:\Program Files (x86)\AstroGrep\AstroGrep.exe" /e /r /s /spath="%USERPROFILE%\AppData\Local\Temp\OnboardLogs" /stypes="app*4022*20170711*" /stext=" 19:.+((SYSTEM_STATE.+slice.+state.+changed )|(ment ac)|(multiple cpu faults)|(system.+state.+changed )|(\[timeout)|(PRM\|1\|D)|(kpr)|(kdp)|(train st.+moving)|(\|lc)|(penalty))"</v>
      </c>
      <c r="AG231" s="209" t="str">
        <f t="shared" si="89"/>
        <v>Shuttle/Test</v>
      </c>
      <c r="AH231" s="78" t="str">
        <f t="shared" si="92"/>
        <v>"%USERPROFILE%\Documents\GitHub\eaglep3\Utilities\RefineRTDCRunTimes.py" --tripid 53-11 --locoid 4022 --swversion DE.1.0.9.0 --startMP 204:1484 --initTime 2017-07-11T11:50:08 --startdatetime 2017-07-11T13:12:38 --delay 1 --endMP 204:3532 --enddatetime 2017-07-11T13:56:34 --enforcementcount 0 &gt;&gt;C:\Users\stu\Documents\GitHub\eaglep3-reporting\EC\2017-07-11-refined-times.txt</v>
      </c>
      <c r="AI231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0.3532"},{"id":17,"name":"Train ID","value":"53-11"},{"id":16,"name":"Locomotive ID","value":"4022"},{"id":130,"name":"Impact","value":""},{"id":150,"name":"Time of Event (Mountain Time)","value":"13:56:34"},{"id":151,"name":"Denver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94"/>
        <v>start /low /b %USERPROFILE%\Documents\GitHub\eaglep3\Utilities\DownloadLogsFromS3.py --loco 4022 --day 2017-07-11</v>
      </c>
      <c r="AN231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763</v>
      </c>
      <c r="B232" s="7">
        <v>4044</v>
      </c>
      <c r="C232" s="21" t="s">
        <v>199</v>
      </c>
      <c r="D232" s="21" t="s">
        <v>428</v>
      </c>
      <c r="E232" s="13">
        <v>42927.711215277777</v>
      </c>
      <c r="F232" s="13">
        <v>42927.713252314818</v>
      </c>
      <c r="G232" s="7">
        <v>1</v>
      </c>
      <c r="H232" s="21" t="s">
        <v>568</v>
      </c>
      <c r="I232" s="13">
        <v>42927.720300925925</v>
      </c>
      <c r="J232" s="7">
        <v>0</v>
      </c>
      <c r="K232" s="89" t="str">
        <f t="shared" si="81"/>
        <v>4043/4044</v>
      </c>
      <c r="L232" s="21" t="str">
        <f>VLOOKUP(A232,'Trips&amp;Operators'!$C$1:$G$99999,5,FALSE)</f>
        <v>MOSES BRADLEY</v>
      </c>
      <c r="M232" s="6">
        <f t="shared" si="82"/>
        <v>7.0486111071659252E-3</v>
      </c>
      <c r="N232" s="7">
        <f t="shared" si="96"/>
        <v>10.149999994318932</v>
      </c>
      <c r="O232" s="7"/>
      <c r="P232" s="7"/>
      <c r="Q232" s="22"/>
      <c r="R232" s="170"/>
      <c r="S232" s="213">
        <f t="shared" si="99"/>
        <v>1</v>
      </c>
      <c r="T232" s="195" t="str">
        <f t="shared" si="83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84"/>
        <v>https://d0f6bd738d7f1b3e5a7ca70fe4ff75f0.us-east-1.aws.found.io/app/kibana#/discover/Steve-Slow-Train-Analysis-(2080s-and-2083s)?_g=(refreshInterval:(display:Off,pause:!f,section:0,value:0),time:(from:'2017-07-11T16:04:09-0600',mode:absolute,to:'2017-07-11T18:17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2" s="197" t="str">
        <f>IF(AA232&lt;VLOOKUP(AG232,Variables!$AC$3:$AD$8,2,FALSE),"Y","N")</f>
        <v>Y</v>
      </c>
      <c r="X232" s="197">
        <f t="shared" si="91"/>
        <v>2</v>
      </c>
      <c r="Y232" s="197">
        <f t="shared" si="97"/>
        <v>4.3700000000000003E-2</v>
      </c>
      <c r="Z232" s="197">
        <f t="shared" si="98"/>
        <v>2.3308</v>
      </c>
      <c r="AA232" s="197">
        <f t="shared" si="85"/>
        <v>2.2871000000000001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6"/>
        <v>55</v>
      </c>
      <c r="AE232" s="77" t="str">
        <f t="shared" si="87"/>
        <v>aws s3 cp s3://rtdc.mdm.uploadarchive.raw/RTDC4044/ "%USERPROFILE%\AppData\Local\Temp\OnboardLogs"\RTDC4044\2017-07-11 --exclude "*" --recursive --include "*20170711*" &amp; "%USERPROFILE%\Documents\GitHub\mrs-test-scripts\Headless Mode &amp; Sideloading\WalkAndUnGZ.bat" "%USERPROFILE%\AppData\Local\Temp\OnboardLogs"\RTDC4044\2017-07-11 &amp; aws s3 cp s3://rtdc.mdm.uploadarchive.raw/RTDC4044/ "%USERPROFILE%\AppData\Local\Temp\OnboardLogs"\RTDC4044\2017-07-12 --exclude "*" --recursive --include "*20170712*" &amp; "%USERPROFILE%\Documents\GitHub\mrs-test-scripts\Headless Mode &amp; Sideloading\WalkAndUnGZ.bat" "%USERPROFILE%\AppData\Local\Temp\OnboardLogs"\RTDC4044\2017-07-12</v>
      </c>
      <c r="AF232" s="74" t="str">
        <f t="shared" si="88"/>
        <v>"C:\Program Files (x86)\AstroGrep\AstroGrep.exe" /e /r /s /spath="%USERPROFILE%\AppData\Local\Temp\OnboardLogs" /stypes="app*4044*20170711*" /stext=" 23:.+((SYSTEM_STATE.+slice.+state.+changed )|(ment ac)|(multiple cpu faults)|(system.+state.+changed )|(\[timeout)|(PRM\|1\|D)|(kpr)|(kdp)|(train st.+moving)|(\|lc)|(penalty))"</v>
      </c>
      <c r="AG232" s="209" t="str">
        <f t="shared" si="89"/>
        <v>Shuttle/Test</v>
      </c>
      <c r="AH232" s="78" t="str">
        <f t="shared" si="92"/>
        <v>"%USERPROFILE%\Documents\GitHub\eaglep3\Utilities\RefineRTDCRunTimes.py" --tripid 55-11 --locoid 4044 --swversion DE.1.0.9.0 --startMP 204:437 --initTime 2017-07-11T17:04:09 --startdatetime 2017-07-11T17:07:05 --delay 1 --endMP 300:23308 --enddatetime 2017-07-11T17:17:14 --enforcementcount 0 &gt;&gt;C:\Users\stu\Documents\GitHub\eaglep3-reporting\EC\2017-07-11-refined-times.txt</v>
      </c>
      <c r="AI232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2.3308"},{"id":17,"name":"Train ID","value":"55-11"},{"id":16,"name":"Locomotive ID","value":"4044"},{"id":130,"name":"Impact","value":""},{"id":150,"name":"Time of Event (Mountain Time)","value":"17:17:14"},{"id":151,"name":"Denver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94"/>
        <v>start /low /b %USERPROFILE%\Documents\GitHub\eaglep3\Utilities\DownloadLogsFromS3.py --loco 4044 --day 2017-07-11</v>
      </c>
      <c r="AN232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23:17:14"},{"id":29,"name":"Sharepoint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s="20" customFormat="1" x14ac:dyDescent="0.25">
      <c r="A233" s="32" t="s">
        <v>719</v>
      </c>
      <c r="B233" s="7">
        <v>4043</v>
      </c>
      <c r="C233" s="21" t="s">
        <v>199</v>
      </c>
      <c r="D233" s="21" t="s">
        <v>925</v>
      </c>
      <c r="E233" s="13">
        <v>42927.503935185188</v>
      </c>
      <c r="F233" s="13">
        <v>42927.509386574071</v>
      </c>
      <c r="G233" s="7">
        <v>7</v>
      </c>
      <c r="H233" s="21" t="s">
        <v>926</v>
      </c>
      <c r="I233" s="13">
        <v>42927.514837962961</v>
      </c>
      <c r="J233" s="7">
        <v>0</v>
      </c>
      <c r="K233" s="89" t="str">
        <f t="shared" si="81"/>
        <v>4043/4044</v>
      </c>
      <c r="L233" s="21" t="str">
        <f>VLOOKUP(A233,'Trips&amp;Operators'!$C$1:$G$99999,5,FALSE)</f>
        <v>MCREYNOLDS KYLE</v>
      </c>
      <c r="M233" s="6">
        <f t="shared" si="82"/>
        <v>5.4513888899236917E-3</v>
      </c>
      <c r="N233" s="7">
        <f t="shared" si="96"/>
        <v>7.8500000014901161</v>
      </c>
      <c r="O233" s="7"/>
      <c r="P233" s="7"/>
      <c r="Q233" s="22"/>
      <c r="R233" s="170"/>
      <c r="S233" s="213">
        <f t="shared" si="99"/>
        <v>1</v>
      </c>
      <c r="T233" s="195" t="str">
        <f t="shared" si="83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84"/>
        <v>https://d0f6bd738d7f1b3e5a7ca70fe4ff75f0.us-east-1.aws.found.io/app/kibana#/discover/Steve-Slow-Train-Analysis-(2080s-and-2083s)?_g=(refreshInterval:(display:Off,pause:!f,section:0,value:0),time:(from:'2017-07-11T11:05:40-0600',mode:absolute,to:'2017-07-11T13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3" s="197" t="str">
        <f>IF(AA233&lt;VLOOKUP(AG233,Variables!$AC$3:$AD$8,2,FALSE),"Y","N")</f>
        <v>Y</v>
      </c>
      <c r="X233" s="197">
        <f t="shared" si="91"/>
        <v>1</v>
      </c>
      <c r="Y233" s="197">
        <f t="shared" si="97"/>
        <v>2.3589000000000002</v>
      </c>
      <c r="Z233" s="197">
        <f t="shared" si="98"/>
        <v>1.46E-2</v>
      </c>
      <c r="AA233" s="197">
        <f t="shared" si="85"/>
        <v>2.3443000000000001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6"/>
        <v>56</v>
      </c>
      <c r="AE233" s="77" t="str">
        <f t="shared" si="87"/>
        <v>aws s3 cp s3://rtdc.mdm.uploadarchive.raw/RTDC4043/ "%USERPROFILE%\AppData\Local\Temp\OnboardLogs"\RTDC4043\2017-07-11 --exclude "*" --recursive --include "*20170711*" &amp; "%USERPROFILE%\Documents\GitHub\mrs-test-scripts\Headless Mode &amp; Sideloading\WalkAndUnGZ.bat" "%USERPROFILE%\AppData\Local\Temp\OnboardLogs"\RTDC4043\2017-07-11 &amp; aws s3 cp s3://rtdc.mdm.uploadarchive.raw/RTDC4043/ "%USERPROFILE%\AppData\Local\Temp\OnboardLogs"\RTDC4043\2017-07-12 --exclude "*" --recursive --include "*20170712*" &amp; "%USERPROFILE%\Documents\GitHub\mrs-test-scripts\Headless Mode &amp; Sideloading\WalkAndUnGZ.bat" "%USERPROFILE%\AppData\Local\Temp\OnboardLogs"\RTDC4043\2017-07-12</v>
      </c>
      <c r="AF233" s="74" t="str">
        <f t="shared" si="88"/>
        <v>"C:\Program Files (x86)\AstroGrep\AstroGrep.exe" /e /r /s /spath="%USERPROFILE%\AppData\Local\Temp\OnboardLogs" /stypes="app*4043*20170711*" /stext=" 18:.+((SYSTEM_STATE.+slice.+state.+changed )|(ment ac)|(multiple cpu faults)|(system.+state.+changed )|(\[timeout)|(PRM\|1\|D)|(kpr)|(kdp)|(train st.+moving)|(\|lc)|(penalty))"</v>
      </c>
      <c r="AG233" s="209" t="str">
        <f t="shared" si="89"/>
        <v>Shuttle/Test</v>
      </c>
      <c r="AH233" s="78" t="str">
        <f t="shared" si="92"/>
        <v>"%USERPROFILE%\Documents\GitHub\eaglep3\Utilities\RefineRTDCRunTimes.py" --tripid 56-11 --locoid 4043 --swversion DE.1.0.9.0 --startMP 300:23589 --initTime 2017-07-11T12:05:40 --startdatetime 2017-07-11T12:13:31 --delay 7 --endMP 204:146 --enddatetime 2017-07-11T12:21:22 --enforcementcount 0 &gt;&gt;C:\Users\stu\Documents\GitHub\eaglep3-reporting\EC\2017-07-11-refined-times.txt</v>
      </c>
      <c r="AI233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0.0146"},{"id":17,"name":"Train ID","value":"56-11"},{"id":16,"name":"Locomotive ID","value":"4043"},{"id":130,"name":"Impact","value":""},{"id":150,"name":"Time of Event (Mountain Time)","value":"12:21:22"},{"id":151,"name":"Denver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94"/>
        <v>start /low /b %USERPROFILE%\Documents\GitHub\eaglep3\Utilities\DownloadLogsFromS3.py --loco 4043 --day 2017-07-11</v>
      </c>
      <c r="AN233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18:21:22"},{"id":29,"name":"Sharepoint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726</v>
      </c>
      <c r="B234" s="7">
        <v>4020</v>
      </c>
      <c r="C234" s="21" t="s">
        <v>199</v>
      </c>
      <c r="D234" s="21" t="s">
        <v>927</v>
      </c>
      <c r="E234" s="13">
        <v>42927.536805555559</v>
      </c>
      <c r="F234" s="13">
        <v>42927.543437499997</v>
      </c>
      <c r="G234" s="7">
        <v>2</v>
      </c>
      <c r="H234" s="21" t="s">
        <v>928</v>
      </c>
      <c r="I234" s="13">
        <v>42927.551307870373</v>
      </c>
      <c r="J234" s="7">
        <v>0</v>
      </c>
      <c r="K234" s="89" t="str">
        <f t="shared" si="81"/>
        <v>4019/4020</v>
      </c>
      <c r="L234" s="21" t="str">
        <f>VLOOKUP(A234,'Trips&amp;Operators'!$C$1:$G$99999,5,FALSE)</f>
        <v>ANDERS STEVEN</v>
      </c>
      <c r="M234" s="6">
        <f t="shared" si="82"/>
        <v>7.8703703766223043E-3</v>
      </c>
      <c r="N234" s="7">
        <f t="shared" si="96"/>
        <v>11.333333342336118</v>
      </c>
      <c r="O234" s="7"/>
      <c r="P234" s="7"/>
      <c r="Q234" s="22"/>
      <c r="R234" s="170"/>
      <c r="S234" s="213">
        <f t="shared" si="99"/>
        <v>1</v>
      </c>
      <c r="T234" s="195" t="str">
        <f t="shared" si="83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84"/>
        <v>https://d0f6bd738d7f1b3e5a7ca70fe4ff75f0.us-east-1.aws.found.io/app/kibana#/discover/Steve-Slow-Train-Analysis-(2080s-and-2083s)?_g=(refreshInterval:(display:Off,pause:!f,section:0,value:0),time:(from:'2017-07-11T11:53:00-0600',mode:absolute,to:'2017-07-11T14:13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4" s="197" t="str">
        <f>IF(AA234&lt;VLOOKUP(AG234,Variables!$AC$3:$AD$8,2,FALSE),"Y","N")</f>
        <v>Y</v>
      </c>
      <c r="X234" s="197">
        <f t="shared" si="91"/>
        <v>1</v>
      </c>
      <c r="Y234" s="197">
        <f t="shared" si="97"/>
        <v>0.1201</v>
      </c>
      <c r="Z234" s="197">
        <f t="shared" si="98"/>
        <v>2.3311999999999999</v>
      </c>
      <c r="AA234" s="197">
        <f t="shared" si="85"/>
        <v>2.2111000000000001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6"/>
        <v>57</v>
      </c>
      <c r="AE234" s="77" t="str">
        <f t="shared" si="87"/>
        <v>aws s3 cp s3://rtdc.mdm.uploadarchive.raw/RTDC4020/ "%USERPROFILE%\AppData\Local\Temp\OnboardLogs"\RTDC4020\2017-07-11 --exclude "*" --recursive --include "*20170711*" &amp; "%USERPROFILE%\Documents\GitHub\mrs-test-scripts\Headless Mode &amp; Sideloading\WalkAndUnGZ.bat" "%USERPROFILE%\AppData\Local\Temp\OnboardLogs"\RTDC4020\2017-07-11 &amp; aws s3 cp s3://rtdc.mdm.uploadarchive.raw/RTDC4020/ "%USERPROFILE%\AppData\Local\Temp\OnboardLogs"\RTDC4020\2017-07-12 --exclude "*" --recursive --include "*20170712*" &amp; "%USERPROFILE%\Documents\GitHub\mrs-test-scripts\Headless Mode &amp; Sideloading\WalkAndUnGZ.bat" "%USERPROFILE%\AppData\Local\Temp\OnboardLogs"\RTDC4020\2017-07-12</v>
      </c>
      <c r="AF234" s="74" t="str">
        <f t="shared" si="88"/>
        <v>"C:\Program Files (x86)\AstroGrep\AstroGrep.exe" /e /r /s /spath="%USERPROFILE%\AppData\Local\Temp\OnboardLogs" /stypes="app*4020*20170711*" /stext=" 19:.+((SYSTEM_STATE.+slice.+state.+changed )|(ment ac)|(multiple cpu faults)|(system.+state.+changed )|(\[timeout)|(PRM\|1\|D)|(kpr)|(kdp)|(train st.+moving)|(\|lc)|(penalty))"</v>
      </c>
      <c r="AG234" s="209" t="str">
        <f t="shared" si="89"/>
        <v>Shuttle/Test</v>
      </c>
      <c r="AH234" s="78" t="str">
        <f t="shared" si="92"/>
        <v>"%USERPROFILE%\Documents\GitHub\eaglep3\Utilities\RefineRTDCRunTimes.py" --tripid 57-11 --locoid 4020 --swversion DE.1.0.9.0 --startMP 204:1201 --initTime 2017-07-11T12:53:00 --startdatetime 2017-07-11T13:02:33 --delay 2 --endMP 300:23312 --enddatetime 2017-07-11T13:13:53 --enforcementcount 0 &gt;&gt;C:\Users\stu\Documents\GitHub\eaglep3-reporting\EC\2017-07-11-refined-times.txt</v>
      </c>
      <c r="AI234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2.3312"},{"id":17,"name":"Train ID","value":"57-11"},{"id":16,"name":"Locomotive ID","value":"4020"},{"id":130,"name":"Impact","value":""},{"id":150,"name":"Time of Event (Mountain Time)","value":"13:13:53"},{"id":151,"name":"Denver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94"/>
        <v>start /low /b %USERPROFILE%\Documents\GitHub\eaglep3\Utilities\DownloadLogsFromS3.py --loco 4020 --day 2017-07-11</v>
      </c>
      <c r="AN234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19:13:53"},{"id":29,"name":"Sharepoint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617</v>
      </c>
      <c r="B235" s="7">
        <v>4022</v>
      </c>
      <c r="C235" s="21" t="s">
        <v>199</v>
      </c>
      <c r="D235" s="21" t="s">
        <v>433</v>
      </c>
      <c r="E235" s="13">
        <v>42927.128101851849</v>
      </c>
      <c r="F235" s="13">
        <v>42927.138657407406</v>
      </c>
      <c r="G235" s="7">
        <v>2</v>
      </c>
      <c r="H235" s="21" t="s">
        <v>929</v>
      </c>
      <c r="I235" s="13">
        <v>42927.13957175926</v>
      </c>
      <c r="J235" s="7">
        <v>0</v>
      </c>
      <c r="K235" s="89" t="str">
        <f t="shared" si="81"/>
        <v>4021/4022</v>
      </c>
      <c r="L235" s="21" t="str">
        <f>VLOOKUP(A235,'Trips&amp;Operators'!$C$1:$G$99999,5,FALSE)</f>
        <v>SPECTOR MICHAEL</v>
      </c>
      <c r="M235" s="6">
        <f t="shared" si="82"/>
        <v>9.1435185458976775E-4</v>
      </c>
      <c r="N235" s="7">
        <f t="shared" si="96"/>
        <v>1.3166666706092656</v>
      </c>
      <c r="O235" s="7"/>
      <c r="P235" s="7"/>
      <c r="Q235" s="22"/>
      <c r="R235" s="170"/>
      <c r="S235" s="213">
        <f t="shared" si="99"/>
        <v>0</v>
      </c>
      <c r="T235" s="195" t="str">
        <f t="shared" si="83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84"/>
        <v>https://d0f6bd738d7f1b3e5a7ca70fe4ff75f0.us-east-1.aws.found.io/app/kibana#/discover/Steve-Slow-Train-Analysis-(2080s-and-2083s)?_g=(refreshInterval:(display:Off,pause:!f,section:0,value:0),time:(from:'2017-07-11T02:04:28-0600',mode:absolute,to:'2017-07-11T04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197" t="str">
        <f>IF(AA235&lt;VLOOKUP(AG235,Variables!$AC$3:$AD$8,2,FALSE),"Y","N")</f>
        <v>Y</v>
      </c>
      <c r="X235" s="197">
        <f t="shared" si="91"/>
        <v>10</v>
      </c>
      <c r="Y235" s="197">
        <f t="shared" si="97"/>
        <v>4.3499999999999997E-2</v>
      </c>
      <c r="Z235" s="197">
        <f t="shared" si="98"/>
        <v>0.35339999999999999</v>
      </c>
      <c r="AA235" s="197">
        <f t="shared" si="85"/>
        <v>0.30990000000000001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6"/>
        <v>67</v>
      </c>
      <c r="AE235" s="77" t="str">
        <f t="shared" si="87"/>
        <v>aws s3 cp s3://rtdc.mdm.uploadarchive.raw/RTDC4022/ "%USERPROFILE%\AppData\Local\Temp\OnboardLogs"\RTDC4022\2017-07-11 --exclude "*" --recursive --include "*20170711*" &amp; "%USERPROFILE%\Documents\GitHub\mrs-test-scripts\Headless Mode &amp; Sideloading\WalkAndUnGZ.bat" "%USERPROFILE%\AppData\Local\Temp\OnboardLogs"\RTDC4022\2017-07-11 &amp; aws s3 cp s3://rtdc.mdm.uploadarchive.raw/RTDC4022/ "%USERPROFILE%\AppData\Local\Temp\OnboardLogs"\RTDC4022\2017-07-12 --exclude "*" --recursive --include "*20170712*" &amp; "%USERPROFILE%\Documents\GitHub\mrs-test-scripts\Headless Mode &amp; Sideloading\WalkAndUnGZ.bat" "%USERPROFILE%\AppData\Local\Temp\OnboardLogs"\RTDC4022\2017-07-12</v>
      </c>
      <c r="AF235" s="74" t="str">
        <f t="shared" si="88"/>
        <v>"C:\Program Files (x86)\AstroGrep\AstroGrep.exe" /e /r /s /spath="%USERPROFILE%\AppData\Local\Temp\OnboardLogs" /stypes="app*4022*20170711*" /stext=" 09:.+((SYSTEM_STATE.+slice.+state.+changed )|(ment ac)|(multiple cpu faults)|(system.+state.+changed )|(\[timeout)|(PRM\|1\|D)|(kpr)|(kdp)|(train st.+moving)|(\|lc)|(penalty))"</v>
      </c>
      <c r="AG235" s="209" t="str">
        <f t="shared" si="89"/>
        <v>Shuttle/Test</v>
      </c>
      <c r="AH235" s="78" t="str">
        <f t="shared" si="92"/>
        <v>"%USERPROFILE%\Documents\GitHub\eaglep3\Utilities\RefineRTDCRunTimes.py" --tripid 67-11 --locoid 4022 --swversion DE.1.0.9.0 --startMP 204:435 --initTime 2017-07-11T03:04:28 --startdatetime 2017-07-11T03:19:40 --delay 2 --endMP 204:3534 --enddatetime 2017-07-11T03:20:59 --enforcementcount 0 &gt;&gt;C:\Users\stu\Documents\GitHub\eaglep3-reporting\EC\2017-07-11-refined-times.txt</v>
      </c>
      <c r="AI235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0.3534"},{"id":17,"name":"Train ID","value":"67-11"},{"id":16,"name":"Locomotive ID","value":"4022"},{"id":130,"name":"Impact","value":""},{"id":150,"name":"Time of Event (Mountain Time)","value":"03:20:59"},{"id":151,"name":"Denver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94"/>
        <v>start /low /b %USERPROFILE%\Documents\GitHub\eaglep3\Utilities\DownloadLogsFromS3.py --loco 4022 --day 2017-07-11</v>
      </c>
      <c r="AN235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09:20:59"},{"id":29,"name":"Sharepoint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620</v>
      </c>
      <c r="B236" s="7">
        <v>4021</v>
      </c>
      <c r="C236" s="21" t="s">
        <v>199</v>
      </c>
      <c r="D236" s="21" t="s">
        <v>930</v>
      </c>
      <c r="E236" s="13">
        <v>42927.140613425923</v>
      </c>
      <c r="F236" s="13">
        <v>42927.142118055555</v>
      </c>
      <c r="G236" s="7">
        <v>1</v>
      </c>
      <c r="H236" s="21" t="s">
        <v>931</v>
      </c>
      <c r="I236" s="13">
        <v>42927.143194444441</v>
      </c>
      <c r="J236" s="7">
        <v>0</v>
      </c>
      <c r="K236" s="89" t="str">
        <f t="shared" si="81"/>
        <v>4021/4022</v>
      </c>
      <c r="L236" s="21" t="str">
        <f>VLOOKUP(A236,'Trips&amp;Operators'!$C$1:$G$99999,5,FALSE)</f>
        <v>SPECTOR MICHAEL</v>
      </c>
      <c r="M236" s="6">
        <f t="shared" si="82"/>
        <v>1.0763888858491555E-3</v>
      </c>
      <c r="N236" s="7">
        <f t="shared" si="96"/>
        <v>1.5499999956227839</v>
      </c>
      <c r="O236" s="7"/>
      <c r="P236" s="7"/>
      <c r="Q236" s="22"/>
      <c r="R236" s="170"/>
      <c r="S236" s="213">
        <f t="shared" si="99"/>
        <v>0</v>
      </c>
      <c r="T236" s="195" t="str">
        <f t="shared" si="83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84"/>
        <v>https://d0f6bd738d7f1b3e5a7ca70fe4ff75f0.us-east-1.aws.found.io/app/kibana#/discover/Steve-Slow-Train-Analysis-(2080s-and-2083s)?_g=(refreshInterval:(display:Off,pause:!f,section:0,value:0),time:(from:'2017-07-11T02:22:29-0600',mode:absolute,to:'2017-07-11T04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6" s="197" t="str">
        <f>IF(AA236&lt;VLOOKUP(AG236,Variables!$AC$3:$AD$8,2,FALSE),"Y","N")</f>
        <v>Y</v>
      </c>
      <c r="X236" s="197">
        <f t="shared" si="91"/>
        <v>1</v>
      </c>
      <c r="Y236" s="197">
        <f t="shared" si="97"/>
        <v>0.31929999999999997</v>
      </c>
      <c r="Z236" s="197">
        <f t="shared" si="98"/>
        <v>0.11650000000000001</v>
      </c>
      <c r="AA236" s="197">
        <f t="shared" si="85"/>
        <v>0.20279999999999998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6"/>
        <v>68</v>
      </c>
      <c r="AE236" s="77" t="str">
        <f t="shared" si="87"/>
        <v>aws s3 cp s3://rtdc.mdm.uploadarchive.raw/RTDC4021/ "%USERPROFILE%\AppData\Local\Temp\OnboardLogs"\RTDC4021\2017-07-11 --exclude "*" --recursive --include "*20170711*" &amp; "%USERPROFILE%\Documents\GitHub\mrs-test-scripts\Headless Mode &amp; Sideloading\WalkAndUnGZ.bat" "%USERPROFILE%\AppData\Local\Temp\OnboardLogs"\RTDC4021\2017-07-11 &amp; aws s3 cp s3://rtdc.mdm.uploadarchive.raw/RTDC4021/ "%USERPROFILE%\AppData\Local\Temp\OnboardLogs"\RTDC4021\2017-07-12 --exclude "*" --recursive --include "*20170712*" &amp; "%USERPROFILE%\Documents\GitHub\mrs-test-scripts\Headless Mode &amp; Sideloading\WalkAndUnGZ.bat" "%USERPROFILE%\AppData\Local\Temp\OnboardLogs"\RTDC4021\2017-07-12</v>
      </c>
      <c r="AF236" s="74" t="str">
        <f t="shared" si="88"/>
        <v>"C:\Program Files (x86)\AstroGrep\AstroGrep.exe" /e /r /s /spath="%USERPROFILE%\AppData\Local\Temp\OnboardLogs" /stypes="app*4021*20170711*" /stext=" 09:.+((SYSTEM_STATE.+slice.+state.+changed )|(ment ac)|(multiple cpu faults)|(system.+state.+changed )|(\[timeout)|(PRM\|1\|D)|(kpr)|(kdp)|(train st.+moving)|(\|lc)|(penalty))"</v>
      </c>
      <c r="AG236" s="209" t="str">
        <f t="shared" si="89"/>
        <v>Shuttle/Test</v>
      </c>
      <c r="AH236" s="78" t="str">
        <f t="shared" si="92"/>
        <v>"%USERPROFILE%\Documents\GitHub\eaglep3\Utilities\RefineRTDCRunTimes.py" --tripid 68-11 --locoid 4021 --swversion DE.1.0.9.0 --startMP 204:3193 --initTime 2017-07-11T03:22:29 --startdatetime 2017-07-11T03:24:39 --delay 1 --endMP 204:1165 --enddatetime 2017-07-11T03:26:12 --enforcementcount 0 &gt;&gt;C:\Users\stu\Documents\GitHub\eaglep3-reporting\EC\2017-07-11-refined-times.txt</v>
      </c>
      <c r="AI236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0.1165"},{"id":17,"name":"Train ID","value":"68-11"},{"id":16,"name":"Locomotive ID","value":"4021"},{"id":130,"name":"Impact","value":""},{"id":150,"name":"Time of Event (Mountain Time)","value":"03:26:12"},{"id":151,"name":"Denver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94"/>
        <v>start /low /b %USERPROFILE%\Documents\GitHub\eaglep3\Utilities\DownloadLogsFromS3.py --loco 4021 --day 2017-07-11</v>
      </c>
      <c r="AN236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09:26:12"},{"id":29,"name":"Sharepoint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747</v>
      </c>
      <c r="B237" s="7">
        <v>4002</v>
      </c>
      <c r="C237" s="21" t="s">
        <v>199</v>
      </c>
      <c r="D237" s="21" t="s">
        <v>570</v>
      </c>
      <c r="E237" s="13">
        <v>42927.643182870372</v>
      </c>
      <c r="F237" s="13">
        <v>25568.708333333332</v>
      </c>
      <c r="G237" s="7">
        <v>1</v>
      </c>
      <c r="H237" s="21" t="s">
        <v>932</v>
      </c>
      <c r="I237" s="13">
        <v>25568.708333333332</v>
      </c>
      <c r="J237" s="7">
        <v>0</v>
      </c>
      <c r="K237" s="89" t="str">
        <f t="shared" si="81"/>
        <v>4001/4002</v>
      </c>
      <c r="L237" s="21" t="str">
        <f>VLOOKUP(A237,'Trips&amp;Operators'!$C$1:$G$99999,5,FALSE)</f>
        <v>CHANDLER KELVIN</v>
      </c>
      <c r="M237" s="6">
        <f t="shared" si="82"/>
        <v>0</v>
      </c>
      <c r="N237" s="7"/>
      <c r="O237" s="7"/>
      <c r="P237" s="7">
        <v>1</v>
      </c>
      <c r="Q237" s="22"/>
      <c r="R237" s="170" t="s">
        <v>1036</v>
      </c>
      <c r="S237" s="213">
        <f t="shared" si="99"/>
        <v>0</v>
      </c>
      <c r="T237" s="195" t="str">
        <f t="shared" si="83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84"/>
        <v>https://d0f6bd738d7f1b3e5a7ca70fe4ff75f0.us-east-1.aws.found.io/app/kibana#/discover/Steve-Slow-Train-Analysis-(2080s-and-2083s)?_g=(refreshInterval:(display:Off,pause:!f,section:0,value:0),time:(from:'2017-07-11T14:26:11-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7" s="197" t="str">
        <f>IF(AA237&lt;VLOOKUP(AG237,Variables!$AC$3:$AD$8,2,FALSE),"Y","N")</f>
        <v>Y</v>
      </c>
      <c r="X237" s="197">
        <f t="shared" si="91"/>
        <v>1</v>
      </c>
      <c r="Y237" s="197">
        <f t="shared" si="97"/>
        <v>0.11600000000000001</v>
      </c>
      <c r="Z237" s="197">
        <f t="shared" si="98"/>
        <v>0.37190000000000001</v>
      </c>
      <c r="AA237" s="197">
        <f t="shared" si="85"/>
        <v>0.25590000000000002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86"/>
        <v>69</v>
      </c>
      <c r="AE237" s="77" t="str">
        <f t="shared" si="8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37" s="74" t="str">
        <f t="shared" si="88"/>
        <v>"C:\Program Files (x86)\AstroGrep\AstroGrep.exe" /e /r /s /spath="%USERPROFILE%\AppData\Local\Temp\OnboardLogs" /stypes="app*4002*19691231*" /stext=" 23:.+((SYSTEM_STATE.+slice.+state.+changed )|(ment ac)|(multiple cpu faults)|(system.+state.+changed )|(\[timeout)|(PRM\|1\|D)|(kpr)|(kdp)|(train st.+moving)|(\|lc)|(penalty))"</v>
      </c>
      <c r="AG237" s="209" t="str">
        <f t="shared" si="89"/>
        <v>Shuttle/Test</v>
      </c>
      <c r="AH237" s="78" t="str">
        <f t="shared" si="92"/>
        <v>"%USERPROFILE%\Documents\GitHub\eaglep3\Utilities\RefineRTDCRunTimes.py" --tripid 69-11 --locoid 4002 --swversion DE.1.0.9.0 --startMP 204:1160 --initTime 2017-07-11T15:26:11 --startdatetime 1969-12-31T17:00:00 --delay 1 --endMP 204:3719 --enddatetime 1969-12-31T17:00:00 --enforcementcount 0 &gt;&gt;C:\Users\stu\Documents\GitHub\eaglep3-reporting\EC\2017-07-11-refined-times.txt</v>
      </c>
      <c r="AI237" s="96" t="str">
        <f t="shared" si="93"/>
        <v>echo {"issue":{"subject":"Main 3 departure","project_id":79,"tracker_id":40,"status_id":1,"priority_id":2,"assigned_to_id":23,"start_date":"1969-12-31","description":"","custom_fields":[{"id":1,"name":"Subdivision","value":"Shuttle/Test"},{"id":4,"name":"Milepost","value":"0.3719"},{"id":17,"name":"Train ID","value":"69-11"},{"id":16,"name":"Locomotive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94"/>
        <v>start /low /b %USERPROFILE%\Documents\GitHub\eaglep3\Utilities\DownloadLogsFromS3.py --loco 4002 --day 1969-12-31</v>
      </c>
      <c r="AN237" s="151" t="str">
        <f t="shared" si="95"/>
        <v>echo {"issue":{"subject":"Main 3 departure","project_id":30,"tracker_id":4,"status_id":1,"priority_id":1,"assigned_to_id":10,"start_date":"1969-12-31","description":"","custom_fields":[{"id":30,"name":"Category","value":"Issue"},{"id":3,"name":"Functional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767</v>
      </c>
      <c r="B238" s="7">
        <v>4007</v>
      </c>
      <c r="C238" s="21" t="s">
        <v>199</v>
      </c>
      <c r="D238" s="21" t="s">
        <v>933</v>
      </c>
      <c r="E238" s="13">
        <v>42927.72755787037</v>
      </c>
      <c r="F238" s="13">
        <v>42927.728865740741</v>
      </c>
      <c r="G238" s="7">
        <v>1</v>
      </c>
      <c r="H238" s="21" t="s">
        <v>934</v>
      </c>
      <c r="I238" s="13">
        <v>42927.730486111112</v>
      </c>
      <c r="J238" s="7">
        <v>0</v>
      </c>
      <c r="K238" s="89" t="str">
        <f t="shared" si="81"/>
        <v>4007/4008</v>
      </c>
      <c r="L238" s="21" t="str">
        <f>VLOOKUP(A238,'Trips&amp;Operators'!$C$1:$G$99999,5,FALSE)</f>
        <v>DAVIS MICHAEL</v>
      </c>
      <c r="M238" s="6">
        <f t="shared" si="82"/>
        <v>1.6203703708015382E-3</v>
      </c>
      <c r="N238" s="7">
        <f t="shared" si="96"/>
        <v>2.333333333954215</v>
      </c>
      <c r="O238" s="7"/>
      <c r="P238" s="7"/>
      <c r="Q238" s="22"/>
      <c r="R238" s="170"/>
      <c r="S238" s="213">
        <f t="shared" si="99"/>
        <v>0</v>
      </c>
      <c r="T238" s="195" t="str">
        <f t="shared" si="83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84"/>
        <v>https://d0f6bd738d7f1b3e5a7ca70fe4ff75f0.us-east-1.aws.found.io/app/kibana#/discover/Steve-Slow-Train-Analysis-(2080s-and-2083s)?_g=(refreshInterval:(display:Off,pause:!f,section:0,value:0),time:(from:'2017-07-11T16:27:41-0600',mode:absolute,to:'2017-07-11T18:31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8" s="197" t="str">
        <f>IF(AA238&lt;VLOOKUP(AG238,Variables!$AC$3:$AD$8,2,FALSE),"Y","N")</f>
        <v>Y</v>
      </c>
      <c r="X238" s="197">
        <f t="shared" si="91"/>
        <v>2</v>
      </c>
      <c r="Y238" s="197">
        <f t="shared" si="97"/>
        <v>0.33329999999999999</v>
      </c>
      <c r="Z238" s="197">
        <f t="shared" si="98"/>
        <v>1.12E-2</v>
      </c>
      <c r="AA238" s="197">
        <f t="shared" si="85"/>
        <v>0.3221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86"/>
        <v>71</v>
      </c>
      <c r="AE238" s="77" t="str">
        <f t="shared" si="87"/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AF238" s="74" t="str">
        <f t="shared" si="88"/>
        <v>"C:\Program Files (x86)\AstroGrep\AstroGrep.exe" /e /r /s /spath="%USERPROFILE%\AppData\Local\Temp\OnboardLogs" /stypes="app*4007*20170711*" /stext=" 23:.+((SYSTEM_STATE.+slice.+state.+changed )|(ment ac)|(multiple cpu faults)|(system.+state.+changed )|(\[timeout)|(PRM\|1\|D)|(kpr)|(kdp)|(train st.+moving)|(\|lc)|(penalty))"</v>
      </c>
      <c r="AG238" s="209" t="str">
        <f t="shared" si="89"/>
        <v>Shuttle/Test</v>
      </c>
      <c r="AH238" s="78" t="str">
        <f t="shared" si="92"/>
        <v>"%USERPROFILE%\Documents\GitHub\eaglep3\Utilities\RefineRTDCRunTimes.py" --tripid 71-11 --locoid 4007 --swversion DE.1.0.9.0 --startMP 204:3333 --initTime 2017-07-11T17:27:41 --startdatetime 2017-07-11T17:29:34 --delay 1 --endMP 204:112 --enddatetime 2017-07-11T17:31:54 --enforcementcount 0 &gt;&gt;C:\Users\stu\Documents\GitHub\eaglep3-reporting\EC\2017-07-11-refined-times.txt</v>
      </c>
      <c r="AI238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0.0112"},{"id":17,"name":"Train ID","value":"71-11"},{"id":16,"name":"Locomotive ID","value":"4007"},{"id":130,"name":"Impact","value":""},{"id":150,"name":"Time of Event (Mountain Time)","value":"17:31:54"},{"id":151,"name":"Denver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94"/>
        <v>start /low /b %USERPROFILE%\Documents\GitHub\eaglep3\Utilities\DownloadLogsFromS3.py --loco 4007 --day 2017-07-11</v>
      </c>
      <c r="AN238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23:31:54"},{"id":29,"name":"Sharepoint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s="20" customFormat="1" x14ac:dyDescent="0.25">
      <c r="A239" s="32" t="s">
        <v>767</v>
      </c>
      <c r="B239" s="7">
        <v>4008</v>
      </c>
      <c r="C239" s="21" t="s">
        <v>199</v>
      </c>
      <c r="D239" s="21" t="s">
        <v>935</v>
      </c>
      <c r="E239" s="13">
        <v>42927.722673611112</v>
      </c>
      <c r="F239" s="13">
        <v>42927.728865740741</v>
      </c>
      <c r="G239" s="7">
        <v>1</v>
      </c>
      <c r="H239" s="21" t="s">
        <v>936</v>
      </c>
      <c r="I239" s="13">
        <v>42927.730486111112</v>
      </c>
      <c r="J239" s="7">
        <v>0</v>
      </c>
      <c r="K239" s="89" t="str">
        <f t="shared" si="81"/>
        <v>4007/4008</v>
      </c>
      <c r="L239" s="21" t="str">
        <f>VLOOKUP(A239,'Trips&amp;Operators'!$C$1:$G$99999,5,FALSE)</f>
        <v>DAVIS MICHAEL</v>
      </c>
      <c r="M239" s="6">
        <f t="shared" si="82"/>
        <v>1.6203703708015382E-3</v>
      </c>
      <c r="N239" s="7">
        <f t="shared" si="96"/>
        <v>2.333333333954215</v>
      </c>
      <c r="O239" s="7"/>
      <c r="P239" s="7"/>
      <c r="Q239" s="22"/>
      <c r="R239" s="170"/>
      <c r="S239" s="213">
        <f t="shared" si="99"/>
        <v>0</v>
      </c>
      <c r="T239" s="195" t="str">
        <f t="shared" si="83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84"/>
        <v>https://d0f6bd738d7f1b3e5a7ca70fe4ff75f0.us-east-1.aws.found.io/app/kibana#/discover/Steve-Slow-Train-Analysis-(2080s-and-2083s)?_g=(refreshInterval:(display:Off,pause:!f,section:0,value:0),time:(from:'2017-07-11T16:20:39-0600',mode:absolute,to:'2017-07-11T18:31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9" s="197" t="str">
        <f>IF(AA239&lt;VLOOKUP(AG239,Variables!$AC$3:$AD$8,2,FALSE),"Y","N")</f>
        <v>Y</v>
      </c>
      <c r="X239" s="197">
        <f t="shared" si="91"/>
        <v>0</v>
      </c>
      <c r="Y239" s="197">
        <f t="shared" si="97"/>
        <v>0.1222</v>
      </c>
      <c r="Z239" s="197">
        <f t="shared" si="98"/>
        <v>0.36609999999999998</v>
      </c>
      <c r="AA239" s="197">
        <f t="shared" si="85"/>
        <v>0.24389999999999998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86"/>
        <v>71</v>
      </c>
      <c r="AE239" s="77" t="str">
        <f t="shared" si="87"/>
        <v>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 &amp; aws s3 cp s3://rtdc.mdm.uploadarchive.raw/RTDC4008/ "%USERPROFILE%\AppData\Local\Temp\OnboardLogs"\RTDC4008\2017-07-12 --exclude "*" --recursive --include "*20170712*" &amp; "%USERPROFILE%\Documents\GitHub\mrs-test-scripts\Headless Mode &amp; Sideloading\WalkAndUnGZ.bat" "%USERPROFILE%\AppData\Local\Temp\OnboardLogs"\RTDC4008\2017-07-12</v>
      </c>
      <c r="AF239" s="74" t="str">
        <f t="shared" si="88"/>
        <v>"C:\Program Files (x86)\AstroGrep\AstroGrep.exe" /e /r /s /spath="%USERPROFILE%\AppData\Local\Temp\OnboardLogs" /stypes="app*4008*20170711*" /stext=" 23:.+((SYSTEM_STATE.+slice.+state.+changed )|(ment ac)|(multiple cpu faults)|(system.+state.+changed )|(\[timeout)|(PRM\|1\|D)|(kpr)|(kdp)|(train st.+moving)|(\|lc)|(penalty))"</v>
      </c>
      <c r="AG239" s="209" t="str">
        <f t="shared" si="89"/>
        <v>Shuttle/Test</v>
      </c>
      <c r="AH239" s="78" t="str">
        <f t="shared" si="92"/>
        <v>"%USERPROFILE%\Documents\GitHub\eaglep3\Utilities\RefineRTDCRunTimes.py" --tripid 71-11 --locoid 4008 --swversion DE.1.0.9.0 --startMP 204:1222 --initTime 2017-07-11T17:20:39 --startdatetime 2017-07-11T17:29:34 --delay 1 --endMP 204:3661 --enddatetime 2017-07-11T17:31:54 --enforcementcount 0 &gt;&gt;C:\Users\stu\Documents\GitHub\eaglep3-reporting\EC\2017-07-11-refined-times.txt</v>
      </c>
      <c r="AI239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0.3661"},{"id":17,"name":"Train ID","value":"71-11"},{"id":16,"name":"Locomotive ID","value":"4008"},{"id":130,"name":"Impact","value":""},{"id":150,"name":"Time of Event (Mountain Time)","value":"17:31:54"},{"id":151,"name":"Denver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94"/>
        <v>start /low /b %USERPROFILE%\Documents\GitHub\eaglep3\Utilities\DownloadLogsFromS3.py --loco 4008 --day 2017-07-11</v>
      </c>
      <c r="AN239" s="151" t="str">
        <f t="shared" si="95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23:31:54"},{"id":29,"name":"Sharepoint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 s="32" t="s">
        <v>776</v>
      </c>
      <c r="B240" s="7">
        <v>4002</v>
      </c>
      <c r="C240" s="21" t="s">
        <v>199</v>
      </c>
      <c r="D240" s="21" t="s">
        <v>931</v>
      </c>
      <c r="E240" s="13">
        <v>42927.749548611115</v>
      </c>
      <c r="F240" s="13">
        <v>42927.756666666668</v>
      </c>
      <c r="G240" s="7">
        <v>1</v>
      </c>
      <c r="H240" s="21" t="s">
        <v>937</v>
      </c>
      <c r="I240" s="13">
        <v>42927.762395833335</v>
      </c>
      <c r="J240" s="7">
        <v>0</v>
      </c>
      <c r="K240" s="89" t="str">
        <f t="shared" si="81"/>
        <v>4001/4002</v>
      </c>
      <c r="L240" s="21" t="str">
        <f>VLOOKUP(A240,'Trips&amp;Operators'!$C$1:$G$99999,5,FALSE)</f>
        <v>CHANDLER KELVIN</v>
      </c>
      <c r="M240" s="6">
        <f t="shared" si="82"/>
        <v>5.7291666671517305E-3</v>
      </c>
      <c r="N240" s="7">
        <f t="shared" si="96"/>
        <v>8.2500000006984919</v>
      </c>
      <c r="O240" s="7"/>
      <c r="P240" s="7"/>
      <c r="Q240" s="22"/>
      <c r="R240" s="170"/>
      <c r="S240" s="213">
        <f t="shared" si="99"/>
        <v>1</v>
      </c>
      <c r="T240" s="195" t="str">
        <f t="shared" si="83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84"/>
        <v>https://d0f6bd738d7f1b3e5a7ca70fe4ff75f0.us-east-1.aws.found.io/app/kibana#/discover/Steve-Slow-Train-Analysis-(2080s-and-2083s)?_g=(refreshInterval:(display:Off,pause:!f,section:0,value:0),time:(from:'2017-07-11T16:59:21-0600',mode:absolute,to:'2017-07-11T19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0" s="197" t="str">
        <f>IF(AA240&lt;VLOOKUP(AG240,Variables!$AC$3:$AD$8,2,FALSE),"Y","N")</f>
        <v>Y</v>
      </c>
      <c r="X240" s="197">
        <f t="shared" si="91"/>
        <v>2</v>
      </c>
      <c r="Y240" s="197">
        <f t="shared" si="97"/>
        <v>0.11650000000000001</v>
      </c>
      <c r="Z240" s="197">
        <f t="shared" si="98"/>
        <v>2.286</v>
      </c>
      <c r="AA240" s="197">
        <f t="shared" si="85"/>
        <v>2.1695000000000002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86"/>
        <v>73</v>
      </c>
      <c r="AE240" s="77" t="str">
        <f t="shared" si="87"/>
        <v>aws s3 cp s3://rtdc.mdm.uploadarchive.raw/RTDC4002/ "%USERPROFILE%\AppData\Local\Temp\OnboardLogs"\RTDC4002\2017-07-11 --exclude "*" --recursive --include "*20170711*" &amp; "%USERPROFILE%\Documents\GitHub\mrs-test-scripts\Headless Mode &amp; Sideloading\WalkAndUnGZ.bat" "%USERPROFILE%\AppData\Local\Temp\OnboardLogs"\RTDC4002\2017-07-11 &amp; 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</v>
      </c>
      <c r="AF240" s="74" t="str">
        <f t="shared" si="88"/>
        <v>"C:\Program Files (x86)\AstroGrep\AstroGrep.exe" /e /r /s /spath="%USERPROFILE%\AppData\Local\Temp\OnboardLogs" /stypes="app*4002*20170712*" /stext=" 00:.+((SYSTEM_STATE.+slice.+state.+changed )|(ment ac)|(multiple cpu faults)|(system.+state.+changed )|(\[timeout)|(PRM\|1\|D)|(kpr)|(kdp)|(train st.+moving)|(\|lc)|(penalty))"</v>
      </c>
      <c r="AG240" s="209" t="str">
        <f t="shared" si="89"/>
        <v>Shuttle/Test</v>
      </c>
      <c r="AH240" s="78" t="str">
        <f t="shared" si="92"/>
        <v>"%USERPROFILE%\Documents\GitHub\eaglep3\Utilities\RefineRTDCRunTimes.py" --tripid 73-11 --locoid 4002 --swversion DE.1.0.9.0 --startMP 204:1165 --initTime 2017-07-11T17:59:21 --startdatetime 2017-07-11T18:09:36 --delay 1 --endMP 300:22860 --enddatetime 2017-07-11T18:17:51 --enforcementcount 0 &gt;&gt;C:\Users\stu\Documents\GitHub\eaglep3-reporting\EC\2017-07-11-refined-times.txt</v>
      </c>
      <c r="AI240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2.286"},{"id":17,"name":"Train ID","value":"73-11"},{"id":16,"name":"Locomotive ID","value":"4002"},{"id":130,"name":"Impact","value":""},{"id":150,"name":"Time of Event (Mountain Time)","value":"18:17:51"},{"id":151,"name":"Denver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94"/>
        <v>start /low /b %USERPROFILE%\Documents\GitHub\eaglep3\Utilities\DownloadLogsFromS3.py --loco 4002 --day 2017-07-11</v>
      </c>
      <c r="AN240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00:17:51"},{"id":29,"name":"Sharepoint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778</v>
      </c>
      <c r="B241" s="7">
        <v>4057</v>
      </c>
      <c r="C241" s="21" t="s">
        <v>199</v>
      </c>
      <c r="D241" s="21" t="s">
        <v>995</v>
      </c>
      <c r="E241" s="13">
        <v>42927.755949074075</v>
      </c>
      <c r="F241" s="13">
        <v>42927.766006944446</v>
      </c>
      <c r="G241" s="7">
        <v>14</v>
      </c>
      <c r="H241" s="21" t="s">
        <v>996</v>
      </c>
      <c r="I241" s="13">
        <v>42927.770243055558</v>
      </c>
      <c r="J241" s="7">
        <v>0</v>
      </c>
      <c r="K241" s="89" t="str">
        <f t="shared" si="81"/>
        <v>4057/4058</v>
      </c>
      <c r="L241" s="21" t="str">
        <f>VLOOKUP(A241,'Trips&amp;Operators'!$C$1:$G$99999,5,FALSE)</f>
        <v>MAGEE KENYA</v>
      </c>
      <c r="M241" s="6">
        <f t="shared" si="82"/>
        <v>4.2361111118225381E-3</v>
      </c>
      <c r="N241" s="7">
        <f t="shared" si="96"/>
        <v>6.1000000010244548</v>
      </c>
      <c r="O241" s="7"/>
      <c r="P241" s="7"/>
      <c r="Q241" s="22"/>
      <c r="R241" s="170"/>
      <c r="S241" s="213">
        <f t="shared" si="99"/>
        <v>0</v>
      </c>
      <c r="T241" s="195" t="str">
        <f t="shared" si="83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84"/>
        <v>https://d0f6bd738d7f1b3e5a7ca70fe4ff75f0.us-east-1.aws.found.io/app/kibana#/discover/Steve-Slow-Train-Analysis-(2080s-and-2083s)?_g=(refreshInterval:(display:Off,pause:!f,section:0,value:0),time:(from:'2017-07-11T17:08:34-0600',mode:absolute,to:'2017-07-11T19:29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1" s="197" t="str">
        <f>IF(AA241&lt;VLOOKUP(AG241,Variables!$AC$3:$AD$8,2,FALSE),"Y","N")</f>
        <v>Y</v>
      </c>
      <c r="X241" s="197">
        <f t="shared" si="91"/>
        <v>16</v>
      </c>
      <c r="Y241" s="197">
        <f t="shared" si="97"/>
        <v>2.0670000000000002</v>
      </c>
      <c r="Z241" s="197">
        <f t="shared" si="98"/>
        <v>0.20019999999999999</v>
      </c>
      <c r="AA241" s="197">
        <f t="shared" si="85"/>
        <v>1.8668000000000002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86"/>
        <v>89</v>
      </c>
      <c r="AE241" s="77" t="str">
        <f t="shared" si="87"/>
        <v>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 &amp; aws s3 cp s3://rtdc.mdm.uploadarchive.raw/RTDC4057/ "%USERPROFILE%\AppData\Local\Temp\OnboardLogs"\RTDC4057\2017-07-12 --exclude "*" --recursive --include "*20170712*" &amp; "%USERPROFILE%\Documents\GitHub\mrs-test-scripts\Headless Mode &amp; Sideloading\WalkAndUnGZ.bat" "%USERPROFILE%\AppData\Local\Temp\OnboardLogs"\RTDC4057\2017-07-12</v>
      </c>
      <c r="AF241" s="74" t="str">
        <f t="shared" si="88"/>
        <v>"C:\Program Files (x86)\AstroGrep\AstroGrep.exe" /e /r /s /spath="%USERPROFILE%\AppData\Local\Temp\OnboardLogs" /stypes="app*4057*20170712*" /stext=" 00:.+((SYSTEM_STATE.+slice.+state.+changed )|(ment ac)|(multiple cpu faults)|(system.+state.+changed )|(\[timeout)|(PRM\|1\|D)|(kpr)|(kdp)|(train st.+moving)|(\|lc)|(penalty))"</v>
      </c>
      <c r="AG241" s="209" t="str">
        <f t="shared" si="89"/>
        <v>Shuttle/Test</v>
      </c>
      <c r="AH241" s="78" t="str">
        <f t="shared" si="92"/>
        <v>"%USERPROFILE%\Documents\GitHub\eaglep3\Utilities\RefineRTDCRunTimes.py" --tripid 89-11 --locoid 4057 --swversion DE.1.0.9.0 --startMP 300:20670 --initTime 2017-07-11T18:08:34 --startdatetime 2017-07-11T18:23:03 --delay 14 --endMP 204:2002 --enddatetime 2017-07-11T18:29:09 --enforcementcount 0 &gt;&gt;C:\Users\stu\Documents\GitHub\eaglep3-reporting\EC\2017-07-11-refined-times.txt</v>
      </c>
      <c r="AI241" s="96" t="str">
        <f t="shared" si="93"/>
        <v>echo {"issue":{"subject":"","project_id":79,"tracker_id":40,"status_id":1,"priority_id":2,"assigned_to_id":23,"start_date":"2017-07-11","description":"","custom_fields":[{"id":1,"name":"Subdivision","value":"Shuttle/Test"},{"id":4,"name":"Milepost","value":"0.2002"},{"id":17,"name":"Train ID","value":"89-11"},{"id":16,"name":"Locomotive ID","value":"4057"},{"id":130,"name":"Impact","value":""},{"id":150,"name":"Time of Event (Mountain Time)","value":"18:29:09"},{"id":151,"name":"Denver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94"/>
        <v>start /low /b %USERPROFILE%\Documents\GitHub\eaglep3\Utilities\DownloadLogsFromS3.py --loco 4057 --day 2017-07-11</v>
      </c>
      <c r="AN241" s="151" t="str">
        <f t="shared" si="95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00:29:09"},{"id":29,"name":"Sharepoint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</sheetData>
  <autoFilter ref="A12:AG274">
    <sortState ref="A13:AG274">
      <sortCondition ref="AG13:AG241"/>
      <sortCondition ref="AD13:AD241"/>
    </sortState>
  </autoFilter>
  <sortState ref="A13:AN231">
    <sortCondition ref="AG13:AG231"/>
    <sortCondition ref="AD13:AD231"/>
  </sortState>
  <mergeCells count="1">
    <mergeCell ref="A11:P11"/>
  </mergeCells>
  <conditionalFormatting sqref="W11:W12 W279:X1048576 W13:X241">
    <cfRule type="cellIs" dxfId="10" priority="415" operator="equal">
      <formula>"Y"</formula>
    </cfRule>
  </conditionalFormatting>
  <conditionalFormatting sqref="X279:X1048576 X13:X241">
    <cfRule type="cellIs" dxfId="9" priority="398" operator="greaterThan">
      <formula>1</formula>
    </cfRule>
  </conditionalFormatting>
  <conditionalFormatting sqref="X279:X1048576 X12:X241">
    <cfRule type="cellIs" dxfId="8" priority="395" operator="equal">
      <formula>0</formula>
    </cfRule>
  </conditionalFormatting>
  <conditionalFormatting sqref="A13:S24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43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- 2017-07-11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416</v>
      </c>
      <c r="X6" s="208" t="s">
        <v>409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42927.353888888887</v>
      </c>
      <c r="B7" s="30" t="s">
        <v>526</v>
      </c>
      <c r="C7" s="30" t="s">
        <v>576</v>
      </c>
      <c r="D7" s="30" t="s">
        <v>96</v>
      </c>
      <c r="E7" s="30" t="s">
        <v>187</v>
      </c>
      <c r="F7" s="42">
        <v>190</v>
      </c>
      <c r="G7" s="42">
        <v>241</v>
      </c>
      <c r="H7" s="42">
        <v>27046</v>
      </c>
      <c r="I7" s="42">
        <v>26543</v>
      </c>
      <c r="J7" s="30" t="s">
        <v>188</v>
      </c>
      <c r="K7" s="42">
        <v>27350</v>
      </c>
      <c r="L7" s="131" t="s">
        <v>51</v>
      </c>
      <c r="M7" s="132">
        <f t="shared" ref="M7:M52" si="0">CONVERT((I7-K7)/10000,"mi","ft")*IF(L7="Increasing Mileposts (1)",-1,1)</f>
        <v>-426.096</v>
      </c>
      <c r="N7" s="133" t="str">
        <f>VLOOKUP(C7,'Trips&amp;Operators'!$C$1:$G$99999,5,FALSE)</f>
        <v>LOZA FIDEL</v>
      </c>
      <c r="O7" s="203" t="s">
        <v>180</v>
      </c>
      <c r="P7" s="134" t="s">
        <v>425</v>
      </c>
      <c r="Q7" s="30"/>
      <c r="R7" s="81" t="str">
        <f>VLOOKUP(C7,'Train Runs'!$A$13:$AE$9933,31,0)</f>
        <v>aws s3 cp s3://rtdc.mdm.uploadarchive.raw/RTDC4019/ "%USERPROFILE%\AppData\Local\Temp\OnboardLogs"\RTDC4019\2017-07-11 --exclude "*" --recursive --include "*20170711*" &amp; "%USERPROFILE%\Documents\GitHub\mrs-test-scripts\Headless Mode &amp; Sideloading\WalkAndUnGZ.bat" "%USERPROFILE%\AppData\Local\Temp\OnboardLogs"\RTDC4019\2017-07-11 &amp; aws s3 cp s3://rtdc.mdm.uploadarchive.raw/RTDC4019/ "%USERPROFILE%\AppData\Local\Temp\OnboardLogs"\RTDC4019\2017-07-12 --exclude "*" --recursive --include "*20170712*" &amp; "%USERPROFILE%\Documents\GitHub\mrs-test-scripts\Headless Mode &amp; Sideloading\WalkAndUnGZ.bat" "%USERPROFILE%\AppData\Local\Temp\OnboardLogs"\RTDC4019\2017-07-12</v>
      </c>
      <c r="S7" s="84" t="str">
        <f>VLOOKUP(C7,'Train Runs'!$A$13:$AE$9933,22,0)</f>
        <v>https://d0f6bd738d7f1b3e5a7ca70fe4ff75f0.us-east-1.aws.found.io/app/kibana#/discover/Steve-Slow-Train-Analysis-(2080s-and-2083s)?_g=(refreshInterval:(display:Off,pause:!f,section:0,value:0),time:(from:'2017-07-11T06:51:15-0600',mode:absolute,to:'2017-07-11T09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7" s="86" t="str">
        <f t="shared" ref="T7:T5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/stypes="*4019*201707111*" /stext=" 14:.+((SYSTEM_STATE.+slice.+state.+changed )|(ment ac)|(multiple cpu faults)|(system.+state.+changed )|(\[timeout)|(PRM\|1\|D)|(kpr)|(kdp)|(train st.+moving)|(\|lc)|(penalty))"</v>
      </c>
      <c r="U7" s="9" t="str">
        <f t="shared" ref="U7:U52" si="2">MID(B7,13,4)</f>
        <v>4019</v>
      </c>
      <c r="V7" s="31">
        <f t="shared" ref="V7:V52" si="3">A7-utc_offset/24</f>
        <v>42927.603888888887</v>
      </c>
      <c r="W7" s="45" t="str">
        <f t="shared" ref="W7:W52" si="4">DetSubdiv(C7)</f>
        <v>EC</v>
      </c>
      <c r="X7" s="22">
        <f t="shared" ref="X7:X52" si="5">VALUE(LEFT(C7,LEN(C7)-3))</f>
        <v>128</v>
      </c>
      <c r="Y7" s="96" t="str">
        <f t="shared" ref="Y7:Y5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arrival","project_id":79,"tracker_id":40,"status_id":1,"priority_id":2,"assigned_to_id":23,"start_date":"2017-07-11","description":"","custom_fields":[{"id":1,"name":"Subdivision","value":"EC"},{"id":4,"name":"Milepost","value":"2.735"},{"id":17,"name":"Train ID","value":"128-11"},{"id":16,"name":"Locomotive ID","value":"4019"},{"id":130,"name":"Impact","value":""},{"id":150,"name":"Time of Event (Mountain Time)","value":"08:29:36"},{"id":151,"name":"Denver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5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/c/Users/stu/AppData/Local/Temp/OnboardLogs/RTDC4019 --include="*4019*201707111*"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"%USERPROFILE%\AppData\Local\Temp\OnboardLogs"\RTDC4019\*4019*201707111* &gt;&gt; 2017-07-11-SliceDisagreementCheck.txt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4019 --day 2017-07-11</v>
      </c>
    </row>
    <row r="8" spans="1:32" s="1" customFormat="1" x14ac:dyDescent="0.25">
      <c r="A8" s="31">
        <v>42927.270115740743</v>
      </c>
      <c r="B8" s="30" t="s">
        <v>512</v>
      </c>
      <c r="C8" s="30" t="s">
        <v>571</v>
      </c>
      <c r="D8" s="30" t="s">
        <v>49</v>
      </c>
      <c r="E8" s="30" t="s">
        <v>187</v>
      </c>
      <c r="F8" s="42">
        <v>0</v>
      </c>
      <c r="G8" s="42">
        <v>170</v>
      </c>
      <c r="H8" s="42">
        <v>31005</v>
      </c>
      <c r="I8" s="42">
        <v>30821</v>
      </c>
      <c r="J8" s="30" t="s">
        <v>188</v>
      </c>
      <c r="K8" s="42">
        <v>30970</v>
      </c>
      <c r="L8" s="131" t="s">
        <v>51</v>
      </c>
      <c r="M8" s="132">
        <f t="shared" si="0"/>
        <v>-78.671999999999997</v>
      </c>
      <c r="N8" s="133" t="str">
        <f>VLOOKUP(C8,'Trips&amp;Operators'!$C$1:$G$99999,5,FALSE)</f>
        <v>STARKS ANGELINA</v>
      </c>
      <c r="O8" s="203" t="s">
        <v>180</v>
      </c>
      <c r="P8" s="134" t="s">
        <v>425</v>
      </c>
      <c r="Q8" s="30"/>
      <c r="R8" s="81" t="str">
        <f>VLOOKUP(C8,'Train Runs'!$A$13:$AE$9933,31,0)</f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S8" s="84" t="str">
        <f>VLOOKUP(C8,'Train Runs'!$A$13:$AE$9933,22,0)</f>
        <v>https://d0f6bd738d7f1b3e5a7ca70fe4ff75f0.us-east-1.aws.found.io/app/kibana#/discover/Steve-Slow-Train-Analysis-(2080s-and-2083s)?_g=(refreshInterval:(display:Off,pause:!f,section:0,value:0),time:(from:'2017-07-11T04:53:41-0600',mode:absolute,to:'2017-07-11T07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6" t="str">
        <f t="shared" si="1"/>
        <v>"C:\Program Files (x86)\AstroGrep\AstroGrep.exe" /e /r /s /spath="%USERPROFILE%\AppData\Local\Temp\OnboardLogs" /stypes="*4031*201707111*"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4031</v>
      </c>
      <c r="V8" s="31">
        <f t="shared" si="3"/>
        <v>42927.520115740743</v>
      </c>
      <c r="W8" s="45" t="str">
        <f t="shared" si="4"/>
        <v>EC</v>
      </c>
      <c r="X8" s="22">
        <f t="shared" si="5"/>
        <v>112</v>
      </c>
      <c r="Y8" s="96" t="str">
        <f t="shared" si="6"/>
        <v>echo {"issue":{"subject":"Early arrival","project_id":79,"tracker_id":40,"status_id":1,"priority_id":2,"assigned_to_id":23,"start_date":"2017-07-11","description":"","custom_fields":[{"id":1,"name":"Subdivision","value":"EC"},{"id":4,"name":"Milepost","value":"3.097"},{"id":17,"name":"Train ID","value":"112-11"},{"id":16,"name":"Locomotive ID","value":"4031"},{"id":130,"name":"Impact","value":""},{"id":150,"name":"Time of Event (Mountain Time)","value":"06:28:58"},{"id":151,"name":"Denver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/c/Users/stu/AppData/Local/Temp/OnboardLogs/RTDC4031 --include="*4031*201707111*"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"%USERPROFILE%\AppData\Local\Temp\OnboardLogs"\RTDC4031\*4031*201707111* &gt;&gt; 2017-07-11-SliceDisagreementCheck.txt</v>
      </c>
      <c r="AE8" s="145" t="str">
        <f t="shared" ref="AE8:AE52" si="9">"start /low /b "&amp;dls3logs&amp;" --loco "&amp;U8&amp;" --day "&amp;TEXT(V8,"YYYY-MM-DD")</f>
        <v>start /low /b %USERPROFILE%\Documents\GitHub\eaglep3\Utilities\DownloadLogsFromS3.py --loco 4031 --day 2017-07-11</v>
      </c>
    </row>
    <row r="9" spans="1:32" s="1" customFormat="1" x14ac:dyDescent="0.25">
      <c r="A9" s="31">
        <v>42927.727569444447</v>
      </c>
      <c r="B9" s="30" t="s">
        <v>530</v>
      </c>
      <c r="C9" s="30" t="s">
        <v>598</v>
      </c>
      <c r="D9" s="30" t="s">
        <v>49</v>
      </c>
      <c r="E9" s="30" t="s">
        <v>187</v>
      </c>
      <c r="F9" s="42">
        <v>0</v>
      </c>
      <c r="G9" s="42">
        <v>296</v>
      </c>
      <c r="H9" s="42">
        <v>42595</v>
      </c>
      <c r="I9" s="42">
        <v>42943</v>
      </c>
      <c r="J9" s="30" t="s">
        <v>188</v>
      </c>
      <c r="K9" s="42">
        <v>42779</v>
      </c>
      <c r="L9" s="131" t="s">
        <v>50</v>
      </c>
      <c r="M9" s="132">
        <f t="shared" si="0"/>
        <v>-86.592000000000013</v>
      </c>
      <c r="N9" s="133" t="str">
        <f>VLOOKUP(C9,'Trips&amp;Operators'!$C$1:$G$99999,5,FALSE)</f>
        <v>NICHOLSON WESLEY</v>
      </c>
      <c r="O9" s="203" t="s">
        <v>180</v>
      </c>
      <c r="P9" s="134" t="s">
        <v>425</v>
      </c>
      <c r="Q9" s="30"/>
      <c r="R9" s="81" t="str">
        <f>VLOOKUP(C9,'Train Runs'!$A$13:$AE$9933,31,0)</f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S9" s="84" t="str">
        <f>VLOOKUP(C9,'Train Runs'!$A$13:$AE$9933,22,0)</f>
        <v>https://d0f6bd738d7f1b3e5a7ca70fe4ff75f0.us-east-1.aws.found.io/app/kibana#/discover/Steve-Slow-Train-Analysis-(2080s-and-2083s)?_g=(refreshInterval:(display:Off,pause:!f,section:0,value:0),time:(from:'2017-07-11T16:11:39-0600',mode:absolute,to:'2017-07-11T18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86" t="str">
        <f t="shared" si="1"/>
        <v>"C:\Program Files (x86)\AstroGrep\AstroGrep.exe" /e /r /s /spath="%USERPROFILE%\AppData\Local\Temp\OnboardLogs" /stypes="*4032*201707112*"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4032</v>
      </c>
      <c r="V9" s="31">
        <f t="shared" si="3"/>
        <v>42927.977569444447</v>
      </c>
      <c r="W9" s="45" t="str">
        <f t="shared" si="4"/>
        <v>EC</v>
      </c>
      <c r="X9" s="22">
        <f t="shared" si="5"/>
        <v>209</v>
      </c>
      <c r="Y9" s="96" t="str">
        <f t="shared" si="6"/>
        <v>echo {"issue":{"subject":"Early arrival","project_id":79,"tracker_id":40,"status_id":1,"priority_id":2,"assigned_to_id":23,"start_date":"2017-07-11","description":"","custom_fields":[{"id":1,"name":"Subdivision","value":"EC"},{"id":4,"name":"Milepost","value":"4.2779"},{"id":17,"name":"Train ID","value":"209-11"},{"id":16,"name":"Locomotive ID","value":"4032"},{"id":130,"name":"Impact","value":""},{"id":150,"name":"Time of Event (Mountain Time)","value":"17:27:42"},{"id":151,"name":"Denver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/c/Users/stu/AppData/Local/Temp/OnboardLogs/RTDC4032 --include="*4032*201707112*"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"%USERPROFILE%\AppData\Local\Temp\OnboardLogs"\RTDC4032\*4032*201707112* &gt;&gt; 2017-07-11-SliceDisagreementCheck.txt</v>
      </c>
      <c r="AE9" s="145" t="str">
        <f t="shared" si="9"/>
        <v>start /low /b %USERPROFILE%\Documents\GitHub\eaglep3\Utilities\DownloadLogsFromS3.py --loco 4032 --day 2017-07-11</v>
      </c>
    </row>
    <row r="10" spans="1:32" s="1" customFormat="1" x14ac:dyDescent="0.25">
      <c r="A10" s="31">
        <v>42927.444143518522</v>
      </c>
      <c r="B10" s="30" t="s">
        <v>435</v>
      </c>
      <c r="C10" s="30" t="s">
        <v>579</v>
      </c>
      <c r="D10" s="30" t="s">
        <v>49</v>
      </c>
      <c r="E10" s="30" t="s">
        <v>187</v>
      </c>
      <c r="F10" s="42">
        <v>0</v>
      </c>
      <c r="G10" s="42">
        <v>257</v>
      </c>
      <c r="H10" s="42">
        <v>58735</v>
      </c>
      <c r="I10" s="42">
        <v>58198</v>
      </c>
      <c r="J10" s="30" t="s">
        <v>188</v>
      </c>
      <c r="K10" s="42">
        <v>58301</v>
      </c>
      <c r="L10" s="131" t="s">
        <v>51</v>
      </c>
      <c r="M10" s="132">
        <f t="shared" si="0"/>
        <v>-54.384</v>
      </c>
      <c r="N10" s="133" t="str">
        <f>VLOOKUP(C10,'Trips&amp;Operators'!$C$1:$G$99999,5,FALSE)</f>
        <v>ANDERS STEVEN</v>
      </c>
      <c r="O10" s="203" t="s">
        <v>180</v>
      </c>
      <c r="P10" s="134" t="s">
        <v>425</v>
      </c>
      <c r="Q10" s="30"/>
      <c r="R10" s="81" t="str">
        <f>VLOOKUP(C10,'Train Runs'!$A$13:$AE$9933,31,0)</f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S10" s="84" t="str">
        <f>VLOOKUP(C10,'Train Runs'!$A$13:$AE$9933,22,0)</f>
        <v>https://d0f6bd738d7f1b3e5a7ca70fe4ff75f0.us-east-1.aws.found.io/app/kibana#/discover/Steve-Slow-Train-Analysis-(2080s-and-2083s)?_g=(refreshInterval:(display:Off,pause:!f,section:0,value:0),time:(from:'2017-07-11T08:56:16-0600',mode:absolute,to:'2017-07-11T11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0" s="86" t="str">
        <f t="shared" si="1"/>
        <v>"C:\Program Files (x86)\AstroGrep\AstroGrep.exe" /e /r /s /spath="%USERPROFILE%\AppData\Local\Temp\OnboardLogs" /stypes="*4063*201707111*" /stext=" 16:.+((SYSTEM_STATE.+slice.+state.+changed )|(ment ac)|(multiple cpu faults)|(system.+state.+changed )|(\[timeout)|(PRM\|1\|D)|(kpr)|(kdp)|(train st.+moving)|(\|lc)|(penalty))"</v>
      </c>
      <c r="U10" s="9" t="str">
        <f t="shared" si="2"/>
        <v>4063</v>
      </c>
      <c r="V10" s="31">
        <f t="shared" si="3"/>
        <v>42927.694143518522</v>
      </c>
      <c r="W10" s="45" t="str">
        <f t="shared" si="4"/>
        <v>EC</v>
      </c>
      <c r="X10" s="22">
        <f t="shared" si="5"/>
        <v>146</v>
      </c>
      <c r="Y10" s="96" t="str">
        <f t="shared" si="6"/>
        <v>echo {"issue":{"subject":"Early arrival","project_id":79,"tracker_id":40,"status_id":1,"priority_id":2,"assigned_to_id":23,"start_date":"2017-07-11","description":"","custom_fields":[{"id":1,"name":"Subdivision","value":"EC"},{"id":4,"name":"Milepost","value":"5.8301"},{"id":17,"name":"Train ID","value":"146-11"},{"id":16,"name":"Locomotive ID","value":"4063"},{"id":130,"name":"Impact","value":""},{"id":150,"name":"Time of Event (Mountain Time)","value":"10:39:34"},{"id":151,"name":"Denver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/c/Users/stu/AppData/Local/Temp/OnboardLogs/RTDC4063 --include="*4063*201707111*"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"%USERPROFILE%\AppData\Local\Temp\OnboardLogs"\RTDC4063\*4063*201707111* &gt;&gt; 2017-07-11-SliceDisagreementCheck.txt</v>
      </c>
      <c r="AE10" s="145" t="str">
        <f t="shared" si="9"/>
        <v>start /low /b %USERPROFILE%\Documents\GitHub\eaglep3\Utilities\DownloadLogsFromS3.py --loco 4063 --day 2017-07-11</v>
      </c>
    </row>
    <row r="11" spans="1:32" s="1" customFormat="1" x14ac:dyDescent="0.25">
      <c r="A11" s="31">
        <v>42927.4140625</v>
      </c>
      <c r="B11" s="30" t="s">
        <v>512</v>
      </c>
      <c r="C11" s="30" t="s">
        <v>577</v>
      </c>
      <c r="D11" s="30" t="s">
        <v>49</v>
      </c>
      <c r="E11" s="30" t="s">
        <v>187</v>
      </c>
      <c r="F11" s="42">
        <v>230</v>
      </c>
      <c r="G11" s="42">
        <v>283</v>
      </c>
      <c r="H11" s="42">
        <v>58810</v>
      </c>
      <c r="I11" s="42">
        <v>58039</v>
      </c>
      <c r="J11" s="30" t="s">
        <v>188</v>
      </c>
      <c r="K11" s="42">
        <v>58301</v>
      </c>
      <c r="L11" s="131" t="s">
        <v>51</v>
      </c>
      <c r="M11" s="132">
        <f t="shared" si="0"/>
        <v>-138.33600000000001</v>
      </c>
      <c r="N11" s="133" t="str">
        <f>VLOOKUP(C11,'Trips&amp;Operators'!$C$1:$G$99999,5,FALSE)</f>
        <v>STARKS ANGELINA</v>
      </c>
      <c r="O11" s="203" t="s">
        <v>180</v>
      </c>
      <c r="P11" s="134" t="s">
        <v>425</v>
      </c>
      <c r="Q11" s="30"/>
      <c r="R11" s="81" t="str">
        <f>VLOOKUP(C11,'Train Runs'!$A$13:$AE$9933,31,0)</f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S11" s="84" t="str">
        <f>VLOOKUP(C11,'Train Runs'!$A$13:$AE$9933,22,0)</f>
        <v>https://d0f6bd738d7f1b3e5a7ca70fe4ff75f0.us-east-1.aws.found.io/app/kibana#/discover/Steve-Slow-Train-Analysis-(2080s-and-2083s)?_g=(refreshInterval:(display:Off,pause:!f,section:0,value:0),time:(from:'2017-07-11T08:43:40-0600',mode:absolute,to:'2017-07-11T11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1" s="86" t="str">
        <f t="shared" si="1"/>
        <v>"C:\Program Files (x86)\AstroGrep\AstroGrep.exe" /e /r /s /spath="%USERPROFILE%\AppData\Local\Temp\OnboardLogs" /stypes="*4031*201707111*"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4031</v>
      </c>
      <c r="V11" s="31">
        <f t="shared" si="3"/>
        <v>42927.6640625</v>
      </c>
      <c r="W11" s="45" t="str">
        <f t="shared" si="4"/>
        <v>EC</v>
      </c>
      <c r="X11" s="22">
        <f t="shared" si="5"/>
        <v>140</v>
      </c>
      <c r="Y11" s="96" t="str">
        <f t="shared" si="6"/>
        <v>echo {"issue":{"subject":"Early arrival","project_id":79,"tracker_id":40,"status_id":1,"priority_id":2,"assigned_to_id":23,"start_date":"2017-07-11","description":"","custom_fields":[{"id":1,"name":"Subdivision","value":"EC"},{"id":4,"name":"Milepost","value":"5.8301"},{"id":17,"name":"Train ID","value":"140-11"},{"id":16,"name":"Locomotive ID","value":"4031"},{"id":130,"name":"Impact","value":""},{"id":150,"name":"Time of Event (Mountain Time)","value":"09:56:15"},{"id":151,"name":"Denver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/c/Users/stu/AppData/Local/Temp/OnboardLogs/RTDC4031 --include="*4031*201707111*"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"%USERPROFILE%\AppData\Local\Temp\OnboardLogs"\RTDC4031\*4031*201707111* &gt;&gt; 2017-07-11-SliceDisagreementCheck.txt</v>
      </c>
      <c r="AE11" s="145" t="str">
        <f t="shared" si="9"/>
        <v>start /low /b %USERPROFILE%\Documents\GitHub\eaglep3\Utilities\DownloadLogsFromS3.py --loco 4031 --day 2017-07-11</v>
      </c>
    </row>
    <row r="12" spans="1:32" s="1" customFormat="1" x14ac:dyDescent="0.25">
      <c r="A12" s="31">
        <v>42927.816747685189</v>
      </c>
      <c r="B12" s="30" t="s">
        <v>503</v>
      </c>
      <c r="C12" s="30" t="s">
        <v>604</v>
      </c>
      <c r="D12" s="30" t="s">
        <v>96</v>
      </c>
      <c r="E12" s="30" t="s">
        <v>187</v>
      </c>
      <c r="F12" s="42">
        <v>190</v>
      </c>
      <c r="G12" s="42">
        <v>244</v>
      </c>
      <c r="H12" s="42">
        <v>63289</v>
      </c>
      <c r="I12" s="42">
        <v>62889</v>
      </c>
      <c r="J12" s="30" t="s">
        <v>188</v>
      </c>
      <c r="K12" s="42">
        <v>63309</v>
      </c>
      <c r="L12" s="131" t="s">
        <v>51</v>
      </c>
      <c r="M12" s="132">
        <f t="shared" si="0"/>
        <v>-221.76</v>
      </c>
      <c r="N12" s="133" t="str">
        <f>VLOOKUP(C12,'Trips&amp;Operators'!$C$1:$G$99999,5,FALSE)</f>
        <v>FORTUNATO FRANK</v>
      </c>
      <c r="O12" s="203" t="s">
        <v>180</v>
      </c>
      <c r="P12" s="134" t="s">
        <v>425</v>
      </c>
      <c r="Q12" s="30"/>
      <c r="R12" s="81" t="str">
        <f>VLOOKUP(C12,'Train Runs'!$A$13:$AE$9933,31,0)</f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S12" s="84" t="str">
        <f>VLOOKUP(C12,'Train Runs'!$A$13:$AE$9933,22,0)</f>
        <v>https://d0f6bd738d7f1b3e5a7ca70fe4ff75f0.us-east-1.aws.found.io/app/kibana#/discover/Steve-Slow-Train-Analysis-(2080s-and-2083s)?_g=(refreshInterval:(display:Off,pause:!f,section:0,value:0),time:(from:'2017-07-11T17:56:33-0600',mode:absolute,to:'2017-07-11T20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2" s="86" t="str">
        <f t="shared" si="1"/>
        <v>"C:\Program Files (x86)\AstroGrep\AstroGrep.exe" /e /r /s /spath="%USERPROFILE%\AppData\Local\Temp\OnboardLogs" /stypes="*4027*201707120*" /stext=" 01:.+((SYSTEM_STATE.+slice.+state.+changed )|(ment ac)|(multiple cpu faults)|(system.+state.+changed )|(\[timeout)|(PRM\|1\|D)|(kpr)|(kdp)|(train st.+moving)|(\|lc)|(penalty))"</v>
      </c>
      <c r="U12" s="9" t="str">
        <f t="shared" si="2"/>
        <v>4027</v>
      </c>
      <c r="V12" s="31">
        <f t="shared" si="3"/>
        <v>42928.066747685189</v>
      </c>
      <c r="W12" s="45" t="str">
        <f t="shared" si="4"/>
        <v>EC</v>
      </c>
      <c r="X12" s="22">
        <f t="shared" si="5"/>
        <v>218</v>
      </c>
      <c r="Y12" s="96" t="str">
        <f t="shared" si="6"/>
        <v>echo {"issue":{"subject":"Early arrival","project_id":79,"tracker_id":40,"status_id":1,"priority_id":2,"assigned_to_id":23,"start_date":"2017-07-11","description":"","custom_fields":[{"id":1,"name":"Subdivision","value":"EC"},{"id":4,"name":"Milepost","value":"6.3309"},{"id":17,"name":"Train ID","value":"218-11"},{"id":16,"name":"Locomotive ID","value":"4027"},{"id":130,"name":"Impact","value":""},{"id":150,"name":"Time of Event (Mountain Time)","value":"19:36:07"},{"id":151,"name":"Denver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/c/Users/stu/AppData/Local/Temp/OnboardLogs/RTDC4027 --include="*4027*201707120*"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"%USERPROFILE%\AppData\Local\Temp\OnboardLogs"\RTDC4027\*4027*201707120* &gt;&gt; 2017-07-11-SliceDisagreementCheck.txt</v>
      </c>
      <c r="AE12" s="145" t="str">
        <f t="shared" si="9"/>
        <v>start /low /b %USERPROFILE%\Documents\GitHub\eaglep3\Utilities\DownloadLogsFromS3.py --loco 4027 --day 2017-07-12</v>
      </c>
    </row>
    <row r="13" spans="1:32" s="1" customFormat="1" x14ac:dyDescent="0.25">
      <c r="A13" s="31">
        <v>42927.673888888887</v>
      </c>
      <c r="B13" s="30" t="s">
        <v>503</v>
      </c>
      <c r="C13" s="30" t="s">
        <v>595</v>
      </c>
      <c r="D13" s="30" t="s">
        <v>49</v>
      </c>
      <c r="E13" s="30" t="s">
        <v>187</v>
      </c>
      <c r="F13" s="42">
        <v>640</v>
      </c>
      <c r="G13" s="42">
        <v>692</v>
      </c>
      <c r="H13" s="42">
        <v>79931</v>
      </c>
      <c r="I13" s="42">
        <v>77137</v>
      </c>
      <c r="J13" s="30" t="s">
        <v>188</v>
      </c>
      <c r="K13" s="42">
        <v>78469</v>
      </c>
      <c r="L13" s="131" t="s">
        <v>51</v>
      </c>
      <c r="M13" s="132">
        <f t="shared" si="0"/>
        <v>-703.29600000000005</v>
      </c>
      <c r="N13" s="133" t="str">
        <f>VLOOKUP(C13,'Trips&amp;Operators'!$C$1:$G$99999,5,FALSE)</f>
        <v>STEWART MICHAEL</v>
      </c>
      <c r="O13" s="203" t="s">
        <v>180</v>
      </c>
      <c r="P13" s="134" t="s">
        <v>425</v>
      </c>
      <c r="Q13" s="30"/>
      <c r="R13" s="81" t="str">
        <f>VLOOKUP(C13,'Train Runs'!$A$13:$AE$9933,31,0)</f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S13" s="84" t="str">
        <f>VLOOKUP(C13,'Train Runs'!$A$13:$AE$9933,22,0)</f>
        <v>https://d0f6bd738d7f1b3e5a7ca70fe4ff75f0.us-east-1.aws.found.io/app/kibana#/discover/Steve-Slow-Train-Analysis-(2080s-and-2083s)?_g=(refreshInterval:(display:Off,pause:!f,section:0,value:0),time:(from:'2017-07-11T14:38:08-0600',mode:absolute,to:'2017-07-11T17:28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 t="shared" si="1"/>
        <v>"C:\Program Files (x86)\AstroGrep\AstroGrep.exe" /e /r /s /spath="%USERPROFILE%\AppData\Local\Temp\OnboardLogs" /stypes="*4027*201707112*"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4027</v>
      </c>
      <c r="V13" s="31">
        <f t="shared" si="3"/>
        <v>42927.923888888887</v>
      </c>
      <c r="W13" s="45" t="str">
        <f t="shared" si="4"/>
        <v>EC</v>
      </c>
      <c r="X13" s="22">
        <f t="shared" si="5"/>
        <v>190</v>
      </c>
      <c r="Y13" s="96" t="str">
        <f t="shared" si="6"/>
        <v>echo {"issue":{"subject":"Early arrival","project_id":79,"tracker_id":40,"status_id":1,"priority_id":2,"assigned_to_id":23,"start_date":"2017-07-11","description":"","custom_fields":[{"id":1,"name":"Subdivision","value":"EC"},{"id":4,"name":"Milepost","value":"7.8469"},{"id":17,"name":"Train ID","value":"190-11"},{"id":16,"name":"Locomotive ID","value":"4027"},{"id":130,"name":"Impact","value":""},{"id":150,"name":"Time of Event (Mountain Time)","value":"16:10:24"},{"id":151,"name":"Denver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/c/Users/stu/AppData/Local/Temp/OnboardLogs/RTDC4027 --include="*4027*201707112*"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"%USERPROFILE%\AppData\Local\Temp\OnboardLogs"\RTDC4027\*4027*201707112* &gt;&gt; 2017-07-11-SliceDisagreementCheck.txt</v>
      </c>
      <c r="AE13" s="145" t="str">
        <f t="shared" si="9"/>
        <v>start /low /b %USERPROFILE%\Documents\GitHub\eaglep3\Utilities\DownloadLogsFromS3.py --loco 4027 --day 2017-07-11</v>
      </c>
    </row>
    <row r="14" spans="1:32" x14ac:dyDescent="0.25">
      <c r="A14" s="31">
        <v>42927.575497685182</v>
      </c>
      <c r="B14" s="30" t="s">
        <v>426</v>
      </c>
      <c r="C14" s="30" t="s">
        <v>585</v>
      </c>
      <c r="D14" s="30" t="s">
        <v>49</v>
      </c>
      <c r="E14" s="30" t="s">
        <v>187</v>
      </c>
      <c r="F14" s="42">
        <v>0</v>
      </c>
      <c r="G14" s="42">
        <v>215</v>
      </c>
      <c r="H14" s="42">
        <v>110261</v>
      </c>
      <c r="I14" s="42">
        <v>109692</v>
      </c>
      <c r="J14" s="30" t="s">
        <v>188</v>
      </c>
      <c r="K14" s="42">
        <v>109135</v>
      </c>
      <c r="L14" s="131" t="s">
        <v>51</v>
      </c>
      <c r="M14" s="132">
        <f t="shared" si="0"/>
        <v>294.096</v>
      </c>
      <c r="N14" s="133" t="str">
        <f>VLOOKUP(C14,'Trips&amp;Operators'!$C$1:$G$99999,5,FALSE)</f>
        <v>DAVIS MICHAEL</v>
      </c>
      <c r="O14" s="203" t="s">
        <v>180</v>
      </c>
      <c r="P14" s="134" t="s">
        <v>1033</v>
      </c>
      <c r="Q14" s="30"/>
      <c r="R14" s="81" t="str">
        <f>VLOOKUP(C14,'Train Runs'!$A$13:$AE$9933,31,0)</f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S14" s="84" t="str">
        <f>VLOOKUP(C14,'Train Runs'!$A$13:$AE$9933,22,0)</f>
        <v>https://d0f6bd738d7f1b3e5a7ca70fe4ff75f0.us-east-1.aws.found.io/app/kibana#/discover/Steve-Slow-Train-Analysis-(2080s-and-2083s)?_g=(refreshInterval:(display:Off,pause:!f,section:0,value:0),time:(from:'2017-07-11T12:24:00-0600',mode:absolute,to:'2017-07-11T15:13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4" s="86" t="str">
        <f t="shared" si="1"/>
        <v>"C:\Program Files (x86)\AstroGrep\AstroGrep.exe" /e /r /s /spath="%USERPROFILE%\AppData\Local\Temp\OnboardLogs" /stypes="*4007*201707111*" /stext=" 19:.+((SYSTEM_STATE.+slice.+state.+changed )|(ment ac)|(multiple cpu faults)|(system.+state.+changed )|(\[timeout)|(PRM\|1\|D)|(kpr)|(kdp)|(train st.+moving)|(\|lc)|(penalty))"</v>
      </c>
      <c r="U14" s="9" t="str">
        <f t="shared" si="2"/>
        <v>4007</v>
      </c>
      <c r="V14" s="31">
        <f t="shared" si="3"/>
        <v>42927.825497685182</v>
      </c>
      <c r="W14" s="45" t="str">
        <f t="shared" si="4"/>
        <v>EC</v>
      </c>
      <c r="X14" s="22">
        <f t="shared" si="5"/>
        <v>172</v>
      </c>
      <c r="Y14" s="96" t="str">
        <f t="shared" si="6"/>
        <v>echo {"issue":{"subject":"Form C","project_id":79,"tracker_id":40,"status_id":1,"priority_id":2,"assigned_to_id":23,"start_date":"2017-07-11","description":"","custom_fields":[{"id":1,"name":"Subdivision","value":"EC"},{"id":4,"name":"Milepost","value":"10.9135"},{"id":17,"name":"Train ID","value":"172-11"},{"id":16,"name":"Locomotive ID","value":"4007"},{"id":130,"name":"Impact","value":""},{"id":150,"name":"Time of Event (Mountain Time)","value":"13:48:43"},{"id":151,"name":"Denver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/c/Users/stu/AppData/Local/Temp/OnboardLogs/RTDC4007 --include="*4007*201707111*"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"%USERPROFILE%\AppData\Local\Temp\OnboardLogs"\RTDC4007\*4007*201707111* &gt;&gt; 2017-07-11-SliceDisagreementCheck.txt</v>
      </c>
      <c r="AE14" s="145" t="str">
        <f t="shared" si="9"/>
        <v>start /low /b %USERPROFILE%\Documents\GitHub\eaglep3\Utilities\DownloadLogsFromS3.py --loco 4007 --day 2017-07-11</v>
      </c>
      <c r="AF14" s="1"/>
    </row>
    <row r="15" spans="1:32" x14ac:dyDescent="0.25">
      <c r="A15" s="31">
        <v>42927.576331018521</v>
      </c>
      <c r="B15" s="30" t="s">
        <v>426</v>
      </c>
      <c r="C15" s="30" t="s">
        <v>585</v>
      </c>
      <c r="D15" s="30" t="s">
        <v>96</v>
      </c>
      <c r="E15" s="30" t="s">
        <v>187</v>
      </c>
      <c r="F15" s="42">
        <v>20</v>
      </c>
      <c r="G15" s="42">
        <v>70</v>
      </c>
      <c r="H15" s="42">
        <v>109116</v>
      </c>
      <c r="I15" s="42">
        <v>109090</v>
      </c>
      <c r="J15" s="30" t="s">
        <v>188</v>
      </c>
      <c r="K15" s="42">
        <v>109135</v>
      </c>
      <c r="L15" s="131" t="s">
        <v>51</v>
      </c>
      <c r="M15" s="132">
        <f t="shared" si="0"/>
        <v>-23.76</v>
      </c>
      <c r="N15" s="133" t="str">
        <f>VLOOKUP(C15,'Trips&amp;Operators'!$C$1:$G$99999,5,FALSE)</f>
        <v>DAVIS MICHAEL</v>
      </c>
      <c r="O15" s="203" t="s">
        <v>180</v>
      </c>
      <c r="P15" s="134" t="s">
        <v>425</v>
      </c>
      <c r="Q15" s="30"/>
      <c r="R15" s="81" t="str">
        <f>VLOOKUP(C15,'Train Runs'!$A$13:$AE$9933,31,0)</f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S15" s="84" t="str">
        <f>VLOOKUP(C15,'Train Runs'!$A$13:$AE$9933,22,0)</f>
        <v>https://d0f6bd738d7f1b3e5a7ca70fe4ff75f0.us-east-1.aws.found.io/app/kibana#/discover/Steve-Slow-Train-Analysis-(2080s-and-2083s)?_g=(refreshInterval:(display:Off,pause:!f,section:0,value:0),time:(from:'2017-07-11T12:24:00-0600',mode:absolute,to:'2017-07-11T15:13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86" t="str">
        <f t="shared" si="1"/>
        <v>"C:\Program Files (x86)\AstroGrep\AstroGrep.exe" /e /r /s /spath="%USERPROFILE%\AppData\Local\Temp\OnboardLogs" /stypes="*4007*201707111*" /stext=" 19:.+((SYSTEM_STATE.+slice.+state.+changed )|(ment ac)|(multiple cpu faults)|(system.+state.+changed )|(\[timeout)|(PRM\|1\|D)|(kpr)|(kdp)|(train st.+moving)|(\|lc)|(penalty))"</v>
      </c>
      <c r="U15" s="9" t="str">
        <f t="shared" si="2"/>
        <v>4007</v>
      </c>
      <c r="V15" s="31">
        <f t="shared" si="3"/>
        <v>42927.826331018521</v>
      </c>
      <c r="W15" s="45" t="str">
        <f t="shared" si="4"/>
        <v>EC</v>
      </c>
      <c r="X15" s="22">
        <f t="shared" si="5"/>
        <v>172</v>
      </c>
      <c r="Y15" s="96" t="str">
        <f t="shared" si="6"/>
        <v>echo {"issue":{"subject":"Early arrival","project_id":79,"tracker_id":40,"status_id":1,"priority_id":2,"assigned_to_id":23,"start_date":"2017-07-11","description":"","custom_fields":[{"id":1,"name":"Subdivision","value":"EC"},{"id":4,"name":"Milepost","value":"10.9135"},{"id":17,"name":"Train ID","value":"172-11"},{"id":16,"name":"Locomotive ID","value":"4007"},{"id":130,"name":"Impact","value":""},{"id":150,"name":"Time of Event (Mountain Time)","value":"13:49:55"},{"id":151,"name":"Denver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/c/Users/stu/AppData/Local/Temp/OnboardLogs/RTDC4007 --include="*4007*201707111*"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"%USERPROFILE%\AppData\Local\Temp\OnboardLogs"\RTDC4007\*4007*201707111* &gt;&gt; 2017-07-11-SliceDisagreementCheck.txt</v>
      </c>
      <c r="AE15" s="145" t="str">
        <f t="shared" si="9"/>
        <v>start /low /b %USERPROFILE%\Documents\GitHub\eaglep3\Utilities\DownloadLogsFromS3.py --loco 4007 --day 2017-07-11</v>
      </c>
      <c r="AF15" s="1"/>
    </row>
    <row r="16" spans="1:32" x14ac:dyDescent="0.25">
      <c r="A16" s="31">
        <v>42927.948182870372</v>
      </c>
      <c r="B16" s="30" t="s">
        <v>426</v>
      </c>
      <c r="C16" s="30" t="s">
        <v>608</v>
      </c>
      <c r="D16" s="30" t="s">
        <v>49</v>
      </c>
      <c r="E16" s="30" t="s">
        <v>187</v>
      </c>
      <c r="F16" s="42">
        <v>400</v>
      </c>
      <c r="G16" s="42">
        <v>458</v>
      </c>
      <c r="H16" s="42">
        <v>110372</v>
      </c>
      <c r="I16" s="42">
        <v>108958</v>
      </c>
      <c r="J16" s="30" t="s">
        <v>188</v>
      </c>
      <c r="K16" s="42">
        <v>109135</v>
      </c>
      <c r="L16" s="131" t="s">
        <v>51</v>
      </c>
      <c r="M16" s="132">
        <f t="shared" si="0"/>
        <v>-93.456000000000003</v>
      </c>
      <c r="N16" s="133" t="str">
        <f>VLOOKUP(C16,'Trips&amp;Operators'!$C$1:$G$99999,5,FALSE)</f>
        <v>BIRKHOLZ NADINE</v>
      </c>
      <c r="O16" s="203" t="s">
        <v>180</v>
      </c>
      <c r="P16" s="134" t="s">
        <v>425</v>
      </c>
      <c r="Q16" s="30"/>
      <c r="R16" s="81" t="str">
        <f>VLOOKUP(C16,'Train Runs'!$A$13:$AE$9933,31,0)</f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S16" s="84" t="str">
        <f>VLOOKUP(C16,'Train Runs'!$A$13:$AE$9933,22,0)</f>
        <v>https://d0f6bd738d7f1b3e5a7ca70fe4ff75f0.us-east-1.aws.found.io/app/kibana#/discover/Steve-Slow-Train-Analysis-(2080s-and-2083s)?_g=(refreshInterval:(display:Off,pause:!f,section:0,value:0),time:(from:'2017-07-11T21:15:41-0600',mode:absolute,to:'2017-07-12T00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86" t="str">
        <f t="shared" si="1"/>
        <v>"C:\Program Files (x86)\AstroGrep\AstroGrep.exe" /e /r /s /spath="%USERPROFILE%\AppData\Local\Temp\OnboardLogs" /stypes="*4007*201707120*" /stext=" 04:.+((SYSTEM_STATE.+slice.+state.+changed )|(ment ac)|(multiple cpu faults)|(system.+state.+changed )|(\[timeout)|(PRM\|1\|D)|(kpr)|(kdp)|(train st.+moving)|(\|lc)|(penalty))"</v>
      </c>
      <c r="U16" s="9" t="str">
        <f t="shared" si="2"/>
        <v>4007</v>
      </c>
      <c r="V16" s="31">
        <f t="shared" si="3"/>
        <v>42928.198182870372</v>
      </c>
      <c r="W16" s="45" t="str">
        <f t="shared" si="4"/>
        <v>EC</v>
      </c>
      <c r="X16" s="22">
        <f t="shared" si="5"/>
        <v>232</v>
      </c>
      <c r="Y16" s="96" t="str">
        <f t="shared" si="6"/>
        <v>echo {"issue":{"subject":"Early arrival","project_id":79,"tracker_id":40,"status_id":1,"priority_id":2,"assigned_to_id":23,"start_date":"2017-07-11","description":"","custom_fields":[{"id":1,"name":"Subdivision","value":"EC"},{"id":4,"name":"Milepost","value":"10.9135"},{"id":17,"name":"Train ID","value":"232-11"},{"id":16,"name":"Locomotive ID","value":"4007"},{"id":130,"name":"Impact","value":""},{"id":150,"name":"Time of Event (Mountain Time)","value":"22:45:23"},{"id":151,"name":"Denver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/c/Users/stu/AppData/Local/Temp/OnboardLogs/RTDC4007 --include="*4007*201707120*"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"%USERPROFILE%\AppData\Local\Temp\OnboardLogs"\RTDC4007\*4007*201707120* &gt;&gt; 2017-07-11-SliceDisagreementCheck.txt</v>
      </c>
      <c r="AE16" s="145" t="str">
        <f t="shared" si="9"/>
        <v>start /low /b %USERPROFILE%\Documents\GitHub\eaglep3\Utilities\DownloadLogsFromS3.py --loco 4007 --day 2017-07-12</v>
      </c>
      <c r="AF16" s="1"/>
    </row>
    <row r="17" spans="1:32" x14ac:dyDescent="0.25">
      <c r="A17" s="31">
        <v>42927.854363425926</v>
      </c>
      <c r="B17" s="30" t="s">
        <v>512</v>
      </c>
      <c r="C17" s="30" t="s">
        <v>605</v>
      </c>
      <c r="D17" s="30" t="s">
        <v>49</v>
      </c>
      <c r="E17" s="30" t="s">
        <v>197</v>
      </c>
      <c r="F17" s="42">
        <v>300</v>
      </c>
      <c r="G17" s="42">
        <v>353</v>
      </c>
      <c r="H17" s="42">
        <v>22587</v>
      </c>
      <c r="I17" s="42">
        <v>21647</v>
      </c>
      <c r="J17" s="30" t="s">
        <v>198</v>
      </c>
      <c r="K17" s="42">
        <v>21848</v>
      </c>
      <c r="L17" s="131" t="s">
        <v>51</v>
      </c>
      <c r="M17" s="132">
        <f t="shared" si="0"/>
        <v>-106.128</v>
      </c>
      <c r="N17" s="133" t="str">
        <f>VLOOKUP(C17,'Trips&amp;Operators'!$C$1:$G$99999,5,FALSE)</f>
        <v>HAITHCOX MICHAEL</v>
      </c>
      <c r="O17" s="203" t="s">
        <v>180</v>
      </c>
      <c r="P17" s="134"/>
      <c r="Q17" s="30"/>
      <c r="R17" s="81" t="str">
        <f>VLOOKUP(C17,'Train Runs'!$A$13:$AE$9933,31,0)</f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S17" s="84" t="str">
        <f>VLOOKUP(C17,'Train Runs'!$A$13:$AE$9933,22,0)</f>
        <v>https://d0f6bd738d7f1b3e5a7ca70fe4ff75f0.us-east-1.aws.found.io/app/kibana#/discover/Steve-Slow-Train-Analysis-(2080s-and-2083s)?_g=(refreshInterval:(display:Off,pause:!f,section:0,value:0),time:(from:'2017-07-11T18:41:42-0600',mode:absolute,to:'2017-07-11T21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7" s="86" t="str">
        <f t="shared" si="1"/>
        <v>"C:\Program Files (x86)\AstroGrep\AstroGrep.exe" /e /r /s /spath="%USERPROFILE%\AppData\Local\Temp\OnboardLogs" /stypes="*4031*201707120*" /stext=" 02:.+((SYSTEM_STATE.+slice.+state.+changed )|(ment ac)|(multiple cpu faults)|(system.+state.+changed )|(\[timeout)|(PRM\|1\|D)|(kpr)|(kdp)|(train st.+moving)|(\|lc)|(penalty))"</v>
      </c>
      <c r="U17" s="9" t="str">
        <f t="shared" si="2"/>
        <v>4031</v>
      </c>
      <c r="V17" s="31">
        <f t="shared" si="3"/>
        <v>42928.104363425926</v>
      </c>
      <c r="W17" s="45" t="str">
        <f t="shared" si="4"/>
        <v>EC</v>
      </c>
      <c r="X17" s="22">
        <f t="shared" si="5"/>
        <v>222</v>
      </c>
      <c r="Y17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{"issue":{"subject":"","project_id":79,"tracker_id":40,"status_id":1,"priority_id":2,"assigned_to_id":23,"start_date":"2017-07-11","description":"","custom_fields":[{"id":1,"name":"Subdivision","value":"EC"},{"id":4,"name":"Milepost","value":"2.1848"},{"id":17,"name":"Train ID","value":"222-11"},{"id":16,"name":"Locomotive ID","value":"4031"},{"id":130,"name":"Impact","value":""},{"id":150,"name":"Time of Event (Mountain Time)","value":"20:30:17"},{"id":151,"name":"Denver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/c/Users/stu/AppData/Local/Temp/OnboardLogs/RTDC4031 --include="*4031*201707120*"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"%USERPROFILE%\AppData\Local\Temp\OnboardLogs"\RTDC4031\*4031*201707120* &gt;&gt; 2017-07-11-SliceDisagreementCheck.txt</v>
      </c>
      <c r="AE17" s="145" t="str">
        <f t="shared" si="9"/>
        <v>start /low /b %USERPROFILE%\Documents\GitHub\eaglep3\Utilities\DownloadLogsFromS3.py --loco 4031 --day 2017-07-12</v>
      </c>
      <c r="AF17" s="1"/>
    </row>
    <row r="18" spans="1:32" x14ac:dyDescent="0.25">
      <c r="A18" s="31">
        <v>42927.776203703703</v>
      </c>
      <c r="B18" s="30" t="s">
        <v>336</v>
      </c>
      <c r="C18" s="30" t="s">
        <v>600</v>
      </c>
      <c r="D18" s="30" t="s">
        <v>49</v>
      </c>
      <c r="E18" s="30" t="s">
        <v>197</v>
      </c>
      <c r="F18" s="42">
        <v>400</v>
      </c>
      <c r="G18" s="42">
        <v>507</v>
      </c>
      <c r="H18" s="42">
        <v>116157</v>
      </c>
      <c r="I18" s="42">
        <v>117378</v>
      </c>
      <c r="J18" s="30" t="s">
        <v>198</v>
      </c>
      <c r="K18" s="42">
        <v>116838</v>
      </c>
      <c r="L18" s="131" t="s">
        <v>50</v>
      </c>
      <c r="M18" s="132">
        <f t="shared" si="0"/>
        <v>-285.12</v>
      </c>
      <c r="N18" s="133" t="str">
        <f>VLOOKUP(C18,'Trips&amp;Operators'!$C$1:$G$99999,5,FALSE)</f>
        <v>FORTUNATO FRANK</v>
      </c>
      <c r="O18" s="203" t="s">
        <v>180</v>
      </c>
      <c r="P18" s="134"/>
      <c r="Q18" s="30"/>
      <c r="R18" s="81" t="str">
        <f>VLOOKUP(C18,'Train Runs'!$A$13:$AE$9933,31,0)</f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S18" s="84" t="str">
        <f>VLOOKUP(C18,'Train Runs'!$A$13:$AE$9933,22,0)</f>
        <v>https://d0f6bd738d7f1b3e5a7ca70fe4ff75f0.us-east-1.aws.found.io/app/kibana#/discover/Steve-Slow-Train-Analysis-(2080s-and-2083s)?_g=(refreshInterval:(display:Off,pause:!f,section:0,value:0),time:(from:'2017-07-11T17:11:22-0600',mode:absolute,to:'2017-07-11T19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86" t="str">
        <f t="shared" si="1"/>
        <v>"C:\Program Files (x86)\AstroGrep\AstroGrep.exe" /e /r /s /spath="%USERPROFILE%\AppData\Local\Temp\OnboardLogs" /stypes="*4028*201707120*"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4028</v>
      </c>
      <c r="V18" s="31">
        <f t="shared" si="3"/>
        <v>42928.026203703703</v>
      </c>
      <c r="W18" s="45" t="str">
        <f t="shared" si="4"/>
        <v>EC</v>
      </c>
      <c r="X18" s="22">
        <f t="shared" si="5"/>
        <v>217</v>
      </c>
      <c r="Y18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{"issue":{"subject":"","project_id":79,"tracker_id":40,"status_id":1,"priority_id":2,"assigned_to_id":23,"start_date":"2017-07-11","description":"","custom_fields":[{"id":1,"name":"Subdivision","value":"EC"},{"id":4,"name":"Milepost","value":"11.6838"},{"id":17,"name":"Train ID","value":"217-11"},{"id":16,"name":"Locomotive ID","value":"4028"},{"id":130,"name":"Impact","value":""},{"id":150,"name":"Time of Event (Mountain Time)","value":"18:37:44"},{"id":151,"name":"Denver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/c/Users/stu/AppData/Local/Temp/OnboardLogs/RTDC4028 --include="*4028*201707120*"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"%USERPROFILE%\AppData\Local\Temp\OnboardLogs"\RTDC4028\*4028*201707120* &gt;&gt; 2017-07-11-SliceDisagreementCheck.txt</v>
      </c>
      <c r="AE18" s="145" t="str">
        <f t="shared" si="9"/>
        <v>start /low /b %USERPROFILE%\Documents\GitHub\eaglep3\Utilities\DownloadLogsFromS3.py --loco 4028 --day 2017-07-12</v>
      </c>
      <c r="AF18" s="1"/>
    </row>
    <row r="19" spans="1:32" x14ac:dyDescent="0.25">
      <c r="A19" s="31">
        <v>42927.436701388891</v>
      </c>
      <c r="B19" s="30" t="s">
        <v>435</v>
      </c>
      <c r="C19" s="30" t="s">
        <v>579</v>
      </c>
      <c r="D19" s="30" t="s">
        <v>49</v>
      </c>
      <c r="E19" s="30" t="s">
        <v>197</v>
      </c>
      <c r="F19" s="42">
        <v>400</v>
      </c>
      <c r="G19" s="42">
        <v>526</v>
      </c>
      <c r="H19" s="42">
        <v>121480</v>
      </c>
      <c r="I19" s="42">
        <v>119630</v>
      </c>
      <c r="J19" s="30" t="s">
        <v>198</v>
      </c>
      <c r="K19" s="42">
        <v>119716</v>
      </c>
      <c r="L19" s="131" t="s">
        <v>51</v>
      </c>
      <c r="M19" s="132">
        <f t="shared" si="0"/>
        <v>-45.408000000000001</v>
      </c>
      <c r="N19" s="133" t="str">
        <f>VLOOKUP(C19,'Trips&amp;Operators'!$C$1:$G$99999,5,FALSE)</f>
        <v>ANDERS STEVEN</v>
      </c>
      <c r="O19" s="203" t="s">
        <v>180</v>
      </c>
      <c r="P19" s="134"/>
      <c r="Q19" s="30"/>
      <c r="R19" s="81" t="str">
        <f>VLOOKUP(C19,'Train Runs'!$A$13:$AE$9933,31,0)</f>
        <v>aws s3 cp s3://rtdc.mdm.uploadarchive.raw/RTDC4063/ "%USERPROFILE%\AppData\Local\Temp\OnboardLogs"\RTDC4063\2017-07-11 --exclude "*" --recursive --include "*20170711*" &amp; "%USERPROFILE%\Documents\GitHub\mrs-test-scripts\Headless Mode &amp; Sideloading\WalkAndUnGZ.bat" "%USERPROFILE%\AppData\Local\Temp\OnboardLogs"\RTDC4063\2017-07-11 &amp; aws s3 cp s3://rtdc.mdm.uploadarchive.raw/RTDC4063/ "%USERPROFILE%\AppData\Local\Temp\OnboardLogs"\RTDC4063\2017-07-12 --exclude "*" --recursive --include "*20170712*" &amp; "%USERPROFILE%\Documents\GitHub\mrs-test-scripts\Headless Mode &amp; Sideloading\WalkAndUnGZ.bat" "%USERPROFILE%\AppData\Local\Temp\OnboardLogs"\RTDC4063\2017-07-12</v>
      </c>
      <c r="S19" s="84" t="str">
        <f>VLOOKUP(C19,'Train Runs'!$A$13:$AE$9933,22,0)</f>
        <v>https://d0f6bd738d7f1b3e5a7ca70fe4ff75f0.us-east-1.aws.found.io/app/kibana#/discover/Steve-Slow-Train-Analysis-(2080s-and-2083s)?_g=(refreshInterval:(display:Off,pause:!f,section:0,value:0),time:(from:'2017-07-11T08:56:16-0600',mode:absolute,to:'2017-07-11T11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9" s="86" t="str">
        <f t="shared" si="1"/>
        <v>"C:\Program Files (x86)\AstroGrep\AstroGrep.exe" /e /r /s /spath="%USERPROFILE%\AppData\Local\Temp\OnboardLogs" /stypes="*4063*201707111*"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4063</v>
      </c>
      <c r="V19" s="31">
        <f t="shared" si="3"/>
        <v>42927.686701388891</v>
      </c>
      <c r="W19" s="45" t="str">
        <f t="shared" si="4"/>
        <v>EC</v>
      </c>
      <c r="X19" s="22">
        <f t="shared" si="5"/>
        <v>146</v>
      </c>
      <c r="Y19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{"issue":{"subject":"","project_id":79,"tracker_id":40,"status_id":1,"priority_id":2,"assigned_to_id":23,"start_date":"2017-07-11","description":"","custom_fields":[{"id":1,"name":"Subdivision","value":"EC"},{"id":4,"name":"Milepost","value":"11.9716"},{"id":17,"name":"Train ID","value":"146-11"},{"id":16,"name":"Locomotive ID","value":"4063"},{"id":130,"name":"Impact","value":""},{"id":150,"name":"Time of Event (Mountain Time)","value":"10:28:51"},{"id":151,"name":"Denver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/c/Users/stu/AppData/Local/Temp/OnboardLogs/RTDC4063 --include="*4063*201707111*"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"%USERPROFILE%\AppData\Local\Temp\OnboardLogs"\RTDC4063\*4063*201707111* &gt;&gt; 2017-07-11-SliceDisagreementCheck.txt</v>
      </c>
      <c r="AE19" s="145" t="str">
        <f t="shared" si="9"/>
        <v>start /low /b %USERPROFILE%\Documents\GitHub\eaglep3\Utilities\DownloadLogsFromS3.py --loco 4063 --day 2017-07-11</v>
      </c>
      <c r="AF19" s="1"/>
    </row>
    <row r="20" spans="1:32" x14ac:dyDescent="0.25">
      <c r="A20" s="31">
        <v>42927.432337962964</v>
      </c>
      <c r="B20" s="30" t="s">
        <v>502</v>
      </c>
      <c r="C20" s="30" t="s">
        <v>578</v>
      </c>
      <c r="D20" s="30" t="s">
        <v>96</v>
      </c>
      <c r="E20" s="30" t="s">
        <v>197</v>
      </c>
      <c r="F20" s="42">
        <v>600</v>
      </c>
      <c r="G20" s="42">
        <v>650</v>
      </c>
      <c r="H20" s="42">
        <v>123899</v>
      </c>
      <c r="I20" s="42">
        <v>126961</v>
      </c>
      <c r="J20" s="30" t="s">
        <v>198</v>
      </c>
      <c r="K20" s="42">
        <v>119716</v>
      </c>
      <c r="L20" s="131" t="s">
        <v>50</v>
      </c>
      <c r="M20" s="132">
        <f t="shared" si="0"/>
        <v>-3825.36</v>
      </c>
      <c r="N20" s="133" t="str">
        <f>VLOOKUP(C20,'Trips&amp;Operators'!$C$1:$G$99999,5,FALSE)</f>
        <v>MACDONALD THOMAS</v>
      </c>
      <c r="O20" s="203" t="s">
        <v>180</v>
      </c>
      <c r="P20" s="134"/>
      <c r="Q20" s="30"/>
      <c r="R20" s="81" t="str">
        <f>VLOOKUP(C20,'Train Runs'!$A$13:$AE$9933,31,0)</f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S20" s="84" t="str">
        <f>VLOOKUP(C20,'Train Runs'!$A$13:$AE$9933,22,0)</f>
        <v>https://d0f6bd738d7f1b3e5a7ca70fe4ff75f0.us-east-1.aws.found.io/app/kibana#/discover/Steve-Slow-Train-Analysis-(2080s-and-2083s)?_g=(refreshInterval:(display:Off,pause:!f,section:0,value:0),time:(from:'2017-07-11T08:51:54-0600',mode:absolute,to:'2017-07-11T11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0" s="86" t="str">
        <f t="shared" si="1"/>
        <v>"C:\Program Files (x86)\AstroGrep\AstroGrep.exe" /e /r /s /spath="%USERPROFILE%\AppData\Local\Temp\OnboardLogs" /stypes="*4016*201707111*"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4016</v>
      </c>
      <c r="V20" s="31">
        <f t="shared" si="3"/>
        <v>42927.682337962964</v>
      </c>
      <c r="W20" s="45" t="str">
        <f t="shared" si="4"/>
        <v>EC</v>
      </c>
      <c r="X20" s="22">
        <f t="shared" si="5"/>
        <v>151</v>
      </c>
      <c r="Y20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{"issue":{"subject":"","project_id":79,"tracker_id":40,"status_id":1,"priority_id":2,"assigned_to_id":23,"start_date":"2017-07-11","description":"","custom_fields":[{"id":1,"name":"Subdivision","value":"EC"},{"id":4,"name":"Milepost","value":"11.9716"},{"id":17,"name":"Train ID","value":"151-11"},{"id":16,"name":"Locomotive ID","value":"4016"},{"id":130,"name":"Impact","value":""},{"id":150,"name":"Time of Event (Mountain Time)","value":"10:22:34"},{"id":151,"name":"Denver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/c/Users/stu/AppData/Local/Temp/OnboardLogs/RTDC4016 --include="*4016*201707111*"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"%USERPROFILE%\AppData\Local\Temp\OnboardLogs"\RTDC4016\*4016*201707111* &gt;&gt; 2017-07-11-SliceDisagreementCheck.txt</v>
      </c>
      <c r="AE20" s="145" t="str">
        <f t="shared" si="9"/>
        <v>start /low /b %USERPROFILE%\Documents\GitHub\eaglep3\Utilities\DownloadLogsFromS3.py --loco 4016 --day 2017-07-11</v>
      </c>
      <c r="AF20" s="1"/>
    </row>
    <row r="21" spans="1:32" x14ac:dyDescent="0.25">
      <c r="A21" s="31">
        <v>42927.510405092595</v>
      </c>
      <c r="B21" s="30" t="s">
        <v>503</v>
      </c>
      <c r="C21" s="30" t="s">
        <v>583</v>
      </c>
      <c r="D21" s="30" t="s">
        <v>96</v>
      </c>
      <c r="E21" s="30" t="s">
        <v>197</v>
      </c>
      <c r="F21" s="42">
        <v>350</v>
      </c>
      <c r="G21" s="42">
        <v>414</v>
      </c>
      <c r="H21" s="42">
        <v>224610</v>
      </c>
      <c r="I21" s="42">
        <v>222653</v>
      </c>
      <c r="J21" s="30" t="s">
        <v>198</v>
      </c>
      <c r="K21" s="42">
        <v>232107</v>
      </c>
      <c r="L21" s="131" t="s">
        <v>51</v>
      </c>
      <c r="M21" s="132">
        <f t="shared" si="0"/>
        <v>-4991.7120000000004</v>
      </c>
      <c r="N21" s="133" t="str">
        <f>VLOOKUP(C21,'Trips&amp;Operators'!$C$1:$G$99999,5,FALSE)</f>
        <v>MILLER KEVIN</v>
      </c>
      <c r="O21" s="203" t="s">
        <v>180</v>
      </c>
      <c r="P21" s="134"/>
      <c r="Q21" s="30"/>
      <c r="R21" s="81" t="str">
        <f>VLOOKUP(C21,'Train Runs'!$A$13:$AE$9933,31,0)</f>
        <v>aws s3 cp s3://rtdc.mdm.uploadarchive.raw/RTDC4027/ "%USERPROFILE%\AppData\Local\Temp\OnboardLogs"\RTDC4027\2017-07-11 --exclude "*" --recursive --include "*20170711*" &amp; "%USERPROFILE%\Documents\GitHub\mrs-test-scripts\Headless Mode &amp; Sideloading\WalkAndUnGZ.bat" "%USERPROFILE%\AppData\Local\Temp\OnboardLogs"\RTDC4027\2017-07-11 &amp; aws s3 cp s3://rtdc.mdm.uploadarchive.raw/RTDC4027/ "%USERPROFILE%\AppData\Local\Temp\OnboardLogs"\RTDC4027\2017-07-12 --exclude "*" --recursive --include "*20170712*" &amp; "%USERPROFILE%\Documents\GitHub\mrs-test-scripts\Headless Mode &amp; Sideloading\WalkAndUnGZ.bat" "%USERPROFILE%\AppData\Local\Temp\OnboardLogs"\RTDC4027\2017-07-12</v>
      </c>
      <c r="S21" s="84" t="str">
        <f>VLOOKUP(C21,'Train Runs'!$A$13:$AE$9933,22,0)</f>
        <v>https://d0f6bd738d7f1b3e5a7ca70fe4ff75f0.us-east-1.aws.found.io/app/kibana#/discover/Steve-Slow-Train-Analysis-(2080s-and-2083s)?_g=(refreshInterval:(display:Off,pause:!f,section:0,value:0),time:(from:'2017-07-11T11:03:03-0600',mode:absolute,to:'2017-07-11T13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86" t="str">
        <f t="shared" si="1"/>
        <v>"C:\Program Files (x86)\AstroGrep\AstroGrep.exe" /e /r /s /spath="%USERPROFILE%\AppData\Local\Temp\OnboardLogs" /stypes="*4027*201707111*"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4027</v>
      </c>
      <c r="V21" s="31">
        <f t="shared" si="3"/>
        <v>42927.760405092595</v>
      </c>
      <c r="W21" s="45" t="str">
        <f t="shared" si="4"/>
        <v>EC</v>
      </c>
      <c r="X21" s="22">
        <f t="shared" si="5"/>
        <v>162</v>
      </c>
      <c r="Y21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{"issue":{"subject":"","project_id":79,"tracker_id":40,"status_id":1,"priority_id":2,"assigned_to_id":23,"start_date":"2017-07-11","description":"","custom_fields":[{"id":1,"name":"Subdivision","value":"EC"},{"id":4,"name":"Milepost","value":"23.2107"},{"id":17,"name":"Train ID","value":"162-11"},{"id":16,"name":"Locomotive ID","value":"4027"},{"id":130,"name":"Impact","value":""},{"id":150,"name":"Time of Event (Mountain Time)","value":"12:14:59"},{"id":151,"name":"Denver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/c/Users/stu/AppData/Local/Temp/OnboardLogs/RTDC4027 --include="*4027*201707111*"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"%USERPROFILE%\AppData\Local\Temp\OnboardLogs"\RTDC4027\*4027*201707111* &gt;&gt; 2017-07-11-SliceDisagreementCheck.txt</v>
      </c>
      <c r="AE21" s="145" t="str">
        <f t="shared" si="9"/>
        <v>start /low /b %USERPROFILE%\Documents\GitHub\eaglep3\Utilities\DownloadLogsFromS3.py --loco 4027 --day 2017-07-11</v>
      </c>
      <c r="AF21" s="1"/>
    </row>
    <row r="22" spans="1:32" x14ac:dyDescent="0.25">
      <c r="A22" s="31">
        <v>42927.694398148145</v>
      </c>
      <c r="B22" s="30" t="s">
        <v>573</v>
      </c>
      <c r="C22" s="30" t="s">
        <v>597</v>
      </c>
      <c r="D22" s="30" t="s">
        <v>49</v>
      </c>
      <c r="E22" s="30" t="s">
        <v>357</v>
      </c>
      <c r="F22" s="42">
        <v>0</v>
      </c>
      <c r="G22" s="42">
        <v>529</v>
      </c>
      <c r="H22" s="42">
        <v>53342</v>
      </c>
      <c r="I22" s="42">
        <v>51328</v>
      </c>
      <c r="J22" s="30" t="s">
        <v>358</v>
      </c>
      <c r="K22" s="42">
        <v>50763</v>
      </c>
      <c r="L22" s="131" t="s">
        <v>51</v>
      </c>
      <c r="M22" s="132">
        <f t="shared" si="0"/>
        <v>298.32</v>
      </c>
      <c r="N22" s="133" t="str">
        <f>VLOOKUP(C22,'Trips&amp;Operators'!$C$1:$G$99999,5,FALSE)</f>
        <v>LEVIN SCOTT</v>
      </c>
      <c r="O22" s="203" t="s">
        <v>464</v>
      </c>
      <c r="P22" s="134" t="s">
        <v>1034</v>
      </c>
      <c r="Q22" s="30"/>
      <c r="R22" s="81" t="str">
        <f>VLOOKUP(C22,'Train Runs'!$A$13:$AE$9933,31,0)</f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S22" s="84" t="str">
        <f>VLOOKUP(C22,'Train Runs'!$A$13:$AE$9933,22,0)</f>
        <v>https://d0f6bd738d7f1b3e5a7ca70fe4ff75f0.us-east-1.aws.found.io/app/kibana#/discover/Steve-Slow-Train-Analysis-(2080s-and-2083s)?_g=(refreshInterval:(display:Off,pause:!f,section:0,value:0),time:(from:'2017-07-11T15:05:24-0600',mode:absolute,to:'2017-07-11T17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2" s="86" t="str">
        <f t="shared" si="1"/>
        <v>"C:\Program Files (x86)\AstroGrep\AstroGrep.exe" /e /r /s /spath="%USERPROFILE%\AppData\Local\Temp\OnboardLogs" /stypes="*4015*201707112*"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4015</v>
      </c>
      <c r="V22" s="31">
        <f t="shared" si="3"/>
        <v>42927.944398148145</v>
      </c>
      <c r="W22" s="45" t="str">
        <f t="shared" si="4"/>
        <v>EC</v>
      </c>
      <c r="X22" s="22">
        <f t="shared" si="5"/>
        <v>194</v>
      </c>
      <c r="Y22" s="96" t="str">
        <f t="shared" si="6"/>
        <v>echo {"issue":{"subject":"Wi-MAX data drop","project_id":79,"tracker_id":40,"status_id":1,"priority_id":2,"assigned_to_id":23,"start_date":"2017-07-11","description":"","custom_fields":[{"id":1,"name":"Subdivision","value":"EC"},{"id":4,"name":"Milepost","value":"5.0763"},{"id":17,"name":"Train ID","value":"194-11"},{"id":16,"name":"Locomotive ID","value":"4015"},{"id":130,"name":"Impact","value":""},{"id":150,"name":"Time of Event (Mountain Time)","value":"16:39:56"},{"id":151,"name":"Denver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/c/Users/stu/AppData/Local/Temp/OnboardLogs/RTDC4015 --include="*4015*201707112*"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"%USERPROFILE%\AppData\Local\Temp\OnboardLogs"\RTDC4015\*4015*201707112* &gt;&gt; 2017-07-11-SliceDisagreementCheck.txt</v>
      </c>
      <c r="AE22" s="145" t="str">
        <f t="shared" si="9"/>
        <v>start /low /b %USERPROFILE%\Documents\GitHub\eaglep3\Utilities\DownloadLogsFromS3.py --loco 4015 --day 2017-07-11</v>
      </c>
      <c r="AF22" s="1"/>
    </row>
    <row r="23" spans="1:32" x14ac:dyDescent="0.25">
      <c r="A23" s="31">
        <v>42927.61341435185</v>
      </c>
      <c r="B23" s="30" t="s">
        <v>573</v>
      </c>
      <c r="C23" s="30" t="s">
        <v>589</v>
      </c>
      <c r="D23" s="30" t="s">
        <v>49</v>
      </c>
      <c r="E23" s="30" t="s">
        <v>357</v>
      </c>
      <c r="F23" s="42">
        <v>0</v>
      </c>
      <c r="G23" s="42">
        <v>342</v>
      </c>
      <c r="H23" s="42">
        <v>130118</v>
      </c>
      <c r="I23" s="42">
        <v>129207</v>
      </c>
      <c r="J23" s="30" t="s">
        <v>358</v>
      </c>
      <c r="K23" s="42">
        <v>127587</v>
      </c>
      <c r="L23" s="131" t="s">
        <v>51</v>
      </c>
      <c r="M23" s="132">
        <f t="shared" si="0"/>
        <v>855.36</v>
      </c>
      <c r="N23" s="133" t="str">
        <f>VLOOKUP(C23,'Trips&amp;Operators'!$C$1:$G$99999,5,FALSE)</f>
        <v>LEVIN SCOTT</v>
      </c>
      <c r="O23" s="203" t="s">
        <v>180</v>
      </c>
      <c r="P23" s="134" t="s">
        <v>1035</v>
      </c>
      <c r="Q23" s="30"/>
      <c r="R23" s="81" t="str">
        <f>VLOOKUP(C23,'Train Runs'!$A$13:$AE$9933,31,0)</f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S23" s="84" t="str">
        <f>VLOOKUP(C23,'Train Runs'!$A$13:$AE$9933,22,0)</f>
        <v>https://d0f6bd738d7f1b3e5a7ca70fe4ff75f0.us-east-1.aws.found.io/app/kibana#/discover/Steve-Slow-Train-Analysis-(2080s-and-2083s)?_g=(refreshInterval:(display:Off,pause:!f,section:0,value:0),time:(from:'2017-07-11T13:24:23-0600',mode:absolute,to:'2017-07-11T16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3" s="86" t="str">
        <f t="shared" si="1"/>
        <v>"C:\Program Files (x86)\AstroGrep\AstroGrep.exe" /e /r /s /spath="%USERPROFILE%\AppData\Local\Temp\OnboardLogs" /stypes="*4015*201707112*"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4015</v>
      </c>
      <c r="V23" s="31">
        <f t="shared" si="3"/>
        <v>42927.86341435185</v>
      </c>
      <c r="W23" s="45" t="str">
        <f t="shared" si="4"/>
        <v>EC</v>
      </c>
      <c r="X23" s="22">
        <f t="shared" si="5"/>
        <v>180</v>
      </c>
      <c r="Y23" s="96" t="str">
        <f t="shared" si="6"/>
        <v>echo {"issue":{"subject":"40th 4S STOP","project_id":79,"tracker_id":40,"status_id":1,"priority_id":2,"assigned_to_id":23,"start_date":"2017-07-11","description":"","custom_fields":[{"id":1,"name":"Subdivision","value":"EC"},{"id":4,"name":"Milepost","value":"12.7587"},{"id":17,"name":"Train ID","value":"180-11"},{"id":16,"name":"Locomotive ID","value":"4015"},{"id":130,"name":"Impact","value":""},{"id":150,"name":"Time of Event (Mountain Time)","value":"14:43:19"},{"id":151,"name":"Denver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/c/Users/stu/AppData/Local/Temp/OnboardLogs/RTDC4015 --include="*4015*201707112*"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"%USERPROFILE%\AppData\Local\Temp\OnboardLogs"\RTDC4015\*4015*201707112* &gt;&gt; 2017-07-11-SliceDisagreementCheck.txt</v>
      </c>
      <c r="AE23" s="145" t="str">
        <f t="shared" si="9"/>
        <v>start /low /b %USERPROFILE%\Documents\GitHub\eaglep3\Utilities\DownloadLogsFromS3.py --loco 4015 --day 2017-07-11</v>
      </c>
      <c r="AF23" s="1"/>
    </row>
    <row r="24" spans="1:32" x14ac:dyDescent="0.25">
      <c r="A24" s="31">
        <v>42927.326990740738</v>
      </c>
      <c r="B24" s="30" t="s">
        <v>573</v>
      </c>
      <c r="C24" s="30" t="s">
        <v>574</v>
      </c>
      <c r="D24" s="30" t="s">
        <v>49</v>
      </c>
      <c r="E24" s="30" t="s">
        <v>524</v>
      </c>
      <c r="F24" s="42">
        <v>0</v>
      </c>
      <c r="G24" s="42">
        <v>793</v>
      </c>
      <c r="H24" s="42">
        <v>72680</v>
      </c>
      <c r="I24" s="42">
        <v>68663</v>
      </c>
      <c r="J24" s="30" t="s">
        <v>525</v>
      </c>
      <c r="K24" s="42">
        <v>69363</v>
      </c>
      <c r="L24" s="131" t="s">
        <v>51</v>
      </c>
      <c r="M24" s="132">
        <f t="shared" si="0"/>
        <v>-369.6</v>
      </c>
      <c r="N24" s="133" t="str">
        <f>VLOOKUP(C24,'Trips&amp;Operators'!$C$1:$G$99999,5,FALSE)</f>
        <v>MACDONALD THOMAS</v>
      </c>
      <c r="O24" s="203" t="s">
        <v>464</v>
      </c>
      <c r="P24" s="134" t="s">
        <v>1034</v>
      </c>
      <c r="Q24" s="30"/>
      <c r="R24" s="81" t="str">
        <f>VLOOKUP(C24,'Train Runs'!$A$13:$AE$9933,31,0)</f>
        <v>aws s3 cp s3://rtdc.mdm.uploadarchive.raw/RTDC4015/ "%USERPROFILE%\AppData\Local\Temp\OnboardLogs"\RTDC4015\2017-07-11 --exclude "*" --recursive --include "*20170711*" &amp; "%USERPROFILE%\Documents\GitHub\mrs-test-scripts\Headless Mode &amp; Sideloading\WalkAndUnGZ.bat" "%USERPROFILE%\AppData\Local\Temp\OnboardLogs"\RTDC4015\2017-07-11 &amp; 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</v>
      </c>
      <c r="S24" s="84" t="str">
        <f>VLOOKUP(C24,'Train Runs'!$A$13:$AE$9933,22,0)</f>
        <v>https://d0f6bd738d7f1b3e5a7ca70fe4ff75f0.us-east-1.aws.found.io/app/kibana#/discover/Steve-Slow-Train-Analysis-(2080s-and-2083s)?_g=(refreshInterval:(display:Off,pause:!f,section:0,value:0),time:(from:'2017-07-11T06:09:26-0600',mode:absolute,to:'2017-07-11T09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86" t="str">
        <f t="shared" si="1"/>
        <v>"C:\Program Files (x86)\AstroGrep\AstroGrep.exe" /e /r /s /spath="%USERPROFILE%\AppData\Local\Temp\OnboardLogs" /stypes="*4015*201707111*"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4015</v>
      </c>
      <c r="V24" s="31">
        <f t="shared" si="3"/>
        <v>42927.576990740738</v>
      </c>
      <c r="W24" s="45" t="str">
        <f t="shared" si="4"/>
        <v>EC</v>
      </c>
      <c r="X24" s="22">
        <f t="shared" si="5"/>
        <v>124</v>
      </c>
      <c r="Y24" s="96" t="str">
        <f t="shared" si="6"/>
        <v>echo {"issue":{"subject":"Wi-MAX data drop","project_id":79,"tracker_id":40,"status_id":1,"priority_id":2,"assigned_to_id":23,"start_date":"2017-07-11","description":"","custom_fields":[{"id":1,"name":"Subdivision","value":"EC"},{"id":4,"name":"Milepost","value":"6.9363"},{"id":17,"name":"Train ID","value":"124-11"},{"id":16,"name":"Locomotive ID","value":"4015"},{"id":130,"name":"Impact","value":""},{"id":150,"name":"Time of Event (Mountain Time)","value":"07:50:52"},{"id":151,"name":"Denver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/c/Users/stu/AppData/Local/Temp/OnboardLogs/RTDC4015 --include="*4015*201707111*"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"%USERPROFILE%\AppData\Local\Temp\OnboardLogs"\RTDC4015\*4015*201707111* &gt;&gt; 2017-07-11-SliceDisagreementCheck.txt</v>
      </c>
      <c r="AE24" s="145" t="str">
        <f t="shared" si="9"/>
        <v>start /low /b %USERPROFILE%\Documents\GitHub\eaglep3\Utilities\DownloadLogsFromS3.py --loco 4015 --day 2017-07-11</v>
      </c>
      <c r="AF24" s="1"/>
    </row>
    <row r="25" spans="1:32" x14ac:dyDescent="0.25">
      <c r="A25" s="31">
        <v>42927.276250000003</v>
      </c>
      <c r="B25" s="30" t="s">
        <v>512</v>
      </c>
      <c r="C25" s="30" t="s">
        <v>571</v>
      </c>
      <c r="D25" s="30" t="s">
        <v>49</v>
      </c>
      <c r="E25" s="30" t="s">
        <v>181</v>
      </c>
      <c r="F25" s="42">
        <v>0</v>
      </c>
      <c r="G25" s="42">
        <v>52</v>
      </c>
      <c r="H25" s="42">
        <v>170</v>
      </c>
      <c r="I25" s="42">
        <v>127</v>
      </c>
      <c r="J25" s="30" t="s">
        <v>182</v>
      </c>
      <c r="K25" s="42">
        <v>1</v>
      </c>
      <c r="L25" s="131" t="s">
        <v>51</v>
      </c>
      <c r="M25" s="132">
        <f t="shared" si="0"/>
        <v>66.528000000000006</v>
      </c>
      <c r="N25" s="133" t="str">
        <f>VLOOKUP(C25,'Trips&amp;Operators'!$C$1:$G$99999,5,FALSE)</f>
        <v>STARKS ANGELINA</v>
      </c>
      <c r="O25" s="203" t="s">
        <v>180</v>
      </c>
      <c r="P25" s="134"/>
      <c r="Q25" s="30"/>
      <c r="R25" s="81" t="str">
        <f>VLOOKUP(C25,'Train Runs'!$A$13:$AE$9933,31,0)</f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S25" s="84" t="str">
        <f>VLOOKUP(C25,'Train Runs'!$A$13:$AE$9933,22,0)</f>
        <v>https://d0f6bd738d7f1b3e5a7ca70fe4ff75f0.us-east-1.aws.found.io/app/kibana#/discover/Steve-Slow-Train-Analysis-(2080s-and-2083s)?_g=(refreshInterval:(display:Off,pause:!f,section:0,value:0),time:(from:'2017-07-11T04:53:41-0600',mode:absolute,to:'2017-07-11T07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6" t="str">
        <f t="shared" si="1"/>
        <v>"C:\Program Files (x86)\AstroGrep\AstroGrep.exe" /e /r /s /spath="%USERPROFILE%\AppData\Local\Temp\OnboardLogs" /stypes="*4031*201707111*"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4031</v>
      </c>
      <c r="V25" s="31">
        <f t="shared" si="3"/>
        <v>42927.526250000003</v>
      </c>
      <c r="W25" s="45" t="str">
        <f t="shared" si="4"/>
        <v>EC</v>
      </c>
      <c r="X25" s="22">
        <f t="shared" si="5"/>
        <v>112</v>
      </c>
      <c r="Y25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{"issue":{"subject":"","project_id":79,"tracker_id":40,"status_id":1,"priority_id":2,"assigned_to_id":23,"start_date":"2017-07-11","description":"","custom_fields":[{"id":1,"name":"Subdivision","value":"EC"},{"id":4,"name":"Milepost","value":"0.0001"},{"id":17,"name":"Train ID","value":"112-11"},{"id":16,"name":"Locomotive ID","value":"4031"},{"id":130,"name":"Impact","value":""},{"id":150,"name":"Time of Event (Mountain Time)","value":"06:37:48"},{"id":151,"name":"Denver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/c/Users/stu/AppData/Local/Temp/OnboardLogs/RTDC4031 --include="*4031*201707111*"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"%USERPROFILE%\AppData\Local\Temp\OnboardLogs"\RTDC4031\*4031*201707111* &gt;&gt; 2017-07-11-SliceDisagreementCheck.txt</v>
      </c>
      <c r="AE25" s="145" t="str">
        <f t="shared" si="9"/>
        <v>start /low /b %USERPROFILE%\Documents\GitHub\eaglep3\Utilities\DownloadLogsFromS3.py --loco 4031 --day 2017-07-11</v>
      </c>
      <c r="AF25" s="1"/>
    </row>
    <row r="26" spans="1:32" x14ac:dyDescent="0.25">
      <c r="A26" s="31">
        <v>42927.787141203706</v>
      </c>
      <c r="B26" s="30" t="s">
        <v>512</v>
      </c>
      <c r="C26" s="30" t="s">
        <v>602</v>
      </c>
      <c r="D26" s="30" t="s">
        <v>49</v>
      </c>
      <c r="E26" s="30" t="s">
        <v>181</v>
      </c>
      <c r="F26" s="42">
        <v>0</v>
      </c>
      <c r="G26" s="42">
        <v>69</v>
      </c>
      <c r="H26" s="42">
        <v>254</v>
      </c>
      <c r="I26" s="42">
        <v>176</v>
      </c>
      <c r="J26" s="30" t="s">
        <v>182</v>
      </c>
      <c r="K26" s="42">
        <v>1</v>
      </c>
      <c r="L26" s="131" t="s">
        <v>51</v>
      </c>
      <c r="M26" s="132">
        <f t="shared" si="0"/>
        <v>92.4</v>
      </c>
      <c r="N26" s="133" t="str">
        <f>VLOOKUP(C26,'Trips&amp;Operators'!$C$1:$G$99999,5,FALSE)</f>
        <v>NICHOLSON WESLEY</v>
      </c>
      <c r="O26" s="203" t="s">
        <v>180</v>
      </c>
      <c r="P26" s="134"/>
      <c r="Q26" s="30"/>
      <c r="R26" s="81" t="str">
        <f>VLOOKUP(C26,'Train Runs'!$A$13:$AE$9933,31,0)</f>
        <v>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 &amp; 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</v>
      </c>
      <c r="S26" s="84" t="str">
        <f>VLOOKUP(C26,'Train Runs'!$A$13:$AE$9933,22,0)</f>
        <v>https://d0f6bd738d7f1b3e5a7ca70fe4ff75f0.us-east-1.aws.found.io/app/kibana#/discover/Steve-Slow-Train-Analysis-(2080s-and-2083s)?_g=(refreshInterval:(display:Off,pause:!f,section:0,value:0),time:(from:'2017-07-11T17:06:26-0600',mode:absolute,to:'2017-07-11T19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86" t="str">
        <f t="shared" si="1"/>
        <v>"C:\Program Files (x86)\AstroGrep\AstroGrep.exe" /e /r /s /spath="%USERPROFILE%\AppData\Local\Temp\OnboardLogs" /stypes="*4031*201707120*"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4031</v>
      </c>
      <c r="V26" s="31">
        <f t="shared" si="3"/>
        <v>42928.037141203706</v>
      </c>
      <c r="W26" s="45" t="str">
        <f t="shared" si="4"/>
        <v>EC</v>
      </c>
      <c r="X26" s="22">
        <f t="shared" si="5"/>
        <v>210</v>
      </c>
      <c r="Y26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{"issue":{"subject":"","project_id":79,"tracker_id":40,"status_id":1,"priority_id":2,"assigned_to_id":23,"start_date":"2017-07-11","description":"","custom_fields":[{"id":1,"name":"Subdivision","value":"EC"},{"id":4,"name":"Milepost","value":"0.0001"},{"id":17,"name":"Train ID","value":"210-11"},{"id":16,"name":"Locomotive ID","value":"4031"},{"id":130,"name":"Impact","value":""},{"id":150,"name":"Time of Event (Mountain Time)","value":"18:53:29"},{"id":151,"name":"Denver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/c/Users/stu/AppData/Local/Temp/OnboardLogs/RTDC4031 --include="*4031*201707120*"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"%USERPROFILE%\AppData\Local\Temp\OnboardLogs"\RTDC4031\*4031*201707120* &gt;&gt; 2017-07-11-SliceDisagreementCheck.txt</v>
      </c>
      <c r="AE26" s="145" t="str">
        <f t="shared" si="9"/>
        <v>start /low /b %USERPROFILE%\Documents\GitHub\eaglep3\Utilities\DownloadLogsFromS3.py --loco 4031 --day 2017-07-12</v>
      </c>
      <c r="AF26" s="1"/>
    </row>
    <row r="27" spans="1:32" x14ac:dyDescent="0.25">
      <c r="A27" s="31">
        <v>42928.003865740742</v>
      </c>
      <c r="B27" s="30" t="s">
        <v>459</v>
      </c>
      <c r="C27" s="30" t="s">
        <v>609</v>
      </c>
      <c r="D27" s="30" t="s">
        <v>49</v>
      </c>
      <c r="E27" s="30" t="s">
        <v>181</v>
      </c>
      <c r="F27" s="42">
        <v>0</v>
      </c>
      <c r="G27" s="42">
        <v>61</v>
      </c>
      <c r="H27" s="42">
        <v>223</v>
      </c>
      <c r="I27" s="42">
        <v>169</v>
      </c>
      <c r="J27" s="30" t="s">
        <v>182</v>
      </c>
      <c r="K27" s="42">
        <v>1</v>
      </c>
      <c r="L27" s="131" t="s">
        <v>51</v>
      </c>
      <c r="M27" s="132">
        <f t="shared" si="0"/>
        <v>88.703999999999994</v>
      </c>
      <c r="N27" s="133" t="str">
        <f>VLOOKUP(C27,'Trips&amp;Operators'!$C$1:$G$99999,5,FALSE)</f>
        <v>LAMAR NEKESHA</v>
      </c>
      <c r="O27" s="203" t="s">
        <v>180</v>
      </c>
      <c r="P27" s="134"/>
      <c r="Q27" s="30"/>
      <c r="R27" s="81" t="str">
        <f>VLOOKUP(C27,'Train Runs'!$A$13:$AE$9933,31,0)</f>
        <v>aws s3 cp s3://rtdc.mdm.uploadarchive.raw/RTDC4041/ "%USERPROFILE%\AppData\Local\Temp\OnboardLogs"\RTDC4041\2017-07-11 --exclude "*" --recursive --include "*20170711*" &amp; "%USERPROFILE%\Documents\GitHub\mrs-test-scripts\Headless Mode &amp; Sideloading\WalkAndUnGZ.bat" "%USERPROFILE%\AppData\Local\Temp\OnboardLogs"\RTDC4041\2017-07-11 &amp; aws s3 cp s3://rtdc.mdm.uploadarchive.raw/RTDC4041/ "%USERPROFILE%\AppData\Local\Temp\OnboardLogs"\RTDC4041\2017-07-12 --exclude "*" --recursive --include "*20170712*" &amp; "%USERPROFILE%\Documents\GitHub\mrs-test-scripts\Headless Mode &amp; Sideloading\WalkAndUnGZ.bat" "%USERPROFILE%\AppData\Local\Temp\OnboardLogs"\RTDC4041\2017-07-12</v>
      </c>
      <c r="S27" s="84" t="str">
        <f>VLOOKUP(C27,'Train Runs'!$A$13:$AE$9933,22,0)</f>
        <v>https://d0f6bd738d7f1b3e5a7ca70fe4ff75f0.us-east-1.aws.found.io/app/kibana#/discover/Steve-Slow-Train-Analysis-(2080s-and-2083s)?_g=(refreshInterval:(display:Off,pause:!f,section:0,value:0),time:(from:'2017-07-11T22:21:47-0600',mode:absolute,to:'2017-07-12T01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86" t="str">
        <f t="shared" si="1"/>
        <v>"C:\Program Files (x86)\AstroGrep\AstroGrep.exe" /e /r /s /spath="%USERPROFILE%\AppData\Local\Temp\OnboardLogs" /stypes="*4041*201707120*" /stext=" 06:.+((SYSTEM_STATE.+slice.+state.+changed )|(ment ac)|(multiple cpu faults)|(system.+state.+changed )|(\[timeout)|(PRM\|1\|D)|(kpr)|(kdp)|(train st.+moving)|(\|lc)|(penalty))"</v>
      </c>
      <c r="U27" s="9" t="str">
        <f t="shared" si="2"/>
        <v>4041</v>
      </c>
      <c r="V27" s="31">
        <f t="shared" si="3"/>
        <v>42928.253865740742</v>
      </c>
      <c r="W27" s="45" t="str">
        <f t="shared" si="4"/>
        <v>EC</v>
      </c>
      <c r="X27" s="22">
        <f t="shared" si="5"/>
        <v>236</v>
      </c>
      <c r="Y27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{"issue":{"subject":"","project_id":79,"tracker_id":40,"status_id":1,"priority_id":2,"assigned_to_id":23,"start_date":"2017-07-12","description":"","custom_fields":[{"id":1,"name":"Subdivision","value":"EC"},{"id":4,"name":"Milepost","value":"0.0001"},{"id":17,"name":"Train ID","value":"236-11"},{"id":16,"name":"Locomotive ID","value":"4041"},{"id":130,"name":"Impact","value":""},{"id":150,"name":"Time of Event (Mountain Time)","value":"00:05:34"},{"id":151,"name":"Denver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/c/Users/stu/AppData/Local/Temp/OnboardLogs/RTDC4041 --include="*4041*201707120*"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"%USERPROFILE%\AppData\Local\Temp\OnboardLogs"\RTDC4041\*4041*201707120* &gt;&gt; 2017-07-11-SliceDisagreementCheck.txt</v>
      </c>
      <c r="AE27" s="145" t="str">
        <f t="shared" si="9"/>
        <v>start /low /b %USERPROFILE%\Documents\GitHub\eaglep3\Utilities\DownloadLogsFromS3.py --loco 4041 --day 2017-07-12</v>
      </c>
      <c r="AF27" s="1"/>
    </row>
    <row r="28" spans="1:32" x14ac:dyDescent="0.25">
      <c r="A28" s="31">
        <v>42927.507754629631</v>
      </c>
      <c r="B28" s="30" t="s">
        <v>526</v>
      </c>
      <c r="C28" s="30" t="s">
        <v>582</v>
      </c>
      <c r="D28" s="30" t="s">
        <v>49</v>
      </c>
      <c r="E28" s="30" t="s">
        <v>181</v>
      </c>
      <c r="F28" s="42">
        <v>0</v>
      </c>
      <c r="G28" s="42">
        <v>16</v>
      </c>
      <c r="H28" s="42">
        <v>865</v>
      </c>
      <c r="I28" s="42">
        <v>859</v>
      </c>
      <c r="J28" s="30" t="s">
        <v>182</v>
      </c>
      <c r="K28" s="42">
        <v>826</v>
      </c>
      <c r="L28" s="131" t="s">
        <v>51</v>
      </c>
      <c r="M28" s="132">
        <f t="shared" si="0"/>
        <v>17.423999999999999</v>
      </c>
      <c r="N28" s="133" t="str">
        <f>VLOOKUP(C28,'Trips&amp;Operators'!$C$1:$G$99999,5,FALSE)</f>
        <v>LOZA FIDEL</v>
      </c>
      <c r="O28" s="203" t="s">
        <v>180</v>
      </c>
      <c r="P28" s="134"/>
      <c r="Q28" s="30"/>
      <c r="R28" s="81" t="str">
        <f>VLOOKUP(C28,'Train Runs'!$A$13:$AE$9933,31,0)</f>
        <v>aws s3 cp s3://rtdc.mdm.uploadarchive.raw/RTDC4019/ "%USERPROFILE%\AppData\Local\Temp\OnboardLogs"\RTDC4019\2017-07-11 --exclude "*" --recursive --include "*20170711*" &amp; "%USERPROFILE%\Documents\GitHub\mrs-test-scripts\Headless Mode &amp; Sideloading\WalkAndUnGZ.bat" "%USERPROFILE%\AppData\Local\Temp\OnboardLogs"\RTDC4019\2017-07-11 &amp; aws s3 cp s3://rtdc.mdm.uploadarchive.raw/RTDC4019/ "%USERPROFILE%\AppData\Local\Temp\OnboardLogs"\RTDC4019\2017-07-12 --exclude "*" --recursive --include "*20170712*" &amp; "%USERPROFILE%\Documents\GitHub\mrs-test-scripts\Headless Mode &amp; Sideloading\WalkAndUnGZ.bat" "%USERPROFILE%\AppData\Local\Temp\OnboardLogs"\RTDC4019\2017-07-12</v>
      </c>
      <c r="S28" s="84" t="str">
        <f>VLOOKUP(C28,'Train Runs'!$A$13:$AE$9933,22,0)</f>
        <v>https://d0f6bd738d7f1b3e5a7ca70fe4ff75f0.us-east-1.aws.found.io/app/kibana#/discover/Steve-Slow-Train-Analysis-(2080s-and-2083s)?_g=(refreshInterval:(display:Off,pause:!f,section:0,value:0),time:(from:'2017-07-11T10:11:25-0600',mode:absolute,to:'2017-07-11T13:11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86" t="str">
        <f t="shared" si="1"/>
        <v>"C:\Program Files (x86)\AstroGrep\AstroGrep.exe" /e /r /s /spath="%USERPROFILE%\AppData\Local\Temp\OnboardLogs" /stypes="*4019*201707111*"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4019</v>
      </c>
      <c r="V28" s="31">
        <f t="shared" si="3"/>
        <v>42927.757754629631</v>
      </c>
      <c r="W28" s="45" t="str">
        <f t="shared" si="4"/>
        <v>EC</v>
      </c>
      <c r="X28" s="22">
        <f t="shared" si="5"/>
        <v>156</v>
      </c>
      <c r="Y28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{"issue":{"subject":"","project_id":79,"tracker_id":40,"status_id":1,"priority_id":2,"assigned_to_id":23,"start_date":"2017-07-11","description":"","custom_fields":[{"id":1,"name":"Subdivision","value":"EC"},{"id":4,"name":"Milepost","value":"0.0826"},{"id":17,"name":"Train ID","value":"156-11"},{"id":16,"name":"Locomotive ID","value":"4019"},{"id":130,"name":"Impact","value":""},{"id":150,"name":"Time of Event (Mountain Time)","value":"12:11:10"},{"id":151,"name":"Denver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/c/Users/stu/AppData/Local/Temp/OnboardLogs/RTDC4019 --include="*4019*201707111*"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"%USERPROFILE%\AppData\Local\Temp\OnboardLogs"\RTDC4019\*4019*201707111* &gt;&gt; 2017-07-11-SliceDisagreementCheck.txt</v>
      </c>
      <c r="AE28" s="145" t="str">
        <f t="shared" si="9"/>
        <v>start /low /b %USERPROFILE%\Documents\GitHub\eaglep3\Utilities\DownloadLogsFromS3.py --loco 4019 --day 2017-07-11</v>
      </c>
      <c r="AF28" s="1"/>
    </row>
    <row r="29" spans="1:32" x14ac:dyDescent="0.25">
      <c r="A29" s="31">
        <v>42927.672094907408</v>
      </c>
      <c r="B29" s="30" t="s">
        <v>426</v>
      </c>
      <c r="C29" s="30" t="s">
        <v>594</v>
      </c>
      <c r="D29" s="30" t="s">
        <v>49</v>
      </c>
      <c r="E29" s="30" t="s">
        <v>181</v>
      </c>
      <c r="F29" s="42">
        <v>0</v>
      </c>
      <c r="G29" s="42">
        <v>20</v>
      </c>
      <c r="H29" s="42">
        <v>873</v>
      </c>
      <c r="I29" s="42">
        <v>860</v>
      </c>
      <c r="J29" s="30" t="s">
        <v>182</v>
      </c>
      <c r="K29" s="42">
        <v>839</v>
      </c>
      <c r="L29" s="131" t="s">
        <v>51</v>
      </c>
      <c r="M29" s="132">
        <f t="shared" si="0"/>
        <v>11.087999999999999</v>
      </c>
      <c r="N29" s="133" t="str">
        <f>VLOOKUP(C29,'Trips&amp;Operators'!$C$1:$G$99999,5,FALSE)</f>
        <v>DAVIS MICHAEL</v>
      </c>
      <c r="O29" s="203" t="s">
        <v>180</v>
      </c>
      <c r="P29" s="134"/>
      <c r="Q29" s="30"/>
      <c r="R29" s="81" t="str">
        <f>VLOOKUP(C29,'Train Runs'!$A$13:$AE$9933,31,0)</f>
        <v>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 &amp; aws s3 cp s3://rtdc.mdm.uploadarchive.raw/RTDC4007/ "%USERPROFILE%\AppData\Local\Temp\OnboardLogs"\RTDC4007\2017-07-12 --exclude "*" --recursive --include "*20170712*" &amp; "%USERPROFILE%\Documents\GitHub\mrs-test-scripts\Headless Mode &amp; Sideloading\WalkAndUnGZ.bat" "%USERPROFILE%\AppData\Local\Temp\OnboardLogs"\RTDC4007\2017-07-12</v>
      </c>
      <c r="S29" s="84" t="str">
        <f>VLOOKUP(C29,'Train Runs'!$A$13:$AE$9933,22,0)</f>
        <v>https://d0f6bd738d7f1b3e5a7ca70fe4ff75f0.us-east-1.aws.found.io/app/kibana#/discover/Steve-Slow-Train-Analysis-(2080s-and-2083s)?_g=(refreshInterval:(display:Off,pause:!f,section:0,value:0),time:(from:'2017-07-11T14:33:48-0600',mode:absolute,to:'2017-07-11T17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9" s="86" t="str">
        <f t="shared" si="1"/>
        <v>"C:\Program Files (x86)\AstroGrep\AstroGrep.exe" /e /r /s /spath="%USERPROFILE%\AppData\Local\Temp\OnboardLogs" /stypes="*4007*201707112*"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4007</v>
      </c>
      <c r="V29" s="31">
        <f t="shared" si="3"/>
        <v>42927.922094907408</v>
      </c>
      <c r="W29" s="45" t="str">
        <f t="shared" si="4"/>
        <v>EC</v>
      </c>
      <c r="X29" s="22">
        <f t="shared" si="5"/>
        <v>186</v>
      </c>
      <c r="Y29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{"issue":{"subject":"","project_id":79,"tracker_id":40,"status_id":1,"priority_id":2,"assigned_to_id":23,"start_date":"2017-07-11","description":"","custom_fields":[{"id":1,"name":"Subdivision","value":"EC"},{"id":4,"name":"Milepost","value":"0.0839"},{"id":17,"name":"Train ID","value":"186-11"},{"id":16,"name":"Locomotive ID","value":"4007"},{"id":130,"name":"Impact","value":""},{"id":150,"name":"Time of Event (Mountain Time)","value":"16:07:49"},{"id":151,"name":"Denver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/c/Users/stu/AppData/Local/Temp/OnboardLogs/RTDC4007 --include="*4007*201707112*"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"%USERPROFILE%\AppData\Local\Temp\OnboardLogs"\RTDC4007\*4007*201707112* &gt;&gt; 2017-07-11-SliceDisagreementCheck.txt</v>
      </c>
      <c r="AE29" s="145" t="str">
        <f t="shared" si="9"/>
        <v>start /low /b %USERPROFILE%\Documents\GitHub\eaglep3\Utilities\DownloadLogsFromS3.py --loco 4007 --day 2017-07-11</v>
      </c>
      <c r="AF29" s="1"/>
    </row>
    <row r="30" spans="1:32" x14ac:dyDescent="0.25">
      <c r="A30" s="31">
        <v>42927.530416666668</v>
      </c>
      <c r="B30" s="30" t="s">
        <v>530</v>
      </c>
      <c r="C30" s="30" t="s">
        <v>584</v>
      </c>
      <c r="D30" s="30" t="s">
        <v>49</v>
      </c>
      <c r="E30" s="30" t="s">
        <v>181</v>
      </c>
      <c r="F30" s="42">
        <v>0</v>
      </c>
      <c r="G30" s="42">
        <v>132</v>
      </c>
      <c r="H30" s="42">
        <v>232907</v>
      </c>
      <c r="I30" s="42">
        <v>233036</v>
      </c>
      <c r="J30" s="30" t="s">
        <v>182</v>
      </c>
      <c r="K30" s="42">
        <v>233491</v>
      </c>
      <c r="L30" s="131" t="s">
        <v>50</v>
      </c>
      <c r="M30" s="132">
        <f t="shared" si="0"/>
        <v>240.24</v>
      </c>
      <c r="N30" s="133" t="str">
        <f>VLOOKUP(C30,'Trips&amp;Operators'!$C$1:$G$99999,5,FALSE)</f>
        <v>NICHOLSON WESLEY</v>
      </c>
      <c r="O30" s="203" t="s">
        <v>180</v>
      </c>
      <c r="P30" s="134"/>
      <c r="Q30" s="30"/>
      <c r="R30" s="81" t="str">
        <f>VLOOKUP(C30,'Train Runs'!$A$13:$AE$9933,31,0)</f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S30" s="84" t="str">
        <f>VLOOKUP(C30,'Train Runs'!$A$13:$AE$9933,22,0)</f>
        <v>https://d0f6bd738d7f1b3e5a7ca70fe4ff75f0.us-east-1.aws.found.io/app/kibana#/discover/Steve-Slow-Train-Analysis-(2080s-and-2083s)?_g=(refreshInterval:(display:Off,pause:!f,section:0,value:0),time:(from:'2017-07-11T10:56:52-0600',mode:absolute,to:'2017-07-11T13:44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0" s="86" t="str">
        <f t="shared" si="1"/>
        <v>"C:\Program Files (x86)\AstroGrep\AstroGrep.exe" /e /r /s /spath="%USERPROFILE%\AppData\Local\Temp\OnboardLogs" /stypes="*4032*201707111*"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4032</v>
      </c>
      <c r="V30" s="31">
        <f t="shared" si="3"/>
        <v>42927.780416666668</v>
      </c>
      <c r="W30" s="45" t="str">
        <f t="shared" si="4"/>
        <v>EC</v>
      </c>
      <c r="X30" s="22">
        <f t="shared" si="5"/>
        <v>167</v>
      </c>
      <c r="Y30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{"issue":{"subject":"","project_id":79,"tracker_id":40,"status_id":1,"priority_id":2,"assigned_to_id":23,"start_date":"2017-07-11","description":"","custom_fields":[{"id":1,"name":"Subdivision","value":"EC"},{"id":4,"name":"Milepost","value":"23.3491"},{"id":17,"name":"Train ID","value":"167-11"},{"id":16,"name":"Locomotive ID","value":"4032"},{"id":130,"name":"Impact","value":""},{"id":150,"name":"Time of Event (Mountain Time)","value":"12:43:48"},{"id":151,"name":"Denver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/c/Users/stu/AppData/Local/Temp/OnboardLogs/RTDC4032 --include="*4032*201707111*"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"%USERPROFILE%\AppData\Local\Temp\OnboardLogs"\RTDC4032\*4032*201707111* &gt;&gt; 2017-07-11-SliceDisagreementCheck.txt</v>
      </c>
      <c r="AE30" s="145" t="str">
        <f t="shared" si="9"/>
        <v>start /low /b %USERPROFILE%\Documents\GitHub\eaglep3\Utilities\DownloadLogsFromS3.py --loco 4032 --day 2017-07-11</v>
      </c>
      <c r="AF30" s="1"/>
    </row>
    <row r="31" spans="1:32" s="20" customFormat="1" x14ac:dyDescent="0.25">
      <c r="A31" s="31">
        <v>42927.579108796293</v>
      </c>
      <c r="B31" s="30" t="s">
        <v>353</v>
      </c>
      <c r="C31" s="30" t="s">
        <v>586</v>
      </c>
      <c r="D31" s="30" t="s">
        <v>49</v>
      </c>
      <c r="E31" s="30" t="s">
        <v>181</v>
      </c>
      <c r="F31" s="42">
        <v>0</v>
      </c>
      <c r="G31" s="42">
        <v>88</v>
      </c>
      <c r="H31" s="42">
        <v>233140</v>
      </c>
      <c r="I31" s="42">
        <v>233238</v>
      </c>
      <c r="J31" s="30" t="s">
        <v>182</v>
      </c>
      <c r="K31" s="42">
        <v>233491</v>
      </c>
      <c r="L31" s="131" t="s">
        <v>50</v>
      </c>
      <c r="M31" s="132">
        <f t="shared" si="0"/>
        <v>133.584</v>
      </c>
      <c r="N31" s="133" t="str">
        <f>VLOOKUP(C31,'Trips&amp;Operators'!$C$1:$G$99999,5,FALSE)</f>
        <v>HART KEVIN</v>
      </c>
      <c r="O31" s="203" t="s">
        <v>180</v>
      </c>
      <c r="P31" s="134"/>
      <c r="Q31" s="30"/>
      <c r="R31" s="81" t="str">
        <f>VLOOKUP(C31,'Train Runs'!$A$13:$AE$9933,31,0)</f>
        <v>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 &amp; 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</v>
      </c>
      <c r="S31" s="84" t="str">
        <f>VLOOKUP(C31,'Train Runs'!$A$13:$AE$9933,22,0)</f>
        <v>https://d0f6bd738d7f1b3e5a7ca70fe4ff75f0.us-east-1.aws.found.io/app/kibana#/discover/Steve-Slow-Train-Analysis-(2080s-and-2083s)?_g=(refreshInterval:(display:Off,pause:!f,section:0,value:0),time:(from:'2017-07-11T12:12:10-0600',mode:absolute,to:'2017-07-11T14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1" s="86" t="str">
        <f t="shared" si="1"/>
        <v>"C:\Program Files (x86)\AstroGrep\AstroGrep.exe" /e /r /s /spath="%USERPROFILE%\AppData\Local\Temp\OnboardLogs" /stypes="*4042*201707111*"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4042</v>
      </c>
      <c r="V31" s="31">
        <f t="shared" si="3"/>
        <v>42927.829108796293</v>
      </c>
      <c r="W31" s="45" t="str">
        <f t="shared" si="4"/>
        <v>EC</v>
      </c>
      <c r="X31" s="22">
        <f t="shared" si="5"/>
        <v>177</v>
      </c>
      <c r="Y31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{"issue":{"subject":"","project_id":79,"tracker_id":40,"status_id":1,"priority_id":2,"assigned_to_id":23,"start_date":"2017-07-11","description":"","custom_fields":[{"id":1,"name":"Subdivision","value":"EC"},{"id":4,"name":"Milepost","value":"23.3491"},{"id":17,"name":"Train ID","value":"177-11"},{"id":16,"name":"Locomotive ID","value":"4042"},{"id":130,"name":"Impact","value":""},{"id":150,"name":"Time of Event (Mountain Time)","value":"13:53:55"},{"id":151,"name":"Denver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/c/Users/stu/AppData/Local/Temp/OnboardLogs/RTDC4042 --include="*4042*201707111*"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"%USERPROFILE%\AppData\Local\Temp\OnboardLogs"\RTDC4042\*4042*201707111* &gt;&gt; 2017-07-11-SliceDisagreementCheck.txt</v>
      </c>
      <c r="AE31" s="145" t="str">
        <f t="shared" si="9"/>
        <v>start /low /b %USERPROFILE%\Documents\GitHub\eaglep3\Utilities\DownloadLogsFromS3.py --loco 4042 --day 2017-07-11</v>
      </c>
      <c r="AF31" s="1"/>
    </row>
    <row r="32" spans="1:32" x14ac:dyDescent="0.25">
      <c r="A32" s="31">
        <v>42927.588750000003</v>
      </c>
      <c r="B32" s="30" t="s">
        <v>502</v>
      </c>
      <c r="C32" s="30" t="s">
        <v>587</v>
      </c>
      <c r="D32" s="30" t="s">
        <v>49</v>
      </c>
      <c r="E32" s="30" t="s">
        <v>181</v>
      </c>
      <c r="F32" s="42">
        <v>0</v>
      </c>
      <c r="G32" s="42">
        <v>38</v>
      </c>
      <c r="H32" s="42">
        <v>233382</v>
      </c>
      <c r="I32" s="42">
        <v>233393</v>
      </c>
      <c r="J32" s="30" t="s">
        <v>182</v>
      </c>
      <c r="K32" s="42">
        <v>233491</v>
      </c>
      <c r="L32" s="131" t="s">
        <v>50</v>
      </c>
      <c r="M32" s="132">
        <f t="shared" si="0"/>
        <v>51.744</v>
      </c>
      <c r="N32" s="133" t="str">
        <f>VLOOKUP(C32,'Trips&amp;Operators'!$C$1:$G$99999,5,FALSE)</f>
        <v>LEVIN SCOTT</v>
      </c>
      <c r="O32" s="203" t="s">
        <v>180</v>
      </c>
      <c r="P32" s="134"/>
      <c r="Q32" s="30"/>
      <c r="R32" s="81" t="str">
        <f>VLOOKUP(C32,'Train Runs'!$A$13:$AE$9933,31,0)</f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S32" s="84" t="str">
        <f>VLOOKUP(C32,'Train Runs'!$A$13:$AE$9933,22,0)</f>
        <v>https://d0f6bd738d7f1b3e5a7ca70fe4ff75f0.us-east-1.aws.found.io/app/kibana#/discover/Steve-Slow-Train-Analysis-(2080s-and-2083s)?_g=(refreshInterval:(display:Off,pause:!f,section:0,value:0),time:(from:'2017-07-11T12:24:46-0600',mode:absolute,to:'2017-07-11T15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2" s="86" t="str">
        <f t="shared" si="1"/>
        <v>"C:\Program Files (x86)\AstroGrep\AstroGrep.exe" /e /r /s /spath="%USERPROFILE%\AppData\Local\Temp\OnboardLogs" /stypes="*4016*201707112*"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4016</v>
      </c>
      <c r="V32" s="31">
        <f t="shared" si="3"/>
        <v>42927.838750000003</v>
      </c>
      <c r="W32" s="45" t="str">
        <f t="shared" si="4"/>
        <v>EC</v>
      </c>
      <c r="X32" s="22">
        <f t="shared" si="5"/>
        <v>179</v>
      </c>
      <c r="Y32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{"issue":{"subject":"","project_id":79,"tracker_id":40,"status_id":1,"priority_id":2,"assigned_to_id":23,"start_date":"2017-07-11","description":"","custom_fields":[{"id":1,"name":"Subdivision","value":"EC"},{"id":4,"name":"Milepost","value":"23.3491"},{"id":17,"name":"Train ID","value":"179-11"},{"id":16,"name":"Locomotive ID","value":"4016"},{"id":130,"name":"Impact","value":""},{"id":150,"name":"Time of Event (Mountain Time)","value":"14:07:48"},{"id":151,"name":"Denver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/c/Users/stu/AppData/Local/Temp/OnboardLogs/RTDC4016 --include="*4016*201707112*"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"%USERPROFILE%\AppData\Local\Temp\OnboardLogs"\RTDC4016\*4016*201707112* &gt;&gt; 2017-07-11-SliceDisagreementCheck.txt</v>
      </c>
      <c r="AE32" s="145" t="str">
        <f t="shared" si="9"/>
        <v>start /low /b %USERPROFILE%\Documents\GitHub\eaglep3\Utilities\DownloadLogsFromS3.py --loco 4016 --day 2017-07-11</v>
      </c>
      <c r="AF32" s="1"/>
    </row>
    <row r="33" spans="1:32" x14ac:dyDescent="0.25">
      <c r="A33" s="31">
        <v>42927.642905092594</v>
      </c>
      <c r="B33" s="30" t="s">
        <v>336</v>
      </c>
      <c r="C33" s="30" t="s">
        <v>590</v>
      </c>
      <c r="D33" s="30" t="s">
        <v>49</v>
      </c>
      <c r="E33" s="30" t="s">
        <v>181</v>
      </c>
      <c r="F33" s="42">
        <v>0</v>
      </c>
      <c r="G33" s="42">
        <v>58</v>
      </c>
      <c r="H33" s="42">
        <v>233287</v>
      </c>
      <c r="I33" s="42">
        <v>233342</v>
      </c>
      <c r="J33" s="30" t="s">
        <v>182</v>
      </c>
      <c r="K33" s="42">
        <v>233491</v>
      </c>
      <c r="L33" s="131" t="s">
        <v>50</v>
      </c>
      <c r="M33" s="132">
        <f t="shared" si="0"/>
        <v>78.671999999999997</v>
      </c>
      <c r="N33" s="133" t="str">
        <f>VLOOKUP(C33,'Trips&amp;Operators'!$C$1:$G$99999,5,FALSE)</f>
        <v>STEWART MICHAEL</v>
      </c>
      <c r="O33" s="203" t="s">
        <v>180</v>
      </c>
      <c r="P33" s="134"/>
      <c r="Q33" s="30"/>
      <c r="R33" s="81" t="str">
        <f>VLOOKUP(C33,'Train Runs'!$A$13:$AE$9933,31,0)</f>
        <v>aws s3 cp s3://rtdc.mdm.uploadarchive.raw/RTDC4028/ "%USERPROFILE%\AppData\Local\Temp\OnboardLogs"\RTDC4028\2017-07-11 --exclude "*" --recursive --include "*20170711*" &amp; "%USERPROFILE%\Documents\GitHub\mrs-test-scripts\Headless Mode &amp; Sideloading\WalkAndUnGZ.bat" "%USERPROFILE%\AppData\Local\Temp\OnboardLogs"\RTDC4028\2017-07-11 &amp; aws s3 cp s3://rtdc.mdm.uploadarchive.raw/RTDC4028/ "%USERPROFILE%\AppData\Local\Temp\OnboardLogs"\RTDC4028\2017-07-12 --exclude "*" --recursive --include "*20170712*" &amp; "%USERPROFILE%\Documents\GitHub\mrs-test-scripts\Headless Mode &amp; Sideloading\WalkAndUnGZ.bat" "%USERPROFILE%\AppData\Local\Temp\OnboardLogs"\RTDC4028\2017-07-12</v>
      </c>
      <c r="S33" s="84" t="str">
        <f>VLOOKUP(C33,'Train Runs'!$A$13:$AE$9933,22,0)</f>
        <v>https://d0f6bd738d7f1b3e5a7ca70fe4ff75f0.us-east-1.aws.found.io/app/kibana#/discover/Steve-Slow-Train-Analysis-(2080s-and-2083s)?_g=(refreshInterval:(display:Off,pause:!f,section:0,value:0),time:(from:'2017-07-11T13:41:49-0600',mode:absolute,to:'2017-07-11T16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3" s="86" t="str">
        <f t="shared" si="1"/>
        <v>"C:\Program Files (x86)\AstroGrep\AstroGrep.exe" /e /r /s /spath="%USERPROFILE%\AppData\Local\Temp\OnboardLogs" /stypes="*4028*201707112*" /stext=" 21:.+((SYSTEM_STATE.+slice.+state.+changed )|(ment ac)|(multiple cpu faults)|(system.+state.+changed )|(\[timeout)|(PRM\|1\|D)|(kpr)|(kdp)|(train st.+moving)|(\|lc)|(penalty))"</v>
      </c>
      <c r="U33" s="9" t="str">
        <f t="shared" si="2"/>
        <v>4028</v>
      </c>
      <c r="V33" s="31">
        <f t="shared" si="3"/>
        <v>42927.892905092594</v>
      </c>
      <c r="W33" s="45" t="str">
        <f t="shared" si="4"/>
        <v>EC</v>
      </c>
      <c r="X33" s="22">
        <f t="shared" si="5"/>
        <v>189</v>
      </c>
      <c r="Y33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{"issue":{"subject":"","project_id":79,"tracker_id":40,"status_id":1,"priority_id":2,"assigned_to_id":23,"start_date":"2017-07-11","description":"","custom_fields":[{"id":1,"name":"Subdivision","value":"EC"},{"id":4,"name":"Milepost","value":"23.3491"},{"id":17,"name":"Train ID","value":"189-11"},{"id":16,"name":"Locomotive ID","value":"4028"},{"id":130,"name":"Impact","value":""},{"id":150,"name":"Time of Event (Mountain Time)","value":"15:25:47"},{"id":151,"name":"Denver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/c/Users/stu/AppData/Local/Temp/OnboardLogs/RTDC4028 --include="*4028*201707112*"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"%USERPROFILE%\AppData\Local\Temp\OnboardLogs"\RTDC4028\*4028*201707112* &gt;&gt; 2017-07-11-SliceDisagreementCheck.txt</v>
      </c>
      <c r="AE33" s="145" t="str">
        <f t="shared" si="9"/>
        <v>start /low /b %USERPROFILE%\Documents\GitHub\eaglep3\Utilities\DownloadLogsFromS3.py --loco 4028 --day 2017-07-11</v>
      </c>
      <c r="AF33" s="1"/>
    </row>
    <row r="34" spans="1:32" x14ac:dyDescent="0.25">
      <c r="A34" s="31">
        <v>42927.66578703704</v>
      </c>
      <c r="B34" s="30" t="s">
        <v>502</v>
      </c>
      <c r="C34" s="30" t="s">
        <v>593</v>
      </c>
      <c r="D34" s="30" t="s">
        <v>49</v>
      </c>
      <c r="E34" s="30" t="s">
        <v>181</v>
      </c>
      <c r="F34" s="42">
        <v>0</v>
      </c>
      <c r="G34" s="42">
        <v>33</v>
      </c>
      <c r="H34" s="42">
        <v>233412</v>
      </c>
      <c r="I34" s="42">
        <v>233434</v>
      </c>
      <c r="J34" s="30" t="s">
        <v>182</v>
      </c>
      <c r="K34" s="42">
        <v>233491</v>
      </c>
      <c r="L34" s="131" t="s">
        <v>50</v>
      </c>
      <c r="M34" s="132">
        <f t="shared" si="0"/>
        <v>30.096</v>
      </c>
      <c r="N34" s="133" t="str">
        <f>VLOOKUP(C34,'Trips&amp;Operators'!$C$1:$G$99999,5,FALSE)</f>
        <v>LEVIN SCOTT</v>
      </c>
      <c r="O34" s="203" t="s">
        <v>180</v>
      </c>
      <c r="P34" s="134"/>
      <c r="Q34" s="30"/>
      <c r="R34" s="81" t="str">
        <f>VLOOKUP(C34,'Train Runs'!$A$13:$AE$9933,31,0)</f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S34" s="84" t="str">
        <f>VLOOKUP(C34,'Train Runs'!$A$13:$AE$9933,22,0)</f>
        <v>https://d0f6bd738d7f1b3e5a7ca70fe4ff75f0.us-east-1.aws.found.io/app/kibana#/discover/Steve-Slow-Train-Analysis-(2080s-and-2083s)?_g=(refreshInterval:(display:Off,pause:!f,section:0,value:0),time:(from:'2017-07-11T14:11:31-0600',mode:absolute,to:'2017-07-11T16:58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4" s="86" t="str">
        <f t="shared" si="1"/>
        <v>"C:\Program Files (x86)\AstroGrep\AstroGrep.exe" /e /r /s /spath="%USERPROFILE%\AppData\Local\Temp\OnboardLogs" /stypes="*4016*201707112*"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4016</v>
      </c>
      <c r="V34" s="31">
        <f t="shared" si="3"/>
        <v>42927.91578703704</v>
      </c>
      <c r="W34" s="45" t="str">
        <f t="shared" si="4"/>
        <v>EC</v>
      </c>
      <c r="X34" s="22">
        <f t="shared" si="5"/>
        <v>193</v>
      </c>
      <c r="Y34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{"issue":{"subject":"","project_id":79,"tracker_id":40,"status_id":1,"priority_id":2,"assigned_to_id":23,"start_date":"2017-07-11","description":"","custom_fields":[{"id":1,"name":"Subdivision","value":"EC"},{"id":4,"name":"Milepost","value":"23.3491"},{"id":17,"name":"Train ID","value":"193-11"},{"id":16,"name":"Locomotive ID","value":"4016"},{"id":130,"name":"Impact","value":""},{"id":150,"name":"Time of Event (Mountain Time)","value":"15:58:44"},{"id":151,"name":"Denver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/c/Users/stu/AppData/Local/Temp/OnboardLogs/RTDC4016 --include="*4016*201707112*"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"%USERPROFILE%\AppData\Local\Temp\OnboardLogs"\RTDC4016\*4016*201707112* &gt;&gt; 2017-07-11-SliceDisagreementCheck.txt</v>
      </c>
      <c r="AE34" s="145" t="str">
        <f t="shared" si="9"/>
        <v>start /low /b %USERPROFILE%\Documents\GitHub\eaglep3\Utilities\DownloadLogsFromS3.py --loco 4016 --day 2017-07-11</v>
      </c>
      <c r="AF34" s="1"/>
    </row>
    <row r="35" spans="1:32" x14ac:dyDescent="0.25">
      <c r="A35" s="31">
        <v>42927.734375</v>
      </c>
      <c r="B35" s="30" t="s">
        <v>502</v>
      </c>
      <c r="C35" s="30" t="s">
        <v>599</v>
      </c>
      <c r="D35" s="30" t="s">
        <v>49</v>
      </c>
      <c r="E35" s="30" t="s">
        <v>181</v>
      </c>
      <c r="F35" s="42">
        <v>0</v>
      </c>
      <c r="G35" s="42">
        <v>20</v>
      </c>
      <c r="H35" s="42">
        <v>233453</v>
      </c>
      <c r="I35" s="42">
        <v>233464</v>
      </c>
      <c r="J35" s="30" t="s">
        <v>182</v>
      </c>
      <c r="K35" s="42">
        <v>233491</v>
      </c>
      <c r="L35" s="131" t="s">
        <v>50</v>
      </c>
      <c r="M35" s="132">
        <f t="shared" si="0"/>
        <v>14.256</v>
      </c>
      <c r="N35" s="133" t="str">
        <f>VLOOKUP(C35,'Trips&amp;Operators'!$C$1:$G$99999,5,FALSE)</f>
        <v>LEVIN SCOTT</v>
      </c>
      <c r="O35" s="203" t="s">
        <v>180</v>
      </c>
      <c r="P35" s="134"/>
      <c r="Q35" s="30"/>
      <c r="R35" s="81" t="str">
        <f>VLOOKUP(C35,'Train Runs'!$A$13:$AE$9933,31,0)</f>
        <v>aws s3 cp s3://rtdc.mdm.uploadarchive.raw/RTDC4016/ "%USERPROFILE%\AppData\Local\Temp\OnboardLogs"\RTDC4016\2017-07-11 --exclude "*" --recursive --include "*20170711*" &amp; "%USERPROFILE%\Documents\GitHub\mrs-test-scripts\Headless Mode &amp; Sideloading\WalkAndUnGZ.bat" "%USERPROFILE%\AppData\Local\Temp\OnboardLogs"\RTDC4016\2017-07-11 &amp; 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</v>
      </c>
      <c r="S35" s="84" t="str">
        <f>VLOOKUP(C35,'Train Runs'!$A$13:$AE$9933,22,0)</f>
        <v>https://d0f6bd738d7f1b3e5a7ca70fe4ff75f0.us-east-1.aws.found.io/app/kibana#/discover/Steve-Slow-Train-Analysis-(2080s-and-2083s)?_g=(refreshInterval:(display:Off,pause:!f,section:0,value:0),time:(from:'2017-07-11T16:05:02-0600',mode:absolute,to:'2017-07-11T18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86" t="str">
        <f t="shared" si="1"/>
        <v>"C:\Program Files (x86)\AstroGrep\AstroGrep.exe" /e /r /s /spath="%USERPROFILE%\AppData\Local\Temp\OnboardLogs" /stypes="*4016*201707112*"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4016</v>
      </c>
      <c r="V35" s="31">
        <f t="shared" si="3"/>
        <v>42927.984375</v>
      </c>
      <c r="W35" s="45" t="str">
        <f t="shared" si="4"/>
        <v>EC</v>
      </c>
      <c r="X35" s="22">
        <f t="shared" si="5"/>
        <v>207</v>
      </c>
      <c r="Y35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{"issue":{"subject":"","project_id":79,"tracker_id":40,"status_id":1,"priority_id":2,"assigned_to_id":23,"start_date":"2017-07-11","description":"","custom_fields":[{"id":1,"name":"Subdivision","value":"EC"},{"id":4,"name":"Milepost","value":"23.3491"},{"id":17,"name":"Train ID","value":"207-11"},{"id":16,"name":"Locomotive ID","value":"4016"},{"id":130,"name":"Impact","value":""},{"id":150,"name":"Time of Event (Mountain Time)","value":"17:37:30"},{"id":151,"name":"Denver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/c/Users/stu/AppData/Local/Temp/OnboardLogs/RTDC4016 --include="*4016*201707112*"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"%USERPROFILE%\AppData\Local\Temp\OnboardLogs"\RTDC4016\*4016*201707112* &gt;&gt; 2017-07-11-SliceDisagreementCheck.txt</v>
      </c>
      <c r="AE35" s="145" t="str">
        <f t="shared" si="9"/>
        <v>start /low /b %USERPROFILE%\Documents\GitHub\eaglep3\Utilities\DownloadLogsFromS3.py --loco 4016 --day 2017-07-11</v>
      </c>
      <c r="AF35" s="1"/>
    </row>
    <row r="36" spans="1:32" x14ac:dyDescent="0.25">
      <c r="A36" s="31">
        <v>42927.746921296297</v>
      </c>
      <c r="B36" s="30" t="s">
        <v>530</v>
      </c>
      <c r="C36" s="30" t="s">
        <v>598</v>
      </c>
      <c r="D36" s="30" t="s">
        <v>49</v>
      </c>
      <c r="E36" s="30" t="s">
        <v>181</v>
      </c>
      <c r="F36" s="42">
        <v>0</v>
      </c>
      <c r="G36" s="42">
        <v>90</v>
      </c>
      <c r="H36" s="42">
        <v>233142</v>
      </c>
      <c r="I36" s="42">
        <v>233246</v>
      </c>
      <c r="J36" s="30" t="s">
        <v>182</v>
      </c>
      <c r="K36" s="42">
        <v>233491</v>
      </c>
      <c r="L36" s="131" t="s">
        <v>50</v>
      </c>
      <c r="M36" s="132">
        <f t="shared" si="0"/>
        <v>129.36000000000001</v>
      </c>
      <c r="N36" s="133" t="str">
        <f>VLOOKUP(C36,'Trips&amp;Operators'!$C$1:$G$99999,5,FALSE)</f>
        <v>NICHOLSON WESLEY</v>
      </c>
      <c r="O36" s="203" t="s">
        <v>180</v>
      </c>
      <c r="P36" s="134"/>
      <c r="Q36" s="30"/>
      <c r="R36" s="81" t="str">
        <f>VLOOKUP(C36,'Train Runs'!$A$13:$AE$9933,31,0)</f>
        <v>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 &amp; 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</v>
      </c>
      <c r="S36" s="84" t="str">
        <f>VLOOKUP(C36,'Train Runs'!$A$13:$AE$9933,22,0)</f>
        <v>https://d0f6bd738d7f1b3e5a7ca70fe4ff75f0.us-east-1.aws.found.io/app/kibana#/discover/Steve-Slow-Train-Analysis-(2080s-and-2083s)?_g=(refreshInterval:(display:Off,pause:!f,section:0,value:0),time:(from:'2017-07-11T16:11:39-0600',mode:absolute,to:'2017-07-11T18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86" t="str">
        <f t="shared" si="1"/>
        <v>"C:\Program Files (x86)\AstroGrep\AstroGrep.exe" /e /r /s /spath="%USERPROFILE%\AppData\Local\Temp\OnboardLogs" /stypes="*4032*201707112*" /stext=" 23:.+((SYSTEM_STATE.+slice.+state.+changed )|(ment ac)|(multiple cpu faults)|(system.+state.+changed )|(\[timeout)|(PRM\|1\|D)|(kpr)|(kdp)|(train st.+moving)|(\|lc)|(penalty))"</v>
      </c>
      <c r="U36" s="9" t="str">
        <f t="shared" si="2"/>
        <v>4032</v>
      </c>
      <c r="V36" s="31">
        <f t="shared" si="3"/>
        <v>42927.996921296297</v>
      </c>
      <c r="W36" s="45" t="str">
        <f t="shared" si="4"/>
        <v>EC</v>
      </c>
      <c r="X36" s="22">
        <f t="shared" si="5"/>
        <v>209</v>
      </c>
      <c r="Y36" s="96" t="str">
        <f t="shared" si="6"/>
        <v>echo {"issue":{"subject":"","project_id":79,"tracker_id":40,"status_id":1,"priority_id":2,"assigned_to_id":23,"start_date":"2017-07-11","description":"","custom_fields":[{"id":1,"name":"Subdivision","value":"EC"},{"id":4,"name":"Milepost","value":"23.3491"},{"id":17,"name":"Train ID","value":"209-11"},{"id":16,"name":"Locomotive ID","value":"4032"},{"id":130,"name":"Impact","value":""},{"id":150,"name":"Time of Event (Mountain Time)","value":"17:55:34"},{"id":151,"name":"Denver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/c/Users/stu/AppData/Local/Temp/OnboardLogs/RTDC4032 --include="*4032*201707112*"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"%USERPROFILE%\AppData\Local\Temp\OnboardLogs"\RTDC4032\*4032*201707112* &gt;&gt; 2017-07-11-SliceDisagreementCheck.txt</v>
      </c>
      <c r="AE36" s="145" t="str">
        <f t="shared" si="9"/>
        <v>start /low /b %USERPROFILE%\Documents\GitHub\eaglep3\Utilities\DownloadLogsFromS3.py --loco 4032 --day 2017-07-11</v>
      </c>
      <c r="AF36" s="1"/>
    </row>
    <row r="37" spans="1:32" x14ac:dyDescent="0.25">
      <c r="A37" s="31">
        <v>42927.892847222225</v>
      </c>
      <c r="B37" s="30" t="s">
        <v>529</v>
      </c>
      <c r="C37" s="30" t="s">
        <v>606</v>
      </c>
      <c r="D37" s="30" t="s">
        <v>49</v>
      </c>
      <c r="E37" s="30" t="s">
        <v>187</v>
      </c>
      <c r="F37" s="42">
        <v>210</v>
      </c>
      <c r="G37" s="42">
        <v>266</v>
      </c>
      <c r="H37" s="42">
        <v>10337</v>
      </c>
      <c r="I37" s="42">
        <v>10979</v>
      </c>
      <c r="J37" s="30" t="s">
        <v>188</v>
      </c>
      <c r="K37" s="42">
        <v>10716</v>
      </c>
      <c r="L37" s="131" t="s">
        <v>50</v>
      </c>
      <c r="M37" s="132">
        <f t="shared" si="0"/>
        <v>-138.864</v>
      </c>
      <c r="N37" s="133" t="str">
        <f>VLOOKUP(C37,'Trips&amp;Operators'!$C$1:$G$99999,5,FALSE)</f>
        <v>ELBAUM MIKE</v>
      </c>
      <c r="O37" s="203" t="s">
        <v>180</v>
      </c>
      <c r="P37" s="134" t="s">
        <v>425</v>
      </c>
      <c r="Q37" s="30"/>
      <c r="R37" s="81" t="str">
        <f>VLOOKUP(C37,'Train Runs'!$A$13:$AE$9933,31,0)</f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S37" s="84" t="str">
        <f>VLOOKUP(C37,'Train Runs'!$A$13:$AE$9933,22,0)</f>
        <v>https://d0f6bd738d7f1b3e5a7ca70fe4ff75f0.us-east-1.aws.found.io/app/kibana#/discover/Steve-Slow-Train-Analysis-(2080s-and-2083s)?_g=(refreshInterval:(display:Off,pause:!f,section:0,value:0),time:(from:'2017-07-11T20:16:37-0600',mode:absolute,to:'2017-07-11T22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7" s="86" t="str">
        <f t="shared" si="1"/>
        <v>"C:\Program Files (x86)\AstroGrep\AstroGrep.exe" /e /r /s /spath="%USERPROFILE%\AppData\Local\Temp\OnboardLogs" /stypes="*4024*201707120*" /stext=" 03:.+((SYSTEM_STATE.+slice.+state.+changed )|(ment ac)|(multiple cpu faults)|(system.+state.+changed )|(\[timeout)|(PRM\|1\|D)|(kpr)|(kdp)|(train st.+moving)|(\|lc)|(penalty))"</v>
      </c>
      <c r="U37" s="9" t="str">
        <f t="shared" si="2"/>
        <v>4024</v>
      </c>
      <c r="V37" s="31">
        <f t="shared" si="3"/>
        <v>42928.142847222225</v>
      </c>
      <c r="W37" s="45" t="str">
        <f t="shared" si="4"/>
        <v>NW</v>
      </c>
      <c r="X37" s="22">
        <f t="shared" si="5"/>
        <v>845</v>
      </c>
      <c r="Y37" s="96" t="str">
        <f t="shared" si="6"/>
        <v>echo {"issue":{"subject":"Early arrival","project_id":79,"tracker_id":40,"status_id":1,"priority_id":2,"assigned_to_id":23,"start_date":"2017-07-11","description":"","custom_fields":[{"id":1,"name":"Subdivision","value":"NW"},{"id":4,"name":"Milepost","value":"1.0716"},{"id":17,"name":"Train ID","value":"845-11"},{"id":16,"name":"Locomotive ID","value":"4024"},{"id":130,"name":"Impact","value":""},{"id":150,"name":"Time of Event (Mountain Time)","value":"21:25:42"},{"id":151,"name":"Denver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/c/Users/stu/AppData/Local/Temp/OnboardLogs/RTDC4024 --include="*4024*201707120*"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"%USERPROFILE%\AppData\Local\Temp\OnboardLogs"\RTDC4024\*4024*201707120* &gt;&gt; 2017-07-11-SliceDisagreementCheck.txt</v>
      </c>
      <c r="AE37" s="145" t="str">
        <f t="shared" si="9"/>
        <v>start /low /b %USERPROFILE%\Documents\GitHub\eaglep3\Utilities\DownloadLogsFromS3.py --loco 4024 --day 2017-07-12</v>
      </c>
      <c r="AF37" s="1"/>
    </row>
    <row r="38" spans="1:32" x14ac:dyDescent="0.25">
      <c r="A38" s="31">
        <v>42927.663969907408</v>
      </c>
      <c r="B38" s="30" t="s">
        <v>461</v>
      </c>
      <c r="C38" s="30" t="s">
        <v>592</v>
      </c>
      <c r="D38" s="30" t="s">
        <v>49</v>
      </c>
      <c r="E38" s="30" t="s">
        <v>197</v>
      </c>
      <c r="F38" s="42">
        <v>300</v>
      </c>
      <c r="G38" s="42">
        <v>417</v>
      </c>
      <c r="H38" s="42">
        <v>19392</v>
      </c>
      <c r="I38" s="42">
        <v>20614</v>
      </c>
      <c r="J38" s="30" t="s">
        <v>198</v>
      </c>
      <c r="K38" s="42">
        <v>21299</v>
      </c>
      <c r="L38" s="131" t="s">
        <v>50</v>
      </c>
      <c r="M38" s="132">
        <f t="shared" si="0"/>
        <v>361.68</v>
      </c>
      <c r="N38" s="133" t="str">
        <f>VLOOKUP(C38,'Trips&amp;Operators'!$C$1:$G$99999,5,FALSE)</f>
        <v>ELBAUM MIKE</v>
      </c>
      <c r="O38" s="203" t="s">
        <v>180</v>
      </c>
      <c r="P38" s="134"/>
      <c r="Q38" s="30"/>
      <c r="R38" s="81" t="str">
        <f>VLOOKUP(C38,'Train Runs'!$A$13:$AE$9933,31,0)</f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S38" s="84" t="str">
        <f>VLOOKUP(C38,'Train Runs'!$A$13:$AE$9933,22,0)</f>
        <v>https://d0f6bd738d7f1b3e5a7ca70fe4ff75f0.us-east-1.aws.found.io/app/kibana#/discover/Steve-Slow-Train-Analysis-(2080s-and-2083s)?_g=(refreshInterval:(display:Off,pause:!f,section:0,value:0),time:(from:'2017-07-11T14:32:31-0600',mode:absolute,to:'2017-07-11T17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8" s="86" t="str">
        <f t="shared" si="1"/>
        <v>"C:\Program Files (x86)\AstroGrep\AstroGrep.exe" /e /r /s /spath="%USERPROFILE%\AppData\Local\Temp\OnboardLogs" /stypes="*4062*201707112*" /stext=" 21:.+((SYSTEM_STATE.+slice.+state.+changed )|(ment ac)|(multiple cpu faults)|(system.+state.+changed )|(\[timeout)|(PRM\|1\|D)|(kpr)|(kdp)|(train st.+moving)|(\|lc)|(penalty))"</v>
      </c>
      <c r="U38" s="9" t="str">
        <f t="shared" si="2"/>
        <v>4062</v>
      </c>
      <c r="V38" s="31">
        <f t="shared" si="3"/>
        <v>42927.913969907408</v>
      </c>
      <c r="W38" s="45" t="str">
        <f t="shared" si="4"/>
        <v>NW</v>
      </c>
      <c r="X38" s="22">
        <f t="shared" si="5"/>
        <v>827</v>
      </c>
      <c r="Y38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{"issue":{"subject":"","project_id":79,"tracker_id":40,"status_id":1,"priority_id":2,"assigned_to_id":23,"start_date":"2017-07-11","description":"","custom_fields":[{"id":1,"name":"Subdivision","value":"NW"},{"id":4,"name":"Milepost","value":"2.1299"},{"id":17,"name":"Train ID","value":"827-11"},{"id":16,"name":"Locomotive ID","value":"4062"},{"id":130,"name":"Impact","value":""},{"id":150,"name":"Time of Event (Mountain Time)","value":"15:56:07"},{"id":151,"name":"Denver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/c/Users/stu/AppData/Local/Temp/OnboardLogs/RTDC4062 --include="*4062*201707112*"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"%USERPROFILE%\AppData\Local\Temp\OnboardLogs"\RTDC4062\*4062*201707112* &gt;&gt; 2017-07-11-SliceDisagreementCheck.txt</v>
      </c>
      <c r="AE38" s="145" t="str">
        <f t="shared" si="9"/>
        <v>start /low /b %USERPROFILE%\Documents\GitHub\eaglep3\Utilities\DownloadLogsFromS3.py --loco 4062 --day 2017-07-11</v>
      </c>
      <c r="AF38" s="1"/>
    </row>
    <row r="39" spans="1:32" x14ac:dyDescent="0.25">
      <c r="A39" s="31">
        <v>42927.3046875</v>
      </c>
      <c r="B39" s="30" t="s">
        <v>462</v>
      </c>
      <c r="C39" s="30" t="s">
        <v>572</v>
      </c>
      <c r="D39" s="30" t="s">
        <v>49</v>
      </c>
      <c r="E39" s="30" t="s">
        <v>197</v>
      </c>
      <c r="F39" s="42">
        <v>300</v>
      </c>
      <c r="G39" s="42">
        <v>385</v>
      </c>
      <c r="H39" s="42">
        <v>24970</v>
      </c>
      <c r="I39" s="42">
        <v>23754</v>
      </c>
      <c r="J39" s="30" t="s">
        <v>198</v>
      </c>
      <c r="K39" s="42">
        <v>23561</v>
      </c>
      <c r="L39" s="131" t="s">
        <v>51</v>
      </c>
      <c r="M39" s="132">
        <f t="shared" si="0"/>
        <v>101.904</v>
      </c>
      <c r="N39" s="133" t="str">
        <f>VLOOKUP(C39,'Trips&amp;Operators'!$C$1:$G$99999,5,FALSE)</f>
        <v>HELVIE ADAM</v>
      </c>
      <c r="O39" s="203" t="s">
        <v>180</v>
      </c>
      <c r="P39" s="134"/>
      <c r="Q39" s="30"/>
      <c r="R39" s="81" t="str">
        <f>VLOOKUP(C39,'Train Runs'!$A$13:$AE$9933,31,0)</f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S39" s="84" t="str">
        <f>VLOOKUP(C39,'Train Runs'!$A$13:$AE$9933,22,0)</f>
        <v>https://d0f6bd738d7f1b3e5a7ca70fe4ff75f0.us-east-1.aws.found.io/app/kibana#/discover/Steve-Slow-Train-Analysis-(2080s-and-2083s)?_g=(refreshInterval:(display:Off,pause:!f,section:0,value:0),time:(from:'2017-07-11T06:06:34-0600',mode:absolute,to:'2017-07-11T08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9" s="86" t="str">
        <f t="shared" si="1"/>
        <v>"C:\Program Files (x86)\AstroGrep\AstroGrep.exe" /e /r /s /spath="%USERPROFILE%\AppData\Local\Temp\OnboardLogs" /stypes="*4061*201707111*" /stext=" 13:.+((SYSTEM_STATE.+slice.+state.+changed )|(ment ac)|(multiple cpu faults)|(system.+state.+changed )|(\[timeout)|(PRM\|1\|D)|(kpr)|(kdp)|(train st.+moving)|(\|lc)|(penalty))"</v>
      </c>
      <c r="U39" s="9" t="str">
        <f t="shared" si="2"/>
        <v>4061</v>
      </c>
      <c r="V39" s="31">
        <f t="shared" si="3"/>
        <v>42927.5546875</v>
      </c>
      <c r="W39" s="45" t="str">
        <f t="shared" si="4"/>
        <v>NW</v>
      </c>
      <c r="X39" s="22">
        <f t="shared" si="5"/>
        <v>806</v>
      </c>
      <c r="Y39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{"issue":{"subject":"","project_id":79,"tracker_id":40,"status_id":1,"priority_id":2,"assigned_to_id":23,"start_date":"2017-07-11","description":"","custom_fields":[{"id":1,"name":"Subdivision","value":"NW"},{"id":4,"name":"Milepost","value":"2.3561"},{"id":17,"name":"Train ID","value":"806-11"},{"id":16,"name":"Locomotive ID","value":"4061"},{"id":130,"name":"Impact","value":""},{"id":150,"name":"Time of Event (Mountain Time)","value":"07:18:45"},{"id":151,"name":"Denver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/c/Users/stu/AppData/Local/Temp/OnboardLogs/RTDC4061 --include="*4061*201707111*"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"%USERPROFILE%\AppData\Local\Temp\OnboardLogs"\RTDC4061\*4061*201707111* &gt;&gt; 2017-07-11-SliceDisagreementCheck.txt</v>
      </c>
      <c r="AE39" s="145" t="str">
        <f t="shared" si="9"/>
        <v>start /low /b %USERPROFILE%\Documents\GitHub\eaglep3\Utilities\DownloadLogsFromS3.py --loco 4061 --day 2017-07-11</v>
      </c>
      <c r="AF39" s="1"/>
    </row>
    <row r="40" spans="1:32" x14ac:dyDescent="0.25">
      <c r="A40" s="31">
        <v>42927.679837962962</v>
      </c>
      <c r="B40" s="30" t="s">
        <v>462</v>
      </c>
      <c r="C40" s="30" t="s">
        <v>596</v>
      </c>
      <c r="D40" s="30" t="s">
        <v>49</v>
      </c>
      <c r="E40" s="30" t="s">
        <v>197</v>
      </c>
      <c r="F40" s="42">
        <v>300</v>
      </c>
      <c r="G40" s="42">
        <v>425</v>
      </c>
      <c r="H40" s="42">
        <v>24599</v>
      </c>
      <c r="I40" s="42">
        <v>23427</v>
      </c>
      <c r="J40" s="30" t="s">
        <v>198</v>
      </c>
      <c r="K40" s="42">
        <v>23561</v>
      </c>
      <c r="L40" s="131" t="s">
        <v>51</v>
      </c>
      <c r="M40" s="132">
        <f t="shared" si="0"/>
        <v>-70.751999999999995</v>
      </c>
      <c r="N40" s="133" t="str">
        <f>VLOOKUP(C40,'Trips&amp;Operators'!$C$1:$G$99999,5,FALSE)</f>
        <v>ELBAUM MIKE</v>
      </c>
      <c r="O40" s="203" t="s">
        <v>180</v>
      </c>
      <c r="P40" s="134"/>
      <c r="Q40" s="30"/>
      <c r="R40" s="81" t="str">
        <f>VLOOKUP(C40,'Train Runs'!$A$13:$AE$9933,31,0)</f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S40" s="84" t="str">
        <f>VLOOKUP(C40,'Train Runs'!$A$13:$AE$9933,22,0)</f>
        <v>https://d0f6bd738d7f1b3e5a7ca70fe4ff75f0.us-east-1.aws.found.io/app/kibana#/discover/Steve-Slow-Train-Analysis-(2080s-and-2083s)?_g=(refreshInterval:(display:Off,pause:!f,section:0,value:0),time:(from:'2017-07-11T15:07:33-0600',mode:absolute,to:'2017-07-11T17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0" s="86" t="str">
        <f t="shared" si="1"/>
        <v>"C:\Program Files (x86)\AstroGrep\AstroGrep.exe" /e /r /s /spath="%USERPROFILE%\AppData\Local\Temp\OnboardLogs" /stypes="*4061*201707112*" /stext=" 22:.+((SYSTEM_STATE.+slice.+state.+changed )|(ment ac)|(multiple cpu faults)|(system.+state.+changed )|(\[timeout)|(PRM\|1\|D)|(kpr)|(kdp)|(train st.+moving)|(\|lc)|(penalty))"</v>
      </c>
      <c r="U40" s="9" t="str">
        <f t="shared" si="2"/>
        <v>4061</v>
      </c>
      <c r="V40" s="31">
        <f t="shared" si="3"/>
        <v>42927.929837962962</v>
      </c>
      <c r="W40" s="45" t="str">
        <f t="shared" si="4"/>
        <v>NW</v>
      </c>
      <c r="X40" s="22">
        <f t="shared" si="5"/>
        <v>828</v>
      </c>
      <c r="Y40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{"issue":{"subject":"","project_id":79,"tracker_id":40,"status_id":1,"priority_id":2,"assigned_to_id":23,"start_date":"2017-07-11","description":"","custom_fields":[{"id":1,"name":"Subdivision","value":"NW"},{"id":4,"name":"Milepost","value":"2.3561"},{"id":17,"name":"Train ID","value":"828-11"},{"id":16,"name":"Locomotive ID","value":"4061"},{"id":130,"name":"Impact","value":""},{"id":150,"name":"Time of Event (Mountain Time)","value":"16:18:58"},{"id":151,"name":"Denver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/c/Users/stu/AppData/Local/Temp/OnboardLogs/RTDC4061 --include="*4061*201707112*"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"%USERPROFILE%\AppData\Local\Temp\OnboardLogs"\RTDC4061\*4061*201707112* &gt;&gt; 2017-07-11-SliceDisagreementCheck.txt</v>
      </c>
      <c r="AE40" s="145" t="str">
        <f t="shared" si="9"/>
        <v>start /low /b %USERPROFILE%\Documents\GitHub\eaglep3\Utilities\DownloadLogsFromS3.py --loco 4061 --day 2017-07-11</v>
      </c>
      <c r="AF40" s="1"/>
    </row>
    <row r="41" spans="1:32" x14ac:dyDescent="0.25">
      <c r="A41" s="31">
        <v>42927.438692129632</v>
      </c>
      <c r="B41" s="30" t="s">
        <v>529</v>
      </c>
      <c r="C41" s="30" t="s">
        <v>580</v>
      </c>
      <c r="D41" s="30" t="s">
        <v>49</v>
      </c>
      <c r="E41" s="30" t="s">
        <v>197</v>
      </c>
      <c r="F41" s="42">
        <v>150</v>
      </c>
      <c r="G41" s="42">
        <v>323</v>
      </c>
      <c r="H41" s="42">
        <v>55492</v>
      </c>
      <c r="I41" s="42">
        <v>56059</v>
      </c>
      <c r="J41" s="30" t="s">
        <v>198</v>
      </c>
      <c r="K41" s="42">
        <v>57008</v>
      </c>
      <c r="L41" s="131" t="s">
        <v>50</v>
      </c>
      <c r="M41" s="132">
        <f t="shared" si="0"/>
        <v>501.072</v>
      </c>
      <c r="N41" s="133" t="str">
        <f>VLOOKUP(C41,'Trips&amp;Operators'!$C$1:$G$99999,5,FALSE)</f>
        <v>YANG JAN</v>
      </c>
      <c r="O41" s="203" t="s">
        <v>180</v>
      </c>
      <c r="P41" s="134"/>
      <c r="Q41" s="30"/>
      <c r="R41" s="81" t="str">
        <f>VLOOKUP(C41,'Train Runs'!$A$13:$AE$9933,31,0)</f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S41" s="84" t="str">
        <f>VLOOKUP(C41,'Train Runs'!$A$13:$AE$9933,22,0)</f>
        <v>https://d0f6bd738d7f1b3e5a7ca70fe4ff75f0.us-east-1.aws.found.io/app/kibana#/discover/Steve-Slow-Train-Analysis-(2080s-and-2083s)?_g=(refreshInterval:(display:Off,pause:!f,section:0,value:0),time:(from:'2017-07-11T09:07:12-0600',mode:absolute,to:'2017-07-11T11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41" s="86" t="str">
        <f t="shared" si="1"/>
        <v>"C:\Program Files (x86)\AstroGrep\AstroGrep.exe" /e /r /s /spath="%USERPROFILE%\AppData\Local\Temp\OnboardLogs" /stypes="*4024*201707111*"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4024</v>
      </c>
      <c r="V41" s="31">
        <f t="shared" si="3"/>
        <v>42927.688692129632</v>
      </c>
      <c r="W41" s="45" t="str">
        <f t="shared" si="4"/>
        <v>NW</v>
      </c>
      <c r="X41" s="22">
        <f t="shared" si="5"/>
        <v>815</v>
      </c>
      <c r="Y41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{"issue":{"subject":"","project_id":79,"tracker_id":40,"status_id":1,"priority_id":2,"assigned_to_id":23,"start_date":"2017-07-11","description":"","custom_fields":[{"id":1,"name":"Subdivision","value":"NW"},{"id":4,"name":"Milepost","value":"5.7008"},{"id":17,"name":"Train ID","value":"815-11"},{"id":16,"name":"Locomotive ID","value":"4024"},{"id":130,"name":"Impact","value":""},{"id":150,"name":"Time of Event (Mountain Time)","value":"10:31:43"},{"id":151,"name":"Denver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/c/Users/stu/AppData/Local/Temp/OnboardLogs/RTDC4024 --include="*4024*201707111*"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"%USERPROFILE%\AppData\Local\Temp\OnboardLogs"\RTDC4024\*4024*201707111* &gt;&gt; 2017-07-11-SliceDisagreementCheck.txt</v>
      </c>
      <c r="AE41" s="145" t="str">
        <f t="shared" si="9"/>
        <v>start /low /b %USERPROFILE%\Documents\GitHub\eaglep3\Utilities\DownloadLogsFromS3.py --loco 4024 --day 2017-07-11</v>
      </c>
      <c r="AF41" s="1"/>
    </row>
    <row r="42" spans="1:32" x14ac:dyDescent="0.25">
      <c r="A42" s="31">
        <v>42927.655173611114</v>
      </c>
      <c r="B42" s="30" t="s">
        <v>522</v>
      </c>
      <c r="C42" s="30" t="s">
        <v>591</v>
      </c>
      <c r="D42" s="30" t="s">
        <v>96</v>
      </c>
      <c r="E42" s="30" t="s">
        <v>197</v>
      </c>
      <c r="F42" s="42">
        <v>150</v>
      </c>
      <c r="G42" s="42">
        <v>201</v>
      </c>
      <c r="H42" s="42">
        <v>56984</v>
      </c>
      <c r="I42" s="42">
        <v>56629</v>
      </c>
      <c r="J42" s="30" t="s">
        <v>198</v>
      </c>
      <c r="K42" s="42">
        <v>59050</v>
      </c>
      <c r="L42" s="131" t="s">
        <v>51</v>
      </c>
      <c r="M42" s="132">
        <f t="shared" si="0"/>
        <v>-1278.288</v>
      </c>
      <c r="N42" s="133" t="str">
        <f>VLOOKUP(C42,'Trips&amp;Operators'!$C$1:$G$99999,5,FALSE)</f>
        <v>CASSIDY BRANDON</v>
      </c>
      <c r="O42" s="203" t="s">
        <v>180</v>
      </c>
      <c r="P42" s="134"/>
      <c r="Q42" s="30"/>
      <c r="R42" s="81" t="str">
        <f>VLOOKUP(C42,'Train Runs'!$A$13:$AE$9933,31,0)</f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S42" s="84" t="str">
        <f>VLOOKUP(C42,'Train Runs'!$A$13:$AE$9933,22,0)</f>
        <v>https://d0f6bd738d7f1b3e5a7ca70fe4ff75f0.us-east-1.aws.found.io/app/kibana#/discover/Steve-Slow-Train-Analysis-(2080s-and-2083s)?_g=(refreshInterval:(display:Off,pause:!f,section:0,value:0),time:(from:'2017-07-11T14:38:55-0600',mode:absolute,to:'2017-07-11T16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2" s="86" t="str">
        <f t="shared" si="1"/>
        <v>"C:\Program Files (x86)\AstroGrep\AstroGrep.exe" /e /r /s /spath="%USERPROFILE%\AppData\Local\Temp\OnboardLogs" /stypes="*4023*201707112*" /stext=" 21:.+((SYSTEM_STATE.+slice.+state.+changed )|(ment ac)|(multiple cpu faults)|(system.+state.+changed )|(\[timeout)|(PRM\|1\|D)|(kpr)|(kdp)|(train st.+moving)|(\|lc)|(penalty))"</v>
      </c>
      <c r="U42" s="9" t="str">
        <f t="shared" si="2"/>
        <v>4023</v>
      </c>
      <c r="V42" s="31">
        <f t="shared" si="3"/>
        <v>42927.905173611114</v>
      </c>
      <c r="W42" s="45" t="str">
        <f t="shared" si="4"/>
        <v>NW</v>
      </c>
      <c r="X42" s="22">
        <f t="shared" si="5"/>
        <v>826</v>
      </c>
      <c r="Y42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{"issue":{"subject":"","project_id":79,"tracker_id":40,"status_id":1,"priority_id":2,"assigned_to_id":23,"start_date":"2017-07-11","description":"","custom_fields":[{"id":1,"name":"Subdivision","value":"NW"},{"id":4,"name":"Milepost","value":"5.905"},{"id":17,"name":"Train ID","value":"826-11"},{"id":16,"name":"Locomotive ID","value":"4023"},{"id":130,"name":"Impact","value":""},{"id":150,"name":"Time of Event (Mountain Time)","value":"15:43:27"},{"id":151,"name":"Denver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/c/Users/stu/AppData/Local/Temp/OnboardLogs/RTDC4023 --include="*4023*201707112*"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"%USERPROFILE%\AppData\Local\Temp\OnboardLogs"\RTDC4023\*4023*201707112* &gt;&gt; 2017-07-11-SliceDisagreementCheck.txt</v>
      </c>
      <c r="AE42" s="145" t="str">
        <f t="shared" si="9"/>
        <v>start /low /b %USERPROFILE%\Documents\GitHub\eaglep3\Utilities\DownloadLogsFromS3.py --loco 4023 --day 2017-07-11</v>
      </c>
      <c r="AF42" s="1"/>
    </row>
    <row r="43" spans="1:32" x14ac:dyDescent="0.25">
      <c r="A43" s="31">
        <v>42927.784351851849</v>
      </c>
      <c r="B43" s="30" t="s">
        <v>522</v>
      </c>
      <c r="C43" s="30" t="s">
        <v>601</v>
      </c>
      <c r="D43" s="30" t="s">
        <v>49</v>
      </c>
      <c r="E43" s="30" t="s">
        <v>357</v>
      </c>
      <c r="F43" s="42">
        <v>0</v>
      </c>
      <c r="G43" s="42">
        <v>302</v>
      </c>
      <c r="H43" s="42">
        <v>20437</v>
      </c>
      <c r="I43" s="42">
        <v>19827</v>
      </c>
      <c r="J43" s="30" t="s">
        <v>358</v>
      </c>
      <c r="K43" s="42">
        <v>19000</v>
      </c>
      <c r="L43" s="131" t="s">
        <v>51</v>
      </c>
      <c r="M43" s="132">
        <f t="shared" si="0"/>
        <v>436.65600000000001</v>
      </c>
      <c r="N43" s="133" t="str">
        <f>VLOOKUP(C43,'Trips&amp;Operators'!$C$1:$G$99999,5,FALSE)</f>
        <v>CASSIDY BRANDON</v>
      </c>
      <c r="O43" s="203" t="s">
        <v>464</v>
      </c>
      <c r="P43" s="134" t="s">
        <v>1034</v>
      </c>
      <c r="Q43" s="30"/>
      <c r="R43" s="81" t="str">
        <f>VLOOKUP(C43,'Train Runs'!$A$13:$AE$9933,31,0)</f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S43" s="84" t="str">
        <f>VLOOKUP(C43,'Train Runs'!$A$13:$AE$9933,22,0)</f>
        <v>https://d0f6bd738d7f1b3e5a7ca70fe4ff75f0.us-east-1.aws.found.io/app/kibana#/discover/Steve-Slow-Train-Analysis-(2080s-and-2083s)?_g=(refreshInterval:(display:Off,pause:!f,section:0,value:0),time:(from:'2017-07-11T17:38:02-0600',mode:absolute,to:'2017-07-11T19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3" s="86" t="str">
        <f t="shared" si="1"/>
        <v>"C:\Program Files (x86)\AstroGrep\AstroGrep.exe" /e /r /s /spath="%USERPROFILE%\AppData\Local\Temp\OnboardLogs" /stypes="*4023*201707120*" /stext=" 00:.+((SYSTEM_STATE.+slice.+state.+changed )|(ment ac)|(multiple cpu faults)|(system.+state.+changed )|(\[timeout)|(PRM\|1\|D)|(kpr)|(kdp)|(train st.+moving)|(\|lc)|(penalty))"</v>
      </c>
      <c r="U43" s="9" t="str">
        <f t="shared" si="2"/>
        <v>4023</v>
      </c>
      <c r="V43" s="31">
        <f t="shared" si="3"/>
        <v>42928.034351851849</v>
      </c>
      <c r="W43" s="45" t="str">
        <f t="shared" si="4"/>
        <v>NW</v>
      </c>
      <c r="X43" s="22">
        <f t="shared" si="5"/>
        <v>838</v>
      </c>
      <c r="Y43" s="96" t="str">
        <f t="shared" si="6"/>
        <v>echo {"issue":{"subject":"Wi-MAX data drop","project_id":79,"tracker_id":40,"status_id":1,"priority_id":2,"assigned_to_id":23,"start_date":"2017-07-11","description":"","custom_fields":[{"id":1,"name":"Subdivision","value":"NW"},{"id":4,"name":"Milepost","value":"1.9"},{"id":17,"name":"Train ID","value":"838-11"},{"id":16,"name":"Locomotive ID","value":"4023"},{"id":130,"name":"Impact","value":""},{"id":150,"name":"Time of Event (Mountain Time)","value":"18:49:28"},{"id":151,"name":"Denver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/c/Users/stu/AppData/Local/Temp/OnboardLogs/RTDC4023 --include="*4023*201707120*"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"%USERPROFILE%\AppData\Local\Temp\OnboardLogs"\RTDC4023\*4023*201707120* &gt;&gt; 2017-07-11-SliceDisagreementCheck.txt</v>
      </c>
      <c r="AE43" s="145" t="str">
        <f t="shared" si="9"/>
        <v>start /low /b %USERPROFILE%\Documents\GitHub\eaglep3\Utilities\DownloadLogsFromS3.py --loco 4023 --day 2017-07-12</v>
      </c>
      <c r="AF43" s="1"/>
    </row>
    <row r="44" spans="1:32" x14ac:dyDescent="0.25">
      <c r="A44" s="31">
        <v>42927.309444444443</v>
      </c>
      <c r="B44" s="30" t="s">
        <v>462</v>
      </c>
      <c r="C44" s="30" t="s">
        <v>572</v>
      </c>
      <c r="D44" s="30" t="s">
        <v>49</v>
      </c>
      <c r="E44" s="30" t="s">
        <v>181</v>
      </c>
      <c r="F44" s="42">
        <v>0</v>
      </c>
      <c r="G44" s="42">
        <v>129</v>
      </c>
      <c r="H44" s="42">
        <v>1252</v>
      </c>
      <c r="I44" s="42">
        <v>1095</v>
      </c>
      <c r="J44" s="30" t="s">
        <v>182</v>
      </c>
      <c r="K44" s="42">
        <v>575</v>
      </c>
      <c r="L44" s="131" t="s">
        <v>51</v>
      </c>
      <c r="M44" s="132">
        <f t="shared" si="0"/>
        <v>274.56</v>
      </c>
      <c r="N44" s="133" t="str">
        <f>VLOOKUP(C44,'Trips&amp;Operators'!$C$1:$G$99999,5,FALSE)</f>
        <v>HELVIE ADAM</v>
      </c>
      <c r="O44" s="203" t="s">
        <v>180</v>
      </c>
      <c r="P44" s="134"/>
      <c r="Q44" s="30"/>
      <c r="R44" s="81" t="str">
        <f>VLOOKUP(C44,'Train Runs'!$A$13:$AE$9933,31,0)</f>
        <v>aws s3 cp s3://rtdc.mdm.uploadarchive.raw/RTDC4061/ "%USERPROFILE%\AppData\Local\Temp\OnboardLogs"\RTDC4061\2017-07-11 --exclude "*" --recursive --include "*20170711*" &amp; "%USERPROFILE%\Documents\GitHub\mrs-test-scripts\Headless Mode &amp; Sideloading\WalkAndUnGZ.bat" "%USERPROFILE%\AppData\Local\Temp\OnboardLogs"\RTDC4061\2017-07-11 &amp; aws s3 cp s3://rtdc.mdm.uploadarchive.raw/RTDC4061/ "%USERPROFILE%\AppData\Local\Temp\OnboardLogs"\RTDC4061\2017-07-12 --exclude "*" --recursive --include "*20170712*" &amp; "%USERPROFILE%\Documents\GitHub\mrs-test-scripts\Headless Mode &amp; Sideloading\WalkAndUnGZ.bat" "%USERPROFILE%\AppData\Local\Temp\OnboardLogs"\RTDC4061\2017-07-12</v>
      </c>
      <c r="S44" s="84" t="str">
        <f>VLOOKUP(C44,'Train Runs'!$A$13:$AE$9933,22,0)</f>
        <v>https://d0f6bd738d7f1b3e5a7ca70fe4ff75f0.us-east-1.aws.found.io/app/kibana#/discover/Steve-Slow-Train-Analysis-(2080s-and-2083s)?_g=(refreshInterval:(display:Off,pause:!f,section:0,value:0),time:(from:'2017-07-11T06:06:34-0600',mode:absolute,to:'2017-07-11T08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4" s="86" t="str">
        <f t="shared" si="1"/>
        <v>"C:\Program Files (x86)\AstroGrep\AstroGrep.exe" /e /r /s /spath="%USERPROFILE%\AppData\Local\Temp\OnboardLogs" /stypes="*4061*201707111*" /stext=" 13:.+((SYSTEM_STATE.+slice.+state.+changed )|(ment ac)|(multiple cpu faults)|(system.+state.+changed )|(\[timeout)|(PRM\|1\|D)|(kpr)|(kdp)|(train st.+moving)|(\|lc)|(penalty))"</v>
      </c>
      <c r="U44" s="9" t="str">
        <f t="shared" si="2"/>
        <v>4061</v>
      </c>
      <c r="V44" s="31">
        <f t="shared" si="3"/>
        <v>42927.559444444443</v>
      </c>
      <c r="W44" s="45" t="str">
        <f t="shared" si="4"/>
        <v>NW</v>
      </c>
      <c r="X44" s="22">
        <f t="shared" si="5"/>
        <v>806</v>
      </c>
      <c r="Y44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{"issue":{"subject":"","project_id":79,"tracker_id":40,"status_id":1,"priority_id":2,"assigned_to_id":23,"start_date":"2017-07-11","description":"","custom_fields":[{"id":1,"name":"Subdivision","value":"NW"},{"id":4,"name":"Milepost","value":"0.0575"},{"id":17,"name":"Train ID","value":"806-11"},{"id":16,"name":"Locomotive ID","value":"4061"},{"id":130,"name":"Impact","value":""},{"id":150,"name":"Time of Event (Mountain Time)","value":"07:25:36"},{"id":151,"name":"Denver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/c/Users/stu/AppData/Local/Temp/OnboardLogs/RTDC4061 --include="*4061*201707111*"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"%USERPROFILE%\AppData\Local\Temp\OnboardLogs"\RTDC4061\*4061*201707111* &gt;&gt; 2017-07-11-SliceDisagreementCheck.txt</v>
      </c>
      <c r="AE44" s="145" t="str">
        <f t="shared" si="9"/>
        <v>start /low /b %USERPROFILE%\Documents\GitHub\eaglep3\Utilities\DownloadLogsFromS3.py --loco 4061 --day 2017-07-11</v>
      </c>
      <c r="AF44" s="1"/>
    </row>
    <row r="45" spans="1:32" x14ac:dyDescent="0.25">
      <c r="A45" s="31">
        <v>42927.329618055555</v>
      </c>
      <c r="B45" s="30" t="s">
        <v>522</v>
      </c>
      <c r="C45" s="30" t="s">
        <v>575</v>
      </c>
      <c r="D45" s="30" t="s">
        <v>49</v>
      </c>
      <c r="E45" s="30" t="s">
        <v>181</v>
      </c>
      <c r="F45" s="42">
        <v>0</v>
      </c>
      <c r="G45" s="42">
        <v>140</v>
      </c>
      <c r="H45" s="42">
        <v>1454</v>
      </c>
      <c r="I45" s="42">
        <v>1321</v>
      </c>
      <c r="J45" s="30" t="s">
        <v>182</v>
      </c>
      <c r="K45" s="42">
        <v>575</v>
      </c>
      <c r="L45" s="131" t="s">
        <v>51</v>
      </c>
      <c r="M45" s="132">
        <f t="shared" si="0"/>
        <v>393.88799999999998</v>
      </c>
      <c r="N45" s="133" t="str">
        <f>VLOOKUP(C45,'Trips&amp;Operators'!$C$1:$G$99999,5,FALSE)</f>
        <v>YANG JAN</v>
      </c>
      <c r="O45" s="203" t="s">
        <v>180</v>
      </c>
      <c r="P45" s="134"/>
      <c r="Q45" s="30"/>
      <c r="R45" s="81" t="str">
        <f>VLOOKUP(C45,'Train Runs'!$A$13:$AE$9933,31,0)</f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S45" s="84" t="str">
        <f>VLOOKUP(C45,'Train Runs'!$A$13:$AE$9933,22,0)</f>
        <v>https://d0f6bd738d7f1b3e5a7ca70fe4ff75f0.us-east-1.aws.found.io/app/kibana#/discover/Steve-Slow-Train-Analysis-(2080s-and-2083s)?_g=(refreshInterval:(display:Off,pause:!f,section:0,value:0),time:(from:'2017-07-11T06:37:26-0600',mode:absolute,to:'2017-07-11T08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5" s="86" t="str">
        <f t="shared" si="1"/>
        <v>"C:\Program Files (x86)\AstroGrep\AstroGrep.exe" /e /r /s /spath="%USERPROFILE%\AppData\Local\Temp\OnboardLogs" /stypes="*4023*201707111*" /stext=" 13:.+((SYSTEM_STATE.+slice.+state.+changed )|(ment ac)|(multiple cpu faults)|(system.+state.+changed )|(\[timeout)|(PRM\|1\|D)|(kpr)|(kdp)|(train st.+moving)|(\|lc)|(penalty))"</v>
      </c>
      <c r="U45" s="9" t="str">
        <f t="shared" si="2"/>
        <v>4023</v>
      </c>
      <c r="V45" s="31">
        <f t="shared" si="3"/>
        <v>42927.579618055555</v>
      </c>
      <c r="W45" s="45" t="str">
        <f t="shared" si="4"/>
        <v>NW</v>
      </c>
      <c r="X45" s="22">
        <f t="shared" si="5"/>
        <v>808</v>
      </c>
      <c r="Y45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{"issue":{"subject":"","project_id":79,"tracker_id":40,"status_id":1,"priority_id":2,"assigned_to_id":23,"start_date":"2017-07-11","description":"","custom_fields":[{"id":1,"name":"Subdivision","value":"NW"},{"id":4,"name":"Milepost","value":"0.0575"},{"id":17,"name":"Train ID","value":"808-11"},{"id":16,"name":"Locomotive ID","value":"4023"},{"id":130,"name":"Impact","value":""},{"id":150,"name":"Time of Event (Mountain Time)","value":"07:54:39"},{"id":151,"name":"Denver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/c/Users/stu/AppData/Local/Temp/OnboardLogs/RTDC4023 --include="*4023*201707111*"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"%USERPROFILE%\AppData\Local\Temp\OnboardLogs"\RTDC4023\*4023*201707111* &gt;&gt; 2017-07-11-SliceDisagreementCheck.txt</v>
      </c>
      <c r="AE45" s="145" t="str">
        <f t="shared" si="9"/>
        <v>start /low /b %USERPROFILE%\Documents\GitHub\eaglep3\Utilities\DownloadLogsFromS3.py --loco 4023 --day 2017-07-11</v>
      </c>
      <c r="AF45" s="1"/>
    </row>
    <row r="46" spans="1:32" x14ac:dyDescent="0.25">
      <c r="A46" s="31">
        <v>42927.330069444448</v>
      </c>
      <c r="B46" s="30" t="s">
        <v>522</v>
      </c>
      <c r="C46" s="30" t="s">
        <v>575</v>
      </c>
      <c r="D46" s="30" t="s">
        <v>49</v>
      </c>
      <c r="E46" s="30" t="s">
        <v>181</v>
      </c>
      <c r="F46" s="42">
        <v>0</v>
      </c>
      <c r="G46" s="42">
        <v>91</v>
      </c>
      <c r="H46" s="42">
        <v>1210</v>
      </c>
      <c r="I46" s="42">
        <v>1160</v>
      </c>
      <c r="J46" s="30" t="s">
        <v>182</v>
      </c>
      <c r="K46" s="42">
        <v>575</v>
      </c>
      <c r="L46" s="131" t="s">
        <v>51</v>
      </c>
      <c r="M46" s="132">
        <f t="shared" si="0"/>
        <v>308.88</v>
      </c>
      <c r="N46" s="133" t="str">
        <f>VLOOKUP(C46,'Trips&amp;Operators'!$C$1:$G$99999,5,FALSE)</f>
        <v>YANG JAN</v>
      </c>
      <c r="O46" s="203" t="s">
        <v>180</v>
      </c>
      <c r="P46" s="134"/>
      <c r="Q46" s="30"/>
      <c r="R46" s="81" t="str">
        <f>VLOOKUP(C46,'Train Runs'!$A$13:$AE$9933,31,0)</f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S46" s="84" t="str">
        <f>VLOOKUP(C46,'Train Runs'!$A$13:$AE$9933,22,0)</f>
        <v>https://d0f6bd738d7f1b3e5a7ca70fe4ff75f0.us-east-1.aws.found.io/app/kibana#/discover/Steve-Slow-Train-Analysis-(2080s-and-2083s)?_g=(refreshInterval:(display:Off,pause:!f,section:0,value:0),time:(from:'2017-07-11T06:37:26-0600',mode:absolute,to:'2017-07-11T08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6" s="86" t="str">
        <f t="shared" si="1"/>
        <v>"C:\Program Files (x86)\AstroGrep\AstroGrep.exe" /e /r /s /spath="%USERPROFILE%\AppData\Local\Temp\OnboardLogs" /stypes="*4023*201707111*" /stext=" 13:.+((SYSTEM_STATE.+slice.+state.+changed )|(ment ac)|(multiple cpu faults)|(system.+state.+changed )|(\[timeout)|(PRM\|1\|D)|(kpr)|(kdp)|(train st.+moving)|(\|lc)|(penalty))"</v>
      </c>
      <c r="U46" s="9" t="str">
        <f t="shared" si="2"/>
        <v>4023</v>
      </c>
      <c r="V46" s="31">
        <f t="shared" si="3"/>
        <v>42927.580069444448</v>
      </c>
      <c r="W46" s="45" t="str">
        <f t="shared" si="4"/>
        <v>NW</v>
      </c>
      <c r="X46" s="22">
        <f t="shared" si="5"/>
        <v>808</v>
      </c>
      <c r="Y46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{"issue":{"subject":"","project_id":79,"tracker_id":40,"status_id":1,"priority_id":2,"assigned_to_id":23,"start_date":"2017-07-11","description":"","custom_fields":[{"id":1,"name":"Subdivision","value":"NW"},{"id":4,"name":"Milepost","value":"0.0575"},{"id":17,"name":"Train ID","value":"808-11"},{"id":16,"name":"Locomotive ID","value":"4023"},{"id":130,"name":"Impact","value":""},{"id":150,"name":"Time of Event (Mountain Time)","value":"07:55:18"},{"id":151,"name":"Denver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/c/Users/stu/AppData/Local/Temp/OnboardLogs/RTDC4023 --include="*4023*201707111*"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"%USERPROFILE%\AppData\Local\Temp\OnboardLogs"\RTDC4023\*4023*201707111* &gt;&gt; 2017-07-11-SliceDisagreementCheck.txt</v>
      </c>
      <c r="AE46" s="145" t="str">
        <f t="shared" si="9"/>
        <v>start /low /b %USERPROFILE%\Documents\GitHub\eaglep3\Utilities\DownloadLogsFromS3.py --loco 4023 --day 2017-07-11</v>
      </c>
      <c r="AF46" s="1"/>
    </row>
    <row r="47" spans="1:32" x14ac:dyDescent="0.25">
      <c r="A47" s="31">
        <v>42927.663888888892</v>
      </c>
      <c r="B47" s="30" t="s">
        <v>522</v>
      </c>
      <c r="C47" s="30" t="s">
        <v>591</v>
      </c>
      <c r="D47" s="30" t="s">
        <v>49</v>
      </c>
      <c r="E47" s="30" t="s">
        <v>181</v>
      </c>
      <c r="F47" s="42">
        <v>0</v>
      </c>
      <c r="G47" s="42">
        <v>61</v>
      </c>
      <c r="H47" s="42">
        <v>778</v>
      </c>
      <c r="I47" s="42">
        <v>734</v>
      </c>
      <c r="J47" s="30" t="s">
        <v>182</v>
      </c>
      <c r="K47" s="42">
        <v>575</v>
      </c>
      <c r="L47" s="131" t="s">
        <v>51</v>
      </c>
      <c r="M47" s="132">
        <f t="shared" si="0"/>
        <v>83.951999999999998</v>
      </c>
      <c r="N47" s="133" t="str">
        <f>VLOOKUP(C47,'Trips&amp;Operators'!$C$1:$G$99999,5,FALSE)</f>
        <v>CASSIDY BRANDON</v>
      </c>
      <c r="O47" s="203" t="s">
        <v>180</v>
      </c>
      <c r="P47" s="134"/>
      <c r="Q47" s="30"/>
      <c r="R47" s="81" t="str">
        <f>VLOOKUP(C47,'Train Runs'!$A$13:$AE$9933,31,0)</f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S47" s="84" t="str">
        <f>VLOOKUP(C47,'Train Runs'!$A$13:$AE$9933,22,0)</f>
        <v>https://d0f6bd738d7f1b3e5a7ca70fe4ff75f0.us-east-1.aws.found.io/app/kibana#/discover/Steve-Slow-Train-Analysis-(2080s-and-2083s)?_g=(refreshInterval:(display:Off,pause:!f,section:0,value:0),time:(from:'2017-07-11T14:38:55-0600',mode:absolute,to:'2017-07-11T16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7" s="86" t="str">
        <f t="shared" si="1"/>
        <v>"C:\Program Files (x86)\AstroGrep\AstroGrep.exe" /e /r /s /spath="%USERPROFILE%\AppData\Local\Temp\OnboardLogs" /stypes="*4023*201707112*" /stext=" 21:.+((SYSTEM_STATE.+slice.+state.+changed )|(ment ac)|(multiple cpu faults)|(system.+state.+changed )|(\[timeout)|(PRM\|1\|D)|(kpr)|(kdp)|(train st.+moving)|(\|lc)|(penalty))"</v>
      </c>
      <c r="U47" s="9" t="str">
        <f t="shared" si="2"/>
        <v>4023</v>
      </c>
      <c r="V47" s="31">
        <f t="shared" si="3"/>
        <v>42927.913888888892</v>
      </c>
      <c r="W47" s="45" t="str">
        <f t="shared" si="4"/>
        <v>NW</v>
      </c>
      <c r="X47" s="22">
        <f t="shared" si="5"/>
        <v>826</v>
      </c>
      <c r="Y47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{"issue":{"subject":"","project_id":79,"tracker_id":40,"status_id":1,"priority_id":2,"assigned_to_id":23,"start_date":"2017-07-11","description":"","custom_fields":[{"id":1,"name":"Subdivision","value":"NW"},{"id":4,"name":"Milepost","value":"0.0575"},{"id":17,"name":"Train ID","value":"826-11"},{"id":16,"name":"Locomotive ID","value":"4023"},{"id":130,"name":"Impact","value":""},{"id":150,"name":"Time of Event (Mountain Time)","value":"15:56:00"},{"id":151,"name":"Denver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/c/Users/stu/AppData/Local/Temp/OnboardLogs/RTDC4023 --include="*4023*201707112*"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"%USERPROFILE%\AppData\Local\Temp\OnboardLogs"\RTDC4023\*4023*201707112* &gt;&gt; 2017-07-11-SliceDisagreementCheck.txt</v>
      </c>
      <c r="AE47" s="145" t="str">
        <f t="shared" si="9"/>
        <v>start /low /b %USERPROFILE%\Documents\GitHub\eaglep3\Utilities\DownloadLogsFromS3.py --loco 4023 --day 2017-07-11</v>
      </c>
      <c r="AF47" s="1"/>
    </row>
    <row r="48" spans="1:32" x14ac:dyDescent="0.25">
      <c r="A48" s="31">
        <v>42927.916481481479</v>
      </c>
      <c r="B48" s="30" t="s">
        <v>522</v>
      </c>
      <c r="C48" s="30" t="s">
        <v>607</v>
      </c>
      <c r="D48" s="30" t="s">
        <v>49</v>
      </c>
      <c r="E48" s="30" t="s">
        <v>181</v>
      </c>
      <c r="F48" s="42">
        <v>0</v>
      </c>
      <c r="G48" s="42">
        <v>59</v>
      </c>
      <c r="H48" s="42">
        <v>780</v>
      </c>
      <c r="I48" s="42">
        <v>738</v>
      </c>
      <c r="J48" s="30" t="s">
        <v>182</v>
      </c>
      <c r="K48" s="42">
        <v>575</v>
      </c>
      <c r="L48" s="131" t="s">
        <v>51</v>
      </c>
      <c r="M48" s="132">
        <f t="shared" si="0"/>
        <v>86.063999999999993</v>
      </c>
      <c r="N48" s="133" t="str">
        <f>VLOOKUP(C48,'Trips&amp;Operators'!$C$1:$G$99999,5,FALSE)</f>
        <v>ELBAUM MIKE</v>
      </c>
      <c r="O48" s="203" t="s">
        <v>180</v>
      </c>
      <c r="P48" s="134"/>
      <c r="Q48" s="30"/>
      <c r="R48" s="81" t="str">
        <f>VLOOKUP(C48,'Train Runs'!$A$13:$AE$9933,31,0)</f>
        <v>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 &amp; aws s3 cp s3://rtdc.mdm.uploadarchive.raw/RTDC4023/ "%USERPROFILE%\AppData\Local\Temp\OnboardLogs"\RTDC4023\2017-07-12 --exclude "*" --recursive --include "*20170712*" &amp; "%USERPROFILE%\Documents\GitHub\mrs-test-scripts\Headless Mode &amp; Sideloading\WalkAndUnGZ.bat" "%USERPROFILE%\AppData\Local\Temp\OnboardLogs"\RTDC4023\2017-07-12</v>
      </c>
      <c r="S48" s="84" t="str">
        <f>VLOOKUP(C48,'Train Runs'!$A$13:$AE$9933,22,0)</f>
        <v>https://d0f6bd738d7f1b3e5a7ca70fe4ff75f0.us-east-1.aws.found.io/app/kibana#/discover/Steve-Slow-Train-Analysis-(2080s-and-2083s)?_g=(refreshInterval:(display:Off,pause:!f,section:0,value:0),time:(from:'2017-07-11T20:40:38-0600',mode:absolute,to:'2017-07-11T22:59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8" s="86" t="str">
        <f t="shared" si="1"/>
        <v>"C:\Program Files (x86)\AstroGrep\AstroGrep.exe" /e /r /s /spath="%USERPROFILE%\AppData\Local\Temp\OnboardLogs" /stypes="*4023*201707120*" /stext=" 03:.+((SYSTEM_STATE.+slice.+state.+changed )|(ment ac)|(multiple cpu faults)|(system.+state.+changed )|(\[timeout)|(PRM\|1\|D)|(kpr)|(kdp)|(train st.+moving)|(\|lc)|(penalty))"</v>
      </c>
      <c r="U48" s="9" t="str">
        <f t="shared" si="2"/>
        <v>4023</v>
      </c>
      <c r="V48" s="31">
        <f t="shared" si="3"/>
        <v>42928.166481481479</v>
      </c>
      <c r="W48" s="45" t="str">
        <f t="shared" si="4"/>
        <v>NW</v>
      </c>
      <c r="X48" s="22">
        <f t="shared" si="5"/>
        <v>844</v>
      </c>
      <c r="Y48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{"issue":{"subject":"","project_id":79,"tracker_id":40,"status_id":1,"priority_id":2,"assigned_to_id":23,"start_date":"2017-07-11","description":"","custom_fields":[{"id":1,"name":"Subdivision","value":"NW"},{"id":4,"name":"Milepost","value":"0.0575"},{"id":17,"name":"Train ID","value":"844-11"},{"id":16,"name":"Locomotive ID","value":"4023"},{"id":130,"name":"Impact","value":""},{"id":150,"name":"Time of Event (Mountain Time)","value":"21:59:44"},{"id":151,"name":"Denver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/c/Users/stu/AppData/Local/Temp/OnboardLogs/RTDC4023 --include="*4023*201707120*"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"%USERPROFILE%\AppData\Local\Temp\OnboardLogs"\RTDC4023\*4023*201707120* &gt;&gt; 2017-07-11-SliceDisagreementCheck.txt</v>
      </c>
      <c r="AE48" s="145" t="str">
        <f t="shared" si="9"/>
        <v>start /low /b %USERPROFILE%\Documents\GitHub\eaglep3\Utilities\DownloadLogsFromS3.py --loco 4023 --day 2017-07-12</v>
      </c>
      <c r="AF48" s="1"/>
    </row>
    <row r="49" spans="1:32" x14ac:dyDescent="0.25">
      <c r="A49" s="31">
        <v>42927.609456018516</v>
      </c>
      <c r="B49" s="30" t="s">
        <v>529</v>
      </c>
      <c r="C49" s="30" t="s">
        <v>588</v>
      </c>
      <c r="D49" s="30" t="s">
        <v>49</v>
      </c>
      <c r="E49" s="30" t="s">
        <v>181</v>
      </c>
      <c r="F49" s="42">
        <v>0</v>
      </c>
      <c r="G49" s="42">
        <v>36</v>
      </c>
      <c r="H49" s="42">
        <v>58988</v>
      </c>
      <c r="I49" s="42">
        <v>59001</v>
      </c>
      <c r="J49" s="30" t="s">
        <v>182</v>
      </c>
      <c r="K49" s="42">
        <v>59048</v>
      </c>
      <c r="L49" s="131" t="s">
        <v>50</v>
      </c>
      <c r="M49" s="132">
        <f t="shared" si="0"/>
        <v>24.815999999999999</v>
      </c>
      <c r="N49" s="133" t="str">
        <f>VLOOKUP(C49,'Trips&amp;Operators'!$C$1:$G$99999,5,FALSE)</f>
        <v>CASSIDY BRANDON</v>
      </c>
      <c r="O49" s="203" t="s">
        <v>180</v>
      </c>
      <c r="P49" s="134"/>
      <c r="Q49" s="30"/>
      <c r="R49" s="81" t="str">
        <f>VLOOKUP(C49,'Train Runs'!$A$13:$AE$9933,31,0)</f>
        <v>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 &amp; aws s3 cp s3://rtdc.mdm.uploadarchive.raw/RTDC4024/ "%USERPROFILE%\AppData\Local\Temp\OnboardLogs"\RTDC4024\2017-07-12 --exclude "*" --recursive --include "*20170712*" &amp; "%USERPROFILE%\Documents\GitHub\mrs-test-scripts\Headless Mode &amp; Sideloading\WalkAndUnGZ.bat" "%USERPROFILE%\AppData\Local\Temp\OnboardLogs"\RTDC4024\2017-07-12</v>
      </c>
      <c r="S49" s="84" t="str">
        <f>VLOOKUP(C49,'Train Runs'!$A$13:$AE$9933,22,0)</f>
        <v>https://d0f6bd738d7f1b3e5a7ca70fe4ff75f0.us-east-1.aws.found.io/app/kibana#/discover/Steve-Slow-Train-Analysis-(2080s-and-2083s)?_g=(refreshInterval:(display:Off,pause:!f,section:0,value:0),time:(from:'2017-07-11T13:16:06-0600',mode:absolute,to:'2017-07-11T15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49" s="86" t="str">
        <f t="shared" si="1"/>
        <v>"C:\Program Files (x86)\AstroGrep\AstroGrep.exe" /e /r /s /spath="%USERPROFILE%\AppData\Local\Temp\OnboardLogs" /stypes="*4024*201707112*" /stext=" 20:.+((SYSTEM_STATE.+slice.+state.+changed )|(ment ac)|(multiple cpu faults)|(system.+state.+changed )|(\[timeout)|(PRM\|1\|D)|(kpr)|(kdp)|(train st.+moving)|(\|lc)|(penalty))"</v>
      </c>
      <c r="U49" s="9" t="str">
        <f t="shared" si="2"/>
        <v>4024</v>
      </c>
      <c r="V49" s="31">
        <f t="shared" si="3"/>
        <v>42927.859456018516</v>
      </c>
      <c r="W49" s="45" t="str">
        <f t="shared" si="4"/>
        <v>NW</v>
      </c>
      <c r="X49" s="22">
        <f t="shared" si="5"/>
        <v>823</v>
      </c>
      <c r="Y49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{"issue":{"subject":"","project_id":79,"tracker_id":40,"status_id":1,"priority_id":2,"assigned_to_id":23,"start_date":"2017-07-11","description":"","custom_fields":[{"id":1,"name":"Subdivision","value":"NW"},{"id":4,"name":"Milepost","value":"5.9048"},{"id":17,"name":"Train ID","value":"823-11"},{"id":16,"name":"Locomotive ID","value":"4024"},{"id":130,"name":"Impact","value":""},{"id":150,"name":"Time of Event (Mountain Time)","value":"14:37:37"},{"id":151,"name":"Denver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/c/Users/stu/AppData/Local/Temp/OnboardLogs/RTDC4024 --include="*4024*201707112*"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"%USERPROFILE%\AppData\Local\Temp\OnboardLogs"\RTDC4024\*4024*201707112* &gt;&gt; 2017-07-11-SliceDisagreementCheck.txt</v>
      </c>
      <c r="AE49" s="145" t="str">
        <f t="shared" si="9"/>
        <v>start /low /b %USERPROFILE%\Documents\GitHub\eaglep3\Utilities\DownloadLogsFromS3.py --loco 4024 --day 2017-07-11</v>
      </c>
      <c r="AF49" s="1"/>
    </row>
    <row r="50" spans="1:32" x14ac:dyDescent="0.25">
      <c r="A50" s="31">
        <v>42927.795590277776</v>
      </c>
      <c r="B50" s="30" t="s">
        <v>461</v>
      </c>
      <c r="C50" s="30" t="s">
        <v>603</v>
      </c>
      <c r="D50" s="30" t="s">
        <v>49</v>
      </c>
      <c r="E50" s="30" t="s">
        <v>181</v>
      </c>
      <c r="F50" s="42">
        <v>0</v>
      </c>
      <c r="G50" s="42">
        <v>110</v>
      </c>
      <c r="H50" s="42">
        <v>58681</v>
      </c>
      <c r="I50" s="42">
        <v>58780</v>
      </c>
      <c r="J50" s="30" t="s">
        <v>182</v>
      </c>
      <c r="K50" s="42">
        <v>59058</v>
      </c>
      <c r="L50" s="131" t="s">
        <v>50</v>
      </c>
      <c r="M50" s="132">
        <f t="shared" si="0"/>
        <v>146.78399999999999</v>
      </c>
      <c r="N50" s="133" t="str">
        <f>VLOOKUP(C50,'Trips&amp;Operators'!$C$1:$G$99999,5,FALSE)</f>
        <v>ELBAUM MIKE</v>
      </c>
      <c r="O50" s="203" t="s">
        <v>180</v>
      </c>
      <c r="P50" s="134"/>
      <c r="Q50" s="30"/>
      <c r="R50" s="81" t="str">
        <f>VLOOKUP(C50,'Train Runs'!$A$13:$AE$9933,31,0)</f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S50" s="84" t="str">
        <f>VLOOKUP(C50,'Train Runs'!$A$13:$AE$9933,22,0)</f>
        <v>https://d0f6bd738d7f1b3e5a7ca70fe4ff75f0.us-east-1.aws.found.io/app/kibana#/discover/Steve-Slow-Train-Analysis-(2080s-and-2083s)?_g=(refreshInterval:(display:Off,pause:!f,section:0,value:0),time:(from:'2017-07-11T17:45:05-0600',mode:absolute,to:'2017-07-11T20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50" s="86" t="str">
        <f t="shared" si="1"/>
        <v>"C:\Program Files (x86)\AstroGrep\AstroGrep.exe" /e /r /s /spath="%USERPROFILE%\AppData\Local\Temp\OnboardLogs" /stypes="*4062*201707120*" /stext=" 01:.+((SYSTEM_STATE.+slice.+state.+changed )|(ment ac)|(multiple cpu faults)|(system.+state.+changed )|(\[timeout)|(PRM\|1\|D)|(kpr)|(kdp)|(train st.+moving)|(\|lc)|(penalty))"</v>
      </c>
      <c r="U50" s="9" t="str">
        <f t="shared" si="2"/>
        <v>4062</v>
      </c>
      <c r="V50" s="31">
        <f t="shared" si="3"/>
        <v>42928.045590277776</v>
      </c>
      <c r="W50" s="45" t="str">
        <f t="shared" si="4"/>
        <v>NW</v>
      </c>
      <c r="X50" s="22">
        <f t="shared" si="5"/>
        <v>839</v>
      </c>
      <c r="Y50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{"issue":{"subject":"","project_id":79,"tracker_id":40,"status_id":1,"priority_id":2,"assigned_to_id":23,"start_date":"2017-07-11","description":"","custom_fields":[{"id":1,"name":"Subdivision","value":"NW"},{"id":4,"name":"Milepost","value":"5.9058"},{"id":17,"name":"Train ID","value":"839-11"},{"id":16,"name":"Locomotive ID","value":"4062"},{"id":130,"name":"Impact","value":""},{"id":150,"name":"Time of Event (Mountain Time)","value":"19:05:39"},{"id":151,"name":"Denver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7"/>
        <v>grep -hrE -A400 "Enforcement Action" /c/Users/stu/AppData/Local/Temp/OnboardLogs/RTDC4062 --include="*4062*201707120*"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"%USERPROFILE%\AppData\Local\Temp\OnboardLogs"\RTDC4062\*4062*201707120* &gt;&gt; 2017-07-11-SliceDisagreementCheck.txt</v>
      </c>
      <c r="AE50" s="145" t="str">
        <f t="shared" si="9"/>
        <v>start /low /b %USERPROFILE%\Documents\GitHub\eaglep3\Utilities\DownloadLogsFromS3.py --loco 4062 --day 2017-07-12</v>
      </c>
      <c r="AF50" s="1"/>
    </row>
    <row r="51" spans="1:32" x14ac:dyDescent="0.25">
      <c r="A51" s="31">
        <v>42927.796122685184</v>
      </c>
      <c r="B51" s="30" t="s">
        <v>461</v>
      </c>
      <c r="C51" s="30" t="s">
        <v>603</v>
      </c>
      <c r="D51" s="30" t="s">
        <v>49</v>
      </c>
      <c r="E51" s="30" t="s">
        <v>181</v>
      </c>
      <c r="F51" s="42">
        <v>0</v>
      </c>
      <c r="G51" s="42">
        <v>38</v>
      </c>
      <c r="H51" s="42">
        <v>58810</v>
      </c>
      <c r="I51" s="42">
        <v>58846</v>
      </c>
      <c r="J51" s="30" t="s">
        <v>182</v>
      </c>
      <c r="K51" s="42">
        <v>59058</v>
      </c>
      <c r="L51" s="131" t="s">
        <v>50</v>
      </c>
      <c r="M51" s="132">
        <f t="shared" si="0"/>
        <v>111.93600000000001</v>
      </c>
      <c r="N51" s="133" t="str">
        <f>VLOOKUP(C51,'Trips&amp;Operators'!$C$1:$G$99999,5,FALSE)</f>
        <v>ELBAUM MIKE</v>
      </c>
      <c r="O51" s="203" t="s">
        <v>180</v>
      </c>
      <c r="P51" s="134"/>
      <c r="Q51" s="30"/>
      <c r="R51" s="81" t="str">
        <f>VLOOKUP(C51,'Train Runs'!$A$13:$AE$9933,31,0)</f>
        <v>aws s3 cp s3://rtdc.mdm.uploadarchive.raw/RTDC4062/ "%USERPROFILE%\AppData\Local\Temp\OnboardLogs"\RTDC4062\2017-07-11 --exclude "*" --recursive --include "*20170711*" &amp; "%USERPROFILE%\Documents\GitHub\mrs-test-scripts\Headless Mode &amp; Sideloading\WalkAndUnGZ.bat" "%USERPROFILE%\AppData\Local\Temp\OnboardLogs"\RTDC4062\2017-07-11 &amp; aws s3 cp s3://rtdc.mdm.uploadarchive.raw/RTDC4062/ "%USERPROFILE%\AppData\Local\Temp\OnboardLogs"\RTDC4062\2017-07-12 --exclude "*" --recursive --include "*20170712*" &amp; "%USERPROFILE%\Documents\GitHub\mrs-test-scripts\Headless Mode &amp; Sideloading\WalkAndUnGZ.bat" "%USERPROFILE%\AppData\Local\Temp\OnboardLogs"\RTDC4062\2017-07-12</v>
      </c>
      <c r="S51" s="84" t="str">
        <f>VLOOKUP(C51,'Train Runs'!$A$13:$AE$9933,22,0)</f>
        <v>https://d0f6bd738d7f1b3e5a7ca70fe4ff75f0.us-east-1.aws.found.io/app/kibana#/discover/Steve-Slow-Train-Analysis-(2080s-and-2083s)?_g=(refreshInterval:(display:Off,pause:!f,section:0,value:0),time:(from:'2017-07-11T17:45:05-0600',mode:absolute,to:'2017-07-11T20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51" s="86" t="str">
        <f t="shared" si="1"/>
        <v>"C:\Program Files (x86)\AstroGrep\AstroGrep.exe" /e /r /s /spath="%USERPROFILE%\AppData\Local\Temp\OnboardLogs" /stypes="*4062*201707120*" /stext=" 01:.+((SYSTEM_STATE.+slice.+state.+changed )|(ment ac)|(multiple cpu faults)|(system.+state.+changed )|(\[timeout)|(PRM\|1\|D)|(kpr)|(kdp)|(train st.+moving)|(\|lc)|(penalty))"</v>
      </c>
      <c r="U51" s="9" t="str">
        <f t="shared" si="2"/>
        <v>4062</v>
      </c>
      <c r="V51" s="31">
        <f t="shared" si="3"/>
        <v>42928.046122685184</v>
      </c>
      <c r="W51" s="45" t="str">
        <f t="shared" si="4"/>
        <v>NW</v>
      </c>
      <c r="X51" s="22">
        <f t="shared" si="5"/>
        <v>839</v>
      </c>
      <c r="Y51" s="96" t="str">
        <f t="shared" si="6"/>
        <v>echo {"issue":{"subject":"","project_id":79,"tracker_id":40,"status_id":1,"priority_id":2,"assigned_to_id":23,"start_date":"2017-07-11","description":"","custom_fields":[{"id":1,"name":"Subdivision","value":"NW"},{"id":4,"name":"Milepost","value":"5.9058"},{"id":17,"name":"Train ID","value":"839-11"},{"id":16,"name":"Locomotive ID","value":"4062"},{"id":130,"name":"Impact","value":""},{"id":150,"name":"Time of Event (Mountain Time)","value":"19:06:25"},{"id":151,"name":"Denver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7"/>
        <v>grep -hrE -A400 "Enforcement Action" /c/Users/stu/AppData/Local/Temp/OnboardLogs/RTDC4062 --include="*4062*201707120*"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"%USERPROFILE%\AppData\Local\Temp\OnboardLogs"\RTDC4062\*4062*201707120* &gt;&gt; 2017-07-11-SliceDisagreementCheck.txt</v>
      </c>
      <c r="AE51" s="145" t="str">
        <f t="shared" si="9"/>
        <v>start /low /b %USERPROFILE%\Documents\GitHub\eaglep3\Utilities\DownloadLogsFromS3.py --loco 4062 --day 2017-07-12</v>
      </c>
      <c r="AF51" s="1"/>
    </row>
    <row r="52" spans="1:32" x14ac:dyDescent="0.25">
      <c r="A52" s="31">
        <v>42927.45784722222</v>
      </c>
      <c r="B52" s="30" t="s">
        <v>501</v>
      </c>
      <c r="C52" s="30" t="s">
        <v>581</v>
      </c>
      <c r="D52" s="30" t="s">
        <v>96</v>
      </c>
      <c r="E52" s="30" t="s">
        <v>181</v>
      </c>
      <c r="F52" s="42">
        <v>0</v>
      </c>
      <c r="G52" s="42">
        <v>4</v>
      </c>
      <c r="H52" s="42">
        <v>826</v>
      </c>
      <c r="I52" s="42">
        <v>826</v>
      </c>
      <c r="J52" s="30" t="s">
        <v>182</v>
      </c>
      <c r="K52" s="42">
        <v>826</v>
      </c>
      <c r="L52" s="131" t="s">
        <v>51</v>
      </c>
      <c r="M52" s="132">
        <f t="shared" si="0"/>
        <v>0</v>
      </c>
      <c r="N52" s="133" t="str">
        <f>VLOOKUP(C52,'Trips&amp;Operators'!$C$1:$G$99999,5,FALSE)</f>
        <v>ROBINSON KADDIBA</v>
      </c>
      <c r="O52" s="203" t="s">
        <v>180</v>
      </c>
      <c r="P52" s="134"/>
      <c r="Q52" s="30"/>
      <c r="R52" s="81" t="str">
        <f>VLOOKUP(C52,'Train Runs'!$A$13:$AE$9933,31,0)</f>
        <v>aws s3 cp s3://rtdc.mdm.uploadarchive.raw/RTDC4043/ "%USERPROFILE%\AppData\Local\Temp\OnboardLogs"\RTDC4043\2017-07-11 --exclude "*" --recursive --include "*20170711*" &amp; "%USERPROFILE%\Documents\GitHub\mrs-test-scripts\Headless Mode &amp; Sideloading\WalkAndUnGZ.bat" "%USERPROFILE%\AppData\Local\Temp\OnboardLogs"\RTDC4043\2017-07-11 &amp; aws s3 cp s3://rtdc.mdm.uploadarchive.raw/RTDC4043/ "%USERPROFILE%\AppData\Local\Temp\OnboardLogs"\RTDC4043\2017-07-12 --exclude "*" --recursive --include "*20170712*" &amp; "%USERPROFILE%\Documents\GitHub\mrs-test-scripts\Headless Mode &amp; Sideloading\WalkAndUnGZ.bat" "%USERPROFILE%\AppData\Local\Temp\OnboardLogs"\RTDC4043\2017-07-12</v>
      </c>
      <c r="S52" s="84" t="str">
        <f>VLOOKUP(C52,'Train Runs'!$A$13:$AE$9933,22,0)</f>
        <v>https://d0f6bd738d7f1b3e5a7ca70fe4ff75f0.us-east-1.aws.found.io/app/kibana#/discover/Steve-Slow-Train-Analysis-(2080s-and-2083s)?_g=(refreshInterval:(display:Off,pause:!f,section:0,value:0),time:(from:'2017-07-11T09:43:50-0600',mode:absolute,to:'2017-07-11T12:43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52" s="86" t="str">
        <f t="shared" si="1"/>
        <v>"C:\Program Files (x86)\AstroGrep\AstroGrep.exe" /e /r /s /spath="%USERPROFILE%\AppData\Local\Temp\OnboardLogs" /stypes="*4043*201707111*" /stext=" 16:.+((SYSTEM_STATE.+slice.+state.+changed )|(ment ac)|(multiple cpu faults)|(system.+state.+changed )|(\[timeout)|(PRM\|1\|D)|(kpr)|(kdp)|(train st.+moving)|(\|lc)|(penalty))"</v>
      </c>
      <c r="U52" s="9" t="str">
        <f t="shared" si="2"/>
        <v>4043</v>
      </c>
      <c r="V52" s="31">
        <f t="shared" si="3"/>
        <v>42927.70784722222</v>
      </c>
      <c r="W52" s="45" t="str">
        <f t="shared" si="4"/>
        <v>Shuttle/Test</v>
      </c>
      <c r="X52" s="22">
        <f t="shared" si="5"/>
        <v>51</v>
      </c>
      <c r="Y52" s="96" t="str">
        <f t="shared" si="6"/>
        <v>echo {"issue":{"subject":"","project_id":79,"tracker_id":40,"status_id":1,"priority_id":2,"assigned_to_id":23,"start_date":"2017-07-11","description":"","custom_fields":[{"id":1,"name":"Subdivision","value":"Shuttle/Test"},{"id":4,"name":"Milepost","value":"0.0826"},{"id":17,"name":"Train ID","value":"51-11"},{"id":16,"name":"Locomotive ID","value":"4043"},{"id":130,"name":"Impact","value":""},{"id":150,"name":"Time of Event (Mountain Time)","value":"10:59:18"},{"id":151,"name":"Denver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7"/>
        <v>grep -hrE -A400 "Enforcement Action" /c/Users/stu/AppData/Local/Temp/OnboardLogs/RTDC4043 --include="*4043*201707111*"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"%USERPROFILE%\AppData\Local\Temp\OnboardLogs"\RTDC4043\*4043*201707111* &gt;&gt; 2017-07-11-SliceDisagreementCheck.txt</v>
      </c>
      <c r="AE52" s="145" t="str">
        <f t="shared" si="9"/>
        <v>start /low /b %USERPROFILE%\Documents\GitHub\eaglep3\Utilities\DownloadLogsFromS3.py --loco 4043 --day 2017-07-11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</sheetData>
  <autoFilter ref="A6:AC74">
    <sortState ref="A7:AC74">
      <sortCondition ref="W7:W52"/>
      <sortCondition ref="E7:E52"/>
      <sortCondition ref="K7:K52"/>
      <sortCondition ref="F7:F52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6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I3" sqref="I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2017-07-11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820</v>
      </c>
      <c r="B3" s="42" t="str">
        <f>A3&amp;"-"&amp;IF(DAY(Variables!$A$2)&lt;10,0,"")&amp;DAY(Variables!$A$2)</f>
        <v>820-11</v>
      </c>
      <c r="C3" s="135"/>
      <c r="D3" s="153"/>
      <c r="E3" s="30"/>
      <c r="F3" s="21" t="str">
        <f>VLOOKUP(B3,'Trips&amp;Operators'!$C$2:$E$10000,3,FALSE)</f>
        <v>YANG</v>
      </c>
      <c r="G3" s="21" t="str">
        <f>VLOOKUP(B3,'Trips&amp;Operators'!$C$1:$F$10000,4,FALSE)</f>
        <v>JAN</v>
      </c>
      <c r="H3" s="29" t="str">
        <f>VLOOKUP(B3,'Trips&amp;Operators'!$C$1:$H$10000,5,FALSE)</f>
        <v>YANG JAN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22820-11%22)),sort:!(Time.ISO8601,asc))</v>
      </c>
      <c r="J3" s="30" t="str">
        <f>VLOOKUP(B3,'Train Runs'!$A$13:$A$99930,1,FALSE)</f>
        <v>820-11</v>
      </c>
    </row>
    <row r="4" spans="1:10" x14ac:dyDescent="0.25">
      <c r="A4" s="195"/>
      <c r="B4" s="42" t="str">
        <f>A4&amp;"-"&amp;IF(DAY(Variables!$A$2)&lt;10,0,"")&amp;DAY(Variables!$A$2)</f>
        <v>-11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" s="30" t="e">
        <f>VLOOKUP(B4,'Train Runs'!$A$13:$A$99930,1,FALSE)</f>
        <v>#N/A</v>
      </c>
    </row>
    <row r="5" spans="1:10" x14ac:dyDescent="0.25">
      <c r="A5" s="195"/>
      <c r="B5" s="42" t="str">
        <f>A5&amp;"-"&amp;IF(DAY(Variables!$A$2)&lt;10,0,"")&amp;DAY(Variables!$A$2)</f>
        <v>-11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Runs'!$A$13:$A$99930,1,FALSE)</f>
        <v>#N/A</v>
      </c>
    </row>
    <row r="6" spans="1:10" x14ac:dyDescent="0.25">
      <c r="A6" s="195"/>
      <c r="B6" s="42" t="str">
        <f>A6&amp;"-"&amp;IF(DAY(Variables!$A$2)&lt;10,0,"")&amp;DAY(Variables!$A$2)</f>
        <v>-11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Runs'!$A$13:$A$99930,1,FALSE)</f>
        <v>#N/A</v>
      </c>
    </row>
    <row r="7" spans="1:10" x14ac:dyDescent="0.25">
      <c r="A7" s="195"/>
      <c r="B7" s="42" t="str">
        <f>A7&amp;"-"&amp;IF(DAY(Variables!$A$2)&lt;10,0,"")&amp;DAY(Variables!$A$2)</f>
        <v>-11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Runs'!$A$13:$A$99930,1,FALSE)</f>
        <v>#N/A</v>
      </c>
    </row>
    <row r="8" spans="1:10" x14ac:dyDescent="0.25">
      <c r="A8" s="195"/>
      <c r="B8" s="42" t="str">
        <f>A8&amp;"-"&amp;IF(DAY(Variables!$A$2)&lt;10,0,"")&amp;DAY(Variables!$A$2)</f>
        <v>-11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Runs'!$A$13:$A$99930,1,FALSE)</f>
        <v>#N/A</v>
      </c>
    </row>
    <row r="9" spans="1:10" x14ac:dyDescent="0.25">
      <c r="A9" s="195"/>
      <c r="B9" s="42" t="str">
        <f>A9&amp;"-"&amp;IF(DAY(Variables!$A$2)&lt;10,0,"")&amp;DAY(Variables!$A$2)</f>
        <v>-11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Runs'!$A$13:$A$99930,1,FALSE)</f>
        <v>#N/A</v>
      </c>
    </row>
    <row r="10" spans="1:10" x14ac:dyDescent="0.25">
      <c r="A10" s="195"/>
      <c r="B10" s="42" t="str">
        <f>A10&amp;"-"&amp;IF(DAY(Variables!$A$2)&lt;10,0,"")&amp;DAY(Variables!$A$2)</f>
        <v>-11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Runs'!$A$13:$A$99930,1,FALSE)</f>
        <v>#N/A</v>
      </c>
    </row>
    <row r="11" spans="1:10" x14ac:dyDescent="0.25">
      <c r="A11" s="195"/>
      <c r="B11" s="42" t="str">
        <f>A11&amp;"-"&amp;IF(DAY(Variables!$A$2)&lt;10,0,"")&amp;DAY(Variables!$A$2)</f>
        <v>-11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Runs'!$A$13:$A$99930,1,FALSE)</f>
        <v>#N/A</v>
      </c>
    </row>
    <row r="12" spans="1:10" x14ac:dyDescent="0.25">
      <c r="A12" s="195"/>
      <c r="B12" s="42" t="str">
        <f>A12&amp;"-"&amp;IF(DAY(Variables!$A$2)&lt;10,0,"")&amp;DAY(Variables!$A$2)</f>
        <v>-11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ref="I12:I3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Runs'!$A$13:$A$99930,1,FALSE)</f>
        <v>#N/A</v>
      </c>
    </row>
    <row r="13" spans="1:10" x14ac:dyDescent="0.25">
      <c r="A13" s="195"/>
      <c r="B13" s="42" t="str">
        <f>A13&amp;"-"&amp;IF(DAY(Variables!$A$2)&lt;10,0,"")&amp;DAY(Variables!$A$2)</f>
        <v>-11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Runs'!$A$13:$A$99930,1,FALSE)</f>
        <v>#N/A</v>
      </c>
    </row>
    <row r="14" spans="1:10" x14ac:dyDescent="0.25">
      <c r="A14" s="195"/>
      <c r="B14" s="42" t="str">
        <f>A14&amp;"-"&amp;IF(DAY(Variables!$A$2)&lt;10,0,"")&amp;DAY(Variables!$A$2)</f>
        <v>-11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Runs'!$A$13:$A$99930,1,FALSE)</f>
        <v>#N/A</v>
      </c>
    </row>
    <row r="15" spans="1:10" x14ac:dyDescent="0.25">
      <c r="A15" s="195"/>
      <c r="B15" s="42" t="str">
        <f>A15&amp;"-"&amp;IF(DAY(Variables!$A$2)&lt;10,0,"")&amp;DAY(Variables!$A$2)</f>
        <v>-11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Runs'!$A$13:$A$99930,1,FALSE)</f>
        <v>#N/A</v>
      </c>
    </row>
    <row r="16" spans="1:10" x14ac:dyDescent="0.25">
      <c r="A16" s="195"/>
      <c r="B16" s="42" t="str">
        <f>A16&amp;"-"&amp;IF(DAY(Variables!$A$2)&lt;10,0,"")&amp;DAY(Variables!$A$2)</f>
        <v>-11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Runs'!$A$13:$A$99930,1,FALSE)</f>
        <v>#N/A</v>
      </c>
    </row>
    <row r="17" spans="1:10" x14ac:dyDescent="0.25">
      <c r="A17" s="195"/>
      <c r="B17" s="42" t="str">
        <f>A17&amp;"-"&amp;IF(DAY(Variables!$A$2)&lt;10,0,"")&amp;DAY(Variables!$A$2)</f>
        <v>-11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Runs'!$A$13:$A$99930,1,FALSE)</f>
        <v>#N/A</v>
      </c>
    </row>
    <row r="18" spans="1:10" x14ac:dyDescent="0.25">
      <c r="A18" s="195"/>
      <c r="B18" s="42" t="str">
        <f>A18&amp;"-"&amp;IF(DAY(Variables!$A$2)&lt;10,0,"")&amp;DAY(Variables!$A$2)</f>
        <v>-11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Runs'!$A$13:$A$99930,1,FALSE)</f>
        <v>#N/A</v>
      </c>
    </row>
    <row r="19" spans="1:10" x14ac:dyDescent="0.25">
      <c r="A19" s="195"/>
      <c r="B19" s="42" t="str">
        <f>A19&amp;"-"&amp;IF(DAY(Variables!$A$2)&lt;10,0,"")&amp;DAY(Variables!$A$2)</f>
        <v>-11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9" s="30" t="e">
        <f>VLOOKUP(B19,'Train Runs'!$A$13:$A$99930,1,FALSE)</f>
        <v>#N/A</v>
      </c>
    </row>
    <row r="20" spans="1:10" x14ac:dyDescent="0.25">
      <c r="A20" s="195"/>
      <c r="B20" s="42" t="str">
        <f>A20&amp;"-"&amp;IF(DAY(Variables!$A$2)&lt;10,0,"")&amp;DAY(Variables!$A$2)</f>
        <v>-11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0" s="30" t="e">
        <f>VLOOKUP(B20,'Train Runs'!$A$13:$A$99930,1,FALSE)</f>
        <v>#N/A</v>
      </c>
    </row>
    <row r="21" spans="1:10" x14ac:dyDescent="0.25">
      <c r="A21" s="195"/>
      <c r="B21" s="42" t="str">
        <f>A21&amp;"-"&amp;IF(DAY(Variables!$A$2)&lt;10,0,"")&amp;DAY(Variables!$A$2)</f>
        <v>-11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1" s="30" t="e">
        <f>VLOOKUP(B21,'Train Runs'!$A$13:$A$99930,1,FALSE)</f>
        <v>#N/A</v>
      </c>
    </row>
    <row r="22" spans="1:10" x14ac:dyDescent="0.25">
      <c r="A22" s="195"/>
      <c r="B22" s="42" t="str">
        <f>A22&amp;"-"&amp;IF(DAY(Variables!$A$2)&lt;10,0,"")&amp;DAY(Variables!$A$2)</f>
        <v>-11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2" s="30" t="e">
        <f>VLOOKUP(B22,'Train Runs'!$A$13:$A$99930,1,FALSE)</f>
        <v>#N/A</v>
      </c>
    </row>
    <row r="23" spans="1:10" x14ac:dyDescent="0.25">
      <c r="A23" s="195"/>
      <c r="B23" s="42" t="str">
        <f>A23&amp;"-"&amp;IF(DAY(Variables!$A$2)&lt;10,0,"")&amp;DAY(Variables!$A$2)</f>
        <v>-11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3" s="30" t="e">
        <f>VLOOKUP(B23,'Train Runs'!$A$13:$A$99930,1,FALSE)</f>
        <v>#N/A</v>
      </c>
    </row>
    <row r="24" spans="1:10" x14ac:dyDescent="0.25">
      <c r="A24" s="195"/>
      <c r="B24" s="42" t="str">
        <f>A24&amp;"-"&amp;IF(DAY(Variables!$A$2)&lt;10,0,"")&amp;DAY(Variables!$A$2)</f>
        <v>-11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4" s="30" t="e">
        <f>VLOOKUP(B24,'Train Runs'!$A$13:$A$99930,1,FALSE)</f>
        <v>#N/A</v>
      </c>
    </row>
    <row r="25" spans="1:10" x14ac:dyDescent="0.25">
      <c r="A25" s="195"/>
      <c r="B25" s="42" t="str">
        <f>A25&amp;"-"&amp;IF(DAY(Variables!$A$2)&lt;10,0,"")&amp;DAY(Variables!$A$2)</f>
        <v>-11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5" s="30" t="e">
        <f>VLOOKUP(B25,'Train Runs'!$A$13:$A$99930,1,FALSE)</f>
        <v>#N/A</v>
      </c>
    </row>
    <row r="26" spans="1:10" x14ac:dyDescent="0.25">
      <c r="A26" s="195"/>
      <c r="B26" s="42" t="str">
        <f>A26&amp;"-"&amp;IF(DAY(Variables!$A$2)&lt;10,0,"")&amp;DAY(Variables!$A$2)</f>
        <v>-11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6" s="30" t="e">
        <f>VLOOKUP(B26,'Train Runs'!$A$13:$A$99930,1,FALSE)</f>
        <v>#N/A</v>
      </c>
    </row>
    <row r="27" spans="1:10" x14ac:dyDescent="0.25">
      <c r="A27" s="195"/>
      <c r="B27" s="42" t="str">
        <f>A27&amp;"-"&amp;IF(DAY(Variables!$A$2)&lt;10,0,"")&amp;DAY(Variables!$A$2)</f>
        <v>-11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7" s="30" t="e">
        <f>VLOOKUP(B27,'Train Runs'!$A$13:$A$99930,1,FALSE)</f>
        <v>#N/A</v>
      </c>
    </row>
    <row r="28" spans="1:10" x14ac:dyDescent="0.25">
      <c r="A28" s="195"/>
      <c r="B28" s="42" t="str">
        <f>A28&amp;"-"&amp;IF(DAY(Variables!$A$2)&lt;10,0,"")&amp;DAY(Variables!$A$2)</f>
        <v>-11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8" s="30" t="e">
        <f>VLOOKUP(B28,'Train Runs'!$A$13:$A$99930,1,FALSE)</f>
        <v>#N/A</v>
      </c>
    </row>
    <row r="29" spans="1:10" x14ac:dyDescent="0.25">
      <c r="A29" s="195"/>
      <c r="B29" s="42" t="str">
        <f>A29&amp;"-"&amp;IF(DAY(Variables!$A$2)&lt;10,0,"")&amp;DAY(Variables!$A$2)</f>
        <v>-11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9" s="30" t="e">
        <f>VLOOKUP(B29,'Train Runs'!$A$13:$A$99930,1,FALSE)</f>
        <v>#N/A</v>
      </c>
    </row>
    <row r="30" spans="1:10" x14ac:dyDescent="0.25">
      <c r="A30" s="195"/>
      <c r="B30" s="42" t="str">
        <f>A30&amp;"-"&amp;IF(DAY(Variables!$A$2)&lt;10,0,"")&amp;DAY(Variables!$A$2)</f>
        <v>-11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0" s="30" t="e">
        <f>VLOOKUP(B30,'Train Runs'!$A$13:$A$99930,1,FALSE)</f>
        <v>#N/A</v>
      </c>
    </row>
    <row r="31" spans="1:10" x14ac:dyDescent="0.25">
      <c r="A31" s="195"/>
      <c r="B31" s="42" t="str">
        <f>A31&amp;"-"&amp;IF(DAY(Variables!$A$2)&lt;10,0,"")&amp;DAY(Variables!$A$2)</f>
        <v>-11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1" s="30" t="e">
        <f>VLOOKUP(B31,'Train Runs'!$A$13:$A$99930,1,FALSE)</f>
        <v>#N/A</v>
      </c>
    </row>
    <row r="32" spans="1:10" x14ac:dyDescent="0.25">
      <c r="A32" s="195"/>
      <c r="B32" s="42" t="str">
        <f>A32&amp;"-"&amp;IF(DAY(Variables!$A$2)&lt;10,0,"")&amp;DAY(Variables!$A$2)</f>
        <v>-11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2" s="30" t="e">
        <f>VLOOKUP(B32,'Train Runs'!$A$13:$A$99930,1,FALSE)</f>
        <v>#N/A</v>
      </c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</sheetData>
  <autoFilter ref="A2:J40"/>
  <sortState ref="A3:J119">
    <sortCondition ref="A3:A11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42927.048032407409</v>
      </c>
      <c r="B2" s="20" t="s">
        <v>610</v>
      </c>
      <c r="C2" s="20" t="s">
        <v>611</v>
      </c>
      <c r="D2" s="138">
        <v>3280000</v>
      </c>
      <c r="E2" s="20" t="s">
        <v>508</v>
      </c>
      <c r="F2" s="20" t="s">
        <v>509</v>
      </c>
      <c r="G2" s="8" t="str">
        <f>E2&amp;" "&amp;F2</f>
        <v>BIRKHOLZ NADINE</v>
      </c>
    </row>
    <row r="3" spans="1:7" x14ac:dyDescent="0.25">
      <c r="A3" s="8">
        <v>42927.048773148148</v>
      </c>
      <c r="B3" s="20" t="s">
        <v>460</v>
      </c>
      <c r="C3" s="20" t="s">
        <v>612</v>
      </c>
      <c r="D3" s="138">
        <v>2970000</v>
      </c>
      <c r="E3" s="20" t="s">
        <v>371</v>
      </c>
      <c r="F3" s="20" t="s">
        <v>372</v>
      </c>
      <c r="G3" s="8" t="str">
        <f t="shared" ref="G3:G66" si="0">E3&amp;" "&amp;F3</f>
        <v>GUZMAN DANNY</v>
      </c>
    </row>
    <row r="4" spans="1:7" x14ac:dyDescent="0.25">
      <c r="A4" s="8">
        <v>42927.068379629629</v>
      </c>
      <c r="B4" s="20" t="s">
        <v>500</v>
      </c>
      <c r="C4" s="20" t="s">
        <v>613</v>
      </c>
      <c r="D4" s="138">
        <v>2090000</v>
      </c>
      <c r="E4" s="20" t="s">
        <v>401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42927.069513888891</v>
      </c>
      <c r="B5" s="20" t="s">
        <v>500</v>
      </c>
      <c r="C5" s="20" t="s">
        <v>613</v>
      </c>
      <c r="D5" s="138">
        <v>2090000</v>
      </c>
      <c r="E5" s="20" t="s">
        <v>401</v>
      </c>
      <c r="F5" s="20" t="s">
        <v>192</v>
      </c>
      <c r="G5" s="8" t="str">
        <f t="shared" si="0"/>
        <v>HAITHCOX MICHAEL</v>
      </c>
    </row>
    <row r="6" spans="1:7" x14ac:dyDescent="0.25">
      <c r="A6" s="8">
        <v>42927.090451388889</v>
      </c>
      <c r="B6" s="20" t="s">
        <v>448</v>
      </c>
      <c r="C6" s="20" t="s">
        <v>614</v>
      </c>
      <c r="D6" s="138">
        <v>2970000</v>
      </c>
      <c r="E6" s="20" t="s">
        <v>371</v>
      </c>
      <c r="F6" s="20" t="s">
        <v>372</v>
      </c>
      <c r="G6" s="8" t="str">
        <f t="shared" si="0"/>
        <v>GUZMAN DANNY</v>
      </c>
    </row>
    <row r="7" spans="1:7" x14ac:dyDescent="0.25">
      <c r="A7" s="8">
        <v>42927.091956018521</v>
      </c>
      <c r="B7" s="20" t="s">
        <v>448</v>
      </c>
      <c r="C7" s="20" t="s">
        <v>614</v>
      </c>
      <c r="D7" s="138">
        <v>2970000</v>
      </c>
      <c r="E7" s="20" t="s">
        <v>371</v>
      </c>
      <c r="F7" s="20" t="s">
        <v>372</v>
      </c>
      <c r="G7" s="8" t="str">
        <f t="shared" si="0"/>
        <v>GUZMAN DANNY</v>
      </c>
    </row>
    <row r="8" spans="1:7" x14ac:dyDescent="0.25">
      <c r="A8" s="8">
        <v>42927.092488425929</v>
      </c>
      <c r="B8" s="20" t="s">
        <v>448</v>
      </c>
      <c r="C8" s="20" t="s">
        <v>614</v>
      </c>
      <c r="D8" s="138">
        <v>2970000</v>
      </c>
      <c r="E8" s="20" t="s">
        <v>371</v>
      </c>
      <c r="F8" s="20" t="s">
        <v>372</v>
      </c>
      <c r="G8" s="8" t="str">
        <f t="shared" si="0"/>
        <v>GUZMAN DANNY</v>
      </c>
    </row>
    <row r="9" spans="1:7" ht="15.75" thickBot="1" x14ac:dyDescent="0.3">
      <c r="A9" s="24">
        <v>42927.094525462962</v>
      </c>
      <c r="B9" s="20" t="s">
        <v>448</v>
      </c>
      <c r="C9" s="20" t="s">
        <v>614</v>
      </c>
      <c r="D9" s="138">
        <v>2970000</v>
      </c>
      <c r="E9" s="20" t="s">
        <v>371</v>
      </c>
      <c r="F9" s="20" t="s">
        <v>372</v>
      </c>
      <c r="G9" s="8" t="str">
        <f t="shared" si="0"/>
        <v>GUZMAN DANNY</v>
      </c>
    </row>
    <row r="10" spans="1:7" x14ac:dyDescent="0.25">
      <c r="A10" s="8">
        <v>42927.114421296297</v>
      </c>
      <c r="B10" s="20" t="s">
        <v>615</v>
      </c>
      <c r="C10" s="20" t="s">
        <v>616</v>
      </c>
      <c r="D10" s="138">
        <v>1110000</v>
      </c>
      <c r="E10" s="20" t="s">
        <v>449</v>
      </c>
      <c r="F10" s="20" t="s">
        <v>450</v>
      </c>
      <c r="G10" s="8" t="str">
        <f t="shared" si="0"/>
        <v>STARKS ANGELINA</v>
      </c>
    </row>
    <row r="11" spans="1:7" x14ac:dyDescent="0.25">
      <c r="A11" s="8">
        <v>42927.125740740739</v>
      </c>
      <c r="B11" s="20" t="s">
        <v>337</v>
      </c>
      <c r="C11" s="20" t="s">
        <v>617</v>
      </c>
      <c r="D11" s="138">
        <v>1090000</v>
      </c>
      <c r="E11" s="20" t="s">
        <v>618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42927.127222222225</v>
      </c>
      <c r="B12" s="20" t="s">
        <v>530</v>
      </c>
      <c r="C12" s="20" t="s">
        <v>619</v>
      </c>
      <c r="D12" s="138">
        <v>1110000</v>
      </c>
      <c r="E12" s="20" t="s">
        <v>449</v>
      </c>
      <c r="F12" s="20" t="s">
        <v>450</v>
      </c>
      <c r="G12" s="8" t="str">
        <f t="shared" si="0"/>
        <v>STARKS ANGELINA</v>
      </c>
    </row>
    <row r="13" spans="1:7" x14ac:dyDescent="0.25">
      <c r="A13" s="8">
        <v>42927.128958333335</v>
      </c>
      <c r="B13" s="20" t="s">
        <v>337</v>
      </c>
      <c r="C13" s="20" t="s">
        <v>617</v>
      </c>
      <c r="D13" s="138">
        <v>1090000</v>
      </c>
      <c r="E13" s="20" t="s">
        <v>618</v>
      </c>
      <c r="F13" s="20" t="s">
        <v>192</v>
      </c>
      <c r="G13" s="8" t="str">
        <f t="shared" si="0"/>
        <v>SPECTOR MICHAEL</v>
      </c>
    </row>
    <row r="14" spans="1:7" x14ac:dyDescent="0.25">
      <c r="A14" s="8">
        <v>42927.141099537039</v>
      </c>
      <c r="B14" s="20" t="s">
        <v>615</v>
      </c>
      <c r="C14" s="20" t="s">
        <v>620</v>
      </c>
      <c r="D14" s="138">
        <v>1090000</v>
      </c>
      <c r="E14" s="20" t="s">
        <v>618</v>
      </c>
      <c r="F14" s="20" t="s">
        <v>192</v>
      </c>
      <c r="G14" s="8" t="str">
        <f t="shared" si="0"/>
        <v>SPECTOR MICHAEL</v>
      </c>
    </row>
    <row r="15" spans="1:7" x14ac:dyDescent="0.25">
      <c r="A15" s="8">
        <v>42927.143090277779</v>
      </c>
      <c r="B15" s="20" t="s">
        <v>426</v>
      </c>
      <c r="C15" s="20" t="s">
        <v>621</v>
      </c>
      <c r="D15" s="138">
        <v>3330000</v>
      </c>
      <c r="E15" s="20" t="s">
        <v>622</v>
      </c>
      <c r="F15" s="20" t="s">
        <v>623</v>
      </c>
      <c r="G15" s="8" t="str">
        <f t="shared" si="0"/>
        <v>GONZALEZ ARMANDO</v>
      </c>
    </row>
    <row r="16" spans="1:7" x14ac:dyDescent="0.25">
      <c r="A16" s="8">
        <v>42927.154780092591</v>
      </c>
      <c r="B16" s="20" t="s">
        <v>383</v>
      </c>
      <c r="C16" s="20" t="s">
        <v>624</v>
      </c>
      <c r="D16" s="138">
        <v>3330000</v>
      </c>
      <c r="E16" s="20" t="s">
        <v>622</v>
      </c>
      <c r="F16" s="20" t="s">
        <v>623</v>
      </c>
      <c r="G16" s="8" t="str">
        <f t="shared" si="0"/>
        <v>GONZALEZ ARMANDO</v>
      </c>
    </row>
    <row r="17" spans="1:7" x14ac:dyDescent="0.25">
      <c r="A17" s="8">
        <v>42927.163344907407</v>
      </c>
      <c r="B17" s="20" t="s">
        <v>503</v>
      </c>
      <c r="C17" s="20" t="s">
        <v>625</v>
      </c>
      <c r="D17" s="138">
        <v>2010000</v>
      </c>
      <c r="E17" s="20" t="s">
        <v>527</v>
      </c>
      <c r="F17" s="20" t="s">
        <v>528</v>
      </c>
      <c r="G17" s="8" t="str">
        <f t="shared" si="0"/>
        <v>MAELZER KURT</v>
      </c>
    </row>
    <row r="18" spans="1:7" x14ac:dyDescent="0.25">
      <c r="A18" s="8">
        <v>42927.168645833335</v>
      </c>
      <c r="B18" s="20" t="s">
        <v>512</v>
      </c>
      <c r="C18" s="20" t="s">
        <v>626</v>
      </c>
      <c r="D18" s="138">
        <v>1110000</v>
      </c>
      <c r="E18" s="20" t="s">
        <v>449</v>
      </c>
      <c r="F18" s="20" t="s">
        <v>450</v>
      </c>
      <c r="G18" s="8" t="str">
        <f t="shared" si="0"/>
        <v>STARKS ANGELINA</v>
      </c>
    </row>
    <row r="19" spans="1:7" x14ac:dyDescent="0.25">
      <c r="A19" s="8">
        <v>42927.170891203707</v>
      </c>
      <c r="B19" s="20" t="s">
        <v>459</v>
      </c>
      <c r="C19" s="20" t="s">
        <v>627</v>
      </c>
      <c r="D19" s="138">
        <v>1780000</v>
      </c>
      <c r="E19" s="20" t="s">
        <v>628</v>
      </c>
      <c r="F19" s="20" t="s">
        <v>629</v>
      </c>
      <c r="G19" s="8" t="str">
        <f t="shared" si="0"/>
        <v>DE LA ROSA ALEX</v>
      </c>
    </row>
    <row r="20" spans="1:7" x14ac:dyDescent="0.25">
      <c r="A20" s="8">
        <v>42927.174155092594</v>
      </c>
      <c r="B20" s="20" t="s">
        <v>336</v>
      </c>
      <c r="C20" s="20" t="s">
        <v>630</v>
      </c>
      <c r="D20" s="138">
        <v>2010000</v>
      </c>
      <c r="E20" s="20" t="s">
        <v>527</v>
      </c>
      <c r="F20" s="20" t="s">
        <v>528</v>
      </c>
      <c r="G20" s="8" t="str">
        <f t="shared" si="0"/>
        <v>MAELZER KURT</v>
      </c>
    </row>
    <row r="21" spans="1:7" x14ac:dyDescent="0.25">
      <c r="A21" s="8">
        <v>42927.184756944444</v>
      </c>
      <c r="B21" s="20" t="s">
        <v>353</v>
      </c>
      <c r="C21" s="20" t="s">
        <v>631</v>
      </c>
      <c r="D21" s="138">
        <v>1780000</v>
      </c>
      <c r="E21" s="20" t="s">
        <v>628</v>
      </c>
      <c r="F21" s="20" t="s">
        <v>629</v>
      </c>
      <c r="G21" s="8" t="str">
        <f t="shared" si="0"/>
        <v>DE LA ROSA ALEX</v>
      </c>
    </row>
    <row r="22" spans="1:7" x14ac:dyDescent="0.25">
      <c r="A22" s="26">
        <v>42927.186527777776</v>
      </c>
      <c r="B22" s="20" t="s">
        <v>573</v>
      </c>
      <c r="C22" s="20" t="s">
        <v>632</v>
      </c>
      <c r="D22" s="138">
        <v>2560000</v>
      </c>
      <c r="E22" s="20" t="s">
        <v>533</v>
      </c>
      <c r="F22" s="20" t="s">
        <v>361</v>
      </c>
      <c r="G22" s="8" t="str">
        <f t="shared" si="0"/>
        <v>MACDONALD THOMAS</v>
      </c>
    </row>
    <row r="23" spans="1:7" x14ac:dyDescent="0.25">
      <c r="A23" s="8">
        <v>42927.194074074076</v>
      </c>
      <c r="B23" s="20" t="s">
        <v>426</v>
      </c>
      <c r="C23" s="20" t="s">
        <v>633</v>
      </c>
      <c r="D23" s="138">
        <v>3330000</v>
      </c>
      <c r="E23" s="20" t="s">
        <v>622</v>
      </c>
      <c r="F23" s="20" t="s">
        <v>623</v>
      </c>
      <c r="G23" s="8" t="str">
        <f t="shared" si="0"/>
        <v>GONZALEZ ARMANDO</v>
      </c>
    </row>
    <row r="24" spans="1:7" x14ac:dyDescent="0.25">
      <c r="A24" s="8">
        <v>42927.196562500001</v>
      </c>
      <c r="B24" s="20" t="s">
        <v>502</v>
      </c>
      <c r="C24" s="20" t="s">
        <v>634</v>
      </c>
      <c r="D24" s="138">
        <v>2560000</v>
      </c>
      <c r="E24" s="20" t="s">
        <v>533</v>
      </c>
      <c r="F24" s="20" t="s">
        <v>361</v>
      </c>
      <c r="G24" s="8" t="str">
        <f t="shared" si="0"/>
        <v>MACDONALD THOMAS</v>
      </c>
    </row>
    <row r="25" spans="1:7" x14ac:dyDescent="0.25">
      <c r="A25" s="8">
        <v>42927.203043981484</v>
      </c>
      <c r="B25" s="20" t="s">
        <v>461</v>
      </c>
      <c r="C25" s="20" t="s">
        <v>635</v>
      </c>
      <c r="D25" s="138">
        <v>1540000</v>
      </c>
      <c r="E25" s="20" t="s">
        <v>636</v>
      </c>
      <c r="F25" s="20" t="s">
        <v>637</v>
      </c>
      <c r="G25" s="8" t="str">
        <f t="shared" si="0"/>
        <v>HELVIE ADAM</v>
      </c>
    </row>
    <row r="26" spans="1:7" x14ac:dyDescent="0.25">
      <c r="A26" s="8">
        <v>42927.203425925924</v>
      </c>
      <c r="B26" s="20" t="s">
        <v>530</v>
      </c>
      <c r="C26" s="20" t="s">
        <v>638</v>
      </c>
      <c r="D26" s="138">
        <v>1110000</v>
      </c>
      <c r="E26" s="20" t="s">
        <v>449</v>
      </c>
      <c r="F26" s="20" t="s">
        <v>450</v>
      </c>
      <c r="G26" s="8" t="str">
        <f t="shared" si="0"/>
        <v>STARKS ANGELINA</v>
      </c>
    </row>
    <row r="27" spans="1:7" x14ac:dyDescent="0.25">
      <c r="A27" s="8">
        <v>42927.204097222224</v>
      </c>
      <c r="B27" s="20" t="s">
        <v>461</v>
      </c>
      <c r="C27" s="20" t="s">
        <v>635</v>
      </c>
      <c r="D27" s="138">
        <v>1540000</v>
      </c>
      <c r="E27" s="20" t="s">
        <v>636</v>
      </c>
      <c r="F27" s="20" t="s">
        <v>637</v>
      </c>
      <c r="G27" s="8" t="str">
        <f t="shared" si="0"/>
        <v>HELVIE ADAM</v>
      </c>
    </row>
    <row r="28" spans="1:7" x14ac:dyDescent="0.25">
      <c r="A28" s="8">
        <v>42927.206180555557</v>
      </c>
      <c r="B28" s="20" t="s">
        <v>461</v>
      </c>
      <c r="C28" s="20" t="s">
        <v>635</v>
      </c>
      <c r="D28" s="138">
        <v>1540000</v>
      </c>
      <c r="E28" s="20" t="s">
        <v>636</v>
      </c>
      <c r="F28" s="20" t="s">
        <v>637</v>
      </c>
      <c r="G28" s="8" t="str">
        <f t="shared" si="0"/>
        <v>HELVIE ADAM</v>
      </c>
    </row>
    <row r="29" spans="1:7" x14ac:dyDescent="0.25">
      <c r="A29" s="8">
        <v>42927.206180555557</v>
      </c>
      <c r="B29" s="20" t="s">
        <v>526</v>
      </c>
      <c r="C29" s="20" t="s">
        <v>639</v>
      </c>
      <c r="D29" s="138">
        <v>890000</v>
      </c>
      <c r="E29" s="20" t="s">
        <v>640</v>
      </c>
      <c r="F29" s="20" t="s">
        <v>641</v>
      </c>
      <c r="G29" s="8" t="str">
        <f t="shared" si="0"/>
        <v>LOZA FIDEL</v>
      </c>
    </row>
    <row r="30" spans="1:7" x14ac:dyDescent="0.25">
      <c r="A30" s="8">
        <v>42927.207002314812</v>
      </c>
      <c r="B30" s="20" t="s">
        <v>461</v>
      </c>
      <c r="C30" s="20" t="s">
        <v>635</v>
      </c>
      <c r="D30" s="138">
        <v>1540000</v>
      </c>
      <c r="E30" s="20" t="s">
        <v>636</v>
      </c>
      <c r="F30" s="20" t="s">
        <v>637</v>
      </c>
      <c r="G30" s="8" t="str">
        <f t="shared" si="0"/>
        <v>HELVIE ADAM</v>
      </c>
    </row>
    <row r="31" spans="1:7" x14ac:dyDescent="0.25">
      <c r="A31" s="8">
        <v>42927.209016203706</v>
      </c>
      <c r="B31" s="20" t="s">
        <v>461</v>
      </c>
      <c r="C31" s="20" t="s">
        <v>635</v>
      </c>
      <c r="D31" s="138">
        <v>1540000</v>
      </c>
      <c r="E31" s="20" t="s">
        <v>636</v>
      </c>
      <c r="F31" s="20" t="s">
        <v>637</v>
      </c>
      <c r="G31" s="8" t="str">
        <f t="shared" si="0"/>
        <v>HELVIE ADAM</v>
      </c>
    </row>
    <row r="32" spans="1:7" x14ac:dyDescent="0.25">
      <c r="A32" s="8">
        <v>42927.211770833332</v>
      </c>
      <c r="B32" s="20" t="s">
        <v>503</v>
      </c>
      <c r="C32" s="20" t="s">
        <v>642</v>
      </c>
      <c r="D32" s="138">
        <v>2010000</v>
      </c>
      <c r="E32" s="20" t="s">
        <v>527</v>
      </c>
      <c r="F32" s="20" t="s">
        <v>528</v>
      </c>
      <c r="G32" s="8" t="str">
        <f t="shared" si="0"/>
        <v>MAELZER KURT</v>
      </c>
    </row>
    <row r="33" spans="1:7" x14ac:dyDescent="0.25">
      <c r="A33" s="8">
        <v>42927.217638888891</v>
      </c>
      <c r="B33" s="20" t="s">
        <v>523</v>
      </c>
      <c r="C33" s="20" t="s">
        <v>643</v>
      </c>
      <c r="D33" s="138">
        <v>890000</v>
      </c>
      <c r="E33" s="20" t="s">
        <v>640</v>
      </c>
      <c r="F33" s="20" t="s">
        <v>641</v>
      </c>
      <c r="G33" s="8" t="str">
        <f t="shared" si="0"/>
        <v>LOZA FIDEL</v>
      </c>
    </row>
    <row r="34" spans="1:7" x14ac:dyDescent="0.25">
      <c r="A34" s="8">
        <v>42927.219652777778</v>
      </c>
      <c r="B34" s="20" t="s">
        <v>435</v>
      </c>
      <c r="C34" s="20" t="s">
        <v>644</v>
      </c>
      <c r="D34" s="138">
        <v>3310000</v>
      </c>
      <c r="E34" s="20" t="s">
        <v>645</v>
      </c>
      <c r="F34" s="20" t="s">
        <v>646</v>
      </c>
      <c r="G34" s="8" t="str">
        <f t="shared" si="0"/>
        <v>ANDERS STEVEN</v>
      </c>
    </row>
    <row r="35" spans="1:7" x14ac:dyDescent="0.25">
      <c r="A35" s="8">
        <v>42927.219872685186</v>
      </c>
      <c r="B35" s="20" t="s">
        <v>462</v>
      </c>
      <c r="C35" s="20" t="s">
        <v>647</v>
      </c>
      <c r="D35" s="138">
        <v>1540000</v>
      </c>
      <c r="E35" s="20" t="s">
        <v>636</v>
      </c>
      <c r="F35" s="20" t="s">
        <v>637</v>
      </c>
      <c r="G35" s="8" t="str">
        <f t="shared" si="0"/>
        <v>HELVIE ADAM</v>
      </c>
    </row>
    <row r="36" spans="1:7" x14ac:dyDescent="0.25">
      <c r="A36" s="8">
        <v>42927.220914351848</v>
      </c>
      <c r="B36" s="20" t="s">
        <v>462</v>
      </c>
      <c r="C36" s="20" t="s">
        <v>647</v>
      </c>
      <c r="D36" s="138">
        <v>1540000</v>
      </c>
      <c r="E36" s="20" t="s">
        <v>636</v>
      </c>
      <c r="F36" s="20" t="s">
        <v>637</v>
      </c>
      <c r="G36" s="8" t="str">
        <f t="shared" si="0"/>
        <v>HELVIE ADAM</v>
      </c>
    </row>
    <row r="37" spans="1:7" x14ac:dyDescent="0.25">
      <c r="A37" s="8">
        <v>42927.22320601852</v>
      </c>
      <c r="B37" s="20" t="s">
        <v>459</v>
      </c>
      <c r="C37" s="20" t="s">
        <v>648</v>
      </c>
      <c r="D37" s="138">
        <v>1780000</v>
      </c>
      <c r="E37" s="20" t="s">
        <v>628</v>
      </c>
      <c r="F37" s="20" t="s">
        <v>629</v>
      </c>
      <c r="G37" s="8" t="str">
        <f t="shared" si="0"/>
        <v>DE LA ROSA ALEX</v>
      </c>
    </row>
    <row r="38" spans="1:7" x14ac:dyDescent="0.25">
      <c r="A38" s="8">
        <v>42927.226493055554</v>
      </c>
      <c r="B38" s="20" t="s">
        <v>383</v>
      </c>
      <c r="C38" s="20" t="s">
        <v>649</v>
      </c>
      <c r="D38" s="138">
        <v>3330000</v>
      </c>
      <c r="E38" s="20" t="s">
        <v>622</v>
      </c>
      <c r="F38" s="20" t="s">
        <v>623</v>
      </c>
      <c r="G38" s="8" t="str">
        <f t="shared" si="0"/>
        <v>GONZALEZ ARMANDO</v>
      </c>
    </row>
    <row r="39" spans="1:7" x14ac:dyDescent="0.25">
      <c r="A39" s="8">
        <v>42927.236585648148</v>
      </c>
      <c r="B39" s="20" t="s">
        <v>573</v>
      </c>
      <c r="C39" s="20" t="s">
        <v>650</v>
      </c>
      <c r="D39" s="138">
        <v>2560000</v>
      </c>
      <c r="E39" s="20" t="s">
        <v>533</v>
      </c>
      <c r="F39" s="20" t="s">
        <v>361</v>
      </c>
      <c r="G39" s="8" t="str">
        <f t="shared" si="0"/>
        <v>MACDONALD THOMAS</v>
      </c>
    </row>
    <row r="40" spans="1:7" x14ac:dyDescent="0.25">
      <c r="A40" s="8">
        <v>42927.237939814811</v>
      </c>
      <c r="B40" s="25" t="s">
        <v>436</v>
      </c>
      <c r="C40" s="20" t="s">
        <v>651</v>
      </c>
      <c r="D40" s="138">
        <v>3310000</v>
      </c>
      <c r="E40" s="20" t="s">
        <v>645</v>
      </c>
      <c r="F40" s="20" t="s">
        <v>646</v>
      </c>
      <c r="G40" s="8" t="str">
        <f t="shared" si="0"/>
        <v>ANDERS STEVEN</v>
      </c>
    </row>
    <row r="41" spans="1:7" x14ac:dyDescent="0.25">
      <c r="A41" s="8">
        <v>42927.241030092591</v>
      </c>
      <c r="B41" s="20" t="s">
        <v>461</v>
      </c>
      <c r="C41" s="20" t="s">
        <v>652</v>
      </c>
      <c r="D41" s="138">
        <v>1540000</v>
      </c>
      <c r="E41" s="20" t="s">
        <v>636</v>
      </c>
      <c r="F41" s="20" t="s">
        <v>637</v>
      </c>
      <c r="G41" s="8" t="str">
        <f t="shared" si="0"/>
        <v>HELVIE ADAM</v>
      </c>
    </row>
    <row r="42" spans="1:7" x14ac:dyDescent="0.25">
      <c r="A42" s="8">
        <v>42927.246134259258</v>
      </c>
      <c r="B42" s="20" t="s">
        <v>512</v>
      </c>
      <c r="C42" s="20" t="s">
        <v>571</v>
      </c>
      <c r="D42" s="138">
        <v>1110000</v>
      </c>
      <c r="E42" s="20" t="s">
        <v>449</v>
      </c>
      <c r="F42" s="20" t="s">
        <v>450</v>
      </c>
      <c r="G42" s="8" t="str">
        <f t="shared" si="0"/>
        <v>STARKS ANGELINA</v>
      </c>
    </row>
    <row r="43" spans="1:7" x14ac:dyDescent="0.25">
      <c r="A43" s="8">
        <v>42927.246145833335</v>
      </c>
      <c r="B43" s="20" t="s">
        <v>336</v>
      </c>
      <c r="C43" s="20" t="s">
        <v>653</v>
      </c>
      <c r="D43" s="138">
        <v>2010000</v>
      </c>
      <c r="E43" s="20" t="s">
        <v>527</v>
      </c>
      <c r="F43" s="20" t="s">
        <v>528</v>
      </c>
      <c r="G43" s="8" t="str">
        <f t="shared" si="0"/>
        <v>MAELZER KURT</v>
      </c>
    </row>
    <row r="44" spans="1:7" x14ac:dyDescent="0.25">
      <c r="A44" s="8">
        <v>42927.25271990741</v>
      </c>
      <c r="B44" s="20" t="s">
        <v>522</v>
      </c>
      <c r="C44" s="20" t="s">
        <v>654</v>
      </c>
      <c r="D44" s="138">
        <v>2730000</v>
      </c>
      <c r="E44" s="20" t="s">
        <v>430</v>
      </c>
      <c r="F44" s="20" t="s">
        <v>431</v>
      </c>
      <c r="G44" s="8" t="str">
        <f t="shared" si="0"/>
        <v>YANG JAN</v>
      </c>
    </row>
    <row r="45" spans="1:7" x14ac:dyDescent="0.25">
      <c r="A45" s="8">
        <v>42927.25508101852</v>
      </c>
      <c r="B45" s="20" t="s">
        <v>522</v>
      </c>
      <c r="C45" s="20" t="s">
        <v>654</v>
      </c>
      <c r="D45" s="138">
        <v>2730000</v>
      </c>
      <c r="E45" s="20" t="s">
        <v>430</v>
      </c>
      <c r="F45" s="20" t="s">
        <v>431</v>
      </c>
      <c r="G45" s="8" t="str">
        <f t="shared" si="0"/>
        <v>YANG JAN</v>
      </c>
    </row>
    <row r="46" spans="1:7" x14ac:dyDescent="0.25">
      <c r="A46" s="8">
        <v>42927.25509259259</v>
      </c>
      <c r="B46" s="20" t="s">
        <v>462</v>
      </c>
      <c r="C46" s="20" t="s">
        <v>655</v>
      </c>
      <c r="D46" s="138">
        <v>1540000</v>
      </c>
      <c r="E46" s="20" t="s">
        <v>636</v>
      </c>
      <c r="F46" s="20" t="s">
        <v>637</v>
      </c>
      <c r="G46" s="8" t="str">
        <f t="shared" si="0"/>
        <v>HELVIE ADAM</v>
      </c>
    </row>
    <row r="47" spans="1:7" x14ac:dyDescent="0.25">
      <c r="A47" s="8">
        <v>42927.255219907405</v>
      </c>
      <c r="B47" s="20" t="s">
        <v>526</v>
      </c>
      <c r="C47" s="20" t="s">
        <v>656</v>
      </c>
      <c r="D47" s="138">
        <v>890000</v>
      </c>
      <c r="E47" s="20" t="s">
        <v>640</v>
      </c>
      <c r="F47" s="20" t="s">
        <v>641</v>
      </c>
      <c r="G47" s="8" t="str">
        <f t="shared" si="0"/>
        <v>LOZA FIDEL</v>
      </c>
    </row>
    <row r="48" spans="1:7" x14ac:dyDescent="0.25">
      <c r="A48" s="8">
        <v>42927.256215277775</v>
      </c>
      <c r="B48" s="20" t="s">
        <v>353</v>
      </c>
      <c r="C48" s="20" t="s">
        <v>657</v>
      </c>
      <c r="D48" s="138">
        <v>1780000</v>
      </c>
      <c r="E48" s="20" t="s">
        <v>628</v>
      </c>
      <c r="F48" s="20" t="s">
        <v>629</v>
      </c>
      <c r="G48" s="8" t="str">
        <f t="shared" si="0"/>
        <v>DE LA ROSA ALEX</v>
      </c>
    </row>
    <row r="49" spans="1:7" x14ac:dyDescent="0.25">
      <c r="A49" s="8">
        <v>42927.260439814818</v>
      </c>
      <c r="B49" s="20" t="s">
        <v>426</v>
      </c>
      <c r="C49" s="20" t="s">
        <v>658</v>
      </c>
      <c r="D49" s="138">
        <v>3330000</v>
      </c>
      <c r="E49" s="20" t="s">
        <v>622</v>
      </c>
      <c r="F49" s="20" t="s">
        <v>623</v>
      </c>
      <c r="G49" s="8" t="str">
        <f t="shared" si="0"/>
        <v>GONZALEZ ARMANDO</v>
      </c>
    </row>
    <row r="50" spans="1:7" x14ac:dyDescent="0.25">
      <c r="A50" s="8">
        <v>42927.264930555553</v>
      </c>
      <c r="B50" s="20" t="s">
        <v>529</v>
      </c>
      <c r="C50" s="20" t="s">
        <v>659</v>
      </c>
      <c r="D50" s="138">
        <v>2730000</v>
      </c>
      <c r="E50" s="20" t="s">
        <v>430</v>
      </c>
      <c r="F50" s="20" t="s">
        <v>431</v>
      </c>
      <c r="G50" s="8" t="str">
        <f t="shared" si="0"/>
        <v>YANG JAN</v>
      </c>
    </row>
    <row r="51" spans="1:7" x14ac:dyDescent="0.25">
      <c r="A51" s="8">
        <v>42927.265659722223</v>
      </c>
      <c r="B51" s="20" t="s">
        <v>529</v>
      </c>
      <c r="C51" s="20" t="s">
        <v>659</v>
      </c>
      <c r="D51" s="138">
        <v>2730000</v>
      </c>
      <c r="E51" s="20" t="s">
        <v>430</v>
      </c>
      <c r="F51" s="20" t="s">
        <v>431</v>
      </c>
      <c r="G51" s="8" t="str">
        <f t="shared" si="0"/>
        <v>YANG JAN</v>
      </c>
    </row>
    <row r="52" spans="1:7" x14ac:dyDescent="0.25">
      <c r="A52" s="8">
        <v>42927.267858796295</v>
      </c>
      <c r="B52" s="20" t="s">
        <v>502</v>
      </c>
      <c r="C52" s="20" t="s">
        <v>660</v>
      </c>
      <c r="D52" s="138">
        <v>2560000</v>
      </c>
      <c r="E52" s="20" t="s">
        <v>533</v>
      </c>
      <c r="F52" s="20" t="s">
        <v>361</v>
      </c>
      <c r="G52" s="8" t="str">
        <f t="shared" si="0"/>
        <v>MACDONALD THOMAS</v>
      </c>
    </row>
    <row r="53" spans="1:7" x14ac:dyDescent="0.25">
      <c r="A53" s="8">
        <v>42927.270127314812</v>
      </c>
      <c r="B53" s="20" t="s">
        <v>435</v>
      </c>
      <c r="C53" s="20" t="s">
        <v>661</v>
      </c>
      <c r="D53" s="138">
        <v>3310000</v>
      </c>
      <c r="E53" s="20" t="s">
        <v>645</v>
      </c>
      <c r="F53" s="20" t="s">
        <v>646</v>
      </c>
      <c r="G53" s="8" t="str">
        <f t="shared" si="0"/>
        <v>ANDERS STEVEN</v>
      </c>
    </row>
    <row r="54" spans="1:7" x14ac:dyDescent="0.25">
      <c r="A54" s="8">
        <v>42927.278078703705</v>
      </c>
      <c r="B54" s="20" t="s">
        <v>522</v>
      </c>
      <c r="C54" s="20" t="s">
        <v>662</v>
      </c>
      <c r="D54" s="138">
        <v>2730000</v>
      </c>
      <c r="E54" s="20" t="s">
        <v>430</v>
      </c>
      <c r="F54" s="20" t="s">
        <v>431</v>
      </c>
      <c r="G54" s="8" t="str">
        <f t="shared" si="0"/>
        <v>YANG JAN</v>
      </c>
    </row>
    <row r="55" spans="1:7" x14ac:dyDescent="0.25">
      <c r="A55" s="8">
        <v>42927.279432870368</v>
      </c>
      <c r="B55" s="20" t="s">
        <v>530</v>
      </c>
      <c r="C55" s="20" t="s">
        <v>663</v>
      </c>
      <c r="D55" s="138">
        <v>3200000</v>
      </c>
      <c r="E55" s="20" t="s">
        <v>664</v>
      </c>
      <c r="F55" s="20" t="s">
        <v>665</v>
      </c>
      <c r="G55" s="8" t="str">
        <f t="shared" si="0"/>
        <v>MILLER KEVIN</v>
      </c>
    </row>
    <row r="56" spans="1:7" x14ac:dyDescent="0.25">
      <c r="A56" s="8">
        <v>42927.282523148147</v>
      </c>
      <c r="B56" s="20" t="s">
        <v>461</v>
      </c>
      <c r="C56" s="20" t="s">
        <v>666</v>
      </c>
      <c r="D56" s="138">
        <v>1540000</v>
      </c>
      <c r="E56" s="20" t="s">
        <v>636</v>
      </c>
      <c r="F56" s="20" t="s">
        <v>637</v>
      </c>
      <c r="G56" s="8" t="str">
        <f t="shared" si="0"/>
        <v>HELVIE ADAM</v>
      </c>
    </row>
    <row r="57" spans="1:7" x14ac:dyDescent="0.25">
      <c r="A57" s="8">
        <v>42927.282731481479</v>
      </c>
      <c r="B57" s="20" t="s">
        <v>503</v>
      </c>
      <c r="C57" s="20" t="s">
        <v>667</v>
      </c>
      <c r="D57" s="138">
        <v>2010000</v>
      </c>
      <c r="E57" s="20" t="s">
        <v>527</v>
      </c>
      <c r="F57" s="20" t="s">
        <v>528</v>
      </c>
      <c r="G57" s="8" t="str">
        <f t="shared" si="0"/>
        <v>MAELZER KURT</v>
      </c>
    </row>
    <row r="58" spans="1:7" x14ac:dyDescent="0.25">
      <c r="A58" s="8">
        <v>42927.290277777778</v>
      </c>
      <c r="B58" s="20" t="s">
        <v>523</v>
      </c>
      <c r="C58" s="20" t="s">
        <v>668</v>
      </c>
      <c r="D58" s="138">
        <v>890000</v>
      </c>
      <c r="E58" s="20" t="s">
        <v>640</v>
      </c>
      <c r="F58" s="20" t="s">
        <v>641</v>
      </c>
      <c r="G58" s="8" t="str">
        <f t="shared" si="0"/>
        <v>LOZA FIDEL</v>
      </c>
    </row>
    <row r="59" spans="1:7" x14ac:dyDescent="0.25">
      <c r="A59" s="8">
        <v>42927.296631944446</v>
      </c>
      <c r="B59" s="20" t="s">
        <v>462</v>
      </c>
      <c r="C59" s="20" t="s">
        <v>572</v>
      </c>
      <c r="D59" s="138">
        <v>1540000</v>
      </c>
      <c r="E59" s="20" t="s">
        <v>636</v>
      </c>
      <c r="F59" s="20" t="s">
        <v>637</v>
      </c>
      <c r="G59" s="8" t="str">
        <f t="shared" si="0"/>
        <v>HELVIE ADAM</v>
      </c>
    </row>
    <row r="60" spans="1:7" x14ac:dyDescent="0.25">
      <c r="A60" s="8">
        <v>42927.297500000001</v>
      </c>
      <c r="B60" s="20" t="s">
        <v>459</v>
      </c>
      <c r="C60" s="20" t="s">
        <v>669</v>
      </c>
      <c r="D60" s="138">
        <v>1780000</v>
      </c>
      <c r="E60" s="20" t="s">
        <v>628</v>
      </c>
      <c r="F60" s="20" t="s">
        <v>629</v>
      </c>
      <c r="G60" s="8" t="str">
        <f t="shared" si="0"/>
        <v>DE LA ROSA ALEX</v>
      </c>
    </row>
    <row r="61" spans="1:7" x14ac:dyDescent="0.25">
      <c r="A61" s="8">
        <v>42927.298483796294</v>
      </c>
      <c r="B61" s="20" t="s">
        <v>383</v>
      </c>
      <c r="C61" s="20" t="s">
        <v>670</v>
      </c>
      <c r="D61" s="138">
        <v>3330000</v>
      </c>
      <c r="E61" s="20" t="s">
        <v>622</v>
      </c>
      <c r="F61" s="20" t="s">
        <v>623</v>
      </c>
      <c r="G61" s="8" t="str">
        <f t="shared" si="0"/>
        <v>GONZALEZ ARMANDO</v>
      </c>
    </row>
    <row r="62" spans="1:7" x14ac:dyDescent="0.25">
      <c r="A62" s="8">
        <v>42927.298692129632</v>
      </c>
      <c r="B62" s="20" t="s">
        <v>573</v>
      </c>
      <c r="C62" s="20" t="s">
        <v>574</v>
      </c>
      <c r="D62" s="138">
        <v>2560000</v>
      </c>
      <c r="E62" s="20" t="s">
        <v>533</v>
      </c>
      <c r="F62" s="20" t="s">
        <v>361</v>
      </c>
      <c r="G62" s="8" t="str">
        <f t="shared" si="0"/>
        <v>MACDONALD THOMAS</v>
      </c>
    </row>
    <row r="63" spans="1:7" x14ac:dyDescent="0.25">
      <c r="A63" s="8">
        <v>42927.301400462966</v>
      </c>
      <c r="B63" s="20" t="s">
        <v>529</v>
      </c>
      <c r="C63" s="20" t="s">
        <v>671</v>
      </c>
      <c r="D63" s="138">
        <v>2730000</v>
      </c>
      <c r="E63" s="20" t="s">
        <v>430</v>
      </c>
      <c r="F63" s="20" t="s">
        <v>431</v>
      </c>
      <c r="G63" s="8" t="str">
        <f t="shared" si="0"/>
        <v>YANG JAN</v>
      </c>
    </row>
    <row r="64" spans="1:7" x14ac:dyDescent="0.25">
      <c r="A64" s="26">
        <v>42927.31045138889</v>
      </c>
      <c r="B64" s="20" t="s">
        <v>436</v>
      </c>
      <c r="C64" s="20" t="s">
        <v>672</v>
      </c>
      <c r="D64" s="138">
        <v>2600000</v>
      </c>
      <c r="E64" s="20" t="s">
        <v>531</v>
      </c>
      <c r="F64" s="20" t="s">
        <v>532</v>
      </c>
      <c r="G64" s="8" t="str">
        <f t="shared" si="0"/>
        <v>DAVIDSON DAVID</v>
      </c>
    </row>
    <row r="65" spans="1:7" x14ac:dyDescent="0.25">
      <c r="A65" s="8">
        <v>42927.317141203705</v>
      </c>
      <c r="B65" s="20" t="s">
        <v>512</v>
      </c>
      <c r="C65" s="20" t="s">
        <v>673</v>
      </c>
      <c r="D65" s="138">
        <v>3200000</v>
      </c>
      <c r="E65" s="20" t="s">
        <v>664</v>
      </c>
      <c r="F65" s="20" t="s">
        <v>665</v>
      </c>
      <c r="G65" s="8" t="str">
        <f t="shared" si="0"/>
        <v>MILLER KEVIN</v>
      </c>
    </row>
    <row r="66" spans="1:7" x14ac:dyDescent="0.25">
      <c r="A66" s="8">
        <v>42927.317962962959</v>
      </c>
      <c r="B66" s="20" t="s">
        <v>522</v>
      </c>
      <c r="C66" s="20" t="s">
        <v>575</v>
      </c>
      <c r="D66" s="138">
        <v>2730000</v>
      </c>
      <c r="E66" s="20" t="s">
        <v>430</v>
      </c>
      <c r="F66" s="20" t="s">
        <v>431</v>
      </c>
      <c r="G66" s="8" t="str">
        <f t="shared" si="0"/>
        <v>YANG JAN</v>
      </c>
    </row>
    <row r="67" spans="1:7" x14ac:dyDescent="0.25">
      <c r="A67" s="8">
        <v>42927.321261574078</v>
      </c>
      <c r="B67" s="20" t="s">
        <v>336</v>
      </c>
      <c r="C67" s="20" t="s">
        <v>674</v>
      </c>
      <c r="D67" s="138">
        <v>2010000</v>
      </c>
      <c r="E67" s="20" t="s">
        <v>527</v>
      </c>
      <c r="F67" s="20" t="s">
        <v>528</v>
      </c>
      <c r="G67" s="8" t="str">
        <f t="shared" ref="G67:G130" si="1">E67&amp;" "&amp;F67</f>
        <v>MAELZER KURT</v>
      </c>
    </row>
    <row r="68" spans="1:7" x14ac:dyDescent="0.25">
      <c r="A68" s="8">
        <v>42927.323773148149</v>
      </c>
      <c r="B68" s="20" t="s">
        <v>461</v>
      </c>
      <c r="C68" s="20" t="s">
        <v>675</v>
      </c>
      <c r="D68" s="138">
        <v>1540000</v>
      </c>
      <c r="E68" s="20" t="s">
        <v>636</v>
      </c>
      <c r="F68" s="20" t="s">
        <v>637</v>
      </c>
      <c r="G68" s="8" t="str">
        <f t="shared" si="1"/>
        <v>HELVIE ADAM</v>
      </c>
    </row>
    <row r="69" spans="1:7" x14ac:dyDescent="0.25">
      <c r="A69" s="8">
        <v>42927.327708333331</v>
      </c>
      <c r="B69" s="20" t="s">
        <v>526</v>
      </c>
      <c r="C69" s="20" t="s">
        <v>576</v>
      </c>
      <c r="D69" s="138">
        <v>890000</v>
      </c>
      <c r="E69" s="20" t="s">
        <v>640</v>
      </c>
      <c r="F69" s="20" t="s">
        <v>641</v>
      </c>
      <c r="G69" s="8" t="str">
        <f t="shared" si="1"/>
        <v>LOZA FIDEL</v>
      </c>
    </row>
    <row r="70" spans="1:7" x14ac:dyDescent="0.25">
      <c r="A70" s="8">
        <v>42927.332407407404</v>
      </c>
      <c r="B70" s="20" t="s">
        <v>353</v>
      </c>
      <c r="C70" s="20" t="s">
        <v>676</v>
      </c>
      <c r="D70" s="138">
        <v>1780000</v>
      </c>
      <c r="E70" s="20" t="s">
        <v>628</v>
      </c>
      <c r="F70" s="20" t="s">
        <v>629</v>
      </c>
      <c r="G70" s="8" t="str">
        <f t="shared" si="1"/>
        <v>DE LA ROSA ALEX</v>
      </c>
    </row>
    <row r="71" spans="1:7" x14ac:dyDescent="0.25">
      <c r="A71" s="8">
        <v>42927.335486111115</v>
      </c>
      <c r="B71" s="20" t="s">
        <v>426</v>
      </c>
      <c r="C71" s="20" t="s">
        <v>677</v>
      </c>
      <c r="D71" s="138">
        <v>3330000</v>
      </c>
      <c r="E71" s="20" t="s">
        <v>622</v>
      </c>
      <c r="F71" s="20" t="s">
        <v>623</v>
      </c>
      <c r="G71" s="8" t="str">
        <f t="shared" si="1"/>
        <v>GONZALEZ ARMANDO</v>
      </c>
    </row>
    <row r="72" spans="1:7" x14ac:dyDescent="0.25">
      <c r="A72" s="8">
        <v>42927.337951388887</v>
      </c>
      <c r="B72" s="20" t="s">
        <v>462</v>
      </c>
      <c r="C72" s="20" t="s">
        <v>678</v>
      </c>
      <c r="D72" s="138">
        <v>1540000</v>
      </c>
      <c r="E72" s="20" t="s">
        <v>636</v>
      </c>
      <c r="F72" s="20" t="s">
        <v>637</v>
      </c>
      <c r="G72" s="8" t="str">
        <f t="shared" si="1"/>
        <v>HELVIE ADAM</v>
      </c>
    </row>
    <row r="73" spans="1:7" x14ac:dyDescent="0.25">
      <c r="A73" s="8">
        <v>42927.340405092589</v>
      </c>
      <c r="B73" s="20" t="s">
        <v>502</v>
      </c>
      <c r="C73" s="20" t="s">
        <v>679</v>
      </c>
      <c r="D73" s="138">
        <v>2560000</v>
      </c>
      <c r="E73" s="20" t="s">
        <v>533</v>
      </c>
      <c r="F73" s="20" t="s">
        <v>361</v>
      </c>
      <c r="G73" s="8" t="str">
        <f t="shared" si="1"/>
        <v>MACDONALD THOMAS</v>
      </c>
    </row>
    <row r="74" spans="1:7" x14ac:dyDescent="0.25">
      <c r="A74" s="8">
        <v>42927.341006944444</v>
      </c>
      <c r="B74" s="20" t="s">
        <v>435</v>
      </c>
      <c r="C74" s="20" t="s">
        <v>680</v>
      </c>
      <c r="D74" s="138">
        <v>2600000</v>
      </c>
      <c r="E74" s="20" t="s">
        <v>531</v>
      </c>
      <c r="F74" s="20" t="s">
        <v>532</v>
      </c>
      <c r="G74" s="8" t="str">
        <f t="shared" si="1"/>
        <v>DAVIDSON DAVID</v>
      </c>
    </row>
    <row r="75" spans="1:7" x14ac:dyDescent="0.25">
      <c r="A75" s="8">
        <v>42927.343321759261</v>
      </c>
      <c r="B75" s="20" t="s">
        <v>529</v>
      </c>
      <c r="C75" s="20" t="s">
        <v>681</v>
      </c>
      <c r="D75" s="138">
        <v>2730000</v>
      </c>
      <c r="E75" s="20" t="s">
        <v>430</v>
      </c>
      <c r="F75" s="20" t="s">
        <v>431</v>
      </c>
      <c r="G75" s="8" t="str">
        <f t="shared" si="1"/>
        <v>YANG JAN</v>
      </c>
    </row>
    <row r="76" spans="1:7" x14ac:dyDescent="0.25">
      <c r="A76" s="8">
        <v>42927.352754629632</v>
      </c>
      <c r="B76" s="20" t="s">
        <v>461</v>
      </c>
      <c r="C76" s="20" t="s">
        <v>682</v>
      </c>
      <c r="D76" s="138">
        <v>1540000</v>
      </c>
      <c r="E76" s="20" t="s">
        <v>636</v>
      </c>
      <c r="F76" s="20" t="s">
        <v>637</v>
      </c>
      <c r="G76" s="8" t="str">
        <f t="shared" si="1"/>
        <v>HELVIE ADAM</v>
      </c>
    </row>
    <row r="77" spans="1:7" x14ac:dyDescent="0.25">
      <c r="A77" s="8">
        <v>42927.35359953704</v>
      </c>
      <c r="B77" s="20" t="s">
        <v>503</v>
      </c>
      <c r="C77" s="20" t="s">
        <v>674</v>
      </c>
      <c r="D77" s="138">
        <v>2010000</v>
      </c>
      <c r="E77" s="20" t="s">
        <v>527</v>
      </c>
      <c r="F77" s="20" t="s">
        <v>528</v>
      </c>
      <c r="G77" s="8" t="str">
        <f t="shared" si="1"/>
        <v>MAELZER KURT</v>
      </c>
    </row>
    <row r="78" spans="1:7" x14ac:dyDescent="0.25">
      <c r="A78" s="8">
        <v>42927.353645833333</v>
      </c>
      <c r="B78" s="20" t="s">
        <v>530</v>
      </c>
      <c r="C78" s="20" t="s">
        <v>683</v>
      </c>
      <c r="D78" s="138">
        <v>1110000</v>
      </c>
      <c r="E78" s="20" t="s">
        <v>449</v>
      </c>
      <c r="F78" s="20" t="s">
        <v>450</v>
      </c>
      <c r="G78" s="8" t="str">
        <f t="shared" si="1"/>
        <v>STARKS ANGELINA</v>
      </c>
    </row>
    <row r="79" spans="1:7" x14ac:dyDescent="0.25">
      <c r="A79" s="8">
        <v>42927.357534722221</v>
      </c>
      <c r="B79" s="20" t="s">
        <v>503</v>
      </c>
      <c r="C79" s="20" t="s">
        <v>684</v>
      </c>
      <c r="D79" s="138">
        <v>2010000</v>
      </c>
      <c r="E79" s="20" t="s">
        <v>527</v>
      </c>
      <c r="F79" s="20" t="s">
        <v>528</v>
      </c>
      <c r="G79" s="8" t="str">
        <f t="shared" si="1"/>
        <v>MAELZER KURT</v>
      </c>
    </row>
    <row r="80" spans="1:7" x14ac:dyDescent="0.25">
      <c r="A80" s="8">
        <v>42927.359895833331</v>
      </c>
      <c r="B80" s="20" t="s">
        <v>522</v>
      </c>
      <c r="C80" s="20" t="s">
        <v>685</v>
      </c>
      <c r="D80" s="138">
        <v>2730000</v>
      </c>
      <c r="E80" s="20" t="s">
        <v>430</v>
      </c>
      <c r="F80" s="20" t="s">
        <v>431</v>
      </c>
      <c r="G80" s="8" t="str">
        <f t="shared" si="1"/>
        <v>YANG JAN</v>
      </c>
    </row>
    <row r="81" spans="1:7" x14ac:dyDescent="0.25">
      <c r="A81" s="8">
        <v>42927.362662037034</v>
      </c>
      <c r="B81" s="20" t="s">
        <v>523</v>
      </c>
      <c r="C81" s="20" t="s">
        <v>686</v>
      </c>
      <c r="D81" s="138">
        <v>890000</v>
      </c>
      <c r="E81" s="20" t="s">
        <v>640</v>
      </c>
      <c r="F81" s="20" t="s">
        <v>641</v>
      </c>
      <c r="G81" s="8" t="str">
        <f t="shared" si="1"/>
        <v>LOZA FIDEL</v>
      </c>
    </row>
    <row r="82" spans="1:7" x14ac:dyDescent="0.25">
      <c r="A82" s="8">
        <v>42927.365416666667</v>
      </c>
      <c r="B82" s="20" t="s">
        <v>459</v>
      </c>
      <c r="C82" s="20" t="s">
        <v>687</v>
      </c>
      <c r="D82" s="138">
        <v>1780000</v>
      </c>
      <c r="E82" s="20" t="s">
        <v>628</v>
      </c>
      <c r="F82" s="20" t="s">
        <v>629</v>
      </c>
      <c r="G82" s="8" t="str">
        <f t="shared" si="1"/>
        <v>DE LA ROSA ALEX</v>
      </c>
    </row>
    <row r="83" spans="1:7" x14ac:dyDescent="0.25">
      <c r="A83" s="8">
        <v>42927.370740740742</v>
      </c>
      <c r="B83" s="20" t="s">
        <v>383</v>
      </c>
      <c r="C83" s="20" t="s">
        <v>688</v>
      </c>
      <c r="D83" s="138">
        <v>3330000</v>
      </c>
      <c r="E83" s="20" t="s">
        <v>622</v>
      </c>
      <c r="F83" s="20" t="s">
        <v>623</v>
      </c>
      <c r="G83" s="8" t="str">
        <f t="shared" si="1"/>
        <v>GONZALEZ ARMANDO</v>
      </c>
    </row>
    <row r="84" spans="1:7" x14ac:dyDescent="0.25">
      <c r="A84" s="8">
        <v>42927.382800925923</v>
      </c>
      <c r="B84" s="20" t="s">
        <v>436</v>
      </c>
      <c r="C84" s="20" t="s">
        <v>680</v>
      </c>
      <c r="D84" s="138">
        <v>3310000</v>
      </c>
      <c r="E84" s="20" t="s">
        <v>645</v>
      </c>
      <c r="F84" s="20" t="s">
        <v>646</v>
      </c>
      <c r="G84" s="8" t="str">
        <f t="shared" si="1"/>
        <v>ANDERS STEVEN</v>
      </c>
    </row>
    <row r="85" spans="1:7" x14ac:dyDescent="0.25">
      <c r="A85" s="8">
        <v>42927.383611111109</v>
      </c>
      <c r="B85" s="20" t="s">
        <v>529</v>
      </c>
      <c r="C85" s="20" t="s">
        <v>689</v>
      </c>
      <c r="D85" s="138">
        <v>2730000</v>
      </c>
      <c r="E85" s="20" t="s">
        <v>430</v>
      </c>
      <c r="F85" s="20" t="s">
        <v>431</v>
      </c>
      <c r="G85" s="8" t="str">
        <f t="shared" si="1"/>
        <v>YANG JAN</v>
      </c>
    </row>
    <row r="86" spans="1:7" x14ac:dyDescent="0.25">
      <c r="A86" s="8">
        <v>42927.383703703701</v>
      </c>
      <c r="B86" s="20" t="s">
        <v>573</v>
      </c>
      <c r="C86" s="20" t="s">
        <v>690</v>
      </c>
      <c r="D86" s="138">
        <v>2560000</v>
      </c>
      <c r="E86" s="20" t="s">
        <v>533</v>
      </c>
      <c r="F86" s="20" t="s">
        <v>361</v>
      </c>
      <c r="G86" s="8" t="str">
        <f t="shared" si="1"/>
        <v>MACDONALD THOMAS</v>
      </c>
    </row>
    <row r="87" spans="1:7" x14ac:dyDescent="0.25">
      <c r="A87" s="8">
        <v>42927.384826388887</v>
      </c>
      <c r="B87" s="20" t="s">
        <v>436</v>
      </c>
      <c r="C87" s="20" t="s">
        <v>691</v>
      </c>
      <c r="D87" s="138">
        <v>3310000</v>
      </c>
      <c r="E87" s="20" t="s">
        <v>645</v>
      </c>
      <c r="F87" s="20" t="s">
        <v>646</v>
      </c>
      <c r="G87" s="8" t="str">
        <f t="shared" si="1"/>
        <v>ANDERS STEVEN</v>
      </c>
    </row>
    <row r="88" spans="1:7" x14ac:dyDescent="0.25">
      <c r="A88" s="8">
        <v>42927.394421296296</v>
      </c>
      <c r="B88" s="20" t="s">
        <v>336</v>
      </c>
      <c r="C88" s="20" t="s">
        <v>692</v>
      </c>
      <c r="D88" s="138">
        <v>2010000</v>
      </c>
      <c r="E88" s="20" t="s">
        <v>527</v>
      </c>
      <c r="F88" s="20" t="s">
        <v>528</v>
      </c>
      <c r="G88" s="8" t="str">
        <f t="shared" si="1"/>
        <v>MAELZER KURT</v>
      </c>
    </row>
    <row r="89" spans="1:7" x14ac:dyDescent="0.25">
      <c r="A89" s="8">
        <v>42927.398032407407</v>
      </c>
      <c r="B89" s="20" t="s">
        <v>526</v>
      </c>
      <c r="C89" s="20" t="s">
        <v>693</v>
      </c>
      <c r="D89" s="138">
        <v>890000</v>
      </c>
      <c r="E89" s="20" t="s">
        <v>640</v>
      </c>
      <c r="F89" s="20" t="s">
        <v>641</v>
      </c>
      <c r="G89" s="8" t="str">
        <f t="shared" si="1"/>
        <v>LOZA FIDEL</v>
      </c>
    </row>
    <row r="90" spans="1:7" x14ac:dyDescent="0.25">
      <c r="A90" s="8">
        <v>42927.401342592595</v>
      </c>
      <c r="B90" s="20" t="s">
        <v>522</v>
      </c>
      <c r="C90" s="20" t="s">
        <v>694</v>
      </c>
      <c r="D90" s="138">
        <v>2730000</v>
      </c>
      <c r="E90" s="20" t="s">
        <v>430</v>
      </c>
      <c r="F90" s="20" t="s">
        <v>431</v>
      </c>
      <c r="G90" s="8" t="str">
        <f t="shared" si="1"/>
        <v>YANG JAN</v>
      </c>
    </row>
    <row r="91" spans="1:7" x14ac:dyDescent="0.25">
      <c r="A91" s="8">
        <v>42927.403287037036</v>
      </c>
      <c r="B91" s="20" t="s">
        <v>353</v>
      </c>
      <c r="C91" s="20" t="s">
        <v>695</v>
      </c>
      <c r="D91" s="138">
        <v>1780000</v>
      </c>
      <c r="E91" s="20" t="s">
        <v>628</v>
      </c>
      <c r="F91" s="20" t="s">
        <v>629</v>
      </c>
      <c r="G91" s="8" t="str">
        <f t="shared" si="1"/>
        <v>DE LA ROSA ALEX</v>
      </c>
    </row>
    <row r="92" spans="1:7" x14ac:dyDescent="0.25">
      <c r="A92" s="8">
        <v>42927.405752314815</v>
      </c>
      <c r="B92" s="20" t="s">
        <v>512</v>
      </c>
      <c r="C92" s="20" t="s">
        <v>577</v>
      </c>
      <c r="D92" s="138">
        <v>1110000</v>
      </c>
      <c r="E92" s="20" t="s">
        <v>449</v>
      </c>
      <c r="F92" s="20" t="s">
        <v>450</v>
      </c>
      <c r="G92" s="8" t="str">
        <f t="shared" si="1"/>
        <v>STARKS ANGELINA</v>
      </c>
    </row>
    <row r="93" spans="1:7" x14ac:dyDescent="0.25">
      <c r="A93" s="8">
        <v>42927.408518518518</v>
      </c>
      <c r="B93" s="20" t="s">
        <v>426</v>
      </c>
      <c r="C93" s="20" t="s">
        <v>696</v>
      </c>
      <c r="D93" s="138">
        <v>3330000</v>
      </c>
      <c r="E93" s="20" t="s">
        <v>622</v>
      </c>
      <c r="F93" s="20" t="s">
        <v>623</v>
      </c>
      <c r="G93" s="8" t="str">
        <f t="shared" si="1"/>
        <v>GONZALEZ ARMANDO</v>
      </c>
    </row>
    <row r="94" spans="1:7" x14ac:dyDescent="0.25">
      <c r="A94" s="8">
        <v>42927.41134259259</v>
      </c>
      <c r="B94" s="20" t="s">
        <v>502</v>
      </c>
      <c r="C94" s="20" t="s">
        <v>578</v>
      </c>
      <c r="D94" s="138">
        <v>2560000</v>
      </c>
      <c r="E94" s="20" t="s">
        <v>533</v>
      </c>
      <c r="F94" s="20" t="s">
        <v>361</v>
      </c>
      <c r="G94" s="8" t="str">
        <f t="shared" si="1"/>
        <v>MACDONALD THOMAS</v>
      </c>
    </row>
    <row r="95" spans="1:7" x14ac:dyDescent="0.25">
      <c r="A95" s="8">
        <v>42927.414861111109</v>
      </c>
      <c r="B95" s="20" t="s">
        <v>435</v>
      </c>
      <c r="C95" s="20" t="s">
        <v>579</v>
      </c>
      <c r="D95" s="138">
        <v>3310000</v>
      </c>
      <c r="E95" s="20" t="s">
        <v>645</v>
      </c>
      <c r="F95" s="20" t="s">
        <v>646</v>
      </c>
      <c r="G95" s="8" t="str">
        <f t="shared" si="1"/>
        <v>ANDERS STEVEN</v>
      </c>
    </row>
    <row r="96" spans="1:7" x14ac:dyDescent="0.25">
      <c r="A96" s="8">
        <v>42927.421990740739</v>
      </c>
      <c r="B96" s="20" t="s">
        <v>529</v>
      </c>
      <c r="C96" s="20" t="s">
        <v>580</v>
      </c>
      <c r="D96" s="138">
        <v>2730000</v>
      </c>
      <c r="E96" s="20" t="s">
        <v>430</v>
      </c>
      <c r="F96" s="20" t="s">
        <v>431</v>
      </c>
      <c r="G96" s="8" t="str">
        <f t="shared" si="1"/>
        <v>YANG JAN</v>
      </c>
    </row>
    <row r="97" spans="1:7" x14ac:dyDescent="0.25">
      <c r="A97" s="8">
        <v>42927.427928240744</v>
      </c>
      <c r="B97" s="20" t="s">
        <v>503</v>
      </c>
      <c r="C97" s="20" t="s">
        <v>697</v>
      </c>
      <c r="D97" s="138">
        <v>2010000</v>
      </c>
      <c r="E97" s="20" t="s">
        <v>527</v>
      </c>
      <c r="F97" s="20" t="s">
        <v>528</v>
      </c>
      <c r="G97" s="8" t="str">
        <f t="shared" si="1"/>
        <v>MAELZER KURT</v>
      </c>
    </row>
    <row r="98" spans="1:7" x14ac:dyDescent="0.25">
      <c r="A98" s="8">
        <v>42927.428229166668</v>
      </c>
      <c r="B98" s="20" t="s">
        <v>530</v>
      </c>
      <c r="C98" s="20" t="s">
        <v>698</v>
      </c>
      <c r="D98" s="138">
        <v>1540000</v>
      </c>
      <c r="E98" s="20" t="s">
        <v>636</v>
      </c>
      <c r="F98" s="20" t="s">
        <v>637</v>
      </c>
      <c r="G98" s="8" t="str">
        <f t="shared" si="1"/>
        <v>HELVIE ADAM</v>
      </c>
    </row>
    <row r="99" spans="1:7" x14ac:dyDescent="0.25">
      <c r="A99" s="8">
        <v>42927.435636574075</v>
      </c>
      <c r="B99" s="20" t="s">
        <v>523</v>
      </c>
      <c r="C99" s="20" t="s">
        <v>699</v>
      </c>
      <c r="D99" s="138">
        <v>890000</v>
      </c>
      <c r="E99" s="20" t="s">
        <v>640</v>
      </c>
      <c r="F99" s="20" t="s">
        <v>641</v>
      </c>
      <c r="G99" s="8" t="str">
        <f t="shared" si="1"/>
        <v>LOZA FIDEL</v>
      </c>
    </row>
    <row r="100" spans="1:7" x14ac:dyDescent="0.25">
      <c r="A100" s="8">
        <v>42927.443773148145</v>
      </c>
      <c r="B100" s="20" t="s">
        <v>522</v>
      </c>
      <c r="C100" s="20" t="s">
        <v>700</v>
      </c>
      <c r="D100" s="138">
        <v>2730000</v>
      </c>
      <c r="E100" s="20" t="s">
        <v>430</v>
      </c>
      <c r="F100" s="20" t="s">
        <v>431</v>
      </c>
      <c r="G100" s="8" t="str">
        <f t="shared" si="1"/>
        <v>YANG JAN</v>
      </c>
    </row>
    <row r="101" spans="1:7" x14ac:dyDescent="0.25">
      <c r="A101" s="8">
        <v>42927.443865740737</v>
      </c>
      <c r="B101" s="20" t="s">
        <v>459</v>
      </c>
      <c r="C101" s="20" t="s">
        <v>701</v>
      </c>
      <c r="D101" s="138">
        <v>1780000</v>
      </c>
      <c r="E101" s="20" t="s">
        <v>628</v>
      </c>
      <c r="F101" s="20" t="s">
        <v>629</v>
      </c>
      <c r="G101" s="8" t="str">
        <f t="shared" si="1"/>
        <v>DE LA ROSA ALEX</v>
      </c>
    </row>
    <row r="102" spans="1:7" x14ac:dyDescent="0.25">
      <c r="A102" s="8">
        <v>42927.446435185186</v>
      </c>
      <c r="B102" s="20" t="s">
        <v>383</v>
      </c>
      <c r="C102" s="20" t="s">
        <v>702</v>
      </c>
      <c r="D102" s="138">
        <v>920000</v>
      </c>
      <c r="E102" s="20" t="s">
        <v>386</v>
      </c>
      <c r="F102" s="20" t="s">
        <v>192</v>
      </c>
      <c r="G102" s="8" t="str">
        <f t="shared" si="1"/>
        <v>DAVIS MICHAEL</v>
      </c>
    </row>
    <row r="103" spans="1:7" x14ac:dyDescent="0.25">
      <c r="A103" s="8">
        <v>42927.448495370372</v>
      </c>
      <c r="B103" s="20" t="s">
        <v>501</v>
      </c>
      <c r="C103" s="20" t="s">
        <v>581</v>
      </c>
      <c r="D103" s="138">
        <v>2140000</v>
      </c>
      <c r="E103" s="20" t="s">
        <v>384</v>
      </c>
      <c r="F103" s="20" t="s">
        <v>385</v>
      </c>
      <c r="G103" s="8" t="str">
        <f t="shared" si="1"/>
        <v>ROBINSON KADDIBA</v>
      </c>
    </row>
    <row r="104" spans="1:7" x14ac:dyDescent="0.25">
      <c r="A104" s="8">
        <v>42927.455590277779</v>
      </c>
      <c r="B104" s="20" t="s">
        <v>573</v>
      </c>
      <c r="C104" s="20" t="s">
        <v>703</v>
      </c>
      <c r="D104" s="138">
        <v>2560000</v>
      </c>
      <c r="E104" s="20" t="s">
        <v>533</v>
      </c>
      <c r="F104" s="20" t="s">
        <v>361</v>
      </c>
      <c r="G104" s="8" t="str">
        <f t="shared" si="1"/>
        <v>MACDONALD THOMAS</v>
      </c>
    </row>
    <row r="105" spans="1:7" x14ac:dyDescent="0.25">
      <c r="A105" s="8">
        <v>42927.456944444442</v>
      </c>
      <c r="B105" s="20" t="s">
        <v>436</v>
      </c>
      <c r="C105" s="20" t="s">
        <v>704</v>
      </c>
      <c r="D105" s="138">
        <v>2600000</v>
      </c>
      <c r="E105" s="20" t="s">
        <v>531</v>
      </c>
      <c r="F105" s="20" t="s">
        <v>532</v>
      </c>
      <c r="G105" s="8" t="str">
        <f t="shared" si="1"/>
        <v>DAVIDSON DAVID</v>
      </c>
    </row>
    <row r="106" spans="1:7" x14ac:dyDescent="0.25">
      <c r="A106" s="8">
        <v>42927.46471064815</v>
      </c>
      <c r="B106" s="20" t="s">
        <v>512</v>
      </c>
      <c r="C106" s="20" t="s">
        <v>705</v>
      </c>
      <c r="D106" s="138">
        <v>1540000</v>
      </c>
      <c r="E106" s="20" t="s">
        <v>636</v>
      </c>
      <c r="F106" s="20" t="s">
        <v>637</v>
      </c>
      <c r="G106" s="8" t="str">
        <f t="shared" si="1"/>
        <v>HELVIE ADAM</v>
      </c>
    </row>
    <row r="107" spans="1:7" x14ac:dyDescent="0.25">
      <c r="A107" s="8">
        <v>42927.466747685183</v>
      </c>
      <c r="B107" s="20" t="s">
        <v>526</v>
      </c>
      <c r="C107" s="20" t="s">
        <v>582</v>
      </c>
      <c r="D107" s="138">
        <v>890000</v>
      </c>
      <c r="E107" s="20" t="s">
        <v>640</v>
      </c>
      <c r="F107" s="20" t="s">
        <v>641</v>
      </c>
      <c r="G107" s="8" t="str">
        <f t="shared" si="1"/>
        <v>LOZA FIDEL</v>
      </c>
    </row>
    <row r="108" spans="1:7" x14ac:dyDescent="0.25">
      <c r="A108" s="8">
        <v>42927.467002314814</v>
      </c>
      <c r="B108" s="20" t="s">
        <v>529</v>
      </c>
      <c r="C108" s="20" t="s">
        <v>706</v>
      </c>
      <c r="D108" s="138">
        <v>2730000</v>
      </c>
      <c r="E108" s="20" t="s">
        <v>430</v>
      </c>
      <c r="F108" s="20" t="s">
        <v>431</v>
      </c>
      <c r="G108" s="8" t="str">
        <f t="shared" si="1"/>
        <v>YANG JAN</v>
      </c>
    </row>
    <row r="109" spans="1:7" x14ac:dyDescent="0.25">
      <c r="A109" s="8">
        <v>42927.467152777775</v>
      </c>
      <c r="B109" s="20" t="s">
        <v>336</v>
      </c>
      <c r="C109" s="20" t="s">
        <v>707</v>
      </c>
      <c r="D109" s="138">
        <v>880000</v>
      </c>
      <c r="E109" s="20" t="s">
        <v>708</v>
      </c>
      <c r="F109" s="20" t="s">
        <v>192</v>
      </c>
      <c r="G109" s="8" t="str">
        <f t="shared" si="1"/>
        <v>STEWART MICHAEL</v>
      </c>
    </row>
    <row r="110" spans="1:7" x14ac:dyDescent="0.25">
      <c r="A110" s="8">
        <v>42927.476817129631</v>
      </c>
      <c r="B110" s="20" t="s">
        <v>353</v>
      </c>
      <c r="C110" s="20" t="s">
        <v>709</v>
      </c>
      <c r="D110" s="138">
        <v>3190000</v>
      </c>
      <c r="E110" s="20" t="s">
        <v>710</v>
      </c>
      <c r="F110" s="20" t="s">
        <v>665</v>
      </c>
      <c r="G110" s="8" t="str">
        <f t="shared" si="1"/>
        <v>HART KEVIN</v>
      </c>
    </row>
    <row r="111" spans="1:7" x14ac:dyDescent="0.25">
      <c r="A111" s="8">
        <v>42927.478587962964</v>
      </c>
      <c r="B111" s="20" t="s">
        <v>499</v>
      </c>
      <c r="C111" s="20" t="s">
        <v>581</v>
      </c>
      <c r="D111" s="138">
        <v>2010000</v>
      </c>
      <c r="E111" s="20" t="s">
        <v>527</v>
      </c>
      <c r="F111" s="20" t="s">
        <v>528</v>
      </c>
      <c r="G111" s="8" t="str">
        <f t="shared" si="1"/>
        <v>MAELZER KURT</v>
      </c>
    </row>
    <row r="112" spans="1:7" x14ac:dyDescent="0.25">
      <c r="A112" s="8">
        <v>42927.484201388892</v>
      </c>
      <c r="B112" s="20" t="s">
        <v>522</v>
      </c>
      <c r="C112" s="20" t="s">
        <v>711</v>
      </c>
      <c r="D112" s="138">
        <v>2730000</v>
      </c>
      <c r="E112" s="20" t="s">
        <v>430</v>
      </c>
      <c r="F112" s="20" t="s">
        <v>431</v>
      </c>
      <c r="G112" s="8" t="str">
        <f t="shared" si="1"/>
        <v>YANG JAN</v>
      </c>
    </row>
    <row r="113" spans="1:7" x14ac:dyDescent="0.25">
      <c r="A113" s="8">
        <v>42927.485324074078</v>
      </c>
      <c r="B113" s="20" t="s">
        <v>502</v>
      </c>
      <c r="C113" s="20" t="s">
        <v>712</v>
      </c>
      <c r="D113" s="138">
        <v>1300000</v>
      </c>
      <c r="E113" s="20" t="s">
        <v>713</v>
      </c>
      <c r="F113" s="20" t="s">
        <v>714</v>
      </c>
      <c r="G113" s="8" t="str">
        <f t="shared" si="1"/>
        <v>LEVIN SCOTT</v>
      </c>
    </row>
    <row r="114" spans="1:7" x14ac:dyDescent="0.25">
      <c r="A114" s="8">
        <v>42927.485613425924</v>
      </c>
      <c r="B114" s="20" t="s">
        <v>426</v>
      </c>
      <c r="C114" s="20" t="s">
        <v>715</v>
      </c>
      <c r="D114" s="138">
        <v>920000</v>
      </c>
      <c r="E114" s="20" t="s">
        <v>386</v>
      </c>
      <c r="F114" s="20" t="s">
        <v>192</v>
      </c>
      <c r="G114" s="8" t="str">
        <f t="shared" si="1"/>
        <v>DAVIS MICHAEL</v>
      </c>
    </row>
    <row r="115" spans="1:7" x14ac:dyDescent="0.25">
      <c r="A115" s="8">
        <v>42927.486921296295</v>
      </c>
      <c r="B115" s="20" t="s">
        <v>435</v>
      </c>
      <c r="C115" s="20" t="s">
        <v>716</v>
      </c>
      <c r="D115" s="138">
        <v>2600000</v>
      </c>
      <c r="E115" s="20" t="s">
        <v>531</v>
      </c>
      <c r="F115" s="20" t="s">
        <v>532</v>
      </c>
      <c r="G115" s="8" t="str">
        <f t="shared" si="1"/>
        <v>DAVIDSON DAVID</v>
      </c>
    </row>
    <row r="116" spans="1:7" x14ac:dyDescent="0.25">
      <c r="A116" s="8">
        <v>42927.491782407407</v>
      </c>
      <c r="B116" s="20" t="s">
        <v>337</v>
      </c>
      <c r="C116" s="20" t="s">
        <v>717</v>
      </c>
      <c r="D116" s="138">
        <v>2040000</v>
      </c>
      <c r="E116" s="20" t="s">
        <v>451</v>
      </c>
      <c r="F116" s="20" t="s">
        <v>452</v>
      </c>
      <c r="G116" s="8" t="str">
        <f t="shared" si="1"/>
        <v>MOSES BRADLEY</v>
      </c>
    </row>
    <row r="117" spans="1:7" x14ac:dyDescent="0.25">
      <c r="A117" s="8">
        <v>42927.492476851854</v>
      </c>
      <c r="B117" s="20" t="s">
        <v>337</v>
      </c>
      <c r="C117" s="20" t="s">
        <v>717</v>
      </c>
      <c r="D117" s="138">
        <v>2040000</v>
      </c>
      <c r="E117" s="20" t="s">
        <v>451</v>
      </c>
      <c r="F117" s="20" t="s">
        <v>452</v>
      </c>
      <c r="G117" s="8" t="str">
        <f t="shared" si="1"/>
        <v>MOSES BRADLEY</v>
      </c>
    </row>
    <row r="118" spans="1:7" x14ac:dyDescent="0.25">
      <c r="A118" s="8">
        <v>42927.493402777778</v>
      </c>
      <c r="B118" s="20" t="s">
        <v>337</v>
      </c>
      <c r="C118" s="20" t="s">
        <v>717</v>
      </c>
      <c r="D118" s="138">
        <v>2040000</v>
      </c>
      <c r="E118" s="20" t="s">
        <v>451</v>
      </c>
      <c r="F118" s="20" t="s">
        <v>452</v>
      </c>
      <c r="G118" s="8" t="str">
        <f t="shared" si="1"/>
        <v>MOSES BRADLEY</v>
      </c>
    </row>
    <row r="119" spans="1:7" x14ac:dyDescent="0.25">
      <c r="A119" s="8">
        <v>42927.49827546296</v>
      </c>
      <c r="B119" s="20" t="s">
        <v>615</v>
      </c>
      <c r="C119" s="20" t="s">
        <v>717</v>
      </c>
      <c r="D119" s="138">
        <v>2040000</v>
      </c>
      <c r="E119" s="20" t="s">
        <v>451</v>
      </c>
      <c r="F119" s="20" t="s">
        <v>452</v>
      </c>
      <c r="G119" s="8" t="str">
        <f t="shared" si="1"/>
        <v>MOSES BRADLEY</v>
      </c>
    </row>
    <row r="120" spans="1:7" x14ac:dyDescent="0.25">
      <c r="A120" s="8">
        <v>42927.498912037037</v>
      </c>
      <c r="B120" s="20" t="s">
        <v>530</v>
      </c>
      <c r="C120" s="20" t="s">
        <v>584</v>
      </c>
      <c r="D120" s="138">
        <v>3320000</v>
      </c>
      <c r="E120" s="20" t="s">
        <v>506</v>
      </c>
      <c r="F120" s="20" t="s">
        <v>507</v>
      </c>
      <c r="G120" s="8" t="str">
        <f t="shared" si="1"/>
        <v>NICHOLSON WESLEY</v>
      </c>
    </row>
    <row r="121" spans="1:7" x14ac:dyDescent="0.25">
      <c r="A121" s="8">
        <v>42927.499178240738</v>
      </c>
      <c r="B121" s="20" t="s">
        <v>615</v>
      </c>
      <c r="C121" s="20" t="s">
        <v>717</v>
      </c>
      <c r="D121" s="138">
        <v>2040000</v>
      </c>
      <c r="E121" s="20" t="s">
        <v>451</v>
      </c>
      <c r="F121" s="20" t="s">
        <v>452</v>
      </c>
      <c r="G121" s="8" t="str">
        <f t="shared" si="1"/>
        <v>MOSES BRADLEY</v>
      </c>
    </row>
    <row r="122" spans="1:7" x14ac:dyDescent="0.25">
      <c r="A122" s="8">
        <v>42927.503368055557</v>
      </c>
      <c r="B122" s="25" t="s">
        <v>503</v>
      </c>
      <c r="C122" s="20" t="s">
        <v>583</v>
      </c>
      <c r="D122" s="138">
        <v>3200000</v>
      </c>
      <c r="E122" s="20" t="s">
        <v>664</v>
      </c>
      <c r="F122" s="20" t="s">
        <v>665</v>
      </c>
      <c r="G122" s="8" t="str">
        <f t="shared" si="1"/>
        <v>MILLER KEVIN</v>
      </c>
    </row>
    <row r="123" spans="1:7" x14ac:dyDescent="0.25">
      <c r="A123" s="8">
        <v>42927.507696759261</v>
      </c>
      <c r="B123" s="20" t="s">
        <v>459</v>
      </c>
      <c r="C123" s="20" t="s">
        <v>718</v>
      </c>
      <c r="D123" s="138">
        <v>3190000</v>
      </c>
      <c r="E123" s="20" t="s">
        <v>710</v>
      </c>
      <c r="F123" s="20" t="s">
        <v>665</v>
      </c>
      <c r="G123" s="8" t="str">
        <f t="shared" si="1"/>
        <v>HART KEVIN</v>
      </c>
    </row>
    <row r="124" spans="1:7" x14ac:dyDescent="0.25">
      <c r="A124" s="8">
        <v>42927.507708333331</v>
      </c>
      <c r="B124" s="20" t="s">
        <v>501</v>
      </c>
      <c r="C124" s="20" t="s">
        <v>719</v>
      </c>
      <c r="D124" s="138">
        <v>2540000</v>
      </c>
      <c r="E124" s="20" t="s">
        <v>536</v>
      </c>
      <c r="F124" s="20" t="s">
        <v>537</v>
      </c>
      <c r="G124" s="8" t="str">
        <f t="shared" si="1"/>
        <v>MCREYNOLDS KYLE</v>
      </c>
    </row>
    <row r="125" spans="1:7" x14ac:dyDescent="0.25">
      <c r="A125" s="8">
        <v>42927.508240740739</v>
      </c>
      <c r="B125" s="20" t="s">
        <v>337</v>
      </c>
      <c r="C125" s="20" t="s">
        <v>720</v>
      </c>
      <c r="D125" s="138">
        <v>3120000</v>
      </c>
      <c r="E125" s="20" t="s">
        <v>534</v>
      </c>
      <c r="F125" s="20" t="s">
        <v>535</v>
      </c>
      <c r="G125" s="8" t="str">
        <f t="shared" si="1"/>
        <v>THOMPSON LESTER</v>
      </c>
    </row>
    <row r="126" spans="1:7" x14ac:dyDescent="0.25">
      <c r="A126" s="8">
        <v>42927.508842592593</v>
      </c>
      <c r="B126" s="20" t="s">
        <v>529</v>
      </c>
      <c r="C126" s="20" t="s">
        <v>721</v>
      </c>
      <c r="D126" s="138">
        <v>2730000</v>
      </c>
      <c r="E126" s="20" t="s">
        <v>430</v>
      </c>
      <c r="F126" s="20" t="s">
        <v>431</v>
      </c>
      <c r="G126" s="8" t="str">
        <f t="shared" si="1"/>
        <v>YANG JAN</v>
      </c>
    </row>
    <row r="127" spans="1:7" x14ac:dyDescent="0.25">
      <c r="A127" s="8">
        <v>42927.520543981482</v>
      </c>
      <c r="B127" s="20" t="s">
        <v>383</v>
      </c>
      <c r="C127" s="20" t="s">
        <v>722</v>
      </c>
      <c r="D127" s="138">
        <v>920000</v>
      </c>
      <c r="E127" s="20" t="s">
        <v>386</v>
      </c>
      <c r="F127" s="20" t="s">
        <v>192</v>
      </c>
      <c r="G127" s="8" t="str">
        <f t="shared" si="1"/>
        <v>DAVIS MICHAEL</v>
      </c>
    </row>
    <row r="128" spans="1:7" x14ac:dyDescent="0.25">
      <c r="A128" s="8">
        <v>42927.526238425926</v>
      </c>
      <c r="B128" s="20" t="s">
        <v>522</v>
      </c>
      <c r="C128" s="20" t="s">
        <v>723</v>
      </c>
      <c r="D128" s="138">
        <v>2730000</v>
      </c>
      <c r="E128" s="20" t="s">
        <v>430</v>
      </c>
      <c r="F128" s="20" t="s">
        <v>431</v>
      </c>
      <c r="G128" s="8" t="str">
        <f t="shared" si="1"/>
        <v>YANG JAN</v>
      </c>
    </row>
    <row r="129" spans="1:7" x14ac:dyDescent="0.25">
      <c r="A129" s="8">
        <v>42927.527280092596</v>
      </c>
      <c r="B129" s="20" t="s">
        <v>573</v>
      </c>
      <c r="C129" s="20" t="s">
        <v>724</v>
      </c>
      <c r="D129" s="138">
        <v>1300000</v>
      </c>
      <c r="E129" s="20" t="s">
        <v>713</v>
      </c>
      <c r="F129" s="20" t="s">
        <v>714</v>
      </c>
      <c r="G129" s="8" t="str">
        <f t="shared" si="1"/>
        <v>LEVIN SCOTT</v>
      </c>
    </row>
    <row r="130" spans="1:7" x14ac:dyDescent="0.25">
      <c r="A130" s="8">
        <v>42927.530138888891</v>
      </c>
      <c r="B130" s="20" t="s">
        <v>436</v>
      </c>
      <c r="C130" s="20" t="s">
        <v>725</v>
      </c>
      <c r="D130" s="138">
        <v>2540000</v>
      </c>
      <c r="E130" s="20" t="s">
        <v>536</v>
      </c>
      <c r="F130" s="20" t="s">
        <v>537</v>
      </c>
      <c r="G130" s="8" t="str">
        <f t="shared" si="1"/>
        <v>MCREYNOLDS KYLE</v>
      </c>
    </row>
    <row r="131" spans="1:7" x14ac:dyDescent="0.25">
      <c r="A131" s="8">
        <v>42927.533888888887</v>
      </c>
      <c r="B131" s="20" t="s">
        <v>499</v>
      </c>
      <c r="C131" s="20" t="s">
        <v>726</v>
      </c>
      <c r="D131" s="138">
        <v>3310000</v>
      </c>
      <c r="E131" s="20" t="s">
        <v>645</v>
      </c>
      <c r="F131" s="20" t="s">
        <v>646</v>
      </c>
      <c r="G131" s="8" t="str">
        <f t="shared" ref="G131:G194" si="2">E131&amp;" "&amp;F131</f>
        <v>ANDERS STEVEN</v>
      </c>
    </row>
    <row r="132" spans="1:7" x14ac:dyDescent="0.25">
      <c r="A132" s="8">
        <v>42927.536446759259</v>
      </c>
      <c r="B132" s="20" t="s">
        <v>512</v>
      </c>
      <c r="C132" s="20" t="s">
        <v>727</v>
      </c>
      <c r="D132" s="138">
        <v>3320000</v>
      </c>
      <c r="E132" s="20" t="s">
        <v>506</v>
      </c>
      <c r="F132" s="20" t="s">
        <v>507</v>
      </c>
      <c r="G132" s="8" t="str">
        <f t="shared" si="2"/>
        <v>NICHOLSON WESLEY</v>
      </c>
    </row>
    <row r="133" spans="1:7" x14ac:dyDescent="0.25">
      <c r="A133" s="8">
        <v>42927.537430555552</v>
      </c>
      <c r="B133" s="20" t="s">
        <v>523</v>
      </c>
      <c r="C133" s="20" t="s">
        <v>726</v>
      </c>
      <c r="D133" s="138">
        <v>3310000</v>
      </c>
      <c r="E133" s="20" t="s">
        <v>645</v>
      </c>
      <c r="F133" s="20" t="s">
        <v>646</v>
      </c>
      <c r="G133" s="8" t="str">
        <f t="shared" si="2"/>
        <v>ANDERS STEVEN</v>
      </c>
    </row>
    <row r="134" spans="1:7" x14ac:dyDescent="0.25">
      <c r="A134" s="8">
        <v>42927.542824074073</v>
      </c>
      <c r="B134" s="20" t="s">
        <v>336</v>
      </c>
      <c r="C134" s="20" t="s">
        <v>728</v>
      </c>
      <c r="D134" s="138">
        <v>880000</v>
      </c>
      <c r="E134" s="20" t="s">
        <v>708</v>
      </c>
      <c r="F134" s="20" t="s">
        <v>192</v>
      </c>
      <c r="G134" s="8" t="str">
        <f t="shared" si="2"/>
        <v>STEWART MICHAEL</v>
      </c>
    </row>
    <row r="135" spans="1:7" x14ac:dyDescent="0.25">
      <c r="A135" s="8">
        <v>42927.548437500001</v>
      </c>
      <c r="B135" s="20" t="s">
        <v>615</v>
      </c>
      <c r="C135" s="20" t="s">
        <v>729</v>
      </c>
      <c r="D135" s="138">
        <v>3120000</v>
      </c>
      <c r="E135" s="20" t="s">
        <v>534</v>
      </c>
      <c r="F135" s="20" t="s">
        <v>535</v>
      </c>
      <c r="G135" s="8" t="str">
        <f t="shared" si="2"/>
        <v>THOMPSON LESTER</v>
      </c>
    </row>
    <row r="136" spans="1:7" x14ac:dyDescent="0.25">
      <c r="A136" s="8">
        <v>42927.549247685187</v>
      </c>
      <c r="B136" s="20" t="s">
        <v>529</v>
      </c>
      <c r="C136" s="20" t="s">
        <v>730</v>
      </c>
      <c r="D136" s="138">
        <v>3290000</v>
      </c>
      <c r="E136" s="20" t="s">
        <v>731</v>
      </c>
      <c r="F136" s="20" t="s">
        <v>505</v>
      </c>
      <c r="G136" s="8" t="str">
        <f t="shared" si="2"/>
        <v>CASSIDY BRANDON</v>
      </c>
    </row>
    <row r="137" spans="1:7" x14ac:dyDescent="0.25">
      <c r="A137" s="8">
        <v>42927.550486111111</v>
      </c>
      <c r="B137" s="20" t="s">
        <v>353</v>
      </c>
      <c r="C137" s="20" t="s">
        <v>586</v>
      </c>
      <c r="D137" s="138">
        <v>3190000</v>
      </c>
      <c r="E137" s="20" t="s">
        <v>710</v>
      </c>
      <c r="F137" s="20" t="s">
        <v>665</v>
      </c>
      <c r="G137" s="8" t="str">
        <f t="shared" si="2"/>
        <v>HART KEVIN</v>
      </c>
    </row>
    <row r="138" spans="1:7" x14ac:dyDescent="0.25">
      <c r="A138" s="8">
        <v>42927.558854166666</v>
      </c>
      <c r="B138" s="20" t="s">
        <v>426</v>
      </c>
      <c r="C138" s="20" t="s">
        <v>585</v>
      </c>
      <c r="D138" s="138">
        <v>920000</v>
      </c>
      <c r="E138" s="20" t="s">
        <v>386</v>
      </c>
      <c r="F138" s="20" t="s">
        <v>192</v>
      </c>
      <c r="G138" s="8" t="str">
        <f t="shared" si="2"/>
        <v>DAVIS MICHAEL</v>
      </c>
    </row>
    <row r="139" spans="1:7" x14ac:dyDescent="0.25">
      <c r="A139" s="8">
        <v>42927.559317129628</v>
      </c>
      <c r="B139" s="20" t="s">
        <v>502</v>
      </c>
      <c r="C139" s="20" t="s">
        <v>587</v>
      </c>
      <c r="D139" s="138">
        <v>1300000</v>
      </c>
      <c r="E139" s="20" t="s">
        <v>713</v>
      </c>
      <c r="F139" s="20" t="s">
        <v>714</v>
      </c>
      <c r="G139" s="8" t="str">
        <f t="shared" si="2"/>
        <v>LEVIN SCOTT</v>
      </c>
    </row>
    <row r="140" spans="1:7" x14ac:dyDescent="0.25">
      <c r="A140" s="8">
        <v>42927.56517361111</v>
      </c>
      <c r="B140" s="20" t="s">
        <v>435</v>
      </c>
      <c r="C140" s="20" t="s">
        <v>732</v>
      </c>
      <c r="D140" s="138">
        <v>2540000</v>
      </c>
      <c r="E140" s="20" t="s">
        <v>536</v>
      </c>
      <c r="F140" s="20" t="s">
        <v>537</v>
      </c>
      <c r="G140" s="8" t="str">
        <f t="shared" si="2"/>
        <v>MCREYNOLDS KYLE</v>
      </c>
    </row>
    <row r="141" spans="1:7" x14ac:dyDescent="0.25">
      <c r="A141" s="8">
        <v>42927.569444444445</v>
      </c>
      <c r="B141" s="20" t="s">
        <v>522</v>
      </c>
      <c r="C141" s="20" t="s">
        <v>733</v>
      </c>
      <c r="D141" s="138">
        <v>3290000</v>
      </c>
      <c r="E141" s="20" t="s">
        <v>731</v>
      </c>
      <c r="F141" s="20" t="s">
        <v>505</v>
      </c>
      <c r="G141" s="8" t="str">
        <f t="shared" si="2"/>
        <v>CASSIDY BRANDON</v>
      </c>
    </row>
    <row r="142" spans="1:7" x14ac:dyDescent="0.25">
      <c r="A142" s="8">
        <v>42927.572395833333</v>
      </c>
      <c r="B142" s="20" t="s">
        <v>530</v>
      </c>
      <c r="C142" s="20" t="s">
        <v>734</v>
      </c>
      <c r="D142" s="138">
        <v>3320000</v>
      </c>
      <c r="E142" s="20" t="s">
        <v>506</v>
      </c>
      <c r="F142" s="20" t="s">
        <v>507</v>
      </c>
      <c r="G142" s="8" t="str">
        <f t="shared" si="2"/>
        <v>NICHOLSON WESLEY</v>
      </c>
    </row>
    <row r="143" spans="1:7" x14ac:dyDescent="0.25">
      <c r="A143" s="8">
        <v>42927.578356481485</v>
      </c>
      <c r="B143" s="20" t="s">
        <v>503</v>
      </c>
      <c r="C143" s="20" t="s">
        <v>735</v>
      </c>
      <c r="D143" s="138">
        <v>880000</v>
      </c>
      <c r="E143" s="20" t="s">
        <v>708</v>
      </c>
      <c r="F143" s="20" t="s">
        <v>192</v>
      </c>
      <c r="G143" s="8" t="str">
        <f t="shared" si="2"/>
        <v>STEWART MICHAEL</v>
      </c>
    </row>
    <row r="144" spans="1:7" x14ac:dyDescent="0.25">
      <c r="A144" s="8">
        <v>42927.582986111112</v>
      </c>
      <c r="B144" s="20" t="s">
        <v>337</v>
      </c>
      <c r="C144" s="20" t="s">
        <v>736</v>
      </c>
      <c r="D144" s="138">
        <v>3120000</v>
      </c>
      <c r="E144" s="20" t="s">
        <v>534</v>
      </c>
      <c r="F144" s="20" t="s">
        <v>535</v>
      </c>
      <c r="G144" s="8" t="str">
        <f t="shared" si="2"/>
        <v>THOMPSON LESTER</v>
      </c>
    </row>
    <row r="145" spans="1:7" x14ac:dyDescent="0.25">
      <c r="A145" s="8">
        <v>42927.589097222219</v>
      </c>
      <c r="B145" s="20" t="s">
        <v>459</v>
      </c>
      <c r="C145" s="20" t="s">
        <v>737</v>
      </c>
      <c r="D145" s="138">
        <v>3190000</v>
      </c>
      <c r="E145" s="20" t="s">
        <v>710</v>
      </c>
      <c r="F145" s="20" t="s">
        <v>665</v>
      </c>
      <c r="G145" s="8" t="str">
        <f t="shared" si="2"/>
        <v>HART KEVIN</v>
      </c>
    </row>
    <row r="146" spans="1:7" x14ac:dyDescent="0.25">
      <c r="A146" s="8">
        <v>42927.594942129632</v>
      </c>
      <c r="B146" s="20" t="s">
        <v>529</v>
      </c>
      <c r="C146" s="20" t="s">
        <v>588</v>
      </c>
      <c r="D146" s="138">
        <v>3290000</v>
      </c>
      <c r="E146" s="20" t="s">
        <v>731</v>
      </c>
      <c r="F146" s="20" t="s">
        <v>505</v>
      </c>
      <c r="G146" s="8" t="str">
        <f t="shared" si="2"/>
        <v>CASSIDY BRANDON</v>
      </c>
    </row>
    <row r="147" spans="1:7" x14ac:dyDescent="0.25">
      <c r="A147" s="8">
        <v>42927.595208333332</v>
      </c>
      <c r="B147" s="20" t="s">
        <v>383</v>
      </c>
      <c r="C147" s="20" t="s">
        <v>738</v>
      </c>
      <c r="D147" s="138">
        <v>920000</v>
      </c>
      <c r="E147" s="20" t="s">
        <v>386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42927.60056712963</v>
      </c>
      <c r="B148" s="20" t="s">
        <v>436</v>
      </c>
      <c r="C148" s="20" t="s">
        <v>739</v>
      </c>
      <c r="D148" s="138">
        <v>2540000</v>
      </c>
      <c r="E148" s="20" t="s">
        <v>536</v>
      </c>
      <c r="F148" s="20" t="s">
        <v>537</v>
      </c>
      <c r="G148" s="8" t="str">
        <f t="shared" si="2"/>
        <v>MCREYNOLDS KYLE</v>
      </c>
    </row>
    <row r="149" spans="1:7" x14ac:dyDescent="0.25">
      <c r="A149" s="8">
        <v>42927.600636574076</v>
      </c>
      <c r="B149" s="20" t="s">
        <v>573</v>
      </c>
      <c r="C149" s="20" t="s">
        <v>589</v>
      </c>
      <c r="D149" s="138">
        <v>1300000</v>
      </c>
      <c r="E149" s="20" t="s">
        <v>713</v>
      </c>
      <c r="F149" s="20" t="s">
        <v>714</v>
      </c>
      <c r="G149" s="8" t="str">
        <f t="shared" si="2"/>
        <v>LEVIN SCOTT</v>
      </c>
    </row>
    <row r="150" spans="1:7" x14ac:dyDescent="0.25">
      <c r="A150" s="8">
        <v>42927.608298611114</v>
      </c>
      <c r="B150" s="20" t="s">
        <v>512</v>
      </c>
      <c r="C150" s="20" t="s">
        <v>740</v>
      </c>
      <c r="D150" s="138">
        <v>3320000</v>
      </c>
      <c r="E150" s="20" t="s">
        <v>506</v>
      </c>
      <c r="F150" s="20" t="s">
        <v>507</v>
      </c>
      <c r="G150" s="8" t="str">
        <f t="shared" si="2"/>
        <v>NICHOLSON WESLEY</v>
      </c>
    </row>
    <row r="151" spans="1:7" x14ac:dyDescent="0.25">
      <c r="A151" s="8">
        <v>42927.610949074071</v>
      </c>
      <c r="B151" s="20" t="s">
        <v>522</v>
      </c>
      <c r="C151" s="20" t="s">
        <v>741</v>
      </c>
      <c r="D151" s="138">
        <v>3290000</v>
      </c>
      <c r="E151" s="20" t="s">
        <v>731</v>
      </c>
      <c r="F151" s="20" t="s">
        <v>505</v>
      </c>
      <c r="G151" s="8" t="str">
        <f t="shared" si="2"/>
        <v>CASSIDY BRANDON</v>
      </c>
    </row>
    <row r="152" spans="1:7" x14ac:dyDescent="0.25">
      <c r="A152" s="8">
        <v>42927.612905092596</v>
      </c>
      <c r="B152" s="20" t="s">
        <v>336</v>
      </c>
      <c r="C152" s="20" t="s">
        <v>590</v>
      </c>
      <c r="D152" s="138">
        <v>880000</v>
      </c>
      <c r="E152" s="20" t="s">
        <v>708</v>
      </c>
      <c r="F152" s="20" t="s">
        <v>192</v>
      </c>
      <c r="G152" s="8" t="str">
        <f t="shared" si="2"/>
        <v>STEWART MICHAEL</v>
      </c>
    </row>
    <row r="153" spans="1:7" x14ac:dyDescent="0.25">
      <c r="A153" s="8">
        <v>42927.62159722222</v>
      </c>
      <c r="B153" s="20" t="s">
        <v>353</v>
      </c>
      <c r="C153" s="20" t="s">
        <v>742</v>
      </c>
      <c r="D153" s="138">
        <v>3190000</v>
      </c>
      <c r="E153" s="20" t="s">
        <v>710</v>
      </c>
      <c r="F153" s="20" t="s">
        <v>665</v>
      </c>
      <c r="G153" s="8" t="str">
        <f t="shared" si="2"/>
        <v>HART KEVIN</v>
      </c>
    </row>
    <row r="154" spans="1:7" x14ac:dyDescent="0.25">
      <c r="A154" s="8">
        <v>42927.622094907405</v>
      </c>
      <c r="B154" s="20" t="s">
        <v>615</v>
      </c>
      <c r="C154" s="20" t="s">
        <v>743</v>
      </c>
      <c r="D154" s="138">
        <v>3120000</v>
      </c>
      <c r="E154" s="20" t="s">
        <v>534</v>
      </c>
      <c r="F154" s="20" t="s">
        <v>535</v>
      </c>
      <c r="G154" s="8" t="str">
        <f t="shared" si="2"/>
        <v>THOMPSON LESTER</v>
      </c>
    </row>
    <row r="155" spans="1:7" x14ac:dyDescent="0.25">
      <c r="A155" s="8">
        <v>42927.632141203707</v>
      </c>
      <c r="B155" s="20" t="s">
        <v>426</v>
      </c>
      <c r="C155" s="20" t="s">
        <v>594</v>
      </c>
      <c r="D155" s="138">
        <v>920000</v>
      </c>
      <c r="E155" s="20" t="s">
        <v>386</v>
      </c>
      <c r="F155" s="20" t="s">
        <v>192</v>
      </c>
      <c r="G155" s="8" t="str">
        <f t="shared" si="2"/>
        <v>DAVIS MICHAEL</v>
      </c>
    </row>
    <row r="156" spans="1:7" x14ac:dyDescent="0.25">
      <c r="A156" s="8">
        <v>42927.633287037039</v>
      </c>
      <c r="B156" s="20" t="s">
        <v>502</v>
      </c>
      <c r="C156" s="20" t="s">
        <v>593</v>
      </c>
      <c r="D156" s="138">
        <v>1300000</v>
      </c>
      <c r="E156" s="20" t="s">
        <v>713</v>
      </c>
      <c r="F156" s="20" t="s">
        <v>714</v>
      </c>
      <c r="G156" s="8" t="str">
        <f t="shared" si="2"/>
        <v>LEVIN SCOTT</v>
      </c>
    </row>
    <row r="157" spans="1:7" x14ac:dyDescent="0.25">
      <c r="A157" s="8">
        <v>42927.637002314812</v>
      </c>
      <c r="B157" s="20" t="s">
        <v>529</v>
      </c>
      <c r="C157" s="20" t="s">
        <v>744</v>
      </c>
      <c r="D157" s="138">
        <v>3290000</v>
      </c>
      <c r="E157" s="20" t="s">
        <v>731</v>
      </c>
      <c r="F157" s="20" t="s">
        <v>505</v>
      </c>
      <c r="G157" s="8" t="str">
        <f t="shared" si="2"/>
        <v>CASSIDY BRANDON</v>
      </c>
    </row>
    <row r="158" spans="1:7" x14ac:dyDescent="0.25">
      <c r="A158" s="8">
        <v>42927.637627314813</v>
      </c>
      <c r="B158" s="20" t="s">
        <v>462</v>
      </c>
      <c r="C158" s="20" t="s">
        <v>745</v>
      </c>
      <c r="D158" s="138">
        <v>3340000</v>
      </c>
      <c r="E158" s="20" t="s">
        <v>510</v>
      </c>
      <c r="F158" s="20" t="s">
        <v>511</v>
      </c>
      <c r="G158" s="8" t="str">
        <f t="shared" si="2"/>
        <v>ELBAUM MIKE</v>
      </c>
    </row>
    <row r="159" spans="1:7" x14ac:dyDescent="0.25">
      <c r="A159" s="8">
        <v>42927.638483796298</v>
      </c>
      <c r="B159" s="20" t="s">
        <v>462</v>
      </c>
      <c r="C159" s="20" t="s">
        <v>745</v>
      </c>
      <c r="D159" s="138">
        <v>3340000</v>
      </c>
      <c r="E159" s="20" t="s">
        <v>510</v>
      </c>
      <c r="F159" s="20" t="s">
        <v>511</v>
      </c>
      <c r="G159" s="8" t="str">
        <f t="shared" si="2"/>
        <v>ELBAUM MIKE</v>
      </c>
    </row>
    <row r="160" spans="1:7" x14ac:dyDescent="0.25">
      <c r="A160" s="8">
        <v>42927.638784722221</v>
      </c>
      <c r="B160" s="20" t="s">
        <v>435</v>
      </c>
      <c r="C160" s="20" t="s">
        <v>746</v>
      </c>
      <c r="D160" s="138">
        <v>2540000</v>
      </c>
      <c r="E160" s="20" t="s">
        <v>536</v>
      </c>
      <c r="F160" s="20" t="s">
        <v>537</v>
      </c>
      <c r="G160" s="8" t="str">
        <f t="shared" si="2"/>
        <v>MCREYNOLDS KYLE</v>
      </c>
    </row>
    <row r="161" spans="1:7" x14ac:dyDescent="0.25">
      <c r="A161" s="8">
        <v>42927.643622685187</v>
      </c>
      <c r="B161" s="20" t="s">
        <v>396</v>
      </c>
      <c r="C161" s="20" t="s">
        <v>747</v>
      </c>
      <c r="D161" s="138">
        <v>1800000</v>
      </c>
      <c r="E161" s="20" t="s">
        <v>748</v>
      </c>
      <c r="F161" s="20" t="s">
        <v>749</v>
      </c>
      <c r="G161" s="8" t="str">
        <f t="shared" si="2"/>
        <v>CHANDLER KELVIN</v>
      </c>
    </row>
    <row r="162" spans="1:7" x14ac:dyDescent="0.25">
      <c r="A162" s="8">
        <v>42927.64466435185</v>
      </c>
      <c r="B162" s="20" t="s">
        <v>530</v>
      </c>
      <c r="C162" s="20" t="s">
        <v>750</v>
      </c>
      <c r="D162" s="138">
        <v>3320000</v>
      </c>
      <c r="E162" s="20" t="s">
        <v>506</v>
      </c>
      <c r="F162" s="20" t="s">
        <v>507</v>
      </c>
      <c r="G162" s="8" t="str">
        <f t="shared" si="2"/>
        <v>NICHOLSON WESLEY</v>
      </c>
    </row>
    <row r="163" spans="1:7" x14ac:dyDescent="0.25">
      <c r="A163" s="8">
        <v>42927.647951388892</v>
      </c>
      <c r="B163" s="20" t="s">
        <v>395</v>
      </c>
      <c r="C163" s="20" t="s">
        <v>747</v>
      </c>
      <c r="D163" s="138">
        <v>1800000</v>
      </c>
      <c r="E163" s="20" t="s">
        <v>748</v>
      </c>
      <c r="F163" s="20" t="s">
        <v>749</v>
      </c>
      <c r="G163" s="8" t="str">
        <f t="shared" si="2"/>
        <v>CHANDLER KELVIN</v>
      </c>
    </row>
    <row r="164" spans="1:7" x14ac:dyDescent="0.25">
      <c r="A164" s="8">
        <v>42927.6484837963</v>
      </c>
      <c r="B164" s="20" t="s">
        <v>461</v>
      </c>
      <c r="C164" s="20" t="s">
        <v>592</v>
      </c>
      <c r="D164" s="138">
        <v>3340000</v>
      </c>
      <c r="E164" s="20" t="s">
        <v>510</v>
      </c>
      <c r="F164" s="20" t="s">
        <v>511</v>
      </c>
      <c r="G164" s="8" t="str">
        <f t="shared" si="2"/>
        <v>ELBAUM MIKE</v>
      </c>
    </row>
    <row r="165" spans="1:7" x14ac:dyDescent="0.25">
      <c r="A165" s="8">
        <v>42927.649074074077</v>
      </c>
      <c r="B165" s="20" t="s">
        <v>426</v>
      </c>
      <c r="C165" s="20" t="s">
        <v>594</v>
      </c>
      <c r="D165" s="138">
        <v>920000</v>
      </c>
      <c r="E165" s="20" t="s">
        <v>386</v>
      </c>
      <c r="F165" s="20" t="s">
        <v>192</v>
      </c>
      <c r="G165" s="8" t="str">
        <f t="shared" si="2"/>
        <v>DAVIS MICHAEL</v>
      </c>
    </row>
    <row r="166" spans="1:7" x14ac:dyDescent="0.25">
      <c r="A166" s="8">
        <v>42927.651898148149</v>
      </c>
      <c r="B166" s="20" t="s">
        <v>503</v>
      </c>
      <c r="C166" s="20" t="s">
        <v>595</v>
      </c>
      <c r="D166" s="138">
        <v>880000</v>
      </c>
      <c r="E166" s="20" t="s">
        <v>708</v>
      </c>
      <c r="F166" s="20" t="s">
        <v>192</v>
      </c>
      <c r="G166" s="8" t="str">
        <f t="shared" si="2"/>
        <v>STEWART MICHAEL</v>
      </c>
    </row>
    <row r="167" spans="1:7" x14ac:dyDescent="0.25">
      <c r="A167" s="8">
        <v>42927.652557870373</v>
      </c>
      <c r="B167" s="20" t="s">
        <v>522</v>
      </c>
      <c r="C167" s="20" t="s">
        <v>591</v>
      </c>
      <c r="D167" s="138">
        <v>3290000</v>
      </c>
      <c r="E167" s="20" t="s">
        <v>731</v>
      </c>
      <c r="F167" s="20" t="s">
        <v>505</v>
      </c>
      <c r="G167" s="8" t="str">
        <f t="shared" si="2"/>
        <v>CASSIDY BRANDON</v>
      </c>
    </row>
    <row r="168" spans="1:7" x14ac:dyDescent="0.25">
      <c r="A168" s="8">
        <v>42927.655787037038</v>
      </c>
      <c r="B168" s="20" t="s">
        <v>337</v>
      </c>
      <c r="C168" s="20" t="s">
        <v>751</v>
      </c>
      <c r="D168" s="138">
        <v>3120000</v>
      </c>
      <c r="E168" s="20" t="s">
        <v>534</v>
      </c>
      <c r="F168" s="20" t="s">
        <v>535</v>
      </c>
      <c r="G168" s="8" t="str">
        <f t="shared" si="2"/>
        <v>THOMPSON LESTER</v>
      </c>
    </row>
    <row r="169" spans="1:7" x14ac:dyDescent="0.25">
      <c r="A169" s="8">
        <v>42927.661504629628</v>
      </c>
      <c r="B169" s="20" t="s">
        <v>396</v>
      </c>
      <c r="C169" s="20" t="s">
        <v>752</v>
      </c>
      <c r="D169" s="138">
        <v>1800000</v>
      </c>
      <c r="E169" s="20" t="s">
        <v>748</v>
      </c>
      <c r="F169" s="20" t="s">
        <v>749</v>
      </c>
      <c r="G169" s="8" t="str">
        <f t="shared" si="2"/>
        <v>CHANDLER KELVIN</v>
      </c>
    </row>
    <row r="170" spans="1:7" x14ac:dyDescent="0.25">
      <c r="A170" s="8">
        <v>42927.662037037036</v>
      </c>
      <c r="B170" s="20" t="s">
        <v>459</v>
      </c>
      <c r="C170" s="20" t="s">
        <v>753</v>
      </c>
      <c r="D170" s="138">
        <v>3190000</v>
      </c>
      <c r="E170" s="20" t="s">
        <v>710</v>
      </c>
      <c r="F170" s="20" t="s">
        <v>665</v>
      </c>
      <c r="G170" s="8" t="str">
        <f t="shared" si="2"/>
        <v>HART KEVIN</v>
      </c>
    </row>
    <row r="171" spans="1:7" x14ac:dyDescent="0.25">
      <c r="A171" s="8">
        <v>42927.670729166668</v>
      </c>
      <c r="B171" s="20" t="s">
        <v>573</v>
      </c>
      <c r="C171" s="20" t="s">
        <v>597</v>
      </c>
      <c r="D171" s="138">
        <v>1300000</v>
      </c>
      <c r="E171" s="20" t="s">
        <v>713</v>
      </c>
      <c r="F171" s="20" t="s">
        <v>714</v>
      </c>
      <c r="G171" s="8" t="str">
        <f t="shared" si="2"/>
        <v>LEVIN SCOTT</v>
      </c>
    </row>
    <row r="172" spans="1:7" x14ac:dyDescent="0.25">
      <c r="A172" s="8">
        <v>42927.672361111108</v>
      </c>
      <c r="B172" s="20" t="s">
        <v>462</v>
      </c>
      <c r="C172" s="20" t="s">
        <v>596</v>
      </c>
      <c r="D172" s="138">
        <v>3340000</v>
      </c>
      <c r="E172" s="20" t="s">
        <v>510</v>
      </c>
      <c r="F172" s="20" t="s">
        <v>511</v>
      </c>
      <c r="G172" s="8" t="str">
        <f t="shared" si="2"/>
        <v>ELBAUM MIKE</v>
      </c>
    </row>
    <row r="173" spans="1:7" x14ac:dyDescent="0.25">
      <c r="A173" s="8">
        <v>42927.676215277781</v>
      </c>
      <c r="B173" s="20" t="s">
        <v>436</v>
      </c>
      <c r="C173" s="20" t="s">
        <v>754</v>
      </c>
      <c r="D173" s="138">
        <v>2540000</v>
      </c>
      <c r="E173" s="20" t="s">
        <v>536</v>
      </c>
      <c r="F173" s="20" t="s">
        <v>537</v>
      </c>
      <c r="G173" s="8" t="str">
        <f t="shared" si="2"/>
        <v>MCREYNOLDS KYLE</v>
      </c>
    </row>
    <row r="174" spans="1:7" x14ac:dyDescent="0.25">
      <c r="A174" s="8">
        <v>42927.677881944444</v>
      </c>
      <c r="B174" s="20" t="s">
        <v>529</v>
      </c>
      <c r="C174" s="20" t="s">
        <v>755</v>
      </c>
      <c r="D174" s="138">
        <v>3290000</v>
      </c>
      <c r="E174" s="20" t="s">
        <v>731</v>
      </c>
      <c r="F174" s="20" t="s">
        <v>505</v>
      </c>
      <c r="G174" s="8" t="str">
        <f t="shared" si="2"/>
        <v>CASSIDY BRANDON</v>
      </c>
    </row>
    <row r="175" spans="1:7" x14ac:dyDescent="0.25">
      <c r="A175" s="8">
        <v>42927.681203703702</v>
      </c>
      <c r="B175" s="20" t="s">
        <v>512</v>
      </c>
      <c r="C175" s="20" t="s">
        <v>756</v>
      </c>
      <c r="D175" s="138">
        <v>3320000</v>
      </c>
      <c r="E175" s="20" t="s">
        <v>506</v>
      </c>
      <c r="F175" s="20" t="s">
        <v>507</v>
      </c>
      <c r="G175" s="8" t="str">
        <f t="shared" si="2"/>
        <v>NICHOLSON WESLEY</v>
      </c>
    </row>
    <row r="176" spans="1:7" x14ac:dyDescent="0.25">
      <c r="A176" s="8">
        <v>42927.687337962961</v>
      </c>
      <c r="B176" s="20" t="s">
        <v>461</v>
      </c>
      <c r="C176" s="20" t="s">
        <v>757</v>
      </c>
      <c r="D176" s="138">
        <v>3340000</v>
      </c>
      <c r="E176" s="20" t="s">
        <v>510</v>
      </c>
      <c r="F176" s="20" t="s">
        <v>511</v>
      </c>
      <c r="G176" s="8" t="str">
        <f t="shared" si="2"/>
        <v>ELBAUM MIKE</v>
      </c>
    </row>
    <row r="177" spans="1:7" x14ac:dyDescent="0.25">
      <c r="A177" s="8">
        <v>42927.694050925929</v>
      </c>
      <c r="B177" s="20" t="s">
        <v>522</v>
      </c>
      <c r="C177" s="20" t="s">
        <v>758</v>
      </c>
      <c r="D177" s="138">
        <v>3290000</v>
      </c>
      <c r="E177" s="20" t="s">
        <v>731</v>
      </c>
      <c r="F177" s="20" t="s">
        <v>505</v>
      </c>
      <c r="G177" s="8" t="str">
        <f t="shared" si="2"/>
        <v>CASSIDY BRANDON</v>
      </c>
    </row>
    <row r="178" spans="1:7" x14ac:dyDescent="0.25">
      <c r="A178" s="8">
        <v>42927.694837962961</v>
      </c>
      <c r="B178" s="20" t="s">
        <v>353</v>
      </c>
      <c r="C178" s="20" t="s">
        <v>759</v>
      </c>
      <c r="D178" s="138">
        <v>3190000</v>
      </c>
      <c r="E178" s="20" t="s">
        <v>710</v>
      </c>
      <c r="F178" s="20" t="s">
        <v>665</v>
      </c>
      <c r="G178" s="8" t="str">
        <f t="shared" si="2"/>
        <v>HART KEVIN</v>
      </c>
    </row>
    <row r="179" spans="1:7" x14ac:dyDescent="0.25">
      <c r="A179" s="8">
        <v>42927.69494212963</v>
      </c>
      <c r="B179" s="20" t="s">
        <v>615</v>
      </c>
      <c r="C179" s="20" t="s">
        <v>760</v>
      </c>
      <c r="D179" s="138">
        <v>3120000</v>
      </c>
      <c r="E179" s="20" t="s">
        <v>534</v>
      </c>
      <c r="F179" s="20" t="s">
        <v>535</v>
      </c>
      <c r="G179" s="8" t="str">
        <f t="shared" si="2"/>
        <v>THOMPSON LESTER</v>
      </c>
    </row>
    <row r="180" spans="1:7" x14ac:dyDescent="0.25">
      <c r="A180" s="8">
        <v>42927.697442129633</v>
      </c>
      <c r="B180" s="20" t="s">
        <v>336</v>
      </c>
      <c r="C180" s="20" t="s">
        <v>761</v>
      </c>
      <c r="D180" s="138">
        <v>880000</v>
      </c>
      <c r="E180" s="20" t="s">
        <v>708</v>
      </c>
      <c r="F180" s="20" t="s">
        <v>192</v>
      </c>
      <c r="G180" s="8" t="str">
        <f t="shared" si="2"/>
        <v>STEWART MICHAEL</v>
      </c>
    </row>
    <row r="181" spans="1:7" x14ac:dyDescent="0.25">
      <c r="A181" s="8">
        <v>42927.705601851849</v>
      </c>
      <c r="B181" s="20" t="s">
        <v>502</v>
      </c>
      <c r="C181" s="20" t="s">
        <v>599</v>
      </c>
      <c r="D181" s="138">
        <v>1300000</v>
      </c>
      <c r="E181" s="20" t="s">
        <v>713</v>
      </c>
      <c r="F181" s="20" t="s">
        <v>714</v>
      </c>
      <c r="G181" s="8" t="str">
        <f t="shared" si="2"/>
        <v>LEVIN SCOTT</v>
      </c>
    </row>
    <row r="182" spans="1:7" x14ac:dyDescent="0.25">
      <c r="A182" s="8">
        <v>42927.705740740741</v>
      </c>
      <c r="B182" s="20" t="s">
        <v>395</v>
      </c>
      <c r="C182" s="20" t="s">
        <v>762</v>
      </c>
      <c r="D182" s="138">
        <v>1800000</v>
      </c>
      <c r="E182" s="20" t="s">
        <v>748</v>
      </c>
      <c r="F182" s="20" t="s">
        <v>749</v>
      </c>
      <c r="G182" s="8" t="str">
        <f t="shared" si="2"/>
        <v>CHANDLER KELVIN</v>
      </c>
    </row>
    <row r="183" spans="1:7" x14ac:dyDescent="0.25">
      <c r="A183" s="8">
        <v>42927.706608796296</v>
      </c>
      <c r="B183" s="20" t="s">
        <v>395</v>
      </c>
      <c r="C183" s="20" t="s">
        <v>762</v>
      </c>
      <c r="D183" s="138">
        <v>1800000</v>
      </c>
      <c r="E183" s="20" t="s">
        <v>748</v>
      </c>
      <c r="F183" s="20" t="s">
        <v>749</v>
      </c>
      <c r="G183" s="8" t="str">
        <f t="shared" si="2"/>
        <v>CHANDLER KELVIN</v>
      </c>
    </row>
    <row r="184" spans="1:7" x14ac:dyDescent="0.25">
      <c r="A184" s="8">
        <v>42927.709479166668</v>
      </c>
      <c r="B184" s="20" t="s">
        <v>499</v>
      </c>
      <c r="C184" s="20" t="s">
        <v>763</v>
      </c>
      <c r="D184" s="138">
        <v>2040000</v>
      </c>
      <c r="E184" s="20" t="s">
        <v>451</v>
      </c>
      <c r="F184" s="20" t="s">
        <v>452</v>
      </c>
      <c r="G184" s="8" t="str">
        <f t="shared" si="2"/>
        <v>MOSES BRADLEY</v>
      </c>
    </row>
    <row r="185" spans="1:7" x14ac:dyDescent="0.25">
      <c r="A185" s="8">
        <v>42927.710162037038</v>
      </c>
      <c r="B185" s="20" t="s">
        <v>499</v>
      </c>
      <c r="C185" s="20" t="s">
        <v>763</v>
      </c>
      <c r="D185" s="138">
        <v>2040000</v>
      </c>
      <c r="E185" s="20" t="s">
        <v>451</v>
      </c>
      <c r="F185" s="20" t="s">
        <v>452</v>
      </c>
      <c r="G185" s="8" t="str">
        <f t="shared" si="2"/>
        <v>MOSES BRADLEY</v>
      </c>
    </row>
    <row r="186" spans="1:7" x14ac:dyDescent="0.25">
      <c r="A186" s="8">
        <v>42927.711180555554</v>
      </c>
      <c r="B186" s="20" t="s">
        <v>435</v>
      </c>
      <c r="C186" s="20" t="s">
        <v>764</v>
      </c>
      <c r="D186" s="138">
        <v>2540000</v>
      </c>
      <c r="E186" s="20" t="s">
        <v>536</v>
      </c>
      <c r="F186" s="20" t="s">
        <v>537</v>
      </c>
      <c r="G186" s="8" t="str">
        <f t="shared" si="2"/>
        <v>MCREYNOLDS KYLE</v>
      </c>
    </row>
    <row r="187" spans="1:7" x14ac:dyDescent="0.25">
      <c r="A187" s="8">
        <v>42927.711550925924</v>
      </c>
      <c r="B187" s="20" t="s">
        <v>499</v>
      </c>
      <c r="C187" s="20" t="s">
        <v>763</v>
      </c>
      <c r="D187" s="138">
        <v>2040000</v>
      </c>
      <c r="E187" s="20" t="s">
        <v>451</v>
      </c>
      <c r="F187" s="20" t="s">
        <v>452</v>
      </c>
      <c r="G187" s="8" t="str">
        <f t="shared" si="2"/>
        <v>MOSES BRADLEY</v>
      </c>
    </row>
    <row r="188" spans="1:7" x14ac:dyDescent="0.25">
      <c r="A188" s="8">
        <v>42927.712060185186</v>
      </c>
      <c r="B188" s="20" t="s">
        <v>502</v>
      </c>
      <c r="C188" s="20" t="s">
        <v>599</v>
      </c>
      <c r="D188" s="138">
        <v>1300000</v>
      </c>
      <c r="E188" s="20" t="s">
        <v>713</v>
      </c>
      <c r="F188" s="20" t="s">
        <v>714</v>
      </c>
      <c r="G188" s="8" t="str">
        <f t="shared" si="2"/>
        <v>LEVIN SCOTT</v>
      </c>
    </row>
    <row r="189" spans="1:7" x14ac:dyDescent="0.25">
      <c r="A189" s="8">
        <v>42927.712881944448</v>
      </c>
      <c r="B189" s="20" t="s">
        <v>462</v>
      </c>
      <c r="C189" s="20" t="s">
        <v>765</v>
      </c>
      <c r="D189" s="138">
        <v>3340000</v>
      </c>
      <c r="E189" s="20" t="s">
        <v>510</v>
      </c>
      <c r="F189" s="20" t="s">
        <v>511</v>
      </c>
      <c r="G189" s="8" t="str">
        <f t="shared" si="2"/>
        <v>ELBAUM MIKE</v>
      </c>
    </row>
    <row r="190" spans="1:7" x14ac:dyDescent="0.25">
      <c r="A190" s="8">
        <v>42927.717199074075</v>
      </c>
      <c r="B190" s="20" t="s">
        <v>530</v>
      </c>
      <c r="C190" s="20" t="s">
        <v>598</v>
      </c>
      <c r="D190" s="138">
        <v>3320000</v>
      </c>
      <c r="E190" s="20" t="s">
        <v>506</v>
      </c>
      <c r="F190" s="20" t="s">
        <v>507</v>
      </c>
      <c r="G190" s="8" t="str">
        <f t="shared" si="2"/>
        <v>NICHOLSON WESLEY</v>
      </c>
    </row>
    <row r="191" spans="1:7" x14ac:dyDescent="0.25">
      <c r="A191" s="8">
        <v>42927.718842592592</v>
      </c>
      <c r="B191" s="20" t="s">
        <v>529</v>
      </c>
      <c r="C191" s="20" t="s">
        <v>766</v>
      </c>
      <c r="D191" s="138">
        <v>3290000</v>
      </c>
      <c r="E191" s="20" t="s">
        <v>731</v>
      </c>
      <c r="F191" s="20" t="s">
        <v>505</v>
      </c>
      <c r="G191" s="8" t="str">
        <f t="shared" si="2"/>
        <v>CASSIDY BRANDON</v>
      </c>
    </row>
    <row r="192" spans="1:7" x14ac:dyDescent="0.25">
      <c r="A192" s="8">
        <v>42927.723287037035</v>
      </c>
      <c r="B192" s="20" t="s">
        <v>383</v>
      </c>
      <c r="C192" s="20" t="s">
        <v>767</v>
      </c>
      <c r="D192" s="138">
        <v>920000</v>
      </c>
      <c r="E192" s="20" t="s">
        <v>386</v>
      </c>
      <c r="F192" s="20" t="s">
        <v>192</v>
      </c>
      <c r="G192" s="8" t="str">
        <f t="shared" si="2"/>
        <v>DAVIS MICHAEL</v>
      </c>
    </row>
    <row r="193" spans="1:7" x14ac:dyDescent="0.25">
      <c r="A193" s="8">
        <v>42927.725208333337</v>
      </c>
      <c r="B193" s="20" t="s">
        <v>337</v>
      </c>
      <c r="C193" s="20" t="s">
        <v>768</v>
      </c>
      <c r="D193" s="138">
        <v>3120000</v>
      </c>
      <c r="E193" s="20" t="s">
        <v>534</v>
      </c>
      <c r="F193" s="20" t="s">
        <v>535</v>
      </c>
      <c r="G193" s="8" t="str">
        <f t="shared" si="2"/>
        <v>THOMPSON LESTER</v>
      </c>
    </row>
    <row r="194" spans="1:7" x14ac:dyDescent="0.25">
      <c r="A194" s="8">
        <v>42927.725613425922</v>
      </c>
      <c r="B194" s="20" t="s">
        <v>459</v>
      </c>
      <c r="C194" s="20" t="s">
        <v>769</v>
      </c>
      <c r="D194" s="138">
        <v>3190000</v>
      </c>
      <c r="E194" s="20" t="s">
        <v>710</v>
      </c>
      <c r="F194" s="20" t="s">
        <v>665</v>
      </c>
      <c r="G194" s="8" t="str">
        <f t="shared" si="2"/>
        <v>HART KEVIN</v>
      </c>
    </row>
    <row r="195" spans="1:7" x14ac:dyDescent="0.25">
      <c r="A195" s="8">
        <v>42927.726655092592</v>
      </c>
      <c r="B195" s="20" t="s">
        <v>503</v>
      </c>
      <c r="C195" s="20" t="s">
        <v>770</v>
      </c>
      <c r="D195" s="138">
        <v>880000</v>
      </c>
      <c r="E195" s="20" t="s">
        <v>708</v>
      </c>
      <c r="F195" s="20" t="s">
        <v>192</v>
      </c>
      <c r="G195" s="8" t="str">
        <f t="shared" ref="G195:G258" si="3">E195&amp;" "&amp;F195</f>
        <v>STEWART MICHAEL</v>
      </c>
    </row>
    <row r="196" spans="1:7" x14ac:dyDescent="0.25">
      <c r="A196" s="8">
        <v>42927.727060185185</v>
      </c>
      <c r="B196" s="20" t="s">
        <v>426</v>
      </c>
      <c r="C196" s="20" t="s">
        <v>767</v>
      </c>
      <c r="D196" s="138">
        <v>2140000</v>
      </c>
      <c r="E196" s="20" t="s">
        <v>384</v>
      </c>
      <c r="F196" s="20" t="s">
        <v>385</v>
      </c>
      <c r="G196" s="8" t="str">
        <f t="shared" si="3"/>
        <v>ROBINSON KADDIBA</v>
      </c>
    </row>
    <row r="197" spans="1:7" x14ac:dyDescent="0.25">
      <c r="A197" s="8">
        <v>42927.727905092594</v>
      </c>
      <c r="B197" s="20" t="s">
        <v>426</v>
      </c>
      <c r="C197" s="20" t="s">
        <v>767</v>
      </c>
      <c r="D197" s="138">
        <v>2140000</v>
      </c>
      <c r="E197" s="20" t="s">
        <v>384</v>
      </c>
      <c r="F197" s="20" t="s">
        <v>385</v>
      </c>
      <c r="G197" s="8" t="str">
        <f t="shared" si="3"/>
        <v>ROBINSON KADDIBA</v>
      </c>
    </row>
    <row r="198" spans="1:7" x14ac:dyDescent="0.25">
      <c r="A198" s="8">
        <v>42927.729027777779</v>
      </c>
      <c r="B198" s="20" t="s">
        <v>461</v>
      </c>
      <c r="C198" s="20" t="s">
        <v>771</v>
      </c>
      <c r="D198" s="138">
        <v>3340000</v>
      </c>
      <c r="E198" s="20" t="s">
        <v>510</v>
      </c>
      <c r="F198" s="20" t="s">
        <v>511</v>
      </c>
      <c r="G198" s="8" t="str">
        <f t="shared" si="3"/>
        <v>ELBAUM MIKE</v>
      </c>
    </row>
    <row r="199" spans="1:7" x14ac:dyDescent="0.25">
      <c r="A199" s="8">
        <v>42927.735405092593</v>
      </c>
      <c r="B199" s="20" t="s">
        <v>383</v>
      </c>
      <c r="C199" s="20" t="s">
        <v>772</v>
      </c>
      <c r="D199" s="138">
        <v>3280000</v>
      </c>
      <c r="E199" s="20" t="s">
        <v>508</v>
      </c>
      <c r="F199" s="20" t="s">
        <v>509</v>
      </c>
      <c r="G199" s="8" t="str">
        <f t="shared" si="3"/>
        <v>BIRKHOLZ NADINE</v>
      </c>
    </row>
    <row r="200" spans="1:7" x14ac:dyDescent="0.25">
      <c r="A200" s="8">
        <v>42927.735439814816</v>
      </c>
      <c r="B200" s="20" t="s">
        <v>522</v>
      </c>
      <c r="C200" s="20" t="s">
        <v>773</v>
      </c>
      <c r="D200" s="138">
        <v>3290000</v>
      </c>
      <c r="E200" s="20" t="s">
        <v>731</v>
      </c>
      <c r="F200" s="20" t="s">
        <v>505</v>
      </c>
      <c r="G200" s="8" t="str">
        <f t="shared" si="3"/>
        <v>CASSIDY BRANDON</v>
      </c>
    </row>
    <row r="201" spans="1:7" x14ac:dyDescent="0.25">
      <c r="A201" s="8">
        <v>42927.740277777775</v>
      </c>
      <c r="B201" s="20" t="s">
        <v>461</v>
      </c>
      <c r="C201" s="20" t="s">
        <v>771</v>
      </c>
      <c r="D201" s="138">
        <v>3340000</v>
      </c>
      <c r="E201" s="20" t="s">
        <v>510</v>
      </c>
      <c r="F201" s="20" t="s">
        <v>511</v>
      </c>
      <c r="G201" s="8" t="str">
        <f t="shared" si="3"/>
        <v>ELBAUM MIKE</v>
      </c>
    </row>
    <row r="202" spans="1:7" x14ac:dyDescent="0.25">
      <c r="A202" s="26">
        <v>42927.743807870371</v>
      </c>
      <c r="B202" s="20" t="s">
        <v>573</v>
      </c>
      <c r="C202" s="20" t="s">
        <v>774</v>
      </c>
      <c r="D202" s="138">
        <v>1300000</v>
      </c>
      <c r="E202" s="20" t="s">
        <v>713</v>
      </c>
      <c r="F202" s="20" t="s">
        <v>714</v>
      </c>
      <c r="G202" s="8" t="str">
        <f t="shared" si="3"/>
        <v>LEVIN SCOTT</v>
      </c>
    </row>
    <row r="203" spans="1:7" x14ac:dyDescent="0.25">
      <c r="A203" s="8">
        <v>42927.749791666669</v>
      </c>
      <c r="B203" s="20" t="s">
        <v>436</v>
      </c>
      <c r="C203" s="20" t="s">
        <v>775</v>
      </c>
      <c r="D203" s="138">
        <v>2540000</v>
      </c>
      <c r="E203" s="20" t="s">
        <v>536</v>
      </c>
      <c r="F203" s="20" t="s">
        <v>537</v>
      </c>
      <c r="G203" s="8" t="str">
        <f t="shared" si="3"/>
        <v>MCREYNOLDS KYLE</v>
      </c>
    </row>
    <row r="204" spans="1:7" x14ac:dyDescent="0.25">
      <c r="A204" s="8">
        <v>42927.750034722223</v>
      </c>
      <c r="B204" s="20" t="s">
        <v>396</v>
      </c>
      <c r="C204" s="20" t="s">
        <v>776</v>
      </c>
      <c r="D204" s="138">
        <v>1800000</v>
      </c>
      <c r="E204" s="20" t="s">
        <v>748</v>
      </c>
      <c r="F204" s="20" t="s">
        <v>749</v>
      </c>
      <c r="G204" s="8" t="str">
        <f t="shared" si="3"/>
        <v>CHANDLER KELVIN</v>
      </c>
    </row>
    <row r="205" spans="1:7" x14ac:dyDescent="0.25">
      <c r="A205" s="8">
        <v>42927.755069444444</v>
      </c>
      <c r="B205" s="20" t="s">
        <v>512</v>
      </c>
      <c r="C205" s="20" t="s">
        <v>602</v>
      </c>
      <c r="D205" s="138">
        <v>3320000</v>
      </c>
      <c r="E205" s="20" t="s">
        <v>506</v>
      </c>
      <c r="F205" s="20" t="s">
        <v>507</v>
      </c>
      <c r="G205" s="8" t="str">
        <f t="shared" si="3"/>
        <v>NICHOLSON WESLEY</v>
      </c>
    </row>
    <row r="206" spans="1:7" x14ac:dyDescent="0.25">
      <c r="A206" s="8">
        <v>42927.756180555552</v>
      </c>
      <c r="B206" s="20" t="s">
        <v>462</v>
      </c>
      <c r="C206" s="20" t="s">
        <v>777</v>
      </c>
      <c r="D206" s="138">
        <v>3340000</v>
      </c>
      <c r="E206" s="20" t="s">
        <v>510</v>
      </c>
      <c r="F206" s="20" t="s">
        <v>511</v>
      </c>
      <c r="G206" s="8" t="str">
        <f t="shared" si="3"/>
        <v>ELBAUM MIKE</v>
      </c>
    </row>
    <row r="207" spans="1:7" x14ac:dyDescent="0.25">
      <c r="A207" s="8">
        <v>42927.757060185184</v>
      </c>
      <c r="B207" s="20" t="s">
        <v>498</v>
      </c>
      <c r="C207" s="20" t="s">
        <v>778</v>
      </c>
      <c r="D207" s="138">
        <v>2610000</v>
      </c>
      <c r="E207" s="20" t="s">
        <v>387</v>
      </c>
      <c r="F207" s="20" t="s">
        <v>388</v>
      </c>
      <c r="G207" s="8" t="str">
        <f t="shared" si="3"/>
        <v>MAGEE KENYA</v>
      </c>
    </row>
    <row r="208" spans="1:7" x14ac:dyDescent="0.25">
      <c r="A208" s="8">
        <v>42927.758900462963</v>
      </c>
      <c r="B208" s="20" t="s">
        <v>336</v>
      </c>
      <c r="C208" s="20" t="s">
        <v>600</v>
      </c>
      <c r="D208" s="138">
        <v>3000000</v>
      </c>
      <c r="E208" s="20" t="s">
        <v>390</v>
      </c>
      <c r="F208" s="20" t="s">
        <v>391</v>
      </c>
      <c r="G208" s="8" t="str">
        <f t="shared" si="3"/>
        <v>FORTUNATO FRANK</v>
      </c>
    </row>
    <row r="209" spans="1:7" x14ac:dyDescent="0.25">
      <c r="A209" s="8">
        <v>42927.761481481481</v>
      </c>
      <c r="B209" s="20" t="s">
        <v>529</v>
      </c>
      <c r="C209" s="20" t="s">
        <v>779</v>
      </c>
      <c r="D209" s="138">
        <v>3290000</v>
      </c>
      <c r="E209" s="20" t="s">
        <v>731</v>
      </c>
      <c r="F209" s="20" t="s">
        <v>505</v>
      </c>
      <c r="G209" s="8" t="str">
        <f t="shared" si="3"/>
        <v>CASSIDY BRANDON</v>
      </c>
    </row>
    <row r="210" spans="1:7" x14ac:dyDescent="0.25">
      <c r="A210" s="8">
        <v>42927.767534722225</v>
      </c>
      <c r="B210" s="20" t="s">
        <v>615</v>
      </c>
      <c r="C210" s="20" t="s">
        <v>780</v>
      </c>
      <c r="D210" s="138">
        <v>3120000</v>
      </c>
      <c r="E210" s="20" t="s">
        <v>534</v>
      </c>
      <c r="F210" s="20" t="s">
        <v>535</v>
      </c>
      <c r="G210" s="8" t="str">
        <f t="shared" si="3"/>
        <v>THOMPSON LESTER</v>
      </c>
    </row>
    <row r="211" spans="1:7" x14ac:dyDescent="0.25">
      <c r="A211" s="8">
        <v>42927.768379629626</v>
      </c>
      <c r="B211" s="20" t="s">
        <v>353</v>
      </c>
      <c r="C211" s="20" t="s">
        <v>781</v>
      </c>
      <c r="D211" s="138">
        <v>3090000</v>
      </c>
      <c r="E211" s="20" t="s">
        <v>369</v>
      </c>
      <c r="F211" s="20" t="s">
        <v>370</v>
      </c>
      <c r="G211" s="8" t="str">
        <f t="shared" si="3"/>
        <v>LAMAR NEKESHA</v>
      </c>
    </row>
    <row r="212" spans="1:7" x14ac:dyDescent="0.25">
      <c r="A212" s="8">
        <v>42927.775254629632</v>
      </c>
      <c r="B212" s="20" t="s">
        <v>426</v>
      </c>
      <c r="C212" s="20" t="s">
        <v>782</v>
      </c>
      <c r="D212" s="138">
        <v>3280000</v>
      </c>
      <c r="E212" s="20" t="s">
        <v>508</v>
      </c>
      <c r="F212" s="20" t="s">
        <v>509</v>
      </c>
      <c r="G212" s="8" t="str">
        <f t="shared" si="3"/>
        <v>BIRKHOLZ NADINE</v>
      </c>
    </row>
    <row r="213" spans="1:7" x14ac:dyDescent="0.25">
      <c r="A213" s="8">
        <v>42927.776446759257</v>
      </c>
      <c r="B213" s="20" t="s">
        <v>502</v>
      </c>
      <c r="C213" s="20" t="s">
        <v>783</v>
      </c>
      <c r="D213" s="138">
        <v>1300000</v>
      </c>
      <c r="E213" s="20" t="s">
        <v>713</v>
      </c>
      <c r="F213" s="20" t="s">
        <v>714</v>
      </c>
      <c r="G213" s="8" t="str">
        <f t="shared" si="3"/>
        <v>LEVIN SCOTT</v>
      </c>
    </row>
    <row r="214" spans="1:7" x14ac:dyDescent="0.25">
      <c r="A214" s="8">
        <v>42927.776898148149</v>
      </c>
      <c r="B214" s="20" t="s">
        <v>522</v>
      </c>
      <c r="C214" s="20" t="s">
        <v>601</v>
      </c>
      <c r="D214" s="138">
        <v>3290000</v>
      </c>
      <c r="E214" s="20" t="s">
        <v>731</v>
      </c>
      <c r="F214" s="20" t="s">
        <v>505</v>
      </c>
      <c r="G214" s="8" t="str">
        <f t="shared" si="3"/>
        <v>CASSIDY BRANDON</v>
      </c>
    </row>
    <row r="215" spans="1:7" x14ac:dyDescent="0.25">
      <c r="A215" s="8">
        <v>42927.77888888889</v>
      </c>
      <c r="B215" s="20" t="s">
        <v>502</v>
      </c>
      <c r="C215" s="20" t="s">
        <v>783</v>
      </c>
      <c r="D215" s="138">
        <v>1300000</v>
      </c>
      <c r="E215" s="20" t="s">
        <v>713</v>
      </c>
      <c r="F215" s="20" t="s">
        <v>714</v>
      </c>
      <c r="G215" s="8" t="str">
        <f t="shared" si="3"/>
        <v>LEVIN SCOTT</v>
      </c>
    </row>
    <row r="216" spans="1:7" x14ac:dyDescent="0.25">
      <c r="A216" s="8">
        <v>42927.781747685185</v>
      </c>
      <c r="B216" s="20" t="s">
        <v>461</v>
      </c>
      <c r="C216" s="20" t="s">
        <v>603</v>
      </c>
      <c r="D216" s="138">
        <v>3340000</v>
      </c>
      <c r="E216" s="20" t="s">
        <v>510</v>
      </c>
      <c r="F216" s="20" t="s">
        <v>511</v>
      </c>
      <c r="G216" s="8" t="str">
        <f t="shared" si="3"/>
        <v>ELBAUM MIKE</v>
      </c>
    </row>
    <row r="217" spans="1:7" x14ac:dyDescent="0.25">
      <c r="A217" s="8">
        <v>42927.783090277779</v>
      </c>
      <c r="B217" s="20" t="s">
        <v>435</v>
      </c>
      <c r="C217" s="20" t="s">
        <v>784</v>
      </c>
      <c r="D217" s="138">
        <v>2540000</v>
      </c>
      <c r="E217" s="20" t="s">
        <v>536</v>
      </c>
      <c r="F217" s="20" t="s">
        <v>537</v>
      </c>
      <c r="G217" s="8" t="str">
        <f t="shared" si="3"/>
        <v>MCREYNOLDS KYLE</v>
      </c>
    </row>
    <row r="218" spans="1:7" x14ac:dyDescent="0.25">
      <c r="A218" s="8">
        <v>42927.789525462962</v>
      </c>
      <c r="B218" s="20" t="s">
        <v>530</v>
      </c>
      <c r="C218" s="20" t="s">
        <v>785</v>
      </c>
      <c r="D218" s="138">
        <v>2090000</v>
      </c>
      <c r="E218" s="20" t="s">
        <v>401</v>
      </c>
      <c r="F218" s="20" t="s">
        <v>192</v>
      </c>
      <c r="G218" s="8" t="str">
        <f t="shared" si="3"/>
        <v>HAITHCOX MICHAEL</v>
      </c>
    </row>
    <row r="219" spans="1:7" x14ac:dyDescent="0.25">
      <c r="A219" s="8">
        <v>42927.789722222224</v>
      </c>
      <c r="B219" s="20" t="s">
        <v>503</v>
      </c>
      <c r="C219" s="20" t="s">
        <v>604</v>
      </c>
      <c r="D219" s="138">
        <v>3000000</v>
      </c>
      <c r="E219" s="20" t="s">
        <v>390</v>
      </c>
      <c r="F219" s="20" t="s">
        <v>391</v>
      </c>
      <c r="G219" s="8" t="str">
        <f t="shared" si="3"/>
        <v>FORTUNATO FRANK</v>
      </c>
    </row>
    <row r="220" spans="1:7" x14ac:dyDescent="0.25">
      <c r="A220" s="8">
        <v>42927.798993055556</v>
      </c>
      <c r="B220" s="20" t="s">
        <v>462</v>
      </c>
      <c r="C220" s="20" t="s">
        <v>786</v>
      </c>
      <c r="D220" s="138">
        <v>3340000</v>
      </c>
      <c r="E220" s="20" t="s">
        <v>510</v>
      </c>
      <c r="F220" s="20" t="s">
        <v>511</v>
      </c>
      <c r="G220" s="8" t="str">
        <f t="shared" si="3"/>
        <v>ELBAUM MIKE</v>
      </c>
    </row>
    <row r="221" spans="1:7" x14ac:dyDescent="0.25">
      <c r="A221" s="8">
        <v>42927.800081018519</v>
      </c>
      <c r="B221" s="20" t="s">
        <v>337</v>
      </c>
      <c r="C221" s="20" t="s">
        <v>787</v>
      </c>
      <c r="D221" s="138">
        <v>3120000</v>
      </c>
      <c r="E221" s="20" t="s">
        <v>534</v>
      </c>
      <c r="F221" s="20" t="s">
        <v>535</v>
      </c>
      <c r="G221" s="8" t="str">
        <f t="shared" si="3"/>
        <v>THOMPSON LESTER</v>
      </c>
    </row>
    <row r="222" spans="1:7" x14ac:dyDescent="0.25">
      <c r="A222" s="8">
        <v>42927.801990740743</v>
      </c>
      <c r="B222" s="20" t="s">
        <v>529</v>
      </c>
      <c r="C222" s="20" t="s">
        <v>788</v>
      </c>
      <c r="D222" s="138">
        <v>3290000</v>
      </c>
      <c r="E222" s="20" t="s">
        <v>731</v>
      </c>
      <c r="F222" s="20" t="s">
        <v>505</v>
      </c>
      <c r="G222" s="8" t="str">
        <f t="shared" si="3"/>
        <v>CASSIDY BRANDON</v>
      </c>
    </row>
    <row r="223" spans="1:7" x14ac:dyDescent="0.25">
      <c r="A223" s="8">
        <v>42927.80746527778</v>
      </c>
      <c r="B223" s="20" t="s">
        <v>459</v>
      </c>
      <c r="C223" s="20" t="s">
        <v>781</v>
      </c>
      <c r="D223" s="138">
        <v>3090000</v>
      </c>
      <c r="E223" s="20" t="s">
        <v>369</v>
      </c>
      <c r="F223" s="20" t="s">
        <v>370</v>
      </c>
      <c r="G223" s="8" t="str">
        <f t="shared" si="3"/>
        <v>LAMAR NEKESHA</v>
      </c>
    </row>
    <row r="224" spans="1:7" x14ac:dyDescent="0.25">
      <c r="A224" s="8">
        <v>42927.808136574073</v>
      </c>
      <c r="B224" t="s">
        <v>459</v>
      </c>
      <c r="C224" t="s">
        <v>789</v>
      </c>
      <c r="D224" s="138">
        <v>3090000</v>
      </c>
      <c r="E224" t="s">
        <v>369</v>
      </c>
      <c r="F224" s="20" t="s">
        <v>370</v>
      </c>
      <c r="G224" s="8" t="str">
        <f t="shared" si="3"/>
        <v>LAMAR NEKESHA</v>
      </c>
    </row>
    <row r="225" spans="1:7" x14ac:dyDescent="0.25">
      <c r="A225" s="8">
        <v>42927.809618055559</v>
      </c>
      <c r="B225" t="s">
        <v>383</v>
      </c>
      <c r="C225" t="s">
        <v>790</v>
      </c>
      <c r="D225" s="138">
        <v>3280000</v>
      </c>
      <c r="E225" t="s">
        <v>508</v>
      </c>
      <c r="F225" s="20" t="s">
        <v>509</v>
      </c>
      <c r="G225" s="8" t="str">
        <f t="shared" si="3"/>
        <v>BIRKHOLZ NADINE</v>
      </c>
    </row>
    <row r="226" spans="1:7" x14ac:dyDescent="0.25">
      <c r="A226" s="8">
        <v>42927.817916666667</v>
      </c>
      <c r="B226" t="s">
        <v>522</v>
      </c>
      <c r="C226" t="s">
        <v>791</v>
      </c>
      <c r="D226" s="138">
        <v>3290000</v>
      </c>
      <c r="E226" t="s">
        <v>731</v>
      </c>
      <c r="F226" s="20" t="s">
        <v>505</v>
      </c>
      <c r="G226" s="8" t="str">
        <f t="shared" si="3"/>
        <v>CASSIDY BRANDON</v>
      </c>
    </row>
    <row r="227" spans="1:7" x14ac:dyDescent="0.25">
      <c r="A227" s="8">
        <v>42927.819340277776</v>
      </c>
      <c r="B227" t="s">
        <v>436</v>
      </c>
      <c r="C227" t="s">
        <v>792</v>
      </c>
      <c r="D227" s="138">
        <v>2540000</v>
      </c>
      <c r="E227" t="s">
        <v>536</v>
      </c>
      <c r="F227" s="20" t="s">
        <v>537</v>
      </c>
      <c r="G227" s="8" t="str">
        <f t="shared" si="3"/>
        <v>MCREYNOLDS KYLE</v>
      </c>
    </row>
    <row r="228" spans="1:7" x14ac:dyDescent="0.25">
      <c r="A228" s="8">
        <v>42927.821053240739</v>
      </c>
      <c r="B228" t="s">
        <v>512</v>
      </c>
      <c r="C228" t="s">
        <v>605</v>
      </c>
      <c r="D228" s="138">
        <v>2090000</v>
      </c>
      <c r="E228" t="s">
        <v>401</v>
      </c>
      <c r="F228" s="20" t="s">
        <v>192</v>
      </c>
      <c r="G228" s="8" t="str">
        <f t="shared" si="3"/>
        <v>HAITHCOX MICHAEL</v>
      </c>
    </row>
    <row r="229" spans="1:7" x14ac:dyDescent="0.25">
      <c r="A229" s="8">
        <v>42927.831006944441</v>
      </c>
      <c r="B229" t="s">
        <v>336</v>
      </c>
      <c r="C229" t="s">
        <v>793</v>
      </c>
      <c r="D229" s="138">
        <v>3000000</v>
      </c>
      <c r="E229" t="s">
        <v>390</v>
      </c>
      <c r="F229" s="20" t="s">
        <v>391</v>
      </c>
      <c r="G229" s="8" t="str">
        <f t="shared" si="3"/>
        <v>FORTUNATO FRANK</v>
      </c>
    </row>
    <row r="230" spans="1:7" x14ac:dyDescent="0.25">
      <c r="A230" s="8">
        <v>42927.843726851854</v>
      </c>
      <c r="B230" t="s">
        <v>529</v>
      </c>
      <c r="C230" t="s">
        <v>794</v>
      </c>
      <c r="D230" s="138">
        <v>3290000</v>
      </c>
      <c r="E230" t="s">
        <v>731</v>
      </c>
      <c r="F230" s="20" t="s">
        <v>505</v>
      </c>
      <c r="G230" s="8" t="str">
        <f t="shared" si="3"/>
        <v>CASSIDY BRANDON</v>
      </c>
    </row>
    <row r="231" spans="1:7" x14ac:dyDescent="0.25">
      <c r="A231" s="8">
        <v>42927.84820601852</v>
      </c>
      <c r="B231" t="s">
        <v>426</v>
      </c>
      <c r="C231" t="s">
        <v>795</v>
      </c>
      <c r="D231" s="138">
        <v>3280000</v>
      </c>
      <c r="E231" t="s">
        <v>508</v>
      </c>
      <c r="F231" s="20" t="s">
        <v>509</v>
      </c>
      <c r="G231" s="8" t="str">
        <f t="shared" si="3"/>
        <v>BIRKHOLZ NADINE</v>
      </c>
    </row>
    <row r="232" spans="1:7" x14ac:dyDescent="0.25">
      <c r="A232" s="8">
        <v>42927.850243055553</v>
      </c>
      <c r="B232" t="s">
        <v>529</v>
      </c>
      <c r="C232" t="s">
        <v>794</v>
      </c>
      <c r="D232" s="138">
        <v>3290000</v>
      </c>
      <c r="E232" t="s">
        <v>731</v>
      </c>
      <c r="F232" s="20" t="s">
        <v>505</v>
      </c>
      <c r="G232" s="8" t="str">
        <f t="shared" si="3"/>
        <v>CASSIDY BRANDON</v>
      </c>
    </row>
    <row r="233" spans="1:7" x14ac:dyDescent="0.25">
      <c r="A233" s="8">
        <v>42927.850995370369</v>
      </c>
      <c r="B233" t="s">
        <v>353</v>
      </c>
      <c r="C233" t="s">
        <v>796</v>
      </c>
      <c r="D233" s="138">
        <v>3090000</v>
      </c>
      <c r="E233" t="s">
        <v>369</v>
      </c>
      <c r="F233" s="20" t="s">
        <v>370</v>
      </c>
      <c r="G233" s="8" t="str">
        <f t="shared" si="3"/>
        <v>LAMAR NEKESHA</v>
      </c>
    </row>
    <row r="234" spans="1:7" x14ac:dyDescent="0.25">
      <c r="A234" s="8">
        <v>42927.851782407408</v>
      </c>
      <c r="B234" t="s">
        <v>353</v>
      </c>
      <c r="C234" t="s">
        <v>796</v>
      </c>
      <c r="D234" s="138">
        <v>3090000</v>
      </c>
      <c r="E234" t="s">
        <v>369</v>
      </c>
      <c r="F234" s="20" t="s">
        <v>370</v>
      </c>
      <c r="G234" s="8" t="str">
        <f t="shared" si="3"/>
        <v>LAMAR NEKESHA</v>
      </c>
    </row>
    <row r="235" spans="1:7" x14ac:dyDescent="0.25">
      <c r="A235" s="8">
        <v>42927.861840277779</v>
      </c>
      <c r="B235" t="s">
        <v>522</v>
      </c>
      <c r="C235" t="s">
        <v>797</v>
      </c>
      <c r="D235" s="138">
        <v>3290000</v>
      </c>
      <c r="E235" t="s">
        <v>731</v>
      </c>
      <c r="F235" s="20" t="s">
        <v>505</v>
      </c>
      <c r="G235" s="8" t="str">
        <f t="shared" si="3"/>
        <v>CASSIDY BRANDON</v>
      </c>
    </row>
    <row r="236" spans="1:7" x14ac:dyDescent="0.25">
      <c r="A236" s="8">
        <v>42927.862604166665</v>
      </c>
      <c r="B236" t="s">
        <v>530</v>
      </c>
      <c r="C236" t="s">
        <v>798</v>
      </c>
      <c r="D236" s="138">
        <v>2090000</v>
      </c>
      <c r="E236" t="s">
        <v>401</v>
      </c>
      <c r="F236" s="20" t="s">
        <v>192</v>
      </c>
      <c r="G236" s="8" t="str">
        <f t="shared" si="3"/>
        <v>HAITHCOX MICHAEL</v>
      </c>
    </row>
    <row r="237" spans="1:7" x14ac:dyDescent="0.25">
      <c r="A237" s="8">
        <v>42927.867222222223</v>
      </c>
      <c r="B237" t="s">
        <v>503</v>
      </c>
      <c r="C237" t="s">
        <v>799</v>
      </c>
      <c r="D237" s="138">
        <v>3000000</v>
      </c>
      <c r="E237" t="s">
        <v>390</v>
      </c>
      <c r="F237" s="20" t="s">
        <v>391</v>
      </c>
      <c r="G237" s="8" t="str">
        <f t="shared" si="3"/>
        <v>FORTUNATO FRANK</v>
      </c>
    </row>
    <row r="238" spans="1:7" x14ac:dyDescent="0.25">
      <c r="A238" s="8">
        <v>42927.883842592593</v>
      </c>
      <c r="B238" t="s">
        <v>383</v>
      </c>
      <c r="C238" t="s">
        <v>800</v>
      </c>
      <c r="D238" s="138">
        <v>3280000</v>
      </c>
      <c r="E238" t="s">
        <v>508</v>
      </c>
      <c r="F238" s="20" t="s">
        <v>509</v>
      </c>
      <c r="G238" s="8" t="str">
        <f t="shared" si="3"/>
        <v>BIRKHOLZ NADINE</v>
      </c>
    </row>
    <row r="239" spans="1:7" x14ac:dyDescent="0.25">
      <c r="A239" s="8">
        <v>42927.887256944443</v>
      </c>
      <c r="B239" t="s">
        <v>529</v>
      </c>
      <c r="C239" t="s">
        <v>606</v>
      </c>
      <c r="D239" s="138">
        <v>3340000</v>
      </c>
      <c r="E239" t="s">
        <v>510</v>
      </c>
      <c r="F239" s="20" t="s">
        <v>511</v>
      </c>
      <c r="G239" s="8" t="str">
        <f t="shared" si="3"/>
        <v>ELBAUM MIKE</v>
      </c>
    </row>
    <row r="240" spans="1:7" x14ac:dyDescent="0.25">
      <c r="A240" s="8">
        <v>42927.890833333331</v>
      </c>
      <c r="B240" t="s">
        <v>459</v>
      </c>
      <c r="C240" t="s">
        <v>801</v>
      </c>
      <c r="D240" s="138">
        <v>3090000</v>
      </c>
      <c r="E240" t="s">
        <v>369</v>
      </c>
      <c r="F240" s="20" t="s">
        <v>370</v>
      </c>
      <c r="G240" s="8" t="str">
        <f t="shared" si="3"/>
        <v>LAMAR NEKESHA</v>
      </c>
    </row>
    <row r="241" spans="1:7" x14ac:dyDescent="0.25">
      <c r="A241" s="8">
        <v>42927.903310185182</v>
      </c>
      <c r="B241" t="s">
        <v>512</v>
      </c>
      <c r="C241" t="s">
        <v>802</v>
      </c>
      <c r="D241" s="138">
        <v>2090000</v>
      </c>
      <c r="E241" t="s">
        <v>401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42927.903854166667</v>
      </c>
      <c r="B242" t="s">
        <v>522</v>
      </c>
      <c r="C242" t="s">
        <v>607</v>
      </c>
      <c r="D242" s="138">
        <v>3340000</v>
      </c>
      <c r="E242" t="s">
        <v>510</v>
      </c>
      <c r="F242" s="20" t="s">
        <v>511</v>
      </c>
      <c r="G242" s="8" t="str">
        <f t="shared" si="3"/>
        <v>ELBAUM MIKE</v>
      </c>
    </row>
    <row r="243" spans="1:7" x14ac:dyDescent="0.25">
      <c r="A243" s="8">
        <v>42927.904456018521</v>
      </c>
      <c r="B243" t="s">
        <v>336</v>
      </c>
      <c r="C243" t="s">
        <v>803</v>
      </c>
      <c r="D243" s="138">
        <v>3000000</v>
      </c>
      <c r="E243" t="s">
        <v>390</v>
      </c>
      <c r="F243" s="20" t="s">
        <v>391</v>
      </c>
      <c r="G243" s="8" t="str">
        <f t="shared" si="3"/>
        <v>FORTUNATO FRANK</v>
      </c>
    </row>
    <row r="244" spans="1:7" x14ac:dyDescent="0.25">
      <c r="A244" s="8">
        <v>42927.919027777774</v>
      </c>
      <c r="B244" t="s">
        <v>529</v>
      </c>
      <c r="C244" t="s">
        <v>804</v>
      </c>
      <c r="D244" s="138">
        <v>3340000</v>
      </c>
      <c r="E244" t="s">
        <v>510</v>
      </c>
      <c r="F244" s="20" t="s">
        <v>511</v>
      </c>
      <c r="G244" s="8" t="str">
        <f t="shared" si="3"/>
        <v>ELBAUM MIKE</v>
      </c>
    </row>
    <row r="245" spans="1:7" x14ac:dyDescent="0.25">
      <c r="A245" s="8">
        <v>42927.927939814814</v>
      </c>
      <c r="B245" t="s">
        <v>426</v>
      </c>
      <c r="C245" t="s">
        <v>608</v>
      </c>
      <c r="D245" s="138">
        <v>3280000</v>
      </c>
      <c r="E245" t="s">
        <v>508</v>
      </c>
      <c r="F245" s="20" t="s">
        <v>509</v>
      </c>
      <c r="G245" s="8" t="str">
        <f t="shared" si="3"/>
        <v>BIRKHOLZ NADINE</v>
      </c>
    </row>
    <row r="246" spans="1:7" x14ac:dyDescent="0.25">
      <c r="A246" s="8">
        <v>42927.933680555558</v>
      </c>
      <c r="B246" t="s">
        <v>353</v>
      </c>
      <c r="C246" t="s">
        <v>805</v>
      </c>
      <c r="D246" s="138">
        <v>3090000</v>
      </c>
      <c r="E246" t="s">
        <v>369</v>
      </c>
      <c r="F246" s="20" t="s">
        <v>370</v>
      </c>
      <c r="G246" s="8" t="str">
        <f t="shared" si="3"/>
        <v>LAMAR NEKESHA</v>
      </c>
    </row>
    <row r="247" spans="1:7" x14ac:dyDescent="0.25">
      <c r="A247" s="8">
        <v>42927.94253472222</v>
      </c>
      <c r="B247" t="s">
        <v>522</v>
      </c>
      <c r="C247" t="s">
        <v>806</v>
      </c>
      <c r="D247" s="138">
        <v>3340000</v>
      </c>
      <c r="E247" t="s">
        <v>510</v>
      </c>
      <c r="F247" s="20" t="s">
        <v>511</v>
      </c>
      <c r="G247" s="8" t="str">
        <f t="shared" si="3"/>
        <v>ELBAUM MIKE</v>
      </c>
    </row>
    <row r="248" spans="1:7" x14ac:dyDescent="0.25">
      <c r="A248" s="8">
        <v>42927.945462962962</v>
      </c>
      <c r="B248" t="s">
        <v>530</v>
      </c>
      <c r="C248" t="s">
        <v>807</v>
      </c>
      <c r="D248" s="138">
        <v>2090000</v>
      </c>
      <c r="E248" t="s">
        <v>401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42927.948634259257</v>
      </c>
      <c r="B249" t="s">
        <v>503</v>
      </c>
      <c r="C249" t="s">
        <v>808</v>
      </c>
      <c r="D249" s="138">
        <v>3000000</v>
      </c>
      <c r="E249" t="s">
        <v>390</v>
      </c>
      <c r="F249" s="20" t="s">
        <v>391</v>
      </c>
      <c r="G249" s="8" t="str">
        <f t="shared" si="3"/>
        <v>FORTUNATO FRANK</v>
      </c>
    </row>
    <row r="250" spans="1:7" x14ac:dyDescent="0.25">
      <c r="A250" s="8">
        <v>42927.972488425927</v>
      </c>
      <c r="B250" t="s">
        <v>383</v>
      </c>
      <c r="C250" t="s">
        <v>809</v>
      </c>
      <c r="D250" s="138">
        <v>3280000</v>
      </c>
      <c r="E250" t="s">
        <v>508</v>
      </c>
      <c r="F250" s="20" t="s">
        <v>509</v>
      </c>
      <c r="G250" s="8" t="str">
        <f t="shared" si="3"/>
        <v>BIRKHOLZ NADINE</v>
      </c>
    </row>
    <row r="251" spans="1:7" x14ac:dyDescent="0.25">
      <c r="A251" s="8">
        <v>42927.973796296297</v>
      </c>
      <c r="B251" t="s">
        <v>459</v>
      </c>
      <c r="C251" t="s">
        <v>609</v>
      </c>
      <c r="D251" s="138">
        <v>3090000</v>
      </c>
      <c r="E251" t="s">
        <v>369</v>
      </c>
      <c r="F251" s="20" t="s">
        <v>370</v>
      </c>
      <c r="G251" s="8" t="str">
        <f t="shared" si="3"/>
        <v>LAMAR NEKESHA</v>
      </c>
    </row>
    <row r="252" spans="1:7" x14ac:dyDescent="0.25">
      <c r="A252" s="8">
        <v>42927.985474537039</v>
      </c>
      <c r="B252" t="s">
        <v>336</v>
      </c>
      <c r="C252" t="s">
        <v>810</v>
      </c>
      <c r="D252" s="138">
        <v>3000000</v>
      </c>
      <c r="E252" t="s">
        <v>390</v>
      </c>
      <c r="F252" s="20" t="s">
        <v>391</v>
      </c>
      <c r="G252" s="8" t="str">
        <f t="shared" si="3"/>
        <v>FORTUNATO FRANK</v>
      </c>
    </row>
    <row r="253" spans="1:7" x14ac:dyDescent="0.25">
      <c r="A253" s="8">
        <v>42927.985613425924</v>
      </c>
      <c r="B253" t="s">
        <v>512</v>
      </c>
      <c r="C253" t="s">
        <v>811</v>
      </c>
      <c r="D253" s="138">
        <v>2090000</v>
      </c>
      <c r="E253" t="s">
        <v>401</v>
      </c>
      <c r="F253" s="20" t="s">
        <v>192</v>
      </c>
      <c r="G253" s="8" t="str">
        <f t="shared" si="3"/>
        <v>HAITHCOX MICHAEL</v>
      </c>
    </row>
    <row r="254" spans="1:7" x14ac:dyDescent="0.25">
      <c r="A254" s="8">
        <v>42928.012627314813</v>
      </c>
      <c r="B254" t="s">
        <v>426</v>
      </c>
      <c r="C254" t="s">
        <v>812</v>
      </c>
      <c r="D254" s="138">
        <v>3280000</v>
      </c>
      <c r="E254" t="s">
        <v>508</v>
      </c>
      <c r="F254" s="20" t="s">
        <v>509</v>
      </c>
      <c r="G254" s="8" t="str">
        <f t="shared" si="3"/>
        <v>BIRKHOLZ NADINE</v>
      </c>
    </row>
    <row r="255" spans="1:7" x14ac:dyDescent="0.25">
      <c r="A255" s="8">
        <v>42928.016597222224</v>
      </c>
      <c r="B255" t="s">
        <v>353</v>
      </c>
      <c r="C255" t="s">
        <v>813</v>
      </c>
      <c r="D255" s="138">
        <v>3090000</v>
      </c>
      <c r="E255" t="s">
        <v>369</v>
      </c>
      <c r="F255" s="20" t="s">
        <v>370</v>
      </c>
      <c r="G255" s="8" t="str">
        <f t="shared" si="3"/>
        <v>LAMAR NEKESHA</v>
      </c>
    </row>
    <row r="256" spans="1:7" x14ac:dyDescent="0.25">
      <c r="A256" s="8">
        <v>42928.026898148149</v>
      </c>
      <c r="B256" t="s">
        <v>530</v>
      </c>
      <c r="C256" t="s">
        <v>814</v>
      </c>
      <c r="D256" s="138">
        <v>2090000</v>
      </c>
      <c r="E256" t="s">
        <v>401</v>
      </c>
      <c r="F256" s="20" t="s">
        <v>192</v>
      </c>
      <c r="G256" s="8" t="str">
        <f t="shared" si="3"/>
        <v>HAITHCOX MICHAEL</v>
      </c>
    </row>
    <row r="257" spans="1:7" x14ac:dyDescent="0.25">
      <c r="A257" s="8">
        <v>42928.02784722222</v>
      </c>
      <c r="B257" t="s">
        <v>530</v>
      </c>
      <c r="C257" t="s">
        <v>814</v>
      </c>
      <c r="D257" s="138">
        <v>2090000</v>
      </c>
      <c r="E257" t="s">
        <v>401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42928.031273148146</v>
      </c>
      <c r="B258" t="s">
        <v>503</v>
      </c>
      <c r="C258" t="s">
        <v>815</v>
      </c>
      <c r="D258" s="138">
        <v>3000000</v>
      </c>
      <c r="E258" t="s">
        <v>390</v>
      </c>
      <c r="F258" s="20" t="s">
        <v>391</v>
      </c>
      <c r="G258" s="8" t="str">
        <f t="shared" si="3"/>
        <v>FORTUNATO FRANK</v>
      </c>
    </row>
    <row r="259" spans="1:7" x14ac:dyDescent="0.25">
      <c r="A259" s="8">
        <v>42928.049131944441</v>
      </c>
      <c r="B259" t="s">
        <v>383</v>
      </c>
      <c r="C259" t="s">
        <v>816</v>
      </c>
      <c r="D259" s="138">
        <v>3280000</v>
      </c>
      <c r="E259" t="s">
        <v>508</v>
      </c>
      <c r="F259" s="20" t="s">
        <v>509</v>
      </c>
      <c r="G259" s="8" t="str">
        <f t="shared" ref="G259:G322" si="4">E259&amp;" "&amp;F259</f>
        <v>BIRKHOLZ NADINE</v>
      </c>
    </row>
    <row r="260" spans="1:7" x14ac:dyDescent="0.25">
      <c r="A260" s="8">
        <v>42928.056886574072</v>
      </c>
      <c r="B260" t="s">
        <v>459</v>
      </c>
      <c r="C260" t="s">
        <v>817</v>
      </c>
      <c r="D260" s="138">
        <v>3090000</v>
      </c>
      <c r="E260" t="s">
        <v>369</v>
      </c>
      <c r="F260" s="20" t="s">
        <v>370</v>
      </c>
      <c r="G260" s="8" t="str">
        <f t="shared" si="4"/>
        <v>LAMAR NEKESHA</v>
      </c>
    </row>
    <row r="261" spans="1:7" x14ac:dyDescent="0.25">
      <c r="A261" s="8">
        <v>42928.069016203706</v>
      </c>
      <c r="B261" t="s">
        <v>336</v>
      </c>
      <c r="C261" t="s">
        <v>818</v>
      </c>
      <c r="D261" s="138">
        <v>3000000</v>
      </c>
      <c r="E261" t="s">
        <v>390</v>
      </c>
      <c r="F261" s="20" t="s">
        <v>391</v>
      </c>
      <c r="G261" s="8" t="str">
        <f t="shared" si="4"/>
        <v>FORTUNATO FRANK</v>
      </c>
    </row>
    <row r="262" spans="1:7" x14ac:dyDescent="0.25">
      <c r="A262" s="8">
        <v>42928.069699074076</v>
      </c>
      <c r="B262" t="s">
        <v>336</v>
      </c>
      <c r="C262" t="s">
        <v>818</v>
      </c>
      <c r="D262" s="138">
        <v>3000000</v>
      </c>
      <c r="E262" t="s">
        <v>390</v>
      </c>
      <c r="F262" s="20" t="s">
        <v>391</v>
      </c>
      <c r="G262" s="8" t="str">
        <f t="shared" si="4"/>
        <v>FORTUNATO FRANK</v>
      </c>
    </row>
    <row r="263" spans="1:7" x14ac:dyDescent="0.25">
      <c r="A263" s="8">
        <v>42928.070706018516</v>
      </c>
      <c r="B263" t="s">
        <v>336</v>
      </c>
      <c r="C263" t="s">
        <v>818</v>
      </c>
      <c r="D263" s="138">
        <v>3000000</v>
      </c>
      <c r="E263" t="s">
        <v>390</v>
      </c>
      <c r="F263" s="20" t="s">
        <v>391</v>
      </c>
      <c r="G263" s="8" t="str">
        <f t="shared" si="4"/>
        <v>FORTUNATO FRANK</v>
      </c>
    </row>
    <row r="264" spans="1:7" x14ac:dyDescent="0.25">
      <c r="A264" s="8">
        <v>42928.089282407411</v>
      </c>
      <c r="B264" t="s">
        <v>353</v>
      </c>
      <c r="C264" t="s">
        <v>819</v>
      </c>
      <c r="D264" s="138">
        <v>3090000</v>
      </c>
      <c r="E264" t="s">
        <v>369</v>
      </c>
      <c r="F264" s="20" t="s">
        <v>370</v>
      </c>
      <c r="G264" s="8" t="str">
        <f t="shared" si="4"/>
        <v>LAMAR NEKESHA</v>
      </c>
    </row>
    <row r="265" spans="1:7" x14ac:dyDescent="0.25">
      <c r="A265" s="8">
        <v>42923.095034722224</v>
      </c>
      <c r="B265" t="s">
        <v>336</v>
      </c>
      <c r="C265" t="s">
        <v>504</v>
      </c>
      <c r="D265" s="138">
        <v>3000000</v>
      </c>
      <c r="E265" t="s">
        <v>390</v>
      </c>
      <c r="F265" s="20" t="s">
        <v>391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512</v>
      </c>
      <c r="C266" t="s">
        <v>513</v>
      </c>
      <c r="D266" s="138">
        <v>1110000</v>
      </c>
      <c r="E266" t="s">
        <v>449</v>
      </c>
      <c r="F266" s="20" t="s">
        <v>450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419</v>
      </c>
      <c r="C267" t="s">
        <v>465</v>
      </c>
      <c r="D267" s="138">
        <v>2090000</v>
      </c>
      <c r="E267" t="s">
        <v>401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396</v>
      </c>
      <c r="C268" t="s">
        <v>466</v>
      </c>
      <c r="D268" s="138">
        <v>2000000</v>
      </c>
      <c r="E268" t="s">
        <v>405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426</v>
      </c>
      <c r="C269" t="s">
        <v>467</v>
      </c>
      <c r="D269" s="138">
        <v>3090000</v>
      </c>
      <c r="E269" t="s">
        <v>369</v>
      </c>
      <c r="F269" s="20" t="s">
        <v>370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397</v>
      </c>
      <c r="C270" t="s">
        <v>468</v>
      </c>
      <c r="D270" s="138">
        <v>2610000</v>
      </c>
      <c r="E270" t="s">
        <v>387</v>
      </c>
      <c r="F270" s="20" t="s">
        <v>388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419</v>
      </c>
      <c r="C271" t="s">
        <v>465</v>
      </c>
      <c r="D271" s="138">
        <v>2090000</v>
      </c>
      <c r="E271" t="s">
        <v>401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395</v>
      </c>
      <c r="C272" t="s">
        <v>469</v>
      </c>
      <c r="D272" s="138">
        <v>2000000</v>
      </c>
      <c r="E272" t="s">
        <v>405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398</v>
      </c>
      <c r="C273" t="s">
        <v>468</v>
      </c>
      <c r="D273" s="138">
        <v>2610000</v>
      </c>
      <c r="E273" t="s">
        <v>387</v>
      </c>
      <c r="F273" s="20" t="s">
        <v>388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462</v>
      </c>
      <c r="C274" t="s">
        <v>470</v>
      </c>
      <c r="D274" s="138">
        <v>3000000</v>
      </c>
      <c r="E274" t="s">
        <v>390</v>
      </c>
      <c r="F274" s="20" t="s">
        <v>391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397</v>
      </c>
      <c r="C275" t="s">
        <v>471</v>
      </c>
      <c r="D275" s="138">
        <v>2230000</v>
      </c>
      <c r="E275" t="s">
        <v>338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396</v>
      </c>
      <c r="C276" t="s">
        <v>472</v>
      </c>
      <c r="D276" s="138">
        <v>2000000</v>
      </c>
      <c r="E276" t="s">
        <v>405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422</v>
      </c>
      <c r="C277" t="s">
        <v>473</v>
      </c>
      <c r="D277" s="138">
        <v>2090000</v>
      </c>
      <c r="E277" t="s">
        <v>401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383</v>
      </c>
      <c r="C278" t="s">
        <v>474</v>
      </c>
      <c r="D278" s="138">
        <v>3090000</v>
      </c>
      <c r="E278" t="s">
        <v>369</v>
      </c>
      <c r="F278" s="20" t="s">
        <v>370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395</v>
      </c>
      <c r="C279" t="s">
        <v>475</v>
      </c>
      <c r="D279" s="138">
        <v>2000000</v>
      </c>
      <c r="E279" t="s">
        <v>405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461</v>
      </c>
      <c r="C280" t="s">
        <v>476</v>
      </c>
      <c r="D280" s="138">
        <v>3000000</v>
      </c>
      <c r="E280" t="s">
        <v>390</v>
      </c>
      <c r="F280" s="20" t="s">
        <v>391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398</v>
      </c>
      <c r="C281" t="s">
        <v>477</v>
      </c>
      <c r="D281" s="138">
        <v>2230000</v>
      </c>
      <c r="E281" t="s">
        <v>338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396</v>
      </c>
      <c r="C282" t="s">
        <v>475</v>
      </c>
      <c r="D282" s="138">
        <v>2000000</v>
      </c>
      <c r="E282" t="s">
        <v>405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419</v>
      </c>
      <c r="C283" t="s">
        <v>478</v>
      </c>
      <c r="D283" s="138">
        <v>2090000</v>
      </c>
      <c r="E283" t="s">
        <v>401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353</v>
      </c>
      <c r="C284" t="s">
        <v>479</v>
      </c>
      <c r="D284" s="138">
        <v>2610000</v>
      </c>
      <c r="E284" t="s">
        <v>387</v>
      </c>
      <c r="F284" s="20" t="s">
        <v>388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459</v>
      </c>
      <c r="C285" t="s">
        <v>480</v>
      </c>
      <c r="D285" s="138">
        <v>2610000</v>
      </c>
      <c r="E285" t="s">
        <v>387</v>
      </c>
      <c r="F285" s="20" t="s">
        <v>388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426</v>
      </c>
      <c r="C286" t="s">
        <v>481</v>
      </c>
      <c r="D286" s="138">
        <v>3090000</v>
      </c>
      <c r="E286" t="s">
        <v>369</v>
      </c>
      <c r="F286" s="20" t="s">
        <v>370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462</v>
      </c>
      <c r="C287" t="s">
        <v>482</v>
      </c>
      <c r="D287" s="138">
        <v>3000000</v>
      </c>
      <c r="E287" t="s">
        <v>390</v>
      </c>
      <c r="F287" s="20" t="s">
        <v>391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353</v>
      </c>
      <c r="C288" t="s">
        <v>483</v>
      </c>
      <c r="D288" s="138">
        <v>2230000</v>
      </c>
      <c r="E288" t="s">
        <v>338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422</v>
      </c>
      <c r="C289" t="s">
        <v>463</v>
      </c>
      <c r="D289" s="138">
        <v>2090000</v>
      </c>
      <c r="E289" t="s">
        <v>401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383</v>
      </c>
      <c r="C290" t="s">
        <v>484</v>
      </c>
      <c r="D290" s="138">
        <v>3090000</v>
      </c>
      <c r="E290" t="s">
        <v>369</v>
      </c>
      <c r="F290" s="20" t="s">
        <v>370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461</v>
      </c>
      <c r="C291" t="s">
        <v>485</v>
      </c>
      <c r="D291" s="138">
        <v>3000000</v>
      </c>
      <c r="E291" t="s">
        <v>390</v>
      </c>
      <c r="F291" s="20" t="s">
        <v>391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419</v>
      </c>
      <c r="C292" t="s">
        <v>486</v>
      </c>
      <c r="D292" s="138">
        <v>2090000</v>
      </c>
      <c r="E292" t="s">
        <v>401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426</v>
      </c>
      <c r="C293" t="s">
        <v>487</v>
      </c>
      <c r="D293" s="138">
        <v>3090000</v>
      </c>
      <c r="E293" t="s">
        <v>369</v>
      </c>
      <c r="F293" s="20" t="s">
        <v>370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353</v>
      </c>
      <c r="C294" t="s">
        <v>488</v>
      </c>
      <c r="D294" s="138">
        <v>2230000</v>
      </c>
      <c r="E294" t="s">
        <v>338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383</v>
      </c>
      <c r="C295" t="s">
        <v>489</v>
      </c>
      <c r="D295" s="138">
        <v>3090000</v>
      </c>
      <c r="E295" t="s">
        <v>369</v>
      </c>
      <c r="F295" s="20" t="s">
        <v>370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383</v>
      </c>
      <c r="C296" t="s">
        <v>489</v>
      </c>
      <c r="D296" s="138">
        <v>3090000</v>
      </c>
      <c r="E296" t="s">
        <v>369</v>
      </c>
      <c r="F296" s="20" t="s">
        <v>370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383</v>
      </c>
      <c r="C297" t="s">
        <v>489</v>
      </c>
      <c r="D297" s="138">
        <v>3090000</v>
      </c>
      <c r="E297" t="s">
        <v>369</v>
      </c>
      <c r="F297" s="20" t="s">
        <v>370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353</v>
      </c>
      <c r="C298" t="s">
        <v>378</v>
      </c>
      <c r="D298" s="138">
        <v>2230000</v>
      </c>
      <c r="E298" t="s">
        <v>338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362</v>
      </c>
      <c r="C299" t="s">
        <v>364</v>
      </c>
      <c r="D299" s="138">
        <v>2970000</v>
      </c>
      <c r="E299" t="s">
        <v>371</v>
      </c>
      <c r="F299" s="20" t="s">
        <v>372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363</v>
      </c>
      <c r="C300" t="s">
        <v>367</v>
      </c>
      <c r="D300" s="138">
        <v>3130000</v>
      </c>
      <c r="E300" t="s">
        <v>376</v>
      </c>
      <c r="F300" s="20" t="s">
        <v>377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362</v>
      </c>
      <c r="C301" t="s">
        <v>364</v>
      </c>
      <c r="D301" s="138">
        <v>2970000</v>
      </c>
      <c r="E301" t="s">
        <v>371</v>
      </c>
      <c r="F301" s="20" t="s">
        <v>372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359</v>
      </c>
      <c r="C302" t="s">
        <v>365</v>
      </c>
      <c r="D302" s="138">
        <v>3040000</v>
      </c>
      <c r="E302" t="s">
        <v>374</v>
      </c>
      <c r="F302" s="20" t="s">
        <v>375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359</v>
      </c>
      <c r="C303" t="s">
        <v>365</v>
      </c>
      <c r="D303" s="138">
        <v>3040000</v>
      </c>
      <c r="E303" t="s">
        <v>374</v>
      </c>
      <c r="F303" s="20" t="s">
        <v>375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337</v>
      </c>
      <c r="C304" t="s">
        <v>379</v>
      </c>
      <c r="D304" s="138">
        <v>3030000</v>
      </c>
      <c r="E304" t="s">
        <v>373</v>
      </c>
      <c r="F304" s="20" t="s">
        <v>361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368</v>
      </c>
      <c r="C305" t="s">
        <v>364</v>
      </c>
      <c r="D305" s="138">
        <v>2970000</v>
      </c>
      <c r="E305" t="s">
        <v>371</v>
      </c>
      <c r="F305" s="20" t="s">
        <v>372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362</v>
      </c>
      <c r="C306" t="s">
        <v>364</v>
      </c>
      <c r="D306" s="138">
        <v>2970000</v>
      </c>
      <c r="E306" t="s">
        <v>371</v>
      </c>
      <c r="F306" s="20" t="s">
        <v>372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360</v>
      </c>
      <c r="C307" t="s">
        <v>365</v>
      </c>
      <c r="D307" s="138">
        <v>3040000</v>
      </c>
      <c r="E307" t="s">
        <v>374</v>
      </c>
      <c r="F307" s="20" t="s">
        <v>375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366</v>
      </c>
      <c r="C308" t="s">
        <v>380</v>
      </c>
      <c r="D308" s="138">
        <v>3130000</v>
      </c>
      <c r="E308" t="s">
        <v>376</v>
      </c>
      <c r="F308" s="20" t="s">
        <v>377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359</v>
      </c>
      <c r="C309" t="s">
        <v>365</v>
      </c>
      <c r="D309" s="138">
        <v>3040000</v>
      </c>
      <c r="E309" t="s">
        <v>374</v>
      </c>
      <c r="F309" s="20" t="s">
        <v>375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368</v>
      </c>
      <c r="C310" t="s">
        <v>364</v>
      </c>
      <c r="D310" s="138">
        <v>2970000</v>
      </c>
      <c r="E310" t="s">
        <v>371</v>
      </c>
      <c r="F310" s="20" t="s">
        <v>372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362</v>
      </c>
      <c r="C311" t="s">
        <v>364</v>
      </c>
      <c r="D311" s="138">
        <v>2970000</v>
      </c>
      <c r="E311" t="s">
        <v>371</v>
      </c>
      <c r="F311" s="20" t="s">
        <v>372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820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406</v>
      </c>
      <c r="P1" s="171" t="s">
        <v>156</v>
      </c>
      <c r="Q1" s="171" t="s">
        <v>163</v>
      </c>
      <c r="R1" s="171" t="s">
        <v>407</v>
      </c>
      <c r="S1" s="171" t="s">
        <v>160</v>
      </c>
    </row>
    <row r="2" spans="1:19" x14ac:dyDescent="0.25">
      <c r="A2" s="172">
        <v>71.78</v>
      </c>
      <c r="B2" s="172">
        <v>0.72</v>
      </c>
      <c r="C2" s="172">
        <v>49.09</v>
      </c>
      <c r="D2" s="8">
        <v>42927</v>
      </c>
      <c r="E2" s="172">
        <v>0.45</v>
      </c>
      <c r="F2" s="172" t="s">
        <v>490</v>
      </c>
      <c r="G2" s="172">
        <v>294.33999999999997</v>
      </c>
      <c r="H2" s="172">
        <v>0</v>
      </c>
      <c r="I2" s="172">
        <v>0</v>
      </c>
      <c r="J2" s="172"/>
      <c r="K2" s="172">
        <v>1008.82</v>
      </c>
      <c r="L2" s="172" t="s">
        <v>821</v>
      </c>
      <c r="M2" s="172">
        <v>71.78</v>
      </c>
      <c r="N2" s="172">
        <v>1499752800</v>
      </c>
      <c r="O2" s="172">
        <v>0</v>
      </c>
      <c r="P2" s="172">
        <v>10</v>
      </c>
      <c r="Q2" s="172">
        <v>26</v>
      </c>
      <c r="R2" s="172">
        <v>6.55</v>
      </c>
      <c r="S2" s="172">
        <v>3.63</v>
      </c>
    </row>
    <row r="3" spans="1:19" x14ac:dyDescent="0.25">
      <c r="A3" s="172">
        <v>69.989999999999995</v>
      </c>
      <c r="B3" s="172">
        <v>0.55000000000000004</v>
      </c>
      <c r="C3" s="172">
        <v>49.33</v>
      </c>
      <c r="D3" s="8">
        <v>42927.041666666664</v>
      </c>
      <c r="E3" s="172">
        <v>0.48</v>
      </c>
      <c r="F3" s="172" t="s">
        <v>490</v>
      </c>
      <c r="G3" s="172">
        <v>294.33999999999997</v>
      </c>
      <c r="H3" s="172">
        <v>0</v>
      </c>
      <c r="I3" s="172">
        <v>0</v>
      </c>
      <c r="J3" s="172"/>
      <c r="K3" s="172">
        <v>1008.64</v>
      </c>
      <c r="L3" s="172" t="s">
        <v>418</v>
      </c>
      <c r="M3" s="172">
        <v>69.989999999999995</v>
      </c>
      <c r="N3" s="172">
        <v>1499756400</v>
      </c>
      <c r="O3" s="172">
        <v>0</v>
      </c>
      <c r="P3" s="172">
        <v>10</v>
      </c>
      <c r="Q3" s="172">
        <v>30</v>
      </c>
      <c r="R3" s="172">
        <v>4.5199999999999996</v>
      </c>
      <c r="S3" s="172">
        <v>3.35</v>
      </c>
    </row>
    <row r="4" spans="1:19" x14ac:dyDescent="0.25">
      <c r="A4" s="172">
        <v>68.959999999999994</v>
      </c>
      <c r="B4" s="172">
        <v>0.55000000000000004</v>
      </c>
      <c r="C4" s="172">
        <v>49.8</v>
      </c>
      <c r="D4" s="8">
        <v>42927.083333333336</v>
      </c>
      <c r="E4" s="172">
        <v>0.5</v>
      </c>
      <c r="F4" s="172" t="s">
        <v>490</v>
      </c>
      <c r="G4" s="172">
        <v>294.44</v>
      </c>
      <c r="H4" s="172">
        <v>0</v>
      </c>
      <c r="I4" s="172">
        <v>0</v>
      </c>
      <c r="J4" s="172"/>
      <c r="K4" s="172">
        <v>1008.3</v>
      </c>
      <c r="L4" s="172" t="s">
        <v>418</v>
      </c>
      <c r="M4" s="172">
        <v>68.959999999999994</v>
      </c>
      <c r="N4" s="172">
        <v>1499760000</v>
      </c>
      <c r="O4" s="172">
        <v>0</v>
      </c>
      <c r="P4" s="172">
        <v>10</v>
      </c>
      <c r="Q4" s="172">
        <v>62</v>
      </c>
      <c r="R4" s="172">
        <v>4.8899999999999997</v>
      </c>
      <c r="S4" s="172">
        <v>2.93</v>
      </c>
    </row>
    <row r="5" spans="1:19" x14ac:dyDescent="0.25">
      <c r="A5" s="172">
        <v>67.38</v>
      </c>
      <c r="B5" s="172">
        <v>0.51</v>
      </c>
      <c r="C5" s="172">
        <v>49.74</v>
      </c>
      <c r="D5" s="8">
        <v>42927.125</v>
      </c>
      <c r="E5" s="172">
        <v>0.53</v>
      </c>
      <c r="F5" s="172" t="s">
        <v>490</v>
      </c>
      <c r="G5" s="172">
        <v>294.33</v>
      </c>
      <c r="H5" s="172">
        <v>2.5000000000000001E-3</v>
      </c>
      <c r="I5" s="172">
        <v>0.01</v>
      </c>
      <c r="J5" s="172" t="s">
        <v>822</v>
      </c>
      <c r="K5" s="172">
        <v>1008.38</v>
      </c>
      <c r="L5" s="172" t="s">
        <v>418</v>
      </c>
      <c r="M5" s="172">
        <v>67.38</v>
      </c>
      <c r="N5" s="172">
        <v>1499763600</v>
      </c>
      <c r="O5" s="172">
        <v>0</v>
      </c>
      <c r="P5" s="172">
        <v>10</v>
      </c>
      <c r="Q5" s="172">
        <v>211</v>
      </c>
      <c r="R5" s="172">
        <v>6.47</v>
      </c>
      <c r="S5" s="172">
        <v>3.76</v>
      </c>
    </row>
    <row r="6" spans="1:19" x14ac:dyDescent="0.25">
      <c r="A6" s="172">
        <v>66.510000000000005</v>
      </c>
      <c r="B6" s="172">
        <v>0.43</v>
      </c>
      <c r="C6" s="172">
        <v>49.6</v>
      </c>
      <c r="D6" s="8">
        <v>42927.166666666664</v>
      </c>
      <c r="E6" s="172">
        <v>0.55000000000000004</v>
      </c>
      <c r="F6" s="172" t="s">
        <v>490</v>
      </c>
      <c r="G6" s="172">
        <v>293.76</v>
      </c>
      <c r="H6" s="172">
        <v>0</v>
      </c>
      <c r="I6" s="172">
        <v>0</v>
      </c>
      <c r="J6" s="172"/>
      <c r="K6" s="172">
        <v>1008.29</v>
      </c>
      <c r="L6" s="172" t="s">
        <v>418</v>
      </c>
      <c r="M6" s="172">
        <v>66.510000000000005</v>
      </c>
      <c r="N6" s="172">
        <v>1499767200</v>
      </c>
      <c r="O6" s="172">
        <v>0</v>
      </c>
      <c r="P6" s="172">
        <v>10</v>
      </c>
      <c r="Q6" s="172">
        <v>246</v>
      </c>
      <c r="R6" s="172">
        <v>7.99</v>
      </c>
      <c r="S6" s="172">
        <v>3.91</v>
      </c>
    </row>
    <row r="7" spans="1:19" x14ac:dyDescent="0.25">
      <c r="A7" s="172">
        <v>65.53</v>
      </c>
      <c r="B7" s="172">
        <v>0.41</v>
      </c>
      <c r="C7" s="172">
        <v>49.58</v>
      </c>
      <c r="D7" s="8">
        <v>42927.208333333336</v>
      </c>
      <c r="E7" s="172">
        <v>0.56000000000000005</v>
      </c>
      <c r="F7" s="172" t="s">
        <v>490</v>
      </c>
      <c r="G7" s="172">
        <v>292.98</v>
      </c>
      <c r="H7" s="172">
        <v>0</v>
      </c>
      <c r="I7" s="172">
        <v>0</v>
      </c>
      <c r="J7" s="172"/>
      <c r="K7" s="172">
        <v>1008.38</v>
      </c>
      <c r="L7" s="172" t="s">
        <v>418</v>
      </c>
      <c r="M7" s="172">
        <v>65.53</v>
      </c>
      <c r="N7" s="172">
        <v>1499770800</v>
      </c>
      <c r="O7" s="172">
        <v>0</v>
      </c>
      <c r="P7" s="172">
        <v>10</v>
      </c>
      <c r="Q7" s="172">
        <v>230</v>
      </c>
      <c r="R7" s="172">
        <v>6.23</v>
      </c>
      <c r="S7" s="172">
        <v>3.76</v>
      </c>
    </row>
    <row r="8" spans="1:19" x14ac:dyDescent="0.25">
      <c r="A8" s="172">
        <v>66.45</v>
      </c>
      <c r="B8" s="172">
        <v>0.17</v>
      </c>
      <c r="C8" s="172">
        <v>47.45</v>
      </c>
      <c r="D8" s="8">
        <v>42927.25</v>
      </c>
      <c r="E8" s="172">
        <v>0.5</v>
      </c>
      <c r="F8" s="172" t="s">
        <v>403</v>
      </c>
      <c r="G8" s="172">
        <v>292.41000000000003</v>
      </c>
      <c r="H8" s="172">
        <v>0</v>
      </c>
      <c r="I8" s="172">
        <v>0</v>
      </c>
      <c r="J8" s="172"/>
      <c r="K8" s="172">
        <v>1008.59</v>
      </c>
      <c r="L8" s="172" t="s">
        <v>402</v>
      </c>
      <c r="M8" s="172">
        <v>66.45</v>
      </c>
      <c r="N8" s="172">
        <v>1499774400</v>
      </c>
      <c r="O8" s="172">
        <v>0</v>
      </c>
      <c r="P8" s="172">
        <v>10</v>
      </c>
      <c r="Q8" s="172">
        <v>229</v>
      </c>
      <c r="R8" s="172">
        <v>6.06</v>
      </c>
      <c r="S8" s="172">
        <v>4.16</v>
      </c>
    </row>
    <row r="9" spans="1:19" x14ac:dyDescent="0.25">
      <c r="A9" s="172">
        <v>68.81</v>
      </c>
      <c r="B9" s="172">
        <v>0.21</v>
      </c>
      <c r="C9" s="172">
        <v>47.57</v>
      </c>
      <c r="D9" s="8">
        <v>42927.291666666664</v>
      </c>
      <c r="E9" s="172">
        <v>0.47</v>
      </c>
      <c r="F9" s="172" t="s">
        <v>403</v>
      </c>
      <c r="G9" s="172">
        <v>291.95999999999998</v>
      </c>
      <c r="H9" s="172">
        <v>0</v>
      </c>
      <c r="I9" s="172">
        <v>0</v>
      </c>
      <c r="J9" s="172"/>
      <c r="K9" s="172">
        <v>1008.53</v>
      </c>
      <c r="L9" s="172" t="s">
        <v>402</v>
      </c>
      <c r="M9" s="172">
        <v>68.81</v>
      </c>
      <c r="N9" s="172">
        <v>1499778000</v>
      </c>
      <c r="O9" s="172">
        <v>1</v>
      </c>
      <c r="P9" s="172">
        <v>10</v>
      </c>
      <c r="Q9" s="172">
        <v>178</v>
      </c>
      <c r="R9" s="172">
        <v>7.62</v>
      </c>
      <c r="S9" s="172">
        <v>4.5199999999999996</v>
      </c>
    </row>
    <row r="10" spans="1:19" x14ac:dyDescent="0.25">
      <c r="A10" s="172">
        <v>73.13</v>
      </c>
      <c r="B10" s="172">
        <v>0.44</v>
      </c>
      <c r="C10" s="172">
        <v>48.03</v>
      </c>
      <c r="D10" s="8">
        <v>42927.333333333336</v>
      </c>
      <c r="E10" s="172">
        <v>0.41</v>
      </c>
      <c r="F10" s="172" t="s">
        <v>417</v>
      </c>
      <c r="G10" s="172">
        <v>291.74</v>
      </c>
      <c r="H10" s="172">
        <v>0</v>
      </c>
      <c r="I10" s="172">
        <v>0</v>
      </c>
      <c r="J10" s="172"/>
      <c r="K10" s="172">
        <v>1008.44</v>
      </c>
      <c r="L10" s="172" t="s">
        <v>418</v>
      </c>
      <c r="M10" s="172">
        <v>73.13</v>
      </c>
      <c r="N10" s="172">
        <v>1499781600</v>
      </c>
      <c r="O10" s="172">
        <v>1</v>
      </c>
      <c r="P10" s="172">
        <v>10</v>
      </c>
      <c r="Q10" s="172">
        <v>347</v>
      </c>
      <c r="R10" s="172">
        <v>7.42</v>
      </c>
      <c r="S10" s="172">
        <v>3.77</v>
      </c>
    </row>
    <row r="11" spans="1:19" x14ac:dyDescent="0.25">
      <c r="A11" s="172">
        <v>77.650000000000006</v>
      </c>
      <c r="B11" s="172">
        <v>0.42</v>
      </c>
      <c r="C11" s="172">
        <v>48.1</v>
      </c>
      <c r="D11" s="8">
        <v>42927.375</v>
      </c>
      <c r="E11" s="172">
        <v>0.35</v>
      </c>
      <c r="F11" s="172" t="s">
        <v>417</v>
      </c>
      <c r="G11" s="172">
        <v>291.51</v>
      </c>
      <c r="H11" s="172">
        <v>0</v>
      </c>
      <c r="I11" s="172">
        <v>0</v>
      </c>
      <c r="J11" s="172"/>
      <c r="K11" s="172">
        <v>1008.55</v>
      </c>
      <c r="L11" s="172" t="s">
        <v>418</v>
      </c>
      <c r="M11" s="172">
        <v>77.650000000000006</v>
      </c>
      <c r="N11" s="172">
        <v>1499785200</v>
      </c>
      <c r="O11" s="172">
        <v>2</v>
      </c>
      <c r="P11" s="172">
        <v>10</v>
      </c>
      <c r="Q11" s="172">
        <v>332</v>
      </c>
      <c r="R11" s="172">
        <v>5.58</v>
      </c>
      <c r="S11" s="172">
        <v>3.32</v>
      </c>
    </row>
    <row r="12" spans="1:19" x14ac:dyDescent="0.25">
      <c r="A12" s="172">
        <v>81.61</v>
      </c>
      <c r="B12" s="172">
        <v>0.42</v>
      </c>
      <c r="C12" s="172">
        <v>47.32</v>
      </c>
      <c r="D12" s="8">
        <v>42927.416666666664</v>
      </c>
      <c r="E12" s="172">
        <v>0.3</v>
      </c>
      <c r="F12" s="172" t="s">
        <v>417</v>
      </c>
      <c r="G12" s="172">
        <v>291.17</v>
      </c>
      <c r="H12" s="172">
        <v>0</v>
      </c>
      <c r="I12" s="172">
        <v>0</v>
      </c>
      <c r="J12" s="172"/>
      <c r="K12" s="172">
        <v>1008.12</v>
      </c>
      <c r="L12" s="172" t="s">
        <v>418</v>
      </c>
      <c r="M12" s="172">
        <v>81.61</v>
      </c>
      <c r="N12" s="172">
        <v>1499788800</v>
      </c>
      <c r="O12" s="172">
        <v>4</v>
      </c>
      <c r="P12" s="172">
        <v>10</v>
      </c>
      <c r="Q12" s="172">
        <v>349</v>
      </c>
      <c r="R12" s="172">
        <v>5.58</v>
      </c>
      <c r="S12" s="172">
        <v>3.88</v>
      </c>
    </row>
    <row r="13" spans="1:19" x14ac:dyDescent="0.25">
      <c r="A13" s="172">
        <v>84.74</v>
      </c>
      <c r="B13" s="172">
        <v>0.46</v>
      </c>
      <c r="C13" s="172">
        <v>45.99</v>
      </c>
      <c r="D13" s="8">
        <v>42927.458333333336</v>
      </c>
      <c r="E13" s="172">
        <v>0.26</v>
      </c>
      <c r="F13" s="172" t="s">
        <v>417</v>
      </c>
      <c r="G13" s="172">
        <v>290.94</v>
      </c>
      <c r="H13" s="172">
        <v>0</v>
      </c>
      <c r="I13" s="172">
        <v>0</v>
      </c>
      <c r="J13" s="172"/>
      <c r="K13" s="172">
        <v>1007.55</v>
      </c>
      <c r="L13" s="172" t="s">
        <v>418</v>
      </c>
      <c r="M13" s="172">
        <v>84.74</v>
      </c>
      <c r="N13" s="172">
        <v>1499792400</v>
      </c>
      <c r="O13" s="172">
        <v>6</v>
      </c>
      <c r="P13" s="172">
        <v>10</v>
      </c>
      <c r="Q13" s="172">
        <v>17</v>
      </c>
      <c r="R13" s="172">
        <v>4.7699999999999996</v>
      </c>
      <c r="S13" s="172">
        <v>4.4400000000000004</v>
      </c>
    </row>
    <row r="14" spans="1:19" x14ac:dyDescent="0.25">
      <c r="A14" s="172">
        <v>87.99</v>
      </c>
      <c r="B14" s="172">
        <v>0.4</v>
      </c>
      <c r="C14" s="172">
        <v>44.92</v>
      </c>
      <c r="D14" s="8">
        <v>42927.5</v>
      </c>
      <c r="E14" s="172">
        <v>0.22</v>
      </c>
      <c r="F14" s="172" t="s">
        <v>417</v>
      </c>
      <c r="G14" s="172">
        <v>289.45999999999998</v>
      </c>
      <c r="H14" s="172">
        <v>0</v>
      </c>
      <c r="I14" s="172">
        <v>0</v>
      </c>
      <c r="J14" s="172"/>
      <c r="K14" s="172">
        <v>1007.34</v>
      </c>
      <c r="L14" s="172" t="s">
        <v>418</v>
      </c>
      <c r="M14" s="172">
        <v>87.99</v>
      </c>
      <c r="N14" s="172">
        <v>1499796000</v>
      </c>
      <c r="O14" s="172">
        <v>9</v>
      </c>
      <c r="P14" s="172">
        <v>10</v>
      </c>
      <c r="Q14" s="172">
        <v>39</v>
      </c>
      <c r="R14" s="172">
        <v>7.07</v>
      </c>
      <c r="S14" s="172">
        <v>5.52</v>
      </c>
    </row>
    <row r="15" spans="1:19" x14ac:dyDescent="0.25">
      <c r="A15" s="172">
        <v>89.04</v>
      </c>
      <c r="B15" s="172">
        <v>0.38</v>
      </c>
      <c r="C15" s="172">
        <v>43.74</v>
      </c>
      <c r="D15" s="8">
        <v>42927.541666666664</v>
      </c>
      <c r="E15" s="172">
        <v>0.21</v>
      </c>
      <c r="F15" s="172" t="s">
        <v>417</v>
      </c>
      <c r="G15" s="172">
        <v>289.23</v>
      </c>
      <c r="H15" s="172">
        <v>0</v>
      </c>
      <c r="I15" s="172">
        <v>0</v>
      </c>
      <c r="J15" s="172"/>
      <c r="K15" s="172">
        <v>1006.75</v>
      </c>
      <c r="L15" s="172" t="s">
        <v>418</v>
      </c>
      <c r="M15" s="172">
        <v>89.04</v>
      </c>
      <c r="N15" s="172">
        <v>1499799600</v>
      </c>
      <c r="O15" s="172">
        <v>10</v>
      </c>
      <c r="P15" s="172">
        <v>10</v>
      </c>
      <c r="Q15" s="172">
        <v>84</v>
      </c>
      <c r="R15" s="172">
        <v>6.72</v>
      </c>
      <c r="S15" s="172">
        <v>4.6500000000000004</v>
      </c>
    </row>
    <row r="16" spans="1:19" x14ac:dyDescent="0.25">
      <c r="A16" s="172">
        <v>89.26</v>
      </c>
      <c r="B16" s="172">
        <v>0.4</v>
      </c>
      <c r="C16" s="172">
        <v>42.8</v>
      </c>
      <c r="D16" s="8">
        <v>42927.583333333336</v>
      </c>
      <c r="E16" s="172">
        <v>0.2</v>
      </c>
      <c r="F16" s="172" t="s">
        <v>417</v>
      </c>
      <c r="G16" s="172">
        <v>289.01</v>
      </c>
      <c r="H16" s="172">
        <v>0</v>
      </c>
      <c r="I16" s="172">
        <v>0</v>
      </c>
      <c r="J16" s="172"/>
      <c r="K16" s="172">
        <v>1006.18</v>
      </c>
      <c r="L16" s="172" t="s">
        <v>418</v>
      </c>
      <c r="M16" s="172">
        <v>89.26</v>
      </c>
      <c r="N16" s="172">
        <v>1499803200</v>
      </c>
      <c r="O16" s="172">
        <v>10</v>
      </c>
      <c r="P16" s="172">
        <v>10</v>
      </c>
      <c r="Q16" s="172">
        <v>174</v>
      </c>
      <c r="R16" s="172">
        <v>6.44</v>
      </c>
      <c r="S16" s="172">
        <v>3.59</v>
      </c>
    </row>
    <row r="17" spans="1:19" x14ac:dyDescent="0.25">
      <c r="A17" s="172">
        <v>90.76</v>
      </c>
      <c r="B17" s="172">
        <v>0.51</v>
      </c>
      <c r="C17" s="172">
        <v>41.82</v>
      </c>
      <c r="D17" s="8">
        <v>42927.625</v>
      </c>
      <c r="E17" s="172">
        <v>0.18</v>
      </c>
      <c r="F17" s="172" t="s">
        <v>417</v>
      </c>
      <c r="G17" s="172">
        <v>288.79000000000002</v>
      </c>
      <c r="H17" s="172">
        <v>0</v>
      </c>
      <c r="I17" s="172">
        <v>0</v>
      </c>
      <c r="J17" s="172"/>
      <c r="K17" s="172">
        <v>1006.04</v>
      </c>
      <c r="L17" s="172" t="s">
        <v>418</v>
      </c>
      <c r="M17" s="172">
        <v>90.76</v>
      </c>
      <c r="N17" s="172">
        <v>1499806800</v>
      </c>
      <c r="O17" s="172">
        <v>7</v>
      </c>
      <c r="P17" s="172">
        <v>10</v>
      </c>
      <c r="Q17" s="172">
        <v>349</v>
      </c>
      <c r="R17" s="172">
        <v>7.25</v>
      </c>
      <c r="S17" s="172">
        <v>3.7</v>
      </c>
    </row>
    <row r="18" spans="1:19" x14ac:dyDescent="0.25">
      <c r="A18" s="172">
        <v>91.65</v>
      </c>
      <c r="B18" s="172">
        <v>0.56000000000000005</v>
      </c>
      <c r="C18" s="172">
        <v>41.41</v>
      </c>
      <c r="D18" s="8">
        <v>42927.666666666664</v>
      </c>
      <c r="E18" s="172">
        <v>0.18</v>
      </c>
      <c r="F18" s="172" t="s">
        <v>417</v>
      </c>
      <c r="G18" s="172">
        <v>288.44</v>
      </c>
      <c r="H18" s="172">
        <v>0</v>
      </c>
      <c r="I18" s="172">
        <v>0</v>
      </c>
      <c r="J18" s="172"/>
      <c r="K18" s="172">
        <v>1005.73</v>
      </c>
      <c r="L18" s="172" t="s">
        <v>418</v>
      </c>
      <c r="M18" s="172">
        <v>91.65</v>
      </c>
      <c r="N18" s="172">
        <v>1499810400</v>
      </c>
      <c r="O18" s="172">
        <v>4</v>
      </c>
      <c r="P18" s="172">
        <v>10</v>
      </c>
      <c r="Q18" s="172">
        <v>20</v>
      </c>
      <c r="R18" s="172">
        <v>9.5399999999999991</v>
      </c>
      <c r="S18" s="172">
        <v>5.18</v>
      </c>
    </row>
    <row r="19" spans="1:19" x14ac:dyDescent="0.25">
      <c r="A19" s="172">
        <v>91.59</v>
      </c>
      <c r="B19" s="172">
        <v>0.78</v>
      </c>
      <c r="C19" s="172">
        <v>42.67</v>
      </c>
      <c r="D19" s="8">
        <v>42927.708333333336</v>
      </c>
      <c r="E19" s="172">
        <v>0.18</v>
      </c>
      <c r="F19" s="172" t="s">
        <v>417</v>
      </c>
      <c r="G19" s="172">
        <v>287.98</v>
      </c>
      <c r="H19" s="172">
        <v>0</v>
      </c>
      <c r="I19" s="172">
        <v>0</v>
      </c>
      <c r="J19" s="172"/>
      <c r="K19" s="172">
        <v>1005.62</v>
      </c>
      <c r="L19" s="172" t="s">
        <v>821</v>
      </c>
      <c r="M19" s="172">
        <v>91.59</v>
      </c>
      <c r="N19" s="172">
        <v>1499814000</v>
      </c>
      <c r="O19" s="172">
        <v>2</v>
      </c>
      <c r="P19" s="172">
        <v>10</v>
      </c>
      <c r="Q19" s="172">
        <v>188</v>
      </c>
      <c r="R19" s="172">
        <v>12.27</v>
      </c>
      <c r="S19" s="172">
        <v>6.21</v>
      </c>
    </row>
    <row r="20" spans="1:19" x14ac:dyDescent="0.25">
      <c r="A20" s="172">
        <v>89.26</v>
      </c>
      <c r="B20" s="172">
        <v>0.73</v>
      </c>
      <c r="C20" s="172">
        <v>43.86</v>
      </c>
      <c r="D20" s="8">
        <v>42927.75</v>
      </c>
      <c r="E20" s="172">
        <v>0.21</v>
      </c>
      <c r="F20" s="172" t="s">
        <v>417</v>
      </c>
      <c r="G20" s="172">
        <v>289.45999999999998</v>
      </c>
      <c r="H20" s="172">
        <v>0</v>
      </c>
      <c r="I20" s="172">
        <v>0</v>
      </c>
      <c r="J20" s="172"/>
      <c r="K20" s="172">
        <v>1005.75</v>
      </c>
      <c r="L20" s="172" t="s">
        <v>821</v>
      </c>
      <c r="M20" s="172">
        <v>89.26</v>
      </c>
      <c r="N20" s="172">
        <v>1499817600</v>
      </c>
      <c r="O20" s="172">
        <v>1</v>
      </c>
      <c r="P20" s="172">
        <v>10</v>
      </c>
      <c r="Q20" s="172">
        <v>157</v>
      </c>
      <c r="R20" s="172">
        <v>6.66</v>
      </c>
      <c r="S20" s="172">
        <v>5.05</v>
      </c>
    </row>
    <row r="21" spans="1:19" x14ac:dyDescent="0.25">
      <c r="A21" s="172">
        <v>84.63</v>
      </c>
      <c r="B21" s="172">
        <v>0.81</v>
      </c>
      <c r="C21" s="172">
        <v>47.38</v>
      </c>
      <c r="D21" s="8">
        <v>42927.791666666664</v>
      </c>
      <c r="E21" s="172">
        <v>0.27</v>
      </c>
      <c r="F21" s="172" t="s">
        <v>822</v>
      </c>
      <c r="G21" s="172">
        <v>289.23</v>
      </c>
      <c r="H21" s="172">
        <v>1.3100000000000001E-2</v>
      </c>
      <c r="I21" s="172">
        <v>0.04</v>
      </c>
      <c r="J21" s="172" t="s">
        <v>822</v>
      </c>
      <c r="K21" s="172">
        <v>1006.8</v>
      </c>
      <c r="L21" s="172" t="s">
        <v>823</v>
      </c>
      <c r="M21" s="172">
        <v>84.63</v>
      </c>
      <c r="N21" s="172">
        <v>1499821200</v>
      </c>
      <c r="O21" s="172">
        <v>0</v>
      </c>
      <c r="P21" s="172">
        <v>10</v>
      </c>
      <c r="Q21" s="172">
        <v>192</v>
      </c>
      <c r="R21" s="172">
        <v>24.31</v>
      </c>
      <c r="S21" s="172">
        <v>11.89</v>
      </c>
    </row>
    <row r="22" spans="1:19" x14ac:dyDescent="0.25">
      <c r="A22" s="172">
        <v>79.89</v>
      </c>
      <c r="B22" s="172">
        <v>0.79</v>
      </c>
      <c r="C22" s="172">
        <v>49.74</v>
      </c>
      <c r="D22" s="8">
        <v>42927.833333333336</v>
      </c>
      <c r="E22" s="172">
        <v>0.35</v>
      </c>
      <c r="F22" s="172" t="s">
        <v>417</v>
      </c>
      <c r="G22" s="172">
        <v>288.89999999999998</v>
      </c>
      <c r="H22" s="172">
        <v>0</v>
      </c>
      <c r="I22" s="172">
        <v>0</v>
      </c>
      <c r="J22" s="172"/>
      <c r="K22" s="172">
        <v>1007.84</v>
      </c>
      <c r="L22" s="172" t="s">
        <v>821</v>
      </c>
      <c r="M22" s="172">
        <v>79.89</v>
      </c>
      <c r="N22" s="172">
        <v>1499824800</v>
      </c>
      <c r="O22" s="172">
        <v>0</v>
      </c>
      <c r="P22" s="172">
        <v>10</v>
      </c>
      <c r="Q22" s="172">
        <v>222</v>
      </c>
      <c r="R22" s="172">
        <v>20.25</v>
      </c>
      <c r="S22" s="172">
        <v>10</v>
      </c>
    </row>
    <row r="23" spans="1:19" x14ac:dyDescent="0.25">
      <c r="A23" s="172">
        <v>76.680000000000007</v>
      </c>
      <c r="B23" s="172">
        <v>0.81</v>
      </c>
      <c r="C23" s="172">
        <v>50.93</v>
      </c>
      <c r="D23" s="8">
        <v>42927.875</v>
      </c>
      <c r="E23" s="172">
        <v>0.41</v>
      </c>
      <c r="F23" s="172" t="s">
        <v>490</v>
      </c>
      <c r="G23" s="172">
        <v>288.56</v>
      </c>
      <c r="H23" s="172">
        <v>0</v>
      </c>
      <c r="I23" s="172">
        <v>0</v>
      </c>
      <c r="J23" s="172"/>
      <c r="K23" s="172">
        <v>1008.7</v>
      </c>
      <c r="L23" s="172" t="s">
        <v>821</v>
      </c>
      <c r="M23" s="172">
        <v>76.680000000000007</v>
      </c>
      <c r="N23" s="172">
        <v>1499828400</v>
      </c>
      <c r="O23" s="172">
        <v>0</v>
      </c>
      <c r="P23" s="172">
        <v>10</v>
      </c>
      <c r="Q23" s="172">
        <v>248</v>
      </c>
      <c r="R23" s="172">
        <v>22.41</v>
      </c>
      <c r="S23" s="172">
        <v>9.9700000000000006</v>
      </c>
    </row>
    <row r="24" spans="1:19" x14ac:dyDescent="0.25">
      <c r="A24" s="172">
        <v>74.91</v>
      </c>
      <c r="B24" s="172">
        <v>0.84</v>
      </c>
      <c r="C24" s="172">
        <v>50.75</v>
      </c>
      <c r="D24" s="8">
        <v>42927.916666666664</v>
      </c>
      <c r="E24" s="172">
        <v>0.43</v>
      </c>
      <c r="F24" s="172" t="s">
        <v>490</v>
      </c>
      <c r="G24" s="172">
        <v>288.44</v>
      </c>
      <c r="H24" s="172">
        <v>0</v>
      </c>
      <c r="I24" s="172">
        <v>0</v>
      </c>
      <c r="J24" s="172"/>
      <c r="K24" s="172">
        <v>1009.41</v>
      </c>
      <c r="L24" s="172" t="s">
        <v>821</v>
      </c>
      <c r="M24" s="172">
        <v>74.91</v>
      </c>
      <c r="N24" s="172">
        <v>1499832000</v>
      </c>
      <c r="O24" s="172">
        <v>0</v>
      </c>
      <c r="P24" s="172">
        <v>10</v>
      </c>
      <c r="Q24" s="172">
        <v>226</v>
      </c>
      <c r="R24" s="172">
        <v>17.7</v>
      </c>
      <c r="S24" s="172">
        <v>8.23</v>
      </c>
    </row>
    <row r="25" spans="1:19" x14ac:dyDescent="0.25">
      <c r="A25" s="172">
        <v>74.11</v>
      </c>
      <c r="B25" s="172">
        <v>0.83</v>
      </c>
      <c r="C25" s="172">
        <v>50.29</v>
      </c>
      <c r="D25" s="8">
        <v>42927.958333333336</v>
      </c>
      <c r="E25" s="172">
        <v>0.43</v>
      </c>
      <c r="F25" s="172" t="s">
        <v>490</v>
      </c>
      <c r="G25" s="172">
        <v>288.20999999999998</v>
      </c>
      <c r="H25" s="172">
        <v>0</v>
      </c>
      <c r="I25" s="172">
        <v>0</v>
      </c>
      <c r="J25" s="172"/>
      <c r="K25" s="172">
        <v>1009.69</v>
      </c>
      <c r="L25" s="172" t="s">
        <v>821</v>
      </c>
      <c r="M25" s="172">
        <v>74.11</v>
      </c>
      <c r="N25" s="172">
        <v>1499835600</v>
      </c>
      <c r="O25" s="172">
        <v>0</v>
      </c>
      <c r="P25" s="172">
        <v>10</v>
      </c>
      <c r="Q25" s="172">
        <v>281</v>
      </c>
      <c r="R25" s="172">
        <v>13.58</v>
      </c>
      <c r="S25" s="172">
        <v>6.91</v>
      </c>
    </row>
    <row r="26" spans="1:19" x14ac:dyDescent="0.25">
      <c r="A26" s="172">
        <v>73.2</v>
      </c>
      <c r="B26" s="172">
        <v>0.83</v>
      </c>
      <c r="C26" s="172">
        <v>50.54</v>
      </c>
      <c r="D26" s="8">
        <v>42928</v>
      </c>
      <c r="E26" s="172">
        <v>0.45</v>
      </c>
      <c r="F26" s="172" t="s">
        <v>490</v>
      </c>
      <c r="G26" s="172">
        <v>287.86</v>
      </c>
      <c r="H26" s="172">
        <v>0</v>
      </c>
      <c r="I26" s="172">
        <v>0</v>
      </c>
      <c r="J26" s="172"/>
      <c r="K26" s="172">
        <v>1009.95</v>
      </c>
      <c r="L26" s="172" t="s">
        <v>821</v>
      </c>
      <c r="M26" s="172">
        <v>73.2</v>
      </c>
      <c r="N26" s="172">
        <v>1499839200</v>
      </c>
      <c r="O26" s="172">
        <v>0</v>
      </c>
      <c r="P26" s="172">
        <v>10</v>
      </c>
      <c r="Q26" s="172">
        <v>246</v>
      </c>
      <c r="R26" s="172">
        <v>10.14</v>
      </c>
      <c r="S26" s="172">
        <v>4.51</v>
      </c>
    </row>
    <row r="27" spans="1:19" x14ac:dyDescent="0.25">
      <c r="A27" s="172">
        <v>71.489999999999995</v>
      </c>
      <c r="B27" s="172">
        <v>0.75</v>
      </c>
      <c r="C27" s="172">
        <v>51.43</v>
      </c>
      <c r="D27" s="8">
        <v>42928.041666666664</v>
      </c>
      <c r="E27" s="172">
        <v>0.49</v>
      </c>
      <c r="F27" s="172" t="s">
        <v>490</v>
      </c>
      <c r="G27" s="172">
        <v>287.39999999999998</v>
      </c>
      <c r="H27" s="172">
        <v>0</v>
      </c>
      <c r="I27" s="172">
        <v>0</v>
      </c>
      <c r="J27" s="172"/>
      <c r="K27" s="172">
        <v>1010.21</v>
      </c>
      <c r="L27" s="172" t="s">
        <v>821</v>
      </c>
      <c r="M27" s="172">
        <v>71.489999999999995</v>
      </c>
      <c r="N27" s="172">
        <v>1499842800</v>
      </c>
      <c r="O27" s="172">
        <v>0</v>
      </c>
      <c r="P27" s="172">
        <v>10</v>
      </c>
      <c r="Q27" s="172">
        <v>161</v>
      </c>
      <c r="R27" s="172">
        <v>12.21</v>
      </c>
      <c r="S27" s="172">
        <v>5.35</v>
      </c>
    </row>
    <row r="28" spans="1:19" x14ac:dyDescent="0.25">
      <c r="A28" s="172">
        <v>70.27</v>
      </c>
      <c r="B28" s="172">
        <v>0.72</v>
      </c>
      <c r="C28" s="172">
        <v>52.36</v>
      </c>
      <c r="D28" s="8">
        <v>42928.083333333336</v>
      </c>
      <c r="E28" s="172">
        <v>0.53</v>
      </c>
      <c r="F28" s="172" t="s">
        <v>490</v>
      </c>
      <c r="G28" s="172">
        <v>286.83</v>
      </c>
      <c r="H28" s="172">
        <v>2.8999999999999998E-3</v>
      </c>
      <c r="I28" s="172">
        <v>0.01</v>
      </c>
      <c r="J28" s="172" t="s">
        <v>822</v>
      </c>
      <c r="K28" s="172">
        <v>1010.36</v>
      </c>
      <c r="L28" s="172" t="s">
        <v>821</v>
      </c>
      <c r="M28" s="172">
        <v>70.27</v>
      </c>
      <c r="N28" s="172">
        <v>1499846400</v>
      </c>
      <c r="O28" s="172">
        <v>0</v>
      </c>
      <c r="P28" s="172">
        <v>10</v>
      </c>
      <c r="Q28" s="172">
        <v>192</v>
      </c>
      <c r="R28" s="172">
        <v>9.6</v>
      </c>
      <c r="S28" s="172">
        <v>5.0999999999999996</v>
      </c>
    </row>
    <row r="29" spans="1:19" x14ac:dyDescent="0.25">
      <c r="A29" s="172">
        <v>68.709999999999994</v>
      </c>
      <c r="B29" s="172">
        <v>0.67</v>
      </c>
      <c r="C29" s="172">
        <v>53.18</v>
      </c>
      <c r="D29" s="8">
        <v>42928.125</v>
      </c>
      <c r="E29" s="172">
        <v>0.57999999999999996</v>
      </c>
      <c r="F29" s="172" t="s">
        <v>822</v>
      </c>
      <c r="G29" s="172">
        <v>286.37</v>
      </c>
      <c r="H29" s="172">
        <v>6.6E-3</v>
      </c>
      <c r="I29" s="172">
        <v>0.03</v>
      </c>
      <c r="J29" s="172" t="s">
        <v>822</v>
      </c>
      <c r="K29" s="172">
        <v>1010.26</v>
      </c>
      <c r="L29" s="172" t="s">
        <v>824</v>
      </c>
      <c r="M29" s="172">
        <v>68.709999999999994</v>
      </c>
      <c r="N29" s="172">
        <v>1499850000</v>
      </c>
      <c r="O29" s="172">
        <v>0</v>
      </c>
      <c r="P29" s="172">
        <v>10</v>
      </c>
      <c r="Q29" s="172">
        <v>207</v>
      </c>
      <c r="R29" s="172">
        <v>9.23</v>
      </c>
      <c r="S29" s="172">
        <v>5.69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A5" sqref="A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331</v>
      </c>
      <c r="U1" s="156"/>
      <c r="V1" s="156"/>
      <c r="W1" s="156"/>
      <c r="X1" s="156"/>
    </row>
    <row r="2" spans="1:32" ht="15.75" thickBot="1" x14ac:dyDescent="0.3">
      <c r="A2" s="12">
        <v>42927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332</v>
      </c>
      <c r="U2" s="155">
        <v>167</v>
      </c>
      <c r="V2" s="155">
        <v>168</v>
      </c>
      <c r="W2" s="155">
        <v>199</v>
      </c>
      <c r="X2" s="155">
        <v>200</v>
      </c>
      <c r="AD2" t="s">
        <v>410</v>
      </c>
      <c r="AE2" s="56" t="s">
        <v>413</v>
      </c>
      <c r="AF2" s="56" t="s">
        <v>414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333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334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335</v>
      </c>
      <c r="U5" s="155">
        <v>187</v>
      </c>
      <c r="V5" s="155">
        <v>188</v>
      </c>
      <c r="W5" s="155">
        <v>223</v>
      </c>
      <c r="X5" s="155">
        <v>224</v>
      </c>
      <c r="AC5" s="30" t="s">
        <v>411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412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415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1006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1007</v>
      </c>
      <c r="J20" s="140" t="s">
        <v>87</v>
      </c>
      <c r="M20" s="154" t="s">
        <v>356</v>
      </c>
      <c r="N20" s="154" t="s">
        <v>330</v>
      </c>
      <c r="T20" s="155"/>
      <c r="U20" s="155"/>
      <c r="V20" s="155"/>
      <c r="W20" s="155"/>
      <c r="X20" s="155"/>
    </row>
    <row r="21" spans="3:24" x14ac:dyDescent="0.25">
      <c r="C21" t="s">
        <v>1008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1009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1010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1011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1012</v>
      </c>
      <c r="J25" s="140" t="s">
        <v>146</v>
      </c>
      <c r="M25" s="154" t="b">
        <v>1</v>
      </c>
    </row>
    <row r="26" spans="3:24" x14ac:dyDescent="0.25">
      <c r="C26" t="s">
        <v>1013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C:\Users\stu\Documents\GitHub\eaglep3-reporting\EC\2017-07-11-refined-times.txt</v>
      </c>
    </row>
    <row r="27" spans="3:24" x14ac:dyDescent="0.25">
      <c r="C27" t="s">
        <v>1014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C:\Users\stu\Documents\GitHub\eaglep3-reporting\EC\2017-07-11-Enforcements.txt</v>
      </c>
    </row>
    <row r="28" spans="3:24" x14ac:dyDescent="0.25">
      <c r="C28" t="s">
        <v>1015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C:\Users\stu\Documents\GitHub\eaglep3-reporting\EC\2017-07-11-Runs-refined.txt</v>
      </c>
    </row>
    <row r="29" spans="3:24" x14ac:dyDescent="0.25">
      <c r="C29" t="s">
        <v>1016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C:\Users\stu\Documents\GitHub\eaglep3-reporting\EC\2017-07-11-Trips.txt</v>
      </c>
    </row>
    <row r="30" spans="3:24" x14ac:dyDescent="0.25">
      <c r="C30" t="s">
        <v>1017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C:\Users\stu\Documents\GitHub\eaglep3-reporting\EC\2017-07-11-Weather.txt</v>
      </c>
    </row>
    <row r="31" spans="3:24" x14ac:dyDescent="0.25">
      <c r="C31" t="s">
        <v>1018</v>
      </c>
      <c r="J31" s="140" t="s">
        <v>194</v>
      </c>
      <c r="M31" s="154" t="s">
        <v>195</v>
      </c>
    </row>
    <row r="32" spans="3:24" x14ac:dyDescent="0.25">
      <c r="C32" t="s">
        <v>1019</v>
      </c>
    </row>
    <row r="33" spans="3:3" x14ac:dyDescent="0.25">
      <c r="C33" t="s">
        <v>1020</v>
      </c>
    </row>
    <row r="34" spans="3:3" x14ac:dyDescent="0.25">
      <c r="C34" t="s">
        <v>1021</v>
      </c>
    </row>
    <row r="35" spans="3:3" x14ac:dyDescent="0.25">
      <c r="C35" t="s">
        <v>1022</v>
      </c>
    </row>
    <row r="36" spans="3:3" x14ac:dyDescent="0.25">
      <c r="C36" t="s">
        <v>1023</v>
      </c>
    </row>
    <row r="37" spans="3:3" x14ac:dyDescent="0.25">
      <c r="C37" t="s">
        <v>1024</v>
      </c>
    </row>
    <row r="38" spans="3:3" x14ac:dyDescent="0.25">
      <c r="C38" t="s">
        <v>1025</v>
      </c>
    </row>
    <row r="39" spans="3:3" x14ac:dyDescent="0.25">
      <c r="C39" t="s">
        <v>1026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341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342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2017-07-13T18:59:12Z</dcterms:modified>
</cp:coreProperties>
</file>