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Enforcements!$A$6:$AC$52</definedName>
    <definedName name="_xlnm._FilterDatabase" localSheetId="2" hidden="1">'Missing Trips'!$A$2:$J$118</definedName>
    <definedName name="_xlnm._FilterDatabase" localSheetId="0" hidden="1">'Train Runs'!$A$12:$AG$235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9" l="1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K37" i="1" l="1"/>
  <c r="L37" i="1"/>
  <c r="M37" i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174" i="1"/>
  <c r="L174" i="1"/>
  <c r="M174" i="1"/>
  <c r="N174" i="1" s="1"/>
  <c r="V174" i="1"/>
  <c r="S44" i="3" s="1"/>
  <c r="AA174" i="1"/>
  <c r="AB174" i="1"/>
  <c r="AC174" i="1"/>
  <c r="AD174" i="1"/>
  <c r="T174" i="1" s="1"/>
  <c r="AE174" i="1"/>
  <c r="R44" i="3" s="1"/>
  <c r="AF174" i="1"/>
  <c r="AH174" i="1"/>
  <c r="AM174" i="1"/>
  <c r="AN17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R37" i="3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G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S22" i="3" s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R13" i="3" s="1"/>
  <c r="AF36" i="1"/>
  <c r="AH36" i="1"/>
  <c r="AM36" i="1"/>
  <c r="AN36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S31" i="3" s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I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S10" i="3" s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S32" i="3" s="1"/>
  <c r="Y61" i="1"/>
  <c r="Z61" i="1"/>
  <c r="AB61" i="1"/>
  <c r="AC61" i="1"/>
  <c r="AD61" i="1"/>
  <c r="AG61" i="1" s="1"/>
  <c r="AE61" i="1"/>
  <c r="R32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S24" i="3" s="1"/>
  <c r="Y68" i="1"/>
  <c r="Z68" i="1"/>
  <c r="AB68" i="1"/>
  <c r="AC68" i="1"/>
  <c r="AD68" i="1"/>
  <c r="AE68" i="1"/>
  <c r="R24" i="3" s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P71" i="1" s="1"/>
  <c r="V71" i="1"/>
  <c r="S29" i="3" s="1"/>
  <c r="Y71" i="1"/>
  <c r="Z71" i="1"/>
  <c r="AB71" i="1"/>
  <c r="AC71" i="1"/>
  <c r="AD71" i="1"/>
  <c r="AE71" i="1"/>
  <c r="R29" i="3" s="1"/>
  <c r="AF71" i="1"/>
  <c r="AH71" i="1"/>
  <c r="AM71" i="1"/>
  <c r="AN71" i="1"/>
  <c r="K72" i="1"/>
  <c r="L72" i="1"/>
  <c r="M72" i="1"/>
  <c r="N72" i="1" s="1"/>
  <c r="V72" i="1"/>
  <c r="S38" i="3" s="1"/>
  <c r="Y72" i="1"/>
  <c r="Z72" i="1"/>
  <c r="AB72" i="1"/>
  <c r="AC72" i="1"/>
  <c r="AD72" i="1"/>
  <c r="AE72" i="1"/>
  <c r="R7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R14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S28" i="3" s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S19" i="3" s="1"/>
  <c r="Y80" i="1"/>
  <c r="Z80" i="1"/>
  <c r="AB80" i="1"/>
  <c r="AC80" i="1"/>
  <c r="AD80" i="1"/>
  <c r="AE80" i="1"/>
  <c r="R19" i="3" s="1"/>
  <c r="AF80" i="1"/>
  <c r="AH80" i="1"/>
  <c r="AM80" i="1"/>
  <c r="AN80" i="1"/>
  <c r="K81" i="1"/>
  <c r="L81" i="1"/>
  <c r="M81" i="1"/>
  <c r="N81" i="1" s="1"/>
  <c r="V81" i="1"/>
  <c r="S18" i="3" s="1"/>
  <c r="Y81" i="1"/>
  <c r="Z81" i="1"/>
  <c r="AB81" i="1"/>
  <c r="AC81" i="1"/>
  <c r="AD81" i="1"/>
  <c r="AG81" i="1" s="1"/>
  <c r="AE81" i="1"/>
  <c r="R18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39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S33" i="3" s="1"/>
  <c r="Y85" i="1"/>
  <c r="Z85" i="1"/>
  <c r="AB85" i="1"/>
  <c r="AC85" i="1"/>
  <c r="AD85" i="1"/>
  <c r="AG85" i="1" s="1"/>
  <c r="AE85" i="1"/>
  <c r="R33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R40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S8" i="3" s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R25" i="3" s="1"/>
  <c r="AF93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1" i="1"/>
  <c r="AM101" i="1"/>
  <c r="AN101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02" i="1"/>
  <c r="AM102" i="1"/>
  <c r="AN102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3" i="1"/>
  <c r="AM103" i="1"/>
  <c r="AN103" i="1"/>
  <c r="K94" i="1"/>
  <c r="L94" i="1"/>
  <c r="M94" i="1"/>
  <c r="N94" i="1" s="1"/>
  <c r="V94" i="1"/>
  <c r="S16" i="3" s="1"/>
  <c r="Y94" i="1"/>
  <c r="Z94" i="1"/>
  <c r="AB94" i="1"/>
  <c r="AC94" i="1"/>
  <c r="AD94" i="1"/>
  <c r="T94" i="1" s="1"/>
  <c r="AE94" i="1"/>
  <c r="R16" i="3" s="1"/>
  <c r="AF94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AM107" i="1"/>
  <c r="AN10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8" i="1"/>
  <c r="AM108" i="1"/>
  <c r="AN108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09" i="1"/>
  <c r="AM109" i="1"/>
  <c r="AN10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0" i="1"/>
  <c r="AM110" i="1"/>
  <c r="AN11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2" i="1"/>
  <c r="AM112" i="1"/>
  <c r="AN112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3" i="1"/>
  <c r="AM113" i="1"/>
  <c r="AN113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4" i="1"/>
  <c r="AM114" i="1"/>
  <c r="AN11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5" i="1"/>
  <c r="AM115" i="1"/>
  <c r="AN115" i="1"/>
  <c r="K182" i="1"/>
  <c r="L182" i="1"/>
  <c r="M182" i="1"/>
  <c r="N182" i="1" s="1"/>
  <c r="V182" i="1"/>
  <c r="S45" i="3" s="1"/>
  <c r="Y182" i="1"/>
  <c r="Z182" i="1"/>
  <c r="AB182" i="1"/>
  <c r="AC182" i="1"/>
  <c r="AD182" i="1"/>
  <c r="AG182" i="1" s="1"/>
  <c r="AE182" i="1"/>
  <c r="R45" i="3" s="1"/>
  <c r="AF182" i="1"/>
  <c r="AH116" i="1"/>
  <c r="AM116" i="1"/>
  <c r="AN116" i="1"/>
  <c r="K183" i="1"/>
  <c r="L183" i="1"/>
  <c r="M183" i="1"/>
  <c r="N183" i="1" s="1"/>
  <c r="V183" i="1"/>
  <c r="S43" i="3" s="1"/>
  <c r="Y183" i="1"/>
  <c r="Z183" i="1"/>
  <c r="AB183" i="1"/>
  <c r="AC183" i="1"/>
  <c r="AD183" i="1"/>
  <c r="AG183" i="1" s="1"/>
  <c r="AE183" i="1"/>
  <c r="R43" i="3" s="1"/>
  <c r="AF183" i="1"/>
  <c r="AH117" i="1"/>
  <c r="AM117" i="1"/>
  <c r="AN11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8" i="1"/>
  <c r="AM118" i="1"/>
  <c r="AN11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19" i="1"/>
  <c r="AM119" i="1"/>
  <c r="AN119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2" i="1"/>
  <c r="AM122" i="1"/>
  <c r="AN12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3" i="1"/>
  <c r="AM123" i="1"/>
  <c r="AN123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124" i="1"/>
  <c r="AM124" i="1"/>
  <c r="AN124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5" i="1"/>
  <c r="AM125" i="1"/>
  <c r="AN12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G191" i="1"/>
  <c r="AH126" i="1"/>
  <c r="AM126" i="1"/>
  <c r="AN126" i="1"/>
  <c r="K192" i="1"/>
  <c r="L192" i="1"/>
  <c r="M192" i="1"/>
  <c r="N192" i="1" s="1"/>
  <c r="V192" i="1"/>
  <c r="S46" i="3" s="1"/>
  <c r="Y192" i="1"/>
  <c r="Z192" i="1"/>
  <c r="AB192" i="1"/>
  <c r="AC192" i="1"/>
  <c r="AD192" i="1"/>
  <c r="AE192" i="1"/>
  <c r="R46" i="3" s="1"/>
  <c r="AF192" i="1"/>
  <c r="AH127" i="1"/>
  <c r="AM127" i="1"/>
  <c r="AN127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8" i="1"/>
  <c r="AM128" i="1"/>
  <c r="AN12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29" i="1"/>
  <c r="AM129" i="1"/>
  <c r="AN129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0" i="1"/>
  <c r="AM130" i="1"/>
  <c r="AN130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1" i="1"/>
  <c r="AM131" i="1"/>
  <c r="AN131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2" i="1"/>
  <c r="AM132" i="1"/>
  <c r="AN132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3" i="1"/>
  <c r="AM133" i="1"/>
  <c r="AN133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4" i="1"/>
  <c r="AM134" i="1"/>
  <c r="AN134" i="1"/>
  <c r="K102" i="1"/>
  <c r="L102" i="1"/>
  <c r="M102" i="1"/>
  <c r="N102" i="1" s="1"/>
  <c r="V102" i="1"/>
  <c r="S41" i="3" s="1"/>
  <c r="Y102" i="1"/>
  <c r="Z102" i="1"/>
  <c r="AB102" i="1"/>
  <c r="AC102" i="1"/>
  <c r="AD102" i="1"/>
  <c r="AE102" i="1"/>
  <c r="R41" i="3" s="1"/>
  <c r="AF102" i="1"/>
  <c r="AH135" i="1"/>
  <c r="AM135" i="1"/>
  <c r="AN13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6" i="1"/>
  <c r="AM136" i="1"/>
  <c r="AN136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8" i="1"/>
  <c r="AM138" i="1"/>
  <c r="AN138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39" i="1"/>
  <c r="AM139" i="1"/>
  <c r="AN139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0" i="1"/>
  <c r="AM140" i="1"/>
  <c r="AN140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1" i="1"/>
  <c r="AM141" i="1"/>
  <c r="AN141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2" i="1"/>
  <c r="AM142" i="1"/>
  <c r="AN142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3" i="1"/>
  <c r="AM143" i="1"/>
  <c r="AN143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4" i="1"/>
  <c r="AM144" i="1"/>
  <c r="AN144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5" i="1"/>
  <c r="AM145" i="1"/>
  <c r="AN145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6" i="1"/>
  <c r="AM146" i="1"/>
  <c r="AN146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47" i="1"/>
  <c r="AM147" i="1"/>
  <c r="AN147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48" i="1"/>
  <c r="AM148" i="1"/>
  <c r="AN148" i="1"/>
  <c r="K115" i="1"/>
  <c r="L115" i="1"/>
  <c r="M115" i="1"/>
  <c r="N115" i="1" s="1"/>
  <c r="T115" i="1"/>
  <c r="V115" i="1"/>
  <c r="S27" i="3" s="1"/>
  <c r="X115" i="1"/>
  <c r="Y115" i="1"/>
  <c r="Z115" i="1"/>
  <c r="AA115" i="1" s="1"/>
  <c r="AB115" i="1"/>
  <c r="AC115" i="1"/>
  <c r="AD115" i="1"/>
  <c r="AE115" i="1"/>
  <c r="R27" i="3" s="1"/>
  <c r="AF115" i="1"/>
  <c r="AG115" i="1"/>
  <c r="AH149" i="1"/>
  <c r="AM149" i="1"/>
  <c r="AN149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0" i="1"/>
  <c r="AM150" i="1"/>
  <c r="AN150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1" i="1"/>
  <c r="AM151" i="1"/>
  <c r="AN151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2" i="1"/>
  <c r="AM152" i="1"/>
  <c r="AN152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3" i="1"/>
  <c r="AM153" i="1"/>
  <c r="AN153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4" i="1"/>
  <c r="AM154" i="1"/>
  <c r="AN154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5" i="1"/>
  <c r="AM155" i="1"/>
  <c r="AN155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6" i="1"/>
  <c r="AM156" i="1"/>
  <c r="AN156" i="1"/>
  <c r="K123" i="1"/>
  <c r="L123" i="1"/>
  <c r="M123" i="1"/>
  <c r="N123" i="1" s="1"/>
  <c r="V123" i="1"/>
  <c r="S9" i="3" s="1"/>
  <c r="Y123" i="1"/>
  <c r="Z123" i="1"/>
  <c r="AB123" i="1"/>
  <c r="AC123" i="1"/>
  <c r="AD123" i="1"/>
  <c r="T123" i="1" s="1"/>
  <c r="AE123" i="1"/>
  <c r="R9" i="3" s="1"/>
  <c r="AF123" i="1"/>
  <c r="AH157" i="1"/>
  <c r="AM157" i="1"/>
  <c r="AN157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8" i="1"/>
  <c r="AM158" i="1"/>
  <c r="AN158" i="1"/>
  <c r="K125" i="1"/>
  <c r="L125" i="1"/>
  <c r="M125" i="1"/>
  <c r="N125" i="1" s="1"/>
  <c r="V125" i="1"/>
  <c r="S36" i="3" s="1"/>
  <c r="Y125" i="1"/>
  <c r="Z125" i="1"/>
  <c r="AB125" i="1"/>
  <c r="AC125" i="1"/>
  <c r="AD125" i="1"/>
  <c r="AE125" i="1"/>
  <c r="R36" i="3" s="1"/>
  <c r="AF125" i="1"/>
  <c r="AH159" i="1"/>
  <c r="AM159" i="1"/>
  <c r="AN159" i="1"/>
  <c r="K126" i="1"/>
  <c r="L126" i="1"/>
  <c r="M126" i="1"/>
  <c r="N126" i="1" s="1"/>
  <c r="V126" i="1"/>
  <c r="Y126" i="1"/>
  <c r="Z126" i="1"/>
  <c r="AA126" i="1" s="1"/>
  <c r="W126" i="1" s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0" i="1"/>
  <c r="AM160" i="1"/>
  <c r="AN160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1" i="1"/>
  <c r="AM161" i="1"/>
  <c r="AN161" i="1"/>
  <c r="K129" i="1"/>
  <c r="L129" i="1"/>
  <c r="M129" i="1"/>
  <c r="P129" i="1" s="1"/>
  <c r="V129" i="1"/>
  <c r="S30" i="3" s="1"/>
  <c r="Y129" i="1"/>
  <c r="Z129" i="1"/>
  <c r="AB129" i="1"/>
  <c r="AC129" i="1"/>
  <c r="AD129" i="1"/>
  <c r="AE129" i="1"/>
  <c r="AF129" i="1"/>
  <c r="AH162" i="1"/>
  <c r="AM162" i="1"/>
  <c r="AN162" i="1"/>
  <c r="K130" i="1"/>
  <c r="L130" i="1"/>
  <c r="M130" i="1"/>
  <c r="V130" i="1"/>
  <c r="Y130" i="1"/>
  <c r="Z130" i="1"/>
  <c r="AB130" i="1"/>
  <c r="AC130" i="1"/>
  <c r="AD130" i="1"/>
  <c r="T130" i="1" s="1"/>
  <c r="AE130" i="1"/>
  <c r="AF130" i="1"/>
  <c r="AH163" i="1"/>
  <c r="AM163" i="1"/>
  <c r="AN163" i="1"/>
  <c r="K131" i="1"/>
  <c r="L131" i="1"/>
  <c r="M131" i="1"/>
  <c r="N131" i="1" s="1"/>
  <c r="V131" i="1"/>
  <c r="S42" i="3" s="1"/>
  <c r="Y131" i="1"/>
  <c r="Z131" i="1"/>
  <c r="AB131" i="1"/>
  <c r="AC131" i="1"/>
  <c r="AD131" i="1"/>
  <c r="T131" i="1" s="1"/>
  <c r="AE131" i="1"/>
  <c r="R42" i="3" s="1"/>
  <c r="AF131" i="1"/>
  <c r="AH164" i="1"/>
  <c r="AM164" i="1"/>
  <c r="AN164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5" i="1"/>
  <c r="AM165" i="1"/>
  <c r="AN165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6" i="1"/>
  <c r="AM166" i="1"/>
  <c r="AN166" i="1"/>
  <c r="K134" i="1"/>
  <c r="L134" i="1"/>
  <c r="M134" i="1"/>
  <c r="N134" i="1" s="1"/>
  <c r="V134" i="1"/>
  <c r="S26" i="3" s="1"/>
  <c r="Y134" i="1"/>
  <c r="Z134" i="1"/>
  <c r="AB134" i="1"/>
  <c r="AC134" i="1"/>
  <c r="AD134" i="1"/>
  <c r="T134" i="1" s="1"/>
  <c r="AE134" i="1"/>
  <c r="R26" i="3" s="1"/>
  <c r="AF134" i="1"/>
  <c r="AH167" i="1"/>
  <c r="AM167" i="1"/>
  <c r="AN167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8" i="1"/>
  <c r="AM168" i="1"/>
  <c r="AN168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9" i="1"/>
  <c r="AM169" i="1"/>
  <c r="AN169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0" i="1"/>
  <c r="AM170" i="1"/>
  <c r="AN170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1" i="1"/>
  <c r="AM171" i="1"/>
  <c r="AN171" i="1"/>
  <c r="K139" i="1"/>
  <c r="L139" i="1"/>
  <c r="M139" i="1"/>
  <c r="N139" i="1" s="1"/>
  <c r="V139" i="1"/>
  <c r="S12" i="3" s="1"/>
  <c r="Y139" i="1"/>
  <c r="Z139" i="1"/>
  <c r="AB139" i="1"/>
  <c r="AC139" i="1"/>
  <c r="AD139" i="1"/>
  <c r="T139" i="1" s="1"/>
  <c r="AE139" i="1"/>
  <c r="R12" i="3" s="1"/>
  <c r="AF139" i="1"/>
  <c r="AH172" i="1"/>
  <c r="AM172" i="1"/>
  <c r="AN172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R21" i="3" s="1"/>
  <c r="AF140" i="1"/>
  <c r="AH173" i="1"/>
  <c r="AM173" i="1"/>
  <c r="AN173" i="1"/>
  <c r="K141" i="1"/>
  <c r="L141" i="1"/>
  <c r="M141" i="1"/>
  <c r="N141" i="1" s="1"/>
  <c r="V141" i="1"/>
  <c r="S20" i="3" s="1"/>
  <c r="Y141" i="1"/>
  <c r="Z141" i="1"/>
  <c r="AB141" i="1"/>
  <c r="AC141" i="1"/>
  <c r="AD141" i="1"/>
  <c r="AE141" i="1"/>
  <c r="R20" i="3" s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6" i="1"/>
  <c r="AM176" i="1"/>
  <c r="AN176" i="1"/>
  <c r="K143" i="1"/>
  <c r="L143" i="1"/>
  <c r="M143" i="1"/>
  <c r="N143" i="1" s="1"/>
  <c r="V143" i="1"/>
  <c r="S23" i="3" s="1"/>
  <c r="Y143" i="1"/>
  <c r="Z143" i="1"/>
  <c r="AB143" i="1"/>
  <c r="AC143" i="1"/>
  <c r="AD143" i="1"/>
  <c r="AG143" i="1" s="1"/>
  <c r="AE143" i="1"/>
  <c r="R23" i="3" s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A147" i="1" s="1"/>
  <c r="AB147" i="1"/>
  <c r="AC147" i="1"/>
  <c r="AD147" i="1"/>
  <c r="AG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7" i="1"/>
  <c r="AM187" i="1"/>
  <c r="AN187" i="1"/>
  <c r="K154" i="1"/>
  <c r="L154" i="1"/>
  <c r="M154" i="1"/>
  <c r="N154" i="1" s="1"/>
  <c r="V154" i="1"/>
  <c r="S34" i="3" s="1"/>
  <c r="Y154" i="1"/>
  <c r="Z154" i="1"/>
  <c r="AB154" i="1"/>
  <c r="AC154" i="1"/>
  <c r="AD154" i="1"/>
  <c r="AG154" i="1" s="1"/>
  <c r="AE154" i="1"/>
  <c r="R34" i="3" s="1"/>
  <c r="AF154" i="1"/>
  <c r="AH188" i="1"/>
  <c r="AM188" i="1"/>
  <c r="AN188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89" i="1"/>
  <c r="AM189" i="1"/>
  <c r="AN189" i="1"/>
  <c r="K156" i="1"/>
  <c r="L156" i="1"/>
  <c r="M156" i="1"/>
  <c r="N156" i="1" s="1"/>
  <c r="V156" i="1"/>
  <c r="S35" i="3" s="1"/>
  <c r="Y156" i="1"/>
  <c r="Z156" i="1"/>
  <c r="AB156" i="1"/>
  <c r="AC156" i="1"/>
  <c r="AD156" i="1"/>
  <c r="AG156" i="1" s="1"/>
  <c r="AE156" i="1"/>
  <c r="R35" i="3" s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1" i="1"/>
  <c r="AM191" i="1"/>
  <c r="AN191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2" i="1"/>
  <c r="AM192" i="1"/>
  <c r="AN1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3" i="1"/>
  <c r="AM193" i="1"/>
  <c r="AN193" i="1"/>
  <c r="AH194" i="1"/>
  <c r="AM194" i="1"/>
  <c r="AN1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5" i="1"/>
  <c r="AM195" i="1"/>
  <c r="AN195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197" i="1"/>
  <c r="AM197" i="1"/>
  <c r="AN197" i="1"/>
  <c r="K197" i="1"/>
  <c r="L197" i="1"/>
  <c r="M197" i="1"/>
  <c r="N197" i="1" s="1"/>
  <c r="V197" i="1"/>
  <c r="S48" i="3" s="1"/>
  <c r="Y197" i="1"/>
  <c r="Z197" i="1"/>
  <c r="AB197" i="1"/>
  <c r="AC197" i="1"/>
  <c r="AD197" i="1"/>
  <c r="AE197" i="1"/>
  <c r="R48" i="3" s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3" i="1"/>
  <c r="AM203" i="1"/>
  <c r="AN203" i="1"/>
  <c r="K203" i="1"/>
  <c r="L203" i="1"/>
  <c r="M203" i="1"/>
  <c r="N203" i="1"/>
  <c r="V203" i="1"/>
  <c r="S52" i="3" s="1"/>
  <c r="Y203" i="1"/>
  <c r="Z203" i="1"/>
  <c r="AB203" i="1"/>
  <c r="AC203" i="1"/>
  <c r="AD203" i="1"/>
  <c r="AG203" i="1" s="1"/>
  <c r="AE203" i="1"/>
  <c r="R52" i="3" s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6" i="1"/>
  <c r="AM206" i="1"/>
  <c r="AN20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7" i="1"/>
  <c r="AM207" i="1"/>
  <c r="AN207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8" i="1"/>
  <c r="AM208" i="1"/>
  <c r="AN20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9" i="1"/>
  <c r="AM209" i="1"/>
  <c r="AN20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AM212" i="1"/>
  <c r="AN212" i="1"/>
  <c r="K213" i="1"/>
  <c r="L213" i="1"/>
  <c r="M213" i="1"/>
  <c r="N213" i="1" s="1"/>
  <c r="V213" i="1"/>
  <c r="S49" i="3" s="1"/>
  <c r="Y213" i="1"/>
  <c r="Z213" i="1"/>
  <c r="AB213" i="1"/>
  <c r="AC213" i="1"/>
  <c r="AD213" i="1"/>
  <c r="AE213" i="1"/>
  <c r="AF213" i="1"/>
  <c r="AH213" i="1"/>
  <c r="AM213" i="1"/>
  <c r="AN213" i="1"/>
  <c r="K214" i="1"/>
  <c r="L214" i="1"/>
  <c r="M214" i="1"/>
  <c r="N214" i="1" s="1"/>
  <c r="V214" i="1"/>
  <c r="S50" i="3" s="1"/>
  <c r="Y214" i="1"/>
  <c r="Z214" i="1"/>
  <c r="AB214" i="1"/>
  <c r="AC214" i="1"/>
  <c r="AD214" i="1"/>
  <c r="AG214" i="1" s="1"/>
  <c r="AE214" i="1"/>
  <c r="R50" i="3" s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T220" i="1"/>
  <c r="V220" i="1"/>
  <c r="Y220" i="1"/>
  <c r="Z220" i="1"/>
  <c r="AB220" i="1"/>
  <c r="AC220" i="1"/>
  <c r="AD220" i="1"/>
  <c r="AG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M52" i="3"/>
  <c r="U52" i="3"/>
  <c r="T52" i="3" s="1"/>
  <c r="V52" i="3"/>
  <c r="W52" i="3"/>
  <c r="X52" i="3"/>
  <c r="AC52" i="3"/>
  <c r="M37" i="3"/>
  <c r="S37" i="3"/>
  <c r="U37" i="3"/>
  <c r="V37" i="3"/>
  <c r="W37" i="3"/>
  <c r="X37" i="3"/>
  <c r="AC37" i="3"/>
  <c r="M22" i="3"/>
  <c r="R22" i="3"/>
  <c r="U22" i="3"/>
  <c r="AC22" i="3" s="1"/>
  <c r="V22" i="3"/>
  <c r="W22" i="3"/>
  <c r="X22" i="3"/>
  <c r="M13" i="3"/>
  <c r="S13" i="3"/>
  <c r="U13" i="3"/>
  <c r="AC13" i="3" s="1"/>
  <c r="V13" i="3"/>
  <c r="W13" i="3"/>
  <c r="X13" i="3"/>
  <c r="M10" i="3"/>
  <c r="R10" i="3"/>
  <c r="U10" i="3"/>
  <c r="T10" i="3" s="1"/>
  <c r="V10" i="3"/>
  <c r="W10" i="3"/>
  <c r="X10" i="3"/>
  <c r="AC10" i="3"/>
  <c r="M31" i="3"/>
  <c r="R31" i="3"/>
  <c r="U31" i="3"/>
  <c r="V31" i="3"/>
  <c r="W31" i="3"/>
  <c r="X31" i="3"/>
  <c r="M24" i="3"/>
  <c r="U24" i="3"/>
  <c r="AC24" i="3" s="1"/>
  <c r="V24" i="3"/>
  <c r="W24" i="3"/>
  <c r="X24" i="3"/>
  <c r="M32" i="3"/>
  <c r="U32" i="3"/>
  <c r="AC32" i="3" s="1"/>
  <c r="V32" i="3"/>
  <c r="W32" i="3"/>
  <c r="X32" i="3"/>
  <c r="M7" i="3"/>
  <c r="U7" i="3"/>
  <c r="T7" i="3" s="1"/>
  <c r="V7" i="3"/>
  <c r="W7" i="3"/>
  <c r="X7" i="3"/>
  <c r="AC7" i="3"/>
  <c r="M38" i="3"/>
  <c r="U38" i="3"/>
  <c r="V38" i="3"/>
  <c r="W38" i="3"/>
  <c r="X38" i="3"/>
  <c r="AC38" i="3"/>
  <c r="M11" i="3"/>
  <c r="R11" i="3"/>
  <c r="U11" i="3"/>
  <c r="AC11" i="3" s="1"/>
  <c r="V11" i="3"/>
  <c r="W11" i="3"/>
  <c r="X11" i="3"/>
  <c r="M19" i="3"/>
  <c r="U19" i="3"/>
  <c r="AC19" i="3" s="1"/>
  <c r="V19" i="3"/>
  <c r="W19" i="3"/>
  <c r="X19" i="3"/>
  <c r="AD19" i="3"/>
  <c r="M29" i="3"/>
  <c r="U29" i="3"/>
  <c r="V29" i="3"/>
  <c r="W29" i="3"/>
  <c r="X29" i="3"/>
  <c r="AC29" i="3"/>
  <c r="M28" i="3"/>
  <c r="R28" i="3"/>
  <c r="U28" i="3"/>
  <c r="V28" i="3"/>
  <c r="W28" i="3"/>
  <c r="X28" i="3"/>
  <c r="M14" i="3"/>
  <c r="S14" i="3"/>
  <c r="U14" i="3"/>
  <c r="AC14" i="3" s="1"/>
  <c r="V14" i="3"/>
  <c r="W14" i="3"/>
  <c r="X14" i="3"/>
  <c r="M44" i="3"/>
  <c r="U44" i="3"/>
  <c r="AC44" i="3" s="1"/>
  <c r="V44" i="3"/>
  <c r="W44" i="3"/>
  <c r="X44" i="3"/>
  <c r="M39" i="3"/>
  <c r="S39" i="3"/>
  <c r="U39" i="3"/>
  <c r="V39" i="3"/>
  <c r="W39" i="3"/>
  <c r="X39" i="3"/>
  <c r="AC39" i="3"/>
  <c r="M40" i="3"/>
  <c r="S40" i="3"/>
  <c r="U40" i="3"/>
  <c r="AD47" i="3" s="1"/>
  <c r="V40" i="3"/>
  <c r="W40" i="3"/>
  <c r="X40" i="3"/>
  <c r="M18" i="3"/>
  <c r="U18" i="3"/>
  <c r="AC18" i="3" s="1"/>
  <c r="V18" i="3"/>
  <c r="W18" i="3"/>
  <c r="X18" i="3"/>
  <c r="M17" i="3"/>
  <c r="R17" i="3"/>
  <c r="S17" i="3"/>
  <c r="U17" i="3"/>
  <c r="AC17" i="3" s="1"/>
  <c r="V17" i="3"/>
  <c r="W17" i="3"/>
  <c r="X17" i="3"/>
  <c r="M16" i="3"/>
  <c r="U16" i="3"/>
  <c r="T16" i="3" s="1"/>
  <c r="V16" i="3"/>
  <c r="W16" i="3"/>
  <c r="X16" i="3"/>
  <c r="AC16" i="3"/>
  <c r="M15" i="3"/>
  <c r="U15" i="3"/>
  <c r="V15" i="3"/>
  <c r="W15" i="3"/>
  <c r="X15" i="3"/>
  <c r="M33" i="3"/>
  <c r="U33" i="3"/>
  <c r="AC33" i="3" s="1"/>
  <c r="V33" i="3"/>
  <c r="W33" i="3"/>
  <c r="X33" i="3"/>
  <c r="M8" i="3"/>
  <c r="R8" i="3"/>
  <c r="U8" i="3"/>
  <c r="AC8" i="3" s="1"/>
  <c r="V8" i="3"/>
  <c r="W8" i="3"/>
  <c r="X8" i="3"/>
  <c r="M25" i="3"/>
  <c r="S25" i="3"/>
  <c r="U25" i="3"/>
  <c r="T25" i="3" s="1"/>
  <c r="V25" i="3"/>
  <c r="W25" i="3"/>
  <c r="X25" i="3"/>
  <c r="AC25" i="3"/>
  <c r="M41" i="3"/>
  <c r="U41" i="3"/>
  <c r="V41" i="3"/>
  <c r="W41" i="3"/>
  <c r="X41" i="3"/>
  <c r="AC41" i="3"/>
  <c r="M45" i="3"/>
  <c r="U45" i="3"/>
  <c r="AC45" i="3" s="1"/>
  <c r="V45" i="3"/>
  <c r="W45" i="3"/>
  <c r="X45" i="3"/>
  <c r="M43" i="3"/>
  <c r="U43" i="3"/>
  <c r="AC43" i="3" s="1"/>
  <c r="V43" i="3"/>
  <c r="W43" i="3"/>
  <c r="X43" i="3"/>
  <c r="M27" i="3"/>
  <c r="U27" i="3"/>
  <c r="V27" i="3"/>
  <c r="W27" i="3"/>
  <c r="X27" i="3"/>
  <c r="AC27" i="3"/>
  <c r="M49" i="3"/>
  <c r="R49" i="3"/>
  <c r="U49" i="3"/>
  <c r="V49" i="3"/>
  <c r="W49" i="3"/>
  <c r="X49" i="3"/>
  <c r="AC49" i="3"/>
  <c r="M50" i="3"/>
  <c r="U50" i="3"/>
  <c r="AC50" i="3" s="1"/>
  <c r="V50" i="3"/>
  <c r="W50" i="3"/>
  <c r="X50" i="3"/>
  <c r="M9" i="3"/>
  <c r="U9" i="3"/>
  <c r="AC9" i="3" s="1"/>
  <c r="V9" i="3"/>
  <c r="W9" i="3"/>
  <c r="X9" i="3"/>
  <c r="M47" i="3"/>
  <c r="R47" i="3"/>
  <c r="S47" i="3"/>
  <c r="U47" i="3"/>
  <c r="T47" i="3" s="1"/>
  <c r="V47" i="3"/>
  <c r="W47" i="3"/>
  <c r="X47" i="3"/>
  <c r="AC47" i="3"/>
  <c r="M42" i="3"/>
  <c r="U42" i="3"/>
  <c r="T42" i="3" s="1"/>
  <c r="V42" i="3"/>
  <c r="W42" i="3"/>
  <c r="X42" i="3"/>
  <c r="AC42" i="3"/>
  <c r="M30" i="3"/>
  <c r="R30" i="3"/>
  <c r="U30" i="3"/>
  <c r="AC30" i="3" s="1"/>
  <c r="V30" i="3"/>
  <c r="W30" i="3"/>
  <c r="X30" i="3"/>
  <c r="M36" i="3"/>
  <c r="U36" i="3"/>
  <c r="AC36" i="3" s="1"/>
  <c r="V36" i="3"/>
  <c r="W36" i="3"/>
  <c r="X36" i="3"/>
  <c r="M48" i="3"/>
  <c r="U48" i="3"/>
  <c r="V48" i="3"/>
  <c r="W48" i="3"/>
  <c r="X48" i="3"/>
  <c r="M26" i="3"/>
  <c r="U26" i="3"/>
  <c r="T26" i="3" s="1"/>
  <c r="V26" i="3"/>
  <c r="W26" i="3"/>
  <c r="X26" i="3"/>
  <c r="M12" i="3"/>
  <c r="U12" i="3"/>
  <c r="AC12" i="3" s="1"/>
  <c r="V12" i="3"/>
  <c r="W12" i="3"/>
  <c r="X12" i="3"/>
  <c r="M20" i="3"/>
  <c r="U20" i="3"/>
  <c r="AC20" i="3" s="1"/>
  <c r="V20" i="3"/>
  <c r="W20" i="3"/>
  <c r="X20" i="3"/>
  <c r="M21" i="3"/>
  <c r="S21" i="3"/>
  <c r="U21" i="3"/>
  <c r="T21" i="3" s="1"/>
  <c r="V21" i="3"/>
  <c r="W21" i="3"/>
  <c r="X21" i="3"/>
  <c r="AC21" i="3"/>
  <c r="M23" i="3"/>
  <c r="U23" i="3"/>
  <c r="T23" i="3" s="1"/>
  <c r="V23" i="3"/>
  <c r="W23" i="3"/>
  <c r="X23" i="3"/>
  <c r="M46" i="3"/>
  <c r="U46" i="3"/>
  <c r="AC46" i="3" s="1"/>
  <c r="V46" i="3"/>
  <c r="W46" i="3"/>
  <c r="X46" i="3"/>
  <c r="M34" i="3"/>
  <c r="U34" i="3"/>
  <c r="AC34" i="3" s="1"/>
  <c r="V34" i="3"/>
  <c r="W34" i="3"/>
  <c r="X34" i="3"/>
  <c r="M35" i="3"/>
  <c r="U35" i="3"/>
  <c r="V35" i="3"/>
  <c r="W35" i="3"/>
  <c r="X35" i="3"/>
  <c r="Y45" i="3" l="1"/>
  <c r="AD8" i="3"/>
  <c r="AD9" i="3"/>
  <c r="AC26" i="3"/>
  <c r="AC40" i="3"/>
  <c r="AC23" i="3"/>
  <c r="Y37" i="3"/>
  <c r="Y12" i="3"/>
  <c r="AD35" i="3"/>
  <c r="Y30" i="3"/>
  <c r="AD15" i="3"/>
  <c r="Y14" i="3"/>
  <c r="AD49" i="3"/>
  <c r="Y52" i="3"/>
  <c r="X163" i="1"/>
  <c r="T65" i="1"/>
  <c r="AI212" i="1"/>
  <c r="T196" i="1"/>
  <c r="T106" i="1"/>
  <c r="AA105" i="1"/>
  <c r="AA177" i="1"/>
  <c r="AI85" i="1"/>
  <c r="AI77" i="1"/>
  <c r="P49" i="1"/>
  <c r="AA40" i="1"/>
  <c r="AA33" i="1"/>
  <c r="AA29" i="1"/>
  <c r="AA16" i="1"/>
  <c r="AA24" i="1"/>
  <c r="X26" i="1"/>
  <c r="AG196" i="1"/>
  <c r="AA160" i="1"/>
  <c r="AA106" i="1"/>
  <c r="AG175" i="1"/>
  <c r="U175" i="1" s="1"/>
  <c r="S175" i="1" s="1"/>
  <c r="AA173" i="1"/>
  <c r="AI171" i="1"/>
  <c r="AA68" i="1"/>
  <c r="AA34" i="1"/>
  <c r="AA30" i="1"/>
  <c r="AA26" i="1"/>
  <c r="AG18" i="1"/>
  <c r="AI18" i="1" s="1"/>
  <c r="AA23" i="1"/>
  <c r="W106" i="1"/>
  <c r="T99" i="1"/>
  <c r="X47" i="1"/>
  <c r="AI20" i="1"/>
  <c r="X159" i="1"/>
  <c r="X24" i="1"/>
  <c r="AA212" i="1"/>
  <c r="W212" i="1" s="1"/>
  <c r="X200" i="1"/>
  <c r="S7" i="3"/>
  <c r="AA207" i="1"/>
  <c r="W207" i="1" s="1"/>
  <c r="AA203" i="1"/>
  <c r="AA151" i="1"/>
  <c r="S15" i="3"/>
  <c r="AA206" i="1"/>
  <c r="T200" i="1"/>
  <c r="AA158" i="1"/>
  <c r="AA154" i="1"/>
  <c r="AA150" i="1"/>
  <c r="AA143" i="1"/>
  <c r="AG131" i="1"/>
  <c r="U131" i="1" s="1"/>
  <c r="S131" i="1" s="1"/>
  <c r="AG122" i="1"/>
  <c r="AG97" i="1"/>
  <c r="AA194" i="1"/>
  <c r="T180" i="1"/>
  <c r="U180" i="1" s="1"/>
  <c r="S180" i="1" s="1"/>
  <c r="AA90" i="1"/>
  <c r="AG78" i="1"/>
  <c r="U78" i="1" s="1"/>
  <c r="X78" i="1"/>
  <c r="X66" i="1"/>
  <c r="AA63" i="1"/>
  <c r="AA57" i="1"/>
  <c r="AA50" i="1"/>
  <c r="X39" i="1"/>
  <c r="T21" i="1"/>
  <c r="U21" i="1" s="1"/>
  <c r="S21" i="1" s="1"/>
  <c r="X162" i="1"/>
  <c r="X27" i="1"/>
  <c r="AA37" i="1"/>
  <c r="X161" i="1"/>
  <c r="AA142" i="1"/>
  <c r="W142" i="1" s="1"/>
  <c r="AA135" i="1"/>
  <c r="AA122" i="1"/>
  <c r="AA114" i="1"/>
  <c r="W114" i="1" s="1"/>
  <c r="AG92" i="1"/>
  <c r="AA87" i="1"/>
  <c r="AG63" i="1"/>
  <c r="AA49" i="1"/>
  <c r="X160" i="1"/>
  <c r="X175" i="1"/>
  <c r="X25" i="1"/>
  <c r="X38" i="1"/>
  <c r="AG37" i="1"/>
  <c r="X37" i="1"/>
  <c r="AG23" i="1"/>
  <c r="AG24" i="1"/>
  <c r="X23" i="1"/>
  <c r="Y21" i="3"/>
  <c r="R15" i="3"/>
  <c r="Y40" i="3"/>
  <c r="S11" i="3"/>
  <c r="Y31" i="3"/>
  <c r="Y34" i="3"/>
  <c r="AE47" i="3"/>
  <c r="Y11" i="3"/>
  <c r="R38" i="3"/>
  <c r="AG174" i="1"/>
  <c r="X174" i="1"/>
  <c r="Y49" i="3"/>
  <c r="Y16" i="3"/>
  <c r="AE35" i="3"/>
  <c r="AE23" i="3"/>
  <c r="T43" i="3"/>
  <c r="Y15" i="3"/>
  <c r="Y36" i="3"/>
  <c r="Y50" i="3"/>
  <c r="AD27" i="3"/>
  <c r="Y43" i="3"/>
  <c r="AD25" i="3"/>
  <c r="AD17" i="3"/>
  <c r="Y39" i="3"/>
  <c r="AD41" i="3"/>
  <c r="Y24" i="3"/>
  <c r="T182" i="1"/>
  <c r="U182" i="1" s="1"/>
  <c r="S182" i="1" s="1"/>
  <c r="Y47" i="3"/>
  <c r="X135" i="1"/>
  <c r="X119" i="1"/>
  <c r="T114" i="1"/>
  <c r="U114" i="1" s="1"/>
  <c r="S114" i="1" s="1"/>
  <c r="Y46" i="3"/>
  <c r="Y26" i="3"/>
  <c r="AE20" i="3"/>
  <c r="Y18" i="3"/>
  <c r="T39" i="3"/>
  <c r="Y19" i="3"/>
  <c r="Y38" i="3"/>
  <c r="Y32" i="3"/>
  <c r="X218" i="1"/>
  <c r="AG217" i="1"/>
  <c r="AI217" i="1" s="1"/>
  <c r="X217" i="1"/>
  <c r="X207" i="1"/>
  <c r="AG204" i="1"/>
  <c r="U204" i="1" s="1"/>
  <c r="S204" i="1" s="1"/>
  <c r="X204" i="1"/>
  <c r="AA201" i="1"/>
  <c r="AA155" i="1"/>
  <c r="AG144" i="1"/>
  <c r="AA138" i="1"/>
  <c r="AG128" i="1"/>
  <c r="AI128" i="1" s="1"/>
  <c r="AG123" i="1"/>
  <c r="U123" i="1" s="1"/>
  <c r="S123" i="1" s="1"/>
  <c r="X123" i="1"/>
  <c r="AA120" i="1"/>
  <c r="AA118" i="1"/>
  <c r="AA191" i="1"/>
  <c r="AA184" i="1"/>
  <c r="AA178" i="1"/>
  <c r="X167" i="1"/>
  <c r="AG166" i="1"/>
  <c r="U166" i="1" s="1"/>
  <c r="S166" i="1" s="1"/>
  <c r="X166" i="1"/>
  <c r="AA162" i="1"/>
  <c r="AA161" i="1"/>
  <c r="AA85" i="1"/>
  <c r="W85" i="1" s="1"/>
  <c r="AI81" i="1"/>
  <c r="AA77" i="1"/>
  <c r="W77" i="1" s="1"/>
  <c r="AA65" i="1"/>
  <c r="W65" i="1" s="1"/>
  <c r="X62" i="1"/>
  <c r="AA51" i="1"/>
  <c r="AG48" i="1"/>
  <c r="AI48" i="1" s="1"/>
  <c r="AA20" i="1"/>
  <c r="AD23" i="3"/>
  <c r="AD48" i="3"/>
  <c r="AE48" i="3"/>
  <c r="AD39" i="3"/>
  <c r="AD40" i="3"/>
  <c r="AE40" i="3"/>
  <c r="AD28" i="3"/>
  <c r="AA219" i="1"/>
  <c r="AA209" i="1"/>
  <c r="X152" i="1"/>
  <c r="AG151" i="1"/>
  <c r="X151" i="1"/>
  <c r="AG140" i="1"/>
  <c r="U140" i="1" s="1"/>
  <c r="S140" i="1" s="1"/>
  <c r="X140" i="1"/>
  <c r="AG139" i="1"/>
  <c r="U139" i="1" s="1"/>
  <c r="S139" i="1" s="1"/>
  <c r="X139" i="1"/>
  <c r="AA130" i="1"/>
  <c r="AA128" i="1"/>
  <c r="AA123" i="1"/>
  <c r="AG120" i="1"/>
  <c r="AI120" i="1" s="1"/>
  <c r="AG94" i="1"/>
  <c r="U94" i="1" s="1"/>
  <c r="S94" i="1" s="1"/>
  <c r="X94" i="1"/>
  <c r="AA166" i="1"/>
  <c r="AA64" i="1"/>
  <c r="AG58" i="1"/>
  <c r="X58" i="1"/>
  <c r="AG52" i="1"/>
  <c r="X52" i="1"/>
  <c r="AI46" i="1"/>
  <c r="AA39" i="1"/>
  <c r="AA36" i="1"/>
  <c r="X17" i="1"/>
  <c r="AA46" i="1"/>
  <c r="W46" i="1" s="1"/>
  <c r="T193" i="1"/>
  <c r="U193" i="1" s="1"/>
  <c r="S193" i="1" s="1"/>
  <c r="AG193" i="1"/>
  <c r="AG96" i="1"/>
  <c r="T96" i="1"/>
  <c r="AG187" i="1"/>
  <c r="U187" i="1" s="1"/>
  <c r="S187" i="1" s="1"/>
  <c r="T187" i="1"/>
  <c r="X187" i="1"/>
  <c r="T95" i="1"/>
  <c r="AG95" i="1"/>
  <c r="AI95" i="1" s="1"/>
  <c r="T173" i="1"/>
  <c r="X86" i="1"/>
  <c r="T86" i="1"/>
  <c r="AG158" i="1"/>
  <c r="X158" i="1"/>
  <c r="AG208" i="1"/>
  <c r="AI208" i="1" s="1"/>
  <c r="X208" i="1"/>
  <c r="AA199" i="1"/>
  <c r="W199" i="1" s="1"/>
  <c r="AG159" i="1"/>
  <c r="T112" i="1"/>
  <c r="AG112" i="1"/>
  <c r="AI112" i="1" s="1"/>
  <c r="T104" i="1"/>
  <c r="AG104" i="1"/>
  <c r="AA211" i="1"/>
  <c r="AG200" i="1"/>
  <c r="U200" i="1" s="1"/>
  <c r="S200" i="1" s="1"/>
  <c r="X199" i="1"/>
  <c r="AA157" i="1"/>
  <c r="AA153" i="1"/>
  <c r="AG148" i="1"/>
  <c r="U148" i="1" s="1"/>
  <c r="S148" i="1" s="1"/>
  <c r="X148" i="1"/>
  <c r="AG216" i="1"/>
  <c r="AI216" i="1" s="1"/>
  <c r="X216" i="1"/>
  <c r="X221" i="1"/>
  <c r="T221" i="1"/>
  <c r="AA198" i="1"/>
  <c r="T147" i="1"/>
  <c r="U147" i="1" s="1"/>
  <c r="S147" i="1" s="1"/>
  <c r="X147" i="1"/>
  <c r="AA216" i="1"/>
  <c r="U196" i="1"/>
  <c r="S196" i="1" s="1"/>
  <c r="T155" i="1"/>
  <c r="X155" i="1"/>
  <c r="AG155" i="1"/>
  <c r="AA146" i="1"/>
  <c r="AI144" i="1"/>
  <c r="X144" i="1"/>
  <c r="X143" i="1"/>
  <c r="AA141" i="1"/>
  <c r="AA139" i="1"/>
  <c r="AG138" i="1"/>
  <c r="T138" i="1"/>
  <c r="X131" i="1"/>
  <c r="AG130" i="1"/>
  <c r="U130" i="1" s="1"/>
  <c r="AG190" i="1"/>
  <c r="T190" i="1"/>
  <c r="AG186" i="1"/>
  <c r="W186" i="1" s="1"/>
  <c r="T186" i="1"/>
  <c r="AG91" i="1"/>
  <c r="X92" i="1"/>
  <c r="X91" i="1"/>
  <c r="AG87" i="1"/>
  <c r="W87" i="1" s="1"/>
  <c r="X87" i="1"/>
  <c r="T43" i="1"/>
  <c r="X43" i="1"/>
  <c r="AG43" i="1"/>
  <c r="T22" i="1"/>
  <c r="AG22" i="1"/>
  <c r="AI22" i="1" s="1"/>
  <c r="W147" i="1"/>
  <c r="T107" i="1"/>
  <c r="X107" i="1"/>
  <c r="AG107" i="1"/>
  <c r="AI107" i="1" s="1"/>
  <c r="T100" i="1"/>
  <c r="U100" i="1" s="1"/>
  <c r="S100" i="1" s="1"/>
  <c r="X100" i="1"/>
  <c r="AG100" i="1"/>
  <c r="AG178" i="1"/>
  <c r="X178" i="1"/>
  <c r="AA42" i="1"/>
  <c r="W42" i="1" s="1"/>
  <c r="AI42" i="1"/>
  <c r="T16" i="1"/>
  <c r="X16" i="1"/>
  <c r="AG16" i="1"/>
  <c r="AI16" i="1" s="1"/>
  <c r="AA220" i="1"/>
  <c r="W220" i="1" s="1"/>
  <c r="X213" i="1"/>
  <c r="AA213" i="1"/>
  <c r="AA205" i="1"/>
  <c r="AA202" i="1"/>
  <c r="AA197" i="1"/>
  <c r="AA195" i="1"/>
  <c r="W195" i="1" s="1"/>
  <c r="AI156" i="1"/>
  <c r="AA134" i="1"/>
  <c r="AA131" i="1"/>
  <c r="AA129" i="1"/>
  <c r="AA121" i="1"/>
  <c r="AA99" i="1"/>
  <c r="W99" i="1" s="1"/>
  <c r="AA182" i="1"/>
  <c r="W182" i="1" s="1"/>
  <c r="AA180" i="1"/>
  <c r="W180" i="1" s="1"/>
  <c r="AA179" i="1"/>
  <c r="W179" i="1" s="1"/>
  <c r="AA175" i="1"/>
  <c r="AA83" i="1"/>
  <c r="W83" i="1" s="1"/>
  <c r="T81" i="1"/>
  <c r="U81" i="1" s="1"/>
  <c r="S81" i="1" s="1"/>
  <c r="AA80" i="1"/>
  <c r="AA73" i="1"/>
  <c r="T62" i="1"/>
  <c r="AA61" i="1"/>
  <c r="W61" i="1" s="1"/>
  <c r="AA58" i="1"/>
  <c r="T57" i="1"/>
  <c r="AA56" i="1"/>
  <c r="T47" i="1"/>
  <c r="T46" i="1"/>
  <c r="U46" i="1" s="1"/>
  <c r="S46" i="1" s="1"/>
  <c r="AA38" i="1"/>
  <c r="W38" i="1" s="1"/>
  <c r="T31" i="1"/>
  <c r="AA21" i="1"/>
  <c r="W21" i="1" s="1"/>
  <c r="U115" i="1"/>
  <c r="S115" i="1" s="1"/>
  <c r="X210" i="1"/>
  <c r="AA97" i="1"/>
  <c r="W97" i="1" s="1"/>
  <c r="AA171" i="1"/>
  <c r="AA170" i="1"/>
  <c r="W170" i="1" s="1"/>
  <c r="AA69" i="1"/>
  <c r="W69" i="1" s="1"/>
  <c r="AA62" i="1"/>
  <c r="AA54" i="1"/>
  <c r="W54" i="1" s="1"/>
  <c r="AA53" i="1"/>
  <c r="AA35" i="1"/>
  <c r="AA31" i="1"/>
  <c r="W20" i="1"/>
  <c r="AA14" i="1"/>
  <c r="AA112" i="1"/>
  <c r="AA110" i="1"/>
  <c r="AA107" i="1"/>
  <c r="W107" i="1" s="1"/>
  <c r="AA104" i="1"/>
  <c r="W104" i="1" s="1"/>
  <c r="AA103" i="1"/>
  <c r="AA100" i="1"/>
  <c r="AA98" i="1"/>
  <c r="AA193" i="1"/>
  <c r="W193" i="1" s="1"/>
  <c r="AA96" i="1"/>
  <c r="AA189" i="1"/>
  <c r="AA187" i="1"/>
  <c r="AA185" i="1"/>
  <c r="AA181" i="1"/>
  <c r="AA172" i="1"/>
  <c r="AA91" i="1"/>
  <c r="W91" i="1" s="1"/>
  <c r="AA89" i="1"/>
  <c r="AA84" i="1"/>
  <c r="AA81" i="1"/>
  <c r="AA72" i="1"/>
  <c r="U65" i="1"/>
  <c r="S65" i="1" s="1"/>
  <c r="AA55" i="1"/>
  <c r="AA41" i="1"/>
  <c r="AA32" i="1"/>
  <c r="AA28" i="1"/>
  <c r="W110" i="1"/>
  <c r="AA221" i="1"/>
  <c r="T143" i="1"/>
  <c r="U143" i="1" s="1"/>
  <c r="S143" i="1" s="1"/>
  <c r="X118" i="1"/>
  <c r="U106" i="1"/>
  <c r="S106" i="1" s="1"/>
  <c r="X103" i="1"/>
  <c r="T216" i="1"/>
  <c r="AG221" i="1"/>
  <c r="AI221" i="1" s="1"/>
  <c r="AI220" i="1"/>
  <c r="AA215" i="1"/>
  <c r="AA214" i="1"/>
  <c r="W214" i="1" s="1"/>
  <c r="T213" i="1"/>
  <c r="X212" i="1"/>
  <c r="AA208" i="1"/>
  <c r="T207" i="1"/>
  <c r="X203" i="1"/>
  <c r="AA200" i="1"/>
  <c r="T199" i="1"/>
  <c r="U199" i="1" s="1"/>
  <c r="S199" i="1" s="1"/>
  <c r="X195" i="1"/>
  <c r="AA159" i="1"/>
  <c r="W159" i="1" s="1"/>
  <c r="T158" i="1"/>
  <c r="X154" i="1"/>
  <c r="AA149" i="1"/>
  <c r="AA148" i="1"/>
  <c r="AA145" i="1"/>
  <c r="T142" i="1"/>
  <c r="U142" i="1" s="1"/>
  <c r="S142" i="1" s="1"/>
  <c r="AG136" i="1"/>
  <c r="X136" i="1"/>
  <c r="T135" i="1"/>
  <c r="AG134" i="1"/>
  <c r="U134" i="1" s="1"/>
  <c r="S134" i="1" s="1"/>
  <c r="AG132" i="1"/>
  <c r="AI132" i="1" s="1"/>
  <c r="AG127" i="1"/>
  <c r="U127" i="1" s="1"/>
  <c r="S127" i="1" s="1"/>
  <c r="X127" i="1"/>
  <c r="T126" i="1"/>
  <c r="U126" i="1" s="1"/>
  <c r="S126" i="1" s="1"/>
  <c r="AA125" i="1"/>
  <c r="AA124" i="1"/>
  <c r="AA119" i="1"/>
  <c r="T119" i="1"/>
  <c r="AG118" i="1"/>
  <c r="U118" i="1" s="1"/>
  <c r="S118" i="1" s="1"/>
  <c r="AG116" i="1"/>
  <c r="AI116" i="1" s="1"/>
  <c r="X114" i="1"/>
  <c r="AG111" i="1"/>
  <c r="X111" i="1"/>
  <c r="T110" i="1"/>
  <c r="U110" i="1" s="1"/>
  <c r="S110" i="1" s="1"/>
  <c r="AA109" i="1"/>
  <c r="AA108" i="1"/>
  <c r="AA210" i="1"/>
  <c r="T210" i="1"/>
  <c r="AG103" i="1"/>
  <c r="AG101" i="1"/>
  <c r="U101" i="1" s="1"/>
  <c r="S101" i="1" s="1"/>
  <c r="X99" i="1"/>
  <c r="X193" i="1"/>
  <c r="W191" i="1"/>
  <c r="W73" i="1"/>
  <c r="W30" i="1"/>
  <c r="U159" i="1"/>
  <c r="S159" i="1" s="1"/>
  <c r="AA156" i="1"/>
  <c r="W156" i="1" s="1"/>
  <c r="U151" i="1"/>
  <c r="S151" i="1" s="1"/>
  <c r="W115" i="1"/>
  <c r="X110" i="1"/>
  <c r="U99" i="1"/>
  <c r="S99" i="1" s="1"/>
  <c r="AI99" i="1"/>
  <c r="AI73" i="1"/>
  <c r="AI61" i="1"/>
  <c r="U57" i="1"/>
  <c r="S57" i="1" s="1"/>
  <c r="AI57" i="1"/>
  <c r="AI30" i="1"/>
  <c r="AA218" i="1"/>
  <c r="AA217" i="1"/>
  <c r="W217" i="1" s="1"/>
  <c r="AG213" i="1"/>
  <c r="AI213" i="1" s="1"/>
  <c r="T212" i="1"/>
  <c r="U212" i="1" s="1"/>
  <c r="S212" i="1" s="1"/>
  <c r="AA204" i="1"/>
  <c r="T203" i="1"/>
  <c r="AA196" i="1"/>
  <c r="W196" i="1" s="1"/>
  <c r="T195" i="1"/>
  <c r="U195" i="1" s="1"/>
  <c r="S195" i="1" s="1"/>
  <c r="T154" i="1"/>
  <c r="U154" i="1" s="1"/>
  <c r="S154" i="1" s="1"/>
  <c r="U144" i="1"/>
  <c r="S144" i="1" s="1"/>
  <c r="W143" i="1"/>
  <c r="AA137" i="1"/>
  <c r="AG135" i="1"/>
  <c r="AA133" i="1"/>
  <c r="AA132" i="1"/>
  <c r="AA127" i="1"/>
  <c r="AG124" i="1"/>
  <c r="AI124" i="1" s="1"/>
  <c r="X122" i="1"/>
  <c r="AG119" i="1"/>
  <c r="AA117" i="1"/>
  <c r="AA116" i="1"/>
  <c r="AA111" i="1"/>
  <c r="AG108" i="1"/>
  <c r="AI108" i="1" s="1"/>
  <c r="X106" i="1"/>
  <c r="AG210" i="1"/>
  <c r="AA102" i="1"/>
  <c r="AA101" i="1"/>
  <c r="X194" i="1"/>
  <c r="AG194" i="1"/>
  <c r="U194" i="1" s="1"/>
  <c r="AI69" i="1"/>
  <c r="AG188" i="1"/>
  <c r="X186" i="1"/>
  <c r="X180" i="1"/>
  <c r="X179" i="1"/>
  <c r="T178" i="1"/>
  <c r="AG173" i="1"/>
  <c r="W173" i="1" s="1"/>
  <c r="X170" i="1"/>
  <c r="T162" i="1"/>
  <c r="U162" i="1" s="1"/>
  <c r="S162" i="1" s="1"/>
  <c r="AA93" i="1"/>
  <c r="AA92" i="1"/>
  <c r="AG88" i="1"/>
  <c r="U88" i="1" s="1"/>
  <c r="S88" i="1" s="1"/>
  <c r="X88" i="1"/>
  <c r="T87" i="1"/>
  <c r="AG86" i="1"/>
  <c r="T85" i="1"/>
  <c r="U85" i="1" s="1"/>
  <c r="S85" i="1" s="1"/>
  <c r="AG82" i="1"/>
  <c r="U82" i="1" s="1"/>
  <c r="S82" i="1" s="1"/>
  <c r="X82" i="1"/>
  <c r="X73" i="1"/>
  <c r="AI65" i="1"/>
  <c r="AG55" i="1"/>
  <c r="U55" i="1" s="1"/>
  <c r="X54" i="1"/>
  <c r="T51" i="1"/>
  <c r="U51" i="1" s="1"/>
  <c r="S51" i="1" s="1"/>
  <c r="AA47" i="1"/>
  <c r="AG40" i="1"/>
  <c r="U40" i="1" s="1"/>
  <c r="AG35" i="1"/>
  <c r="AI35" i="1" s="1"/>
  <c r="AG34" i="1"/>
  <c r="W34" i="1" s="1"/>
  <c r="X30" i="1"/>
  <c r="AA27" i="1"/>
  <c r="W27" i="1" s="1"/>
  <c r="T27" i="1"/>
  <c r="U27" i="1" s="1"/>
  <c r="S27" i="1" s="1"/>
  <c r="AG26" i="1"/>
  <c r="W26" i="1" s="1"/>
  <c r="X21" i="1"/>
  <c r="AA17" i="1"/>
  <c r="W17" i="1" s="1"/>
  <c r="T17" i="1"/>
  <c r="AA192" i="1"/>
  <c r="X96" i="1"/>
  <c r="AG184" i="1"/>
  <c r="W184" i="1" s="1"/>
  <c r="AA183" i="1"/>
  <c r="T183" i="1"/>
  <c r="U183" i="1" s="1"/>
  <c r="S183" i="1" s="1"/>
  <c r="X182" i="1"/>
  <c r="AA95" i="1"/>
  <c r="AA167" i="1"/>
  <c r="T167" i="1"/>
  <c r="AA165" i="1"/>
  <c r="AA164" i="1"/>
  <c r="W164" i="1" s="1"/>
  <c r="T163" i="1"/>
  <c r="T91" i="1"/>
  <c r="U91" i="1" s="1"/>
  <c r="S91" i="1" s="1"/>
  <c r="AA78" i="1"/>
  <c r="W78" i="1" s="1"/>
  <c r="X77" i="1"/>
  <c r="AG74" i="1"/>
  <c r="AI74" i="1" s="1"/>
  <c r="X74" i="1"/>
  <c r="AG70" i="1"/>
  <c r="U70" i="1" s="1"/>
  <c r="X70" i="1"/>
  <c r="T69" i="1"/>
  <c r="U69" i="1" s="1"/>
  <c r="S69" i="1" s="1"/>
  <c r="AA66" i="1"/>
  <c r="AG62" i="1"/>
  <c r="W62" i="1" s="1"/>
  <c r="T61" i="1"/>
  <c r="U61" i="1" s="1"/>
  <c r="S61" i="1" s="1"/>
  <c r="AA60" i="1"/>
  <c r="AA59" i="1"/>
  <c r="AG47" i="1"/>
  <c r="AA45" i="1"/>
  <c r="AA43" i="1"/>
  <c r="W43" i="1" s="1"/>
  <c r="T42" i="1"/>
  <c r="T39" i="1"/>
  <c r="T38" i="1"/>
  <c r="U38" i="1" s="1"/>
  <c r="S38" i="1" s="1"/>
  <c r="X34" i="1"/>
  <c r="AG31" i="1"/>
  <c r="AA22" i="1"/>
  <c r="AA19" i="1"/>
  <c r="T179" i="1"/>
  <c r="T170" i="1"/>
  <c r="U170" i="1" s="1"/>
  <c r="S170" i="1" s="1"/>
  <c r="T73" i="1"/>
  <c r="U73" i="1" s="1"/>
  <c r="S73" i="1" s="1"/>
  <c r="T66" i="1"/>
  <c r="W57" i="1"/>
  <c r="T54" i="1"/>
  <c r="U54" i="1" s="1"/>
  <c r="S54" i="1" s="1"/>
  <c r="W51" i="1"/>
  <c r="T30" i="1"/>
  <c r="U30" i="1" s="1"/>
  <c r="S30" i="1" s="1"/>
  <c r="U20" i="1"/>
  <c r="S20" i="1" s="1"/>
  <c r="X190" i="1"/>
  <c r="AA188" i="1"/>
  <c r="X183" i="1"/>
  <c r="AG167" i="1"/>
  <c r="AI167" i="1" s="1"/>
  <c r="AG163" i="1"/>
  <c r="W162" i="1"/>
  <c r="AA88" i="1"/>
  <c r="AA86" i="1"/>
  <c r="AA82" i="1"/>
  <c r="T77" i="1"/>
  <c r="U77" i="1" s="1"/>
  <c r="S77" i="1" s="1"/>
  <c r="AA76" i="1"/>
  <c r="AA75" i="1"/>
  <c r="W75" i="1" s="1"/>
  <c r="AA71" i="1"/>
  <c r="AA70" i="1"/>
  <c r="W70" i="1" s="1"/>
  <c r="AG66" i="1"/>
  <c r="AG59" i="1"/>
  <c r="U59" i="1" s="1"/>
  <c r="AG44" i="1"/>
  <c r="AI44" i="1" s="1"/>
  <c r="X42" i="1"/>
  <c r="AG39" i="1"/>
  <c r="W31" i="1"/>
  <c r="AA25" i="1"/>
  <c r="X20" i="1"/>
  <c r="AA18" i="1"/>
  <c r="W18" i="1" s="1"/>
  <c r="AA15" i="1"/>
  <c r="AG201" i="1"/>
  <c r="T201" i="1"/>
  <c r="X201" i="1"/>
  <c r="X220" i="1"/>
  <c r="T218" i="1"/>
  <c r="U207" i="1"/>
  <c r="S207" i="1" s="1"/>
  <c r="U158" i="1"/>
  <c r="S158" i="1" s="1"/>
  <c r="AG209" i="1"/>
  <c r="AI209" i="1" s="1"/>
  <c r="T209" i="1"/>
  <c r="X209" i="1"/>
  <c r="T219" i="1"/>
  <c r="X219" i="1"/>
  <c r="AG219" i="1"/>
  <c r="AG218" i="1"/>
  <c r="T214" i="1"/>
  <c r="U214" i="1" s="1"/>
  <c r="S214" i="1" s="1"/>
  <c r="X214" i="1"/>
  <c r="AG205" i="1"/>
  <c r="AI205" i="1" s="1"/>
  <c r="T205" i="1"/>
  <c r="X205" i="1"/>
  <c r="W204" i="1"/>
  <c r="W203" i="1"/>
  <c r="AG197" i="1"/>
  <c r="AI197" i="1" s="1"/>
  <c r="T197" i="1"/>
  <c r="X197" i="1"/>
  <c r="W154" i="1"/>
  <c r="U220" i="1"/>
  <c r="S220" i="1" s="1"/>
  <c r="T215" i="1"/>
  <c r="X215" i="1"/>
  <c r="AG215" i="1"/>
  <c r="AI214" i="1"/>
  <c r="U208" i="1"/>
  <c r="S208" i="1" s="1"/>
  <c r="AI204" i="1"/>
  <c r="U203" i="1"/>
  <c r="S203" i="1" s="1"/>
  <c r="AI196" i="1"/>
  <c r="AI188" i="1"/>
  <c r="AG211" i="1"/>
  <c r="AG206" i="1"/>
  <c r="AG202" i="1"/>
  <c r="AG198" i="1"/>
  <c r="AG160" i="1"/>
  <c r="AI160" i="1" s="1"/>
  <c r="AI193" i="1"/>
  <c r="AG157" i="1"/>
  <c r="X156" i="1"/>
  <c r="T156" i="1"/>
  <c r="U156" i="1" s="1"/>
  <c r="S156" i="1" s="1"/>
  <c r="AG153" i="1"/>
  <c r="AI182" i="1"/>
  <c r="W132" i="1"/>
  <c r="W128" i="1"/>
  <c r="X211" i="1"/>
  <c r="X206" i="1"/>
  <c r="X202" i="1"/>
  <c r="X198" i="1"/>
  <c r="X157" i="1"/>
  <c r="X153" i="1"/>
  <c r="AA152" i="1"/>
  <c r="AA144" i="1"/>
  <c r="W144" i="1" s="1"/>
  <c r="AA140" i="1"/>
  <c r="AA136" i="1"/>
  <c r="W136" i="1" s="1"/>
  <c r="X134" i="1"/>
  <c r="T133" i="1"/>
  <c r="X133" i="1"/>
  <c r="AG133" i="1"/>
  <c r="W133" i="1" s="1"/>
  <c r="X130" i="1"/>
  <c r="T129" i="1"/>
  <c r="X129" i="1"/>
  <c r="AG129" i="1"/>
  <c r="X126" i="1"/>
  <c r="T125" i="1"/>
  <c r="X125" i="1"/>
  <c r="AG125" i="1"/>
  <c r="AI125" i="1" s="1"/>
  <c r="W183" i="1"/>
  <c r="T152" i="1"/>
  <c r="T145" i="1"/>
  <c r="X145" i="1"/>
  <c r="AG145" i="1"/>
  <c r="AI145" i="1" s="1"/>
  <c r="X142" i="1"/>
  <c r="T141" i="1"/>
  <c r="X141" i="1"/>
  <c r="AG141" i="1"/>
  <c r="AI141" i="1" s="1"/>
  <c r="X138" i="1"/>
  <c r="T137" i="1"/>
  <c r="X137" i="1"/>
  <c r="AG137" i="1"/>
  <c r="AI137" i="1" s="1"/>
  <c r="AI158" i="1"/>
  <c r="AG152" i="1"/>
  <c r="AI152" i="1" s="1"/>
  <c r="T149" i="1"/>
  <c r="X149" i="1"/>
  <c r="AG149" i="1"/>
  <c r="W149" i="1" s="1"/>
  <c r="U132" i="1"/>
  <c r="S132" i="1" s="1"/>
  <c r="U128" i="1"/>
  <c r="S128" i="1" s="1"/>
  <c r="U120" i="1"/>
  <c r="S120" i="1" s="1"/>
  <c r="U108" i="1"/>
  <c r="S108" i="1" s="1"/>
  <c r="U104" i="1"/>
  <c r="S104" i="1" s="1"/>
  <c r="U97" i="1"/>
  <c r="S97" i="1" s="1"/>
  <c r="U191" i="1"/>
  <c r="S191" i="1" s="1"/>
  <c r="U188" i="1"/>
  <c r="S188" i="1" s="1"/>
  <c r="U184" i="1"/>
  <c r="S184" i="1" s="1"/>
  <c r="T176" i="1"/>
  <c r="T172" i="1"/>
  <c r="X172" i="1"/>
  <c r="AG172" i="1"/>
  <c r="AI100" i="1"/>
  <c r="AI92" i="1"/>
  <c r="AI91" i="1"/>
  <c r="T64" i="1"/>
  <c r="X64" i="1"/>
  <c r="AG64" i="1"/>
  <c r="W64" i="1" s="1"/>
  <c r="X65" i="1"/>
  <c r="X132" i="1"/>
  <c r="AI164" i="1"/>
  <c r="X128" i="1"/>
  <c r="X124" i="1"/>
  <c r="AI157" i="1"/>
  <c r="AG121" i="1"/>
  <c r="AI121" i="1" s="1"/>
  <c r="X120" i="1"/>
  <c r="AG117" i="1"/>
  <c r="X116" i="1"/>
  <c r="AG113" i="1"/>
  <c r="AI113" i="1" s="1"/>
  <c r="X112" i="1"/>
  <c r="AG109" i="1"/>
  <c r="X108" i="1"/>
  <c r="AG105" i="1"/>
  <c r="AI105" i="1" s="1"/>
  <c r="X104" i="1"/>
  <c r="AG102" i="1"/>
  <c r="X101" i="1"/>
  <c r="AI133" i="1"/>
  <c r="AG98" i="1"/>
  <c r="X97" i="1"/>
  <c r="AI129" i="1"/>
  <c r="AG192" i="1"/>
  <c r="AI192" i="1" s="1"/>
  <c r="X191" i="1"/>
  <c r="AG189" i="1"/>
  <c r="W189" i="1" s="1"/>
  <c r="X188" i="1"/>
  <c r="AG185" i="1"/>
  <c r="AI185" i="1" s="1"/>
  <c r="X184" i="1"/>
  <c r="AG181" i="1"/>
  <c r="AI181" i="1" s="1"/>
  <c r="X95" i="1"/>
  <c r="T177" i="1"/>
  <c r="X177" i="1"/>
  <c r="AG177" i="1"/>
  <c r="AI177" i="1" s="1"/>
  <c r="AG176" i="1"/>
  <c r="AI176" i="1" s="1"/>
  <c r="AI104" i="1"/>
  <c r="AA168" i="1"/>
  <c r="T164" i="1"/>
  <c r="U164" i="1" s="1"/>
  <c r="S164" i="1" s="1"/>
  <c r="X164" i="1"/>
  <c r="AA163" i="1"/>
  <c r="T161" i="1"/>
  <c r="AG161" i="1"/>
  <c r="AI161" i="1" s="1"/>
  <c r="T89" i="1"/>
  <c r="X89" i="1"/>
  <c r="AG89" i="1"/>
  <c r="T79" i="1"/>
  <c r="X79" i="1"/>
  <c r="AG79" i="1"/>
  <c r="T67" i="1"/>
  <c r="X67" i="1"/>
  <c r="AG67" i="1"/>
  <c r="AG150" i="1"/>
  <c r="AI150" i="1" s="1"/>
  <c r="AG146" i="1"/>
  <c r="AI146" i="1" s="1"/>
  <c r="X121" i="1"/>
  <c r="T121" i="1"/>
  <c r="AI154" i="1"/>
  <c r="X117" i="1"/>
  <c r="T117" i="1"/>
  <c r="X113" i="1"/>
  <c r="T113" i="1"/>
  <c r="X109" i="1"/>
  <c r="T109" i="1"/>
  <c r="AI142" i="1"/>
  <c r="X105" i="1"/>
  <c r="T105" i="1"/>
  <c r="AI138" i="1"/>
  <c r="X102" i="1"/>
  <c r="T102" i="1"/>
  <c r="X98" i="1"/>
  <c r="T98" i="1"/>
  <c r="AI130" i="1"/>
  <c r="X192" i="1"/>
  <c r="T192" i="1"/>
  <c r="AI126" i="1"/>
  <c r="X189" i="1"/>
  <c r="T189" i="1"/>
  <c r="X185" i="1"/>
  <c r="T185" i="1"/>
  <c r="AI118" i="1"/>
  <c r="X181" i="1"/>
  <c r="T181" i="1"/>
  <c r="AI114" i="1"/>
  <c r="U179" i="1"/>
  <c r="S179" i="1" s="1"/>
  <c r="X173" i="1"/>
  <c r="W171" i="1"/>
  <c r="T168" i="1"/>
  <c r="X168" i="1"/>
  <c r="T165" i="1"/>
  <c r="X165" i="1"/>
  <c r="AG165" i="1"/>
  <c r="AI165" i="1" s="1"/>
  <c r="AI97" i="1"/>
  <c r="W92" i="1"/>
  <c r="U92" i="1"/>
  <c r="S92" i="1" s="1"/>
  <c r="AI87" i="1"/>
  <c r="AI63" i="1"/>
  <c r="U63" i="1"/>
  <c r="S63" i="1" s="1"/>
  <c r="X150" i="1"/>
  <c r="X146" i="1"/>
  <c r="AA176" i="1"/>
  <c r="T171" i="1"/>
  <c r="U171" i="1" s="1"/>
  <c r="S171" i="1" s="1"/>
  <c r="X171" i="1"/>
  <c r="AA94" i="1"/>
  <c r="T169" i="1"/>
  <c r="X169" i="1"/>
  <c r="AG169" i="1"/>
  <c r="W169" i="1" s="1"/>
  <c r="AG168" i="1"/>
  <c r="AI168" i="1" s="1"/>
  <c r="T93" i="1"/>
  <c r="X93" i="1"/>
  <c r="AG93" i="1"/>
  <c r="W81" i="1"/>
  <c r="T83" i="1"/>
  <c r="U83" i="1" s="1"/>
  <c r="S83" i="1" s="1"/>
  <c r="X83" i="1"/>
  <c r="T80" i="1"/>
  <c r="X80" i="1"/>
  <c r="AG80" i="1"/>
  <c r="T71" i="1"/>
  <c r="X71" i="1"/>
  <c r="T68" i="1"/>
  <c r="X68" i="1"/>
  <c r="AG68" i="1"/>
  <c r="AI52" i="1"/>
  <c r="U52" i="1"/>
  <c r="S52" i="1" s="1"/>
  <c r="AG90" i="1"/>
  <c r="T84" i="1"/>
  <c r="X84" i="1"/>
  <c r="AG84" i="1"/>
  <c r="AI83" i="1"/>
  <c r="X81" i="1"/>
  <c r="S78" i="1"/>
  <c r="AI78" i="1"/>
  <c r="T75" i="1"/>
  <c r="U75" i="1" s="1"/>
  <c r="S75" i="1" s="1"/>
  <c r="X75" i="1"/>
  <c r="AA74" i="1"/>
  <c r="T72" i="1"/>
  <c r="X72" i="1"/>
  <c r="AG72" i="1"/>
  <c r="AG71" i="1"/>
  <c r="AI66" i="1"/>
  <c r="W53" i="1"/>
  <c r="AI51" i="1"/>
  <c r="AG50" i="1"/>
  <c r="W50" i="1" s="1"/>
  <c r="X50" i="1"/>
  <c r="T50" i="1"/>
  <c r="X51" i="1"/>
  <c r="AI27" i="1"/>
  <c r="AI17" i="1"/>
  <c r="U17" i="1"/>
  <c r="S17" i="1" s="1"/>
  <c r="X90" i="1"/>
  <c r="X85" i="1"/>
  <c r="AA79" i="1"/>
  <c r="T76" i="1"/>
  <c r="X76" i="1"/>
  <c r="AG76" i="1"/>
  <c r="AI75" i="1"/>
  <c r="S70" i="1"/>
  <c r="AI70" i="1"/>
  <c r="X69" i="1"/>
  <c r="AA67" i="1"/>
  <c r="T60" i="1"/>
  <c r="X60" i="1"/>
  <c r="AG60" i="1"/>
  <c r="X61" i="1"/>
  <c r="T56" i="1"/>
  <c r="X56" i="1"/>
  <c r="AG56" i="1"/>
  <c r="X57" i="1"/>
  <c r="X46" i="1"/>
  <c r="T45" i="1"/>
  <c r="X45" i="1"/>
  <c r="AG45" i="1"/>
  <c r="S59" i="1"/>
  <c r="AI53" i="1"/>
  <c r="U58" i="1"/>
  <c r="S58" i="1" s="1"/>
  <c r="T53" i="1"/>
  <c r="U53" i="1" s="1"/>
  <c r="S53" i="1" s="1"/>
  <c r="X53" i="1"/>
  <c r="AA48" i="1"/>
  <c r="AA44" i="1"/>
  <c r="X63" i="1"/>
  <c r="AI62" i="1"/>
  <c r="X59" i="1"/>
  <c r="AI58" i="1"/>
  <c r="X55" i="1"/>
  <c r="T49" i="1"/>
  <c r="X49" i="1"/>
  <c r="AG49" i="1"/>
  <c r="W49" i="1" s="1"/>
  <c r="U47" i="1"/>
  <c r="S47" i="1" s="1"/>
  <c r="U42" i="1"/>
  <c r="S42" i="1" s="1"/>
  <c r="AI38" i="1"/>
  <c r="AA52" i="1"/>
  <c r="W52" i="1" s="1"/>
  <c r="U48" i="1"/>
  <c r="S48" i="1" s="1"/>
  <c r="AI21" i="1"/>
  <c r="U35" i="1"/>
  <c r="S35" i="1" s="1"/>
  <c r="X48" i="1"/>
  <c r="AI47" i="1"/>
  <c r="X44" i="1"/>
  <c r="AI43" i="1"/>
  <c r="AG41" i="1"/>
  <c r="X40" i="1"/>
  <c r="AI39" i="1"/>
  <c r="AG36" i="1"/>
  <c r="W36" i="1" s="1"/>
  <c r="X35" i="1"/>
  <c r="AG32" i="1"/>
  <c r="AG28" i="1"/>
  <c r="W28" i="1" s="1"/>
  <c r="U18" i="1"/>
  <c r="S18" i="1" s="1"/>
  <c r="AG14" i="1"/>
  <c r="X41" i="1"/>
  <c r="T41" i="1"/>
  <c r="X36" i="1"/>
  <c r="T36" i="1"/>
  <c r="AG33" i="1"/>
  <c r="X32" i="1"/>
  <c r="AI31" i="1"/>
  <c r="AG29" i="1"/>
  <c r="X28" i="1"/>
  <c r="AG25" i="1"/>
  <c r="X22" i="1"/>
  <c r="AG19" i="1"/>
  <c r="X18" i="1"/>
  <c r="AG15" i="1"/>
  <c r="X33" i="1"/>
  <c r="X29" i="1"/>
  <c r="X19" i="1"/>
  <c r="X15" i="1"/>
  <c r="AE43" i="3"/>
  <c r="Y20" i="3"/>
  <c r="AD26" i="3"/>
  <c r="AD43" i="3"/>
  <c r="AE25" i="3"/>
  <c r="T17" i="3"/>
  <c r="Y44" i="3"/>
  <c r="AD29" i="3"/>
  <c r="AE19" i="3"/>
  <c r="AD38" i="3"/>
  <c r="AD32" i="3"/>
  <c r="AE10" i="3"/>
  <c r="Y22" i="3"/>
  <c r="AD37" i="3"/>
  <c r="Y9" i="3"/>
  <c r="Y41" i="3"/>
  <c r="Y33" i="3"/>
  <c r="Y28" i="3"/>
  <c r="AD7" i="3"/>
  <c r="AE7" i="3"/>
  <c r="AD10" i="3"/>
  <c r="AD52" i="3"/>
  <c r="AC48" i="3"/>
  <c r="AE9" i="3"/>
  <c r="AE17" i="3"/>
  <c r="AD44" i="3"/>
  <c r="T19" i="3"/>
  <c r="AD31" i="3"/>
  <c r="T13" i="3"/>
  <c r="Y10" i="3"/>
  <c r="AC35" i="3"/>
  <c r="T36" i="3"/>
  <c r="T27" i="3"/>
  <c r="T8" i="3"/>
  <c r="AD16" i="3"/>
  <c r="AE16" i="3"/>
  <c r="AE44" i="3"/>
  <c r="AC28" i="3"/>
  <c r="T29" i="3"/>
  <c r="T32" i="3"/>
  <c r="AD22" i="3"/>
  <c r="AE22" i="3"/>
  <c r="T35" i="3"/>
  <c r="Y23" i="3"/>
  <c r="Y42" i="3"/>
  <c r="Y27" i="3"/>
  <c r="Y29" i="3"/>
  <c r="T34" i="3"/>
  <c r="T48" i="3"/>
  <c r="Y8" i="3"/>
  <c r="Y35" i="3"/>
  <c r="AD21" i="3"/>
  <c r="T20" i="3"/>
  <c r="Y48" i="3"/>
  <c r="AE36" i="3"/>
  <c r="AD42" i="3"/>
  <c r="T9" i="3"/>
  <c r="AE27" i="3"/>
  <c r="Y25" i="3"/>
  <c r="AE8" i="3"/>
  <c r="AC15" i="3"/>
  <c r="Y17" i="3"/>
  <c r="T44" i="3"/>
  <c r="AE29" i="3"/>
  <c r="Y7" i="3"/>
  <c r="AE32" i="3"/>
  <c r="AC31" i="3"/>
  <c r="Y13" i="3"/>
  <c r="AE46" i="3"/>
  <c r="T46" i="3"/>
  <c r="AD20" i="3"/>
  <c r="T12" i="3"/>
  <c r="AE30" i="3"/>
  <c r="T30" i="3"/>
  <c r="AE50" i="3"/>
  <c r="T50" i="3"/>
  <c r="AE33" i="3"/>
  <c r="T33" i="3"/>
  <c r="AE11" i="3"/>
  <c r="T11" i="3"/>
  <c r="AE24" i="3"/>
  <c r="T24" i="3"/>
  <c r="AE13" i="3"/>
  <c r="T22" i="3"/>
  <c r="AE12" i="3"/>
  <c r="AD36" i="3"/>
  <c r="AE45" i="3"/>
  <c r="T45" i="3"/>
  <c r="AE18" i="3"/>
  <c r="T18" i="3"/>
  <c r="AE14" i="3"/>
  <c r="T14" i="3"/>
  <c r="AD46" i="3"/>
  <c r="AE21" i="3"/>
  <c r="AD12" i="3"/>
  <c r="AE26" i="3"/>
  <c r="AD30" i="3"/>
  <c r="AE42" i="3"/>
  <c r="AD50" i="3"/>
  <c r="AE49" i="3"/>
  <c r="T49" i="3"/>
  <c r="AD45" i="3"/>
  <c r="AE41" i="3"/>
  <c r="T41" i="3"/>
  <c r="AD33" i="3"/>
  <c r="AE15" i="3"/>
  <c r="T15" i="3"/>
  <c r="AD18" i="3"/>
  <c r="AE39" i="3"/>
  <c r="T40" i="3"/>
  <c r="AD14" i="3"/>
  <c r="AE28" i="3"/>
  <c r="T28" i="3"/>
  <c r="AD11" i="3"/>
  <c r="AE38" i="3"/>
  <c r="T38" i="3"/>
  <c r="AD24" i="3"/>
  <c r="AE31" i="3"/>
  <c r="T31" i="3"/>
  <c r="AD13" i="3"/>
  <c r="AE37" i="3"/>
  <c r="T37" i="3"/>
  <c r="AE52" i="3"/>
  <c r="S51" i="3"/>
  <c r="M51" i="3"/>
  <c r="R51" i="3"/>
  <c r="U51" i="3"/>
  <c r="AD34" i="3" s="1"/>
  <c r="V51" i="3"/>
  <c r="W51" i="3"/>
  <c r="X51" i="3"/>
  <c r="W76" i="1" l="1"/>
  <c r="W117" i="1"/>
  <c r="W218" i="1"/>
  <c r="U39" i="1"/>
  <c r="S39" i="1" s="1"/>
  <c r="W100" i="1"/>
  <c r="U31" i="1"/>
  <c r="S31" i="1" s="1"/>
  <c r="U62" i="1"/>
  <c r="S62" i="1" s="1"/>
  <c r="W131" i="1"/>
  <c r="W151" i="1"/>
  <c r="W120" i="1"/>
  <c r="W208" i="1"/>
  <c r="W175" i="1"/>
  <c r="W158" i="1"/>
  <c r="AI149" i="1"/>
  <c r="W201" i="1"/>
  <c r="U210" i="1"/>
  <c r="S210" i="1" s="1"/>
  <c r="W116" i="1"/>
  <c r="W63" i="1"/>
  <c r="W122" i="1"/>
  <c r="W32" i="1"/>
  <c r="AI122" i="1"/>
  <c r="W22" i="1"/>
  <c r="U213" i="1"/>
  <c r="S213" i="1" s="1"/>
  <c r="U122" i="1"/>
  <c r="S122" i="1" s="1"/>
  <c r="U22" i="1"/>
  <c r="S22" i="1" s="1"/>
  <c r="U155" i="1"/>
  <c r="S155" i="1" s="1"/>
  <c r="W56" i="1"/>
  <c r="W59" i="1"/>
  <c r="W93" i="1"/>
  <c r="W94" i="1"/>
  <c r="W163" i="1"/>
  <c r="W140" i="1"/>
  <c r="U66" i="1"/>
  <c r="S66" i="1" s="1"/>
  <c r="AI140" i="1"/>
  <c r="W112" i="1"/>
  <c r="W35" i="1"/>
  <c r="W58" i="1"/>
  <c r="W166" i="1"/>
  <c r="W123" i="1"/>
  <c r="AI59" i="1"/>
  <c r="AI148" i="1"/>
  <c r="AI37" i="1"/>
  <c r="U37" i="1"/>
  <c r="S37" i="1" s="1"/>
  <c r="W37" i="1"/>
  <c r="AI23" i="1"/>
  <c r="U23" i="1"/>
  <c r="S23" i="1" s="1"/>
  <c r="U24" i="1"/>
  <c r="S24" i="1" s="1"/>
  <c r="AI24" i="1"/>
  <c r="W23" i="1"/>
  <c r="W24" i="1"/>
  <c r="AI174" i="1"/>
  <c r="U174" i="1"/>
  <c r="S174" i="1" s="1"/>
  <c r="W174" i="1"/>
  <c r="AE34" i="3"/>
  <c r="W48" i="1"/>
  <c r="AI88" i="1"/>
  <c r="U124" i="1"/>
  <c r="S124" i="1" s="1"/>
  <c r="W153" i="1"/>
  <c r="U217" i="1"/>
  <c r="S217" i="1" s="1"/>
  <c r="W205" i="1"/>
  <c r="U86" i="1"/>
  <c r="S86" i="1" s="1"/>
  <c r="W127" i="1"/>
  <c r="W155" i="1"/>
  <c r="U190" i="1"/>
  <c r="S190" i="1" s="1"/>
  <c r="W138" i="1"/>
  <c r="W216" i="1"/>
  <c r="U116" i="1"/>
  <c r="S116" i="1" s="1"/>
  <c r="AI194" i="1"/>
  <c r="W95" i="1"/>
  <c r="W108" i="1"/>
  <c r="U216" i="1"/>
  <c r="S216" i="1" s="1"/>
  <c r="W187" i="1"/>
  <c r="U16" i="1"/>
  <c r="S16" i="1" s="1"/>
  <c r="U178" i="1"/>
  <c r="S178" i="1" s="1"/>
  <c r="U107" i="1"/>
  <c r="S107" i="1" s="1"/>
  <c r="W16" i="1"/>
  <c r="W139" i="1"/>
  <c r="U96" i="1"/>
  <c r="S96" i="1" s="1"/>
  <c r="W88" i="1"/>
  <c r="U95" i="1"/>
  <c r="S95" i="1" s="1"/>
  <c r="W221" i="1"/>
  <c r="U186" i="1"/>
  <c r="S186" i="1" s="1"/>
  <c r="W178" i="1"/>
  <c r="AI82" i="1"/>
  <c r="AI96" i="1"/>
  <c r="U87" i="1"/>
  <c r="S87" i="1" s="1"/>
  <c r="AI153" i="1"/>
  <c r="U112" i="1"/>
  <c r="S112" i="1" s="1"/>
  <c r="W96" i="1"/>
  <c r="W213" i="1"/>
  <c r="AI200" i="1"/>
  <c r="U138" i="1"/>
  <c r="S138" i="1" s="1"/>
  <c r="W200" i="1"/>
  <c r="W130" i="1"/>
  <c r="W60" i="1"/>
  <c r="U167" i="1"/>
  <c r="S167" i="1" s="1"/>
  <c r="W98" i="1"/>
  <c r="AI178" i="1"/>
  <c r="AI189" i="1"/>
  <c r="AI190" i="1"/>
  <c r="AI201" i="1"/>
  <c r="W39" i="1"/>
  <c r="W190" i="1"/>
  <c r="W148" i="1"/>
  <c r="U221" i="1"/>
  <c r="S221" i="1" s="1"/>
  <c r="W41" i="1"/>
  <c r="W67" i="1"/>
  <c r="W167" i="1"/>
  <c r="W82" i="1"/>
  <c r="W188" i="1"/>
  <c r="U135" i="1"/>
  <c r="S135" i="1" s="1"/>
  <c r="U43" i="1"/>
  <c r="S43" i="1" s="1"/>
  <c r="W134" i="1"/>
  <c r="S40" i="1"/>
  <c r="W74" i="1"/>
  <c r="W176" i="1"/>
  <c r="U74" i="1"/>
  <c r="S74" i="1" s="1"/>
  <c r="S194" i="1"/>
  <c r="W185" i="1"/>
  <c r="AI173" i="1"/>
  <c r="W105" i="1"/>
  <c r="W197" i="1"/>
  <c r="U163" i="1"/>
  <c r="S163" i="1" s="1"/>
  <c r="AI163" i="1"/>
  <c r="W40" i="1"/>
  <c r="W47" i="1"/>
  <c r="U103" i="1"/>
  <c r="S103" i="1" s="1"/>
  <c r="AI103" i="1"/>
  <c r="W119" i="1"/>
  <c r="W103" i="1"/>
  <c r="U173" i="1"/>
  <c r="S173" i="1" s="1"/>
  <c r="AI40" i="1"/>
  <c r="U44" i="1"/>
  <c r="S44" i="1" s="1"/>
  <c r="AI55" i="1"/>
  <c r="W55" i="1"/>
  <c r="AI134" i="1"/>
  <c r="AI117" i="1"/>
  <c r="W86" i="1"/>
  <c r="U26" i="1"/>
  <c r="S26" i="1" s="1"/>
  <c r="AI26" i="1"/>
  <c r="U34" i="1"/>
  <c r="S34" i="1" s="1"/>
  <c r="AI34" i="1"/>
  <c r="W101" i="1"/>
  <c r="U119" i="1"/>
  <c r="S119" i="1" s="1"/>
  <c r="W194" i="1"/>
  <c r="W118" i="1"/>
  <c r="U111" i="1"/>
  <c r="S111" i="1" s="1"/>
  <c r="AI111" i="1"/>
  <c r="W44" i="1"/>
  <c r="AI86" i="1"/>
  <c r="S55" i="1"/>
  <c r="W45" i="1"/>
  <c r="W172" i="1"/>
  <c r="AI172" i="1"/>
  <c r="AI169" i="1"/>
  <c r="W192" i="1"/>
  <c r="W124" i="1"/>
  <c r="W66" i="1"/>
  <c r="W111" i="1"/>
  <c r="W135" i="1"/>
  <c r="W210" i="1"/>
  <c r="U136" i="1"/>
  <c r="S136" i="1" s="1"/>
  <c r="AI136" i="1"/>
  <c r="U90" i="1"/>
  <c r="S90" i="1" s="1"/>
  <c r="AI90" i="1"/>
  <c r="U150" i="1"/>
  <c r="S150" i="1" s="1"/>
  <c r="W150" i="1"/>
  <c r="AI184" i="1"/>
  <c r="AI162" i="1"/>
  <c r="U129" i="1"/>
  <c r="S129" i="1" s="1"/>
  <c r="W129" i="1"/>
  <c r="AI191" i="1"/>
  <c r="U157" i="1"/>
  <c r="S157" i="1" s="1"/>
  <c r="U206" i="1"/>
  <c r="S206" i="1" s="1"/>
  <c r="AI207" i="1"/>
  <c r="U209" i="1"/>
  <c r="S209" i="1" s="1"/>
  <c r="AI210" i="1"/>
  <c r="AI71" i="1"/>
  <c r="U71" i="1"/>
  <c r="S71" i="1" s="1"/>
  <c r="U84" i="1"/>
  <c r="S84" i="1" s="1"/>
  <c r="AI84" i="1"/>
  <c r="W84" i="1"/>
  <c r="U68" i="1"/>
  <c r="S68" i="1" s="1"/>
  <c r="AI68" i="1"/>
  <c r="U165" i="1"/>
  <c r="S165" i="1" s="1"/>
  <c r="AI98" i="1"/>
  <c r="AI89" i="1"/>
  <c r="U89" i="1"/>
  <c r="S89" i="1" s="1"/>
  <c r="W68" i="1"/>
  <c r="AI170" i="1"/>
  <c r="U137" i="1"/>
  <c r="S137" i="1" s="1"/>
  <c r="AI175" i="1"/>
  <c r="U141" i="1"/>
  <c r="S141" i="1" s="1"/>
  <c r="AI179" i="1"/>
  <c r="U145" i="1"/>
  <c r="S145" i="1" s="1"/>
  <c r="W137" i="1"/>
  <c r="W145" i="1"/>
  <c r="AI195" i="1"/>
  <c r="U160" i="1"/>
  <c r="S160" i="1" s="1"/>
  <c r="U211" i="1"/>
  <c r="S211" i="1" s="1"/>
  <c r="AI211" i="1"/>
  <c r="W211" i="1"/>
  <c r="W209" i="1"/>
  <c r="W157" i="1"/>
  <c r="U219" i="1"/>
  <c r="S219" i="1" s="1"/>
  <c r="AI219" i="1"/>
  <c r="W160" i="1"/>
  <c r="W219" i="1"/>
  <c r="U25" i="1"/>
  <c r="S25" i="1" s="1"/>
  <c r="AI25" i="1"/>
  <c r="U161" i="1"/>
  <c r="S161" i="1" s="1"/>
  <c r="AI94" i="1"/>
  <c r="AI115" i="1"/>
  <c r="U181" i="1"/>
  <c r="S181" i="1" s="1"/>
  <c r="U172" i="1"/>
  <c r="S172" i="1" s="1"/>
  <c r="AI106" i="1"/>
  <c r="AI183" i="1"/>
  <c r="U149" i="1"/>
  <c r="S149" i="1" s="1"/>
  <c r="AI159" i="1"/>
  <c r="U125" i="1"/>
  <c r="S125" i="1" s="1"/>
  <c r="W181" i="1"/>
  <c r="W206" i="1"/>
  <c r="U33" i="1"/>
  <c r="S33" i="1" s="1"/>
  <c r="AI33" i="1"/>
  <c r="U19" i="1"/>
  <c r="S19" i="1" s="1"/>
  <c r="AI19" i="1"/>
  <c r="U29" i="1"/>
  <c r="S29" i="1" s="1"/>
  <c r="AI29" i="1"/>
  <c r="AI36" i="1"/>
  <c r="U36" i="1"/>
  <c r="S36" i="1" s="1"/>
  <c r="AI41" i="1"/>
  <c r="U41" i="1"/>
  <c r="S41" i="1" s="1"/>
  <c r="W33" i="1"/>
  <c r="W29" i="1"/>
  <c r="U56" i="1"/>
  <c r="S56" i="1" s="1"/>
  <c r="AI56" i="1"/>
  <c r="U60" i="1"/>
  <c r="S60" i="1" s="1"/>
  <c r="AI60" i="1"/>
  <c r="W19" i="1"/>
  <c r="U50" i="1"/>
  <c r="AI50" i="1"/>
  <c r="U72" i="1"/>
  <c r="S72" i="1" s="1"/>
  <c r="AI72" i="1"/>
  <c r="W72" i="1"/>
  <c r="AI101" i="1"/>
  <c r="U168" i="1"/>
  <c r="S168" i="1" s="1"/>
  <c r="AI67" i="1"/>
  <c r="U67" i="1"/>
  <c r="S67" i="1" s="1"/>
  <c r="W168" i="1"/>
  <c r="AI109" i="1"/>
  <c r="U176" i="1"/>
  <c r="S176" i="1" s="1"/>
  <c r="AI119" i="1"/>
  <c r="U185" i="1"/>
  <c r="S185" i="1" s="1"/>
  <c r="AI127" i="1"/>
  <c r="U192" i="1"/>
  <c r="S192" i="1" s="1"/>
  <c r="AI131" i="1"/>
  <c r="U98" i="1"/>
  <c r="S98" i="1" s="1"/>
  <c r="AI135" i="1"/>
  <c r="U102" i="1"/>
  <c r="S102" i="1" s="1"/>
  <c r="AI139" i="1"/>
  <c r="U105" i="1"/>
  <c r="S105" i="1" s="1"/>
  <c r="AI143" i="1"/>
  <c r="U109" i="1"/>
  <c r="S109" i="1" s="1"/>
  <c r="AI147" i="1"/>
  <c r="U113" i="1"/>
  <c r="S113" i="1" s="1"/>
  <c r="AI151" i="1"/>
  <c r="U117" i="1"/>
  <c r="S117" i="1" s="1"/>
  <c r="AI155" i="1"/>
  <c r="U121" i="1"/>
  <c r="S121" i="1" s="1"/>
  <c r="U64" i="1"/>
  <c r="S64" i="1" s="1"/>
  <c r="AI64" i="1"/>
  <c r="W71" i="1"/>
  <c r="W89" i="1"/>
  <c r="W121" i="1"/>
  <c r="W165" i="1"/>
  <c r="W109" i="1"/>
  <c r="W152" i="1"/>
  <c r="W161" i="1"/>
  <c r="W125" i="1"/>
  <c r="U198" i="1"/>
  <c r="S198" i="1" s="1"/>
  <c r="AI199" i="1"/>
  <c r="U215" i="1"/>
  <c r="S215" i="1" s="1"/>
  <c r="AI215" i="1"/>
  <c r="U197" i="1"/>
  <c r="S197" i="1" s="1"/>
  <c r="AI198" i="1"/>
  <c r="W215" i="1"/>
  <c r="U15" i="1"/>
  <c r="S15" i="1" s="1"/>
  <c r="AI15" i="1"/>
  <c r="AI14" i="1"/>
  <c r="U14" i="1"/>
  <c r="S14" i="1" s="1"/>
  <c r="AI32" i="1"/>
  <c r="U32" i="1"/>
  <c r="S32" i="1" s="1"/>
  <c r="W15" i="1"/>
  <c r="W25" i="1"/>
  <c r="AI45" i="1"/>
  <c r="U45" i="1"/>
  <c r="S45" i="1" s="1"/>
  <c r="AI93" i="1"/>
  <c r="U93" i="1"/>
  <c r="S93" i="1" s="1"/>
  <c r="AI79" i="1"/>
  <c r="U79" i="1"/>
  <c r="S79" i="1" s="1"/>
  <c r="AI123" i="1"/>
  <c r="U189" i="1"/>
  <c r="S189" i="1" s="1"/>
  <c r="W90" i="1"/>
  <c r="AI166" i="1"/>
  <c r="U133" i="1"/>
  <c r="S133" i="1" s="1"/>
  <c r="AI218" i="1"/>
  <c r="U218" i="1"/>
  <c r="S218" i="1" s="1"/>
  <c r="AI28" i="1"/>
  <c r="U28" i="1"/>
  <c r="S28" i="1" s="1"/>
  <c r="W14" i="1"/>
  <c r="U49" i="1"/>
  <c r="AI49" i="1"/>
  <c r="U76" i="1"/>
  <c r="S76" i="1" s="1"/>
  <c r="AI76" i="1"/>
  <c r="W79" i="1"/>
  <c r="U80" i="1"/>
  <c r="S80" i="1" s="1"/>
  <c r="AI80" i="1"/>
  <c r="U169" i="1"/>
  <c r="S169" i="1" s="1"/>
  <c r="AI102" i="1"/>
  <c r="U146" i="1"/>
  <c r="S146" i="1" s="1"/>
  <c r="W146" i="1"/>
  <c r="AI180" i="1"/>
  <c r="U177" i="1"/>
  <c r="S177" i="1" s="1"/>
  <c r="AI110" i="1"/>
  <c r="W80" i="1"/>
  <c r="W102" i="1"/>
  <c r="U152" i="1"/>
  <c r="S152" i="1" s="1"/>
  <c r="AI186" i="1"/>
  <c r="W141" i="1"/>
  <c r="W177" i="1"/>
  <c r="W113" i="1"/>
  <c r="AI187" i="1"/>
  <c r="U153" i="1"/>
  <c r="S153" i="1" s="1"/>
  <c r="U202" i="1"/>
  <c r="S202" i="1" s="1"/>
  <c r="AI203" i="1"/>
  <c r="W202" i="1"/>
  <c r="U205" i="1"/>
  <c r="S205" i="1" s="1"/>
  <c r="AI206" i="1"/>
  <c r="U201" i="1"/>
  <c r="S201" i="1" s="1"/>
  <c r="AI202" i="1"/>
  <c r="W198" i="1"/>
  <c r="Y51" i="3"/>
  <c r="T51" i="3"/>
  <c r="AC51" i="3"/>
  <c r="S49" i="1" l="1"/>
  <c r="B9" i="6"/>
  <c r="G9" i="6" s="1"/>
  <c r="F9" i="6" l="1"/>
  <c r="J9" i="6"/>
  <c r="I9" i="6"/>
  <c r="AE51" i="3" l="1"/>
  <c r="AD51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37" i="3" s="1"/>
  <c r="G24" i="4"/>
  <c r="G25" i="4"/>
  <c r="G26" i="4"/>
  <c r="N52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22" i="3" s="1"/>
  <c r="G51" i="4"/>
  <c r="G52" i="4"/>
  <c r="N13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31" i="3" s="1"/>
  <c r="G72" i="4"/>
  <c r="N10" i="3" s="1"/>
  <c r="G73" i="4"/>
  <c r="G74" i="4"/>
  <c r="G75" i="4"/>
  <c r="G76" i="4"/>
  <c r="G77" i="4"/>
  <c r="G78" i="4"/>
  <c r="G79" i="4"/>
  <c r="G80" i="4"/>
  <c r="G81" i="4"/>
  <c r="G82" i="4"/>
  <c r="G83" i="4"/>
  <c r="N32" i="3" s="1"/>
  <c r="G84" i="4"/>
  <c r="N24" i="3" s="1"/>
  <c r="G85" i="4"/>
  <c r="G86" i="4"/>
  <c r="G87" i="4"/>
  <c r="G88" i="4"/>
  <c r="G89" i="4"/>
  <c r="G90" i="4"/>
  <c r="G91" i="4"/>
  <c r="G92" i="4"/>
  <c r="G93" i="4"/>
  <c r="G94" i="4"/>
  <c r="G95" i="4"/>
  <c r="G96" i="4"/>
  <c r="N29" i="3" s="1"/>
  <c r="G97" i="4"/>
  <c r="G98" i="4"/>
  <c r="N28" i="3" s="1"/>
  <c r="G99" i="4"/>
  <c r="N14" i="3" s="1"/>
  <c r="G100" i="4"/>
  <c r="G101" i="4"/>
  <c r="N44" i="3" s="1"/>
  <c r="G102" i="4"/>
  <c r="G103" i="4"/>
  <c r="N39" i="3" s="1"/>
  <c r="G104" i="4"/>
  <c r="G105" i="4"/>
  <c r="G106" i="4"/>
  <c r="G107" i="4"/>
  <c r="G108" i="4"/>
  <c r="G109" i="4"/>
  <c r="N40" i="3" s="1"/>
  <c r="G110" i="4"/>
  <c r="G111" i="4"/>
  <c r="G112" i="4"/>
  <c r="G113" i="4"/>
  <c r="G114" i="4"/>
  <c r="G115" i="4"/>
  <c r="G116" i="4"/>
  <c r="G117" i="4"/>
  <c r="G118" i="4"/>
  <c r="G119" i="4"/>
  <c r="N16" i="3" s="1"/>
  <c r="G120" i="4"/>
  <c r="G121" i="4"/>
  <c r="G122" i="4"/>
  <c r="N8" i="3" s="1"/>
  <c r="G123" i="4"/>
  <c r="G124" i="4"/>
  <c r="G125" i="4"/>
  <c r="N25" i="3" s="1"/>
  <c r="G126" i="4"/>
  <c r="G127" i="4"/>
  <c r="G128" i="4"/>
  <c r="G129" i="4"/>
  <c r="N41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45" i="3" s="1"/>
  <c r="G144" i="4"/>
  <c r="G145" i="4"/>
  <c r="G146" i="4"/>
  <c r="G147" i="4"/>
  <c r="G148" i="4"/>
  <c r="G149" i="4"/>
  <c r="N43" i="3" s="1"/>
  <c r="G150" i="4"/>
  <c r="G151" i="4"/>
  <c r="G152" i="4"/>
  <c r="N49" i="3" s="1"/>
  <c r="G153" i="4"/>
  <c r="N27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N50" i="3" s="1"/>
  <c r="G166" i="4"/>
  <c r="N9" i="3" s="1"/>
  <c r="G167" i="4"/>
  <c r="N42" i="3" s="1"/>
  <c r="G168" i="4"/>
  <c r="G169" i="4"/>
  <c r="G170" i="4"/>
  <c r="N36" i="3" s="1"/>
  <c r="G171" i="4"/>
  <c r="G172" i="4"/>
  <c r="G173" i="4"/>
  <c r="G174" i="4"/>
  <c r="N47" i="3" s="1"/>
  <c r="G175" i="4"/>
  <c r="N30" i="3" s="1"/>
  <c r="G176" i="4"/>
  <c r="G177" i="4"/>
  <c r="G178" i="4"/>
  <c r="N48" i="3" s="1"/>
  <c r="G179" i="4"/>
  <c r="G180" i="4"/>
  <c r="G181" i="4"/>
  <c r="N26" i="3" s="1"/>
  <c r="G182" i="4"/>
  <c r="G183" i="4"/>
  <c r="G184" i="4"/>
  <c r="G185" i="4"/>
  <c r="G186" i="4"/>
  <c r="N12" i="3" s="1"/>
  <c r="G187" i="4"/>
  <c r="G188" i="4"/>
  <c r="G189" i="4"/>
  <c r="G190" i="4"/>
  <c r="N20" i="3" s="1"/>
  <c r="G191" i="4"/>
  <c r="G192" i="4"/>
  <c r="N23" i="3" s="1"/>
  <c r="G193" i="4"/>
  <c r="N21" i="3" s="1"/>
  <c r="G194" i="4"/>
  <c r="G195" i="4"/>
  <c r="N46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34" i="3" s="1"/>
  <c r="G211" i="4"/>
  <c r="G212" i="4"/>
  <c r="N35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8" i="3" l="1"/>
  <c r="N17" i="3"/>
  <c r="N38" i="3"/>
  <c r="N7" i="3"/>
  <c r="N11" i="3"/>
  <c r="N19" i="3"/>
  <c r="N15" i="3"/>
  <c r="N33" i="3"/>
  <c r="N51" i="3"/>
  <c r="H9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8" i="6" l="1"/>
  <c r="I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8" i="6" l="1"/>
  <c r="F8" i="6"/>
  <c r="J8" i="6"/>
  <c r="H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3" i="6" l="1"/>
  <c r="I3" i="6" s="1"/>
  <c r="G259" i="4"/>
  <c r="G260" i="4"/>
  <c r="G261" i="4"/>
  <c r="G262" i="4"/>
  <c r="G263" i="4"/>
  <c r="G264" i="4"/>
  <c r="G265" i="4"/>
  <c r="F3" i="6" l="1"/>
  <c r="J3" i="6"/>
  <c r="G3" i="6"/>
  <c r="H3" i="6"/>
  <c r="B4" i="6"/>
  <c r="I4" i="6" s="1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H4" i="6"/>
  <c r="J4" i="6"/>
  <c r="G4" i="6"/>
  <c r="B5" i="6"/>
  <c r="I5" i="6" s="1"/>
  <c r="O2" i="3"/>
  <c r="O3" i="3" s="1"/>
  <c r="F5" i="6" l="1"/>
  <c r="J5" i="6"/>
  <c r="G5" i="6"/>
  <c r="H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I6" i="6" s="1"/>
  <c r="J8" i="1"/>
  <c r="J4" i="1"/>
  <c r="S8" i="1"/>
  <c r="S4" i="1"/>
  <c r="F6" i="6" l="1"/>
  <c r="J6" i="6"/>
  <c r="H6" i="6"/>
  <c r="G6" i="6"/>
  <c r="B7" i="6"/>
  <c r="I7" i="6" s="1"/>
  <c r="S9" i="1"/>
  <c r="J9" i="1"/>
  <c r="B10" i="6" l="1"/>
  <c r="I10" i="6" s="1"/>
  <c r="F7" i="6"/>
  <c r="G7" i="6"/>
  <c r="J7" i="6"/>
  <c r="H7" i="6"/>
  <c r="S11" i="1"/>
  <c r="A11" i="1"/>
  <c r="B11" i="6" l="1"/>
  <c r="I11" i="6" s="1"/>
  <c r="G10" i="6"/>
  <c r="H10" i="6"/>
  <c r="J10" i="6"/>
  <c r="F10" i="6"/>
  <c r="B1" i="6"/>
  <c r="A5" i="3"/>
  <c r="G11" i="6" l="1"/>
  <c r="F11" i="6"/>
  <c r="J11" i="6"/>
  <c r="H11" i="6"/>
  <c r="B12" i="6"/>
  <c r="I12" i="6" s="1"/>
  <c r="F12" i="6" l="1"/>
  <c r="J12" i="6"/>
  <c r="G12" i="6"/>
  <c r="H12" i="6"/>
  <c r="B13" i="6"/>
  <c r="I13" i="6" s="1"/>
  <c r="B14" i="6" l="1"/>
  <c r="I14" i="6" s="1"/>
  <c r="J13" i="6"/>
  <c r="G13" i="6"/>
  <c r="F13" i="6"/>
  <c r="H13" i="6"/>
  <c r="F14" i="6" l="1"/>
  <c r="G14" i="6"/>
  <c r="H14" i="6"/>
  <c r="J14" i="6"/>
  <c r="B15" i="6"/>
  <c r="I15" i="6" s="1"/>
  <c r="J15" i="6" l="1"/>
  <c r="H15" i="6"/>
  <c r="F15" i="6"/>
  <c r="G15" i="6"/>
  <c r="B16" i="6"/>
  <c r="I16" i="6" s="1"/>
  <c r="B17" i="6" l="1"/>
  <c r="I17" i="6" s="1"/>
  <c r="J16" i="6"/>
  <c r="F16" i="6"/>
  <c r="H16" i="6"/>
  <c r="G16" i="6"/>
  <c r="F17" i="6" l="1"/>
  <c r="G17" i="6"/>
  <c r="H17" i="6"/>
  <c r="J17" i="6"/>
  <c r="B18" i="6"/>
  <c r="I18" i="6" s="1"/>
  <c r="G18" i="6" l="1"/>
  <c r="H18" i="6"/>
  <c r="J18" i="6"/>
  <c r="F18" i="6"/>
  <c r="B19" i="6"/>
  <c r="I19" i="6" s="1"/>
  <c r="F19" i="6" l="1"/>
  <c r="H19" i="6"/>
  <c r="J19" i="6"/>
  <c r="G19" i="6"/>
  <c r="B20" i="6"/>
  <c r="I20" i="6" s="1"/>
  <c r="F20" i="6" l="1"/>
  <c r="J20" i="6"/>
  <c r="G20" i="6"/>
  <c r="H20" i="6"/>
  <c r="B21" i="6"/>
  <c r="I21" i="6" s="1"/>
  <c r="B22" i="6" l="1"/>
  <c r="I22" i="6" s="1"/>
  <c r="F21" i="6"/>
  <c r="H21" i="6"/>
  <c r="J21" i="6"/>
  <c r="G21" i="6"/>
  <c r="F22" i="6" l="1"/>
  <c r="H22" i="6"/>
  <c r="J22" i="6"/>
  <c r="G22" i="6"/>
  <c r="B23" i="6"/>
  <c r="I23" i="6" s="1"/>
  <c r="J23" i="6" l="1"/>
  <c r="H23" i="6"/>
  <c r="F23" i="6"/>
  <c r="G23" i="6"/>
  <c r="B24" i="6"/>
  <c r="I24" i="6" s="1"/>
  <c r="B25" i="6" l="1"/>
  <c r="I25" i="6" s="1"/>
  <c r="F24" i="6"/>
  <c r="G24" i="6"/>
  <c r="H24" i="6"/>
  <c r="J24" i="6"/>
  <c r="B26" i="6" l="1"/>
  <c r="I26" i="6" s="1"/>
  <c r="H25" i="6"/>
  <c r="F25" i="6"/>
  <c r="J25" i="6"/>
  <c r="G25" i="6"/>
  <c r="B27" i="6" l="1"/>
  <c r="I27" i="6" s="1"/>
  <c r="F26" i="6"/>
  <c r="H26" i="6"/>
  <c r="J26" i="6"/>
  <c r="G26" i="6"/>
  <c r="F27" i="6" l="1"/>
  <c r="G27" i="6"/>
  <c r="J27" i="6"/>
  <c r="H27" i="6"/>
  <c r="B28" i="6"/>
  <c r="I28" i="6" s="1"/>
  <c r="F28" i="6" l="1"/>
  <c r="J28" i="6"/>
  <c r="H28" i="6"/>
  <c r="G28" i="6"/>
  <c r="B29" i="6"/>
  <c r="I29" i="6" s="1"/>
  <c r="F29" i="6" l="1"/>
  <c r="H29" i="6"/>
  <c r="G29" i="6"/>
  <c r="J29" i="6"/>
  <c r="B30" i="6"/>
  <c r="I30" i="6" s="1"/>
  <c r="B31" i="6" l="1"/>
  <c r="I31" i="6" s="1"/>
  <c r="G30" i="6"/>
  <c r="F30" i="6"/>
  <c r="H30" i="6"/>
  <c r="J30" i="6"/>
  <c r="J31" i="6" l="1"/>
  <c r="H31" i="6"/>
  <c r="F31" i="6"/>
  <c r="G31" i="6"/>
  <c r="B32" i="6"/>
  <c r="I32" i="6" s="1"/>
  <c r="H32" i="6" l="1"/>
  <c r="J32" i="6"/>
  <c r="F32" i="6"/>
  <c r="G32" i="6"/>
  <c r="B33" i="6"/>
  <c r="I33" i="6" s="1"/>
  <c r="H33" i="6" l="1"/>
  <c r="J33" i="6"/>
  <c r="F33" i="6"/>
  <c r="G33" i="6"/>
  <c r="B34" i="6"/>
  <c r="I34" i="6" s="1"/>
  <c r="H34" i="6" l="1"/>
  <c r="J34" i="6"/>
  <c r="F34" i="6"/>
  <c r="G34" i="6"/>
  <c r="B35" i="6"/>
  <c r="I35" i="6" s="1"/>
  <c r="G35" i="6" l="1"/>
  <c r="F35" i="6"/>
  <c r="H35" i="6"/>
  <c r="J35" i="6"/>
  <c r="B36" i="6"/>
  <c r="I36" i="6" s="1"/>
  <c r="B37" i="6" l="1"/>
  <c r="I37" i="6" s="1"/>
  <c r="J36" i="6"/>
  <c r="G36" i="6"/>
  <c r="F36" i="6"/>
  <c r="H36" i="6"/>
  <c r="B38" i="6" l="1"/>
  <c r="I38" i="6" s="1"/>
  <c r="J37" i="6"/>
  <c r="G37" i="6"/>
  <c r="F37" i="6"/>
  <c r="H37" i="6"/>
  <c r="F38" i="6" l="1"/>
  <c r="H38" i="6"/>
  <c r="J38" i="6"/>
  <c r="G38" i="6"/>
  <c r="B39" i="6"/>
  <c r="I39" i="6" s="1"/>
  <c r="B40" i="6" l="1"/>
  <c r="I40" i="6" s="1"/>
  <c r="F39" i="6"/>
  <c r="G39" i="6"/>
  <c r="J39" i="6"/>
  <c r="H39" i="6"/>
  <c r="G40" i="6" l="1"/>
  <c r="F40" i="6"/>
  <c r="H40" i="6"/>
  <c r="J40" i="6"/>
  <c r="B41" i="6"/>
  <c r="I41" i="6" s="1"/>
  <c r="F41" i="6" l="1"/>
  <c r="J41" i="6"/>
  <c r="G41" i="6"/>
  <c r="H41" i="6"/>
  <c r="B42" i="6"/>
  <c r="I42" i="6" s="1"/>
  <c r="G42" i="6" l="1"/>
  <c r="H42" i="6"/>
  <c r="J42" i="6"/>
  <c r="F42" i="6"/>
  <c r="B43" i="6"/>
  <c r="I43" i="6" s="1"/>
  <c r="B44" i="6" l="1"/>
  <c r="I44" i="6" s="1"/>
  <c r="J43" i="6"/>
  <c r="H43" i="6"/>
  <c r="F43" i="6"/>
  <c r="G43" i="6"/>
  <c r="J44" i="6" l="1"/>
  <c r="G44" i="6"/>
  <c r="F44" i="6"/>
  <c r="H44" i="6"/>
  <c r="B45" i="6"/>
  <c r="I45" i="6" s="1"/>
  <c r="B46" i="6" l="1"/>
  <c r="I46" i="6" s="1"/>
  <c r="G45" i="6"/>
  <c r="J45" i="6"/>
  <c r="F45" i="6"/>
  <c r="H45" i="6"/>
  <c r="F46" i="6" l="1"/>
  <c r="G46" i="6"/>
  <c r="J46" i="6"/>
  <c r="H46" i="6"/>
  <c r="B47" i="6"/>
  <c r="I47" i="6" s="1"/>
  <c r="B48" i="6" l="1"/>
  <c r="I48" i="6" s="1"/>
  <c r="F47" i="6"/>
  <c r="G47" i="6"/>
  <c r="J47" i="6"/>
  <c r="H47" i="6"/>
  <c r="G48" i="6" l="1"/>
  <c r="H48" i="6"/>
  <c r="J48" i="6"/>
  <c r="F48" i="6"/>
  <c r="B49" i="6"/>
  <c r="I49" i="6" s="1"/>
  <c r="B50" i="6" l="1"/>
  <c r="I50" i="6" s="1"/>
  <c r="G49" i="6"/>
  <c r="H49" i="6"/>
  <c r="J49" i="6"/>
  <c r="F49" i="6"/>
  <c r="F50" i="6" l="1"/>
  <c r="G50" i="6"/>
  <c r="H50" i="6"/>
  <c r="J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H54" i="6" l="1"/>
  <c r="F54" i="6"/>
  <c r="G54" i="6"/>
  <c r="J54" i="6"/>
  <c r="B55" i="6"/>
  <c r="I55" i="6" s="1"/>
  <c r="B56" i="6" l="1"/>
  <c r="I56" i="6" s="1"/>
  <c r="F55" i="6"/>
  <c r="G55" i="6"/>
  <c r="J55" i="6"/>
  <c r="H55" i="6"/>
  <c r="B57" i="6" l="1"/>
  <c r="I57" i="6" s="1"/>
  <c r="J56" i="6"/>
  <c r="F56" i="6"/>
  <c r="G56" i="6"/>
  <c r="H56" i="6"/>
  <c r="F57" i="6" l="1"/>
  <c r="J57" i="6"/>
  <c r="G57" i="6"/>
  <c r="H57" i="6"/>
  <c r="B58" i="6"/>
  <c r="I58" i="6" s="1"/>
  <c r="H58" i="6" l="1"/>
  <c r="J58" i="6"/>
  <c r="G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G61" i="6" l="1"/>
  <c r="H61" i="6"/>
  <c r="J61" i="6"/>
  <c r="F61" i="6"/>
  <c r="B62" i="6"/>
  <c r="I62" i="6" s="1"/>
  <c r="G62" i="6" l="1"/>
  <c r="F62" i="6"/>
  <c r="H62" i="6"/>
  <c r="J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H65" i="6" l="1"/>
  <c r="G65" i="6"/>
  <c r="F65" i="6"/>
  <c r="J65" i="6"/>
  <c r="B66" i="6"/>
  <c r="I66" i="6" s="1"/>
  <c r="G66" i="6" l="1"/>
  <c r="H66" i="6"/>
  <c r="J66" i="6"/>
  <c r="F66" i="6"/>
  <c r="B67" i="6"/>
  <c r="I67" i="6" s="1"/>
  <c r="B68" i="6" l="1"/>
  <c r="I68" i="6" s="1"/>
  <c r="J67" i="6"/>
  <c r="F67" i="6"/>
  <c r="H67" i="6"/>
  <c r="G67" i="6"/>
  <c r="B69" i="6" l="1"/>
  <c r="I69" i="6" s="1"/>
  <c r="J68" i="6"/>
  <c r="F68" i="6"/>
  <c r="G68" i="6"/>
  <c r="H68" i="6"/>
  <c r="B70" i="6" l="1"/>
  <c r="I70" i="6" s="1"/>
  <c r="J69" i="6"/>
  <c r="F69" i="6"/>
  <c r="G69" i="6"/>
  <c r="H69" i="6"/>
  <c r="J70" i="6" l="1"/>
  <c r="F70" i="6"/>
  <c r="H70" i="6"/>
  <c r="G70" i="6"/>
  <c r="B71" i="6"/>
  <c r="I71" i="6" s="1"/>
  <c r="F71" i="6" l="1"/>
  <c r="J71" i="6"/>
  <c r="H71" i="6"/>
  <c r="G71" i="6"/>
  <c r="B72" i="6"/>
  <c r="I72" i="6" s="1"/>
  <c r="J72" i="6" l="1"/>
  <c r="G72" i="6"/>
  <c r="F72" i="6"/>
  <c r="H72" i="6"/>
  <c r="B73" i="6"/>
  <c r="I73" i="6" s="1"/>
  <c r="B74" i="6" l="1"/>
  <c r="I74" i="6" s="1"/>
  <c r="F73" i="6"/>
  <c r="G73" i="6"/>
  <c r="H73" i="6"/>
  <c r="J73" i="6"/>
  <c r="F74" i="6" l="1"/>
  <c r="G74" i="6"/>
  <c r="H74" i="6"/>
  <c r="J74" i="6"/>
  <c r="B75" i="6"/>
  <c r="I75" i="6" s="1"/>
  <c r="B76" i="6" l="1"/>
  <c r="I76" i="6" s="1"/>
  <c r="J75" i="6"/>
  <c r="F75" i="6"/>
  <c r="G75" i="6"/>
  <c r="H75" i="6"/>
  <c r="F76" i="6" l="1"/>
  <c r="H76" i="6"/>
  <c r="G76" i="6"/>
  <c r="J76" i="6"/>
  <c r="B77" i="6"/>
  <c r="I77" i="6" s="1"/>
  <c r="B78" i="6" l="1"/>
  <c r="I78" i="6" s="1"/>
  <c r="H77" i="6"/>
  <c r="G77" i="6"/>
  <c r="F77" i="6"/>
  <c r="J77" i="6"/>
  <c r="B79" i="6" l="1"/>
  <c r="I79" i="6" s="1"/>
  <c r="J78" i="6"/>
  <c r="H78" i="6"/>
  <c r="F78" i="6"/>
  <c r="G78" i="6"/>
  <c r="J79" i="6" l="1"/>
  <c r="H79" i="6"/>
  <c r="F79" i="6"/>
  <c r="G79" i="6"/>
  <c r="B80" i="6"/>
  <c r="I80" i="6" s="1"/>
  <c r="J80" i="6" l="1"/>
  <c r="F80" i="6"/>
  <c r="H80" i="6"/>
  <c r="G80" i="6"/>
  <c r="B81" i="6"/>
  <c r="I81" i="6" s="1"/>
  <c r="B82" i="6" l="1"/>
  <c r="I82" i="6" s="1"/>
  <c r="F81" i="6"/>
  <c r="J81" i="6"/>
  <c r="G81" i="6"/>
  <c r="H81" i="6"/>
  <c r="B83" i="6" l="1"/>
  <c r="I83" i="6" s="1"/>
  <c r="F82" i="6"/>
  <c r="G82" i="6"/>
  <c r="H82" i="6"/>
  <c r="J82" i="6"/>
  <c r="B84" i="6" l="1"/>
  <c r="I84" i="6" s="1"/>
  <c r="J83" i="6"/>
  <c r="H83" i="6"/>
  <c r="G83" i="6"/>
  <c r="F83" i="6"/>
  <c r="B85" i="6" l="1"/>
  <c r="I85" i="6" s="1"/>
  <c r="H84" i="6"/>
  <c r="J84" i="6"/>
  <c r="F84" i="6"/>
  <c r="G84" i="6"/>
  <c r="G85" i="6" l="1"/>
  <c r="H85" i="6"/>
  <c r="J85" i="6"/>
  <c r="F85" i="6"/>
  <c r="B86" i="6"/>
  <c r="I86" i="6" s="1"/>
  <c r="B87" i="6" l="1"/>
  <c r="I87" i="6" s="1"/>
  <c r="G86" i="6"/>
  <c r="J86" i="6"/>
  <c r="H86" i="6"/>
  <c r="F86" i="6"/>
  <c r="F87" i="6" l="1"/>
  <c r="H87" i="6"/>
  <c r="J87" i="6"/>
  <c r="G87" i="6"/>
  <c r="B88" i="6"/>
  <c r="I88" i="6" s="1"/>
  <c r="H88" i="6" l="1"/>
  <c r="F88" i="6"/>
  <c r="G88" i="6"/>
  <c r="J88" i="6"/>
  <c r="B89" i="6"/>
  <c r="I89" i="6" s="1"/>
  <c r="H89" i="6" l="1"/>
  <c r="G89" i="6"/>
  <c r="F89" i="6"/>
  <c r="J89" i="6"/>
  <c r="B90" i="6"/>
  <c r="I90" i="6" s="1"/>
  <c r="H90" i="6" l="1"/>
  <c r="J90" i="6"/>
  <c r="G90" i="6"/>
  <c r="F90" i="6"/>
  <c r="B91" i="6"/>
  <c r="I91" i="6" s="1"/>
  <c r="J91" i="6" l="1"/>
  <c r="G91" i="6"/>
  <c r="F91" i="6"/>
  <c r="H91" i="6"/>
  <c r="B92" i="6"/>
  <c r="I92" i="6" s="1"/>
  <c r="J92" i="6" l="1"/>
  <c r="F92" i="6"/>
  <c r="H92" i="6"/>
  <c r="G92" i="6"/>
  <c r="B93" i="6"/>
  <c r="I93" i="6" s="1"/>
  <c r="G93" i="6" l="1"/>
  <c r="H93" i="6"/>
  <c r="F93" i="6"/>
  <c r="J93" i="6"/>
  <c r="B94" i="6"/>
  <c r="I94" i="6" s="1"/>
  <c r="B95" i="6" l="1"/>
  <c r="I95" i="6" s="1"/>
  <c r="J94" i="6"/>
  <c r="G94" i="6"/>
  <c r="H94" i="6"/>
  <c r="F94" i="6"/>
  <c r="J95" i="6" l="1"/>
  <c r="F95" i="6"/>
  <c r="H95" i="6"/>
  <c r="G95" i="6"/>
  <c r="B96" i="6"/>
  <c r="I96" i="6" s="1"/>
  <c r="B97" i="6" l="1"/>
  <c r="I97" i="6" s="1"/>
  <c r="J96" i="6"/>
  <c r="G96" i="6"/>
  <c r="H96" i="6"/>
  <c r="F96" i="6"/>
  <c r="B98" i="6" l="1"/>
  <c r="I98" i="6" s="1"/>
  <c r="F97" i="6"/>
  <c r="H97" i="6"/>
  <c r="G97" i="6"/>
  <c r="J97" i="6"/>
  <c r="B99" i="6" l="1"/>
  <c r="I99" i="6" s="1"/>
  <c r="J98" i="6"/>
  <c r="F98" i="6"/>
  <c r="G98" i="6"/>
  <c r="H98" i="6"/>
  <c r="B100" i="6" l="1"/>
  <c r="I100" i="6" s="1"/>
  <c r="J99" i="6"/>
  <c r="H99" i="6"/>
  <c r="G99" i="6"/>
  <c r="F99" i="6"/>
  <c r="G100" i="6" l="1"/>
  <c r="H100" i="6"/>
  <c r="J100" i="6"/>
  <c r="F100" i="6"/>
  <c r="B101" i="6"/>
  <c r="I101" i="6" s="1"/>
  <c r="B102" i="6" l="1"/>
  <c r="I102" i="6" s="1"/>
  <c r="J101" i="6"/>
  <c r="F101" i="6"/>
  <c r="G101" i="6"/>
  <c r="H101" i="6"/>
  <c r="F102" i="6" l="1"/>
  <c r="G102" i="6"/>
  <c r="H102" i="6"/>
  <c r="J102" i="6"/>
  <c r="B103" i="6"/>
  <c r="I103" i="6" s="1"/>
  <c r="F103" i="6" l="1"/>
  <c r="H103" i="6"/>
  <c r="G103" i="6"/>
  <c r="J103" i="6"/>
  <c r="B104" i="6"/>
  <c r="I104" i="6" s="1"/>
  <c r="J104" i="6" l="1"/>
  <c r="H104" i="6"/>
  <c r="F104" i="6"/>
  <c r="G104" i="6"/>
  <c r="B105" i="6"/>
  <c r="I105" i="6" s="1"/>
  <c r="F105" i="6" l="1"/>
  <c r="H105" i="6"/>
  <c r="G105" i="6"/>
  <c r="J105" i="6"/>
  <c r="B106" i="6"/>
  <c r="I106" i="6" s="1"/>
  <c r="F106" i="6" l="1"/>
  <c r="H106" i="6"/>
  <c r="G106" i="6"/>
  <c r="J106" i="6"/>
  <c r="B107" i="6"/>
  <c r="I107" i="6" s="1"/>
  <c r="J107" i="6" l="1"/>
  <c r="F107" i="6"/>
  <c r="G107" i="6"/>
  <c r="H107" i="6"/>
  <c r="B108" i="6"/>
  <c r="I108" i="6" s="1"/>
  <c r="G108" i="6" l="1"/>
  <c r="H108" i="6"/>
  <c r="J108" i="6"/>
  <c r="F108" i="6"/>
  <c r="B109" i="6"/>
  <c r="I109" i="6" s="1"/>
  <c r="B110" i="6" l="1"/>
  <c r="I110" i="6" s="1"/>
  <c r="H109" i="6"/>
  <c r="G109" i="6"/>
  <c r="J109" i="6"/>
  <c r="F109" i="6"/>
  <c r="B111" i="6" l="1"/>
  <c r="I111" i="6" s="1"/>
  <c r="J110" i="6"/>
  <c r="G110" i="6"/>
  <c r="H110" i="6"/>
  <c r="F110" i="6"/>
  <c r="H111" i="6" l="1"/>
  <c r="F111" i="6"/>
  <c r="G111" i="6"/>
  <c r="J111" i="6"/>
  <c r="B112" i="6"/>
  <c r="I112" i="6" s="1"/>
  <c r="F112" i="6" l="1"/>
  <c r="H112" i="6"/>
  <c r="J112" i="6"/>
  <c r="G112" i="6"/>
  <c r="B113" i="6"/>
  <c r="I113" i="6" s="1"/>
  <c r="F113" i="6" l="1"/>
  <c r="G113" i="6"/>
  <c r="J113" i="6"/>
  <c r="H113" i="6"/>
  <c r="B114" i="6"/>
  <c r="I114" i="6" s="1"/>
  <c r="B115" i="6" l="1"/>
  <c r="I115" i="6" s="1"/>
  <c r="H114" i="6"/>
  <c r="J114" i="6"/>
  <c r="F114" i="6"/>
  <c r="G114" i="6"/>
  <c r="B116" i="6" l="1"/>
  <c r="I116" i="6" s="1"/>
  <c r="J115" i="6"/>
  <c r="H115" i="6"/>
  <c r="G115" i="6"/>
  <c r="F115" i="6"/>
  <c r="B118" i="6" l="1"/>
  <c r="I118" i="6" s="1"/>
  <c r="B117" i="6"/>
  <c r="I117" i="6" s="1"/>
  <c r="F116" i="6"/>
  <c r="G116" i="6"/>
  <c r="H116" i="6"/>
  <c r="J116" i="6"/>
  <c r="G117" i="6" l="1"/>
  <c r="H117" i="6"/>
  <c r="J117" i="6"/>
  <c r="F117" i="6"/>
  <c r="J118" i="6"/>
  <c r="F118" i="6"/>
  <c r="G118" i="6"/>
  <c r="H1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<sst xmlns="http://schemas.openxmlformats.org/spreadsheetml/2006/main" count="2669" uniqueCount="946">
  <si>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</si>
  <si>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</si>
  <si>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</si>
  <si>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</si>
  <si>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</si>
  <si>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</si>
  <si>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</si>
  <si>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</si>
  <si>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</si>
  <si>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</si>
  <si>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</si>
  <si>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</si>
  <si>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</si>
  <si>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</si>
  <si>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</si>
  <si>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</si>
  <si>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</si>
  <si>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</si>
  <si>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</si>
  <si>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</si>
  <si>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</si>
  <si>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</si>
  <si>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</si>
  <si>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</si>
  <si>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</si>
  <si>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</si>
  <si>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</si>
  <si>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</si>
  <si>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</si>
  <si>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</si>
  <si>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</si>
  <si>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</si>
  <si>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</si>
  <si>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</si>
  <si>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</si>
  <si>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</si>
  <si>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</si>
  <si>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</si>
  <si>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</si>
  <si>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</si>
  <si>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</si>
  <si>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</si>
  <si>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</si>
  <si>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</si>
  <si>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</si>
  <si>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</si>
  <si>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</si>
  <si>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</si>
  <si>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</si>
  <si>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</si>
  <si>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</si>
  <si>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</si>
  <si>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</si>
  <si>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</si>
  <si>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</si>
  <si>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</si>
  <si>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</si>
  <si>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</si>
  <si>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</si>
  <si>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</si>
  <si>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</si>
  <si>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</si>
  <si>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</si>
  <si>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</si>
  <si>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</si>
  <si>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</si>
  <si>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</si>
  <si>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</si>
  <si>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</si>
  <si>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</si>
  <si>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</si>
  <si>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</si>
  <si>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</si>
  <si>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</si>
  <si>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</si>
  <si>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</si>
  <si>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</si>
  <si>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</si>
  <si>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</si>
  <si>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</si>
  <si>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</si>
  <si>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</si>
  <si>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</si>
  <si>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</si>
  <si>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</si>
  <si>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</si>
  <si>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</si>
  <si>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</si>
  <si>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</si>
  <si>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</si>
  <si>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</si>
  <si>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</si>
  <si>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</si>
  <si>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</si>
  <si>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</si>
  <si>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</si>
  <si>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</si>
  <si>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</si>
  <si>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</si>
  <si>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</si>
  <si>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</si>
  <si>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</si>
  <si>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</si>
  <si>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</si>
  <si>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</si>
  <si>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</si>
  <si>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</si>
  <si>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</si>
  <si>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</si>
  <si>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</si>
  <si>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</si>
  <si>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</si>
  <si>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</si>
  <si>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</si>
  <si>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</si>
  <si>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</si>
  <si>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</si>
  <si>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</si>
  <si>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</si>
  <si>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</si>
  <si>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</si>
  <si>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</si>
  <si>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</si>
  <si>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</si>
  <si>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</si>
  <si>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</si>
  <si>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</si>
  <si>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</si>
  <si>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</si>
  <si>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</si>
  <si>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</si>
  <si>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</si>
  <si>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</si>
  <si>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</si>
  <si>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</si>
  <si>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</si>
  <si>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</si>
  <si>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</si>
  <si>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</si>
  <si>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</si>
  <si>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</si>
  <si>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</si>
  <si>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</si>
  <si>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</si>
  <si>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</si>
  <si>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</si>
  <si>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</si>
  <si>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</si>
  <si>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</si>
  <si>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</si>
  <si>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</si>
  <si>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</si>
  <si>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</si>
  <si>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</si>
  <si>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</si>
  <si>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</si>
  <si>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</si>
  <si>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</si>
  <si>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</si>
  <si>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</si>
  <si>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</si>
  <si>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</si>
  <si>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</si>
  <si>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</si>
  <si>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</si>
  <si>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</si>
  <si>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</si>
  <si>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</si>
  <si>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</si>
  <si>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</si>
  <si>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</si>
  <si>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</si>
  <si>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</si>
  <si>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</si>
  <si>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</si>
  <si>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</si>
  <si>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</si>
  <si>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</si>
  <si>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</si>
  <si>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</si>
  <si>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</si>
  <si>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</si>
  <si>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</si>
  <si>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</si>
  <si>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</si>
  <si>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</si>
  <si>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</si>
  <si>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</si>
  <si>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</si>
  <si>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</si>
  <si>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</si>
  <si>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</si>
  <si>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</si>
  <si>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</si>
  <si>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</si>
  <si>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</si>
  <si>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</si>
  <si>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</si>
  <si>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</si>
  <si>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</si>
  <si>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</si>
  <si>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</si>
  <si>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</si>
  <si>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</si>
  <si>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</si>
  <si>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</si>
  <si>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</si>
  <si>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</si>
  <si>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</si>
  <si>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</si>
  <si>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</si>
  <si>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</si>
  <si>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</si>
  <si>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</si>
  <si>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204:469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</si>
  <si>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</si>
  <si>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</si>
  <si>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</si>
  <si>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</si>
  <si>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</si>
  <si>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</si>
  <si>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</si>
  <si>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</si>
  <si>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</si>
  <si>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</si>
  <si>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</si>
  <si>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</si>
  <si>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</si>
  <si>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</si>
  <si>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</si>
  <si>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</si>
  <si>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</si>
  <si>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</si>
  <si>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</si>
  <si>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</si>
  <si>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</si>
  <si>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</si>
  <si>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</si>
  <si>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</si>
  <si>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</si>
  <si>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</si>
  <si>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</si>
  <si>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</si>
  <si>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</si>
  <si>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</si>
  <si>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</si>
  <si>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</si>
  <si>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</si>
  <si>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</si>
  <si>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</si>
  <si>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</si>
  <si>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</si>
  <si>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</si>
  <si>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</si>
  <si>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</si>
  <si>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</si>
  <si>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</si>
  <si>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</si>
  <si>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</si>
  <si>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</si>
  <si>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204:467</t>
  </si>
  <si>
    <t>204:446</t>
  </si>
  <si>
    <t>204:455</t>
  </si>
  <si>
    <t>204:233308</t>
  </si>
  <si>
    <t>204:139</t>
  </si>
  <si>
    <t>rtdc.l.rtdc.4016:itc</t>
  </si>
  <si>
    <t>204:232993</t>
  </si>
  <si>
    <t>204:232977</t>
  </si>
  <si>
    <t>204:232978</t>
  </si>
  <si>
    <t>204:232991</t>
  </si>
  <si>
    <t>204:233293</t>
  </si>
  <si>
    <t>rtdc.l.rtdc.4019:itc</t>
  </si>
  <si>
    <t>204:464</t>
  </si>
  <si>
    <t>rtdc.l.rtdc.4031:itc</t>
  </si>
  <si>
    <t>rtdc.l.rtdc.4032:itc</t>
  </si>
  <si>
    <t>204:233297</t>
  </si>
  <si>
    <t>204:161</t>
  </si>
  <si>
    <t>rtdc.l.rtdc.4020:itc</t>
  </si>
  <si>
    <t>rtdc.l.rtdc.4044:itc</t>
  </si>
  <si>
    <t>204:141</t>
  </si>
  <si>
    <t>204:232987</t>
  </si>
  <si>
    <t>204:232983</t>
  </si>
  <si>
    <t>Early arrival</t>
  </si>
  <si>
    <t>204:232996</t>
  </si>
  <si>
    <t>204:233312</t>
  </si>
  <si>
    <t>204:232980</t>
  </si>
  <si>
    <t>204:440</t>
  </si>
  <si>
    <t>204:232986</t>
  </si>
  <si>
    <t>rtdc.l.rtdc.4008:itc</t>
  </si>
  <si>
    <t>rtdc.l.rtdc.4018:itc</t>
  </si>
  <si>
    <t>rtdc.l.rtdc.4017:itc</t>
  </si>
  <si>
    <t>rtdc.l.rtdc.4012:itc</t>
  </si>
  <si>
    <t>JOHN</t>
  </si>
  <si>
    <t>DAVID</t>
  </si>
  <si>
    <t>204:136</t>
  </si>
  <si>
    <t>204:156</t>
  </si>
  <si>
    <t>204:233310</t>
  </si>
  <si>
    <t>204:444</t>
  </si>
  <si>
    <t>204:232992</t>
  </si>
  <si>
    <t>204:147</t>
  </si>
  <si>
    <t>300:23346</t>
  </si>
  <si>
    <t>204:477</t>
  </si>
  <si>
    <t>204:233284</t>
  </si>
  <si>
    <t>204:138</t>
  </si>
  <si>
    <t>300:58623</t>
  </si>
  <si>
    <t>300:58937</t>
  </si>
  <si>
    <t>204:233302</t>
  </si>
  <si>
    <t>204:438</t>
  </si>
  <si>
    <t>204:170</t>
  </si>
  <si>
    <t>204:431</t>
  </si>
  <si>
    <t>204:478</t>
  </si>
  <si>
    <t>204:167</t>
  </si>
  <si>
    <t>204:232985</t>
  </si>
  <si>
    <t>204:473</t>
  </si>
  <si>
    <t>204:233306</t>
  </si>
  <si>
    <t>204:232971</t>
  </si>
  <si>
    <t>236-15</t>
  </si>
  <si>
    <t>240-15</t>
  </si>
  <si>
    <t>BADERTSCHER</t>
  </si>
  <si>
    <t>DIANE</t>
  </si>
  <si>
    <t>GEBRETEKLE</t>
  </si>
  <si>
    <t>DAGNEW</t>
  </si>
  <si>
    <t>LOZA</t>
  </si>
  <si>
    <t>FIDEL</t>
  </si>
  <si>
    <t>HELVIE</t>
  </si>
  <si>
    <t>ADAM</t>
  </si>
  <si>
    <t>BRANNON</t>
  </si>
  <si>
    <t>JEFFREY</t>
  </si>
  <si>
    <t>BRUDER</t>
  </si>
  <si>
    <t>RICHARD</t>
  </si>
  <si>
    <t>230-15</t>
  </si>
  <si>
    <t>844-15</t>
  </si>
  <si>
    <t>233-15</t>
  </si>
  <si>
    <t>235-15</t>
  </si>
  <si>
    <t>847-15</t>
  </si>
  <si>
    <t>232-15</t>
  </si>
  <si>
    <t>908-15</t>
  </si>
  <si>
    <t>234-15</t>
  </si>
  <si>
    <t>237-15</t>
  </si>
  <si>
    <t>JACKSON</t>
  </si>
  <si>
    <t>WILLIAM</t>
  </si>
  <si>
    <t>239-15</t>
  </si>
  <si>
    <t>241-15</t>
  </si>
  <si>
    <t>238-15</t>
  </si>
  <si>
    <t>243-15</t>
  </si>
  <si>
    <t>242-15</t>
  </si>
  <si>
    <t>315-15</t>
  </si>
  <si>
    <t>309-15</t>
  </si>
  <si>
    <t>244-15</t>
  </si>
  <si>
    <t>311-15</t>
  </si>
  <si>
    <t>204:724</t>
  </si>
  <si>
    <t>204:129</t>
  </si>
  <si>
    <t>204:429</t>
  </si>
  <si>
    <t>204:232979</t>
  </si>
  <si>
    <t>204:233305</t>
  </si>
  <si>
    <t>204:233276</t>
  </si>
  <si>
    <t>204:232989</t>
  </si>
  <si>
    <t>204:233317</t>
  </si>
  <si>
    <t>204:232959</t>
  </si>
  <si>
    <t>204:233307</t>
  </si>
  <si>
    <t>204:233003</t>
  </si>
  <si>
    <t>204:232973</t>
  </si>
  <si>
    <t>204:130</t>
  </si>
  <si>
    <t>Form C</t>
  </si>
  <si>
    <t>rtdc.l.rtdc.4052:itc</t>
  </si>
  <si>
    <t>rtdc.l.rtdc.4051:itc</t>
  </si>
  <si>
    <t>847-16</t>
  </si>
  <si>
    <t>235-16</t>
  </si>
  <si>
    <t>ROBINSON</t>
  </si>
  <si>
    <t>KADDIBA</t>
  </si>
  <si>
    <t>SHOOK</t>
  </si>
  <si>
    <t>rtdc.l.rtdc.4013:itc</t>
  </si>
  <si>
    <t>KILLION</t>
  </si>
  <si>
    <t>SMITH</t>
  </si>
  <si>
    <t>SANTIZO</t>
  </si>
  <si>
    <t>D. EDY</t>
  </si>
  <si>
    <t>BRANDNER</t>
  </si>
  <si>
    <t>MELINDA</t>
  </si>
  <si>
    <t>rtdc.l.rtdc.4006:itc</t>
  </si>
  <si>
    <t>844-16</t>
  </si>
  <si>
    <t>233-16</t>
  </si>
  <si>
    <t>MACDONALD</t>
  </si>
  <si>
    <t>THOMAS</t>
  </si>
  <si>
    <t>230-16</t>
  </si>
  <si>
    <t>232-16</t>
  </si>
  <si>
    <t>908-16</t>
  </si>
  <si>
    <t>234-16</t>
  </si>
  <si>
    <t>237-16</t>
  </si>
  <si>
    <t>236-16</t>
  </si>
  <si>
    <t>239-16</t>
  </si>
  <si>
    <t>241-16</t>
  </si>
  <si>
    <t>238-16</t>
  </si>
  <si>
    <t>243-16</t>
  </si>
  <si>
    <t>240-16</t>
  </si>
  <si>
    <t>315-16</t>
  </si>
  <si>
    <t>242-16</t>
  </si>
  <si>
    <t>244-16</t>
  </si>
  <si>
    <t>309-16</t>
  </si>
  <si>
    <t>311-16</t>
  </si>
  <si>
    <t>4019-17</t>
  </si>
  <si>
    <t>313-16</t>
  </si>
  <si>
    <t>204:233138</t>
  </si>
  <si>
    <t>204:437</t>
  </si>
  <si>
    <t>204:232982</t>
  </si>
  <si>
    <t>204:163</t>
  </si>
  <si>
    <t>204:233004</t>
  </si>
  <si>
    <t>204:233299</t>
  </si>
  <si>
    <t>204:233295</t>
  </si>
  <si>
    <t>204:232976</t>
  </si>
  <si>
    <t>204:475</t>
  </si>
  <si>
    <t>204:232981</t>
  </si>
  <si>
    <t>204:232963</t>
  </si>
  <si>
    <t>204:447</t>
  </si>
  <si>
    <t>204:233282</t>
  </si>
  <si>
    <t>204:466</t>
  </si>
  <si>
    <t>204:233342</t>
  </si>
  <si>
    <t>204:233011</t>
  </si>
  <si>
    <t>204:165</t>
  </si>
  <si>
    <t>204:232961</t>
  </si>
  <si>
    <t>204:233321</t>
  </si>
  <si>
    <t>204:233303</t>
  </si>
  <si>
    <t>204:233288</t>
  </si>
  <si>
    <t>204:233301</t>
  </si>
  <si>
    <t>204:233285</t>
  </si>
  <si>
    <t>204:125</t>
  </si>
  <si>
    <t>300:23306</t>
  </si>
  <si>
    <t>300:58683</t>
  </si>
  <si>
    <t>204:1023</t>
  </si>
  <si>
    <t>300:58992</t>
  </si>
  <si>
    <t>300:58679</t>
  </si>
  <si>
    <t>300:58965</t>
  </si>
  <si>
    <t>204:703</t>
  </si>
  <si>
    <t>204:1021</t>
  </si>
  <si>
    <t>204:990</t>
  </si>
  <si>
    <t>300:58638</t>
  </si>
  <si>
    <t>300:58649</t>
  </si>
  <si>
    <t>310-18</t>
  </si>
  <si>
    <t>rtdc.l.rtdc.4022:itc</t>
  </si>
  <si>
    <t>105-18</t>
  </si>
  <si>
    <t>122-18</t>
  </si>
  <si>
    <t>124-18</t>
  </si>
  <si>
    <t>145-18</t>
  </si>
  <si>
    <t>138-18</t>
  </si>
  <si>
    <t>155-18</t>
  </si>
  <si>
    <t>PERMANENT SPEED RESTRICTION</t>
  </si>
  <si>
    <t>Speed (6)</t>
  </si>
  <si>
    <t>148-18</t>
  </si>
  <si>
    <t>159-18</t>
  </si>
  <si>
    <t>167-18</t>
  </si>
  <si>
    <t>158-18</t>
  </si>
  <si>
    <t>165-18</t>
  </si>
  <si>
    <t>160-18</t>
  </si>
  <si>
    <t>1813-18</t>
  </si>
  <si>
    <t>169-18</t>
  </si>
  <si>
    <t>173-18</t>
  </si>
  <si>
    <t>168-18</t>
  </si>
  <si>
    <t>181-18</t>
  </si>
  <si>
    <t>172-18</t>
  </si>
  <si>
    <t>176-18</t>
  </si>
  <si>
    <t>180-18</t>
  </si>
  <si>
    <t>189-18</t>
  </si>
  <si>
    <t>1821-18</t>
  </si>
  <si>
    <t>1822-18</t>
  </si>
  <si>
    <t>202-18</t>
  </si>
  <si>
    <t>53-18</t>
  </si>
  <si>
    <t>70-18</t>
  </si>
  <si>
    <t>210-18</t>
  </si>
  <si>
    <t>303-18</t>
  </si>
  <si>
    <t>217-18</t>
  </si>
  <si>
    <t>216-18</t>
  </si>
  <si>
    <t>SWITCH UNKNOWN</t>
  </si>
  <si>
    <t>Track device (7)</t>
  </si>
  <si>
    <t>212-18</t>
  </si>
  <si>
    <t>305-18</t>
  </si>
  <si>
    <t>220-18</t>
  </si>
  <si>
    <t>225-18</t>
  </si>
  <si>
    <t>227-18</t>
  </si>
  <si>
    <t>226-18</t>
  </si>
  <si>
    <t>229-18</t>
  </si>
  <si>
    <t>1831-18</t>
  </si>
  <si>
    <t>rtdc.l.rtdc.4021:itc</t>
  </si>
  <si>
    <t>240-18</t>
  </si>
  <si>
    <t>242-18</t>
  </si>
  <si>
    <t>Y</t>
  </si>
  <si>
    <t>245-17</t>
  </si>
  <si>
    <t>242-17</t>
  </si>
  <si>
    <t>MAGEE</t>
  </si>
  <si>
    <t>KENYA</t>
  </si>
  <si>
    <t>240-17</t>
  </si>
  <si>
    <t>309-17</t>
  </si>
  <si>
    <t>244-17</t>
  </si>
  <si>
    <t>DUNCAN</t>
  </si>
  <si>
    <t>SHEILA</t>
  </si>
  <si>
    <t>311-17</t>
  </si>
  <si>
    <t>246-17</t>
  </si>
  <si>
    <t>313-17</t>
  </si>
  <si>
    <t>rtdc.l.rtdc.4009:itc</t>
  </si>
  <si>
    <t>73-17</t>
  </si>
  <si>
    <t>SAFIEF</t>
  </si>
  <si>
    <t>AEIMEN</t>
  </si>
  <si>
    <t>315-17</t>
  </si>
  <si>
    <t>rtdc.l.rtdc.4010:itc</t>
  </si>
  <si>
    <t>74-17</t>
  </si>
  <si>
    <t>302-18</t>
  </si>
  <si>
    <t>101-18</t>
  </si>
  <si>
    <t>304-18</t>
  </si>
  <si>
    <t>103-18</t>
  </si>
  <si>
    <t>306-18</t>
  </si>
  <si>
    <t>MAELZER</t>
  </si>
  <si>
    <t>KURT</t>
  </si>
  <si>
    <t>102-18</t>
  </si>
  <si>
    <t>308-18</t>
  </si>
  <si>
    <t>DE LA ROSA</t>
  </si>
  <si>
    <t>ALEX</t>
  </si>
  <si>
    <t>107-18</t>
  </si>
  <si>
    <t>104-18</t>
  </si>
  <si>
    <t>109-18</t>
  </si>
  <si>
    <t>106-18</t>
  </si>
  <si>
    <t>113-18</t>
  </si>
  <si>
    <t>108-18</t>
  </si>
  <si>
    <t>115-18</t>
  </si>
  <si>
    <t>110-18</t>
  </si>
  <si>
    <t>117-18</t>
  </si>
  <si>
    <t>1800-18</t>
  </si>
  <si>
    <t>119-18</t>
  </si>
  <si>
    <t>1801-18</t>
  </si>
  <si>
    <t>114-18</t>
  </si>
  <si>
    <t>121-18</t>
  </si>
  <si>
    <t>116-18</t>
  </si>
  <si>
    <t>123-18</t>
  </si>
  <si>
    <t>118-18</t>
  </si>
  <si>
    <t>1802-18</t>
  </si>
  <si>
    <t>120-18</t>
  </si>
  <si>
    <t>127-18</t>
  </si>
  <si>
    <t>1803-18</t>
  </si>
  <si>
    <t>129-18</t>
  </si>
  <si>
    <t>131-18</t>
  </si>
  <si>
    <t>1804-18</t>
  </si>
  <si>
    <t>126-18</t>
  </si>
  <si>
    <t>133-18</t>
  </si>
  <si>
    <t>128-18</t>
  </si>
  <si>
    <t>135-18</t>
  </si>
  <si>
    <t>1805-18</t>
  </si>
  <si>
    <t>130-18</t>
  </si>
  <si>
    <t>137-18</t>
  </si>
  <si>
    <t>132-18</t>
  </si>
  <si>
    <t>139-18</t>
  </si>
  <si>
    <t>134-18</t>
  </si>
  <si>
    <t>1806-18</t>
  </si>
  <si>
    <t>141-18</t>
  </si>
  <si>
    <t>136-18</t>
  </si>
  <si>
    <t>143-18</t>
  </si>
  <si>
    <t>1807-18</t>
  </si>
  <si>
    <t>147-18</t>
  </si>
  <si>
    <t>COOLAHAN</t>
  </si>
  <si>
    <t>140-18</t>
  </si>
  <si>
    <t>142-18</t>
  </si>
  <si>
    <t>1808-18</t>
  </si>
  <si>
    <t>149-18</t>
  </si>
  <si>
    <t>144-18</t>
  </si>
  <si>
    <t>1809-18</t>
  </si>
  <si>
    <t>151-18</t>
  </si>
  <si>
    <t>146-18</t>
  </si>
  <si>
    <t>153-18</t>
  </si>
  <si>
    <t>ROMERO</t>
  </si>
  <si>
    <t>CHAD</t>
  </si>
  <si>
    <t>150-18</t>
  </si>
  <si>
    <t>1810-18</t>
  </si>
  <si>
    <t>157-18</t>
  </si>
  <si>
    <t>152-18</t>
  </si>
  <si>
    <t>STEWART</t>
  </si>
  <si>
    <t>1811-18</t>
  </si>
  <si>
    <t>154-18</t>
  </si>
  <si>
    <t>161-18</t>
  </si>
  <si>
    <t>DAVIS</t>
  </si>
  <si>
    <t>156-18</t>
  </si>
  <si>
    <t>163-18</t>
  </si>
  <si>
    <t>rtdc.l.rtdc.4005:itc</t>
  </si>
  <si>
    <t>50-18</t>
  </si>
  <si>
    <t>LEVIN</t>
  </si>
  <si>
    <t>SCOTT</t>
  </si>
  <si>
    <t>1812-18</t>
  </si>
  <si>
    <t>51-18</t>
  </si>
  <si>
    <t>162-18</t>
  </si>
  <si>
    <t>164-18</t>
  </si>
  <si>
    <t>171-18</t>
  </si>
  <si>
    <t>166-18</t>
  </si>
  <si>
    <t>1814-18</t>
  </si>
  <si>
    <t>170-18</t>
  </si>
  <si>
    <t>1815-18</t>
  </si>
  <si>
    <t>175-18</t>
  </si>
  <si>
    <t>177-18</t>
  </si>
  <si>
    <t>179-18</t>
  </si>
  <si>
    <t>174-18</t>
  </si>
  <si>
    <t>1816-18</t>
  </si>
  <si>
    <t>183-18</t>
  </si>
  <si>
    <t>DELGADO</t>
  </si>
  <si>
    <t>DIANAH</t>
  </si>
  <si>
    <t>178-18</t>
  </si>
  <si>
    <t>LOPES</t>
  </si>
  <si>
    <t>KIMBERLY</t>
  </si>
  <si>
    <t>185-18</t>
  </si>
  <si>
    <t>LALONDE</t>
  </si>
  <si>
    <t>GREGORY</t>
  </si>
  <si>
    <t>1817-18</t>
  </si>
  <si>
    <t>187-18</t>
  </si>
  <si>
    <t>182-18</t>
  </si>
  <si>
    <t>1818-18</t>
  </si>
  <si>
    <t>184-18</t>
  </si>
  <si>
    <t>191-18</t>
  </si>
  <si>
    <t>186-18</t>
  </si>
  <si>
    <t>193-18</t>
  </si>
  <si>
    <t>1819-18</t>
  </si>
  <si>
    <t>188-18</t>
  </si>
  <si>
    <t>195-18</t>
  </si>
  <si>
    <t>1820-18</t>
  </si>
  <si>
    <t>190-18</t>
  </si>
  <si>
    <t>197-18</t>
  </si>
  <si>
    <t>192-18</t>
  </si>
  <si>
    <t>199-18</t>
  </si>
  <si>
    <t>194-18</t>
  </si>
  <si>
    <t>201-18</t>
  </si>
  <si>
    <t>196-18</t>
  </si>
  <si>
    <t>203-18</t>
  </si>
  <si>
    <t>198-18</t>
  </si>
  <si>
    <t>205-18</t>
  </si>
  <si>
    <t>200-18</t>
  </si>
  <si>
    <t>207-18</t>
  </si>
  <si>
    <t>HOLCOMB</t>
  </si>
  <si>
    <t>KAMDEN</t>
  </si>
  <si>
    <t>1823-18</t>
  </si>
  <si>
    <t>209-18</t>
  </si>
  <si>
    <t>204-18</t>
  </si>
  <si>
    <t>211-18</t>
  </si>
  <si>
    <t>206-18</t>
  </si>
  <si>
    <t>1824-18</t>
  </si>
  <si>
    <t>213-18</t>
  </si>
  <si>
    <t>82-18</t>
  </si>
  <si>
    <t>STAMBAUGH</t>
  </si>
  <si>
    <t>208-18</t>
  </si>
  <si>
    <t>215-18</t>
  </si>
  <si>
    <t>75-18</t>
  </si>
  <si>
    <t>1825-18</t>
  </si>
  <si>
    <t>219-18</t>
  </si>
  <si>
    <t>214-18</t>
  </si>
  <si>
    <t>1826-18</t>
  </si>
  <si>
    <t>221-18</t>
  </si>
  <si>
    <t>218-18</t>
  </si>
  <si>
    <t>1827-18</t>
  </si>
  <si>
    <t>223-18</t>
  </si>
  <si>
    <t>307-18</t>
  </si>
  <si>
    <t>1828-18</t>
  </si>
  <si>
    <t>222-18</t>
  </si>
  <si>
    <t>76-18</t>
  </si>
  <si>
    <t>224-18</t>
  </si>
  <si>
    <t>DAVIDSON</t>
  </si>
  <si>
    <t>1829-18</t>
  </si>
  <si>
    <t>1830-18</t>
  </si>
  <si>
    <t>231-18</t>
  </si>
  <si>
    <t>228-18</t>
  </si>
  <si>
    <t>1832-18</t>
  </si>
  <si>
    <t>233-18</t>
  </si>
  <si>
    <t>230-18</t>
  </si>
  <si>
    <t>1833-18</t>
  </si>
  <si>
    <t>232-18</t>
  </si>
  <si>
    <t>235-18</t>
  </si>
  <si>
    <t>1902-18</t>
  </si>
  <si>
    <t>237-18</t>
  </si>
  <si>
    <t>234-18</t>
  </si>
  <si>
    <t>236-18</t>
  </si>
  <si>
    <t>239-18</t>
  </si>
  <si>
    <t>241-18</t>
  </si>
  <si>
    <t>238-18</t>
  </si>
  <si>
    <t>243-18</t>
  </si>
  <si>
    <t>245-18</t>
  </si>
  <si>
    <t>309-18</t>
  </si>
  <si>
    <t>244-18</t>
  </si>
  <si>
    <t>311-18</t>
  </si>
  <si>
    <t>246-18</t>
  </si>
  <si>
    <t>Mostly Cloudy</t>
  </si>
  <si>
    <t>DE.1.0.9.0</t>
  </si>
  <si>
    <t>204:755</t>
  </si>
  <si>
    <t>204:233261</t>
  </si>
  <si>
    <t>204:232638</t>
  </si>
  <si>
    <t>204:744</t>
  </si>
  <si>
    <t>204:232668</t>
  </si>
  <si>
    <t>204:763</t>
  </si>
  <si>
    <t>204:232713</t>
  </si>
  <si>
    <t>204:233300</t>
  </si>
  <si>
    <t>204:715</t>
  </si>
  <si>
    <t>204:233270</t>
  </si>
  <si>
    <t>204:232955</t>
  </si>
  <si>
    <t>204:681</t>
  </si>
  <si>
    <t>204:233291</t>
  </si>
  <si>
    <t>204:495</t>
  </si>
  <si>
    <t>204:458</t>
  </si>
  <si>
    <t>204:233298</t>
  </si>
  <si>
    <t>204:2066</t>
  </si>
  <si>
    <t>204:233315</t>
  </si>
  <si>
    <t>204:154429</t>
  </si>
  <si>
    <t>204:480</t>
  </si>
  <si>
    <t>204:123072</t>
  </si>
  <si>
    <t>204:172</t>
  </si>
  <si>
    <t>204:233013</t>
  </si>
  <si>
    <t>204:407</t>
  </si>
  <si>
    <t>204:233340</t>
  </si>
  <si>
    <t>204:233000</t>
  </si>
  <si>
    <t>204:502</t>
  </si>
  <si>
    <t>204:233309</t>
  </si>
  <si>
    <t>204:21021</t>
  </si>
  <si>
    <t>204:482</t>
  </si>
  <si>
    <t>204:233283</t>
  </si>
  <si>
    <t>204:233286</t>
  </si>
  <si>
    <t>204:233319</t>
  </si>
  <si>
    <t>204:233347</t>
  </si>
  <si>
    <t>204:233074</t>
  </si>
  <si>
    <t>204:134</t>
  </si>
  <si>
    <t>204:233422</t>
  </si>
  <si>
    <t>204:233092</t>
  </si>
  <si>
    <t>204:232994</t>
  </si>
  <si>
    <t>204:174</t>
  </si>
  <si>
    <t>204:232936</t>
  </si>
  <si>
    <t>204:232988</t>
  </si>
  <si>
    <t>204:729</t>
  </si>
  <si>
    <t>204:1027</t>
  </si>
  <si>
    <t>300:58990</t>
  </si>
  <si>
    <t>204:748</t>
  </si>
  <si>
    <t>204:999</t>
  </si>
  <si>
    <t>300:59008</t>
  </si>
  <si>
    <t>300:58687</t>
  </si>
  <si>
    <t>204:734</t>
  </si>
  <si>
    <t>204:1020</t>
  </si>
  <si>
    <t>300:58988</t>
  </si>
  <si>
    <t>300:58673</t>
  </si>
  <si>
    <t>204:743</t>
  </si>
  <si>
    <t>204:1032</t>
  </si>
  <si>
    <t>204:233341</t>
  </si>
  <si>
    <t>300:58694</t>
  </si>
  <si>
    <t>204:745</t>
  </si>
  <si>
    <t>204:1034</t>
  </si>
  <si>
    <t>300:58677</t>
  </si>
  <si>
    <t>204:713</t>
  </si>
  <si>
    <t>300:58685</t>
  </si>
  <si>
    <t>204:752</t>
  </si>
  <si>
    <t>300:58944</t>
  </si>
  <si>
    <t>300:58626</t>
  </si>
  <si>
    <t>204:995</t>
  </si>
  <si>
    <t>300:58943</t>
  </si>
  <si>
    <t>204:233017</t>
  </si>
  <si>
    <t>204:747</t>
  </si>
  <si>
    <t>300:58613</t>
  </si>
  <si>
    <t>300:58939</t>
  </si>
  <si>
    <t>300:58628</t>
  </si>
  <si>
    <t>204:731</t>
  </si>
  <si>
    <t>204:1014</t>
  </si>
  <si>
    <t>300:58956</t>
  </si>
  <si>
    <t>300:58634</t>
  </si>
  <si>
    <t>204:766</t>
  </si>
  <si>
    <t>204:1042</t>
  </si>
  <si>
    <t>300:58941</t>
  </si>
  <si>
    <t>204:233366</t>
  </si>
  <si>
    <t>300:58952</t>
  </si>
  <si>
    <t>204:992</t>
  </si>
  <si>
    <t>204:233053</t>
  </si>
  <si>
    <t>204:233243</t>
  </si>
  <si>
    <t>204:1175</t>
  </si>
  <si>
    <t>204:232838</t>
  </si>
  <si>
    <t>204:169</t>
  </si>
  <si>
    <t>300:58615</t>
  </si>
  <si>
    <t>300:21789</t>
  </si>
  <si>
    <t>204:488</t>
  </si>
  <si>
    <t>204:435</t>
  </si>
  <si>
    <t>204:233351</t>
  </si>
  <si>
    <t>204:233040</t>
  </si>
  <si>
    <t>204:105</t>
  </si>
  <si>
    <t>204:233357</t>
  </si>
  <si>
    <t>204:132</t>
  </si>
  <si>
    <t>204:233030</t>
  </si>
  <si>
    <t>204:867</t>
  </si>
  <si>
    <t>204:233234</t>
  </si>
  <si>
    <t>204:153999</t>
  </si>
  <si>
    <t>204:218160</t>
  </si>
  <si>
    <t>204:233339</t>
  </si>
  <si>
    <t>204:233374</t>
  </si>
  <si>
    <t>204:233023</t>
  </si>
  <si>
    <t>204:121</t>
  </si>
  <si>
    <t>204:420</t>
  </si>
  <si>
    <t>204:497</t>
  </si>
  <si>
    <t>204:233359</t>
  </si>
  <si>
    <t>204:486</t>
  </si>
  <si>
    <t>204:233338</t>
  </si>
  <si>
    <t>204:233025</t>
  </si>
  <si>
    <t>300:22703</t>
  </si>
  <si>
    <t>300:23315</t>
  </si>
  <si>
    <t>300:23302</t>
  </si>
  <si>
    <t>300:23255</t>
  </si>
  <si>
    <t>300:19769</t>
  </si>
  <si>
    <t>300:23169</t>
  </si>
  <si>
    <t>300:23301</t>
  </si>
  <si>
    <t>300:22518</t>
  </si>
  <si>
    <t>300:19043</t>
  </si>
  <si>
    <t>300:26101</t>
  </si>
  <si>
    <t>300:24476</t>
  </si>
  <si>
    <t>300:23308</t>
  </si>
  <si>
    <t>204:1262</t>
  </si>
  <si>
    <t>300:23312</t>
  </si>
  <si>
    <t>300:23379</t>
  </si>
  <si>
    <t>204:131</t>
  </si>
  <si>
    <t>204:421</t>
  </si>
  <si>
    <t>300:24265</t>
  </si>
  <si>
    <t>204:1477</t>
  </si>
  <si>
    <t>300:23160</t>
  </si>
  <si>
    <t>204:4408</t>
  </si>
  <si>
    <t>204:10481</t>
  </si>
  <si>
    <t>204:128263</t>
  </si>
  <si>
    <t>204:1253</t>
  </si>
  <si>
    <t>204:149683</t>
  </si>
  <si>
    <t>204:1285</t>
  </si>
  <si>
    <t>204:127871</t>
  </si>
  <si>
    <t>204:10251</t>
  </si>
  <si>
    <t>204:128008</t>
  </si>
  <si>
    <t>204:984</t>
  </si>
  <si>
    <t>300:23855</t>
  </si>
  <si>
    <t>204:162</t>
  </si>
  <si>
    <t>start /low /b %USERPROFILE%\Documents\GitHub\eaglep3\Utilities\DownloadLogsFromS3.py --loco 4007 --day 2017-02-18</t>
  </si>
  <si>
    <t>start /low /b %USERPROFILE%\Documents\GitHub\eaglep3\Utilities\DownloadLogsFromS3.py --loco 4015 --day 2017-02-18</t>
  </si>
  <si>
    <t>start /low /b %USERPROFILE%\Documents\GitHub\eaglep3\Utilities\DownloadLogsFromS3.py --loco 4028 --day 2017-02-18</t>
  </si>
  <si>
    <t>start /low /b %USERPROFILE%\Documents\GitHub\eaglep3\Utilities\DownloadLogsFromS3.py --loco 4027 --day 2017-02-18</t>
  </si>
  <si>
    <t>start /low /b %USERPROFILE%\Documents\GitHub\eaglep3\Utilities\DownloadLogsFromS3.py --loco 4030 --day 2017-02-18</t>
  </si>
  <si>
    <t>start /low /b %USERPROFILE%\Documents\GitHub\eaglep3\Utilities\DownloadLogsFromS3.py --loco 4012 --day 2017-02-19</t>
  </si>
  <si>
    <t>start /low /b %USERPROFILE%\Documents\GitHub\eaglep3\Utilities\DownloadLogsFromS3.py --loco 4011 --day 2017-02-18</t>
  </si>
  <si>
    <t>start /low /b %USERPROFILE%\Documents\GitHub\eaglep3\Utilities\DownloadLogsFromS3.py --loco 4029 --day 2017-02-19</t>
  </si>
  <si>
    <t>start /low /b %USERPROFILE%\Documents\GitHub\eaglep3\Utilities\DownloadLogsFromS3.py --loco 4008 --day 2017-02-18</t>
  </si>
  <si>
    <t>start /low /b %USERPROFILE%\Documents\GitHub\eaglep3\Utilities\DownloadLogsFromS3.py --loco 4012 --day 2017-02-18</t>
  </si>
  <si>
    <t>start /low /b %USERPROFILE%\Documents\GitHub\eaglep3\Utilities\DownloadLogsFromS3.py --loco 4018 --day 2017-02-19</t>
  </si>
  <si>
    <t>start /low /b %USERPROFILE%\Documents\GitHub\eaglep3\Utilities\DownloadLogsFromS3.py --loco 4030 --day 2017-02-19</t>
  </si>
  <si>
    <t>start /low /b %USERPROFILE%\Documents\GitHub\eaglep3\Utilities\DownloadLogsFromS3.py --loco 4017 --day 2017-02-18</t>
  </si>
  <si>
    <t>start /low /b %USERPROFILE%\Documents\GitHub\eaglep3\Utilities\DownloadLogsFromS3.py --loco 4011 --day 2017-02-19</t>
  </si>
  <si>
    <t>start /low /b %USERPROFILE%\Documents\GitHub\eaglep3\Utilities\DownloadLogsFromS3.py --loco 4053 --day 2017-02-18</t>
  </si>
  <si>
    <t>start /low /b %USERPROFILE%\Documents\GitHub\eaglep3\Utilities\DownloadLogsFromS3.py --loco 4017 --day 2017-02-19</t>
  </si>
  <si>
    <t>start /low /b %USERPROFILE%\Documents\GitHub\eaglep3\Utilities\DownloadLogsFromS3.py --loco 4028 --day 2017-02-19</t>
  </si>
  <si>
    <t>start /low /b %USERPROFILE%\Documents\GitHub\eaglep3\Utilities\DownloadLogsFromS3.py --loco 4021 --day 2017-02-19</t>
  </si>
  <si>
    <t>start /low /b %USERPROFILE%\Documents\GitHub\eaglep3\Utilities\DownloadLogsFromS3.py --loco 4054 --day 2017-02-19</t>
  </si>
  <si>
    <t>start /low /b %USERPROFILE%\Documents\GitHub\eaglep3\Utilities\DownloadLogsFromS3.py --loco 4022 --day 2017-02-18</t>
  </si>
  <si>
    <t>start /low /b %USERPROFILE%\Documents\GitHub\eaglep3\Utilities\DownloadLogsFromS3.py --loco 4029 --day 2017-02-18</t>
  </si>
  <si>
    <t>start /low /b %USERPROFILE%\Documents\GitHub\eaglep3\Utilities\DownloadLogsFromS3.py --loco 4032 --day 2017-02-18</t>
  </si>
  <si>
    <t>start /low /b %USERPROFILE%\Documents\GitHub\eaglep3\Utilities\DownloadLogsFromS3.py --loco 4031 --day 2017-02-18</t>
  </si>
  <si>
    <t>start /low /b %USERPROFILE%\Documents\GitHub\eaglep3\Utilities\DownloadLogsFromS3.py --loco 4031 --day 2017-02-19</t>
  </si>
  <si>
    <t>Maintenance on EC1267RH</t>
  </si>
  <si>
    <t>Minor Onboard in-route failure (caused EC0206RH 28-2T 2S status to go unknown)</t>
  </si>
  <si>
    <t>Wi-MAX data drop</t>
  </si>
  <si>
    <t>http://stevetu21.github.io/eaglep3/load_kml.html?kml=http://rtdc.gmaps-snips.s3.amazonaws.com/2516a719-b72d-4a55-9b5b-5bcbfb957b62.kml</t>
  </si>
  <si>
    <t>111-18</t>
  </si>
  <si>
    <t>112-18</t>
  </si>
  <si>
    <t>Did not init</t>
  </si>
  <si>
    <t>Onboard software update</t>
  </si>
  <si>
    <t>125-18</t>
  </si>
  <si>
    <t>SYS :2017/02/18 11:27:59.055:ENFORCEMENT:Predictive Enforcement Action:  Target Number: 00006035  Target Speed:   0.0  Current Speed:   3.1</t>
  </si>
  <si>
    <t>SYS :2017/02/18 11:27:59.168:ENFORCEMENT:Predictive Enforcement Action:  Target Number: 00006040  Target Speed:   0.0  Current Speed:   3.1</t>
  </si>
  <si>
    <t>SYS :2017/02/18 11:27:59.235:ENFORCEMENT:Predictive Enforcement Action:  Target Number: 00006035  Target Speed:   0.0  Current Speed:   3.1</t>
  </si>
  <si>
    <t>SYS :2017/02/18 11:29:03.060:ENFORCEMENT:Predictive Enforcement Action:  Target Number: 00006035  Target Speed:   0.0  Current Speed:   2.0</t>
  </si>
  <si>
    <t>SYS :2017/02/18 11:29:03.176:ENFORCEMENT:Predictive Enforcement Action:  Target Number: 00006040  Target Speed:   0.0  Current Speed:   2.0</t>
  </si>
  <si>
    <t>SYS :2017/02/18 11:29:03.238:ENFORCEMENT:Predictive Enforcement Action:  Target Number: 00006035  Target Speed:   0.0  Current Speed:   2.0</t>
  </si>
  <si>
    <t>SYS :2017/02/18 14:28:34.912:ENFORCEMENT:Predictive Enforcement Action:  Target Number: 000170F5  Target Speed:  41.0  Current Speed:  46.0</t>
  </si>
  <si>
    <t>SYS :2017/02/18 14:28:36.075:ENFORCEMENT:Predictive Enforcement Action:  Target Number: 00017027  Target Speed:  41.0  Current Speed:  46.0</t>
  </si>
  <si>
    <t>SYS :2017/02/18 14:28:36.128:ENFORCEMENT:Predictive Enforcement Action:  Target Number: 000170F5  Target Speed:  41.0  Current Speed:  46.0</t>
  </si>
  <si>
    <t>SYS :2017/02/18 14:57:15.176:ENFORCEMENT:Predictive Enforcement Action:  Target Number: 0000E001  Target Speed:   0.0  Current Speed:  17.0</t>
  </si>
  <si>
    <t>SYS :2017/02/18 14:57:15.240:ENFORCEMENT:Predictive Enforcement Action:  Target Number: 0000E001  Target Speed:   0.0  Current Speed:  17.0</t>
  </si>
  <si>
    <t>SYS :2017/02/18 14:57:16.065:ENFORCEMENT:Predictive Enforcement Action:  Target Number: 0000E001  Target Speed:   0.0  Current Speed:  17.1</t>
  </si>
  <si>
    <t>SYS :2017/02/18 16:23:59.944:ENFORCEMENT:Predictive Enforcement Action:  Target Number: 00017039  Target Speed:  15.0  Current Speed:  20.4</t>
  </si>
  <si>
    <t>SYS :2017/02/18 16:24:00.546:ENFORCEMENT:Predictive Enforcement Action:  Target Number: 00017039  Target Speed:  15.0  Current Speed:  20.2</t>
  </si>
  <si>
    <t>SYS :2017/02/18 16:24:00.595:ENFORCEMENT:Predictive Enforcement Action:  Target Number: 00017039  Target Speed:  15.0  Current Speed:  20.2</t>
  </si>
  <si>
    <t>SYS :2017/02/18 16:56:35.169:ENFORCEMENT:Predictive Enforcement Action:  Target Number: 0000100F  Target Speed:   0.0  Current Speed:   5.9</t>
  </si>
  <si>
    <t>SYS :2017/02/18 16:56:36.220:ENFORCEMENT:Predictive Enforcement Action:  Target Number: 0000100F  Target Speed:   0.0  Current Speed:   5.9</t>
  </si>
  <si>
    <t>SYS :2017/02/18 17:50:39.934:ENFORCEMENT:Reactive Enforcement Action:  Target Number: 000100BE  Target Speed:  60.0  Current Speed:  65.1</t>
  </si>
  <si>
    <t>SYS :2017/02/18 17:50:40.343:ENFORCEMENT:Reactive Enforcement Action:  Target Number: 000100BF  Target Speed:  60.0  Current Speed:  65.1</t>
  </si>
  <si>
    <t>SYS :2017/02/18 17:50:40.484:ENFORCEMENT:Reactive Enforcement Action:  Target Number: 000100BC  Target Speed:  60.0  Current Speed:  65.1</t>
  </si>
  <si>
    <t>SYS :2017/02/18 18:04:53.628:ENFORCEMENT:Predictive Enforcement Action:  Target Number: 00001020  Target Speed:   0.0  Current Speed:   5.4</t>
  </si>
  <si>
    <t>SYS :2017/02/18 18:04:53.824:ENFORCEMENT:Predictive Enforcement Action:  Target Number: 00001020  Target Speed:   0.0  Current Speed:   5.4</t>
  </si>
  <si>
    <t>SYS :2017/02/18 18:04:53.841:ENFORCEMENT:Predictive Enforcement Action:  Target Number: 0000101B  Target Speed:   0.0  Current Speed:   5.4</t>
  </si>
  <si>
    <t>SYS :2017/02/18 18:06:52.603:ENFORCEMENT:Predictive Enforcement Action:  Target Number: 0001705A  Target Speed:   0.0  Current Speed:  20.4</t>
  </si>
  <si>
    <t>SYS :2017/02/18 18:06:52.949:ENFORCEMENT:Predictive Enforcement Action:  Target Number: 0001705A  Target Speed:   0.0  Current Speed:  20.4</t>
  </si>
  <si>
    <t>SYS :2017/02/18 18:06:53.558:ENFORCEMENT:Reactive Enforcement Action:  Target Number: 0001705A  Target Speed:   0.0  Current Speed:  20.3</t>
  </si>
  <si>
    <t>SYS :2017/02/18 18:36:29.933:ENFORCEMENT:Predictive Enforcement Action:  Target Number: 00001009  Target Speed:   0.0  Current Speed:  12.2</t>
  </si>
  <si>
    <t>SYS :2017/02/18 18:36:30.583:ENFORCEMENT:Predictive Enforcement Action:  Target Number: 00001009  Target Speed:   0.0  Current Speed:  11.7</t>
  </si>
  <si>
    <t>SYS :2017/02/18 19:07:48.373:ENFORCEMENT:Predictive Enforcement Action:  Target Number: 00017037  Target Speed:   0.0  Current Speed:  19.3</t>
  </si>
  <si>
    <t>SYS :2017/02/18 19:07:48.959:ENFORCEMENT:Predictive Enforcement Action:  Target Number: 00017037  Target Speed:   0.0  Current Speed:  19.3</t>
  </si>
  <si>
    <t>SYS :2017/02/18 19:07:49.225:ENFORCEMENT:Predictive Enforcement Action:  Target Number: 00017037  Target Speed:   0.0  Current Speed:  19.3</t>
  </si>
  <si>
    <t>SYS :2017/02/18 19:11:56.954:ENFORCEMENT:Predictive Enforcement Action:  Target Number: 0001703C  Target Speed:  33.0  Current Speed:  52.2</t>
  </si>
  <si>
    <t>SYS :2017/02/18 19:11:57.232:ENFORCEMENT:Predictive Enforcement Action:  Target Number: 0001703C  Target Speed:  33.0  Current Speed:  52.2</t>
  </si>
  <si>
    <t>SYS :2017/02/18 19:11:57.378:ENFORCEMENT:Predictive Enforcement Action:  Target Number: 0001703C  Target Speed:  33.0  Current Speed:  51.6</t>
  </si>
  <si>
    <t>SYS :2017/02/18 19:13:59.387:ENFORCEMENT:Predictive Enforcement Action:  Target Number: 000063E0  Target Speed:   0.0  Current Speed:  15.9</t>
  </si>
  <si>
    <t>SYS :2017/02/18 19:13:59.478:ENFORCEMENT:Predictive Enforcement Action:  Target Number: 000063E1  Target Speed:   0.0  Current Speed:  15.9</t>
  </si>
  <si>
    <t>SYS :2017/02/18 19:13:59.514:ENFORCEMENT:Predictive Enforcement Action:  Target Number: 0000638E  Target Speed:   0.0  Current Speed:  15.9</t>
  </si>
  <si>
    <t>SYS :2017/02/18 19:16:59.021:ENFORCEMENT:Predictive Enforcement Action:  Target Number: 000103BA  Target Speed:  55.0  Current Speed:  77.9</t>
  </si>
  <si>
    <t>SYS :2017/02/18 19:16:59.080:ENFORCEMENT:Predictive Enforcement Action:  Target Number: 000103B0  Target Speed:  55.0  Current Speed:  77.9</t>
  </si>
  <si>
    <t>SYS :2017/02/18 19:16:59.107:ENFORCEMENT:Predictive Enforcement Action:  Target Number: 000103D1  Target Speed:  55.0  Current Speed:  77.9</t>
  </si>
  <si>
    <t>SYS :2017/02/18 19:24:24.172:ENFORCEMENT:Predictive Enforcement Action:  Target Number: 00017145  Target Speed:   0.0  Current Speed:  26.2</t>
  </si>
  <si>
    <t>SYS :2017/02/18 19:24:24.219:ENFORCEMENT:Predictive Enforcement Action:  Target Number: 00017145  Target Speed:   0.0  Current Speed:  26.2</t>
  </si>
  <si>
    <t>SYS :2017/02/18 19:24:24.429:ENFORCEMENT:Predictive Enforcement Action:  Target Number: 00017145  Target Speed:   0.0  Current Speed:  26.4</t>
  </si>
  <si>
    <t>SYS :2017/02/18 19:50:09.905:ENFORCEMENT:Predictive Enforcement Action:  Target Number: 0000100F  Target Speed:   0.0  Current Speed:   2.4</t>
  </si>
  <si>
    <t>SYS :2017/02/18 20:21:40.617:ENFORCEMENT:Predictive Enforcement Action:  Target Number: 0001705A  Target Speed:  61.0  Current Speed:  66.5</t>
  </si>
  <si>
    <t>SYS :2017/02/18 20:21:46.817:ENFORCEMENT:Predictive Enforcement Action:  Target Number: 0001705A  Target Speed:   0.0  Current Speed:  54.9</t>
  </si>
  <si>
    <t>SYS :2017/02/18 20:55:07.370:ENFORCEMENT:Predictive Enforcement Action:  Target Number: 0001704C  Target Speed:   0.0  Current Speed:  34.7</t>
  </si>
  <si>
    <t>SYS :2017/02/18 20:55:07.959:ENFORCEMENT:Predictive Enforcement Action:  Target Number: 0001704C  Target Speed:   0.0  Current Speed:  34.5</t>
  </si>
  <si>
    <t>SYS :2017/02/18 20:55:08.219:ENFORCEMENT:Predictive Enforcement Action:  Target Number: 0001704C  Target Speed:   0.0  Current Speed:  34.5</t>
  </si>
  <si>
    <t>SYS :2017/02/18 20:55:29.421:ENFORCEMENT:Predictive Enforcement Action:  Target Number: 0001712C  Target Speed:  25.0  Current Speed:  34.6</t>
  </si>
  <si>
    <t>SYS :2017/02/18 20:55:29.516:ENFORCEMENT:Predictive Enforcement Action:  Target Number: 0001712C  Target Speed:  25.0  Current Speed:  34.6</t>
  </si>
  <si>
    <t>SYS :2017/02/18 20:55:29.557:ENFORCEMENT:Predictive Enforcement Action:  Target Number: 0001712C  Target Speed:  25.0  Current Speed:  34.6</t>
  </si>
  <si>
    <t>SYS :2017/02/18 21:05:13.510:ENFORCEMENT:Predictive Enforcement Action:  Target Number: 00001026  Target Speed:   0.0  Current Speed:   8.6</t>
  </si>
  <si>
    <t>SYS :2017/02/18 21:05:19.400:ENFORCEMENT:Predictive Enforcement Action:  Target Number: 00001026  Target Speed:   0.0  Current Speed:   6.7</t>
  </si>
  <si>
    <t>SYS :2017/02/18 21:05:19.492:ENFORCEMENT:Predictive Enforcement Action:  Target Number: 00001026  Target Speed:   0.0  Current Speed:   6.7</t>
  </si>
  <si>
    <t>SYS :2017/02/18 21:28:26.829:ENFORCEMENT:Predictive Enforcement Action:  Target Number: 00017103  Target Speed:   0.0  Current Speed:  15.3</t>
  </si>
  <si>
    <t>SYS :2017/02/18 21:28:26.860:ENFORCEMENT:Predictive Enforcement Action:  Target Number: 000170D9  Target Speed:   0.0  Current Speed:  15.3</t>
  </si>
  <si>
    <t>SYS :2017/02/18 21:42:00.183:ENFORCEMENT:Predictive Enforcement Action:  Target Number: 00010101  Target Speed:  40.0  Current Speed:  56.0</t>
  </si>
  <si>
    <t>SYS :2017/02/18 21:42:00.244:ENFORCEMENT:Predictive Enforcement Action:  Target Number: 00010101  Target Speed:  40.0  Current Speed:  56.2</t>
  </si>
  <si>
    <t>SYS :2017/02/19 00:17:53.431:ENFORCEMENT:Reactive Enforcement Action:  Target Number: 00010283  Target Speed:  60.0  Current Speed:  65.0</t>
  </si>
  <si>
    <t>SYS :2017/02/19 00:17:54.172:ENFORCEMENT:Reactive Enforcement Action:  Target Number: 00010284  Target Speed:  60.0  Current Speed:  65.0</t>
  </si>
  <si>
    <t>SYS :2017/02/19 00:17:54.222:ENFORCEMENT:Reactive Enforcement Action:  Target Number: 00010283  Target Speed:  60.0  Current Speed:  65.0</t>
  </si>
  <si>
    <t>SYS :2017/02/19 01:42:00.593:ENFORCEMENT:Reactive Enforcement Action:  Target Number: 000170A7  Target Speed:   0.0  Current Speed:  12.4</t>
  </si>
  <si>
    <t>SYS :2017/02/19 01:42:00.806:ENFORCEMENT:Reactive Enforcement Action:  Target Number: 000170A4  Target Speed:   0.0  Current Speed:  12.8</t>
  </si>
  <si>
    <t>SYS :2017/02/19 01:50:40.958:ENFORCEMENT:Predictive Enforcement Action:  Target Number: 00001021  Target Speed:   0.0  Current Speed:   4.8</t>
  </si>
  <si>
    <t>SYS :2017/02/19 01:50:41.472:ENFORCEMENT:Predictive Enforcement Action:  Target Number: 00001021  Target Speed:   0.0  Current Speed:   4.8</t>
  </si>
  <si>
    <t>SYS :2017/02/19 01:50:41.490:ENFORCEMENT:Predictive Enforcement Action:  Target Number: 00001021  Target Speed:   0.0  Current Speed:   4.8</t>
  </si>
  <si>
    <t>SYS :2017/02/19 01:59:07.438:ENFORCEMENT:Predictive Enforcement Action:  Target Number: 0000420A  Target Speed:   0.0  Current Speed:  62.3</t>
  </si>
  <si>
    <t>SYS :2017/02/19 01:59:07.447:ENFORCEMENT:Predictive Enforcement Action:  Target Number: 00004209  Target Speed:   0.0  Current Speed:  62.3</t>
  </si>
  <si>
    <t>SYS :2017/02/19 01:59:08.177:ENFORCEMENT:Predictive Enforcement Action:  Target Number: 0000420A  Target Speed:   0.0  Current Speed:  62.3</t>
  </si>
  <si>
    <t>SYS :2017/02/19 01:59:08.185:ENFORCEMENT:Predictive Enforcement Action:  Target Number: 00004209  Target Speed:   0.0  Current Speed:  62.3</t>
  </si>
  <si>
    <t>SYS :2017/02/19 01:59:08.223:ENFORCEMENT:Predictive Enforcement Action:  Target Number: 0000420A  Target Speed:   0.0  Current Speed:  62.3</t>
  </si>
  <si>
    <t>SYS :2017/02/19 01:59:08.231:ENFORCEMENT:Predictive Enforcement Action:  Target Number: 00004209  Target Speed:   0.0  Current Speed:  62.3</t>
  </si>
  <si>
    <t>SYS :2017/02/19 02:33:45.923:ENFORCEMENT:Reactive Enforcement Action:  Target Number: 000102C8  Target Speed:  70.0  Current Speed:  75.2</t>
  </si>
  <si>
    <t>SYS :2017/02/19 02:33:46.070:ENFORCEMENT:Reactive Enforcement Action:  Target Number: 00010161  Target Speed:  70.0  Current Speed:  75.2</t>
  </si>
  <si>
    <t>SYS :2017/02/19 02:33:46.127:ENFORCEMENT:Reactive Enforcement Action:  Target Number: 000102C8  Target Speed:  70.0  Current Speed:  75.2</t>
  </si>
  <si>
    <t>SYS :2017/02/19 03:08:08.973:ENFORCEMENT:Predictive Enforcement Action:  Target Number: 00017146  Target Speed:   0.0  Current Speed:  15.9</t>
  </si>
  <si>
    <t>SYS :2017/02/19 03:08:09.481:ENFORCEMENT:Predictive Enforcement Action:  Target Number: 00017146  Target Speed:   0.0  Current Speed:  15.6</t>
  </si>
  <si>
    <t>SYS :2017/02/19 03:08:10.509:ENFORCEMENT:Reactive Enforcement Action:  Target Number: 00017146  Target Speed:   0.0  Current Speed:  15.4</t>
  </si>
  <si>
    <t>SYS :2017/02/19 03:46:33.430:ENFORCEMENT:Predictive Enforcement Action:  Target Number: 0001702B  Target Speed:   0.0  Current Speed:  62.6</t>
  </si>
  <si>
    <t>SYS :2017/02/19 03:46:33.845:ENFORCEMENT:Predictive Enforcement Action:  Target Number: 00017192  Target Speed:   0.0  Current Speed:  60.8</t>
  </si>
  <si>
    <t>SYS :2017/02/19 03:46:34.336:ENFORCEMENT:Predictive Enforcement Action:  Target Number: 00017019  Target Speed:   0.0  Current Speed:  60.8</t>
  </si>
  <si>
    <t>SYS :2017/02/19 04:18:54.846:ENFORCEMENT:Predictive Enforcement Action:  Target Number: 0001714F  Target Speed:  63.0  Current Speed:  68.0</t>
  </si>
  <si>
    <t>SYS :2017/02/19 04:18:54.862:ENFORCEMENT:Predictive Enforcement Action:  Target Number: 00017125  Target Speed:  63.0  Current Speed:  68.0</t>
  </si>
  <si>
    <t>SYS :2017/02/19 04:22:36.965:ENFORCEMENT:Reactive Enforcement Action:  Target Number: 0001010C  Target Speed:  40.0  Current Speed:  45.0</t>
  </si>
  <si>
    <t>SYS :2017/02/19 04:22:37.226:ENFORCEMENT:Reactive Enforcement Action:  Target Number: 0001010D  Target Speed:  40.0  Current Speed:  45.0</t>
  </si>
  <si>
    <t>SYS :2017/02/19 04:22:37.367:ENFORCEMENT:Reactive Enforcement Action:  Target Number: 0001010A  Target Speed:  40.0  Current Speed:  45.0</t>
  </si>
  <si>
    <t>SYS :2017/02/19 08:33:28.822:ENFORCEMENT:Predictive Enforcement Action:  Target Number: 00001035  Target Speed:   0.0  Current Speed:  15.7</t>
  </si>
  <si>
    <t>SYS :2017/02/19 08:33:28.843:ENFORCEMENT:Predictive Enforcement Action:  Target Number: 0000102F  Target Speed:   0.0  Current Speed:  15.7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</si>
</sst>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0"/>
  <sheetViews>
    <sheetView topLeftCell="A175" zoomScaleNormal="100" workbookViewId="0">
      <selection activeCell="P74" sqref="P7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42784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COUNTIFS($N$13:$N$9344,"&gt;0",$AG$13:$AG$9344,I1)</f>
        <v>140</v>
      </c>
      <c r="K5" s="40"/>
      <c r="L5" s="40"/>
      <c r="M5" s="41">
        <f>AVERAGEIFS($N$13:$N$9344,$AG$13:$AG$9344,I1)</f>
        <v>38.419404761990464</v>
      </c>
      <c r="N5" s="39">
        <f t="array" ref="N5">MIN(IF($AG$13:$AG$9344=I1,IF(ISNUMBER($N$13:$N$9344),IF($N$13:$N$9344&gt;0,$N$13:$N$9344))))</f>
        <v>33.816666671773419</v>
      </c>
      <c r="O5" s="3">
        <f t="array" ref="O5">MAX(IF($AG$13:$AG$9344=I1,IF(ISNUMBER($N$13:$N$9344),IF($N$13:$N$9344&gt;0,$N$13:$N$9344))))</f>
        <v>56.28333333064802</v>
      </c>
      <c r="P5" s="2"/>
      <c r="R5" s="74" t="s">
        <v>17</v>
      </c>
      <c r="S5" s="50">
        <f>COUNTIFS($N$13:$N$9344,"&gt;0",$AG$13:$AG$9344,R1)</f>
        <v>34</v>
      </c>
      <c r="T5" s="40"/>
      <c r="U5" s="178"/>
      <c r="V5" s="175">
        <f>AVERAGEIFS($N$13:$N$9344,$AG$13:$AG$9344,R1)</f>
        <v>14.112745097304201</v>
      </c>
      <c r="W5" s="176">
        <f t="array" ref="W5">MIN(IF($AG$13:$AG$9344=R1,IF(ISNUMBER($N$13:$N$9344),IF($N$13:$N$9344&gt;0,$N$13:$N$9344))))</f>
        <v>12.633333331905305</v>
      </c>
      <c r="X5" s="177">
        <f t="array" ref="X5">MAX(IF($AG$13:$AG$9344=R1,IF(ISNUMBER($N$13:$N$9344),IF($N$13:$N$9344&gt;0,$N$13:$N$9344))))</f>
        <v>16.249999995343387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8"/>
      <c r="V6" s="175">
        <f>IFERROR(AVERAGE($O$13:$O$111),0)</f>
        <v>0</v>
      </c>
      <c r="W6" s="176">
        <f>MIN($O$13:$O$111)</f>
        <v>0</v>
      </c>
      <c r="X6" s="177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COUNTIFS($P$13:$P$9344,"&gt;0",$AG$13:$AG$9344,I1)</f>
        <v>6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COUNTIFS($P$13:$P$9344,"&gt;0",$AG$13:$AG$9344,R1)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38.419404761990464</v>
      </c>
      <c r="N8" s="39">
        <f>N5</f>
        <v>33.816666671773419</v>
      </c>
      <c r="O8" s="3">
        <f>O5</f>
        <v>56.28333333064802</v>
      </c>
      <c r="P8" s="2"/>
      <c r="R8" s="74" t="s">
        <v>16</v>
      </c>
      <c r="S8" s="50">
        <f>S5</f>
        <v>34</v>
      </c>
      <c r="T8" s="40"/>
      <c r="U8" s="178"/>
      <c r="V8" s="175">
        <f>V5</f>
        <v>14.112745097304201</v>
      </c>
      <c r="W8" s="176">
        <f>W5</f>
        <v>12.633333331905305</v>
      </c>
      <c r="X8" s="177">
        <f>X5</f>
        <v>16.249999995343387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0.95890410958904104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- 2017-02-18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AVERAGE(S13:S81)</f>
        <v>0.95588235294117652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210</v>
      </c>
      <c r="AN12" s="47" t="s">
        <v>221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504</v>
      </c>
      <c r="B13" s="7">
        <v>4053</v>
      </c>
      <c r="C13" s="21" t="s">
        <v>680</v>
      </c>
      <c r="D13" s="21" t="s">
        <v>681</v>
      </c>
      <c r="E13" s="13">
        <v>42784.128969907404</v>
      </c>
      <c r="F13" s="13">
        <v>42784.135613425926</v>
      </c>
      <c r="G13" s="7">
        <v>1</v>
      </c>
      <c r="H13" s="21" t="s">
        <v>682</v>
      </c>
      <c r="I13" s="13">
        <v>42784.162569444445</v>
      </c>
      <c r="J13" s="7">
        <v>0</v>
      </c>
      <c r="K13" s="98" t="str">
        <f t="shared" ref="K13:K22" si="0">IF(ISEVEN(B13),(B13-1)&amp;"/"&amp;B13,B13&amp;"/"&amp;(B13+1))</f>
        <v>4053/4054</v>
      </c>
      <c r="L13" s="21" t="str">
        <f>VLOOKUP(A13,'Trips&amp;Operators'!$C$1:$G$99999,5,FALSE)</f>
        <v>BADERTSCHER DIANE</v>
      </c>
      <c r="M13" s="6">
        <f t="shared" ref="M13:M22" si="1">I13-F13</f>
        <v>2.6956018518831115E-2</v>
      </c>
      <c r="N13" s="7">
        <f t="shared" ref="N13:N22" si="2">24*60*SUM($M13:$M13)</f>
        <v>38.816666667116806</v>
      </c>
      <c r="O13" s="7"/>
      <c r="P13" s="7"/>
      <c r="Q13" s="22"/>
      <c r="R13" s="22"/>
      <c r="S13" s="31">
        <f t="shared" ref="S13:S22" si="3">SUM(U13:U13)/IF(AG13="EC",12,1)</f>
        <v>1</v>
      </c>
      <c r="T13" s="46" t="str">
        <f t="shared" ref="T13:T22" si="4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-18T02:05:43-0700',mode:absolute,to:'2017-02-18T04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" s="188" t="str">
        <f t="shared" ref="W13:W22" si="6">IF(AA13&lt;IF(AG13="EC",23,5.65),"Y","N")</f>
        <v>N</v>
      </c>
      <c r="X13" s="188" t="e">
        <f t="shared" ref="X13:X22" si="7">VALUE(LEFT(AD13,4))-VALUE(LEFT(AD12,4))</f>
        <v>#VALUE!</v>
      </c>
      <c r="Y13" s="62">
        <f t="shared" ref="Y13:Y22" si="8">RIGHT(D13,LEN(D13)-4)/10000</f>
        <v>7.5499999999999998E-2</v>
      </c>
      <c r="Z13" s="62">
        <f t="shared" ref="Z13:Z22" si="9">RIGHT(H13,LEN(H13)-4)/10000</f>
        <v>23.3261</v>
      </c>
      <c r="AA13" s="62">
        <f t="shared" ref="AA13:AA22" si="10">ABS(Z13-Y13)</f>
        <v>23.250599999999999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22" si="11">IF(LEN(A13)=6,"0"&amp;A13,A13)</f>
        <v>0101-18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/stypes="app*4053*20170218*" /stext=" 10:.+((SYSTEM_STATE.+slice.+state.+changed )|(ment ac)|(multiple cpu faults)|(system.+state.+changed )|(\[timeout)|(PRM\|1\|D)|(kpr)|(kdp)|(\|lc)|(penalty))" /e /r /s</v>
      </c>
      <c r="AG13" s="1" t="str">
        <f t="shared" ref="AG13:AG22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101-18 --locoid 4053 --swversion DE.1.0.9.0 --startMP 204:755 --initTime 2017-02-18T03:05:43 --startdatetime 2017-02-18T03:15:17 --delay 1 --endMP 204:233261 --enddatetime 2017-02-18T03:54:06 --enforcementcount 0 &gt;&gt;C:\Users\stu\Documents\GitHub\eaglep3-reporting\EC\2017-02-18-refined-times.txt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{"issue":{"subject":"","project_id":79,"tracker_id":40,"status_id":1,"priority_id":2,"assigned_to_id":23,"start_date":"2017-02-18","description":"","custom_fields":[{"id":1,"name":"Subdivision","value":"EC"},{"id":4,"name":"Milepost","value":"23.3261"},{"id":17,"name":"Train ID","value":"101-18"},{"id":16,"name":"Locomotive ID","value":"4053"},{"id":130,"name":"Impact","value":""},{"id":150,"name":"Time of Event (Mountain Time)","value":"03:54:06"},{"id":151,"name":"Denver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4053 --day 2017-02-18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510</v>
      </c>
      <c r="B14" s="7">
        <v>4013</v>
      </c>
      <c r="C14" s="21" t="s">
        <v>680</v>
      </c>
      <c r="D14" s="21" t="s">
        <v>683</v>
      </c>
      <c r="E14" s="13">
        <v>42784.164756944447</v>
      </c>
      <c r="F14" s="13">
        <v>42784.174502314818</v>
      </c>
      <c r="G14" s="7">
        <v>2</v>
      </c>
      <c r="H14" s="21" t="s">
        <v>294</v>
      </c>
      <c r="I14" s="13">
        <v>42784.202372685184</v>
      </c>
      <c r="J14" s="7">
        <v>0</v>
      </c>
      <c r="K14" s="98" t="str">
        <f t="shared" si="0"/>
        <v>4013/4014</v>
      </c>
      <c r="L14" s="21" t="str">
        <f>VLOOKUP(A14,'Trips&amp;Operators'!$C$1:$G$99999,5,FALSE)</f>
        <v>BADERTSCHER DIANE</v>
      </c>
      <c r="M14" s="6">
        <f t="shared" si="1"/>
        <v>2.7870370366144925E-2</v>
      </c>
      <c r="N14" s="7">
        <f t="shared" si="2"/>
        <v>40.133333327248693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 t="shared" si="5"/>
        <v>https://d0f6bd738d7f1b3e5a7ca70fe4ff75f0.us-east-1.aws.found.io/app/kibana#/discover/Steve-Slow-Train-Analysis-(2080s-and-2083s)?_g=(refreshInterval:(display:Off,pause:!f,section:0,value:0),time:(from:'2017-02-18T02:57:15-0700',mode:absolute,to:'2017-02-18T05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88" t="str">
        <f t="shared" si="6"/>
        <v>N</v>
      </c>
      <c r="X14" s="188">
        <f t="shared" si="7"/>
        <v>1</v>
      </c>
      <c r="Y14" s="62">
        <f t="shared" si="8"/>
        <v>23.2638</v>
      </c>
      <c r="Z14" s="62">
        <f t="shared" si="9"/>
        <v>1.3599999999999999E-2</v>
      </c>
      <c r="AA14" s="62">
        <f t="shared" si="10"/>
        <v>23.2502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0102-18</v>
      </c>
      <c r="AE14" s="85" t="str">
        <f t="shared" si="12"/>
        <v>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 &amp; 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</v>
      </c>
      <c r="AF14" s="82" t="str">
        <f t="shared" si="13"/>
        <v>"C:\Program Files (x86)\AstroGrep\AstroGrep.exe" /spath="%USERPROFILE%\AppData\Local\Temp\OnboardLogs" /stypes="app*4013*20170218*"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80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102-18 --locoid 4013 --swversion DE.1.0.9.0 --startMP 204:232638 --initTime 2017-02-18T03:57:15 --startdatetime 2017-02-18T04:11:17 --delay 2 --endMP 204:136 --enddatetime 2017-02-18T04:51:25 --enforcementcount 0 &gt;&gt;C:\Users\stu\Documents\GitHub\eaglep3-reporting\EC\2017-02-18-refined-times.txt</v>
      </c>
      <c r="AI14" s="108" t="str">
        <f t="shared" ref="AI14:AI80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{"issue":{"subject":"","project_id":79,"tracker_id":40,"status_id":1,"priority_id":2,"assigned_to_id":23,"start_date":"2017-02-18","description":"","custom_fields":[{"id":1,"name":"Subdivision","value":"EC"},{"id":4,"name":"Milepost","value":"0.0136"},{"id":17,"name":"Train ID","value":"102-18"},{"id":16,"name":"Locomotive ID","value":"4013"},{"id":130,"name":"Impact","value":""},{"id":150,"name":"Time of Event (Mountain Time)","value":"04:51:25"},{"id":151,"name":"Denver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80" si="20">"start /low /b "&amp;dls3logs&amp;" --loco "&amp;B14&amp;" --day "&amp;TEXT(F14,"YYYY-MM-DD")</f>
        <v>start /low /b %USERPROFILE%\Documents\GitHub\eaglep3\Utilities\DownloadLogsFromS3.py --loco 4013 --day 2017-02-18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"%USERPROFILE%\AppData\Local\Temp\OnboardLogs"\RTDC4013\*4013*20170218* | grep -SE "(Enforcement Action)|(\[TIMEOUT)|(CHR.+\|PRM\|1\|D.+(SWITCH|SIGNAL).+UNKNOWN)" - &gt;&gt; 2017-02-18-UncaughtWiMAX.txt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506</v>
      </c>
      <c r="B15" s="7">
        <v>4016</v>
      </c>
      <c r="C15" s="21" t="s">
        <v>680</v>
      </c>
      <c r="D15" s="21" t="s">
        <v>684</v>
      </c>
      <c r="E15" s="13">
        <v>42784.146261574075</v>
      </c>
      <c r="F15" s="13">
        <v>42784.156597222223</v>
      </c>
      <c r="G15" s="7">
        <v>2</v>
      </c>
      <c r="H15" s="21" t="s">
        <v>314</v>
      </c>
      <c r="I15" s="13">
        <v>42784.18240740741</v>
      </c>
      <c r="J15" s="7">
        <v>0</v>
      </c>
      <c r="K15" s="98" t="str">
        <f t="shared" si="0"/>
        <v>4015/4016</v>
      </c>
      <c r="L15" s="21" t="str">
        <f>VLOOKUP(A15,'Trips&amp;Operators'!$C$1:$G$99999,5,FALSE)</f>
        <v>ROBINSON KADDIBA</v>
      </c>
      <c r="M15" s="6">
        <f t="shared" si="1"/>
        <v>2.5810185186855961E-2</v>
      </c>
      <c r="N15" s="7">
        <f t="shared" si="2"/>
        <v>37.166666669072583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5"/>
        <v>https://d0f6bd738d7f1b3e5a7ca70fe4ff75f0.us-east-1.aws.found.io/app/kibana#/discover/Steve-Slow-Train-Analysis-(2080s-and-2083s)?_g=(refreshInterval:(display:Off,pause:!f,section:0,value:0),time:(from:'2017-02-18T02:30:37-0700',mode:absolute,to:'2017-02-18T05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188" t="str">
        <f t="shared" si="6"/>
        <v>N</v>
      </c>
      <c r="X15" s="188">
        <f t="shared" si="7"/>
        <v>1</v>
      </c>
      <c r="Y15" s="62">
        <f t="shared" si="8"/>
        <v>7.4399999999999994E-2</v>
      </c>
      <c r="Z15" s="62">
        <f t="shared" si="9"/>
        <v>23.3306</v>
      </c>
      <c r="AA15" s="62">
        <f t="shared" si="10"/>
        <v>23.2562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0103-18</v>
      </c>
      <c r="AE15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15" s="82" t="str">
        <f t="shared" si="13"/>
        <v>"C:\Program Files (x86)\AstroGrep\AstroGrep.exe" /spath="%USERPROFILE%\AppData\Local\Temp\OnboardLogs" /stypes="app*4016*20170218*"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103-18 --locoid 4016 --swversion DE.1.0.9.0 --startMP 204:744 --initTime 2017-02-18T03:30:37 --startdatetime 2017-02-18T03:45:30 --delay 2 --endMP 204:233306 --enddatetime 2017-02-18T04:22:40 --enforcementcount 0 &gt;&gt;C:\Users\stu\Documents\GitHub\eaglep3-reporting\EC\2017-02-18-refined-times.txt</v>
      </c>
      <c r="AI1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{"issue":{"subject":"","project_id":79,"tracker_id":40,"status_id":1,"priority_id":2,"assigned_to_id":23,"start_date":"2017-02-18","description":"","custom_fields":[{"id":1,"name":"Subdivision","value":"EC"},{"id":4,"name":"Milepost","value":"23.3306"},{"id":17,"name":"Train ID","value":"103-18"},{"id":16,"name":"Locomotive ID","value":"4016"},{"id":130,"name":"Impact","value":""},{"id":150,"name":"Time of Event (Mountain Time)","value":"04:22:40"},{"id":151,"name":"Denver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4016 --day 2017-02-18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515</v>
      </c>
      <c r="B16" s="7">
        <v>4028</v>
      </c>
      <c r="C16" s="21" t="s">
        <v>680</v>
      </c>
      <c r="D16" s="21" t="s">
        <v>685</v>
      </c>
      <c r="E16" s="13">
        <v>42784.189340277779</v>
      </c>
      <c r="F16" s="13">
        <v>42784.195324074077</v>
      </c>
      <c r="G16" s="7">
        <v>0</v>
      </c>
      <c r="H16" s="21" t="s">
        <v>308</v>
      </c>
      <c r="I16" s="13">
        <v>42784.222581018519</v>
      </c>
      <c r="J16" s="7">
        <v>0</v>
      </c>
      <c r="K16" s="98" t="str">
        <f t="shared" si="0"/>
        <v>4027/4028</v>
      </c>
      <c r="L16" s="21" t="str">
        <f>VLOOKUP(A16,'Trips&amp;Operators'!$C$1:$G$99999,5,FALSE)</f>
        <v>ROBINSON KADDIBA</v>
      </c>
      <c r="M16" s="6">
        <f t="shared" si="1"/>
        <v>2.7256944442342501E-2</v>
      </c>
      <c r="N16" s="7">
        <f t="shared" si="2"/>
        <v>39.249999996973202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5"/>
        <v>https://d0f6bd738d7f1b3e5a7ca70fe4ff75f0.us-east-1.aws.found.io/app/kibana#/discover/Steve-Slow-Train-Analysis-(2080s-and-2083s)?_g=(refreshInterval:(display:Off,pause:!f,section:0,value:0),time:(from:'2017-02-18T03:32:39-0700',mode:absolute,to:'2017-02-18T06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" s="188" t="str">
        <f t="shared" si="6"/>
        <v>N</v>
      </c>
      <c r="X16" s="188">
        <f t="shared" si="7"/>
        <v>1</v>
      </c>
      <c r="Y16" s="62">
        <f t="shared" si="8"/>
        <v>23.2668</v>
      </c>
      <c r="Z16" s="62">
        <f t="shared" si="9"/>
        <v>1.7000000000000001E-2</v>
      </c>
      <c r="AA16" s="62">
        <f t="shared" si="10"/>
        <v>23.2498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0104-18</v>
      </c>
      <c r="AE16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6" s="82" t="str">
        <f t="shared" si="13"/>
        <v>"C:\Program Files (x86)\AstroGrep\AstroGrep.exe" /spath="%USERPROFILE%\AppData\Local\Temp\OnboardLogs" /stypes="app*4028*20170218*"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104-18 --locoid 4028 --swversion DE.1.0.9.0 --startMP 204:232668 --initTime 2017-02-18T04:32:39 --startdatetime 2017-02-18T04:41:16 --delay 0 --endMP 204:170 --enddatetime 2017-02-18T05:20:31 --enforcementcount 0 &gt;&gt;C:\Users\stu\Documents\GitHub\eaglep3-reporting\EC\2017-02-18-refined-times.txt</v>
      </c>
      <c r="AI1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{"issue":{"subject":"","project_id":79,"tracker_id":40,"status_id":1,"priority_id":2,"assigned_to_id":23,"start_date":"2017-02-18","description":"","custom_fields":[{"id":1,"name":"Subdivision","value":"EC"},{"id":4,"name":"Milepost","value":"0.017"},{"id":17,"name":"Train ID","value":"104-18"},{"id":16,"name":"Locomotive ID","value":"4028"},{"id":130,"name":"Impact","value":""},{"id":150,"name":"Time of Event (Mountain Time)","value":"05:20:31"},{"id":151,"name":"Denver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4028 --day 2017-02-18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438</v>
      </c>
      <c r="B17" s="7">
        <v>4022</v>
      </c>
      <c r="C17" s="21" t="s">
        <v>680</v>
      </c>
      <c r="D17" s="21" t="s">
        <v>686</v>
      </c>
      <c r="E17" s="13">
        <v>42784.170682870368</v>
      </c>
      <c r="F17" s="13">
        <v>42784.177361111113</v>
      </c>
      <c r="G17" s="7">
        <v>1</v>
      </c>
      <c r="H17" s="21" t="s">
        <v>415</v>
      </c>
      <c r="I17" s="13">
        <v>42784.203321759262</v>
      </c>
      <c r="J17" s="7">
        <v>0</v>
      </c>
      <c r="K17" s="98" t="str">
        <f t="shared" si="0"/>
        <v>4021/4022</v>
      </c>
      <c r="L17" s="21" t="str">
        <f>VLOOKUP(A17,'Trips&amp;Operators'!$C$1:$G$99999,5,FALSE)</f>
        <v>MAELZER KURT</v>
      </c>
      <c r="M17" s="6">
        <f t="shared" si="1"/>
        <v>2.5960648148611654E-2</v>
      </c>
      <c r="N17" s="7">
        <f t="shared" si="2"/>
        <v>37.383333334000781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 t="shared" si="5"/>
        <v>https://d0f6bd738d7f1b3e5a7ca70fe4ff75f0.us-east-1.aws.found.io/app/kibana#/discover/Steve-Slow-Train-Analysis-(2080s-and-2083s)?_g=(refreshInterval:(display:Off,pause:!f,section:0,value:0),time:(from:'2017-02-18T03:05:47-0700',mode:absolute,to:'2017-02-18T05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" s="188" t="str">
        <f t="shared" si="6"/>
        <v>N</v>
      </c>
      <c r="X17" s="188">
        <f t="shared" si="7"/>
        <v>1</v>
      </c>
      <c r="Y17" s="62">
        <f t="shared" si="8"/>
        <v>7.6300000000000007E-2</v>
      </c>
      <c r="Z17" s="62">
        <f t="shared" si="9"/>
        <v>23.334199999999999</v>
      </c>
      <c r="AA17" s="62">
        <f t="shared" si="10"/>
        <v>23.257899999999999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0105-18</v>
      </c>
      <c r="AE17" s="85" t="str">
        <f t="shared" si="12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7" s="82" t="str">
        <f t="shared" si="13"/>
        <v>"C:\Program Files (x86)\AstroGrep\AstroGrep.exe" /spath="%USERPROFILE%\AppData\Local\Temp\OnboardLogs" /stypes="app*4022*20170218*"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105-18 --locoid 4022 --swversion DE.1.0.9.0 --startMP 204:763 --initTime 2017-02-18T04:05:47 --startdatetime 2017-02-18T04:15:24 --delay 1 --endMP 204:233342 --enddatetime 2017-02-18T04:52:47 --enforcementcount 0 &gt;&gt;C:\Users\stu\Documents\GitHub\eaglep3-reporting\EC\2017-02-18-refined-times.txt</v>
      </c>
      <c r="AI1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{"issue":{"subject":"","project_id":79,"tracker_id":40,"status_id":1,"priority_id":2,"assigned_to_id":23,"start_date":"2017-02-18","description":"","custom_fields":[{"id":1,"name":"Subdivision","value":"EC"},{"id":4,"name":"Milepost","value":"23.3342"},{"id":17,"name":"Train ID","value":"105-18"},{"id":16,"name":"Locomotive ID","value":"4022"},{"id":130,"name":"Impact","value":""},{"id":150,"name":"Time of Event (Mountain Time)","value":"04:52:47"},{"id":151,"name":"Denver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4022 --day 2017-02-18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"%USERPROFILE%\AppData\Local\Temp\OnboardLogs"\RTDC4022\*4022*20170218* | grep -SE "(Enforcement Action)|(\[TIMEOUT)|(CHR.+\|PRM\|1\|D.+(SWITCH|SIGNAL).+UNKNOWN)" - &gt;&gt; 2017-02-18-UncaughtWiMAX.txt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517</v>
      </c>
      <c r="B18" s="7">
        <v>4030</v>
      </c>
      <c r="C18" s="21" t="s">
        <v>680</v>
      </c>
      <c r="D18" s="21" t="s">
        <v>687</v>
      </c>
      <c r="E18" s="13">
        <v>42784.214074074072</v>
      </c>
      <c r="F18" s="13">
        <v>42784.21634259259</v>
      </c>
      <c r="G18" s="7">
        <v>1</v>
      </c>
      <c r="H18" s="21" t="s">
        <v>264</v>
      </c>
      <c r="I18" s="13">
        <v>42784.243217592593</v>
      </c>
      <c r="J18" s="7">
        <v>0</v>
      </c>
      <c r="K18" s="98" t="str">
        <f t="shared" si="0"/>
        <v>4029/4030</v>
      </c>
      <c r="L18" s="21" t="str">
        <f>VLOOKUP(A18,'Trips&amp;Operators'!$C$1:$G$99999,5,FALSE)</f>
        <v>MAELZER KURT</v>
      </c>
      <c r="M18" s="6">
        <f t="shared" si="1"/>
        <v>2.6875000003201421E-2</v>
      </c>
      <c r="N18" s="7">
        <f t="shared" si="2"/>
        <v>38.700000004610047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 t="shared" si="5"/>
        <v>https://d0f6bd738d7f1b3e5a7ca70fe4ff75f0.us-east-1.aws.found.io/app/kibana#/discover/Steve-Slow-Train-Analysis-(2080s-and-2083s)?_g=(refreshInterval:(display:Off,pause:!f,section:0,value:0),time:(from:'2017-02-18T04:08:16-0700',mode:absolute,to:'2017-02-18T06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188" t="str">
        <f t="shared" si="6"/>
        <v>N</v>
      </c>
      <c r="X18" s="188">
        <f t="shared" si="7"/>
        <v>1</v>
      </c>
      <c r="Y18" s="62">
        <f t="shared" si="8"/>
        <v>23.2713</v>
      </c>
      <c r="Z18" s="62">
        <f t="shared" si="9"/>
        <v>1.3899999999999999E-2</v>
      </c>
      <c r="AA18" s="62">
        <f t="shared" si="10"/>
        <v>23.257400000000001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0106-18</v>
      </c>
      <c r="AE18" s="85" t="str">
        <f t="shared" si="12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8" s="82" t="str">
        <f t="shared" si="13"/>
        <v>"C:\Program Files (x86)\AstroGrep\AstroGrep.exe" /spath="%USERPROFILE%\AppData\Local\Temp\OnboardLogs" /stypes="app*4030*20170218*"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106-18 --locoid 4030 --swversion DE.1.0.9.0 --startMP 204:232713 --initTime 2017-02-18T05:08:16 --startdatetime 2017-02-18T05:11:32 --delay 1 --endMP 204:139 --enddatetime 2017-02-18T05:50:14 --enforcementcount 0 &gt;&gt;C:\Users\stu\Documents\GitHub\eaglep3-reporting\EC\2017-02-18-refined-times.txt</v>
      </c>
      <c r="AI1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ID","value":"106-18"},{"id":16,"name":"Locomotive ID","value":"4030"},{"id":130,"name":"Impact","value":""},{"id":150,"name":"Time of Event (Mountain Time)","value":"05:50:14"},{"id":151,"name":"Denver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4030 --day 2017-02-18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514</v>
      </c>
      <c r="B19" s="7">
        <v>4018</v>
      </c>
      <c r="C19" s="21" t="s">
        <v>680</v>
      </c>
      <c r="D19" s="21" t="s">
        <v>272</v>
      </c>
      <c r="E19" s="13">
        <v>42784.184027777781</v>
      </c>
      <c r="F19" s="13">
        <v>42784.187708333331</v>
      </c>
      <c r="G19" s="7">
        <v>2</v>
      </c>
      <c r="H19" s="21" t="s">
        <v>354</v>
      </c>
      <c r="I19" s="13">
        <v>42784.212962962964</v>
      </c>
      <c r="J19" s="7">
        <v>0</v>
      </c>
      <c r="K19" s="98" t="str">
        <f t="shared" si="0"/>
        <v>4017/4018</v>
      </c>
      <c r="L19" s="21" t="str">
        <f>VLOOKUP(A19,'Trips&amp;Operators'!$C$1:$G$99999,5,FALSE)</f>
        <v>SANTIZO D. EDY</v>
      </c>
      <c r="M19" s="6">
        <f t="shared" si="1"/>
        <v>2.5254629632399883E-2</v>
      </c>
      <c r="N19" s="7">
        <f t="shared" si="2"/>
        <v>36.366666670655832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 t="shared" si="5"/>
        <v>https://d0f6bd738d7f1b3e5a7ca70fe4ff75f0.us-east-1.aws.found.io/app/kibana#/discover/Steve-Slow-Train-Analysis-(2080s-and-2083s)?_g=(refreshInterval:(display:Off,pause:!f,section:0,value:0),time:(from:'2017-02-18T03:25:00-0700',mode:absolute,to:'2017-02-18T06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188" t="str">
        <f t="shared" si="6"/>
        <v>N</v>
      </c>
      <c r="X19" s="188">
        <f t="shared" si="7"/>
        <v>1</v>
      </c>
      <c r="Y19" s="62">
        <f t="shared" si="8"/>
        <v>4.6399999999999997E-2</v>
      </c>
      <c r="Z19" s="62">
        <f t="shared" si="9"/>
        <v>23.330500000000001</v>
      </c>
      <c r="AA19" s="62">
        <f t="shared" si="10"/>
        <v>23.284100000000002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0107-18</v>
      </c>
      <c r="AE19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9" s="82" t="str">
        <f t="shared" si="13"/>
        <v>"C:\Program Files (x86)\AstroGrep\AstroGrep.exe" /spath="%USERPROFILE%\AppData\Local\Temp\OnboardLogs" /stypes="app*4018*20170218*"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107-18 --locoid 4018 --swversion DE.1.0.9.0 --startMP 204:464 --initTime 2017-02-18T04:25:00 --startdatetime 2017-02-18T04:30:18 --delay 2 --endMP 204:233305 --enddatetime 2017-02-18T05:06:40 --enforcementcount 0 &gt;&gt;C:\Users\stu\Documents\GitHub\eaglep3-reporting\EC\2017-02-18-refined-times.txt</v>
      </c>
      <c r="AI1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{"issue":{"subject":"","project_id":79,"tracker_id":40,"status_id":1,"priority_id":2,"assigned_to_id":23,"start_date":"2017-02-18","description":"","custom_fields":[{"id":1,"name":"Subdivision","value":"EC"},{"id":4,"name":"Milepost","value":"23.3305"},{"id":17,"name":"Train ID","value":"107-18"},{"id":16,"name":"Locomotive ID","value":"4018"},{"id":130,"name":"Impact","value":""},{"id":150,"name":"Time of Event (Mountain Time)","value":"05:06:40"},{"id":151,"name":"Denver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4018 --day 2017-02-18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519</v>
      </c>
      <c r="B20" s="7">
        <v>4017</v>
      </c>
      <c r="C20" s="21" t="s">
        <v>680</v>
      </c>
      <c r="D20" s="21" t="s">
        <v>298</v>
      </c>
      <c r="E20" s="13">
        <v>42784.219942129632</v>
      </c>
      <c r="F20" s="13">
        <v>42784.226550925923</v>
      </c>
      <c r="G20" s="7">
        <v>2</v>
      </c>
      <c r="H20" s="21" t="s">
        <v>362</v>
      </c>
      <c r="I20" s="13">
        <v>42784.255069444444</v>
      </c>
      <c r="J20" s="7">
        <v>0</v>
      </c>
      <c r="K20" s="98" t="str">
        <f t="shared" si="0"/>
        <v>4017/4018</v>
      </c>
      <c r="L20" s="21" t="str">
        <f>VLOOKUP(A20,'Trips&amp;Operators'!$C$1:$G$99999,5,FALSE)</f>
        <v>SANTIZO D. EDY</v>
      </c>
      <c r="M20" s="6">
        <f t="shared" si="1"/>
        <v>2.8518518520286307E-2</v>
      </c>
      <c r="N20" s="7">
        <f t="shared" si="2"/>
        <v>41.066666669212282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 t="shared" si="5"/>
        <v>https://d0f6bd738d7f1b3e5a7ca70fe4ff75f0.us-east-1.aws.found.io/app/kibana#/discover/Steve-Slow-Train-Analysis-(2080s-and-2083s)?_g=(refreshInterval:(display:Off,pause:!f,section:0,value:0),time:(from:'2017-02-18T04:16:43-0700',mode:absolute,to:'2017-02-18T07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188" t="str">
        <f t="shared" si="6"/>
        <v>N</v>
      </c>
      <c r="X20" s="188">
        <f t="shared" si="7"/>
        <v>1</v>
      </c>
      <c r="Y20" s="62">
        <f t="shared" si="8"/>
        <v>23.299199999999999</v>
      </c>
      <c r="Z20" s="62">
        <f t="shared" si="9"/>
        <v>1.2999999999999999E-2</v>
      </c>
      <c r="AA20" s="62">
        <f t="shared" si="10"/>
        <v>23.286199999999997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0108-18</v>
      </c>
      <c r="AE20" s="85" t="str">
        <f t="shared" si="12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20" s="82" t="str">
        <f t="shared" si="13"/>
        <v>"C:\Program Files (x86)\AstroGrep\AstroGrep.exe" /spath="%USERPROFILE%\AppData\Local\Temp\OnboardLogs" /stypes="app*4017*20170218*"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108-18 --locoid 4017 --swversion DE.1.0.9.0 --startMP 204:232992 --initTime 2017-02-18T05:16:43 --startdatetime 2017-02-18T05:26:14 --delay 2 --endMP 204:130 --enddatetime 2017-02-18T06:07:18 --enforcementcount 0 &gt;&gt;C:\Users\stu\Documents\GitHub\eaglep3-reporting\EC\2017-02-18-refined-times.txt</v>
      </c>
      <c r="AI2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{"issue":{"subject":"","project_id":79,"tracker_id":40,"status_id":1,"priority_id":2,"assigned_to_id":23,"start_date":"2017-02-18","description":"","custom_fields":[{"id":1,"name":"Subdivision","value":"EC"},{"id":4,"name":"Milepost","value":"0.013"},{"id":17,"name":"Train ID","value":"108-18"},{"id":16,"name":"Locomotive ID","value":"4017"},{"id":130,"name":"Impact","value":""},{"id":150,"name":"Time of Event (Mountain Time)","value":"06:07:18"},{"id":151,"name":"Denver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4017 --day 2017-02-18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516</v>
      </c>
      <c r="B21" s="7">
        <v>4007</v>
      </c>
      <c r="C21" s="21" t="s">
        <v>680</v>
      </c>
      <c r="D21" s="21" t="s">
        <v>286</v>
      </c>
      <c r="E21" s="13">
        <v>42784.194675925923</v>
      </c>
      <c r="F21" s="13">
        <v>42784.198344907411</v>
      </c>
      <c r="G21" s="7">
        <v>1</v>
      </c>
      <c r="H21" s="21" t="s">
        <v>688</v>
      </c>
      <c r="I21" s="13">
        <v>42784.22552083333</v>
      </c>
      <c r="J21" s="7">
        <v>0</v>
      </c>
      <c r="K21" s="98" t="str">
        <f t="shared" si="0"/>
        <v>4007/4008</v>
      </c>
      <c r="L21" s="21" t="str">
        <f>VLOOKUP(A21,'Trips&amp;Operators'!$C$1:$G$99999,5,FALSE)</f>
        <v>BRANDNER MELINDA</v>
      </c>
      <c r="M21" s="6">
        <f t="shared" si="1"/>
        <v>2.717592591943685E-2</v>
      </c>
      <c r="N21" s="7">
        <f t="shared" si="2"/>
        <v>39.133333323989064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 t="shared" si="5"/>
        <v>https://d0f6bd738d7f1b3e5a7ca70fe4ff75f0.us-east-1.aws.found.io/app/kibana#/discover/Steve-Slow-Train-Analysis-(2080s-and-2083s)?_g=(refreshInterval:(display:Off,pause:!f,section:0,value:0),time:(from:'2017-02-18T03:40:20-0700',mode:absolute,to:'2017-02-18T06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" s="188" t="str">
        <f t="shared" si="6"/>
        <v>N</v>
      </c>
      <c r="X21" s="188">
        <f t="shared" si="7"/>
        <v>1</v>
      </c>
      <c r="Y21" s="62">
        <f t="shared" si="8"/>
        <v>4.3999999999999997E-2</v>
      </c>
      <c r="Z21" s="62">
        <f t="shared" si="9"/>
        <v>23.33</v>
      </c>
      <c r="AA21" s="62">
        <f t="shared" si="10"/>
        <v>23.285999999999998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0109-18</v>
      </c>
      <c r="AE21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21" s="82" t="str">
        <f t="shared" si="13"/>
        <v>"C:\Program Files (x86)\AstroGrep\AstroGrep.exe" /spath="%USERPROFILE%\AppData\Local\Temp\OnboardLogs" /stypes="app*4007*20170218*"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109-18 --locoid 4007 --swversion DE.1.0.9.0 --startMP 204:440 --initTime 2017-02-18T04:40:20 --startdatetime 2017-02-18T04:45:37 --delay 1 --endMP 204:233300 --enddatetime 2017-02-18T05:24:45 --enforcementcount 0 &gt;&gt;C:\Users\stu\Documents\GitHub\eaglep3-reporting\EC\2017-02-18-refined-times.txt</v>
      </c>
      <c r="AI2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{"issue":{"subject":"","project_id":79,"tracker_id":40,"status_id":1,"priority_id":2,"assigned_to_id":23,"start_date":"2017-02-18","description":"","custom_fields":[{"id":1,"name":"Subdivision","value":"EC"},{"id":4,"name":"Milepost","value":"23.33"},{"id":17,"name":"Train ID","value":"109-18"},{"id":16,"name":"Locomotive ID","value":"4007"},{"id":130,"name":"Impact","value":""},{"id":150,"name":"Time of Event (Mountain Time)","value":"05:24:45"},{"id":151,"name":"Denver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4007 --day 2017-02-18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521</v>
      </c>
      <c r="B22" s="7">
        <v>4008</v>
      </c>
      <c r="C22" s="21" t="s">
        <v>680</v>
      </c>
      <c r="D22" s="21" t="s">
        <v>408</v>
      </c>
      <c r="E22" s="13">
        <v>42784.23096064815</v>
      </c>
      <c r="F22" s="13">
        <v>42784.237002314818</v>
      </c>
      <c r="G22" s="7">
        <v>1</v>
      </c>
      <c r="H22" s="21" t="s">
        <v>196</v>
      </c>
      <c r="I22" s="13">
        <v>42784.267789351848</v>
      </c>
      <c r="J22" s="7">
        <v>0</v>
      </c>
      <c r="K22" s="98" t="str">
        <f t="shared" si="0"/>
        <v>4007/4008</v>
      </c>
      <c r="L22" s="21" t="str">
        <f>VLOOKUP(A22,'Trips&amp;Operators'!$C$1:$G$99999,5,FALSE)</f>
        <v>BRANDNER MELINDA</v>
      </c>
      <c r="M22" s="6">
        <f t="shared" si="1"/>
        <v>3.0787037030677311E-2</v>
      </c>
      <c r="N22" s="7">
        <f t="shared" si="2"/>
        <v>44.333333324175328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 t="shared" si="5"/>
        <v>https://d0f6bd738d7f1b3e5a7ca70fe4ff75f0.us-east-1.aws.found.io/app/kibana#/discover/Steve-Slow-Train-Analysis-(2080s-and-2083s)?_g=(refreshInterval:(display:Off,pause:!f,section:0,value:0),time:(from:'2017-02-18T04:32:35-0700',mode:absolute,to:'2017-02-18T07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" s="188" t="str">
        <f t="shared" si="6"/>
        <v>N</v>
      </c>
      <c r="X22" s="188">
        <f t="shared" si="7"/>
        <v>1</v>
      </c>
      <c r="Y22" s="62">
        <f t="shared" si="8"/>
        <v>23.297599999999999</v>
      </c>
      <c r="Z22" s="62">
        <f t="shared" si="9"/>
        <v>1.4500000000000001E-2</v>
      </c>
      <c r="AA22" s="62">
        <f t="shared" si="10"/>
        <v>23.283099999999997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0110-18</v>
      </c>
      <c r="AE22" s="85" t="str">
        <f t="shared" si="12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22" s="82" t="str">
        <f t="shared" si="13"/>
        <v>"C:\Program Files (x86)\AstroGrep\AstroGrep.exe" /spath="%USERPROFILE%\AppData\Local\Temp\OnboardLogs" /stypes="app*4008*20170218*"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110-18 --locoid 4008 --swversion DE.1.0.9.0 --startMP 204:232976 --initTime 2017-02-18T05:32:35 --startdatetime 2017-02-18T05:41:17 --delay 1 --endMP 204:145 --enddatetime 2017-02-18T06:25:37 --enforcementcount 0 &gt;&gt;C:\Users\stu\Documents\GitHub\eaglep3-reporting\EC\2017-02-18-refined-times.txt</v>
      </c>
      <c r="AI2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ID","value":"110-18"},{"id":16,"name":"Locomotive ID","value":"4008"},{"id":130,"name":"Impact","value":""},{"id":150,"name":"Time of Event (Mountain Time)","value":"06:25:37"},{"id":151,"name":"Denver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4008 --day 2017-02-18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852</v>
      </c>
      <c r="B23" s="7"/>
      <c r="C23" s="21" t="s">
        <v>680</v>
      </c>
      <c r="D23" s="21" t="s">
        <v>408</v>
      </c>
      <c r="E23" s="13">
        <v>42784.23096064815</v>
      </c>
      <c r="F23" s="13"/>
      <c r="G23" s="7"/>
      <c r="H23" s="21"/>
      <c r="I23" s="13"/>
      <c r="J23" s="7">
        <v>0</v>
      </c>
      <c r="K23" s="98" t="str">
        <f t="shared" ref="K23:K24" si="21">IF(ISEVEN(B23),(B23-1)&amp;"/"&amp;B23,B23&amp;"/"&amp;(B23+1))</f>
        <v>-1/</v>
      </c>
      <c r="L23" s="21" t="e">
        <f>VLOOKUP(A23,'Trips&amp;Operators'!$C$1:$G$99999,5,FALSE)</f>
        <v>#N/A</v>
      </c>
      <c r="M23" s="6">
        <f t="shared" ref="M23:M24" si="22">I23-F23</f>
        <v>0</v>
      </c>
      <c r="N23" s="7"/>
      <c r="O23" s="7"/>
      <c r="P23" s="7">
        <v>1</v>
      </c>
      <c r="Q23" s="22"/>
      <c r="R23" s="22" t="s">
        <v>854</v>
      </c>
      <c r="S23" s="31">
        <f t="shared" ref="S23:S24" si="23">SUM(U23:U23)/IF(AG23="EC",12,1)</f>
        <v>0</v>
      </c>
      <c r="T23" s="46" t="str">
        <f t="shared" ref="T23:T24" si="24">IF(ISEVEN(LEFT(AD23,4)),"Southbound","NorthBound")</f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87" t="str">
        <f t="shared" si="5"/>
        <v>https://d0f6bd738d7f1b3e5a7ca70fe4ff75f0.us-east-1.aws.found.io/app/kibana#/discover/Steve-Slow-Train-Analysis-(2080s-and-2083s)?_g=(refreshInterval:(display:Off,pause:!f,section:0,value:0),time:(from:'2017-02-18T04:32:35-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23" s="188" t="e">
        <f t="shared" ref="W23:W24" si="25">IF(AA23&lt;IF(AG23="EC",23,5.65),"Y","N")</f>
        <v>#VALUE!</v>
      </c>
      <c r="X23" s="188">
        <f t="shared" ref="X23:X27" si="26">VALUE(LEFT(AD23,4))-VALUE(LEFT(AD22,4))</f>
        <v>1</v>
      </c>
      <c r="Y23" s="62">
        <f t="shared" ref="Y23:Y24" si="27">RIGHT(D23,LEN(D23)-4)/10000</f>
        <v>23.297599999999999</v>
      </c>
      <c r="Z23" s="62" t="e">
        <f t="shared" ref="Z23:Z24" si="28">RIGHT(H23,LEN(H23)-4)/10000</f>
        <v>#VALUE!</v>
      </c>
      <c r="AA23" s="62" t="e">
        <f t="shared" ref="AA23:AA24" si="29">ABS(Z23-Y23)</f>
        <v>#VALUE!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ref="AD23:AD24" si="30">IF(LEN(A23)=6,"0"&amp;A23,A23)</f>
        <v>0111-18</v>
      </c>
      <c r="AE23" s="85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3" s="82" t="str">
        <f t="shared" si="13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3" s="1" t="str">
        <f t="shared" ref="AG23:AG24" si="31">IFERROR(IF(VALUE(LEFT(AD23,2))&lt;=2,"EC",IF(OR(VALUE(LEFT(AD23,2))=8,VALUE(LEFT(AD23,2))=18),"NW","Other")),"Other")</f>
        <v>EC</v>
      </c>
      <c r="AH23" s="86" t="str">
        <f t="shared" ref="AH23:AH24" si="32"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111-18 --locoid  --swversion DE.1.0.9.0 --startMP 204:232976 --initTime 2017-02-18T05:32:35 --startdatetime 1900-01-00T00:00:00 --delay  --endMP  --enddatetime 1900-01-00T00:00:00 --enforcementcount 0 &gt;&gt;C:\Users\stu\Documents\GitHub\eaglep3-reporting\EC\2017-02-18-refined-times.txt</v>
      </c>
      <c r="AI23" s="108" t="e">
        <f t="shared" ref="AI23:AI24" si="33"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#VALUE!</v>
      </c>
      <c r="AJ23" s="48"/>
      <c r="AK23" s="48"/>
      <c r="AL23" s="48"/>
      <c r="AM23" s="154" t="str">
        <f t="shared" ref="AM23:AM24" si="34">"start /low /b "&amp;dls3logs&amp;" --loco "&amp;B23&amp;" --day "&amp;TEXT(F23,"YYYY-MM-DD")</f>
        <v>start /low /b %USERPROFILE%\Documents\GitHub\eaglep3\Utilities\DownloadLogsFromS3.py --loco  --day 1900-01-00</v>
      </c>
      <c r="AN23" s="163" t="e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#DIV/0!</v>
      </c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</row>
    <row r="24" spans="1:91" s="1" customFormat="1" x14ac:dyDescent="0.25">
      <c r="A24" s="33" t="s">
        <v>853</v>
      </c>
      <c r="B24" s="7">
        <v>4012</v>
      </c>
      <c r="C24" s="21" t="s">
        <v>680</v>
      </c>
      <c r="D24" s="21" t="s">
        <v>408</v>
      </c>
      <c r="E24" s="13">
        <v>42784.23096064815</v>
      </c>
      <c r="F24" s="13"/>
      <c r="G24" s="7"/>
      <c r="H24" s="21"/>
      <c r="I24" s="13"/>
      <c r="J24" s="7">
        <v>0</v>
      </c>
      <c r="K24" s="98" t="str">
        <f t="shared" si="21"/>
        <v>4011/4012</v>
      </c>
      <c r="L24" s="21" t="e">
        <f>VLOOKUP(A24,'Trips&amp;Operators'!$C$1:$G$99999,5,FALSE)</f>
        <v>#N/A</v>
      </c>
      <c r="M24" s="6">
        <f t="shared" si="22"/>
        <v>0</v>
      </c>
      <c r="N24" s="7"/>
      <c r="O24" s="7"/>
      <c r="P24" s="7">
        <v>1</v>
      </c>
      <c r="Q24" s="22"/>
      <c r="R24" s="22" t="s">
        <v>855</v>
      </c>
      <c r="S24" s="31">
        <f t="shared" si="23"/>
        <v>0</v>
      </c>
      <c r="T24" s="46" t="str">
        <f t="shared" si="24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87" t="str">
        <f t="shared" si="5"/>
        <v>https://d0f6bd738d7f1b3e5a7ca70fe4ff75f0.us-east-1.aws.found.io/app/kibana#/discover/Steve-Slow-Train-Analysis-(2080s-and-2083s)?_g=(refreshInterval:(display:Off,pause:!f,section:0,value:0),time:(from:'2017-02-18T04:32:35-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" s="188" t="e">
        <f t="shared" si="25"/>
        <v>#VALUE!</v>
      </c>
      <c r="X24" s="188">
        <f t="shared" si="26"/>
        <v>1</v>
      </c>
      <c r="Y24" s="62">
        <f t="shared" si="27"/>
        <v>23.297599999999999</v>
      </c>
      <c r="Z24" s="62" t="e">
        <f t="shared" si="28"/>
        <v>#VALUE!</v>
      </c>
      <c r="AA24" s="62" t="e">
        <f t="shared" si="29"/>
        <v>#VALUE!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30"/>
        <v>0112-18</v>
      </c>
      <c r="AE24" s="85" t="str">
        <f t="shared" si="12"/>
        <v>aws s3 cp s3://rtdc.mdm.uploadarchive.raw/RTDC4012/ "%USERPROFILE%\AppData\Local\Temp\OnboardLogs"\RTDC4012\1900-01-00 --exclude "*" --recursive --include "*19000100*" &amp; "%USERPROFILE%\Documents\GitHub\mrs-test-scripts\Headless Mode &amp; Sideloading\WalkAndUnGZ.bat" "%USERPROFILE%\AppData\Local\Temp\OnboardLogs"\RTDC4012\1900-01-00 &amp; aws s3 cp s3://rtdc.mdm.uploadarchive.raw/RTDC4012/ "%USERPROFILE%\AppData\Local\Temp\OnboardLogs"\RTDC4012\1900-01-01 --exclude "*" --recursive --include "*19000101*" &amp; "%USERPROFILE%\Documents\GitHub\mrs-test-scripts\Headless Mode &amp; Sideloading\WalkAndUnGZ.bat" "%USERPROFILE%\AppData\Local\Temp\OnboardLogs"\RTDC4012\1900-01-01</v>
      </c>
      <c r="AF24" s="82" t="str">
        <f t="shared" si="13"/>
        <v>"C:\Program Files (x86)\AstroGrep\AstroGrep.exe" /spath="%USERPROFILE%\AppData\Local\Temp\OnboardLogs" /stypes="app*4012*19000100*" /stext=" 07:.+((SYSTEM_STATE.+slice.+state.+changed )|(ment ac)|(multiple cpu faults)|(system.+state.+changed )|(\[timeout)|(PRM\|1\|D)|(kpr)|(kdp)|(\|lc)|(penalty))" /e /r /s</v>
      </c>
      <c r="AG24" s="1" t="str">
        <f t="shared" si="31"/>
        <v>EC</v>
      </c>
      <c r="AH24" s="86" t="str">
        <f t="shared" si="32"/>
        <v>"%USERPROFILE%\Documents\GitHub\eaglep3\Utilities\RefineRTDCRunTimes.py" --tripid 112-18 --locoid 4012 --swversion DE.1.0.9.0 --startMP 204:232976 --initTime 2017-02-18T05:32:35 --startdatetime 1900-01-00T00:00:00 --delay  --endMP  --enddatetime 1900-01-00T00:00:00 --enforcementcount 0 &gt;&gt;C:\Users\stu\Documents\GitHub\eaglep3-reporting\EC\2017-02-18-refined-times.txt</v>
      </c>
      <c r="AI24" s="108" t="e">
        <f t="shared" si="33"/>
        <v>#VALUE!</v>
      </c>
      <c r="AJ24" s="48"/>
      <c r="AK24" s="48"/>
      <c r="AL24" s="48"/>
      <c r="AM24" s="154" t="str">
        <f t="shared" si="34"/>
        <v>start /low /b %USERPROFILE%\Documents\GitHub\eaglep3\Utilities\DownloadLogsFromS3.py --loco 4012 --day 1900-01-00</v>
      </c>
      <c r="AN24" s="163" t="e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#DIV/0!</v>
      </c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</row>
    <row r="25" spans="1:91" s="1" customFormat="1" x14ac:dyDescent="0.25">
      <c r="A25" s="33" t="s">
        <v>518</v>
      </c>
      <c r="B25" s="7">
        <v>4053</v>
      </c>
      <c r="C25" s="21" t="s">
        <v>680</v>
      </c>
      <c r="D25" s="21" t="s">
        <v>689</v>
      </c>
      <c r="E25" s="13">
        <v>42784.219421296293</v>
      </c>
      <c r="F25" s="13">
        <v>42784.222581018519</v>
      </c>
      <c r="G25" s="7">
        <v>1</v>
      </c>
      <c r="H25" s="21" t="s">
        <v>690</v>
      </c>
      <c r="I25" s="13">
        <v>42784.247824074075</v>
      </c>
      <c r="J25" s="7">
        <v>0</v>
      </c>
      <c r="K25" s="98" t="str">
        <f t="shared" ref="K25:K56" si="35">IF(ISEVEN(B25),(B25-1)&amp;"/"&amp;B25,B25&amp;"/"&amp;(B25+1))</f>
        <v>4053/4054</v>
      </c>
      <c r="L25" s="21" t="str">
        <f>VLOOKUP(A25,'Trips&amp;Operators'!$C$1:$G$99999,5,FALSE)</f>
        <v>BADERTSCHER DIANE</v>
      </c>
      <c r="M25" s="6">
        <f t="shared" ref="M25:M56" si="36">I25-F25</f>
        <v>2.5243055555620231E-2</v>
      </c>
      <c r="N25" s="7">
        <f t="shared" ref="N25:N36" si="37">24*60*SUM($M25:$M25)</f>
        <v>36.350000000093132</v>
      </c>
      <c r="O25" s="7"/>
      <c r="P25" s="7"/>
      <c r="Q25" s="22"/>
      <c r="R25" s="22"/>
      <c r="S25" s="31">
        <f t="shared" ref="S25:S48" si="38">SUM(U25:U25)/IF(AG25="EC",12,1)</f>
        <v>1</v>
      </c>
      <c r="T25" s="46" t="str">
        <f t="shared" ref="T25:T56" si="39">IF(ISEVEN(LEFT(AD25,4)),"Southbound","NorthBound")</f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5"/>
        <v>https://d0f6bd738d7f1b3e5a7ca70fe4ff75f0.us-east-1.aws.found.io/app/kibana#/discover/Steve-Slow-Train-Analysis-(2080s-and-2083s)?_g=(refreshInterval:(display:Off,pause:!f,section:0,value:0),time:(from:'2017-02-18T04:15:58-0700',mode:absolute,to:'2017-02-18T06:56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5" s="188" t="str">
        <f t="shared" ref="W25:W56" si="40">IF(AA25&lt;IF(AG25="EC",23,5.65),"Y","N")</f>
        <v>N</v>
      </c>
      <c r="X25" s="188">
        <f t="shared" si="26"/>
        <v>1</v>
      </c>
      <c r="Y25" s="62">
        <f t="shared" ref="Y25:Y56" si="41">RIGHT(D25,LEN(D25)-4)/10000</f>
        <v>7.1499999999999994E-2</v>
      </c>
      <c r="Z25" s="62">
        <f t="shared" ref="Z25:Z56" si="42">RIGHT(H25,LEN(H25)-4)/10000</f>
        <v>23.327000000000002</v>
      </c>
      <c r="AA25" s="62">
        <f t="shared" ref="AA25:AA56" si="43">ABS(Z25-Y25)</f>
        <v>23.255500000000001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ref="AD25:AD56" si="44">IF(LEN(A25)=6,"0"&amp;A25,A25)</f>
        <v>0113-18</v>
      </c>
      <c r="AE25" s="85" t="str">
        <f t="shared" si="12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25" s="82" t="str">
        <f t="shared" si="13"/>
        <v>"C:\Program Files (x86)\AstroGrep\AstroGrep.exe" /spath="%USERPROFILE%\AppData\Local\Temp\OnboardLogs" /stypes="app*4053*20170218*" /stext=" 12:.+((SYSTEM_STATE.+slice.+state.+changed )|(ment ac)|(multiple cpu faults)|(system.+state.+changed )|(\[timeout)|(PRM\|1\|D)|(kpr)|(kdp)|(\|lc)|(penalty))" /e /r /s</v>
      </c>
      <c r="AG25" s="1" t="str">
        <f t="shared" ref="AG25:AG56" si="45">IFERROR(IF(VALUE(LEFT(AD25,2))&lt;=2,"EC",IF(OR(VALUE(LEFT(AD25,2))=8,VALUE(LEFT(AD25,2))=18),"NW","Other")),"Other")</f>
        <v>EC</v>
      </c>
      <c r="AH25" s="86" t="str">
        <f t="shared" si="18"/>
        <v>"%USERPROFILE%\Documents\GitHub\eaglep3\Utilities\RefineRTDCRunTimes.py" --tripid 113-18 --locoid 4053 --swversion DE.1.0.9.0 --startMP 204:715 --initTime 2017-02-18T05:15:58 --startdatetime 2017-02-18T05:20:31 --delay 1 --endMP 204:233270 --enddatetime 2017-02-18T05:56:52 --enforcementcount 0 &gt;&gt;C:\Users\stu\Documents\GitHub\eaglep3-reporting\EC\2017-02-18-refined-times.txt</v>
      </c>
      <c r="AI2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{"issue":{"subject":"","project_id":79,"tracker_id":40,"status_id":1,"priority_id":2,"assigned_to_id":23,"start_date":"2017-02-18","description":"","custom_fields":[{"id":1,"name":"Subdivision","value":"EC"},{"id":4,"name":"Milepost","value":"23.327"},{"id":17,"name":"Train ID","value":"113-18"},{"id":16,"name":"Locomotive ID","value":"4053"},{"id":130,"name":"Impact","value":""},{"id":150,"name":"Time of Event (Mountain Time)","value":"05:56:52"},{"id":151,"name":"Denver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4053 --day 2017-02-18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526</v>
      </c>
      <c r="B26" s="7">
        <v>4054</v>
      </c>
      <c r="C26" s="21" t="s">
        <v>680</v>
      </c>
      <c r="D26" s="21" t="s">
        <v>691</v>
      </c>
      <c r="E26" s="13">
        <v>42784.251284722224</v>
      </c>
      <c r="F26" s="13">
        <v>42784.257800925923</v>
      </c>
      <c r="G26" s="7">
        <v>1</v>
      </c>
      <c r="H26" s="21" t="s">
        <v>417</v>
      </c>
      <c r="I26" s="13">
        <v>42784.285995370374</v>
      </c>
      <c r="J26" s="7">
        <v>0</v>
      </c>
      <c r="K26" s="98" t="str">
        <f t="shared" si="35"/>
        <v>4053/4054</v>
      </c>
      <c r="L26" s="21" t="str">
        <f>VLOOKUP(A26,'Trips&amp;Operators'!$C$1:$G$99999,5,FALSE)</f>
        <v>BADERTSCHER DIANE</v>
      </c>
      <c r="M26" s="6">
        <f t="shared" si="36"/>
        <v>2.8194444450491574E-2</v>
      </c>
      <c r="N26" s="7">
        <f t="shared" si="37"/>
        <v>40.600000008707866</v>
      </c>
      <c r="O26" s="7"/>
      <c r="P26" s="7"/>
      <c r="Q26" s="22"/>
      <c r="R26" s="22"/>
      <c r="S26" s="31">
        <f t="shared" si="38"/>
        <v>1</v>
      </c>
      <c r="T26" s="46" t="str">
        <f t="shared" si="39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5"/>
        <v>https://d0f6bd738d7f1b3e5a7ca70fe4ff75f0.us-east-1.aws.found.io/app/kibana#/discover/Steve-Slow-Train-Analysis-(2080s-and-2083s)?_g=(refreshInterval:(display:Off,pause:!f,section:0,value:0),time:(from:'2017-02-18T05:01:51-0700',mode:absolute,to:'2017-02-18T07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6" s="188" t="str">
        <f t="shared" si="40"/>
        <v>N</v>
      </c>
      <c r="X26" s="188">
        <f t="shared" si="26"/>
        <v>1</v>
      </c>
      <c r="Y26" s="62">
        <f t="shared" si="41"/>
        <v>23.295500000000001</v>
      </c>
      <c r="Z26" s="62">
        <f t="shared" si="42"/>
        <v>1.6500000000000001E-2</v>
      </c>
      <c r="AA26" s="62">
        <f t="shared" si="43"/>
        <v>23.279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44"/>
        <v>0114-18</v>
      </c>
      <c r="AE26" s="85" t="str">
        <f t="shared" si="12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26" s="82" t="str">
        <f t="shared" si="13"/>
        <v>"C:\Program Files (x86)\AstroGrep\AstroGrep.exe" /spath="%USERPROFILE%\AppData\Local\Temp\OnboardLogs" /stypes="app*4054*20170218*" /stext=" 13:.+((SYSTEM_STATE.+slice.+state.+changed )|(ment ac)|(multiple cpu faults)|(system.+state.+changed )|(\[timeout)|(PRM\|1\|D)|(kpr)|(kdp)|(\|lc)|(penalty))" /e /r /s</v>
      </c>
      <c r="AG26" s="1" t="str">
        <f t="shared" si="45"/>
        <v>EC</v>
      </c>
      <c r="AH26" s="86" t="str">
        <f t="shared" si="18"/>
        <v>"%USERPROFILE%\Documents\GitHub\eaglep3\Utilities\RefineRTDCRunTimes.py" --tripid 114-18 --locoid 4054 --swversion DE.1.0.9.0 --startMP 204:232955 --initTime 2017-02-18T06:01:51 --startdatetime 2017-02-18T06:11:14 --delay 1 --endMP 204:165 --enddatetime 2017-02-18T06:51:50 --enforcementcount 0 &gt;&gt;C:\Users\stu\Documents\GitHub\eaglep3-reporting\EC\2017-02-18-refined-times.txt</v>
      </c>
      <c r="AI2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{"issue":{"subject":"","project_id":79,"tracker_id":40,"status_id":1,"priority_id":2,"assigned_to_id":23,"start_date":"2017-02-18","description":"","custom_fields":[{"id":1,"name":"Subdivision","value":"EC"},{"id":4,"name":"Milepost","value":"0.0165"},{"id":17,"name":"Train ID","value":"114-18"},{"id":16,"name":"Locomotive ID","value":"4054"},{"id":130,"name":"Impact","value":""},{"id":150,"name":"Time of Event (Mountain Time)","value":"06:51:50"},{"id":151,"name":"Denver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4054 --day 2017-02-18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520</v>
      </c>
      <c r="B27" s="7">
        <v>4016</v>
      </c>
      <c r="C27" s="21" t="s">
        <v>680</v>
      </c>
      <c r="D27" s="21" t="s">
        <v>692</v>
      </c>
      <c r="E27" s="13">
        <v>42784.224733796298</v>
      </c>
      <c r="F27" s="13">
        <v>42784.22934027778</v>
      </c>
      <c r="G27" s="7">
        <v>2</v>
      </c>
      <c r="H27" s="21" t="s">
        <v>693</v>
      </c>
      <c r="I27" s="13">
        <v>42784.255752314813</v>
      </c>
      <c r="J27" s="7">
        <v>0</v>
      </c>
      <c r="K27" s="98" t="str">
        <f t="shared" si="35"/>
        <v>4015/4016</v>
      </c>
      <c r="L27" s="21" t="str">
        <f>VLOOKUP(A27,'Trips&amp;Operators'!$C$1:$G$99999,5,FALSE)</f>
        <v>GEBRETEKLE DAGNEW</v>
      </c>
      <c r="M27" s="6">
        <f t="shared" si="36"/>
        <v>2.6412037033878732E-2</v>
      </c>
      <c r="N27" s="7">
        <f t="shared" si="37"/>
        <v>38.033333328785375</v>
      </c>
      <c r="O27" s="7"/>
      <c r="P27" s="7"/>
      <c r="Q27" s="22"/>
      <c r="R27" s="22"/>
      <c r="S27" s="31">
        <f t="shared" si="38"/>
        <v>1</v>
      </c>
      <c r="T27" s="46" t="str">
        <f t="shared" si="39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5"/>
        <v>https://d0f6bd738d7f1b3e5a7ca70fe4ff75f0.us-east-1.aws.found.io/app/kibana#/discover/Steve-Slow-Train-Analysis-(2080s-and-2083s)?_g=(refreshInterval:(display:Off,pause:!f,section:0,value:0),time:(from:'2017-02-18T04:23:37-0700',mode:absolute,to:'2017-02-18T07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88" t="str">
        <f t="shared" si="40"/>
        <v>N</v>
      </c>
      <c r="X27" s="188">
        <f t="shared" si="26"/>
        <v>1</v>
      </c>
      <c r="Y27" s="62">
        <f t="shared" si="41"/>
        <v>6.8099999999999994E-2</v>
      </c>
      <c r="Z27" s="62">
        <f t="shared" si="42"/>
        <v>23.3291</v>
      </c>
      <c r="AA27" s="62">
        <f t="shared" si="43"/>
        <v>23.260999999999999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44"/>
        <v>0115-18</v>
      </c>
      <c r="AE27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27" s="82" t="str">
        <f t="shared" si="13"/>
        <v>"C:\Program Files (x86)\AstroGrep\AstroGrep.exe" /spath="%USERPROFILE%\AppData\Local\Temp\OnboardLogs" /stypes="app*4016*20170218*" /stext=" 13:.+((SYSTEM_STATE.+slice.+state.+changed )|(ment ac)|(multiple cpu faults)|(system.+state.+changed )|(\[timeout)|(PRM\|1\|D)|(kpr)|(kdp)|(\|lc)|(penalty))" /e /r /s</v>
      </c>
      <c r="AG27" s="1" t="str">
        <f t="shared" si="45"/>
        <v>EC</v>
      </c>
      <c r="AH27" s="86" t="str">
        <f t="shared" si="18"/>
        <v>"%USERPROFILE%\Documents\GitHub\eaglep3\Utilities\RefineRTDCRunTimes.py" --tripid 115-18 --locoid 4016 --swversion DE.1.0.9.0 --startMP 204:681 --initTime 2017-02-18T05:23:37 --startdatetime 2017-02-18T05:30:15 --delay 2 --endMP 204:233291 --enddatetime 2017-02-18T06:08:17 --enforcementcount 0 &gt;&gt;C:\Users\stu\Documents\GitHub\eaglep3-reporting\EC\2017-02-18-refined-times.txt</v>
      </c>
      <c r="AI2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ID","value":"115-18"},{"id":16,"name":"Locomotive ID","value":"4016"},{"id":130,"name":"Impact","value":""},{"id":150,"name":"Time of Event (Mountain Time)","value":"06:08:17"},{"id":151,"name":"Denver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4016 --day 2017-02-18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528</v>
      </c>
      <c r="B28" s="7">
        <v>4015</v>
      </c>
      <c r="C28" s="21" t="s">
        <v>680</v>
      </c>
      <c r="D28" s="21" t="s">
        <v>267</v>
      </c>
      <c r="E28" s="13">
        <v>42784.262662037036</v>
      </c>
      <c r="F28" s="13">
        <v>42784.268229166664</v>
      </c>
      <c r="G28" s="7">
        <v>1</v>
      </c>
      <c r="H28" s="21" t="s">
        <v>207</v>
      </c>
      <c r="I28" s="13">
        <v>42784.294479166667</v>
      </c>
      <c r="J28" s="7">
        <v>0</v>
      </c>
      <c r="K28" s="98" t="str">
        <f t="shared" si="35"/>
        <v>4015/4016</v>
      </c>
      <c r="L28" s="21" t="str">
        <f>VLOOKUP(A28,'Trips&amp;Operators'!$C$1:$G$99999,5,FALSE)</f>
        <v>GEBRETEKLE DAGNEW</v>
      </c>
      <c r="M28" s="6">
        <f t="shared" si="36"/>
        <v>2.6250000002619345E-2</v>
      </c>
      <c r="N28" s="7">
        <f t="shared" si="37"/>
        <v>37.800000003771856</v>
      </c>
      <c r="O28" s="7"/>
      <c r="P28" s="7"/>
      <c r="Q28" s="22"/>
      <c r="R28" s="22"/>
      <c r="S28" s="31">
        <f t="shared" si="38"/>
        <v>1</v>
      </c>
      <c r="T28" s="46" t="str">
        <f t="shared" si="39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5"/>
        <v>https://d0f6bd738d7f1b3e5a7ca70fe4ff75f0.us-east-1.aws.found.io/app/kibana#/discover/Steve-Slow-Train-Analysis-(2080s-and-2083s)?_g=(refreshInterval:(display:Off,pause:!f,section:0,value:0),time:(from:'2017-02-18T05:18:14-0700',mode:absolute,to:'2017-02-18T08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188" t="str">
        <f t="shared" si="40"/>
        <v>N</v>
      </c>
      <c r="X28" s="188">
        <f t="shared" ref="X28:X59" si="46">VALUE(LEFT(AD28,4))-VALUE(LEFT(AD27,4))</f>
        <v>1</v>
      </c>
      <c r="Y28" s="62">
        <f t="shared" si="41"/>
        <v>23.297699999999999</v>
      </c>
      <c r="Z28" s="62">
        <f t="shared" si="42"/>
        <v>1.52E-2</v>
      </c>
      <c r="AA28" s="62">
        <f t="shared" si="43"/>
        <v>23.282499999999999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44"/>
        <v>0116-18</v>
      </c>
      <c r="AE28" s="85" t="str">
        <f t="shared" si="12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28" s="82" t="str">
        <f t="shared" si="13"/>
        <v>"C:\Program Files (x86)\AstroGrep\AstroGrep.exe" /spath="%USERPROFILE%\AppData\Local\Temp\OnboardLogs" /stypes="app*4015*20170218*" /stext=" 14:.+((SYSTEM_STATE.+slice.+state.+changed )|(ment ac)|(multiple cpu faults)|(system.+state.+changed )|(\[timeout)|(PRM\|1\|D)|(kpr)|(kdp)|(\|lc)|(penalty))" /e /r /s</v>
      </c>
      <c r="AG28" s="1" t="str">
        <f t="shared" si="45"/>
        <v>EC</v>
      </c>
      <c r="AH28" s="86" t="str">
        <f t="shared" si="18"/>
        <v>"%USERPROFILE%\Documents\GitHub\eaglep3\Utilities\RefineRTDCRunTimes.py" --tripid 116-18 --locoid 4015 --swversion DE.1.0.9.0 --startMP 204:232977 --initTime 2017-02-18T06:18:14 --startdatetime 2017-02-18T06:26:15 --delay 1 --endMP 204:152 --enddatetime 2017-02-18T07:04:03 --enforcementcount 0 &gt;&gt;C:\Users\stu\Documents\GitHub\eaglep3-reporting\EC\2017-02-18-refined-times.txt</v>
      </c>
      <c r="AI2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{"issue":{"subject":"","project_id":79,"tracker_id":40,"status_id":1,"priority_id":2,"assigned_to_id":23,"start_date":"2017-02-18","description":"","custom_fields":[{"id":1,"name":"Subdivision","value":"EC"},{"id":4,"name":"Milepost","value":"0.0152"},{"id":17,"name":"Train ID","value":"116-18"},{"id":16,"name":"Locomotive ID","value":"4015"},{"id":130,"name":"Impact","value":""},{"id":150,"name":"Time of Event (Mountain Time)","value":"07:04:03"},{"id":151,"name":"Denver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4015 --day 2017-02-18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522</v>
      </c>
      <c r="B29" s="7">
        <v>4027</v>
      </c>
      <c r="C29" s="21" t="s">
        <v>680</v>
      </c>
      <c r="D29" s="21" t="s">
        <v>694</v>
      </c>
      <c r="E29" s="13">
        <v>42784.231342592589</v>
      </c>
      <c r="F29" s="13">
        <v>42784.239768518521</v>
      </c>
      <c r="G29" s="7">
        <v>1</v>
      </c>
      <c r="H29" s="21" t="s">
        <v>413</v>
      </c>
      <c r="I29" s="13">
        <v>42784.265266203707</v>
      </c>
      <c r="J29" s="7">
        <v>0</v>
      </c>
      <c r="K29" s="98" t="str">
        <f t="shared" si="35"/>
        <v>4027/4028</v>
      </c>
      <c r="L29" s="21" t="str">
        <f>VLOOKUP(A29,'Trips&amp;Operators'!$C$1:$G$99999,5,FALSE)</f>
        <v>ROBINSON KADDIBA</v>
      </c>
      <c r="M29" s="6">
        <f t="shared" si="36"/>
        <v>2.5497685186564922E-2</v>
      </c>
      <c r="N29" s="7">
        <f t="shared" si="37"/>
        <v>36.716666668653488</v>
      </c>
      <c r="O29" s="7"/>
      <c r="P29" s="7"/>
      <c r="Q29" s="22"/>
      <c r="R29" s="22"/>
      <c r="S29" s="31">
        <f t="shared" si="38"/>
        <v>1</v>
      </c>
      <c r="T29" s="46" t="str">
        <f t="shared" si="39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5"/>
        <v>https://d0f6bd738d7f1b3e5a7ca70fe4ff75f0.us-east-1.aws.found.io/app/kibana#/discover/Steve-Slow-Train-Analysis-(2080s-and-2083s)?_g=(refreshInterval:(display:Off,pause:!f,section:0,value:0),time:(from:'2017-02-18T04:33:08-0700',mode:absolute,to:'2017-02-18T07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9" s="188" t="str">
        <f t="shared" si="40"/>
        <v>N</v>
      </c>
      <c r="X29" s="188">
        <f t="shared" si="46"/>
        <v>1</v>
      </c>
      <c r="Y29" s="62">
        <f t="shared" si="41"/>
        <v>4.9500000000000002E-2</v>
      </c>
      <c r="Z29" s="62">
        <f t="shared" si="42"/>
        <v>23.328199999999999</v>
      </c>
      <c r="AA29" s="62">
        <f t="shared" si="43"/>
        <v>23.278700000000001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44"/>
        <v>0117-18</v>
      </c>
      <c r="AE29" s="85" t="str">
        <f t="shared" si="12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29" s="82" t="str">
        <f t="shared" si="13"/>
        <v>"C:\Program Files (x86)\AstroGrep\AstroGrep.exe" /spath="%USERPROFILE%\AppData\Local\Temp\OnboardLogs" /stypes="app*4027*20170218*" /stext=" 13:.+((SYSTEM_STATE.+slice.+state.+changed )|(ment ac)|(multiple cpu faults)|(system.+state.+changed )|(\[timeout)|(PRM\|1\|D)|(kpr)|(kdp)|(\|lc)|(penalty))" /e /r /s</v>
      </c>
      <c r="AG29" s="1" t="str">
        <f t="shared" si="45"/>
        <v>EC</v>
      </c>
      <c r="AH29" s="86" t="str">
        <f t="shared" si="18"/>
        <v>"%USERPROFILE%\Documents\GitHub\eaglep3\Utilities\RefineRTDCRunTimes.py" --tripid 117-18 --locoid 4027 --swversion DE.1.0.9.0 --startMP 204:495 --initTime 2017-02-18T05:33:08 --startdatetime 2017-02-18T05:45:16 --delay 1 --endMP 204:233282 --enddatetime 2017-02-18T06:21:59 --enforcementcount 0 &gt;&gt;C:\Users\stu\Documents\GitHub\eaglep3-reporting\EC\2017-02-18-refined-times.txt</v>
      </c>
      <c r="AI2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{"issue":{"subject":"","project_id":79,"tracker_id":40,"status_id":1,"priority_id":2,"assigned_to_id":23,"start_date":"2017-02-18","description":"","custom_fields":[{"id":1,"name":"Subdivision","value":"EC"},{"id":4,"name":"Milepost","value":"23.3282"},{"id":17,"name":"Train ID","value":"117-18"},{"id":16,"name":"Locomotive ID","value":"4027"},{"id":130,"name":"Impact","value":""},{"id":150,"name":"Time of Event (Mountain Time)","value":"06:21:59"},{"id":151,"name":"Denver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4027 --day 2017-02-18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530</v>
      </c>
      <c r="B30" s="7">
        <v>4028</v>
      </c>
      <c r="C30" s="21" t="s">
        <v>680</v>
      </c>
      <c r="D30" s="21" t="s">
        <v>361</v>
      </c>
      <c r="E30" s="13">
        <v>42784.2731712963</v>
      </c>
      <c r="F30" s="13">
        <v>42784.278622685182</v>
      </c>
      <c r="G30" s="7">
        <v>1</v>
      </c>
      <c r="H30" s="21" t="s">
        <v>207</v>
      </c>
      <c r="I30" s="13">
        <v>42784.305104166669</v>
      </c>
      <c r="J30" s="7">
        <v>0</v>
      </c>
      <c r="K30" s="98" t="str">
        <f t="shared" si="35"/>
        <v>4027/4028</v>
      </c>
      <c r="L30" s="21" t="str">
        <f>VLOOKUP(A30,'Trips&amp;Operators'!$C$1:$G$99999,5,FALSE)</f>
        <v>ROBINSON KADDIBA</v>
      </c>
      <c r="M30" s="6">
        <f t="shared" si="36"/>
        <v>2.6481481487280689E-2</v>
      </c>
      <c r="N30" s="7">
        <f t="shared" si="37"/>
        <v>38.133333341684192</v>
      </c>
      <c r="O30" s="7"/>
      <c r="P30" s="7"/>
      <c r="Q30" s="22"/>
      <c r="R30" s="22"/>
      <c r="S30" s="31">
        <f t="shared" si="38"/>
        <v>1</v>
      </c>
      <c r="T30" s="46" t="str">
        <f t="shared" si="39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5"/>
        <v>https://d0f6bd738d7f1b3e5a7ca70fe4ff75f0.us-east-1.aws.found.io/app/kibana#/discover/Steve-Slow-Train-Analysis-(2080s-and-2083s)?_g=(refreshInterval:(display:Off,pause:!f,section:0,value:0),time:(from:'2017-02-18T05:33:22-0700',mode:absolute,to:'2017-02-18T08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0" s="188" t="str">
        <f t="shared" si="40"/>
        <v>N</v>
      </c>
      <c r="X30" s="188">
        <f t="shared" si="46"/>
        <v>1</v>
      </c>
      <c r="Y30" s="62">
        <f t="shared" si="41"/>
        <v>23.2973</v>
      </c>
      <c r="Z30" s="62">
        <f t="shared" si="42"/>
        <v>1.52E-2</v>
      </c>
      <c r="AA30" s="62">
        <f t="shared" si="43"/>
        <v>23.2821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44"/>
        <v>0118-18</v>
      </c>
      <c r="AE30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30" s="82" t="str">
        <f t="shared" si="13"/>
        <v>"C:\Program Files (x86)\AstroGrep\AstroGrep.exe" /spath="%USERPROFILE%\AppData\Local\Temp\OnboardLogs" /stypes="app*4028*20170218*" /stext=" 14:.+((SYSTEM_STATE.+slice.+state.+changed )|(ment ac)|(multiple cpu faults)|(system.+state.+changed )|(\[timeout)|(PRM\|1\|D)|(kpr)|(kdp)|(\|lc)|(penalty))" /e /r /s</v>
      </c>
      <c r="AG30" s="1" t="str">
        <f t="shared" si="45"/>
        <v>EC</v>
      </c>
      <c r="AH30" s="86" t="str">
        <f t="shared" si="18"/>
        <v>"%USERPROFILE%\Documents\GitHub\eaglep3\Utilities\RefineRTDCRunTimes.py" --tripid 118-18 --locoid 4028 --swversion DE.1.0.9.0 --startMP 204:232973 --initTime 2017-02-18T06:33:22 --startdatetime 2017-02-18T06:41:13 --delay 1 --endMP 204:152 --enddatetime 2017-02-18T07:19:21 --enforcementcount 0 &gt;&gt;C:\Users\stu\Documents\GitHub\eaglep3-reporting\EC\2017-02-18-refined-times.txt</v>
      </c>
      <c r="AI3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{"issue":{"subject":"","project_id":79,"tracker_id":40,"status_id":1,"priority_id":2,"assigned_to_id":23,"start_date":"2017-02-18","description":"","custom_fields":[{"id":1,"name":"Subdivision","value":"EC"},{"id":4,"name":"Milepost","value":"0.0152"},{"id":17,"name":"Train ID","value":"118-18"},{"id":16,"name":"Locomotive ID","value":"4028"},{"id":130,"name":"Impact","value":""},{"id":150,"name":"Time of Event (Mountain Time)","value":"07:19:21"},{"id":151,"name":"Denver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4028 --day 2017-02-18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524</v>
      </c>
      <c r="B31" s="7">
        <v>4022</v>
      </c>
      <c r="C31" s="21" t="s">
        <v>680</v>
      </c>
      <c r="D31" s="21" t="s">
        <v>684</v>
      </c>
      <c r="E31" s="13">
        <v>42784.246689814812</v>
      </c>
      <c r="F31" s="13">
        <v>42784.250254629631</v>
      </c>
      <c r="G31" s="7">
        <v>1</v>
      </c>
      <c r="H31" s="21" t="s">
        <v>263</v>
      </c>
      <c r="I31" s="13">
        <v>42784.275821759256</v>
      </c>
      <c r="J31" s="7">
        <v>0</v>
      </c>
      <c r="K31" s="98" t="str">
        <f t="shared" si="35"/>
        <v>4021/4022</v>
      </c>
      <c r="L31" s="21" t="str">
        <f>VLOOKUP(A31,'Trips&amp;Operators'!$C$1:$G$99999,5,FALSE)</f>
        <v>MAELZER KURT</v>
      </c>
      <c r="M31" s="6">
        <f t="shared" si="36"/>
        <v>2.5567129625414964E-2</v>
      </c>
      <c r="N31" s="7">
        <f t="shared" si="37"/>
        <v>36.816666660597548</v>
      </c>
      <c r="O31" s="7"/>
      <c r="P31" s="7"/>
      <c r="Q31" s="22"/>
      <c r="R31" s="22"/>
      <c r="S31" s="31">
        <f t="shared" si="38"/>
        <v>1</v>
      </c>
      <c r="T31" s="46" t="str">
        <f t="shared" si="39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5"/>
        <v>https://d0f6bd738d7f1b3e5a7ca70fe4ff75f0.us-east-1.aws.found.io/app/kibana#/discover/Steve-Slow-Train-Analysis-(2080s-and-2083s)?_g=(refreshInterval:(display:Off,pause:!f,section:0,value:0),time:(from:'2017-02-18T04:55:14-0700',mode:absolute,to:'2017-02-18T07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1" s="188" t="str">
        <f t="shared" si="40"/>
        <v>N</v>
      </c>
      <c r="X31" s="188">
        <f t="shared" si="46"/>
        <v>1</v>
      </c>
      <c r="Y31" s="62">
        <f t="shared" si="41"/>
        <v>7.4399999999999994E-2</v>
      </c>
      <c r="Z31" s="62">
        <f t="shared" si="42"/>
        <v>23.3308</v>
      </c>
      <c r="AA31" s="62">
        <f t="shared" si="43"/>
        <v>23.256399999999999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44"/>
        <v>0119-18</v>
      </c>
      <c r="AE31" s="85" t="str">
        <f t="shared" si="12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31" s="82" t="str">
        <f t="shared" si="13"/>
        <v>"C:\Program Files (x86)\AstroGrep\AstroGrep.exe" /spath="%USERPROFILE%\AppData\Local\Temp\OnboardLogs" /stypes="app*4022*20170218*" /stext=" 13:.+((SYSTEM_STATE.+slice.+state.+changed )|(ment ac)|(multiple cpu faults)|(system.+state.+changed )|(\[timeout)|(PRM\|1\|D)|(kpr)|(kdp)|(\|lc)|(penalty))" /e /r /s</v>
      </c>
      <c r="AG31" s="1" t="str">
        <f t="shared" si="45"/>
        <v>EC</v>
      </c>
      <c r="AH31" s="86" t="str">
        <f t="shared" si="18"/>
        <v>"%USERPROFILE%\Documents\GitHub\eaglep3\Utilities\RefineRTDCRunTimes.py" --tripid 119-18 --locoid 4022 --swversion DE.1.0.9.0 --startMP 204:744 --initTime 2017-02-18T05:55:14 --startdatetime 2017-02-18T06:00:22 --delay 1 --endMP 204:233308 --enddatetime 2017-02-18T06:37:11 --enforcementcount 0 &gt;&gt;C:\Users\stu\Documents\GitHub\eaglep3-reporting\EC\2017-02-18-refined-times.txt</v>
      </c>
      <c r="AI3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{"issue":{"subject":"","project_id":79,"tracker_id":40,"status_id":1,"priority_id":2,"assigned_to_id":23,"start_date":"2017-02-18","description":"","custom_fields":[{"id":1,"name":"Subdivision","value":"EC"},{"id":4,"name":"Milepost","value":"23.3308"},{"id":17,"name":"Train ID","value":"119-18"},{"id":16,"name":"Locomotive ID","value":"4022"},{"id":130,"name":"Impact","value":""},{"id":150,"name":"Time of Event (Mountain Time)","value":"06:37:11"},{"id":151,"name":"Denver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4022 --day 2017-02-18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"%USERPROFILE%\AppData\Local\Temp\OnboardLogs"\RTDC4022\*4022*20170218* | grep -SE "(Enforcement Action)|(\[TIMEOUT)|(CHR.+\|PRM\|1\|D.+(SWITCH|SIGNAL).+UNKNOWN)" - &gt;&gt; 2017-02-18-UncaughtWiMAX.txt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532</v>
      </c>
      <c r="B32" s="7">
        <v>4021</v>
      </c>
      <c r="C32" s="21" t="s">
        <v>680</v>
      </c>
      <c r="D32" s="21" t="s">
        <v>356</v>
      </c>
      <c r="E32" s="13">
        <v>42784.284328703703</v>
      </c>
      <c r="F32" s="13">
        <v>42784.289155092592</v>
      </c>
      <c r="G32" s="7">
        <v>1</v>
      </c>
      <c r="H32" s="21" t="s">
        <v>362</v>
      </c>
      <c r="I32" s="13">
        <v>42784.315509259257</v>
      </c>
      <c r="J32" s="7">
        <v>0</v>
      </c>
      <c r="K32" s="98" t="str">
        <f t="shared" si="35"/>
        <v>4021/4022</v>
      </c>
      <c r="L32" s="21" t="str">
        <f>VLOOKUP(A32,'Trips&amp;Operators'!$C$1:$G$99999,5,FALSE)</f>
        <v>MAELZER KURT</v>
      </c>
      <c r="M32" s="6">
        <f t="shared" si="36"/>
        <v>2.6354166664532386E-2</v>
      </c>
      <c r="N32" s="7">
        <f t="shared" si="37"/>
        <v>37.949999996926636</v>
      </c>
      <c r="O32" s="7"/>
      <c r="P32" s="7"/>
      <c r="Q32" s="22"/>
      <c r="R32" s="22"/>
      <c r="S32" s="31">
        <f t="shared" si="38"/>
        <v>1</v>
      </c>
      <c r="T32" s="46" t="str">
        <f t="shared" si="39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5"/>
        <v>https://d0f6bd738d7f1b3e5a7ca70fe4ff75f0.us-east-1.aws.found.io/app/kibana#/discover/Steve-Slow-Train-Analysis-(2080s-and-2083s)?_g=(refreshInterval:(display:Off,pause:!f,section:0,value:0),time:(from:'2017-02-18T05:49:26-0700',mode:absolute,to:'2017-02-18T08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2" s="188" t="str">
        <f t="shared" si="40"/>
        <v>N</v>
      </c>
      <c r="X32" s="188">
        <f t="shared" si="46"/>
        <v>1</v>
      </c>
      <c r="Y32" s="62">
        <f t="shared" si="41"/>
        <v>23.2989</v>
      </c>
      <c r="Z32" s="62">
        <f t="shared" si="42"/>
        <v>1.2999999999999999E-2</v>
      </c>
      <c r="AA32" s="62">
        <f t="shared" si="43"/>
        <v>23.285899999999998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44"/>
        <v>0120-18</v>
      </c>
      <c r="AE32" s="85" t="str">
        <f t="shared" si="12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32" s="82" t="str">
        <f t="shared" si="13"/>
        <v>"C:\Program Files (x86)\AstroGrep\AstroGrep.exe" /spath="%USERPROFILE%\AppData\Local\Temp\OnboardLogs" /stypes="app*4021*20170218*" /stext=" 14:.+((SYSTEM_STATE.+slice.+state.+changed )|(ment ac)|(multiple cpu faults)|(system.+state.+changed )|(\[timeout)|(PRM\|1\|D)|(kpr)|(kdp)|(\|lc)|(penalty))" /e /r /s</v>
      </c>
      <c r="AG32" s="1" t="str">
        <f t="shared" si="45"/>
        <v>EC</v>
      </c>
      <c r="AH32" s="86" t="str">
        <f t="shared" si="18"/>
        <v>"%USERPROFILE%\Documents\GitHub\eaglep3\Utilities\RefineRTDCRunTimes.py" --tripid 120-18 --locoid 4021 --swversion DE.1.0.9.0 --startMP 204:232989 --initTime 2017-02-18T06:49:26 --startdatetime 2017-02-18T06:56:23 --delay 1 --endMP 204:130 --enddatetime 2017-02-18T07:34:20 --enforcementcount 0 &gt;&gt;C:\Users\stu\Documents\GitHub\eaglep3-reporting\EC\2017-02-18-refined-times.txt</v>
      </c>
      <c r="AI3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{"issue":{"subject":"","project_id":79,"tracker_id":40,"status_id":1,"priority_id":2,"assigned_to_id":23,"start_date":"2017-02-18","description":"","custom_fields":[{"id":1,"name":"Subdivision","value":"EC"},{"id":4,"name":"Milepost","value":"0.013"},{"id":17,"name":"Train ID","value":"120-18"},{"id":16,"name":"Locomotive ID","value":"4021"},{"id":130,"name":"Impact","value":""},{"id":150,"name":"Time of Event (Mountain Time)","value":"07:34:20"},{"id":151,"name":"Denver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4021 --day 2017-02-18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"%USERPROFILE%\AppData\Local\Temp\OnboardLogs"\RTDC4021\*4021*20170218* | grep -SE "(Enforcement Action)|(\[TIMEOUT)|(CHR.+\|PRM\|1\|D.+(SWITCH|SIGNAL).+UNKNOWN)" - &gt;&gt; 2017-02-18-UncaughtWiMAX.txt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527</v>
      </c>
      <c r="B33" s="7">
        <v>4018</v>
      </c>
      <c r="C33" s="21" t="s">
        <v>680</v>
      </c>
      <c r="D33" s="21" t="s">
        <v>307</v>
      </c>
      <c r="E33" s="13">
        <v>42784.256493055553</v>
      </c>
      <c r="F33" s="13">
        <v>42784.260636574072</v>
      </c>
      <c r="G33" s="7">
        <v>2</v>
      </c>
      <c r="H33" s="21" t="s">
        <v>421</v>
      </c>
      <c r="I33" s="13">
        <v>42784.285069444442</v>
      </c>
      <c r="J33" s="7">
        <v>0</v>
      </c>
      <c r="K33" s="98" t="str">
        <f t="shared" si="35"/>
        <v>4017/4018</v>
      </c>
      <c r="L33" s="21" t="str">
        <f>VLOOKUP(A33,'Trips&amp;Operators'!$C$1:$G$99999,5,FALSE)</f>
        <v>DE LA ROSA ALEX</v>
      </c>
      <c r="M33" s="6">
        <f t="shared" si="36"/>
        <v>2.4432870370219462E-2</v>
      </c>
      <c r="N33" s="7">
        <f t="shared" si="37"/>
        <v>35.183333333116025</v>
      </c>
      <c r="O33" s="7"/>
      <c r="P33" s="7"/>
      <c r="Q33" s="22"/>
      <c r="R33" s="22"/>
      <c r="S33" s="31">
        <f t="shared" si="38"/>
        <v>1</v>
      </c>
      <c r="T33" s="46" t="str">
        <f t="shared" si="39"/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 t="shared" si="5"/>
        <v>https://d0f6bd738d7f1b3e5a7ca70fe4ff75f0.us-east-1.aws.found.io/app/kibana#/discover/Steve-Slow-Train-Analysis-(2080s-and-2083s)?_g=(refreshInterval:(display:Off,pause:!f,section:0,value:0),time:(from:'2017-02-18T05:09:21-0700',mode:absolute,to:'2017-02-18T07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188" t="str">
        <f t="shared" si="40"/>
        <v>N</v>
      </c>
      <c r="X33" s="188">
        <f t="shared" si="46"/>
        <v>1</v>
      </c>
      <c r="Y33" s="62">
        <f t="shared" si="41"/>
        <v>4.3799999999999999E-2</v>
      </c>
      <c r="Z33" s="62">
        <f t="shared" si="42"/>
        <v>23.328800000000001</v>
      </c>
      <c r="AA33" s="62">
        <f t="shared" si="43"/>
        <v>23.285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44"/>
        <v>0121-18</v>
      </c>
      <c r="AE33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33" s="82" t="str">
        <f t="shared" si="13"/>
        <v>"C:\Program Files (x86)\AstroGrep\AstroGrep.exe" /spath="%USERPROFILE%\AppData\Local\Temp\OnboardLogs" /stypes="app*4018*20170218*" /stext=" 13:.+((SYSTEM_STATE.+slice.+state.+changed )|(ment ac)|(multiple cpu faults)|(system.+state.+changed )|(\[timeout)|(PRM\|1\|D)|(kpr)|(kdp)|(\|lc)|(penalty))" /e /r /s</v>
      </c>
      <c r="AG33" s="1" t="str">
        <f t="shared" si="45"/>
        <v>EC</v>
      </c>
      <c r="AH33" s="86" t="str">
        <f t="shared" si="18"/>
        <v>"%USERPROFILE%\Documents\GitHub\eaglep3\Utilities\RefineRTDCRunTimes.py" --tripid 121-18 --locoid 4018 --swversion DE.1.0.9.0 --startMP 204:438 --initTime 2017-02-18T06:09:21 --startdatetime 2017-02-18T06:15:19 --delay 2 --endMP 204:233288 --enddatetime 2017-02-18T06:50:30 --enforcementcount 0 &gt;&gt;C:\Users\stu\Documents\GitHub\eaglep3-reporting\EC\2017-02-18-refined-times.txt</v>
      </c>
      <c r="AI3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{"issue":{"subject":"","project_id":79,"tracker_id":40,"status_id":1,"priority_id":2,"assigned_to_id":23,"start_date":"2017-02-18","description":"","custom_fields":[{"id":1,"name":"Subdivision","value":"EC"},{"id":4,"name":"Milepost","value":"23.3288"},{"id":17,"name":"Train ID","value":"121-18"},{"id":16,"name":"Locomotive ID","value":"4018"},{"id":130,"name":"Impact","value":""},{"id":150,"name":"Time of Event (Mountain Time)","value":"06:50:30"},{"id":151,"name":"Denver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4018 --day 2017-02-18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439</v>
      </c>
      <c r="B34" s="7">
        <v>4017</v>
      </c>
      <c r="C34" s="21" t="s">
        <v>680</v>
      </c>
      <c r="D34" s="21" t="s">
        <v>411</v>
      </c>
      <c r="E34" s="13">
        <v>42784.295127314814</v>
      </c>
      <c r="F34" s="13">
        <v>42784.299756944441</v>
      </c>
      <c r="G34" s="7">
        <v>1</v>
      </c>
      <c r="H34" s="21" t="s">
        <v>299</v>
      </c>
      <c r="I34" s="13">
        <v>42784.328877314816</v>
      </c>
      <c r="J34" s="7">
        <v>0</v>
      </c>
      <c r="K34" s="98" t="str">
        <f t="shared" si="35"/>
        <v>4017/4018</v>
      </c>
      <c r="L34" s="21" t="str">
        <f>VLOOKUP(A34,'Trips&amp;Operators'!$C$1:$G$99999,5,FALSE)</f>
        <v>DE LA ROSA ALEX</v>
      </c>
      <c r="M34" s="6">
        <f t="shared" si="36"/>
        <v>2.9120370374585036E-2</v>
      </c>
      <c r="N34" s="7">
        <f t="shared" si="37"/>
        <v>41.933333339402452</v>
      </c>
      <c r="O34" s="7"/>
      <c r="P34" s="7"/>
      <c r="Q34" s="22"/>
      <c r="R34" s="22"/>
      <c r="S34" s="31">
        <f t="shared" si="38"/>
        <v>1</v>
      </c>
      <c r="T34" s="46" t="str">
        <f t="shared" si="39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 t="shared" si="5"/>
        <v>https://d0f6bd738d7f1b3e5a7ca70fe4ff75f0.us-east-1.aws.found.io/app/kibana#/discover/Steve-Slow-Train-Analysis-(2080s-and-2083s)?_g=(refreshInterval:(display:Off,pause:!f,section:0,value:0),time:(from:'2017-02-18T06:04:59-0700',mode:absolute,to:'2017-02-18T08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188" t="str">
        <f t="shared" si="40"/>
        <v>N</v>
      </c>
      <c r="X34" s="188">
        <f t="shared" si="46"/>
        <v>1</v>
      </c>
      <c r="Y34" s="62">
        <f t="shared" si="41"/>
        <v>23.296299999999999</v>
      </c>
      <c r="Z34" s="62">
        <f t="shared" si="42"/>
        <v>1.47E-2</v>
      </c>
      <c r="AA34" s="62">
        <f t="shared" si="43"/>
        <v>23.281599999999997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44"/>
        <v>0122-18</v>
      </c>
      <c r="AE34" s="85" t="str">
        <f t="shared" si="12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34" s="82" t="str">
        <f t="shared" si="13"/>
        <v>"C:\Program Files (x86)\AstroGrep\AstroGrep.exe" /spath="%USERPROFILE%\AppData\Local\Temp\OnboardLogs" /stypes="app*4017*20170218*" /stext=" 14:.+((SYSTEM_STATE.+slice.+state.+changed )|(ment ac)|(multiple cpu faults)|(system.+state.+changed )|(\[timeout)|(PRM\|1\|D)|(kpr)|(kdp)|(\|lc)|(penalty))" /e /r /s</v>
      </c>
      <c r="AG34" s="1" t="str">
        <f t="shared" si="45"/>
        <v>EC</v>
      </c>
      <c r="AH34" s="86" t="str">
        <f t="shared" si="18"/>
        <v>"%USERPROFILE%\Documents\GitHub\eaglep3\Utilities\RefineRTDCRunTimes.py" --tripid 122-18 --locoid 4017 --swversion DE.1.0.9.0 --startMP 204:232963 --initTime 2017-02-18T07:04:59 --startdatetime 2017-02-18T07:11:39 --delay 1 --endMP 204:147 --enddatetime 2017-02-18T07:53:35 --enforcementcount 0 &gt;&gt;C:\Users\stu\Documents\GitHub\eaglep3-reporting\EC\2017-02-18-refined-times.txt</v>
      </c>
      <c r="AI3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{"issue":{"subject":"","project_id":79,"tracker_id":40,"status_id":1,"priority_id":2,"assigned_to_id":23,"start_date":"2017-02-18","description":"","custom_fields":[{"id":1,"name":"Subdivision","value":"EC"},{"id":4,"name":"Milepost","value":"0.0147"},{"id":17,"name":"Train ID","value":"122-18"},{"id":16,"name":"Locomotive ID","value":"4017"},{"id":130,"name":"Impact","value":""},{"id":150,"name":"Time of Event (Mountain Time)","value":"07:53:35"},{"id":151,"name":"Denver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4017 --day 2017-02-18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529</v>
      </c>
      <c r="B35" s="7">
        <v>4007</v>
      </c>
      <c r="C35" s="21" t="s">
        <v>680</v>
      </c>
      <c r="D35" s="21" t="s">
        <v>412</v>
      </c>
      <c r="E35" s="13">
        <v>42784.269513888888</v>
      </c>
      <c r="F35" s="13">
        <v>42784.271134259259</v>
      </c>
      <c r="G35" s="7">
        <v>1</v>
      </c>
      <c r="H35" s="21" t="s">
        <v>688</v>
      </c>
      <c r="I35" s="13">
        <v>42784.296469907407</v>
      </c>
      <c r="J35" s="7">
        <v>0</v>
      </c>
      <c r="K35" s="98" t="str">
        <f t="shared" si="35"/>
        <v>4007/4008</v>
      </c>
      <c r="L35" s="21" t="str">
        <f>VLOOKUP(A35,'Trips&amp;Operators'!$C$1:$G$99999,5,FALSE)</f>
        <v>BRANDNER MELINDA</v>
      </c>
      <c r="M35" s="6">
        <f t="shared" si="36"/>
        <v>2.5335648148029577E-2</v>
      </c>
      <c r="N35" s="7">
        <f t="shared" si="37"/>
        <v>36.483333333162591</v>
      </c>
      <c r="O35" s="7"/>
      <c r="P35" s="7"/>
      <c r="Q35" s="22"/>
      <c r="R35" s="22"/>
      <c r="S35" s="31">
        <f t="shared" si="38"/>
        <v>1</v>
      </c>
      <c r="T35" s="46" t="str">
        <f t="shared" si="39"/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5"/>
        <v>https://d0f6bd738d7f1b3e5a7ca70fe4ff75f0.us-east-1.aws.found.io/app/kibana#/discover/Steve-Slow-Train-Analysis-(2080s-and-2083s)?_g=(refreshInterval:(display:Off,pause:!f,section:0,value:0),time:(from:'2017-02-18T05:28:06-0700',mode:absolute,to:'2017-02-18T08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5" s="188" t="str">
        <f t="shared" si="40"/>
        <v>N</v>
      </c>
      <c r="X35" s="188">
        <f t="shared" si="46"/>
        <v>1</v>
      </c>
      <c r="Y35" s="62">
        <f t="shared" si="41"/>
        <v>4.4699999999999997E-2</v>
      </c>
      <c r="Z35" s="62">
        <f t="shared" si="42"/>
        <v>23.33</v>
      </c>
      <c r="AA35" s="62">
        <f t="shared" si="43"/>
        <v>23.285299999999999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44"/>
        <v>0123-18</v>
      </c>
      <c r="AE35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35" s="82" t="str">
        <f t="shared" si="13"/>
        <v>"C:\Program Files (x86)\AstroGrep\AstroGrep.exe" /spath="%USERPROFILE%\AppData\Local\Temp\OnboardLogs" /stypes="app*4007*20170218*" /stext=" 14:.+((SYSTEM_STATE.+slice.+state.+changed )|(ment ac)|(multiple cpu faults)|(system.+state.+changed )|(\[timeout)|(PRM\|1\|D)|(kpr)|(kdp)|(\|lc)|(penalty))" /e /r /s</v>
      </c>
      <c r="AG35" s="1" t="str">
        <f t="shared" si="45"/>
        <v>EC</v>
      </c>
      <c r="AH35" s="86" t="str">
        <f t="shared" si="18"/>
        <v>"%USERPROFILE%\Documents\GitHub\eaglep3\Utilities\RefineRTDCRunTimes.py" --tripid 123-18 --locoid 4007 --swversion DE.1.0.9.0 --startMP 204:447 --initTime 2017-02-18T06:28:06 --startdatetime 2017-02-18T06:30:26 --delay 1 --endMP 204:233300 --enddatetime 2017-02-18T07:06:55 --enforcementcount 0 &gt;&gt;C:\Users\stu\Documents\GitHub\eaglep3-reporting\EC\2017-02-18-refined-times.txt</v>
      </c>
      <c r="AI3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{"issue":{"subject":"","project_id":79,"tracker_id":40,"status_id":1,"priority_id":2,"assigned_to_id":23,"start_date":"2017-02-18","description":"","custom_fields":[{"id":1,"name":"Subdivision","value":"EC"},{"id":4,"name":"Milepost","value":"23.33"},{"id":17,"name":"Train ID","value":"123-18"},{"id":16,"name":"Locomotive ID","value":"4007"},{"id":130,"name":"Impact","value":""},{"id":150,"name":"Time of Event (Mountain Time)","value":"07:06:55"},{"id":151,"name":"Denver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4007 --day 2017-02-18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440</v>
      </c>
      <c r="B36" s="7">
        <v>4008</v>
      </c>
      <c r="C36" s="21" t="s">
        <v>680</v>
      </c>
      <c r="D36" s="21" t="s">
        <v>267</v>
      </c>
      <c r="E36" s="13">
        <v>42784.305</v>
      </c>
      <c r="F36" s="13">
        <v>42784.309976851851</v>
      </c>
      <c r="G36" s="7">
        <v>1</v>
      </c>
      <c r="H36" s="21" t="s">
        <v>216</v>
      </c>
      <c r="I36" s="13">
        <v>42784.339259259257</v>
      </c>
      <c r="J36" s="7">
        <v>0</v>
      </c>
      <c r="K36" s="98" t="str">
        <f t="shared" si="35"/>
        <v>4007/4008</v>
      </c>
      <c r="L36" s="21" t="str">
        <f>VLOOKUP(A36,'Trips&amp;Operators'!$C$1:$G$99999,5,FALSE)</f>
        <v>BRANDNER MELINDA</v>
      </c>
      <c r="M36" s="6">
        <f t="shared" si="36"/>
        <v>2.9282407405844424E-2</v>
      </c>
      <c r="N36" s="7">
        <f t="shared" si="37"/>
        <v>42.16666666441597</v>
      </c>
      <c r="O36" s="7"/>
      <c r="P36" s="7"/>
      <c r="Q36" s="22"/>
      <c r="R36" s="22"/>
      <c r="S36" s="31">
        <f t="shared" si="38"/>
        <v>1</v>
      </c>
      <c r="T36" s="46" t="str">
        <f t="shared" si="39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5"/>
        <v>https://d0f6bd738d7f1b3e5a7ca70fe4ff75f0.us-east-1.aws.found.io/app/kibana#/discover/Steve-Slow-Train-Analysis-(2080s-and-2083s)?_g=(refreshInterval:(display:Off,pause:!f,section:0,value:0),time:(from:'2017-02-18T06:19:12-0700',mode:absolute,to:'2017-02-18T09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6" s="188" t="str">
        <f t="shared" si="40"/>
        <v>N</v>
      </c>
      <c r="X36" s="188">
        <f t="shared" si="46"/>
        <v>1</v>
      </c>
      <c r="Y36" s="62">
        <f t="shared" si="41"/>
        <v>23.297699999999999</v>
      </c>
      <c r="Z36" s="62">
        <f t="shared" si="42"/>
        <v>1.54E-2</v>
      </c>
      <c r="AA36" s="62">
        <f t="shared" si="43"/>
        <v>23.282299999999999</v>
      </c>
      <c r="AB36" s="59" t="str">
        <f>VLOOKUP(A36,Enforcements!$C$7:$K$13,8,0)</f>
        <v>Bulletin (2)</v>
      </c>
      <c r="AC36" s="55" t="str">
        <f>VLOOKUP(A36,Enforcements!$C$7:$E$13,3,0)</f>
        <v>GRADE CROSSING</v>
      </c>
      <c r="AD36" s="56" t="str">
        <f t="shared" si="44"/>
        <v>0124-18</v>
      </c>
      <c r="AE36" s="85" t="str">
        <f t="shared" si="12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36" s="82" t="str">
        <f t="shared" si="13"/>
        <v>"C:\Program Files (x86)\AstroGrep\AstroGrep.exe" /spath="%USERPROFILE%\AppData\Local\Temp\OnboardLogs" /stypes="app*4008*20170218*" /stext=" 15:.+((SYSTEM_STATE.+slice.+state.+changed )|(ment ac)|(multiple cpu faults)|(system.+state.+changed )|(\[timeout)|(PRM\|1\|D)|(kpr)|(kdp)|(\|lc)|(penalty))" /e /r /s</v>
      </c>
      <c r="AG36" s="1" t="str">
        <f t="shared" si="45"/>
        <v>EC</v>
      </c>
      <c r="AH36" s="86" t="str">
        <f t="shared" si="18"/>
        <v>"%USERPROFILE%\Documents\GitHub\eaglep3\Utilities\RefineRTDCRunTimes.py" --tripid 124-18 --locoid 4008 --swversion DE.1.0.9.0 --startMP 204:232977 --initTime 2017-02-18T07:19:12 --startdatetime 2017-02-18T07:26:22 --delay 1 --endMP 204:154 --enddatetime 2017-02-18T08:08:32 --enforcementcount 0 &gt;&gt;C:\Users\stu\Documents\GitHub\eaglep3-reporting\EC\2017-02-18-refined-times.txt</v>
      </c>
      <c r="AI3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{"issue":{"subject":"","project_id":79,"tracker_id":40,"status_id":1,"priority_id":2,"assigned_to_id":23,"start_date":"2017-02-18","description":"","custom_fields":[{"id":1,"name":"Subdivision","value":"EC"},{"id":4,"name":"Milepost","value":"0.0154"},{"id":17,"name":"Train ID","value":"124-18"},{"id":16,"name":"Locomotive ID","value":"4008"},{"id":130,"name":"Impact","value":""},{"id":150,"name":"Time of Event (Mountain Time)","value":"08:08:32"},{"id":151,"name":"Denver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4008 --day 2017-02-18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856</v>
      </c>
      <c r="B37" s="7">
        <v>4011</v>
      </c>
      <c r="C37" s="21" t="s">
        <v>680</v>
      </c>
      <c r="D37" s="21" t="s">
        <v>267</v>
      </c>
      <c r="E37" s="13">
        <v>42784.305</v>
      </c>
      <c r="F37" s="13">
        <v>42784.27847222222</v>
      </c>
      <c r="G37" s="7">
        <v>1</v>
      </c>
      <c r="H37" s="21" t="s">
        <v>216</v>
      </c>
      <c r="I37" s="13">
        <v>42784.27847222222</v>
      </c>
      <c r="J37" s="7">
        <v>0</v>
      </c>
      <c r="K37" s="98" t="str">
        <f t="shared" si="35"/>
        <v>4011/4012</v>
      </c>
      <c r="L37" s="21" t="e">
        <f>VLOOKUP(A37,'Trips&amp;Operators'!$C$1:$G$99999,5,FALSE)</f>
        <v>#N/A</v>
      </c>
      <c r="M37" s="6">
        <f t="shared" si="36"/>
        <v>0</v>
      </c>
      <c r="N37" s="7"/>
      <c r="O37" s="7"/>
      <c r="P37" s="7">
        <v>1</v>
      </c>
      <c r="Q37" s="22"/>
      <c r="R37" s="22" t="s">
        <v>855</v>
      </c>
      <c r="S37" s="31">
        <f t="shared" si="38"/>
        <v>0</v>
      </c>
      <c r="T37" s="46" t="str">
        <f t="shared" si="39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187" t="str">
        <f t="shared" si="5"/>
        <v>https://d0f6bd738d7f1b3e5a7ca70fe4ff75f0.us-east-1.aws.found.io/app/kibana#/discover/Steve-Slow-Train-Analysis-(2080s-and-2083s)?_g=(refreshInterval:(display:Off,pause:!f,section:0,value:0),time:(from:'2017-02-18T06:19:12-0700',mode:absolute,to:'2017-02-18T07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7" s="188" t="str">
        <f t="shared" si="40"/>
        <v>N</v>
      </c>
      <c r="X37" s="188">
        <f t="shared" si="46"/>
        <v>1</v>
      </c>
      <c r="Y37" s="62">
        <f t="shared" si="41"/>
        <v>23.297699999999999</v>
      </c>
      <c r="Z37" s="62">
        <f t="shared" si="42"/>
        <v>1.54E-2</v>
      </c>
      <c r="AA37" s="62">
        <f t="shared" si="43"/>
        <v>23.282299999999999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44"/>
        <v>0125-18</v>
      </c>
      <c r="AE37" s="85" t="str">
        <f t="shared" si="12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37" s="82" t="str">
        <f t="shared" si="13"/>
        <v>"C:\Program Files (x86)\AstroGrep\AstroGrep.exe" /spath="%USERPROFILE%\AppData\Local\Temp\OnboardLogs" /stypes="app*4011*20170218*" /stext=" 13:.+((SYSTEM_STATE.+slice.+state.+changed )|(ment ac)|(multiple cpu faults)|(system.+state.+changed )|(\[timeout)|(PRM\|1\|D)|(kpr)|(kdp)|(\|lc)|(penalty))" /e /r /s</v>
      </c>
      <c r="AG37" s="1" t="str">
        <f t="shared" si="45"/>
        <v>EC</v>
      </c>
      <c r="AH37" s="86" t="str">
        <f t="shared" ref="AH37" si="47">refinertdcruntimes&amp;" --tripid "&amp;A37&amp;" --locoid "&amp;B37&amp;" --swversion "&amp;C37&amp;" --startMP "&amp;D37&amp;" --initTime "&amp;TEXT(E37,"yyyy-mm-ddTHH:MM:SS")&amp;" --startdatetime "&amp;TEXT(F37,"yyyy-mm-ddTHH:MM:SS")&amp;" --delay "&amp;G37&amp;" --endMP "&amp;H37&amp;" --enddatetime "&amp;TEXT(I37,"yyyy-mm-ddTHH:MM:SS")&amp;" --enforcementcount "&amp;J37&amp;IF(outputrefinedruntimes," &gt;&gt;"&amp;RefinedRTDCRunTimesOutputFile,"")</f>
        <v>"%USERPROFILE%\Documents\GitHub\eaglep3\Utilities\RefineRTDCRunTimes.py" --tripid 125-18 --locoid 4011 --swversion DE.1.0.9.0 --startMP 204:232977 --initTime 2017-02-18T07:19:12 --startdatetime 2017-02-18T06:41:00 --delay 1 --endMP 204:154 --enddatetime 2017-02-18T06:41:00 --enforcementcount 0 &gt;&gt;C:\Users\stu\Documents\GitHub\eaglep3-reporting\EC\2017-02-18-refined-times.txt</v>
      </c>
      <c r="AI37" s="108" t="str">
        <f t="shared" ref="AI37" si="48">"echo {""issue"":{""subject"":"""&amp;R37&amp;""",""project_id"":79,""tracker_id"":40,""status_id"":"&amp;redmine_status&amp;",""priority_id"":"&amp;redmine_priority&amp;",""assigned_to_id"":"&amp;redmine_assignee&amp;",""start_date"":"""&amp;TEXT(I37,"YYYY-mm-dd")&amp;""",""description"":"""&amp;AJ37&amp;""",""custom_fields"":[{""id"":1,""name"":""Subdivision"",""value"":"""&amp;AG37&amp;"""},{""id"":4,""name"":""Milepost"",""value"":"""&amp;Z37&amp;"""},{""id"":17,""name"":""Train ID"",""value"":"""&amp;A37&amp;"""},{""id"":16,""name"":""Locomotive ID"",""value"":"""&amp;B37&amp;"""},{""id"":130,""name"":""Impact"",""value"":"""&amp;AK37&amp;"""},{""id"":150,""name"":""Time of Event (Mountain Time)"",""value"":"""&amp;TEXT(I37,"hh:mm:ss")&amp;"""},{""id"":151,""name"":""Denver Issue ID"",""value"":"""&amp;"""},{""id"":178,""name"":""Operational Impact"",""value"":"""&amp;redmine_op_impact&amp;"""},{""id"":179,""name"":""Denver Segment Assigned"",""value"":"""&amp;AL37&amp;"""}]}}"&amp;" | curl -X POST -H ""Content-Type: application/json"" -H ""X-Redmine-API-Key: "&amp;redm_api_key&amp;""" "&amp;redm_url&amp;" --data @-"</f>
        <v>echo {"issue":{"subject":"Onboard software update","project_id":79,"tracker_id":40,"status_id":1,"priority_id":2,"assigned_to_id":23,"start_date":"2017-02-18","description":"","custom_fields":[{"id":1,"name":"Subdivision","value":"EC"},{"id":4,"name":"Milepost","value":"0.0154"},{"id":17,"name":"Train ID","value":"125-18"},{"id":16,"name":"Locomotive ID","value":"4011"},{"id":130,"name":"Impact","value":""},{"id":150,"name":"Time of Event (Mountain Time)","value":"06:41:00"},{"id":151,"name":"Denver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ref="AM37" si="49">"start /low /b "&amp;dls3logs&amp;" --loco "&amp;B37&amp;" --day "&amp;TEXT(F37,"YYYY-MM-DD")</f>
        <v>start /low /b %USERPROFILE%\Documents\GitHub\eaglep3\Utilities\DownloadLogsFromS3.py --loco 4011 --day 2017-02-18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</row>
    <row r="38" spans="1:91" s="1" customFormat="1" x14ac:dyDescent="0.25">
      <c r="A38" s="33" t="s">
        <v>538</v>
      </c>
      <c r="B38" s="7">
        <v>4012</v>
      </c>
      <c r="C38" s="21" t="s">
        <v>680</v>
      </c>
      <c r="D38" s="21" t="s">
        <v>360</v>
      </c>
      <c r="E38" s="13">
        <v>42784.318506944444</v>
      </c>
      <c r="F38" s="13">
        <v>42784.320486111108</v>
      </c>
      <c r="G38" s="7">
        <v>1</v>
      </c>
      <c r="H38" s="21" t="s">
        <v>207</v>
      </c>
      <c r="I38" s="13">
        <v>42784.348923611113</v>
      </c>
      <c r="J38" s="7">
        <v>0</v>
      </c>
      <c r="K38" s="98" t="str">
        <f t="shared" si="35"/>
        <v>4011/4012</v>
      </c>
      <c r="L38" s="21" t="str">
        <f>VLOOKUP(A38,'Trips&amp;Operators'!$C$1:$G$99999,5,FALSE)</f>
        <v>LOZA FIDEL</v>
      </c>
      <c r="M38" s="6">
        <f t="shared" si="36"/>
        <v>2.8437500004656613E-2</v>
      </c>
      <c r="N38" s="7">
        <f t="shared" ref="N38:N48" si="50">24*60*SUM($M38:$M38)</f>
        <v>40.950000006705523</v>
      </c>
      <c r="O38" s="7"/>
      <c r="P38" s="7"/>
      <c r="Q38" s="22"/>
      <c r="R38" s="22"/>
      <c r="S38" s="31">
        <f t="shared" si="38"/>
        <v>1</v>
      </c>
      <c r="T38" s="46" t="str">
        <f t="shared" si="39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5"/>
        <v>https://d0f6bd738d7f1b3e5a7ca70fe4ff75f0.us-east-1.aws.found.io/app/kibana#/discover/Steve-Slow-Train-Analysis-(2080s-and-2083s)?_g=(refreshInterval:(display:Off,pause:!f,section:0,value:0),time:(from:'2017-02-18T06:38:39-0700',mode:absolute,to:'2017-02-18T09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8" s="188" t="str">
        <f t="shared" si="40"/>
        <v>N</v>
      </c>
      <c r="X38" s="188">
        <f t="shared" si="46"/>
        <v>1</v>
      </c>
      <c r="Y38" s="62">
        <f t="shared" si="41"/>
        <v>23.3003</v>
      </c>
      <c r="Z38" s="62">
        <f t="shared" si="42"/>
        <v>1.52E-2</v>
      </c>
      <c r="AA38" s="62">
        <f t="shared" si="43"/>
        <v>23.2851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44"/>
        <v>0126-18</v>
      </c>
      <c r="AE38" s="85" t="str">
        <f t="shared" si="12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38" s="82" t="str">
        <f t="shared" si="13"/>
        <v>"C:\Program Files (x86)\AstroGrep\AstroGrep.exe" /spath="%USERPROFILE%\AppData\Local\Temp\OnboardLogs" /stypes="app*4012*20170218*" /stext=" 15:.+((SYSTEM_STATE.+slice.+state.+changed )|(ment ac)|(multiple cpu faults)|(system.+state.+changed )|(\[timeout)|(PRM\|1\|D)|(kpr)|(kdp)|(\|lc)|(penalty))" /e /r /s</v>
      </c>
      <c r="AG38" s="1" t="str">
        <f t="shared" si="45"/>
        <v>EC</v>
      </c>
      <c r="AH38" s="86" t="str">
        <f t="shared" si="18"/>
        <v>"%USERPROFILE%\Documents\GitHub\eaglep3\Utilities\RefineRTDCRunTimes.py" --tripid 126-18 --locoid 4012 --swversion DE.1.0.9.0 --startMP 204:233003 --initTime 2017-02-18T07:38:39 --startdatetime 2017-02-18T07:41:30 --delay 1 --endMP 204:152 --enddatetime 2017-02-18T08:22:27 --enforcementcount 0 &gt;&gt;C:\Users\stu\Documents\GitHub\eaglep3-reporting\EC\2017-02-18-refined-times.txt</v>
      </c>
      <c r="AI3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{"issue":{"subject":"","project_id":79,"tracker_id":40,"status_id":1,"priority_id":2,"assigned_to_id":23,"start_date":"2017-02-18","description":"","custom_fields":[{"id":1,"name":"Subdivision","value":"EC"},{"id":4,"name":"Milepost","value":"0.0152"},{"id":17,"name":"Train ID","value":"126-18"},{"id":16,"name":"Locomotive ID","value":"4012"},{"id":130,"name":"Impact","value":""},{"id":150,"name":"Time of Event (Mountain Time)","value":"08:22:27"},{"id":151,"name":"Denver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4012 --day 2017-02-18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533</v>
      </c>
      <c r="B39" s="7">
        <v>4053</v>
      </c>
      <c r="C39" s="21" t="s">
        <v>680</v>
      </c>
      <c r="D39" s="21" t="s">
        <v>695</v>
      </c>
      <c r="E39" s="13">
        <v>42784.288425925923</v>
      </c>
      <c r="F39" s="13">
        <v>42784.291828703703</v>
      </c>
      <c r="G39" s="7">
        <v>2</v>
      </c>
      <c r="H39" s="21" t="s">
        <v>275</v>
      </c>
      <c r="I39" s="13">
        <v>42784.317164351851</v>
      </c>
      <c r="J39" s="7">
        <v>0</v>
      </c>
      <c r="K39" s="98" t="str">
        <f t="shared" si="35"/>
        <v>4053/4054</v>
      </c>
      <c r="L39" s="21" t="str">
        <f>VLOOKUP(A39,'Trips&amp;Operators'!$C$1:$G$99999,5,FALSE)</f>
        <v>BADERTSCHER DIANE</v>
      </c>
      <c r="M39" s="6">
        <f t="shared" si="36"/>
        <v>2.5335648148029577E-2</v>
      </c>
      <c r="N39" s="7">
        <f t="shared" si="50"/>
        <v>36.483333333162591</v>
      </c>
      <c r="O39" s="7"/>
      <c r="P39" s="7"/>
      <c r="Q39" s="22"/>
      <c r="R39" s="22"/>
      <c r="S39" s="31">
        <f t="shared" si="38"/>
        <v>1</v>
      </c>
      <c r="T39" s="46" t="str">
        <f t="shared" si="39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5"/>
        <v>https://d0f6bd738d7f1b3e5a7ca70fe4ff75f0.us-east-1.aws.found.io/app/kibana#/discover/Steve-Slow-Train-Analysis-(2080s-and-2083s)?_g=(refreshInterval:(display:Off,pause:!f,section:0,value:0),time:(from:'2017-02-18T05:55:20-0700',mode:absolute,to:'2017-02-18T08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9" s="188" t="str">
        <f t="shared" si="40"/>
        <v>N</v>
      </c>
      <c r="X39" s="188">
        <f t="shared" si="46"/>
        <v>1</v>
      </c>
      <c r="Y39" s="62">
        <f t="shared" si="41"/>
        <v>4.58E-2</v>
      </c>
      <c r="Z39" s="62">
        <f t="shared" si="42"/>
        <v>23.329699999999999</v>
      </c>
      <c r="AA39" s="62">
        <f t="shared" si="43"/>
        <v>23.283899999999999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44"/>
        <v>0127-18</v>
      </c>
      <c r="AE39" s="85" t="str">
        <f t="shared" si="12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39" s="82" t="str">
        <f t="shared" si="13"/>
        <v>"C:\Program Files (x86)\AstroGrep\AstroGrep.exe" /spath="%USERPROFILE%\AppData\Local\Temp\OnboardLogs" /stypes="app*4053*20170218*" /stext=" 14:.+((SYSTEM_STATE.+slice.+state.+changed )|(ment ac)|(multiple cpu faults)|(system.+state.+changed )|(\[timeout)|(PRM\|1\|D)|(kpr)|(kdp)|(\|lc)|(penalty))" /e /r /s</v>
      </c>
      <c r="AG39" s="1" t="str">
        <f t="shared" si="45"/>
        <v>EC</v>
      </c>
      <c r="AH39" s="86" t="str">
        <f t="shared" si="18"/>
        <v>"%USERPROFILE%\Documents\GitHub\eaglep3\Utilities\RefineRTDCRunTimes.py" --tripid 127-18 --locoid 4053 --swversion DE.1.0.9.0 --startMP 204:458 --initTime 2017-02-18T06:55:20 --startdatetime 2017-02-18T07:00:14 --delay 2 --endMP 204:233297 --enddatetime 2017-02-18T07:36:43 --enforcementcount 0 &gt;&gt;C:\Users\stu\Documents\GitHub\eaglep3-reporting\EC\2017-02-18-refined-times.txt</v>
      </c>
      <c r="AI3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{"issue":{"subject":"","project_id":79,"tracker_id":40,"status_id":1,"priority_id":2,"assigned_to_id":23,"start_date":"2017-02-18","description":"","custom_fields":[{"id":1,"name":"Subdivision","value":"EC"},{"id":4,"name":"Milepost","value":"23.3297"},{"id":17,"name":"Train ID","value":"127-18"},{"id":16,"name":"Locomotive ID","value":"4053"},{"id":130,"name":"Impact","value":""},{"id":150,"name":"Time of Event (Mountain Time)","value":"07:36:43"},{"id":151,"name":"Denver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4053 --day 2017-02-18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540</v>
      </c>
      <c r="B40" s="7">
        <v>4054</v>
      </c>
      <c r="C40" s="21" t="s">
        <v>680</v>
      </c>
      <c r="D40" s="21" t="s">
        <v>281</v>
      </c>
      <c r="E40" s="13">
        <v>42784.324224537035</v>
      </c>
      <c r="F40" s="13">
        <v>42784.330729166664</v>
      </c>
      <c r="G40" s="7">
        <v>1</v>
      </c>
      <c r="H40" s="21" t="s">
        <v>194</v>
      </c>
      <c r="I40" s="13">
        <v>42784.359837962962</v>
      </c>
      <c r="J40" s="7">
        <v>0</v>
      </c>
      <c r="K40" s="98" t="str">
        <f t="shared" si="35"/>
        <v>4053/4054</v>
      </c>
      <c r="L40" s="21" t="str">
        <f>VLOOKUP(A40,'Trips&amp;Operators'!$C$1:$G$99999,5,FALSE)</f>
        <v>BADERTSCHER DIANE</v>
      </c>
      <c r="M40" s="6">
        <f t="shared" si="36"/>
        <v>2.9108796297805384E-2</v>
      </c>
      <c r="N40" s="7">
        <f t="shared" si="50"/>
        <v>41.916666668839753</v>
      </c>
      <c r="O40" s="7"/>
      <c r="P40" s="7"/>
      <c r="Q40" s="22"/>
      <c r="R40" s="22"/>
      <c r="S40" s="31">
        <f t="shared" si="38"/>
        <v>1</v>
      </c>
      <c r="T40" s="46" t="str">
        <f t="shared" si="39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5"/>
        <v>https://d0f6bd738d7f1b3e5a7ca70fe4ff75f0.us-east-1.aws.found.io/app/kibana#/discover/Steve-Slow-Train-Analysis-(2080s-and-2083s)?_g=(refreshInterval:(display:Off,pause:!f,section:0,value:0),time:(from:'2017-02-18T06:46:53-0700',mode:absolute,to:'2017-02-18T09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0" s="188" t="str">
        <f t="shared" si="40"/>
        <v>N</v>
      </c>
      <c r="X40" s="188">
        <f t="shared" si="46"/>
        <v>1</v>
      </c>
      <c r="Y40" s="62">
        <f t="shared" si="41"/>
        <v>23.298300000000001</v>
      </c>
      <c r="Z40" s="62">
        <f t="shared" si="42"/>
        <v>1.4999999999999999E-2</v>
      </c>
      <c r="AA40" s="62">
        <f t="shared" si="43"/>
        <v>23.283300000000001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44"/>
        <v>0128-18</v>
      </c>
      <c r="AE40" s="85" t="str">
        <f t="shared" si="12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40" s="82" t="str">
        <f t="shared" si="13"/>
        <v>"C:\Program Files (x86)\AstroGrep\AstroGrep.exe" /spath="%USERPROFILE%\AppData\Local\Temp\OnboardLogs" /stypes="app*4054*20170218*" /stext=" 15:.+((SYSTEM_STATE.+slice.+state.+changed )|(ment ac)|(multiple cpu faults)|(system.+state.+changed )|(\[timeout)|(PRM\|1\|D)|(kpr)|(kdp)|(\|lc)|(penalty))" /e /r /s</v>
      </c>
      <c r="AG40" s="1" t="str">
        <f t="shared" si="45"/>
        <v>EC</v>
      </c>
      <c r="AH40" s="86" t="str">
        <f t="shared" si="18"/>
        <v>"%USERPROFILE%\Documents\GitHub\eaglep3\Utilities\RefineRTDCRunTimes.py" --tripid 128-18 --locoid 4054 --swversion DE.1.0.9.0 --startMP 204:232983 --initTime 2017-02-18T07:46:53 --startdatetime 2017-02-18T07:56:15 --delay 1 --endMP 204:150 --enddatetime 2017-02-18T08:38:10 --enforcementcount 0 &gt;&gt;C:\Users\stu\Documents\GitHub\eaglep3-reporting\EC\2017-02-18-refined-times.txt</v>
      </c>
      <c r="AI4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ID","value":"128-18"},{"id":16,"name":"Locomotive ID","value":"4054"},{"id":130,"name":"Impact","value":""},{"id":150,"name":"Time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4054 --day 2017-02-18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535</v>
      </c>
      <c r="B41" s="7">
        <v>4016</v>
      </c>
      <c r="C41" s="21" t="s">
        <v>680</v>
      </c>
      <c r="D41" s="21" t="s">
        <v>204</v>
      </c>
      <c r="E41" s="13">
        <v>42784.296967592592</v>
      </c>
      <c r="F41" s="13">
        <v>42784.302245370367</v>
      </c>
      <c r="G41" s="7">
        <v>1</v>
      </c>
      <c r="H41" s="21" t="s">
        <v>422</v>
      </c>
      <c r="I41" s="13">
        <v>42784.326770833337</v>
      </c>
      <c r="J41" s="7">
        <v>0</v>
      </c>
      <c r="K41" s="98" t="str">
        <f t="shared" si="35"/>
        <v>4015/4016</v>
      </c>
      <c r="L41" s="21" t="str">
        <f>VLOOKUP(A41,'Trips&amp;Operators'!$C$1:$G$99999,5,FALSE)</f>
        <v>GEBRETEKLE DAGNEW</v>
      </c>
      <c r="M41" s="6">
        <f t="shared" si="36"/>
        <v>2.4525462969904765E-2</v>
      </c>
      <c r="N41" s="7">
        <f t="shared" si="50"/>
        <v>35.316666676662862</v>
      </c>
      <c r="O41" s="7"/>
      <c r="P41" s="7"/>
      <c r="Q41" s="22"/>
      <c r="R41" s="22"/>
      <c r="S41" s="31">
        <f t="shared" si="38"/>
        <v>1</v>
      </c>
      <c r="T41" s="46" t="str">
        <f t="shared" si="39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5"/>
        <v>https://d0f6bd738d7f1b3e5a7ca70fe4ff75f0.us-east-1.aws.found.io/app/kibana#/discover/Steve-Slow-Train-Analysis-(2080s-and-2083s)?_g=(refreshInterval:(display:Off,pause:!f,section:0,value:0),time:(from:'2017-02-18T06:07:38-0700',mode:absolute,to:'2017-02-18T08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188" t="str">
        <f t="shared" si="40"/>
        <v>N</v>
      </c>
      <c r="X41" s="188">
        <f t="shared" si="46"/>
        <v>1</v>
      </c>
      <c r="Y41" s="62">
        <f t="shared" si="41"/>
        <v>4.6199999999999998E-2</v>
      </c>
      <c r="Z41" s="62">
        <f t="shared" si="42"/>
        <v>23.330100000000002</v>
      </c>
      <c r="AA41" s="62">
        <f t="shared" si="43"/>
        <v>23.283900000000003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44"/>
        <v>0129-18</v>
      </c>
      <c r="AE41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41" s="82" t="str">
        <f t="shared" si="13"/>
        <v>"C:\Program Files (x86)\AstroGrep\AstroGrep.exe" /spath="%USERPROFILE%\AppData\Local\Temp\OnboardLogs" /stypes="app*4016*20170218*" /stext=" 14:.+((SYSTEM_STATE.+slice.+state.+changed )|(ment ac)|(multiple cpu faults)|(system.+state.+changed )|(\[timeout)|(PRM\|1\|D)|(kpr)|(kdp)|(\|lc)|(penalty))" /e /r /s</v>
      </c>
      <c r="AG41" s="1" t="str">
        <f t="shared" si="45"/>
        <v>EC</v>
      </c>
      <c r="AH41" s="86" t="str">
        <f t="shared" si="18"/>
        <v>"%USERPROFILE%\Documents\GitHub\eaglep3\Utilities\RefineRTDCRunTimes.py" --tripid 129-18 --locoid 4016 --swversion DE.1.0.9.0 --startMP 204:462 --initTime 2017-02-18T07:07:38 --startdatetime 2017-02-18T07:15:14 --delay 1 --endMP 204:233301 --enddatetime 2017-02-18T07:50:33 --enforcementcount 0 &gt;&gt;C:\Users\stu\Documents\GitHub\eaglep3-reporting\EC\2017-02-18-refined-times.txt</v>
      </c>
      <c r="AI4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{"issue":{"subject":"","project_id":79,"tracker_id":40,"status_id":1,"priority_id":2,"assigned_to_id":23,"start_date":"2017-02-18","description":"","custom_fields":[{"id":1,"name":"Subdivision","value":"EC"},{"id":4,"name":"Milepost","value":"23.3301"},{"id":17,"name":"Train ID","value":"129-18"},{"id":16,"name":"Locomotive ID","value":"4016"},{"id":130,"name":"Impact","value":""},{"id":150,"name":"Time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4016 --day 2017-02-18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543</v>
      </c>
      <c r="B42" s="7">
        <v>4015</v>
      </c>
      <c r="C42" s="21" t="s">
        <v>680</v>
      </c>
      <c r="D42" s="21" t="s">
        <v>361</v>
      </c>
      <c r="E42" s="13">
        <v>42784.336099537039</v>
      </c>
      <c r="F42" s="13">
        <v>42784.341157407405</v>
      </c>
      <c r="G42" s="7">
        <v>1</v>
      </c>
      <c r="H42" s="21" t="s">
        <v>417</v>
      </c>
      <c r="I42" s="13">
        <v>42784.368368055555</v>
      </c>
      <c r="J42" s="7">
        <v>0</v>
      </c>
      <c r="K42" s="98" t="str">
        <f t="shared" si="35"/>
        <v>4015/4016</v>
      </c>
      <c r="L42" s="21" t="str">
        <f>VLOOKUP(A42,'Trips&amp;Operators'!$C$1:$G$99999,5,FALSE)</f>
        <v>GEBRETEKLE DAGNEW</v>
      </c>
      <c r="M42" s="6">
        <f t="shared" si="36"/>
        <v>2.7210648149775807E-2</v>
      </c>
      <c r="N42" s="7">
        <f t="shared" si="50"/>
        <v>39.183333335677162</v>
      </c>
      <c r="O42" s="7"/>
      <c r="P42" s="7"/>
      <c r="Q42" s="22"/>
      <c r="R42" s="22"/>
      <c r="S42" s="31">
        <f t="shared" si="38"/>
        <v>1</v>
      </c>
      <c r="T42" s="46" t="str">
        <f t="shared" si="39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5"/>
        <v>https://d0f6bd738d7f1b3e5a7ca70fe4ff75f0.us-east-1.aws.found.io/app/kibana#/discover/Steve-Slow-Train-Analysis-(2080s-and-2083s)?_g=(refreshInterval:(display:Off,pause:!f,section:0,value:0),time:(from:'2017-02-18T07:03:59-0700',mode:absolute,to:'2017-02-18T09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188" t="str">
        <f t="shared" si="40"/>
        <v>N</v>
      </c>
      <c r="X42" s="188">
        <f t="shared" si="46"/>
        <v>1</v>
      </c>
      <c r="Y42" s="62">
        <f t="shared" si="41"/>
        <v>23.2973</v>
      </c>
      <c r="Z42" s="62">
        <f t="shared" si="42"/>
        <v>1.6500000000000001E-2</v>
      </c>
      <c r="AA42" s="62">
        <f t="shared" si="43"/>
        <v>23.280799999999999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44"/>
        <v>0130-18</v>
      </c>
      <c r="AE42" s="85" t="str">
        <f t="shared" si="12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42" s="82" t="str">
        <f t="shared" si="13"/>
        <v>"C:\Program Files (x86)\AstroGrep\AstroGrep.exe" /spath="%USERPROFILE%\AppData\Local\Temp\OnboardLogs" /stypes="app*4015*20170218*" /stext=" 15:.+((SYSTEM_STATE.+slice.+state.+changed )|(ment ac)|(multiple cpu faults)|(system.+state.+changed )|(\[timeout)|(PRM\|1\|D)|(kpr)|(kdp)|(\|lc)|(penalty))" /e /r /s</v>
      </c>
      <c r="AG42" s="1" t="str">
        <f t="shared" si="45"/>
        <v>EC</v>
      </c>
      <c r="AH42" s="86" t="str">
        <f t="shared" si="18"/>
        <v>"%USERPROFILE%\Documents\GitHub\eaglep3\Utilities\RefineRTDCRunTimes.py" --tripid 130-18 --locoid 4015 --swversion DE.1.0.9.0 --startMP 204:232973 --initTime 2017-02-18T08:03:59 --startdatetime 2017-02-18T08:11:16 --delay 1 --endMP 204:165 --enddatetime 2017-02-18T08:50:27 --enforcementcount 0 &gt;&gt;C:\Users\stu\Documents\GitHub\eaglep3-reporting\EC\2017-02-18-refined-times.txt</v>
      </c>
      <c r="AI4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{"issue":{"subject":"","project_id":79,"tracker_id":40,"status_id":1,"priority_id":2,"assigned_to_id":23,"start_date":"2017-02-18","description":"","custom_fields":[{"id":1,"name":"Subdivision","value":"EC"},{"id":4,"name":"Milepost","value":"0.0165"},{"id":17,"name":"Train ID","value":"130-18"},{"id":16,"name":"Locomotive ID","value":"4015"},{"id":130,"name":"Impact","value":""},{"id":150,"name":"Time of Event (Mountain Time)","value":"08:50:27"},{"id":151,"name":"Denver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4015 --day 2017-02-18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536</v>
      </c>
      <c r="B43" s="7">
        <v>4027</v>
      </c>
      <c r="C43" s="21" t="s">
        <v>680</v>
      </c>
      <c r="D43" s="21" t="s">
        <v>206</v>
      </c>
      <c r="E43" s="13">
        <v>42784.307812500003</v>
      </c>
      <c r="F43" s="13">
        <v>42784.312696759262</v>
      </c>
      <c r="G43" s="7">
        <v>1</v>
      </c>
      <c r="H43" s="21" t="s">
        <v>696</v>
      </c>
      <c r="I43" s="13">
        <v>42784.338854166665</v>
      </c>
      <c r="J43" s="7">
        <v>0</v>
      </c>
      <c r="K43" s="98" t="str">
        <f t="shared" si="35"/>
        <v>4027/4028</v>
      </c>
      <c r="L43" s="21" t="str">
        <f>VLOOKUP(A43,'Trips&amp;Operators'!$C$1:$G$99999,5,FALSE)</f>
        <v>ROBINSON KADDIBA</v>
      </c>
      <c r="M43" s="6">
        <f t="shared" si="36"/>
        <v>2.6157407402934041E-2</v>
      </c>
      <c r="N43" s="7">
        <f t="shared" si="50"/>
        <v>37.666666660225019</v>
      </c>
      <c r="O43" s="7"/>
      <c r="P43" s="7"/>
      <c r="Q43" s="22"/>
      <c r="R43" s="22"/>
      <c r="S43" s="31">
        <f t="shared" si="38"/>
        <v>1</v>
      </c>
      <c r="T43" s="46" t="str">
        <f t="shared" si="39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5"/>
        <v>https://d0f6bd738d7f1b3e5a7ca70fe4ff75f0.us-east-1.aws.found.io/app/kibana#/discover/Steve-Slow-Train-Analysis-(2080s-and-2083s)?_g=(refreshInterval:(display:Off,pause:!f,section:0,value:0),time:(from:'2017-02-18T06:23:15-0700',mode:absolute,to:'2017-02-18T09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3" s="188" t="str">
        <f t="shared" si="40"/>
        <v>N</v>
      </c>
      <c r="X43" s="188">
        <f t="shared" si="46"/>
        <v>1</v>
      </c>
      <c r="Y43" s="62">
        <f t="shared" si="41"/>
        <v>4.4900000000000002E-2</v>
      </c>
      <c r="Z43" s="62">
        <f t="shared" si="42"/>
        <v>23.329799999999999</v>
      </c>
      <c r="AA43" s="62">
        <f t="shared" si="43"/>
        <v>23.2849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44"/>
        <v>0131-18</v>
      </c>
      <c r="AE43" s="85" t="str">
        <f t="shared" si="12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43" s="82" t="str">
        <f t="shared" si="13"/>
        <v>"C:\Program Files (x86)\AstroGrep\AstroGrep.exe" /spath="%USERPROFILE%\AppData\Local\Temp\OnboardLogs" /stypes="app*4027*20170218*" /stext=" 15:.+((SYSTEM_STATE.+slice.+state.+changed )|(ment ac)|(multiple cpu faults)|(system.+state.+changed )|(\[timeout)|(PRM\|1\|D)|(kpr)|(kdp)|(\|lc)|(penalty))" /e /r /s</v>
      </c>
      <c r="AG43" s="1" t="str">
        <f t="shared" si="45"/>
        <v>EC</v>
      </c>
      <c r="AH43" s="86" t="str">
        <f t="shared" si="18"/>
        <v>"%USERPROFILE%\Documents\GitHub\eaglep3\Utilities\RefineRTDCRunTimes.py" --tripid 131-18 --locoid 4027 --swversion DE.1.0.9.0 --startMP 204:449 --initTime 2017-02-18T07:23:15 --startdatetime 2017-02-18T07:30:17 --delay 1 --endMP 204:233298 --enddatetime 2017-02-18T08:07:57 --enforcementcount 0 &gt;&gt;C:\Users\stu\Documents\GitHub\eaglep3-reporting\EC\2017-02-18-refined-times.txt</v>
      </c>
      <c r="AI4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{"issue":{"subject":"","project_id":79,"tracker_id":40,"status_id":1,"priority_id":2,"assigned_to_id":23,"start_date":"2017-02-18","description":"","custom_fields":[{"id":1,"name":"Subdivision","value":"EC"},{"id":4,"name":"Milepost","value":"23.3298"},{"id":17,"name":"Train ID","value":"131-18"},{"id":16,"name":"Locomotive ID","value":"4027"},{"id":130,"name":"Impact","value":""},{"id":150,"name":"Time of Event (Mountain Time)","value":"08:07:57"},{"id":151,"name":"Denver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4027 --day 2017-02-18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545</v>
      </c>
      <c r="B44" s="7">
        <v>4028</v>
      </c>
      <c r="C44" s="21" t="s">
        <v>680</v>
      </c>
      <c r="D44" s="21" t="s">
        <v>356</v>
      </c>
      <c r="E44" s="13">
        <v>42784.347592592596</v>
      </c>
      <c r="F44" s="13">
        <v>42784.351643518516</v>
      </c>
      <c r="G44" s="7">
        <v>1</v>
      </c>
      <c r="H44" s="21" t="s">
        <v>279</v>
      </c>
      <c r="I44" s="13">
        <v>42784.384618055556</v>
      </c>
      <c r="J44" s="7">
        <v>0</v>
      </c>
      <c r="K44" s="98" t="str">
        <f t="shared" si="35"/>
        <v>4027/4028</v>
      </c>
      <c r="L44" s="21" t="str">
        <f>VLOOKUP(A44,'Trips&amp;Operators'!$C$1:$G$99999,5,FALSE)</f>
        <v>ROBINSON KADDIBA</v>
      </c>
      <c r="M44" s="6">
        <f t="shared" si="36"/>
        <v>3.2974537039990537E-2</v>
      </c>
      <c r="N44" s="7">
        <f t="shared" si="50"/>
        <v>47.483333337586373</v>
      </c>
      <c r="O44" s="7"/>
      <c r="P44" s="7"/>
      <c r="Q44" s="22"/>
      <c r="R44" s="22"/>
      <c r="S44" s="31">
        <f t="shared" si="38"/>
        <v>1</v>
      </c>
      <c r="T44" s="46" t="str">
        <f t="shared" si="39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5"/>
        <v>https://d0f6bd738d7f1b3e5a7ca70fe4ff75f0.us-east-1.aws.found.io/app/kibana#/discover/Steve-Slow-Train-Analysis-(2080s-and-2083s)?_g=(refreshInterval:(display:Off,pause:!f,section:0,value:0),time:(from:'2017-02-18T07:20:32-0700',mode:absolute,to:'2017-02-18T10:13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4" s="188" t="str">
        <f t="shared" si="40"/>
        <v>N</v>
      </c>
      <c r="X44" s="188">
        <f t="shared" si="46"/>
        <v>1</v>
      </c>
      <c r="Y44" s="62">
        <f t="shared" si="41"/>
        <v>23.2989</v>
      </c>
      <c r="Z44" s="62">
        <f t="shared" si="42"/>
        <v>1.41E-2</v>
      </c>
      <c r="AA44" s="62">
        <f t="shared" si="43"/>
        <v>23.284800000000001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44"/>
        <v>0132-18</v>
      </c>
      <c r="AE44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44" s="82" t="str">
        <f t="shared" si="13"/>
        <v>"C:\Program Files (x86)\AstroGrep\AstroGrep.exe" /spath="%USERPROFILE%\AppData\Local\Temp\OnboardLogs" /stypes="app*4028*20170218*" /stext=" 16:.+((SYSTEM_STATE.+slice.+state.+changed )|(ment ac)|(multiple cpu faults)|(system.+state.+changed )|(\[timeout)|(PRM\|1\|D)|(kpr)|(kdp)|(\|lc)|(penalty))" /e /r /s</v>
      </c>
      <c r="AG44" s="1" t="str">
        <f t="shared" si="45"/>
        <v>EC</v>
      </c>
      <c r="AH44" s="86" t="str">
        <f t="shared" si="18"/>
        <v>"%USERPROFILE%\Documents\GitHub\eaglep3\Utilities\RefineRTDCRunTimes.py" --tripid 132-18 --locoid 4028 --swversion DE.1.0.9.0 --startMP 204:232989 --initTime 2017-02-18T08:20:32 --startdatetime 2017-02-18T08:26:22 --delay 1 --endMP 204:141 --enddatetime 2017-02-18T09:13:51 --enforcementcount 0 &gt;&gt;C:\Users\stu\Documents\GitHub\eaglep3-reporting\EC\2017-02-18-refined-times.txt</v>
      </c>
      <c r="AI4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{"issue":{"subject":"","project_id":79,"tracker_id":40,"status_id":1,"priority_id":2,"assigned_to_id":23,"start_date":"2017-02-18","description":"","custom_fields":[{"id":1,"name":"Subdivision","value":"EC"},{"id":4,"name":"Milepost","value":"0.0141"},{"id":17,"name":"Train ID","value":"132-18"},{"id":16,"name":"Locomotive ID","value":"4028"},{"id":130,"name":"Impact","value":""},{"id":150,"name":"Time of Event (Mountain Time)","value":"09:13:51"},{"id":151,"name":"Denver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4028 --day 2017-02-18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539</v>
      </c>
      <c r="B45" s="7">
        <v>4022</v>
      </c>
      <c r="C45" s="21" t="s">
        <v>680</v>
      </c>
      <c r="D45" s="21" t="s">
        <v>412</v>
      </c>
      <c r="E45" s="13">
        <v>42784.319976851853</v>
      </c>
      <c r="F45" s="13">
        <v>42784.323148148149</v>
      </c>
      <c r="G45" s="7">
        <v>1</v>
      </c>
      <c r="H45" s="21" t="s">
        <v>421</v>
      </c>
      <c r="I45" s="13">
        <v>42784.347696759258</v>
      </c>
      <c r="J45" s="7">
        <v>0</v>
      </c>
      <c r="K45" s="98" t="str">
        <f t="shared" si="35"/>
        <v>4021/4022</v>
      </c>
      <c r="L45" s="21" t="str">
        <f>VLOOKUP(A45,'Trips&amp;Operators'!$C$1:$G$99999,5,FALSE)</f>
        <v>MAELZER KURT</v>
      </c>
      <c r="M45" s="6">
        <f t="shared" si="36"/>
        <v>2.4548611108912155E-2</v>
      </c>
      <c r="N45" s="7">
        <f t="shared" si="50"/>
        <v>35.349999996833503</v>
      </c>
      <c r="O45" s="7"/>
      <c r="P45" s="7"/>
      <c r="Q45" s="22"/>
      <c r="R45" s="22"/>
      <c r="S45" s="31">
        <f t="shared" si="38"/>
        <v>1</v>
      </c>
      <c r="T45" s="46" t="str">
        <f t="shared" si="39"/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si="5"/>
        <v>https://d0f6bd738d7f1b3e5a7ca70fe4ff75f0.us-east-1.aws.found.io/app/kibana#/discover/Steve-Slow-Train-Analysis-(2080s-and-2083s)?_g=(refreshInterval:(display:Off,pause:!f,section:0,value:0),time:(from:'2017-02-18T06:40:46-0700',mode:absolute,to:'2017-02-18T09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5" s="188" t="str">
        <f t="shared" si="40"/>
        <v>N</v>
      </c>
      <c r="X45" s="188">
        <f t="shared" si="46"/>
        <v>1</v>
      </c>
      <c r="Y45" s="62">
        <f t="shared" si="41"/>
        <v>4.4699999999999997E-2</v>
      </c>
      <c r="Z45" s="62">
        <f t="shared" si="42"/>
        <v>23.328800000000001</v>
      </c>
      <c r="AA45" s="62">
        <f t="shared" si="43"/>
        <v>23.284100000000002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44"/>
        <v>0133-18</v>
      </c>
      <c r="AE45" s="85" t="str">
        <f t="shared" si="12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45" s="82" t="str">
        <f t="shared" si="13"/>
        <v>"C:\Program Files (x86)\AstroGrep\AstroGrep.exe" /spath="%USERPROFILE%\AppData\Local\Temp\OnboardLogs" /stypes="app*4022*20170218*" /stext=" 15:.+((SYSTEM_STATE.+slice.+state.+changed )|(ment ac)|(multiple cpu faults)|(system.+state.+changed )|(\[timeout)|(PRM\|1\|D)|(kpr)|(kdp)|(\|lc)|(penalty))" /e /r /s</v>
      </c>
      <c r="AG45" s="1" t="str">
        <f t="shared" si="45"/>
        <v>EC</v>
      </c>
      <c r="AH45" s="86" t="str">
        <f t="shared" si="18"/>
        <v>"%USERPROFILE%\Documents\GitHub\eaglep3\Utilities\RefineRTDCRunTimes.py" --tripid 133-18 --locoid 4022 --swversion DE.1.0.9.0 --startMP 204:447 --initTime 2017-02-18T07:40:46 --startdatetime 2017-02-18T07:45:20 --delay 1 --endMP 204:233288 --enddatetime 2017-02-18T08:20:41 --enforcementcount 0 &gt;&gt;C:\Users\stu\Documents\GitHub\eaglep3-reporting\EC\2017-02-18-refined-times.txt</v>
      </c>
      <c r="AI4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{"issue":{"subject":"","project_id":79,"tracker_id":40,"status_id":1,"priority_id":2,"assigned_to_id":23,"start_date":"2017-02-18","description":"","custom_fields":[{"id":1,"name":"Subdivision","value":"EC"},{"id":4,"name":"Milepost","value":"23.3288"},{"id":17,"name":"Train ID","value":"133-18"},{"id":16,"name":"Locomotive ID","value":"4022"},{"id":130,"name":"Impact","value":""},{"id":150,"name":"Time of Event (Mountain Time)","value":"08:20:41"},{"id":151,"name":"Denver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4022 --day 2017-02-18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"%USERPROFILE%\AppData\Local\Temp\OnboardLogs"\RTDC4022\*4022*20170218* | grep -SE "(Enforcement Action)|(\[TIMEOUT)|(CHR.+\|PRM\|1\|D.+(SWITCH|SIGNAL).+UNKNOWN)" - &gt;&gt; 2017-02-18-UncaughtWiMAX.txt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547</v>
      </c>
      <c r="B46" s="7">
        <v>4021</v>
      </c>
      <c r="C46" s="21" t="s">
        <v>680</v>
      </c>
      <c r="D46" s="21" t="s">
        <v>361</v>
      </c>
      <c r="E46" s="13">
        <v>42784.356157407405</v>
      </c>
      <c r="F46" s="13">
        <v>42784.36210648148</v>
      </c>
      <c r="G46" s="7">
        <v>0</v>
      </c>
      <c r="H46" s="21" t="s">
        <v>697</v>
      </c>
      <c r="I46" s="13">
        <v>42784.401192129626</v>
      </c>
      <c r="J46" s="7">
        <v>0</v>
      </c>
      <c r="K46" s="98" t="str">
        <f t="shared" si="35"/>
        <v>4021/4022</v>
      </c>
      <c r="L46" s="21" t="str">
        <f>VLOOKUP(A46,'Trips&amp;Operators'!$C$1:$G$99999,5,FALSE)</f>
        <v>MAELZER KURT</v>
      </c>
      <c r="M46" s="6">
        <f t="shared" si="36"/>
        <v>3.9085648146283347E-2</v>
      </c>
      <c r="N46" s="7">
        <f t="shared" si="50"/>
        <v>56.28333333064802</v>
      </c>
      <c r="O46" s="7"/>
      <c r="P46" s="7"/>
      <c r="Q46" s="22"/>
      <c r="R46" s="22"/>
      <c r="S46" s="31">
        <f t="shared" si="38"/>
        <v>1</v>
      </c>
      <c r="T46" s="46" t="str">
        <f t="shared" si="39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5"/>
        <v>https://d0f6bd738d7f1b3e5a7ca70fe4ff75f0.us-east-1.aws.found.io/app/kibana#/discover/Steve-Slow-Train-Analysis-(2080s-and-2083s)?_g=(refreshInterval:(display:Off,pause:!f,section:0,value:0),time:(from:'2017-02-18T07:32:52-0700',mode:absolute,to:'2017-02-18T10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6" s="188" t="str">
        <f t="shared" si="40"/>
        <v>N</v>
      </c>
      <c r="X46" s="188">
        <f t="shared" si="46"/>
        <v>1</v>
      </c>
      <c r="Y46" s="62">
        <f t="shared" si="41"/>
        <v>23.2973</v>
      </c>
      <c r="Z46" s="62">
        <f t="shared" si="42"/>
        <v>0.20660000000000001</v>
      </c>
      <c r="AA46" s="62">
        <f t="shared" si="43"/>
        <v>23.090699999999998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44"/>
        <v>0134-18</v>
      </c>
      <c r="AE46" s="85" t="str">
        <f t="shared" si="12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46" s="82" t="str">
        <f t="shared" si="13"/>
        <v>"C:\Program Files (x86)\AstroGrep\AstroGrep.exe" /spath="%USERPROFILE%\AppData\Local\Temp\OnboardLogs" /stypes="app*4021*20170218*" /stext=" 16:.+((SYSTEM_STATE.+slice.+state.+changed )|(ment ac)|(multiple cpu faults)|(system.+state.+changed )|(\[timeout)|(PRM\|1\|D)|(kpr)|(kdp)|(\|lc)|(penalty))" /e /r /s</v>
      </c>
      <c r="AG46" s="1" t="str">
        <f t="shared" si="45"/>
        <v>EC</v>
      </c>
      <c r="AH46" s="86" t="str">
        <f t="shared" si="18"/>
        <v>"%USERPROFILE%\Documents\GitHub\eaglep3\Utilities\RefineRTDCRunTimes.py" --tripid 134-18 --locoid 4021 --swversion DE.1.0.9.0 --startMP 204:232973 --initTime 2017-02-18T08:32:52 --startdatetime 2017-02-18T08:41:26 --delay 0 --endMP 204:2066 --enddatetime 2017-02-18T09:37:43 --enforcementcount 0 &gt;&gt;C:\Users\stu\Documents\GitHub\eaglep3-reporting\EC\2017-02-18-refined-times.txt</v>
      </c>
      <c r="AI4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{"issue":{"subject":"","project_id":79,"tracker_id":40,"status_id":1,"priority_id":2,"assigned_to_id":23,"start_date":"2017-02-18","description":"","custom_fields":[{"id":1,"name":"Subdivision","value":"EC"},{"id":4,"name":"Milepost","value":"0.2066"},{"id":17,"name":"Train ID","value":"134-18"},{"id":16,"name":"Locomotive ID","value":"4021"},{"id":130,"name":"Impact","value":""},{"id":150,"name":"Time of Event (Mountain Time)","value":"09:37:43"},{"id":151,"name":"Denver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4021 --day 2017-02-18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"%USERPROFILE%\AppData\Local\Temp\OnboardLogs"\RTDC4021\*4021*20170218* | grep -SE "(Enforcement Action)|(\[TIMEOUT)|(CHR.+\|PRM\|1\|D.+(SWITCH|SIGNAL).+UNKNOWN)" - &gt;&gt; 2017-02-18-UncaughtWiMAX.txt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541</v>
      </c>
      <c r="B47" s="7">
        <v>4018</v>
      </c>
      <c r="C47" s="21" t="s">
        <v>680</v>
      </c>
      <c r="D47" s="21" t="s">
        <v>262</v>
      </c>
      <c r="E47" s="13">
        <v>42784.330960648149</v>
      </c>
      <c r="F47" s="13">
        <v>42784.333564814813</v>
      </c>
      <c r="G47" s="7">
        <v>1</v>
      </c>
      <c r="H47" s="21" t="s">
        <v>698</v>
      </c>
      <c r="I47" s="13">
        <v>42784.358865740738</v>
      </c>
      <c r="J47" s="7">
        <v>0</v>
      </c>
      <c r="K47" s="98" t="str">
        <f t="shared" si="35"/>
        <v>4017/4018</v>
      </c>
      <c r="L47" s="21" t="str">
        <f>VLOOKUP(A47,'Trips&amp;Operators'!$C$1:$G$99999,5,FALSE)</f>
        <v>DE LA ROSA ALEX</v>
      </c>
      <c r="M47" s="6">
        <f t="shared" si="36"/>
        <v>2.5300925924966577E-2</v>
      </c>
      <c r="N47" s="7">
        <f t="shared" si="50"/>
        <v>36.433333331951872</v>
      </c>
      <c r="O47" s="7"/>
      <c r="P47" s="7"/>
      <c r="Q47" s="22"/>
      <c r="R47" s="22"/>
      <c r="S47" s="31">
        <f t="shared" si="38"/>
        <v>1</v>
      </c>
      <c r="T47" s="46" t="str">
        <f t="shared" si="39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5"/>
        <v>https://d0f6bd738d7f1b3e5a7ca70fe4ff75f0.us-east-1.aws.found.io/app/kibana#/discover/Steve-Slow-Train-Analysis-(2080s-and-2083s)?_g=(refreshInterval:(display:Off,pause:!f,section:0,value:0),time:(from:'2017-02-18T06:56:35-0700',mode:absolute,to:'2017-02-18T09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188" t="str">
        <f t="shared" si="40"/>
        <v>N</v>
      </c>
      <c r="X47" s="188">
        <f t="shared" si="46"/>
        <v>1</v>
      </c>
      <c r="Y47" s="62">
        <f t="shared" si="41"/>
        <v>4.5499999999999999E-2</v>
      </c>
      <c r="Z47" s="62">
        <f t="shared" si="42"/>
        <v>23.331499999999998</v>
      </c>
      <c r="AA47" s="62">
        <f t="shared" si="43"/>
        <v>23.285999999999998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44"/>
        <v>0135-18</v>
      </c>
      <c r="AE47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47" s="82" t="str">
        <f t="shared" si="13"/>
        <v>"C:\Program Files (x86)\AstroGrep\AstroGrep.exe" /spath="%USERPROFILE%\AppData\Local\Temp\OnboardLogs" /stypes="app*4018*20170218*" /stext=" 15:.+((SYSTEM_STATE.+slice.+state.+changed )|(ment ac)|(multiple cpu faults)|(system.+state.+changed )|(\[timeout)|(PRM\|1\|D)|(kpr)|(kdp)|(\|lc)|(penalty))" /e /r /s</v>
      </c>
      <c r="AG47" s="1" t="str">
        <f t="shared" si="45"/>
        <v>EC</v>
      </c>
      <c r="AH47" s="86" t="str">
        <f t="shared" si="18"/>
        <v>"%USERPROFILE%\Documents\GitHub\eaglep3\Utilities\RefineRTDCRunTimes.py" --tripid 135-18 --locoid 4018 --swversion DE.1.0.9.0 --startMP 204:455 --initTime 2017-02-18T07:56:35 --startdatetime 2017-02-18T08:00:20 --delay 1 --endMP 204:233315 --enddatetime 2017-02-18T08:36:46 --enforcementcount 0 &gt;&gt;C:\Users\stu\Documents\GitHub\eaglep3-reporting\EC\2017-02-18-refined-times.txt</v>
      </c>
      <c r="AI4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{"issue":{"subject":"","project_id":79,"tracker_id":40,"status_id":1,"priority_id":2,"assigned_to_id":23,"start_date":"2017-02-18","description":"","custom_fields":[{"id":1,"name":"Subdivision","value":"EC"},{"id":4,"name":"Milepost","value":"23.3315"},{"id":17,"name":"Train ID","value":"135-18"},{"id":16,"name":"Locomotive ID","value":"4018"},{"id":130,"name":"Impact","value":""},{"id":150,"name":"Time of Event (Mountain Time)","value":"08:36:46"},{"id":151,"name":"Denver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4018 --day 2017-02-18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550</v>
      </c>
      <c r="B48" s="7">
        <v>4017</v>
      </c>
      <c r="C48" s="21" t="s">
        <v>680</v>
      </c>
      <c r="D48" s="21" t="s">
        <v>269</v>
      </c>
      <c r="E48" s="13">
        <v>42784.367951388886</v>
      </c>
      <c r="F48" s="13">
        <v>42784.372615740744</v>
      </c>
      <c r="G48" s="7">
        <v>1</v>
      </c>
      <c r="H48" s="21" t="s">
        <v>184</v>
      </c>
      <c r="I48" s="13">
        <v>42784.405775462961</v>
      </c>
      <c r="J48" s="7">
        <v>0</v>
      </c>
      <c r="K48" s="98" t="str">
        <f t="shared" si="35"/>
        <v>4017/4018</v>
      </c>
      <c r="L48" s="21" t="str">
        <f>VLOOKUP(A48,'Trips&amp;Operators'!$C$1:$G$99999,5,FALSE)</f>
        <v>DE LA ROSA ALEX</v>
      </c>
      <c r="M48" s="6">
        <f t="shared" si="36"/>
        <v>3.3159722217533272E-2</v>
      </c>
      <c r="N48" s="7">
        <f t="shared" si="50"/>
        <v>47.749999993247911</v>
      </c>
      <c r="O48" s="7"/>
      <c r="P48" s="7"/>
      <c r="Q48" s="22"/>
      <c r="R48" s="22"/>
      <c r="S48" s="31">
        <f t="shared" si="38"/>
        <v>1</v>
      </c>
      <c r="T48" s="46" t="str">
        <f t="shared" si="39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5"/>
        <v>https://d0f6bd738d7f1b3e5a7ca70fe4ff75f0.us-east-1.aws.found.io/app/kibana#/discover/Steve-Slow-Train-Analysis-(2080s-and-2083s)?_g=(refreshInterval:(display:Off,pause:!f,section:0,value:0),time:(from:'2017-02-18T07:49:51-0700',mode:absolute,to:'2017-02-18T10:44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188" t="str">
        <f t="shared" si="40"/>
        <v>N</v>
      </c>
      <c r="X48" s="188">
        <f t="shared" si="46"/>
        <v>1</v>
      </c>
      <c r="Y48" s="62">
        <f t="shared" si="41"/>
        <v>23.299099999999999</v>
      </c>
      <c r="Z48" s="62">
        <f t="shared" si="42"/>
        <v>1.49E-2</v>
      </c>
      <c r="AA48" s="62">
        <f t="shared" si="43"/>
        <v>23.284199999999998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44"/>
        <v>0136-18</v>
      </c>
      <c r="AE48" s="85" t="str">
        <f t="shared" si="12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48" s="82" t="str">
        <f t="shared" si="13"/>
        <v>"C:\Program Files (x86)\AstroGrep\AstroGrep.exe" /spath="%USERPROFILE%\AppData\Local\Temp\OnboardLogs" /stypes="app*4017*20170218*" /stext=" 16:.+((SYSTEM_STATE.+slice.+state.+changed )|(ment ac)|(multiple cpu faults)|(system.+state.+changed )|(\[timeout)|(PRM\|1\|D)|(kpr)|(kdp)|(\|lc)|(penalty))" /e /r /s</v>
      </c>
      <c r="AG48" s="1" t="str">
        <f t="shared" si="45"/>
        <v>EC</v>
      </c>
      <c r="AH48" s="86" t="str">
        <f t="shared" si="18"/>
        <v>"%USERPROFILE%\Documents\GitHub\eaglep3\Utilities\RefineRTDCRunTimes.py" --tripid 136-18 --locoid 4017 --swversion DE.1.0.9.0 --startMP 204:232991 --initTime 2017-02-18T08:49:51 --startdatetime 2017-02-18T08:56:34 --delay 1 --endMP 204:149 --enddatetime 2017-02-18T09:44:19 --enforcementcount 0 &gt;&gt;C:\Users\stu\Documents\GitHub\eaglep3-reporting\EC\2017-02-18-refined-times.txt</v>
      </c>
      <c r="AI4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{"issue":{"subject":"","project_id":79,"tracker_id":40,"status_id":1,"priority_id":2,"assigned_to_id":23,"start_date":"2017-02-18","description":"","custom_fields":[{"id":1,"name":"Subdivision","value":"EC"},{"id":4,"name":"Milepost","value":"0.0149"},{"id":17,"name":"Train ID","value":"136-18"},{"id":16,"name":"Locomotive ID","value":"4017"},{"id":130,"name":"Impact","value":""},{"id":150,"name":"Time of Event (Mountain Time)","value":"09:44:19"},{"id":151,"name":"Denver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4017 --day 2017-02-18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544</v>
      </c>
      <c r="B49" s="7">
        <v>4007</v>
      </c>
      <c r="C49" s="21" t="s">
        <v>680</v>
      </c>
      <c r="D49" s="21" t="s">
        <v>699</v>
      </c>
      <c r="E49" s="13">
        <v>42784.369108796294</v>
      </c>
      <c r="F49" s="13">
        <v>42784.369768518518</v>
      </c>
      <c r="G49" s="7">
        <v>0</v>
      </c>
      <c r="H49" s="21" t="s">
        <v>693</v>
      </c>
      <c r="I49" s="13">
        <v>42784.377488425926</v>
      </c>
      <c r="J49" s="7">
        <v>0</v>
      </c>
      <c r="K49" s="98" t="str">
        <f t="shared" si="35"/>
        <v>4007/4008</v>
      </c>
      <c r="L49" s="21" t="str">
        <f>VLOOKUP(A49,'Trips&amp;Operators'!$C$1:$G$99999,5,FALSE)</f>
        <v>BRANDNER MELINDA</v>
      </c>
      <c r="M49" s="6">
        <f t="shared" si="36"/>
        <v>7.7199074075906537E-3</v>
      </c>
      <c r="N49" s="7"/>
      <c r="O49" s="7"/>
      <c r="P49" s="7">
        <f>24*60*SUM($M49:$M50)</f>
        <v>38.366666666697711</v>
      </c>
      <c r="Q49" s="22"/>
      <c r="R49" s="22" t="s">
        <v>848</v>
      </c>
      <c r="S49" s="31">
        <f>SUM(U49:U50)/IF(AG49="EC",12,1)</f>
        <v>1</v>
      </c>
      <c r="T49" s="46" t="str">
        <f t="shared" si="39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187" t="str">
        <f t="shared" si="5"/>
        <v>https://d0f6bd738d7f1b3e5a7ca70fe4ff75f0.us-east-1.aws.found.io/app/kibana#/discover/Steve-Slow-Train-Analysis-(2080s-and-2083s)?_g=(refreshInterval:(display:Off,pause:!f,section:0,value:0),time:(from:'2017-02-18T07:51:31-0700',mode:absolute,to:'2017-02-18T10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9" s="188" t="str">
        <f t="shared" si="40"/>
        <v>Y</v>
      </c>
      <c r="X49" s="188">
        <f t="shared" si="46"/>
        <v>1</v>
      </c>
      <c r="Y49" s="62">
        <f t="shared" si="41"/>
        <v>15.4429</v>
      </c>
      <c r="Z49" s="62">
        <f t="shared" si="42"/>
        <v>23.3291</v>
      </c>
      <c r="AA49" s="62">
        <f t="shared" si="43"/>
        <v>7.8862000000000005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44"/>
        <v>0137-18</v>
      </c>
      <c r="AE49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49" s="82" t="str">
        <f t="shared" si="13"/>
        <v>"C:\Program Files (x86)\AstroGrep\AstroGrep.exe" /spath="%USERPROFILE%\AppData\Local\Temp\OnboardLogs" /stypes="app*4007*20170218*" /stext=" 16:.+((SYSTEM_STATE.+slice.+state.+changed )|(ment ac)|(multiple cpu faults)|(system.+state.+changed )|(\[timeout)|(PRM\|1\|D)|(kpr)|(kdp)|(\|lc)|(penalty))" /e /r /s</v>
      </c>
      <c r="AG49" s="1" t="str">
        <f t="shared" si="45"/>
        <v>EC</v>
      </c>
      <c r="AH49" s="86" t="str">
        <f t="shared" si="18"/>
        <v>"%USERPROFILE%\Documents\GitHub\eaglep3\Utilities\RefineRTDCRunTimes.py" --tripid 137-18 --locoid 4007 --swversion DE.1.0.9.0 --startMP 204:154429 --initTime 2017-02-18T08:51:31 --startdatetime 2017-02-18T08:52:28 --delay 0 --endMP 204:233291 --enddatetime 2017-02-18T09:03:35 --enforcementcount 0 &gt;&gt;C:\Users\stu\Documents\GitHub\eaglep3-reporting\EC\2017-02-18-refined-times.txt</v>
      </c>
      <c r="AI49" s="108" t="str">
        <f t="shared" si="19"/>
        <v>echo {"issue":{"subject":"Maintenance on EC1267RH","project_id":79,"tracker_id":40,"status_id":1,"priority_id":2,"assigned_to_id":23,"start_date":"2017-02-18","description":"","custom_fields":[{"id":1,"name":"Subdivision","value":"EC"},{"id":4,"name":"Milepost","value":"23.3291"},{"id":17,"name":"Train ID","value":"137-18"},{"id":16,"name":"Locomotive ID","value":"4007"},{"id":130,"name":"Impact","value":""},{"id":150,"name":"Time of Event (Mountain Time)","value":"09:03:35"},{"id":151,"name":"Denver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4007 --day 2017-02-18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544</v>
      </c>
      <c r="B50" s="7">
        <v>4007</v>
      </c>
      <c r="C50" s="21" t="s">
        <v>680</v>
      </c>
      <c r="D50" s="21" t="s">
        <v>700</v>
      </c>
      <c r="E50" s="13">
        <v>42784.342546296299</v>
      </c>
      <c r="F50" s="13">
        <v>42784.343506944446</v>
      </c>
      <c r="G50" s="7">
        <v>1</v>
      </c>
      <c r="H50" s="21" t="s">
        <v>701</v>
      </c>
      <c r="I50" s="13">
        <v>42784.362430555557</v>
      </c>
      <c r="J50" s="7">
        <v>0</v>
      </c>
      <c r="K50" s="98" t="str">
        <f t="shared" si="35"/>
        <v>4007/4008</v>
      </c>
      <c r="L50" s="21" t="str">
        <f>VLOOKUP(A50,'Trips&amp;Operators'!$C$1:$G$99999,5,FALSE)</f>
        <v>BRANDNER MELINDA</v>
      </c>
      <c r="M50" s="6">
        <f t="shared" si="36"/>
        <v>1.8923611110949423E-2</v>
      </c>
      <c r="N50" s="7"/>
      <c r="O50" s="7"/>
      <c r="P50" s="7"/>
      <c r="Q50" s="22"/>
      <c r="R50" s="22"/>
      <c r="S50" s="31"/>
      <c r="T50" s="46" t="str">
        <f t="shared" si="39"/>
        <v>NorthBound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5"/>
        <v>https://d0f6bd738d7f1b3e5a7ca70fe4ff75f0.us-east-1.aws.found.io/app/kibana#/discover/Steve-Slow-Train-Analysis-(2080s-and-2083s)?_g=(refreshInterval:(display:Off,pause:!f,section:0,value:0),time:(from:'2017-02-18T07:13:16-0700',mode:absolute,to:'2017-02-18T09:41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88" t="str">
        <f t="shared" si="40"/>
        <v>Y</v>
      </c>
      <c r="X50" s="188">
        <f t="shared" si="46"/>
        <v>0</v>
      </c>
      <c r="Y50" s="62">
        <f t="shared" si="41"/>
        <v>4.8000000000000001E-2</v>
      </c>
      <c r="Z50" s="62">
        <f t="shared" si="42"/>
        <v>12.3072</v>
      </c>
      <c r="AA50" s="62">
        <f t="shared" si="43"/>
        <v>12.2592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44"/>
        <v>0137-18</v>
      </c>
      <c r="AE50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50" s="82" t="str">
        <f t="shared" si="13"/>
        <v>"C:\Program Files (x86)\AstroGrep\AstroGrep.exe" /spath="%USERPROFILE%\AppData\Local\Temp\OnboardLogs" /stypes="app*4007*20170218*" /stext=" 15:.+((SYSTEM_STATE.+slice.+state.+changed )|(ment ac)|(multiple cpu faults)|(system.+state.+changed )|(\[timeout)|(PRM\|1\|D)|(kpr)|(kdp)|(\|lc)|(penalty))" /e /r /s</v>
      </c>
      <c r="AG50" s="1" t="str">
        <f t="shared" si="45"/>
        <v>EC</v>
      </c>
      <c r="AH50" s="86" t="str">
        <f t="shared" si="18"/>
        <v>"%USERPROFILE%\Documents\GitHub\eaglep3\Utilities\RefineRTDCRunTimes.py" --tripid 137-18 --locoid 4007 --swversion DE.1.0.9.0 --startMP 204:480 --initTime 2017-02-18T08:13:16 --startdatetime 2017-02-18T08:14:39 --delay 1 --endMP 204:123072 --enddatetime 2017-02-18T08:41:54 --enforcementcount 0 &gt;&gt;C:\Users\stu\Documents\GitHub\eaglep3-reporting\EC\2017-02-18-refined-times.txt</v>
      </c>
      <c r="AI5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{"issue":{"subject":"","project_id":79,"tracker_id":40,"status_id":1,"priority_id":2,"assigned_to_id":23,"start_date":"2017-02-18","description":"","custom_fields":[{"id":1,"name":"Subdivision","value":"EC"},{"id":4,"name":"Milepost","value":"12.3072"},{"id":17,"name":"Train ID","value":"137-18"},{"id":16,"name":"Locomotive ID","value":"4007"},{"id":130,"name":"Impact","value":""},{"id":150,"name":"Time of Event (Mountain Time)","value":"08:41:54"},{"id":151,"name":"Denver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4007 --day 2017-02-18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442</v>
      </c>
      <c r="B51" s="7">
        <v>4008</v>
      </c>
      <c r="C51" s="21" t="s">
        <v>680</v>
      </c>
      <c r="D51" s="21" t="s">
        <v>285</v>
      </c>
      <c r="E51" s="13">
        <v>42784.379710648151</v>
      </c>
      <c r="F51" s="13">
        <v>42784.383020833331</v>
      </c>
      <c r="G51" s="7">
        <v>2</v>
      </c>
      <c r="H51" s="21" t="s">
        <v>702</v>
      </c>
      <c r="I51" s="13">
        <v>42784.414375</v>
      </c>
      <c r="J51" s="7">
        <v>0</v>
      </c>
      <c r="K51" s="98" t="str">
        <f t="shared" si="35"/>
        <v>4007/4008</v>
      </c>
      <c r="L51" s="21" t="str">
        <f>VLOOKUP(A51,'Trips&amp;Operators'!$C$1:$G$99999,5,FALSE)</f>
        <v>BRANDNER MELINDA</v>
      </c>
      <c r="M51" s="6">
        <f t="shared" si="36"/>
        <v>3.1354166669188999E-2</v>
      </c>
      <c r="N51" s="7">
        <f t="shared" ref="N51:N70" si="51">24*60*SUM($M51:$M51)</f>
        <v>45.150000003632158</v>
      </c>
      <c r="O51" s="7"/>
      <c r="P51" s="7"/>
      <c r="Q51" s="22"/>
      <c r="R51" s="22"/>
      <c r="S51" s="31">
        <f t="shared" ref="S51:S82" si="52">SUM(U51:U51)/IF(AG51="EC",12,1)</f>
        <v>1</v>
      </c>
      <c r="T51" s="46" t="str">
        <f t="shared" si="39"/>
        <v>Southbound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5"/>
        <v>https://d0f6bd738d7f1b3e5a7ca70fe4ff75f0.us-east-1.aws.found.io/app/kibana#/discover/Steve-Slow-Train-Analysis-(2080s-and-2083s)?_g=(refreshInterval:(display:Off,pause:!f,section:0,value:0),time:(from:'2017-02-18T08:06:47-0700',mode:absolute,to:'2017-02-18T10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188" t="str">
        <f t="shared" si="40"/>
        <v>N</v>
      </c>
      <c r="X51" s="188">
        <f t="shared" si="46"/>
        <v>1</v>
      </c>
      <c r="Y51" s="62">
        <f t="shared" si="41"/>
        <v>23.297999999999998</v>
      </c>
      <c r="Z51" s="62">
        <f t="shared" si="42"/>
        <v>1.72E-2</v>
      </c>
      <c r="AA51" s="62">
        <f t="shared" si="43"/>
        <v>23.280799999999999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44"/>
        <v>0138-18</v>
      </c>
      <c r="AE51" s="85" t="str">
        <f t="shared" si="12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51" s="82" t="str">
        <f t="shared" si="13"/>
        <v>"C:\Program Files (x86)\AstroGrep\AstroGrep.exe" /spath="%USERPROFILE%\AppData\Local\Temp\OnboardLogs" /stypes="app*4008*20170218*" /stext=" 16:.+((SYSTEM_STATE.+slice.+state.+changed )|(ment ac)|(multiple cpu faults)|(system.+state.+changed )|(\[timeout)|(PRM\|1\|D)|(kpr)|(kdp)|(\|lc)|(penalty))" /e /r /s</v>
      </c>
      <c r="AG51" s="1" t="str">
        <f t="shared" si="45"/>
        <v>EC</v>
      </c>
      <c r="AH51" s="86" t="str">
        <f t="shared" si="18"/>
        <v>"%USERPROFILE%\Documents\GitHub\eaglep3\Utilities\RefineRTDCRunTimes.py" --tripid 138-18 --locoid 4008 --swversion DE.1.0.9.0 --startMP 204:232980 --initTime 2017-02-18T09:06:47 --startdatetime 2017-02-18T09:11:33 --delay 2 --endMP 204:172 --enddatetime 2017-02-18T09:56:42 --enforcementcount 0 &gt;&gt;C:\Users\stu\Documents\GitHub\eaglep3-reporting\EC\2017-02-18-refined-times.txt</v>
      </c>
      <c r="AI5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{"issue":{"subject":"","project_id":79,"tracker_id":40,"status_id":1,"priority_id":2,"assigned_to_id":23,"start_date":"2017-02-18","description":"","custom_fields":[{"id":1,"name":"Subdivision","value":"EC"},{"id":4,"name":"Milepost","value":"0.0172"},{"id":17,"name":"Train ID","value":"138-18"},{"id":16,"name":"Locomotive ID","value":"4008"},{"id":130,"name":"Impact","value":""},{"id":150,"name":"Time of Event (Mountain Time)","value":"09:56:42"},{"id":151,"name":"Denver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4008 --day 2017-02-18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546</v>
      </c>
      <c r="B52" s="7">
        <v>4011</v>
      </c>
      <c r="C52" s="21" t="s">
        <v>680</v>
      </c>
      <c r="D52" s="21" t="s">
        <v>261</v>
      </c>
      <c r="E52" s="13">
        <v>42784.350763888891</v>
      </c>
      <c r="F52" s="13">
        <v>42784.354479166665</v>
      </c>
      <c r="G52" s="7">
        <v>2</v>
      </c>
      <c r="H52" s="21" t="s">
        <v>419</v>
      </c>
      <c r="I52" s="13">
        <v>42784.3903125</v>
      </c>
      <c r="J52" s="7">
        <v>0</v>
      </c>
      <c r="K52" s="98" t="str">
        <f t="shared" si="35"/>
        <v>4011/4012</v>
      </c>
      <c r="L52" s="21" t="str">
        <f>VLOOKUP(A52,'Trips&amp;Operators'!$C$1:$G$99999,5,FALSE)</f>
        <v>LOZA FIDEL</v>
      </c>
      <c r="M52" s="6">
        <f t="shared" si="36"/>
        <v>3.5833333335176576E-2</v>
      </c>
      <c r="N52" s="7">
        <f t="shared" si="51"/>
        <v>51.600000002654269</v>
      </c>
      <c r="O52" s="7"/>
      <c r="P52" s="7"/>
      <c r="Q52" s="22"/>
      <c r="R52" s="22"/>
      <c r="S52" s="31">
        <f t="shared" si="52"/>
        <v>1</v>
      </c>
      <c r="T52" s="46" t="str">
        <f t="shared" si="39"/>
        <v>NorthBound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5"/>
        <v>https://d0f6bd738d7f1b3e5a7ca70fe4ff75f0.us-east-1.aws.found.io/app/kibana#/discover/Steve-Slow-Train-Analysis-(2080s-and-2083s)?_g=(refreshInterval:(display:Off,pause:!f,section:0,value:0),time:(from:'2017-02-18T07:25:06-0700',mode:absolute,to:'2017-02-18T10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2" s="188" t="str">
        <f t="shared" si="40"/>
        <v>N</v>
      </c>
      <c r="X52" s="188">
        <f t="shared" si="46"/>
        <v>1</v>
      </c>
      <c r="Y52" s="62">
        <f t="shared" si="41"/>
        <v>4.4600000000000001E-2</v>
      </c>
      <c r="Z52" s="62">
        <f t="shared" si="42"/>
        <v>23.332100000000001</v>
      </c>
      <c r="AA52" s="62">
        <f t="shared" si="43"/>
        <v>23.287500000000001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44"/>
        <v>0139-18</v>
      </c>
      <c r="AE52" s="85" t="str">
        <f t="shared" si="12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52" s="82" t="str">
        <f t="shared" si="13"/>
        <v>"C:\Program Files (x86)\AstroGrep\AstroGrep.exe" /spath="%USERPROFILE%\AppData\Local\Temp\OnboardLogs" /stypes="app*4011*20170218*" /stext=" 16:.+((SYSTEM_STATE.+slice.+state.+changed )|(ment ac)|(multiple cpu faults)|(system.+state.+changed )|(\[timeout)|(PRM\|1\|D)|(kpr)|(kdp)|(\|lc)|(penalty))" /e /r /s</v>
      </c>
      <c r="AG52" s="1" t="str">
        <f t="shared" si="45"/>
        <v>EC</v>
      </c>
      <c r="AH52" s="86" t="str">
        <f t="shared" si="18"/>
        <v>"%USERPROFILE%\Documents\GitHub\eaglep3\Utilities\RefineRTDCRunTimes.py" --tripid 139-18 --locoid 4011 --swversion DE.1.0.9.0 --startMP 204:446 --initTime 2017-02-18T08:25:06 --startdatetime 2017-02-18T08:30:27 --delay 2 --endMP 204:233321 --enddatetime 2017-02-18T09:22:03 --enforcementcount 0 &gt;&gt;C:\Users\stu\Documents\GitHub\eaglep3-reporting\EC\2017-02-18-refined-times.txt</v>
      </c>
      <c r="AI5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{"issue":{"subject":"","project_id":79,"tracker_id":40,"status_id":1,"priority_id":2,"assigned_to_id":23,"start_date":"2017-02-18","description":"","custom_fields":[{"id":1,"name":"Subdivision","value":"EC"},{"id":4,"name":"Milepost","value":"23.3321"},{"id":17,"name":"Train ID","value":"139-18"},{"id":16,"name":"Locomotive ID","value":"4011"},{"id":130,"name":"Impact","value":""},{"id":150,"name":"Time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4011 --day 2017-02-18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555</v>
      </c>
      <c r="B53" s="7">
        <v>4012</v>
      </c>
      <c r="C53" s="21" t="s">
        <v>680</v>
      </c>
      <c r="D53" s="21" t="s">
        <v>703</v>
      </c>
      <c r="E53" s="13">
        <v>42784.391956018517</v>
      </c>
      <c r="F53" s="13">
        <v>42784.393946759257</v>
      </c>
      <c r="G53" s="7">
        <v>1</v>
      </c>
      <c r="H53" s="21" t="s">
        <v>303</v>
      </c>
      <c r="I53" s="13">
        <v>42784.42119212963</v>
      </c>
      <c r="J53" s="7">
        <v>0</v>
      </c>
      <c r="K53" s="98" t="str">
        <f t="shared" si="35"/>
        <v>4011/4012</v>
      </c>
      <c r="L53" s="21" t="str">
        <f>VLOOKUP(A53,'Trips&amp;Operators'!$C$1:$G$99999,5,FALSE)</f>
        <v>LOZA FIDEL</v>
      </c>
      <c r="M53" s="6">
        <f t="shared" si="36"/>
        <v>2.7245370372838806E-2</v>
      </c>
      <c r="N53" s="7">
        <f t="shared" si="51"/>
        <v>39.233333336887881</v>
      </c>
      <c r="O53" s="7"/>
      <c r="P53" s="7"/>
      <c r="Q53" s="22"/>
      <c r="R53" s="22"/>
      <c r="S53" s="31">
        <f t="shared" si="52"/>
        <v>1</v>
      </c>
      <c r="T53" s="46" t="str">
        <f t="shared" si="39"/>
        <v>Southbound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5"/>
        <v>https://d0f6bd738d7f1b3e5a7ca70fe4ff75f0.us-east-1.aws.found.io/app/kibana#/discover/Steve-Slow-Train-Analysis-(2080s-and-2083s)?_g=(refreshInterval:(display:Off,pause:!f,section:0,value:0),time:(from:'2017-02-18T08:24:25-0700',mode:absolute,to:'2017-02-18T11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188" t="str">
        <f t="shared" si="40"/>
        <v>N</v>
      </c>
      <c r="X53" s="188">
        <f t="shared" si="46"/>
        <v>1</v>
      </c>
      <c r="Y53" s="62">
        <f t="shared" si="41"/>
        <v>23.301300000000001</v>
      </c>
      <c r="Z53" s="62">
        <f t="shared" si="42"/>
        <v>1.38E-2</v>
      </c>
      <c r="AA53" s="62">
        <f t="shared" si="43"/>
        <v>23.287500000000001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44"/>
        <v>0140-18</v>
      </c>
      <c r="AE53" s="85" t="str">
        <f t="shared" si="12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53" s="82" t="str">
        <f t="shared" si="13"/>
        <v>"C:\Program Files (x86)\AstroGrep\AstroGrep.exe" /spath="%USERPROFILE%\AppData\Local\Temp\OnboardLogs" /stypes="app*4012*20170218*" /stext=" 17:.+((SYSTEM_STATE.+slice.+state.+changed )|(ment ac)|(multiple cpu faults)|(system.+state.+changed )|(\[timeout)|(PRM\|1\|D)|(kpr)|(kdp)|(\|lc)|(penalty))" /e /r /s</v>
      </c>
      <c r="AG53" s="1" t="str">
        <f t="shared" si="45"/>
        <v>EC</v>
      </c>
      <c r="AH53" s="86" t="str">
        <f t="shared" si="18"/>
        <v>"%USERPROFILE%\Documents\GitHub\eaglep3\Utilities\RefineRTDCRunTimes.py" --tripid 140-18 --locoid 4012 --swversion DE.1.0.9.0 --startMP 204:233013 --initTime 2017-02-18T09:24:25 --startdatetime 2017-02-18T09:27:17 --delay 1 --endMP 204:138 --enddatetime 2017-02-18T10:06:31 --enforcementcount 0 &gt;&gt;C:\Users\stu\Documents\GitHub\eaglep3-reporting\EC\2017-02-18-refined-times.txt</v>
      </c>
      <c r="AI5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{"issue":{"subject":"","project_id":79,"tracker_id":40,"status_id":1,"priority_id":2,"assigned_to_id":23,"start_date":"2017-02-18","description":"","custom_fields":[{"id":1,"name":"Subdivision","value":"EC"},{"id":4,"name":"Milepost","value":"0.0138"},{"id":17,"name":"Train ID","value":"140-18"},{"id":16,"name":"Locomotive ID","value":"4012"},{"id":130,"name":"Impact","value":""},{"id":150,"name":"Time of Event (Mountain Time)","value":"10:06:31"},{"id":151,"name":"Denver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4012 --day 2017-02-18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549</v>
      </c>
      <c r="B54" s="7">
        <v>4053</v>
      </c>
      <c r="C54" s="21" t="s">
        <v>680</v>
      </c>
      <c r="D54" s="21" t="s">
        <v>414</v>
      </c>
      <c r="E54" s="13">
        <v>42784.362847222219</v>
      </c>
      <c r="F54" s="13">
        <v>42784.365324074075</v>
      </c>
      <c r="G54" s="7">
        <v>1</v>
      </c>
      <c r="H54" s="21" t="s">
        <v>355</v>
      </c>
      <c r="I54" s="13">
        <v>42784.393807870372</v>
      </c>
      <c r="J54" s="7">
        <v>0</v>
      </c>
      <c r="K54" s="98" t="str">
        <f t="shared" si="35"/>
        <v>4053/4054</v>
      </c>
      <c r="L54" s="21" t="str">
        <f>VLOOKUP(A54,'Trips&amp;Operators'!$C$1:$G$99999,5,FALSE)</f>
        <v>BADERTSCHER DIANE</v>
      </c>
      <c r="M54" s="6">
        <f t="shared" si="36"/>
        <v>2.8483796297223307E-2</v>
      </c>
      <c r="N54" s="7">
        <f t="shared" si="51"/>
        <v>41.016666668001562</v>
      </c>
      <c r="O54" s="7"/>
      <c r="P54" s="7"/>
      <c r="Q54" s="22"/>
      <c r="R54" s="22"/>
      <c r="S54" s="31">
        <f t="shared" si="52"/>
        <v>1</v>
      </c>
      <c r="T54" s="46" t="str">
        <f t="shared" si="39"/>
        <v>NorthBound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5"/>
        <v>https://d0f6bd738d7f1b3e5a7ca70fe4ff75f0.us-east-1.aws.found.io/app/kibana#/discover/Steve-Slow-Train-Analysis-(2080s-and-2083s)?_g=(refreshInterval:(display:Off,pause:!f,section:0,value:0),time:(from:'2017-02-18T07:42:30-0700',mode:absolute,to:'2017-02-18T10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188" t="str">
        <f t="shared" si="40"/>
        <v>N</v>
      </c>
      <c r="X54" s="188">
        <f t="shared" si="46"/>
        <v>1</v>
      </c>
      <c r="Y54" s="62">
        <f t="shared" si="41"/>
        <v>4.6600000000000003E-2</v>
      </c>
      <c r="Z54" s="62">
        <f t="shared" si="42"/>
        <v>23.3276</v>
      </c>
      <c r="AA54" s="62">
        <f t="shared" si="43"/>
        <v>23.280999999999999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44"/>
        <v>0141-18</v>
      </c>
      <c r="AE54" s="85" t="str">
        <f t="shared" si="12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54" s="82" t="str">
        <f t="shared" si="13"/>
        <v>"C:\Program Files (x86)\AstroGrep\AstroGrep.exe" /spath="%USERPROFILE%\AppData\Local\Temp\OnboardLogs" /stypes="app*4053*20170218*" /stext=" 16:.+((SYSTEM_STATE.+slice.+state.+changed )|(ment ac)|(multiple cpu faults)|(system.+state.+changed )|(\[timeout)|(PRM\|1\|D)|(kpr)|(kdp)|(\|lc)|(penalty))" /e /r /s</v>
      </c>
      <c r="AG54" s="1" t="str">
        <f t="shared" si="45"/>
        <v>EC</v>
      </c>
      <c r="AH54" s="86" t="str">
        <f t="shared" si="18"/>
        <v>"%USERPROFILE%\Documents\GitHub\eaglep3\Utilities\RefineRTDCRunTimes.py" --tripid 141-18 --locoid 4053 --swversion DE.1.0.9.0 --startMP 204:466 --initTime 2017-02-18T08:42:30 --startdatetime 2017-02-18T08:46:04 --delay 1 --endMP 204:233276 --enddatetime 2017-02-18T09:27:05 --enforcementcount 0 &gt;&gt;C:\Users\stu\Documents\GitHub\eaglep3-reporting\EC\2017-02-18-refined-times.txt</v>
      </c>
      <c r="AI5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{"issue":{"subject":"","project_id":79,"tracker_id":40,"status_id":1,"priority_id":2,"assigned_to_id":23,"start_date":"2017-02-18","description":"","custom_fields":[{"id":1,"name":"Subdivision","value":"EC"},{"id":4,"name":"Milepost","value":"23.3276"},{"id":17,"name":"Train ID","value":"141-18"},{"id":16,"name":"Locomotive ID","value":"4053"},{"id":130,"name":"Impact","value":""},{"id":150,"name":"Time of Event (Mountain Time)","value":"09:27:05"},{"id":151,"name":"Denver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4053 --day 2017-02-18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556</v>
      </c>
      <c r="B55" s="7">
        <v>4054</v>
      </c>
      <c r="C55" s="21" t="s">
        <v>680</v>
      </c>
      <c r="D55" s="21" t="s">
        <v>268</v>
      </c>
      <c r="E55" s="13">
        <v>42784.398101851853</v>
      </c>
      <c r="F55" s="13">
        <v>42784.403645833336</v>
      </c>
      <c r="G55" s="7">
        <v>1</v>
      </c>
      <c r="H55" s="21" t="s">
        <v>194</v>
      </c>
      <c r="I55" s="13">
        <v>42784.431643518517</v>
      </c>
      <c r="J55" s="7">
        <v>0</v>
      </c>
      <c r="K55" s="98" t="str">
        <f t="shared" si="35"/>
        <v>4053/4054</v>
      </c>
      <c r="L55" s="21" t="str">
        <f>VLOOKUP(A55,'Trips&amp;Operators'!$C$1:$G$99999,5,FALSE)</f>
        <v>BADERTSCHER DIANE</v>
      </c>
      <c r="M55" s="6">
        <f t="shared" si="36"/>
        <v>2.7997685181617271E-2</v>
      </c>
      <c r="N55" s="7">
        <f t="shared" si="51"/>
        <v>40.31666666152887</v>
      </c>
      <c r="O55" s="7"/>
      <c r="P55" s="7"/>
      <c r="Q55" s="22"/>
      <c r="R55" s="22"/>
      <c r="S55" s="31">
        <f t="shared" si="52"/>
        <v>1</v>
      </c>
      <c r="T55" s="46" t="str">
        <f t="shared" si="39"/>
        <v>Southbound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5"/>
        <v>https://d0f6bd738d7f1b3e5a7ca70fe4ff75f0.us-east-1.aws.found.io/app/kibana#/discover/Steve-Slow-Train-Analysis-(2080s-and-2083s)?_g=(refreshInterval:(display:Off,pause:!f,section:0,value:0),time:(from:'2017-02-18T08:33:16-0700',mode:absolute,to:'2017-02-18T11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88" t="str">
        <f t="shared" si="40"/>
        <v>N</v>
      </c>
      <c r="X55" s="188">
        <f t="shared" si="46"/>
        <v>1</v>
      </c>
      <c r="Y55" s="62">
        <f t="shared" si="41"/>
        <v>23.297799999999999</v>
      </c>
      <c r="Z55" s="62">
        <f t="shared" si="42"/>
        <v>1.4999999999999999E-2</v>
      </c>
      <c r="AA55" s="62">
        <f t="shared" si="43"/>
        <v>23.282799999999998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44"/>
        <v>0142-18</v>
      </c>
      <c r="AE55" s="85" t="str">
        <f t="shared" si="12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55" s="82" t="str">
        <f t="shared" si="13"/>
        <v>"C:\Program Files (x86)\AstroGrep\AstroGrep.exe" /spath="%USERPROFILE%\AppData\Local\Temp\OnboardLogs" /stypes="app*4054*20170218*" /stext=" 17:.+((SYSTEM_STATE.+slice.+state.+changed )|(ment ac)|(multiple cpu faults)|(system.+state.+changed )|(\[timeout)|(PRM\|1\|D)|(kpr)|(kdp)|(\|lc)|(penalty))" /e /r /s</v>
      </c>
      <c r="AG55" s="1" t="str">
        <f t="shared" si="45"/>
        <v>EC</v>
      </c>
      <c r="AH55" s="86" t="str">
        <f t="shared" si="18"/>
        <v>"%USERPROFILE%\Documents\GitHub\eaglep3\Utilities\RefineRTDCRunTimes.py" --tripid 142-18 --locoid 4054 --swversion DE.1.0.9.0 --startMP 204:232978 --initTime 2017-02-18T09:33:16 --startdatetime 2017-02-18T09:41:15 --delay 1 --endMP 204:150 --enddatetime 2017-02-18T10:21:34 --enforcementcount 0 &gt;&gt;C:\Users\stu\Documents\GitHub\eaglep3-reporting\EC\2017-02-18-refined-times.txt</v>
      </c>
      <c r="AI5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ID","value":"142-18"},{"id":16,"name":"Locomotive ID","value":"4054"},{"id":130,"name":"Impact","value":""},{"id":150,"name":"Time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4054 --day 2017-02-18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551</v>
      </c>
      <c r="B56" s="7">
        <v>4016</v>
      </c>
      <c r="C56" s="21" t="s">
        <v>680</v>
      </c>
      <c r="D56" s="21" t="s">
        <v>412</v>
      </c>
      <c r="E56" s="13">
        <v>42784.371319444443</v>
      </c>
      <c r="F56" s="13">
        <v>42784.375185185185</v>
      </c>
      <c r="G56" s="7">
        <v>1</v>
      </c>
      <c r="H56" s="21" t="s">
        <v>306</v>
      </c>
      <c r="I56" s="13">
        <v>42784.401354166665</v>
      </c>
      <c r="J56" s="7">
        <v>0</v>
      </c>
      <c r="K56" s="98" t="str">
        <f t="shared" si="35"/>
        <v>4015/4016</v>
      </c>
      <c r="L56" s="21" t="str">
        <f>VLOOKUP(A56,'Trips&amp;Operators'!$C$1:$G$99999,5,FALSE)</f>
        <v>GEBRETEKLE DAGNEW</v>
      </c>
      <c r="M56" s="6">
        <f t="shared" si="36"/>
        <v>2.6168981479713693E-2</v>
      </c>
      <c r="N56" s="7">
        <f t="shared" si="51"/>
        <v>37.683333330787718</v>
      </c>
      <c r="O56" s="7"/>
      <c r="P56" s="7"/>
      <c r="Q56" s="22"/>
      <c r="R56" s="22"/>
      <c r="S56" s="31">
        <f t="shared" si="52"/>
        <v>1</v>
      </c>
      <c r="T56" s="46" t="str">
        <f t="shared" si="39"/>
        <v>NorthBound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5"/>
        <v>https://d0f6bd738d7f1b3e5a7ca70fe4ff75f0.us-east-1.aws.found.io/app/kibana#/discover/Steve-Slow-Train-Analysis-(2080s-and-2083s)?_g=(refreshInterval:(display:Off,pause:!f,section:0,value:0),time:(from:'2017-02-18T07:54:42-0700',mode:absolute,to:'2017-02-18T10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6" s="188" t="str">
        <f t="shared" si="40"/>
        <v>N</v>
      </c>
      <c r="X56" s="188">
        <f t="shared" si="46"/>
        <v>1</v>
      </c>
      <c r="Y56" s="62">
        <f t="shared" si="41"/>
        <v>4.4699999999999997E-2</v>
      </c>
      <c r="Z56" s="62">
        <f t="shared" si="42"/>
        <v>23.330200000000001</v>
      </c>
      <c r="AA56" s="62">
        <f t="shared" si="43"/>
        <v>23.285500000000003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44"/>
        <v>0143-18</v>
      </c>
      <c r="AE56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56" s="82" t="str">
        <f t="shared" si="13"/>
        <v>"C:\Program Files (x86)\AstroGrep\AstroGrep.exe" /spath="%USERPROFILE%\AppData\Local\Temp\OnboardLogs" /stypes="app*4016*20170218*" /stext=" 16:.+((SYSTEM_STATE.+slice.+state.+changed )|(ment ac)|(multiple cpu faults)|(system.+state.+changed )|(\[timeout)|(PRM\|1\|D)|(kpr)|(kdp)|(\|lc)|(penalty))" /e /r /s</v>
      </c>
      <c r="AG56" s="1" t="str">
        <f t="shared" si="45"/>
        <v>EC</v>
      </c>
      <c r="AH56" s="86" t="str">
        <f t="shared" si="18"/>
        <v>"%USERPROFILE%\Documents\GitHub\eaglep3\Utilities\RefineRTDCRunTimes.py" --tripid 143-18 --locoid 4016 --swversion DE.1.0.9.0 --startMP 204:447 --initTime 2017-02-18T08:54:42 --startdatetime 2017-02-18T09:00:16 --delay 1 --endMP 204:233302 --enddatetime 2017-02-18T09:37:57 --enforcementcount 0 &gt;&gt;C:\Users\stu\Documents\GitHub\eaglep3-reporting\EC\2017-02-18-refined-times.txt</v>
      </c>
      <c r="AI5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{"issue":{"subject":"","project_id":79,"tracker_id":40,"status_id":1,"priority_id":2,"assigned_to_id":23,"start_date":"2017-02-18","description":"","custom_fields":[{"id":1,"name":"Subdivision","value":"EC"},{"id":4,"name":"Milepost","value":"23.3302"},{"id":17,"name":"Train ID","value":"143-18"},{"id":16,"name":"Locomotive ID","value":"4016"},{"id":130,"name":"Impact","value":""},{"id":150,"name":"Time of Event (Mountain Time)","value":"09:37:57"},{"id":151,"name":"Denver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4016 --day 2017-02-18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559</v>
      </c>
      <c r="B57" s="7">
        <v>4015</v>
      </c>
      <c r="C57" s="21" t="s">
        <v>680</v>
      </c>
      <c r="D57" s="21" t="s">
        <v>356</v>
      </c>
      <c r="E57" s="13">
        <v>42784.409305555557</v>
      </c>
      <c r="F57" s="13">
        <v>42784.4140625</v>
      </c>
      <c r="G57" s="7">
        <v>1</v>
      </c>
      <c r="H57" s="21" t="s">
        <v>308</v>
      </c>
      <c r="I57" s="13">
        <v>42784.440347222226</v>
      </c>
      <c r="J57" s="7">
        <v>0</v>
      </c>
      <c r="K57" s="98" t="str">
        <f t="shared" ref="K57:K88" si="53">IF(ISEVEN(B57),(B57-1)&amp;"/"&amp;B57,B57&amp;"/"&amp;(B57+1))</f>
        <v>4015/4016</v>
      </c>
      <c r="L57" s="21" t="str">
        <f>VLOOKUP(A57,'Trips&amp;Operators'!$C$1:$G$99999,5,FALSE)</f>
        <v>GEBRETEKLE DAGNEW</v>
      </c>
      <c r="M57" s="6">
        <f t="shared" ref="M57:M88" si="54">I57-F57</f>
        <v>2.6284722225682344E-2</v>
      </c>
      <c r="N57" s="7">
        <f t="shared" si="51"/>
        <v>37.850000004982576</v>
      </c>
      <c r="O57" s="7"/>
      <c r="P57" s="7"/>
      <c r="Q57" s="22"/>
      <c r="R57" s="22"/>
      <c r="S57" s="31">
        <f t="shared" si="52"/>
        <v>1</v>
      </c>
      <c r="T57" s="46" t="str">
        <f t="shared" ref="T57:T88" si="55">IF(ISEVEN(LEFT(AD57,4)),"Southbound","NorthBound")</f>
        <v>Southbound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5"/>
        <v>https://d0f6bd738d7f1b3e5a7ca70fe4ff75f0.us-east-1.aws.found.io/app/kibana#/discover/Steve-Slow-Train-Analysis-(2080s-and-2083s)?_g=(refreshInterval:(display:Off,pause:!f,section:0,value:0),time:(from:'2017-02-18T08:49:24-0700',mode:absolute,to:'2017-02-18T11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7" s="188" t="str">
        <f t="shared" ref="W57:W88" si="56">IF(AA57&lt;IF(AG57="EC",23,5.65),"Y","N")</f>
        <v>N</v>
      </c>
      <c r="X57" s="188">
        <f t="shared" si="46"/>
        <v>1</v>
      </c>
      <c r="Y57" s="62">
        <f t="shared" ref="Y57:Y88" si="57">RIGHT(D57,LEN(D57)-4)/10000</f>
        <v>23.2989</v>
      </c>
      <c r="Z57" s="62">
        <f t="shared" ref="Z57:Z88" si="58">RIGHT(H57,LEN(H57)-4)/10000</f>
        <v>1.7000000000000001E-2</v>
      </c>
      <c r="AA57" s="62">
        <f t="shared" ref="AA57:AA88" si="59">ABS(Z57-Y57)</f>
        <v>23.2819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ref="AD57:AD88" si="60">IF(LEN(A57)=6,"0"&amp;A57,A57)</f>
        <v>0144-18</v>
      </c>
      <c r="AE57" s="85" t="str">
        <f t="shared" si="12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57" s="82" t="str">
        <f t="shared" si="13"/>
        <v>"C:\Program Files (x86)\AstroGrep\AstroGrep.exe" /spath="%USERPROFILE%\AppData\Local\Temp\OnboardLogs" /stypes="app*4015*20170218*" /stext=" 17:.+((SYSTEM_STATE.+slice.+state.+changed )|(ment ac)|(multiple cpu faults)|(system.+state.+changed )|(\[timeout)|(PRM\|1\|D)|(kpr)|(kdp)|(\|lc)|(penalty))" /e /r /s</v>
      </c>
      <c r="AG57" s="1" t="str">
        <f t="shared" ref="AG57:AG88" si="61">IFERROR(IF(VALUE(LEFT(AD57,2))&lt;=2,"EC",IF(OR(VALUE(LEFT(AD57,2))=8,VALUE(LEFT(AD57,2))=18),"NW","Other")),"Other")</f>
        <v>EC</v>
      </c>
      <c r="AH57" s="86" t="str">
        <f t="shared" si="18"/>
        <v>"%USERPROFILE%\Documents\GitHub\eaglep3\Utilities\RefineRTDCRunTimes.py" --tripid 144-18 --locoid 4015 --swversion DE.1.0.9.0 --startMP 204:232989 --initTime 2017-02-18T09:49:24 --startdatetime 2017-02-18T09:56:15 --delay 1 --endMP 204:170 --enddatetime 2017-02-18T10:34:06 --enforcementcount 0 &gt;&gt;C:\Users\stu\Documents\GitHub\eaglep3-reporting\EC\2017-02-18-refined-times.txt</v>
      </c>
      <c r="AI5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{"issue":{"subject":"","project_id":79,"tracker_id":40,"status_id":1,"priority_id":2,"assigned_to_id":23,"start_date":"2017-02-18","description":"","custom_fields":[{"id":1,"name":"Subdivision","value":"EC"},{"id":4,"name":"Milepost","value":"0.017"},{"id":17,"name":"Train ID","value":"144-18"},{"id":16,"name":"Locomotive ID","value":"4015"},{"id":130,"name":"Impact","value":""},{"id":150,"name":"Time of Event (Mountain Time)","value":"10:34:06"},{"id":151,"name":"Denver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4015 --day 2017-02-18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441</v>
      </c>
      <c r="B58" s="7">
        <v>4027</v>
      </c>
      <c r="C58" s="21" t="s">
        <v>680</v>
      </c>
      <c r="D58" s="21" t="s">
        <v>229</v>
      </c>
      <c r="E58" s="13">
        <v>42784.385601851849</v>
      </c>
      <c r="F58" s="13">
        <v>42784.386678240742</v>
      </c>
      <c r="G58" s="7">
        <v>1</v>
      </c>
      <c r="H58" s="21" t="s">
        <v>693</v>
      </c>
      <c r="I58" s="13">
        <v>42784.412048611113</v>
      </c>
      <c r="J58" s="7">
        <v>0</v>
      </c>
      <c r="K58" s="98" t="str">
        <f t="shared" si="53"/>
        <v>4027/4028</v>
      </c>
      <c r="L58" s="21" t="str">
        <f>VLOOKUP(A58,'Trips&amp;Operators'!$C$1:$G$99999,5,FALSE)</f>
        <v>ROBINSON KADDIBA</v>
      </c>
      <c r="M58" s="6">
        <f t="shared" si="54"/>
        <v>2.5370370371092577E-2</v>
      </c>
      <c r="N58" s="7">
        <f t="shared" si="51"/>
        <v>36.53333333437331</v>
      </c>
      <c r="O58" s="7"/>
      <c r="P58" s="7"/>
      <c r="Q58" s="22"/>
      <c r="R58" s="22"/>
      <c r="S58" s="31">
        <f t="shared" si="52"/>
        <v>1</v>
      </c>
      <c r="T58" s="46" t="str">
        <f t="shared" si="55"/>
        <v>NorthBound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5"/>
        <v>https://d0f6bd738d7f1b3e5a7ca70fe4ff75f0.us-east-1.aws.found.io/app/kibana#/discover/Steve-Slow-Train-Analysis-(2080s-and-2083s)?_g=(refreshInterval:(display:Off,pause:!f,section:0,value:0),time:(from:'2017-02-18T08:15:16-0700',mode:absolute,to:'2017-02-18T10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8" s="188" t="str">
        <f t="shared" si="56"/>
        <v>N</v>
      </c>
      <c r="X58" s="188">
        <f t="shared" si="46"/>
        <v>1</v>
      </c>
      <c r="Y58" s="62">
        <f t="shared" si="57"/>
        <v>4.5100000000000001E-2</v>
      </c>
      <c r="Z58" s="62">
        <f t="shared" si="58"/>
        <v>23.3291</v>
      </c>
      <c r="AA58" s="62">
        <f t="shared" si="59"/>
        <v>23.283999999999999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 t="shared" si="60"/>
        <v>0145-18</v>
      </c>
      <c r="AE58" s="85" t="str">
        <f t="shared" si="12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58" s="82" t="str">
        <f t="shared" si="13"/>
        <v>"C:\Program Files (x86)\AstroGrep\AstroGrep.exe" /spath="%USERPROFILE%\AppData\Local\Temp\OnboardLogs" /stypes="app*4027*20170218*" /stext=" 16:.+((SYSTEM_STATE.+slice.+state.+changed )|(ment ac)|(multiple cpu faults)|(system.+state.+changed )|(\[timeout)|(PRM\|1\|D)|(kpr)|(kdp)|(\|lc)|(penalty))" /e /r /s</v>
      </c>
      <c r="AG58" s="1" t="str">
        <f t="shared" si="61"/>
        <v>EC</v>
      </c>
      <c r="AH58" s="86" t="str">
        <f t="shared" si="18"/>
        <v>"%USERPROFILE%\Documents\GitHub\eaglep3\Utilities\RefineRTDCRunTimes.py" --tripid 145-18 --locoid 4027 --swversion DE.1.0.9.0 --startMP 204:451 --initTime 2017-02-18T09:15:16 --startdatetime 2017-02-18T09:16:49 --delay 1 --endMP 204:233291 --enddatetime 2017-02-18T09:53:21 --enforcementcount 0 &gt;&gt;C:\Users\stu\Documents\GitHub\eaglep3-reporting\EC\2017-02-18-refined-times.txt</v>
      </c>
      <c r="AI5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ID","value":"145-18"},{"id":16,"name":"Locomotive ID","value":"4027"},{"id":130,"name":"Impact","value":""},{"id":150,"name":"Time of Event (Mountain Time)","value":"09:53:21"},{"id":151,"name":"Denver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4027 --day 2017-02-18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562</v>
      </c>
      <c r="B59" s="7">
        <v>4028</v>
      </c>
      <c r="C59" s="21" t="s">
        <v>680</v>
      </c>
      <c r="D59" s="21" t="s">
        <v>361</v>
      </c>
      <c r="E59" s="13">
        <v>42784.41741898148</v>
      </c>
      <c r="F59" s="13">
        <v>42784.424467592595</v>
      </c>
      <c r="G59" s="7">
        <v>1</v>
      </c>
      <c r="H59" s="21" t="s">
        <v>203</v>
      </c>
      <c r="I59" s="13">
        <v>42784.452384259261</v>
      </c>
      <c r="J59" s="7">
        <v>0</v>
      </c>
      <c r="K59" s="98" t="str">
        <f t="shared" si="53"/>
        <v>4027/4028</v>
      </c>
      <c r="L59" s="21" t="str">
        <f>VLOOKUP(A59,'Trips&amp;Operators'!$C$1:$G$99999,5,FALSE)</f>
        <v>ROBINSON KADDIBA</v>
      </c>
      <c r="M59" s="6">
        <f t="shared" si="54"/>
        <v>2.7916666665987577E-2</v>
      </c>
      <c r="N59" s="7">
        <f t="shared" si="51"/>
        <v>40.199999999022111</v>
      </c>
      <c r="O59" s="7"/>
      <c r="P59" s="7"/>
      <c r="Q59" s="22"/>
      <c r="R59" s="22"/>
      <c r="S59" s="31">
        <f t="shared" si="52"/>
        <v>1</v>
      </c>
      <c r="T59" s="46" t="str">
        <f t="shared" si="55"/>
        <v>Southbound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5"/>
        <v>https://d0f6bd738d7f1b3e5a7ca70fe4ff75f0.us-east-1.aws.found.io/app/kibana#/discover/Steve-Slow-Train-Analysis-(2080s-and-2083s)?_g=(refreshInterval:(display:Off,pause:!f,section:0,value:0),time:(from:'2017-02-18T09:01:05-0700',mode:absolute,to:'2017-02-18T11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88" t="str">
        <f t="shared" si="56"/>
        <v>N</v>
      </c>
      <c r="X59" s="188">
        <f t="shared" si="46"/>
        <v>1</v>
      </c>
      <c r="Y59" s="62">
        <f t="shared" si="57"/>
        <v>23.2973</v>
      </c>
      <c r="Z59" s="62">
        <f t="shared" si="58"/>
        <v>1.6E-2</v>
      </c>
      <c r="AA59" s="62">
        <f t="shared" si="59"/>
        <v>23.281300000000002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60"/>
        <v>0146-18</v>
      </c>
      <c r="AE59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59" s="82" t="str">
        <f t="shared" si="13"/>
        <v>"C:\Program Files (x86)\AstroGrep\AstroGrep.exe" /spath="%USERPROFILE%\AppData\Local\Temp\OnboardLogs" /stypes="app*4028*20170218*" /stext=" 17:.+((SYSTEM_STATE.+slice.+state.+changed )|(ment ac)|(multiple cpu faults)|(system.+state.+changed )|(\[timeout)|(PRM\|1\|D)|(kpr)|(kdp)|(\|lc)|(penalty))" /e /r /s</v>
      </c>
      <c r="AG59" s="1" t="str">
        <f t="shared" si="61"/>
        <v>EC</v>
      </c>
      <c r="AH59" s="86" t="str">
        <f t="shared" si="18"/>
        <v>"%USERPROFILE%\Documents\GitHub\eaglep3\Utilities\RefineRTDCRunTimes.py" --tripid 146-18 --locoid 4028 --swversion DE.1.0.9.0 --startMP 204:232973 --initTime 2017-02-18T10:01:05 --startdatetime 2017-02-18T10:11:14 --delay 1 --endMP 204:160 --enddatetime 2017-02-18T10:51:26 --enforcementcount 0 &gt;&gt;C:\Users\stu\Documents\GitHub\eaglep3-reporting\EC\2017-02-18-refined-times.txt</v>
      </c>
      <c r="AI5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{"issue":{"subject":"","project_id":79,"tracker_id":40,"status_id":1,"priority_id":2,"assigned_to_id":23,"start_date":"2017-02-18","description":"","custom_fields":[{"id":1,"name":"Subdivision","value":"EC"},{"id":4,"name":"Milepost","value":"0.016"},{"id":17,"name":"Train ID","value":"146-18"},{"id":16,"name":"Locomotive ID","value":"4028"},{"id":130,"name":"Impact","value":""},{"id":150,"name":"Time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4028 --day 2017-02-18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553</v>
      </c>
      <c r="B60" s="7">
        <v>4029</v>
      </c>
      <c r="C60" s="21" t="s">
        <v>680</v>
      </c>
      <c r="D60" s="21" t="s">
        <v>704</v>
      </c>
      <c r="E60" s="13">
        <v>42784.388483796298</v>
      </c>
      <c r="F60" s="13">
        <v>42784.396087962959</v>
      </c>
      <c r="G60" s="7">
        <v>1</v>
      </c>
      <c r="H60" s="21" t="s">
        <v>705</v>
      </c>
      <c r="I60" s="13">
        <v>42784.421620370369</v>
      </c>
      <c r="J60" s="7">
        <v>0</v>
      </c>
      <c r="K60" s="98" t="str">
        <f t="shared" si="53"/>
        <v>4029/4030</v>
      </c>
      <c r="L60" s="21" t="str">
        <f>VLOOKUP(A60,'Trips&amp;Operators'!$C$1:$G$99999,5,FALSE)</f>
        <v>COOLAHAN JOHN</v>
      </c>
      <c r="M60" s="6">
        <f t="shared" si="54"/>
        <v>2.5532407409627922E-2</v>
      </c>
      <c r="N60" s="7">
        <f t="shared" si="51"/>
        <v>36.766666669864208</v>
      </c>
      <c r="O60" s="7"/>
      <c r="P60" s="7"/>
      <c r="Q60" s="22"/>
      <c r="R60" s="22"/>
      <c r="S60" s="31">
        <f t="shared" si="52"/>
        <v>1</v>
      </c>
      <c r="T60" s="46" t="str">
        <f t="shared" si="55"/>
        <v>NorthBound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5"/>
        <v>https://d0f6bd738d7f1b3e5a7ca70fe4ff75f0.us-east-1.aws.found.io/app/kibana#/discover/Steve-Slow-Train-Analysis-(2080s-and-2083s)?_g=(refreshInterval:(display:Off,pause:!f,section:0,value:0),time:(from:'2017-02-18T08:19:25-0700',mode:absolute,to:'2017-02-18T11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188" t="str">
        <f t="shared" si="56"/>
        <v>N</v>
      </c>
      <c r="X60" s="188">
        <f t="shared" ref="X60:X91" si="62">VALUE(LEFT(AD60,4))-VALUE(LEFT(AD59,4))</f>
        <v>1</v>
      </c>
      <c r="Y60" s="62">
        <f t="shared" si="57"/>
        <v>4.07E-2</v>
      </c>
      <c r="Z60" s="62">
        <f t="shared" si="58"/>
        <v>23.334</v>
      </c>
      <c r="AA60" s="62">
        <f t="shared" si="59"/>
        <v>23.293299999999999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60"/>
        <v>0147-18</v>
      </c>
      <c r="AE60" s="85" t="str">
        <f t="shared" si="12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60" s="82" t="str">
        <f t="shared" si="13"/>
        <v>"C:\Program Files (x86)\AstroGrep\AstroGrep.exe" /spath="%USERPROFILE%\AppData\Local\Temp\OnboardLogs" /stypes="app*4029*20170218*" /stext=" 17:.+((SYSTEM_STATE.+slice.+state.+changed )|(ment ac)|(multiple cpu faults)|(system.+state.+changed )|(\[timeout)|(PRM\|1\|D)|(kpr)|(kdp)|(\|lc)|(penalty))" /e /r /s</v>
      </c>
      <c r="AG60" s="1" t="str">
        <f t="shared" si="61"/>
        <v>EC</v>
      </c>
      <c r="AH60" s="86" t="str">
        <f t="shared" si="18"/>
        <v>"%USERPROFILE%\Documents\GitHub\eaglep3\Utilities\RefineRTDCRunTimes.py" --tripid 147-18 --locoid 4029 --swversion DE.1.0.9.0 --startMP 204:407 --initTime 2017-02-18T09:19:25 --startdatetime 2017-02-18T09:30:22 --delay 1 --endMP 204:233340 --enddatetime 2017-02-18T10:07:08 --enforcementcount 0 &gt;&gt;C:\Users\stu\Documents\GitHub\eaglep3-reporting\EC\2017-02-18-refined-times.txt</v>
      </c>
      <c r="AI6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{"issue":{"subject":"","project_id":79,"tracker_id":40,"status_id":1,"priority_id":2,"assigned_to_id":23,"start_date":"2017-02-18","description":"","custom_fields":[{"id":1,"name":"Subdivision","value":"EC"},{"id":4,"name":"Milepost","value":"23.334"},{"id":17,"name":"Train ID","value":"147-18"},{"id":16,"name":"Locomotive ID","value":"4029"},{"id":130,"name":"Impact","value":""},{"id":150,"name":"Time of Event (Mountain Time)","value":"10:07:08"},{"id":151,"name":"Denver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4029 --day 2017-02-18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446</v>
      </c>
      <c r="B61" s="7">
        <v>4030</v>
      </c>
      <c r="C61" s="21" t="s">
        <v>680</v>
      </c>
      <c r="D61" s="21" t="s">
        <v>706</v>
      </c>
      <c r="E61" s="13">
        <v>42784.429120370369</v>
      </c>
      <c r="F61" s="13">
        <v>42784.435150462959</v>
      </c>
      <c r="G61" s="7">
        <v>1</v>
      </c>
      <c r="H61" s="21" t="s">
        <v>702</v>
      </c>
      <c r="I61" s="13">
        <v>42784.461805555555</v>
      </c>
      <c r="J61" s="7">
        <v>0</v>
      </c>
      <c r="K61" s="98" t="str">
        <f t="shared" si="53"/>
        <v>4029/4030</v>
      </c>
      <c r="L61" s="21" t="str">
        <f>VLOOKUP(A61,'Trips&amp;Operators'!$C$1:$G$99999,5,FALSE)</f>
        <v>COOLAHAN JOHN</v>
      </c>
      <c r="M61" s="6">
        <f t="shared" si="54"/>
        <v>2.6655092595319729E-2</v>
      </c>
      <c r="N61" s="7">
        <f t="shared" si="51"/>
        <v>38.38333333726041</v>
      </c>
      <c r="O61" s="7"/>
      <c r="P61" s="7"/>
      <c r="Q61" s="22"/>
      <c r="R61" s="22"/>
      <c r="S61" s="31">
        <f t="shared" si="52"/>
        <v>1</v>
      </c>
      <c r="T61" s="46" t="str">
        <f t="shared" si="55"/>
        <v>Southbound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5"/>
        <v>https://d0f6bd738d7f1b3e5a7ca70fe4ff75f0.us-east-1.aws.found.io/app/kibana#/discover/Steve-Slow-Train-Analysis-(2080s-and-2083s)?_g=(refreshInterval:(display:Off,pause:!f,section:0,value:0),time:(from:'2017-02-18T09:17:56-0700',mode:absolute,to:'2017-02-18T12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188" t="str">
        <f t="shared" si="56"/>
        <v>N</v>
      </c>
      <c r="X61" s="188">
        <f t="shared" si="62"/>
        <v>1</v>
      </c>
      <c r="Y61" s="62">
        <f t="shared" si="57"/>
        <v>23.3</v>
      </c>
      <c r="Z61" s="62">
        <f t="shared" si="58"/>
        <v>1.72E-2</v>
      </c>
      <c r="AA61" s="62">
        <f t="shared" si="59"/>
        <v>23.282800000000002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60"/>
        <v>0148-18</v>
      </c>
      <c r="AE61" s="85" t="str">
        <f t="shared" si="12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61" s="82" t="str">
        <f t="shared" si="13"/>
        <v>"C:\Program Files (x86)\AstroGrep\AstroGrep.exe" /spath="%USERPROFILE%\AppData\Local\Temp\OnboardLogs" /stypes="app*4030*20170218*" /stext=" 18:.+((SYSTEM_STATE.+slice.+state.+changed )|(ment ac)|(multiple cpu faults)|(system.+state.+changed )|(\[timeout)|(PRM\|1\|D)|(kpr)|(kdp)|(\|lc)|(penalty))" /e /r /s</v>
      </c>
      <c r="AG61" s="1" t="str">
        <f t="shared" si="61"/>
        <v>EC</v>
      </c>
      <c r="AH61" s="86" t="str">
        <f t="shared" si="18"/>
        <v>"%USERPROFILE%\Documents\GitHub\eaglep3\Utilities\RefineRTDCRunTimes.py" --tripid 148-18 --locoid 4030 --swversion DE.1.0.9.0 --startMP 204:233000 --initTime 2017-02-18T10:17:56 --startdatetime 2017-02-18T10:26:37 --delay 1 --endMP 204:172 --enddatetime 2017-02-18T11:05:00 --enforcementcount 0 &gt;&gt;C:\Users\stu\Documents\GitHub\eaglep3-reporting\EC\2017-02-18-refined-times.txt</v>
      </c>
      <c r="AI61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{"issue":{"subject":"","project_id":79,"tracker_id":40,"status_id":1,"priority_id":2,"assigned_to_id":23,"start_date":"2017-02-18","description":"","custom_fields":[{"id":1,"name":"Subdivision","value":"EC"},{"id":4,"name":"Milepost","value":"0.0172"},{"id":17,"name":"Train ID","value":"148-18"},{"id":16,"name":"Locomotive ID","value":"4030"},{"id":130,"name":"Impact","value":""},{"id":150,"name":"Time of Event (Mountain Time)","value":"11:05:00"},{"id":151,"name":"Denver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4030 --day 2017-02-18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558</v>
      </c>
      <c r="B62" s="7">
        <v>4018</v>
      </c>
      <c r="C62" s="21" t="s">
        <v>680</v>
      </c>
      <c r="D62" s="21" t="s">
        <v>313</v>
      </c>
      <c r="E62" s="13">
        <v>42784.406909722224</v>
      </c>
      <c r="F62" s="13">
        <v>42784.408483796295</v>
      </c>
      <c r="G62" s="7">
        <v>1</v>
      </c>
      <c r="H62" s="21" t="s">
        <v>406</v>
      </c>
      <c r="I62" s="13">
        <v>42784.431967592594</v>
      </c>
      <c r="J62" s="7">
        <v>0</v>
      </c>
      <c r="K62" s="98" t="str">
        <f t="shared" si="53"/>
        <v>4017/4018</v>
      </c>
      <c r="L62" s="21" t="str">
        <f>VLOOKUP(A62,'Trips&amp;Operators'!$C$1:$G$99999,5,FALSE)</f>
        <v>DE LA ROSA ALEX</v>
      </c>
      <c r="M62" s="6">
        <f t="shared" si="54"/>
        <v>2.3483796299842652E-2</v>
      </c>
      <c r="N62" s="7">
        <f t="shared" si="51"/>
        <v>33.816666671773419</v>
      </c>
      <c r="O62" s="7"/>
      <c r="P62" s="7"/>
      <c r="Q62" s="22"/>
      <c r="R62" s="22"/>
      <c r="S62" s="31">
        <f t="shared" si="52"/>
        <v>1</v>
      </c>
      <c r="T62" s="46" t="str">
        <f t="shared" si="55"/>
        <v>NorthBound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5"/>
        <v>https://d0f6bd738d7f1b3e5a7ca70fe4ff75f0.us-east-1.aws.found.io/app/kibana#/discover/Steve-Slow-Train-Analysis-(2080s-and-2083s)?_g=(refreshInterval:(display:Off,pause:!f,section:0,value:0),time:(from:'2017-02-18T08:45:57-0700',mode:absolute,to:'2017-02-18T11:22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188" t="str">
        <f t="shared" si="56"/>
        <v>N</v>
      </c>
      <c r="X62" s="188">
        <f t="shared" si="62"/>
        <v>1</v>
      </c>
      <c r="Y62" s="62">
        <f t="shared" si="57"/>
        <v>4.7300000000000002E-2</v>
      </c>
      <c r="Z62" s="62">
        <f t="shared" si="58"/>
        <v>23.329899999999999</v>
      </c>
      <c r="AA62" s="62">
        <f t="shared" si="59"/>
        <v>23.282599999999999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60"/>
        <v>0149-18</v>
      </c>
      <c r="AE62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62" s="82" t="str">
        <f t="shared" si="13"/>
        <v>"C:\Program Files (x86)\AstroGrep\AstroGrep.exe" /spath="%USERPROFILE%\AppData\Local\Temp\OnboardLogs" /stypes="app*4018*20170218*" /stext=" 17:.+((SYSTEM_STATE.+slice.+state.+changed )|(ment ac)|(multiple cpu faults)|(system.+state.+changed )|(\[timeout)|(PRM\|1\|D)|(kpr)|(kdp)|(\|lc)|(penalty))" /e /r /s</v>
      </c>
      <c r="AG62" s="1" t="str">
        <f t="shared" si="61"/>
        <v>EC</v>
      </c>
      <c r="AH62" s="86" t="str">
        <f t="shared" si="18"/>
        <v>"%USERPROFILE%\Documents\GitHub\eaglep3\Utilities\RefineRTDCRunTimes.py" --tripid 149-18 --locoid 4018 --swversion DE.1.0.9.0 --startMP 204:473 --initTime 2017-02-18T09:45:57 --startdatetime 2017-02-18T09:48:13 --delay 1 --endMP 204:233299 --enddatetime 2017-02-18T10:22:02 --enforcementcount 0 &gt;&gt;C:\Users\stu\Documents\GitHub\eaglep3-reporting\EC\2017-02-18-refined-times.txt</v>
      </c>
      <c r="AI6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{"issue":{"subject":"","project_id":79,"tracker_id":40,"status_id":1,"priority_id":2,"assigned_to_id":23,"start_date":"2017-02-18","description":"","custom_fields":[{"id":1,"name":"Subdivision","value":"EC"},{"id":4,"name":"Milepost","value":"23.3299"},{"id":17,"name":"Train ID","value":"149-18"},{"id":16,"name":"Locomotive ID","value":"4018"},{"id":130,"name":"Impact","value":""},{"id":150,"name":"Time of Event (Mountain Time)","value":"10:22:02"},{"id":151,"name":"Denver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4018 --day 2017-02-18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566</v>
      </c>
      <c r="B63" s="7">
        <v>4017</v>
      </c>
      <c r="C63" s="21" t="s">
        <v>680</v>
      </c>
      <c r="D63" s="21" t="s">
        <v>267</v>
      </c>
      <c r="E63" s="13">
        <v>42784.441863425927</v>
      </c>
      <c r="F63" s="13">
        <v>42784.445393518516</v>
      </c>
      <c r="G63" s="7">
        <v>1</v>
      </c>
      <c r="H63" s="21" t="s">
        <v>194</v>
      </c>
      <c r="I63" s="13">
        <v>42784.472222222219</v>
      </c>
      <c r="J63" s="7">
        <v>0</v>
      </c>
      <c r="K63" s="98" t="str">
        <f t="shared" si="53"/>
        <v>4017/4018</v>
      </c>
      <c r="L63" s="21" t="str">
        <f>VLOOKUP(A63,'Trips&amp;Operators'!$C$1:$G$99999,5,FALSE)</f>
        <v>DE LA ROSA ALEX</v>
      </c>
      <c r="M63" s="6">
        <f t="shared" si="54"/>
        <v>2.6828703703358769E-2</v>
      </c>
      <c r="N63" s="7">
        <f t="shared" si="51"/>
        <v>38.633333332836628</v>
      </c>
      <c r="O63" s="7"/>
      <c r="P63" s="7"/>
      <c r="Q63" s="22"/>
      <c r="R63" s="22"/>
      <c r="S63" s="31">
        <f t="shared" si="52"/>
        <v>1</v>
      </c>
      <c r="T63" s="46" t="str">
        <f t="shared" si="55"/>
        <v>Southbound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5"/>
        <v>https://d0f6bd738d7f1b3e5a7ca70fe4ff75f0.us-east-1.aws.found.io/app/kibana#/discover/Steve-Slow-Train-Analysis-(2080s-and-2083s)?_g=(refreshInterval:(display:Off,pause:!f,section:0,value:0),time:(from:'2017-02-18T09:36:17-0700',mode:absolute,to:'2017-02-18T12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188" t="str">
        <f t="shared" si="56"/>
        <v>N</v>
      </c>
      <c r="X63" s="188">
        <f t="shared" si="62"/>
        <v>1</v>
      </c>
      <c r="Y63" s="62">
        <f t="shared" si="57"/>
        <v>23.297699999999999</v>
      </c>
      <c r="Z63" s="62">
        <f t="shared" si="58"/>
        <v>1.4999999999999999E-2</v>
      </c>
      <c r="AA63" s="62">
        <f t="shared" si="59"/>
        <v>23.282699999999998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60"/>
        <v>0150-18</v>
      </c>
      <c r="AE63" s="85" t="str">
        <f t="shared" si="12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63" s="82" t="str">
        <f t="shared" si="13"/>
        <v>"C:\Program Files (x86)\AstroGrep\AstroGrep.exe" /spath="%USERPROFILE%\AppData\Local\Temp\OnboardLogs" /stypes="app*4017*20170218*" /stext=" 18:.+((SYSTEM_STATE.+slice.+state.+changed )|(ment ac)|(multiple cpu faults)|(system.+state.+changed )|(\[timeout)|(PRM\|1\|D)|(kpr)|(kdp)|(\|lc)|(penalty))" /e /r /s</v>
      </c>
      <c r="AG63" s="1" t="str">
        <f t="shared" si="61"/>
        <v>EC</v>
      </c>
      <c r="AH63" s="86" t="str">
        <f t="shared" si="18"/>
        <v>"%USERPROFILE%\Documents\GitHub\eaglep3\Utilities\RefineRTDCRunTimes.py" --tripid 150-18 --locoid 4017 --swversion DE.1.0.9.0 --startMP 204:232977 --initTime 2017-02-18T10:36:17 --startdatetime 2017-02-18T10:41:22 --delay 1 --endMP 204:150 --enddatetime 2017-02-18T11:20:00 --enforcementcount 0 &gt;&gt;C:\Users\stu\Documents\GitHub\eaglep3-reporting\EC\2017-02-18-refined-times.txt</v>
      </c>
      <c r="AI6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ID","value":"150-18"},{"id":16,"name":"Locomotive ID","value":"4017"},{"id":130,"name":"Impact","value":""},{"id":150,"name":"Time of Event (Mountain Time)","value":"11:20:00"},{"id":151,"name":"Denver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4017 --day 2017-02-18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561</v>
      </c>
      <c r="B64" s="7">
        <v>4007</v>
      </c>
      <c r="C64" s="21" t="s">
        <v>680</v>
      </c>
      <c r="D64" s="21" t="s">
        <v>707</v>
      </c>
      <c r="E64" s="13">
        <v>42784.416342592594</v>
      </c>
      <c r="F64" s="13">
        <v>42784.417905092596</v>
      </c>
      <c r="G64" s="7">
        <v>1</v>
      </c>
      <c r="H64" s="21" t="s">
        <v>296</v>
      </c>
      <c r="I64" s="13">
        <v>42784.443715277775</v>
      </c>
      <c r="J64" s="7">
        <v>0</v>
      </c>
      <c r="K64" s="98" t="str">
        <f t="shared" si="53"/>
        <v>4007/4008</v>
      </c>
      <c r="L64" s="21" t="str">
        <f>VLOOKUP(A64,'Trips&amp;Operators'!$C$1:$G$99999,5,FALSE)</f>
        <v>BRANDNER MELINDA</v>
      </c>
      <c r="M64" s="6">
        <f t="shared" si="54"/>
        <v>2.5810185179580003E-2</v>
      </c>
      <c r="N64" s="7">
        <f t="shared" si="51"/>
        <v>37.166666658595204</v>
      </c>
      <c r="O64" s="7"/>
      <c r="P64" s="7"/>
      <c r="Q64" s="22"/>
      <c r="R64" s="22"/>
      <c r="S64" s="31">
        <f t="shared" si="52"/>
        <v>1</v>
      </c>
      <c r="T64" s="46" t="str">
        <f t="shared" si="55"/>
        <v>NorthBound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5"/>
        <v>https://d0f6bd738d7f1b3e5a7ca70fe4ff75f0.us-east-1.aws.found.io/app/kibana#/discover/Steve-Slow-Train-Analysis-(2080s-and-2083s)?_g=(refreshInterval:(display:Off,pause:!f,section:0,value:0),time:(from:'2017-02-18T08:59:32-0700',mode:absolute,to:'2017-02-18T11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88" t="str">
        <f t="shared" si="56"/>
        <v>N</v>
      </c>
      <c r="X64" s="188">
        <f t="shared" si="62"/>
        <v>1</v>
      </c>
      <c r="Y64" s="62">
        <f t="shared" si="57"/>
        <v>5.0200000000000002E-2</v>
      </c>
      <c r="Z64" s="62">
        <f t="shared" si="58"/>
        <v>23.331</v>
      </c>
      <c r="AA64" s="62">
        <f t="shared" si="59"/>
        <v>23.280799999999999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60"/>
        <v>0151-18</v>
      </c>
      <c r="AE64" s="85" t="str">
        <f t="shared" si="12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64" s="82" t="str">
        <f t="shared" si="13"/>
        <v>"C:\Program Files (x86)\AstroGrep\AstroGrep.exe" /spath="%USERPROFILE%\AppData\Local\Temp\OnboardLogs" /stypes="app*4007*20170218*" /stext=" 17:.+((SYSTEM_STATE.+slice.+state.+changed )|(ment ac)|(multiple cpu faults)|(system.+state.+changed )|(\[timeout)|(PRM\|1\|D)|(kpr)|(kdp)|(\|lc)|(penalty))" /e /r /s</v>
      </c>
      <c r="AG64" s="1" t="str">
        <f t="shared" si="61"/>
        <v>EC</v>
      </c>
      <c r="AH64" s="86" t="str">
        <f t="shared" si="18"/>
        <v>"%USERPROFILE%\Documents\GitHub\eaglep3\Utilities\RefineRTDCRunTimes.py" --tripid 151-18 --locoid 4007 --swversion DE.1.0.9.0 --startMP 204:502 --initTime 2017-02-18T09:59:32 --startdatetime 2017-02-18T10:01:47 --delay 1 --endMP 204:233310 --enddatetime 2017-02-18T10:38:57 --enforcementcount 0 &gt;&gt;C:\Users\stu\Documents\GitHub\eaglep3-reporting\EC\2017-02-18-refined-times.txt</v>
      </c>
      <c r="AI6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{"issue":{"subject":"","project_id":79,"tracker_id":40,"status_id":1,"priority_id":2,"assigned_to_id":23,"start_date":"2017-02-18","description":"","custom_fields":[{"id":1,"name":"Subdivision","value":"EC"},{"id":4,"name":"Milepost","value":"23.331"},{"id":17,"name":"Train ID","value":"151-18"},{"id":16,"name":"Locomotive ID","value":"4007"},{"id":130,"name":"Impact","value":""},{"id":150,"name":"Time of Event (Mountain Time)","value":"10:38:57"},{"id":151,"name":"Denver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4007 --day 2017-02-18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569</v>
      </c>
      <c r="B65" s="7">
        <v>4008</v>
      </c>
      <c r="C65" s="21" t="s">
        <v>680</v>
      </c>
      <c r="D65" s="21" t="s">
        <v>269</v>
      </c>
      <c r="E65" s="13">
        <v>42784.450069444443</v>
      </c>
      <c r="F65" s="13">
        <v>42784.455740740741</v>
      </c>
      <c r="G65" s="7">
        <v>1</v>
      </c>
      <c r="H65" s="21" t="s">
        <v>264</v>
      </c>
      <c r="I65" s="13">
        <v>42784.483368055553</v>
      </c>
      <c r="J65" s="7">
        <v>0</v>
      </c>
      <c r="K65" s="98" t="str">
        <f t="shared" si="53"/>
        <v>4007/4008</v>
      </c>
      <c r="L65" s="21" t="str">
        <f>VLOOKUP(A65,'Trips&amp;Operators'!$C$1:$G$99999,5,FALSE)</f>
        <v>BRANDNER MELINDA</v>
      </c>
      <c r="M65" s="6">
        <f t="shared" si="54"/>
        <v>2.7627314811979886E-2</v>
      </c>
      <c r="N65" s="7">
        <f t="shared" si="51"/>
        <v>39.783333329251036</v>
      </c>
      <c r="O65" s="7"/>
      <c r="P65" s="7"/>
      <c r="Q65" s="22"/>
      <c r="R65" s="22"/>
      <c r="S65" s="31">
        <f t="shared" si="52"/>
        <v>1</v>
      </c>
      <c r="T65" s="46" t="str">
        <f t="shared" si="55"/>
        <v>Southbound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5"/>
        <v>https://d0f6bd738d7f1b3e5a7ca70fe4ff75f0.us-east-1.aws.found.io/app/kibana#/discover/Steve-Slow-Train-Analysis-(2080s-and-2083s)?_g=(refreshInterval:(display:Off,pause:!f,section:0,value:0),time:(from:'2017-02-18T09:48:06-0700',mode:absolute,to:'2017-02-18T12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188" t="str">
        <f t="shared" si="56"/>
        <v>N</v>
      </c>
      <c r="X65" s="188">
        <f t="shared" si="62"/>
        <v>1</v>
      </c>
      <c r="Y65" s="62">
        <f t="shared" si="57"/>
        <v>23.299099999999999</v>
      </c>
      <c r="Z65" s="62">
        <f t="shared" si="58"/>
        <v>1.3899999999999999E-2</v>
      </c>
      <c r="AA65" s="62">
        <f t="shared" si="59"/>
        <v>23.2852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60"/>
        <v>0152-18</v>
      </c>
      <c r="AE65" s="85" t="str">
        <f t="shared" si="12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65" s="82" t="str">
        <f t="shared" si="13"/>
        <v>"C:\Program Files (x86)\AstroGrep\AstroGrep.exe" /spath="%USERPROFILE%\AppData\Local\Temp\OnboardLogs" /stypes="app*4008*20170218*" /stext=" 18:.+((SYSTEM_STATE.+slice.+state.+changed )|(ment ac)|(multiple cpu faults)|(system.+state.+changed )|(\[timeout)|(PRM\|1\|D)|(kpr)|(kdp)|(\|lc)|(penalty))" /e /r /s</v>
      </c>
      <c r="AG65" s="1" t="str">
        <f t="shared" si="61"/>
        <v>EC</v>
      </c>
      <c r="AH65" s="86" t="str">
        <f t="shared" si="18"/>
        <v>"%USERPROFILE%\Documents\GitHub\eaglep3\Utilities\RefineRTDCRunTimes.py" --tripid 152-18 --locoid 4008 --swversion DE.1.0.9.0 --startMP 204:232991 --initTime 2017-02-18T10:48:06 --startdatetime 2017-02-18T10:56:16 --delay 1 --endMP 204:139 --enddatetime 2017-02-18T11:36:03 --enforcementcount 0 &gt;&gt;C:\Users\stu\Documents\GitHub\eaglep3-reporting\EC\2017-02-18-refined-times.txt</v>
      </c>
      <c r="AI6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ID","value":"152-18"},{"id":16,"name":"Locomotive ID","value":"4008"},{"id":130,"name":"Impact","value":""},{"id":150,"name":"Time of Event (Mountain Time)","value":"11:36:03"},{"id":151,"name":"Denver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4008 --day 2017-02-18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563</v>
      </c>
      <c r="B66" s="7">
        <v>4011</v>
      </c>
      <c r="C66" s="21" t="s">
        <v>680</v>
      </c>
      <c r="D66" s="21" t="s">
        <v>233</v>
      </c>
      <c r="E66" s="13">
        <v>42784.423900462964</v>
      </c>
      <c r="F66" s="13">
        <v>42784.427430555559</v>
      </c>
      <c r="G66" s="7">
        <v>1</v>
      </c>
      <c r="H66" s="21" t="s">
        <v>284</v>
      </c>
      <c r="I66" s="13">
        <v>42784.451678240737</v>
      </c>
      <c r="J66" s="7">
        <v>0</v>
      </c>
      <c r="K66" s="98" t="str">
        <f t="shared" si="53"/>
        <v>4011/4012</v>
      </c>
      <c r="L66" s="21" t="str">
        <f>VLOOKUP(A66,'Trips&amp;Operators'!$C$1:$G$99999,5,FALSE)</f>
        <v>LOZA FIDEL</v>
      </c>
      <c r="M66" s="6">
        <f t="shared" si="54"/>
        <v>2.4247685178124812E-2</v>
      </c>
      <c r="N66" s="7">
        <f t="shared" si="51"/>
        <v>34.916666656499729</v>
      </c>
      <c r="O66" s="7"/>
      <c r="P66" s="7"/>
      <c r="Q66" s="22"/>
      <c r="R66" s="22"/>
      <c r="S66" s="31">
        <f t="shared" si="52"/>
        <v>1</v>
      </c>
      <c r="T66" s="46" t="str">
        <f t="shared" si="55"/>
        <v>NorthBound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5"/>
        <v>https://d0f6bd738d7f1b3e5a7ca70fe4ff75f0.us-east-1.aws.found.io/app/kibana#/discover/Steve-Slow-Train-Analysis-(2080s-and-2083s)?_g=(refreshInterval:(display:Off,pause:!f,section:0,value:0),time:(from:'2017-02-18T09:10:25-0700',mode:absolute,to:'2017-02-18T11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6" s="188" t="str">
        <f t="shared" si="56"/>
        <v>N</v>
      </c>
      <c r="X66" s="188">
        <f t="shared" si="62"/>
        <v>1</v>
      </c>
      <c r="Y66" s="62">
        <f t="shared" si="57"/>
        <v>4.5999999999999999E-2</v>
      </c>
      <c r="Z66" s="62">
        <f t="shared" si="58"/>
        <v>23.331199999999999</v>
      </c>
      <c r="AA66" s="62">
        <f t="shared" si="59"/>
        <v>23.2852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60"/>
        <v>0153-18</v>
      </c>
      <c r="AE66" s="85" t="str">
        <f t="shared" si="12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66" s="82" t="str">
        <f t="shared" si="13"/>
        <v>"C:\Program Files (x86)\AstroGrep\AstroGrep.exe" /spath="%USERPROFILE%\AppData\Local\Temp\OnboardLogs" /stypes="app*4011*20170218*" /stext=" 17:.+((SYSTEM_STATE.+slice.+state.+changed )|(ment ac)|(multiple cpu faults)|(system.+state.+changed )|(\[timeout)|(PRM\|1\|D)|(kpr)|(kdp)|(\|lc)|(penalty))" /e /r /s</v>
      </c>
      <c r="AG66" s="1" t="str">
        <f t="shared" si="61"/>
        <v>EC</v>
      </c>
      <c r="AH66" s="86" t="str">
        <f t="shared" si="18"/>
        <v>"%USERPROFILE%\Documents\GitHub\eaglep3\Utilities\RefineRTDCRunTimes.py" --tripid 153-18 --locoid 4011 --swversion DE.1.0.9.0 --startMP 204:460 --initTime 2017-02-18T10:10:25 --startdatetime 2017-02-18T10:15:30 --delay 1 --endMP 204:233312 --enddatetime 2017-02-18T10:50:25 --enforcementcount 0 &gt;&gt;C:\Users\stu\Documents\GitHub\eaglep3-reporting\EC\2017-02-18-refined-times.txt</v>
      </c>
      <c r="AI6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{"issue":{"subject":"","project_id":79,"tracker_id":40,"status_id":1,"priority_id":2,"assigned_to_id":23,"start_date":"2017-02-18","description":"","custom_fields":[{"id":1,"name":"Subdivision","value":"EC"},{"id":4,"name":"Milepost","value":"23.3312"},{"id":17,"name":"Train ID","value":"153-18"},{"id":16,"name":"Locomotive ID","value":"4011"},{"id":130,"name":"Impact","value":""},{"id":150,"name":"Time of Event (Mountain Time)","value":"10:50:25"},{"id":151,"name":"Denver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4011 --day 2017-02-18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572</v>
      </c>
      <c r="B67" s="7">
        <v>4012</v>
      </c>
      <c r="C67" s="21" t="s">
        <v>680</v>
      </c>
      <c r="D67" s="21" t="s">
        <v>285</v>
      </c>
      <c r="E67" s="13">
        <v>42784.460914351854</v>
      </c>
      <c r="F67" s="13">
        <v>42784.466284722221</v>
      </c>
      <c r="G67" s="7">
        <v>0</v>
      </c>
      <c r="H67" s="21" t="s">
        <v>299</v>
      </c>
      <c r="I67" s="13">
        <v>42784.492592592593</v>
      </c>
      <c r="J67" s="7">
        <v>0</v>
      </c>
      <c r="K67" s="98" t="str">
        <f t="shared" si="53"/>
        <v>4011/4012</v>
      </c>
      <c r="L67" s="21" t="str">
        <f>VLOOKUP(A67,'Trips&amp;Operators'!$C$1:$G$99999,5,FALSE)</f>
        <v>LOZA FIDEL</v>
      </c>
      <c r="M67" s="6">
        <f t="shared" si="54"/>
        <v>2.6307870371965691E-2</v>
      </c>
      <c r="N67" s="7">
        <f t="shared" si="51"/>
        <v>37.883333335630596</v>
      </c>
      <c r="O67" s="7"/>
      <c r="P67" s="7"/>
      <c r="Q67" s="22"/>
      <c r="R67" s="22"/>
      <c r="S67" s="31">
        <f t="shared" si="52"/>
        <v>1</v>
      </c>
      <c r="T67" s="46" t="str">
        <f t="shared" si="55"/>
        <v>Southbound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5"/>
        <v>https://d0f6bd738d7f1b3e5a7ca70fe4ff75f0.us-east-1.aws.found.io/app/kibana#/discover/Steve-Slow-Train-Analysis-(2080s-and-2083s)?_g=(refreshInterval:(display:Off,pause:!f,section:0,value:0),time:(from:'2017-02-18T10:03:43-0700',mode:absolute,to:'2017-02-18T12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188" t="str">
        <f t="shared" si="56"/>
        <v>N</v>
      </c>
      <c r="X67" s="188">
        <f t="shared" si="62"/>
        <v>1</v>
      </c>
      <c r="Y67" s="62">
        <f t="shared" si="57"/>
        <v>23.297999999999998</v>
      </c>
      <c r="Z67" s="62">
        <f t="shared" si="58"/>
        <v>1.47E-2</v>
      </c>
      <c r="AA67" s="62">
        <f t="shared" si="59"/>
        <v>23.283299999999997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60"/>
        <v>0154-18</v>
      </c>
      <c r="AE67" s="85" t="str">
        <f t="shared" si="12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67" s="82" t="str">
        <f t="shared" si="13"/>
        <v>"C:\Program Files (x86)\AstroGrep\AstroGrep.exe" /spath="%USERPROFILE%\AppData\Local\Temp\OnboardLogs" /stypes="app*4012*20170218*" /stext=" 18:.+((SYSTEM_STATE.+slice.+state.+changed )|(ment ac)|(multiple cpu faults)|(system.+state.+changed )|(\[timeout)|(PRM\|1\|D)|(kpr)|(kdp)|(\|lc)|(penalty))" /e /r /s</v>
      </c>
      <c r="AG67" s="1" t="str">
        <f t="shared" si="61"/>
        <v>EC</v>
      </c>
      <c r="AH67" s="86" t="str">
        <f t="shared" si="18"/>
        <v>"%USERPROFILE%\Documents\GitHub\eaglep3\Utilities\RefineRTDCRunTimes.py" --tripid 154-18 --locoid 4012 --swversion DE.1.0.9.0 --startMP 204:232980 --initTime 2017-02-18T11:03:43 --startdatetime 2017-02-18T11:11:27 --delay 0 --endMP 204:147 --enddatetime 2017-02-18T11:49:20 --enforcementcount 0 &gt;&gt;C:\Users\stu\Documents\GitHub\eaglep3-reporting\EC\2017-02-18-refined-times.txt</v>
      </c>
      <c r="AI6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{"issue":{"subject":"","project_id":79,"tracker_id":40,"status_id":1,"priority_id":2,"assigned_to_id":23,"start_date":"2017-02-18","description":"","custom_fields":[{"id":1,"name":"Subdivision","value":"EC"},{"id":4,"name":"Milepost","value":"0.0147"},{"id":17,"name":"Train ID","value":"154-18"},{"id":16,"name":"Locomotive ID","value":"4012"},{"id":130,"name":"Impact","value":""},{"id":150,"name":"Time of Event (Mountain Time)","value":"11:49:20"},{"id":151,"name":"Denver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4012 --day 2017-02-18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443</v>
      </c>
      <c r="B68" s="7">
        <v>4053</v>
      </c>
      <c r="C68" s="21" t="s">
        <v>680</v>
      </c>
      <c r="D68" s="21" t="s">
        <v>206</v>
      </c>
      <c r="E68" s="13">
        <v>42784.434305555558</v>
      </c>
      <c r="F68" s="13">
        <v>42784.437650462962</v>
      </c>
      <c r="G68" s="7">
        <v>1</v>
      </c>
      <c r="H68" s="21" t="s">
        <v>698</v>
      </c>
      <c r="I68" s="13">
        <v>42784.462210648147</v>
      </c>
      <c r="J68" s="7">
        <v>0</v>
      </c>
      <c r="K68" s="98" t="str">
        <f t="shared" si="53"/>
        <v>4053/4054</v>
      </c>
      <c r="L68" s="21" t="str">
        <f>VLOOKUP(A68,'Trips&amp;Operators'!$C$1:$G$99999,5,FALSE)</f>
        <v>ROMERO CHAD</v>
      </c>
      <c r="M68" s="6">
        <f t="shared" si="54"/>
        <v>2.4560185185691807E-2</v>
      </c>
      <c r="N68" s="7">
        <f t="shared" si="51"/>
        <v>35.366666667396203</v>
      </c>
      <c r="O68" s="7"/>
      <c r="P68" s="7"/>
      <c r="Q68" s="22"/>
      <c r="R68" s="22"/>
      <c r="S68" s="31">
        <f t="shared" si="52"/>
        <v>1</v>
      </c>
      <c r="T68" s="46" t="str">
        <f t="shared" si="55"/>
        <v>NorthBound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5"/>
        <v>https://d0f6bd738d7f1b3e5a7ca70fe4ff75f0.us-east-1.aws.found.io/app/kibana#/discover/Steve-Slow-Train-Analysis-(2080s-and-2083s)?_g=(refreshInterval:(display:Off,pause:!f,section:0,value:0),time:(from:'2017-02-18T09:25:24-0700',mode:absolute,to:'2017-02-18T12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8" s="188" t="str">
        <f t="shared" si="56"/>
        <v>N</v>
      </c>
      <c r="X68" s="188">
        <f t="shared" si="62"/>
        <v>1</v>
      </c>
      <c r="Y68" s="62">
        <f t="shared" si="57"/>
        <v>4.4900000000000002E-2</v>
      </c>
      <c r="Z68" s="62">
        <f t="shared" si="58"/>
        <v>23.331499999999998</v>
      </c>
      <c r="AA68" s="62">
        <f t="shared" si="59"/>
        <v>23.2866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60"/>
        <v>0155-18</v>
      </c>
      <c r="AE68" s="85" t="str">
        <f t="shared" si="12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68" s="82" t="str">
        <f t="shared" si="13"/>
        <v>"C:\Program Files (x86)\AstroGrep\AstroGrep.exe" /spath="%USERPROFILE%\AppData\Local\Temp\OnboardLogs" /stypes="app*4053*20170218*" /stext=" 18:.+((SYSTEM_STATE.+slice.+state.+changed )|(ment ac)|(multiple cpu faults)|(system.+state.+changed )|(\[timeout)|(PRM\|1\|D)|(kpr)|(kdp)|(\|lc)|(penalty))" /e /r /s</v>
      </c>
      <c r="AG68" s="1" t="str">
        <f t="shared" si="61"/>
        <v>EC</v>
      </c>
      <c r="AH68" s="86" t="str">
        <f t="shared" si="18"/>
        <v>"%USERPROFILE%\Documents\GitHub\eaglep3\Utilities\RefineRTDCRunTimes.py" --tripid 155-18 --locoid 4053 --swversion DE.1.0.9.0 --startMP 204:449 --initTime 2017-02-18T10:25:24 --startdatetime 2017-02-18T10:30:13 --delay 1 --endMP 204:233315 --enddatetime 2017-02-18T11:05:35 --enforcementcount 0 &gt;&gt;C:\Users\stu\Documents\GitHub\eaglep3-reporting\EC\2017-02-18-refined-times.txt</v>
      </c>
      <c r="AI6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{"issue":{"subject":"","project_id":79,"tracker_id":40,"status_id":1,"priority_id":2,"assigned_to_id":23,"start_date":"2017-02-18","description":"","custom_fields":[{"id":1,"name":"Subdivision","value":"EC"},{"id":4,"name":"Milepost","value":"23.3315"},{"id":17,"name":"Train ID","value":"155-18"},{"id":16,"name":"Locomotive ID","value":"4053"},{"id":130,"name":"Impact","value":""},{"id":150,"name":"Time of Event (Mountain Time)","value":"11:05:35"},{"id":151,"name":"Denver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4053 --day 2017-02-18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575</v>
      </c>
      <c r="B69" s="7">
        <v>4054</v>
      </c>
      <c r="C69" s="21" t="s">
        <v>680</v>
      </c>
      <c r="D69" s="21" t="s">
        <v>706</v>
      </c>
      <c r="E69" s="13">
        <v>42784.466562499998</v>
      </c>
      <c r="F69" s="13">
        <v>42784.4765625</v>
      </c>
      <c r="G69" s="7">
        <v>1</v>
      </c>
      <c r="H69" s="21" t="s">
        <v>184</v>
      </c>
      <c r="I69" s="13">
        <v>42784.502905092595</v>
      </c>
      <c r="J69" s="7">
        <v>0</v>
      </c>
      <c r="K69" s="98" t="str">
        <f t="shared" si="53"/>
        <v>4053/4054</v>
      </c>
      <c r="L69" s="21" t="str">
        <f>VLOOKUP(A69,'Trips&amp;Operators'!$C$1:$G$99999,5,FALSE)</f>
        <v>ROMERO CHAD</v>
      </c>
      <c r="M69" s="6">
        <f t="shared" si="54"/>
        <v>2.6342592595028691E-2</v>
      </c>
      <c r="N69" s="7">
        <f t="shared" si="51"/>
        <v>37.933333336841315</v>
      </c>
      <c r="O69" s="7"/>
      <c r="P69" s="7"/>
      <c r="Q69" s="22"/>
      <c r="R69" s="22"/>
      <c r="S69" s="31">
        <f t="shared" si="52"/>
        <v>1</v>
      </c>
      <c r="T69" s="46" t="str">
        <f t="shared" si="55"/>
        <v>Southbound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5"/>
        <v>https://d0f6bd738d7f1b3e5a7ca70fe4ff75f0.us-east-1.aws.found.io/app/kibana#/discover/Steve-Slow-Train-Analysis-(2080s-and-2083s)?_g=(refreshInterval:(display:Off,pause:!f,section:0,value:0),time:(from:'2017-02-18T10:11:51-0700',mode:absolute,to:'2017-02-18T13:04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188" t="str">
        <f t="shared" si="56"/>
        <v>N</v>
      </c>
      <c r="X69" s="188">
        <f t="shared" si="62"/>
        <v>1</v>
      </c>
      <c r="Y69" s="62">
        <f t="shared" si="57"/>
        <v>23.3</v>
      </c>
      <c r="Z69" s="62">
        <f t="shared" si="58"/>
        <v>1.49E-2</v>
      </c>
      <c r="AA69" s="62">
        <f t="shared" si="59"/>
        <v>23.2851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60"/>
        <v>0156-18</v>
      </c>
      <c r="AE69" s="85" t="str">
        <f t="shared" si="12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69" s="82" t="str">
        <f t="shared" si="13"/>
        <v>"C:\Program Files (x86)\AstroGrep\AstroGrep.exe" /spath="%USERPROFILE%\AppData\Local\Temp\OnboardLogs" /stypes="app*4054*20170218*" /stext=" 19:.+((SYSTEM_STATE.+slice.+state.+changed )|(ment ac)|(multiple cpu faults)|(system.+state.+changed )|(\[timeout)|(PRM\|1\|D)|(kpr)|(kdp)|(\|lc)|(penalty))" /e /r /s</v>
      </c>
      <c r="AG69" s="1" t="str">
        <f t="shared" si="61"/>
        <v>EC</v>
      </c>
      <c r="AH69" s="86" t="str">
        <f t="shared" si="18"/>
        <v>"%USERPROFILE%\Documents\GitHub\eaglep3\Utilities\RefineRTDCRunTimes.py" --tripid 156-18 --locoid 4054 --swversion DE.1.0.9.0 --startMP 204:233000 --initTime 2017-02-18T11:11:51 --startdatetime 2017-02-18T11:26:15 --delay 1 --endMP 204:149 --enddatetime 2017-02-18T12:04:11 --enforcementcount 0 &gt;&gt;C:\Users\stu\Documents\GitHub\eaglep3-reporting\EC\2017-02-18-refined-times.txt</v>
      </c>
      <c r="AI6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{"issue":{"subject":"","project_id":79,"tracker_id":40,"status_id":1,"priority_id":2,"assigned_to_id":23,"start_date":"2017-02-18","description":"","custom_fields":[{"id":1,"name":"Subdivision","value":"EC"},{"id":4,"name":"Milepost","value":"0.0149"},{"id":17,"name":"Train ID","value":"156-18"},{"id":16,"name":"Locomotive ID","value":"4054"},{"id":130,"name":"Impact","value":""},{"id":150,"name":"Time of Event (Mountain Time)","value":"12:04:11"},{"id":151,"name":"Denver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4054 --day 2017-02-18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568</v>
      </c>
      <c r="B70" s="7">
        <v>4016</v>
      </c>
      <c r="C70" s="21" t="s">
        <v>680</v>
      </c>
      <c r="D70" s="21" t="s">
        <v>204</v>
      </c>
      <c r="E70" s="13">
        <v>42784.443240740744</v>
      </c>
      <c r="F70" s="13">
        <v>42784.448136574072</v>
      </c>
      <c r="G70" s="7">
        <v>1</v>
      </c>
      <c r="H70" s="21" t="s">
        <v>708</v>
      </c>
      <c r="I70" s="13">
        <v>42784.472418981481</v>
      </c>
      <c r="J70" s="7">
        <v>0</v>
      </c>
      <c r="K70" s="98" t="str">
        <f t="shared" si="53"/>
        <v>4015/4016</v>
      </c>
      <c r="L70" s="21" t="str">
        <f>VLOOKUP(A70,'Trips&amp;Operators'!$C$1:$G$99999,5,FALSE)</f>
        <v>GEBRETEKLE DAGNEW</v>
      </c>
      <c r="M70" s="6">
        <f t="shared" si="54"/>
        <v>2.4282407408463769E-2</v>
      </c>
      <c r="N70" s="7">
        <f t="shared" si="51"/>
        <v>34.966666668187827</v>
      </c>
      <c r="O70" s="7"/>
      <c r="P70" s="7"/>
      <c r="Q70" s="22"/>
      <c r="R70" s="22"/>
      <c r="S70" s="31">
        <f t="shared" si="52"/>
        <v>1</v>
      </c>
      <c r="T70" s="46" t="str">
        <f t="shared" si="55"/>
        <v>NorthBound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 t="shared" si="5"/>
        <v>https://d0f6bd738d7f1b3e5a7ca70fe4ff75f0.us-east-1.aws.found.io/app/kibana#/discover/Steve-Slow-Train-Analysis-(2080s-and-2083s)?_g=(refreshInterval:(display:Off,pause:!f,section:0,value:0),time:(from:'2017-02-18T09:38:16-0700',mode:absolute,to:'2017-02-18T12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188" t="str">
        <f t="shared" si="56"/>
        <v>N</v>
      </c>
      <c r="X70" s="188">
        <f t="shared" si="62"/>
        <v>1</v>
      </c>
      <c r="Y70" s="62">
        <f t="shared" si="57"/>
        <v>4.6199999999999998E-2</v>
      </c>
      <c r="Z70" s="62">
        <f t="shared" si="58"/>
        <v>23.3309</v>
      </c>
      <c r="AA70" s="62">
        <f t="shared" si="59"/>
        <v>23.284700000000001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60"/>
        <v>0157-18</v>
      </c>
      <c r="AE70" s="85" t="str">
        <f t="shared" si="12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70" s="82" t="str">
        <f t="shared" si="13"/>
        <v>"C:\Program Files (x86)\AstroGrep\AstroGrep.exe" /spath="%USERPROFILE%\AppData\Local\Temp\OnboardLogs" /stypes="app*4016*20170218*" /stext=" 18:.+((SYSTEM_STATE.+slice.+state.+changed )|(ment ac)|(multiple cpu faults)|(system.+state.+changed )|(\[timeout)|(PRM\|1\|D)|(kpr)|(kdp)|(\|lc)|(penalty))" /e /r /s</v>
      </c>
      <c r="AG70" s="1" t="str">
        <f t="shared" si="61"/>
        <v>EC</v>
      </c>
      <c r="AH70" s="86" t="str">
        <f t="shared" si="18"/>
        <v>"%USERPROFILE%\Documents\GitHub\eaglep3\Utilities\RefineRTDCRunTimes.py" --tripid 157-18 --locoid 4016 --swversion DE.1.0.9.0 --startMP 204:462 --initTime 2017-02-18T10:38:16 --startdatetime 2017-02-18T10:45:19 --delay 1 --endMP 204:233309 --enddatetime 2017-02-18T11:20:17 --enforcementcount 0 &gt;&gt;C:\Users\stu\Documents\GitHub\eaglep3-reporting\EC\2017-02-18-refined-times.txt</v>
      </c>
      <c r="AI7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{"issue":{"subject":"","project_id":79,"tracker_id":40,"status_id":1,"priority_id":2,"assigned_to_id":23,"start_date":"2017-02-18","description":"","custom_fields":[{"id":1,"name":"Subdivision","value":"EC"},{"id":4,"name":"Milepost","value":"23.3309"},{"id":17,"name":"Train ID","value":"157-18"},{"id":16,"name":"Locomotive ID","value":"4016"},{"id":130,"name":"Impact","value":""},{"id":150,"name":"Time of Event (Mountain Time)","value":"11:20:17"},{"id":151,"name":"Denver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4016 --day 2017-02-18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449</v>
      </c>
      <c r="B71" s="7">
        <v>4015</v>
      </c>
      <c r="C71" s="21" t="s">
        <v>680</v>
      </c>
      <c r="D71" s="21" t="s">
        <v>283</v>
      </c>
      <c r="E71" s="13">
        <v>42784.481122685182</v>
      </c>
      <c r="F71" s="13">
        <v>42784.486990740741</v>
      </c>
      <c r="G71" s="7">
        <v>1</v>
      </c>
      <c r="H71" s="21" t="s">
        <v>709</v>
      </c>
      <c r="I71" s="13">
        <v>42784.509837962964</v>
      </c>
      <c r="J71" s="7">
        <v>0</v>
      </c>
      <c r="K71" s="98" t="str">
        <f t="shared" si="53"/>
        <v>4015/4016</v>
      </c>
      <c r="L71" s="21" t="str">
        <f>VLOOKUP(A71,'Trips&amp;Operators'!$C$1:$G$99999,5,FALSE)</f>
        <v>GEBRETEKLE DAGNEW</v>
      </c>
      <c r="M71" s="6">
        <f t="shared" si="54"/>
        <v>2.2847222222480923E-2</v>
      </c>
      <c r="N71" s="7"/>
      <c r="O71" s="7"/>
      <c r="P71" s="7">
        <f>24*60*SUM($M71:$M71)</f>
        <v>32.900000000372529</v>
      </c>
      <c r="Q71" s="22"/>
      <c r="R71" s="22" t="s">
        <v>849</v>
      </c>
      <c r="S71" s="31">
        <f t="shared" si="52"/>
        <v>1</v>
      </c>
      <c r="T71" s="46" t="str">
        <f t="shared" si="55"/>
        <v>Southbound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5"/>
        <v>https://d0f6bd738d7f1b3e5a7ca70fe4ff75f0.us-east-1.aws.found.io/app/kibana#/discover/Steve-Slow-Train-Analysis-(2080s-and-2083s)?_g=(refreshInterval:(display:Off,pause:!f,section:0,value:0),time:(from:'2017-02-18T10:32:49-0700',mode:absolute,to:'2017-02-18T13:14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188" t="str">
        <f t="shared" si="56"/>
        <v>Y</v>
      </c>
      <c r="X71" s="188">
        <f t="shared" si="62"/>
        <v>1</v>
      </c>
      <c r="Y71" s="62">
        <f t="shared" si="57"/>
        <v>23.299600000000002</v>
      </c>
      <c r="Z71" s="62">
        <f t="shared" si="58"/>
        <v>2.1021000000000001</v>
      </c>
      <c r="AA71" s="62">
        <f t="shared" si="59"/>
        <v>21.197500000000002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60"/>
        <v>0158-18</v>
      </c>
      <c r="AE71" s="85" t="str">
        <f t="shared" si="12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71" s="82" t="str">
        <f t="shared" si="13"/>
        <v>"C:\Program Files (x86)\AstroGrep\AstroGrep.exe" /spath="%USERPROFILE%\AppData\Local\Temp\OnboardLogs" /stypes="app*4015*20170218*" /stext=" 19:.+((SYSTEM_STATE.+slice.+state.+changed )|(ment ac)|(multiple cpu faults)|(system.+state.+changed )|(\[timeout)|(PRM\|1\|D)|(kpr)|(kdp)|(\|lc)|(penalty))" /e /r /s</v>
      </c>
      <c r="AG71" s="1" t="str">
        <f t="shared" si="61"/>
        <v>EC</v>
      </c>
      <c r="AH71" s="86" t="str">
        <f t="shared" si="18"/>
        <v>"%USERPROFILE%\Documents\GitHub\eaglep3\Utilities\RefineRTDCRunTimes.py" --tripid 158-18 --locoid 4015 --swversion DE.1.0.9.0 --startMP 204:232996 --initTime 2017-02-18T11:32:49 --startdatetime 2017-02-18T11:41:16 --delay 1 --endMP 204:21021 --enddatetime 2017-02-18T12:14:10 --enforcementcount 0 &gt;&gt;C:\Users\stu\Documents\GitHub\eaglep3-reporting\EC\2017-02-18-refined-times.txt</v>
      </c>
      <c r="AI71" s="108" t="str">
        <f t="shared" si="19"/>
        <v>echo {"issue":{"subject":"Minor Onboard in-route failure (caused EC0206RH 28-2T 2S status to go unknown)","project_id":79,"tracker_id":40,"status_id":1,"priority_id":2,"assigned_to_id":23,"start_date":"2017-02-18","description":"","custom_fields":[{"id":1,"name":"Subdivision","value":"EC"},{"id":4,"name":"Milepost","value":"2.1021"},{"id":17,"name":"Train ID","value":"158-18"},{"id":16,"name":"Locomotive ID","value":"4015"},{"id":130,"name":"Impact","value":""},{"id":150,"name":"Time of Event (Mountain Time)","value":"12:14:10"},{"id":151,"name":"Denver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4015 --day 2017-02-18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447</v>
      </c>
      <c r="B72" s="7">
        <v>4027</v>
      </c>
      <c r="C72" s="21" t="s">
        <v>680</v>
      </c>
      <c r="D72" s="21" t="s">
        <v>710</v>
      </c>
      <c r="E72" s="13">
        <v>42784.454351851855</v>
      </c>
      <c r="F72" s="13">
        <v>42784.458668981482</v>
      </c>
      <c r="G72" s="7">
        <v>2</v>
      </c>
      <c r="H72" s="21" t="s">
        <v>711</v>
      </c>
      <c r="I72" s="13">
        <v>42784.483773148146</v>
      </c>
      <c r="J72" s="7">
        <v>0</v>
      </c>
      <c r="K72" s="98" t="str">
        <f t="shared" si="53"/>
        <v>4027/4028</v>
      </c>
      <c r="L72" s="21" t="str">
        <f>VLOOKUP(A72,'Trips&amp;Operators'!$C$1:$G$99999,5,FALSE)</f>
        <v>STEWART MICHAEL</v>
      </c>
      <c r="M72" s="6">
        <f t="shared" si="54"/>
        <v>2.5104166663368233E-2</v>
      </c>
      <c r="N72" s="7">
        <f t="shared" ref="N72:N103" si="63">24*60*SUM($M72:$M72)</f>
        <v>36.149999995250255</v>
      </c>
      <c r="O72" s="7"/>
      <c r="P72" s="7"/>
      <c r="Q72" s="22"/>
      <c r="R72" s="22"/>
      <c r="S72" s="31">
        <f t="shared" si="52"/>
        <v>1</v>
      </c>
      <c r="T72" s="46" t="str">
        <f t="shared" si="55"/>
        <v>NorthBound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5"/>
        <v>https://d0f6bd738d7f1b3e5a7ca70fe4ff75f0.us-east-1.aws.found.io/app/kibana#/discover/Steve-Slow-Train-Analysis-(2080s-and-2083s)?_g=(refreshInterval:(display:Off,pause:!f,section:0,value:0),time:(from:'2017-02-18T09:54:16-0700',mode:absolute,to:'2017-02-18T12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188" t="str">
        <f t="shared" si="56"/>
        <v>N</v>
      </c>
      <c r="X72" s="188">
        <f t="shared" si="62"/>
        <v>1</v>
      </c>
      <c r="Y72" s="62">
        <f t="shared" si="57"/>
        <v>4.82E-2</v>
      </c>
      <c r="Z72" s="62">
        <f t="shared" si="58"/>
        <v>23.328299999999999</v>
      </c>
      <c r="AA72" s="62">
        <f t="shared" si="59"/>
        <v>23.280099999999997</v>
      </c>
      <c r="AB72" s="59" t="str">
        <f>VLOOKUP(A72,Enforcements!$C$7:$K$13,8,0)</f>
        <v>Bulletin (2)</v>
      </c>
      <c r="AC72" s="55" t="str">
        <f>VLOOKUP(A72,Enforcements!$C$7:$E$13,3,0)</f>
        <v>GRADE CROSSING</v>
      </c>
      <c r="AD72" s="56" t="str">
        <f t="shared" si="60"/>
        <v>0159-18</v>
      </c>
      <c r="AE72" s="85" t="str">
        <f t="shared" si="12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72" s="82" t="str">
        <f t="shared" si="13"/>
        <v>"C:\Program Files (x86)\AstroGrep\AstroGrep.exe" /spath="%USERPROFILE%\AppData\Local\Temp\OnboardLogs" /stypes="app*4027*20170218*" /stext=" 18:.+((SYSTEM_STATE.+slice.+state.+changed )|(ment ac)|(multiple cpu faults)|(system.+state.+changed )|(\[timeout)|(PRM\|1\|D)|(kpr)|(kdp)|(\|lc)|(penalty))" /e /r /s</v>
      </c>
      <c r="AG72" s="1" t="str">
        <f t="shared" si="61"/>
        <v>EC</v>
      </c>
      <c r="AH72" s="86" t="str">
        <f t="shared" si="18"/>
        <v>"%USERPROFILE%\Documents\GitHub\eaglep3\Utilities\RefineRTDCRunTimes.py" --tripid 159-18 --locoid 4027 --swversion DE.1.0.9.0 --startMP 204:482 --initTime 2017-02-18T10:54:16 --startdatetime 2017-02-18T11:00:29 --delay 2 --endMP 204:233283 --enddatetime 2017-02-18T11:36:38 --enforcementcount 0 &gt;&gt;C:\Users\stu\Documents\GitHub\eaglep3-reporting\EC\2017-02-18-refined-times.txt</v>
      </c>
      <c r="AI72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{"issue":{"subject":"","project_id":79,"tracker_id":40,"status_id":1,"priority_id":2,"assigned_to_id":23,"start_date":"2017-02-18","description":"","custom_fields":[{"id":1,"name":"Subdivision","value":"EC"},{"id":4,"name":"Milepost","value":"23.3283"},{"id":17,"name":"Train ID","value":"159-18"},{"id":16,"name":"Locomotive ID","value":"4027"},{"id":130,"name":"Impact","value":""},{"id":150,"name":"Time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4027 --day 2017-02-18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451</v>
      </c>
      <c r="B73" s="7">
        <v>4028</v>
      </c>
      <c r="C73" s="21" t="s">
        <v>680</v>
      </c>
      <c r="D73" s="21" t="s">
        <v>358</v>
      </c>
      <c r="E73" s="13">
        <v>42784.494039351855</v>
      </c>
      <c r="F73" s="13">
        <v>42784.497407407405</v>
      </c>
      <c r="G73" s="7">
        <v>1</v>
      </c>
      <c r="H73" s="21" t="s">
        <v>264</v>
      </c>
      <c r="I73" s="13">
        <v>42784.524085648147</v>
      </c>
      <c r="J73" s="7">
        <v>0</v>
      </c>
      <c r="K73" s="98" t="str">
        <f t="shared" si="53"/>
        <v>4027/4028</v>
      </c>
      <c r="L73" s="21" t="str">
        <f>VLOOKUP(A73,'Trips&amp;Operators'!$C$1:$G$99999,5,FALSE)</f>
        <v>STEWART MICHAEL</v>
      </c>
      <c r="M73" s="6">
        <f t="shared" si="54"/>
        <v>2.6678240741603076E-2</v>
      </c>
      <c r="N73" s="7">
        <f t="shared" si="63"/>
        <v>38.41666666790843</v>
      </c>
      <c r="O73" s="7"/>
      <c r="P73" s="7"/>
      <c r="Q73" s="22"/>
      <c r="R73" s="22"/>
      <c r="S73" s="31">
        <f t="shared" si="52"/>
        <v>1</v>
      </c>
      <c r="T73" s="46" t="str">
        <f t="shared" si="55"/>
        <v>Southbound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5"/>
        <v>https://d0f6bd738d7f1b3e5a7ca70fe4ff75f0.us-east-1.aws.found.io/app/kibana#/discover/Steve-Slow-Train-Analysis-(2080s-and-2083s)?_g=(refreshInterval:(display:Off,pause:!f,section:0,value:0),time:(from:'2017-02-18T10:51:25-0700',mode:absolute,to:'2017-02-18T13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88" t="str">
        <f t="shared" si="56"/>
        <v>N</v>
      </c>
      <c r="X73" s="188">
        <f t="shared" si="62"/>
        <v>1</v>
      </c>
      <c r="Y73" s="62">
        <f t="shared" si="57"/>
        <v>23.2959</v>
      </c>
      <c r="Z73" s="62">
        <f t="shared" si="58"/>
        <v>1.3899999999999999E-2</v>
      </c>
      <c r="AA73" s="62">
        <f t="shared" si="59"/>
        <v>23.282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60"/>
        <v>0160-18</v>
      </c>
      <c r="AE73" s="85" t="str">
        <f t="shared" si="12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73" s="82" t="str">
        <f t="shared" si="13"/>
        <v>"C:\Program Files (x86)\AstroGrep\AstroGrep.exe" /spath="%USERPROFILE%\AppData\Local\Temp\OnboardLogs" /stypes="app*4028*20170218*" /stext=" 19:.+((SYSTEM_STATE.+slice.+state.+changed )|(ment ac)|(multiple cpu faults)|(system.+state.+changed )|(\[timeout)|(PRM\|1\|D)|(kpr)|(kdp)|(\|lc)|(penalty))" /e /r /s</v>
      </c>
      <c r="AG73" s="1" t="str">
        <f t="shared" si="61"/>
        <v>EC</v>
      </c>
      <c r="AH73" s="86" t="str">
        <f t="shared" si="18"/>
        <v>"%USERPROFILE%\Documents\GitHub\eaglep3\Utilities\RefineRTDCRunTimes.py" --tripid 160-18 --locoid 4028 --swversion DE.1.0.9.0 --startMP 204:232959 --initTime 2017-02-18T11:51:25 --startdatetime 2017-02-18T11:56:16 --delay 1 --endMP 204:139 --enddatetime 2017-02-18T12:34:41 --enforcementcount 0 &gt;&gt;C:\Users\stu\Documents\GitHub\eaglep3-reporting\EC\2017-02-18-refined-times.txt</v>
      </c>
      <c r="AI73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ID","value":"160-18"},{"id":16,"name":"Locomotive ID","value":"4028"},{"id":130,"name":"Impact","value":""},{"id":150,"name":"Time of Event (Mountain Time)","value":"12:34:41"},{"id":151,"name":"Denver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4028 --day 2017-02-18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573</v>
      </c>
      <c r="B74" s="7">
        <v>4029</v>
      </c>
      <c r="C74" s="21" t="s">
        <v>680</v>
      </c>
      <c r="D74" s="21" t="s">
        <v>301</v>
      </c>
      <c r="E74" s="13">
        <v>42784.464375000003</v>
      </c>
      <c r="F74" s="13">
        <v>42784.469131944446</v>
      </c>
      <c r="G74" s="7">
        <v>2</v>
      </c>
      <c r="H74" s="21" t="s">
        <v>712</v>
      </c>
      <c r="I74" s="13">
        <v>42784.495347222219</v>
      </c>
      <c r="J74" s="7">
        <v>0</v>
      </c>
      <c r="K74" s="98" t="str">
        <f t="shared" si="53"/>
        <v>4029/4030</v>
      </c>
      <c r="L74" s="21" t="str">
        <f>VLOOKUP(A74,'Trips&amp;Operators'!$C$1:$G$99999,5,FALSE)</f>
        <v>DAVIS MICHAEL</v>
      </c>
      <c r="M74" s="6">
        <f t="shared" si="54"/>
        <v>2.6215277772280388E-2</v>
      </c>
      <c r="N74" s="7">
        <f t="shared" si="63"/>
        <v>37.749999992083758</v>
      </c>
      <c r="O74" s="7"/>
      <c r="P74" s="7"/>
      <c r="Q74" s="22"/>
      <c r="R74" s="22"/>
      <c r="S74" s="31">
        <f t="shared" si="52"/>
        <v>1</v>
      </c>
      <c r="T74" s="46" t="str">
        <f t="shared" si="55"/>
        <v>NorthBound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5"/>
        <v>https://d0f6bd738d7f1b3e5a7ca70fe4ff75f0.us-east-1.aws.found.io/app/kibana#/discover/Steve-Slow-Train-Analysis-(2080s-and-2083s)?_g=(refreshInterval:(display:Off,pause:!f,section:0,value:0),time:(from:'2017-02-18T10:08:42-0700',mode:absolute,to:'2017-02-18T12:53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188" t="str">
        <f t="shared" si="56"/>
        <v>N</v>
      </c>
      <c r="X74" s="188">
        <f t="shared" si="62"/>
        <v>1</v>
      </c>
      <c r="Y74" s="62">
        <f t="shared" si="57"/>
        <v>4.7699999999999999E-2</v>
      </c>
      <c r="Z74" s="62">
        <f t="shared" si="58"/>
        <v>23.328600000000002</v>
      </c>
      <c r="AA74" s="62">
        <f t="shared" si="59"/>
        <v>23.280900000000003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60"/>
        <v>0161-18</v>
      </c>
      <c r="AE74" s="85" t="str">
        <f t="shared" si="12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74" s="82" t="str">
        <f t="shared" si="13"/>
        <v>"C:\Program Files (x86)\AstroGrep\AstroGrep.exe" /spath="%USERPROFILE%\AppData\Local\Temp\OnboardLogs" /stypes="app*4029*20170218*" /stext=" 18:.+((SYSTEM_STATE.+slice.+state.+changed )|(ment ac)|(multiple cpu faults)|(system.+state.+changed )|(\[timeout)|(PRM\|1\|D)|(kpr)|(kdp)|(\|lc)|(penalty))" /e /r /s</v>
      </c>
      <c r="AG74" s="1" t="str">
        <f t="shared" si="61"/>
        <v>EC</v>
      </c>
      <c r="AH74" s="86" t="str">
        <f t="shared" si="18"/>
        <v>"%USERPROFILE%\Documents\GitHub\eaglep3\Utilities\RefineRTDCRunTimes.py" --tripid 161-18 --locoid 4029 --swversion DE.1.0.9.0 --startMP 204:477 --initTime 2017-02-18T11:08:42 --startdatetime 2017-02-18T11:15:33 --delay 2 --endMP 204:233286 --enddatetime 2017-02-18T11:53:18 --enforcementcount 0 &gt;&gt;C:\Users\stu\Documents\GitHub\eaglep3-reporting\EC\2017-02-18-refined-times.txt</v>
      </c>
      <c r="AI74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{"issue":{"subject":"","project_id":79,"tracker_id":40,"status_id":1,"priority_id":2,"assigned_to_id":23,"start_date":"2017-02-18","description":"","custom_fields":[{"id":1,"name":"Subdivision","value":"EC"},{"id":4,"name":"Milepost","value":"23.3286"},{"id":17,"name":"Train ID","value":"161-18"},{"id":16,"name":"Locomotive ID","value":"4029"},{"id":130,"name":"Impact","value":""},{"id":150,"name":"Time of Event (Mountain Time)","value":"11:53:18"},{"id":151,"name":"Denver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4029 --day 2017-02-18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583</v>
      </c>
      <c r="B75" s="7">
        <v>4030</v>
      </c>
      <c r="C75" s="21" t="s">
        <v>680</v>
      </c>
      <c r="D75" s="21" t="s">
        <v>315</v>
      </c>
      <c r="E75" s="13">
        <v>42784.504999999997</v>
      </c>
      <c r="F75" s="13">
        <v>42784.5080787037</v>
      </c>
      <c r="G75" s="7">
        <v>1</v>
      </c>
      <c r="H75" s="21" t="s">
        <v>264</v>
      </c>
      <c r="I75" s="13">
        <v>42784.536446759259</v>
      </c>
      <c r="J75" s="7">
        <v>0</v>
      </c>
      <c r="K75" s="98" t="str">
        <f t="shared" si="53"/>
        <v>4029/4030</v>
      </c>
      <c r="L75" s="21" t="str">
        <f>VLOOKUP(A75,'Trips&amp;Operators'!$C$1:$G$99999,5,FALSE)</f>
        <v>DAVIS MICHAEL</v>
      </c>
      <c r="M75" s="6">
        <f t="shared" si="54"/>
        <v>2.8368055558530614E-2</v>
      </c>
      <c r="N75" s="7">
        <f t="shared" si="63"/>
        <v>40.850000004284084</v>
      </c>
      <c r="O75" s="7"/>
      <c r="P75" s="7"/>
      <c r="Q75" s="22"/>
      <c r="R75" s="22"/>
      <c r="S75" s="31">
        <f t="shared" si="52"/>
        <v>1</v>
      </c>
      <c r="T75" s="46" t="str">
        <f t="shared" si="55"/>
        <v>Southbound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5"/>
        <v>https://d0f6bd738d7f1b3e5a7ca70fe4ff75f0.us-east-1.aws.found.io/app/kibana#/discover/Steve-Slow-Train-Analysis-(2080s-and-2083s)?_g=(refreshInterval:(display:Off,pause:!f,section:0,value:0),time:(from:'2017-02-18T11:07:12-0700',mode:absolute,to:'2017-02-18T13:52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188" t="str">
        <f t="shared" si="56"/>
        <v>N</v>
      </c>
      <c r="X75" s="188">
        <f t="shared" si="62"/>
        <v>1</v>
      </c>
      <c r="Y75" s="62">
        <f t="shared" si="57"/>
        <v>23.2971</v>
      </c>
      <c r="Z75" s="62">
        <f t="shared" si="58"/>
        <v>1.3899999999999999E-2</v>
      </c>
      <c r="AA75" s="62">
        <f t="shared" si="59"/>
        <v>23.283200000000001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60"/>
        <v>0162-18</v>
      </c>
      <c r="AE75" s="85" t="str">
        <f t="shared" si="12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75" s="82" t="str">
        <f t="shared" si="13"/>
        <v>"C:\Program Files (x86)\AstroGrep\AstroGrep.exe" /spath="%USERPROFILE%\AppData\Local\Temp\OnboardLogs" /stypes="app*4030*20170218*" /stext=" 19:.+((SYSTEM_STATE.+slice.+state.+changed )|(ment ac)|(multiple cpu faults)|(system.+state.+changed )|(\[timeout)|(PRM\|1\|D)|(kpr)|(kdp)|(\|lc)|(penalty))" /e /r /s</v>
      </c>
      <c r="AG75" s="1" t="str">
        <f t="shared" si="61"/>
        <v>EC</v>
      </c>
      <c r="AH75" s="86" t="str">
        <f t="shared" si="18"/>
        <v>"%USERPROFILE%\Documents\GitHub\eaglep3\Utilities\RefineRTDCRunTimes.py" --tripid 162-18 --locoid 4030 --swversion DE.1.0.9.0 --startMP 204:232971 --initTime 2017-02-18T12:07:12 --startdatetime 2017-02-18T12:11:38 --delay 1 --endMP 204:139 --enddatetime 2017-02-18T12:52:29 --enforcementcount 0 &gt;&gt;C:\Users\stu\Documents\GitHub\eaglep3-reporting\EC\2017-02-18-refined-times.txt</v>
      </c>
      <c r="AI75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ID","value":"162-18"},{"id":16,"name":"Locomotive ID","value":"4030"},{"id":130,"name":"Impact","value":""},{"id":150,"name":"Time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4030 --day 2017-02-18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576</v>
      </c>
      <c r="B76" s="7">
        <v>4018</v>
      </c>
      <c r="C76" s="21" t="s">
        <v>680</v>
      </c>
      <c r="D76" s="21" t="s">
        <v>206</v>
      </c>
      <c r="E76" s="13">
        <v>42784.4762962963</v>
      </c>
      <c r="F76" s="13">
        <v>42784.479409722226</v>
      </c>
      <c r="G76" s="7">
        <v>1</v>
      </c>
      <c r="H76" s="21" t="s">
        <v>713</v>
      </c>
      <c r="I76" s="13">
        <v>42784.50408564815</v>
      </c>
      <c r="J76" s="7">
        <v>0</v>
      </c>
      <c r="K76" s="98" t="str">
        <f t="shared" si="53"/>
        <v>4017/4018</v>
      </c>
      <c r="L76" s="21" t="str">
        <f>VLOOKUP(A76,'Trips&amp;Operators'!$C$1:$G$99999,5,FALSE)</f>
        <v>BRUDER RICHARD</v>
      </c>
      <c r="M76" s="6">
        <f t="shared" si="54"/>
        <v>2.4675925924384501E-2</v>
      </c>
      <c r="N76" s="7">
        <f t="shared" si="63"/>
        <v>35.533333331113681</v>
      </c>
      <c r="O76" s="7"/>
      <c r="P76" s="7"/>
      <c r="Q76" s="22"/>
      <c r="R76" s="22"/>
      <c r="S76" s="31">
        <f t="shared" si="52"/>
        <v>1</v>
      </c>
      <c r="T76" s="46" t="str">
        <f t="shared" si="55"/>
        <v>NorthBound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5"/>
        <v>https://d0f6bd738d7f1b3e5a7ca70fe4ff75f0.us-east-1.aws.found.io/app/kibana#/discover/Steve-Slow-Train-Analysis-(2080s-and-2083s)?_g=(refreshInterval:(display:Off,pause:!f,section:0,value:0),time:(from:'2017-02-18T10:25:52-0700',mode:absolute,to:'2017-02-18T13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6" s="188" t="str">
        <f t="shared" si="56"/>
        <v>N</v>
      </c>
      <c r="X76" s="188">
        <f t="shared" si="62"/>
        <v>1</v>
      </c>
      <c r="Y76" s="62">
        <f t="shared" si="57"/>
        <v>4.4900000000000002E-2</v>
      </c>
      <c r="Z76" s="62">
        <f t="shared" si="58"/>
        <v>23.331900000000001</v>
      </c>
      <c r="AA76" s="62">
        <f t="shared" si="59"/>
        <v>23.287000000000003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60"/>
        <v>0163-18</v>
      </c>
      <c r="AE76" s="85" t="str">
        <f t="shared" si="12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76" s="82" t="str">
        <f t="shared" si="13"/>
        <v>"C:\Program Files (x86)\AstroGrep\AstroGrep.exe" /spath="%USERPROFILE%\AppData\Local\Temp\OnboardLogs" /stypes="app*4018*20170218*" /stext=" 19:.+((SYSTEM_STATE.+slice.+state.+changed )|(ment ac)|(multiple cpu faults)|(system.+state.+changed )|(\[timeout)|(PRM\|1\|D)|(kpr)|(kdp)|(\|lc)|(penalty))" /e /r /s</v>
      </c>
      <c r="AG76" s="1" t="str">
        <f t="shared" si="61"/>
        <v>EC</v>
      </c>
      <c r="AH76" s="86" t="str">
        <f t="shared" si="18"/>
        <v>"%USERPROFILE%\Documents\GitHub\eaglep3\Utilities\RefineRTDCRunTimes.py" --tripid 163-18 --locoid 4018 --swversion DE.1.0.9.0 --startMP 204:449 --initTime 2017-02-18T11:25:52 --startdatetime 2017-02-18T11:30:21 --delay 1 --endMP 204:233319 --enddatetime 2017-02-18T12:05:53 --enforcementcount 0 &gt;&gt;C:\Users\stu\Documents\GitHub\eaglep3-reporting\EC\2017-02-18-refined-times.txt</v>
      </c>
      <c r="AI76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{"issue":{"subject":"","project_id":79,"tracker_id":40,"status_id":1,"priority_id":2,"assigned_to_id":23,"start_date":"2017-02-18","description":"","custom_fields":[{"id":1,"name":"Subdivision","value":"EC"},{"id":4,"name":"Milepost","value":"23.3319"},{"id":17,"name":"Train ID","value":"163-18"},{"id":16,"name":"Locomotive ID","value":"4018"},{"id":130,"name":"Impact","value":""},{"id":150,"name":"Time of Event (Mountain Time)","value":"12:05:53"},{"id":151,"name":"Denver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4018 --day 2017-02-18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584</v>
      </c>
      <c r="B77" s="7">
        <v>4017</v>
      </c>
      <c r="C77" s="21" t="s">
        <v>680</v>
      </c>
      <c r="D77" s="21" t="s">
        <v>283</v>
      </c>
      <c r="E77" s="13">
        <v>42784.513518518521</v>
      </c>
      <c r="F77" s="13">
        <v>42784.518275462964</v>
      </c>
      <c r="G77" s="7">
        <v>2</v>
      </c>
      <c r="H77" s="21" t="s">
        <v>226</v>
      </c>
      <c r="I77" s="13">
        <v>42784.54420138889</v>
      </c>
      <c r="J77" s="7">
        <v>0</v>
      </c>
      <c r="K77" s="98" t="str">
        <f t="shared" si="53"/>
        <v>4017/4018</v>
      </c>
      <c r="L77" s="21" t="str">
        <f>VLOOKUP(A77,'Trips&amp;Operators'!$C$1:$G$99999,5,FALSE)</f>
        <v>BRUDER RICHARD</v>
      </c>
      <c r="M77" s="6">
        <f t="shared" si="54"/>
        <v>2.5925925925548654E-2</v>
      </c>
      <c r="N77" s="7">
        <f t="shared" si="63"/>
        <v>37.333333332790062</v>
      </c>
      <c r="O77" s="7"/>
      <c r="P77" s="7"/>
      <c r="Q77" s="22"/>
      <c r="R77" s="22"/>
      <c r="S77" s="31">
        <f t="shared" si="52"/>
        <v>1</v>
      </c>
      <c r="T77" s="46" t="str">
        <f t="shared" si="55"/>
        <v>Southbound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40" si="6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-18T11:19:28-0700',mode:absolute,to:'2017-02-18T14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7" s="188" t="str">
        <f t="shared" si="56"/>
        <v>N</v>
      </c>
      <c r="X77" s="188">
        <f t="shared" si="62"/>
        <v>1</v>
      </c>
      <c r="Y77" s="62">
        <f t="shared" si="57"/>
        <v>23.299600000000002</v>
      </c>
      <c r="Z77" s="62">
        <f t="shared" si="58"/>
        <v>1.43E-2</v>
      </c>
      <c r="AA77" s="62">
        <f t="shared" si="59"/>
        <v>23.285300000000003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60"/>
        <v>0164-18</v>
      </c>
      <c r="AE77" s="85" t="str">
        <f t="shared" ref="AE77:AE140" si="6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77" s="82" t="str">
        <f t="shared" ref="AF77:AF140" si="6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/stypes="app*4017*20170218*" /stext=" 20:.+((SYSTEM_STATE.+slice.+state.+changed )|(ment ac)|(multiple cpu faults)|(system.+state.+changed )|(\[timeout)|(PRM\|1\|D)|(kpr)|(kdp)|(\|lc)|(penalty))" /e /r /s</v>
      </c>
      <c r="AG77" s="1" t="str">
        <f t="shared" si="61"/>
        <v>EC</v>
      </c>
      <c r="AH77" s="86" t="str">
        <f t="shared" si="18"/>
        <v>"%USERPROFILE%\Documents\GitHub\eaglep3\Utilities\RefineRTDCRunTimes.py" --tripid 164-18 --locoid 4017 --swversion DE.1.0.9.0 --startMP 204:232996 --initTime 2017-02-18T12:19:28 --startdatetime 2017-02-18T12:26:19 --delay 2 --endMP 204:143 --enddatetime 2017-02-18T13:03:39 --enforcementcount 0 &gt;&gt;C:\Users\stu\Documents\GitHub\eaglep3-reporting\EC\2017-02-18-refined-times.txt</v>
      </c>
      <c r="AI77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{"issue":{"subject":"","project_id":79,"tracker_id":40,"status_id":1,"priority_id":2,"assigned_to_id":23,"start_date":"2017-02-18","description":"","custom_fields":[{"id":1,"name":"Subdivision","value":"EC"},{"id":4,"name":"Milepost","value":"0.0143"},{"id":17,"name":"Train ID","value":"164-18"},{"id":16,"name":"Locomotive ID","value":"4017"},{"id":130,"name":"Impact","value":""},{"id":150,"name":"Time of Event (Mountain Time)","value":"13:03:39"},{"id":151,"name":"Denver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4017 --day 2017-02-18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450</v>
      </c>
      <c r="B78" s="7">
        <v>4007</v>
      </c>
      <c r="C78" s="21" t="s">
        <v>680</v>
      </c>
      <c r="D78" s="21" t="s">
        <v>309</v>
      </c>
      <c r="E78" s="13">
        <v>42784.48510416667</v>
      </c>
      <c r="F78" s="13">
        <v>42784.489745370367</v>
      </c>
      <c r="G78" s="7">
        <v>2</v>
      </c>
      <c r="H78" s="21" t="s">
        <v>270</v>
      </c>
      <c r="I78" s="13">
        <v>42784.515034722222</v>
      </c>
      <c r="J78" s="7">
        <v>0</v>
      </c>
      <c r="K78" s="98" t="str">
        <f t="shared" si="53"/>
        <v>4007/4008</v>
      </c>
      <c r="L78" s="21" t="str">
        <f>VLOOKUP(A78,'Trips&amp;Operators'!$C$1:$G$99999,5,FALSE)</f>
        <v>KILLION DAVID</v>
      </c>
      <c r="M78" s="6">
        <f t="shared" si="54"/>
        <v>2.5289351855462883E-2</v>
      </c>
      <c r="N78" s="7">
        <f t="shared" si="63"/>
        <v>36.416666671866551</v>
      </c>
      <c r="O78" s="7"/>
      <c r="P78" s="7"/>
      <c r="Q78" s="22"/>
      <c r="R78" s="22"/>
      <c r="S78" s="31">
        <f t="shared" si="52"/>
        <v>1</v>
      </c>
      <c r="T78" s="46" t="str">
        <f t="shared" si="55"/>
        <v>NorthBound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64"/>
        <v>https://d0f6bd738d7f1b3e5a7ca70fe4ff75f0.us-east-1.aws.found.io/app/kibana#/discover/Steve-Slow-Train-Analysis-(2080s-and-2083s)?_g=(refreshInterval:(display:Off,pause:!f,section:0,value:0),time:(from:'2017-02-18T10:38:33-0700',mode:absolute,to:'2017-02-18T13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88" t="str">
        <f t="shared" si="56"/>
        <v>N</v>
      </c>
      <c r="X78" s="188">
        <f t="shared" si="62"/>
        <v>1</v>
      </c>
      <c r="Y78" s="62">
        <f t="shared" si="57"/>
        <v>4.3099999999999999E-2</v>
      </c>
      <c r="Z78" s="62">
        <f t="shared" si="58"/>
        <v>23.3293</v>
      </c>
      <c r="AA78" s="62">
        <f t="shared" si="59"/>
        <v>23.286200000000001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60"/>
        <v>0165-18</v>
      </c>
      <c r="AE78" s="85" t="str">
        <f t="shared" si="65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78" s="82" t="str">
        <f t="shared" si="66"/>
        <v>"C:\Program Files (x86)\AstroGrep\AstroGrep.exe" /spath="%USERPROFILE%\AppData\Local\Temp\OnboardLogs" /stypes="app*4007*20170218*" /stext=" 19:.+((SYSTEM_STATE.+slice.+state.+changed )|(ment ac)|(multiple cpu faults)|(system.+state.+changed )|(\[timeout)|(PRM\|1\|D)|(kpr)|(kdp)|(\|lc)|(penalty))" /e /r /s</v>
      </c>
      <c r="AG78" s="1" t="str">
        <f t="shared" si="61"/>
        <v>EC</v>
      </c>
      <c r="AH78" s="86" t="str">
        <f t="shared" si="18"/>
        <v>"%USERPROFILE%\Documents\GitHub\eaglep3\Utilities\RefineRTDCRunTimes.py" --tripid 165-18 --locoid 4007 --swversion DE.1.0.9.0 --startMP 204:431 --initTime 2017-02-18T11:38:33 --startdatetime 2017-02-18T11:45:14 --delay 2 --endMP 204:233293 --enddatetime 2017-02-18T12:21:39 --enforcementcount 0 &gt;&gt;C:\Users\stu\Documents\GitHub\eaglep3-reporting\EC\2017-02-18-refined-times.txt</v>
      </c>
      <c r="AI78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{"issue":{"subject":"","project_id":79,"tracker_id":40,"status_id":1,"priority_id":2,"assigned_to_id":23,"start_date":"2017-02-18","description":"","custom_fields":[{"id":1,"name":"Subdivision","value":"EC"},{"id":4,"name":"Milepost","value":"23.3293"},{"id":17,"name":"Train ID","value":"165-18"},{"id":16,"name":"Locomotive ID","value":"4007"},{"id":130,"name":"Impact","value":""},{"id":150,"name":"Time of Event (Mountain Time)","value":"12:21:39"},{"id":151,"name":"Denver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0"/>
        <v>start /low /b %USERPROFILE%\Documents\GitHub\eaglep3\Utilities\DownloadLogsFromS3.py --loco 4007 --day 2017-02-18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</row>
    <row r="79" spans="1:91" x14ac:dyDescent="0.25">
      <c r="A79" s="33" t="s">
        <v>586</v>
      </c>
      <c r="B79" s="7">
        <v>4008</v>
      </c>
      <c r="C79" s="21" t="s">
        <v>680</v>
      </c>
      <c r="D79" s="21" t="s">
        <v>361</v>
      </c>
      <c r="E79" s="13">
        <v>42784.522581018522</v>
      </c>
      <c r="F79" s="13">
        <v>42784.528657407405</v>
      </c>
      <c r="G79" s="7">
        <v>1</v>
      </c>
      <c r="H79" s="21" t="s">
        <v>279</v>
      </c>
      <c r="I79" s="13">
        <v>42784.555358796293</v>
      </c>
      <c r="J79" s="7">
        <v>0</v>
      </c>
      <c r="K79" s="98" t="str">
        <f t="shared" si="53"/>
        <v>4007/4008</v>
      </c>
      <c r="L79" s="21" t="str">
        <f>VLOOKUP(A79,'Trips&amp;Operators'!$C$1:$G$99999,5,FALSE)</f>
        <v>KILLION DAVID</v>
      </c>
      <c r="M79" s="6">
        <f t="shared" si="54"/>
        <v>2.6701388887886424E-2</v>
      </c>
      <c r="N79" s="7">
        <f t="shared" si="63"/>
        <v>38.44999999855645</v>
      </c>
      <c r="O79" s="7"/>
      <c r="P79" s="7"/>
      <c r="Q79" s="22"/>
      <c r="R79" s="22"/>
      <c r="S79" s="31">
        <f t="shared" si="52"/>
        <v>1</v>
      </c>
      <c r="T79" s="46" t="str">
        <f t="shared" si="55"/>
        <v>Southbound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64"/>
        <v>https://d0f6bd738d7f1b3e5a7ca70fe4ff75f0.us-east-1.aws.found.io/app/kibana#/discover/Steve-Slow-Train-Analysis-(2080s-and-2083s)?_g=(refreshInterval:(display:Off,pause:!f,section:0,value:0),time:(from:'2017-02-18T11:32:31-0700',mode:absolute,to:'2017-02-18T14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188" t="str">
        <f t="shared" si="56"/>
        <v>N</v>
      </c>
      <c r="X79" s="188">
        <f t="shared" si="62"/>
        <v>1</v>
      </c>
      <c r="Y79" s="62">
        <f t="shared" si="57"/>
        <v>23.2973</v>
      </c>
      <c r="Z79" s="62">
        <f t="shared" si="58"/>
        <v>1.41E-2</v>
      </c>
      <c r="AA79" s="62">
        <f t="shared" si="59"/>
        <v>23.283200000000001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60"/>
        <v>0166-18</v>
      </c>
      <c r="AE79" s="85" t="str">
        <f t="shared" si="65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79" s="82" t="str">
        <f t="shared" si="66"/>
        <v>"C:\Program Files (x86)\AstroGrep\AstroGrep.exe" /spath="%USERPROFILE%\AppData\Local\Temp\OnboardLogs" /stypes="app*4008*20170218*" /stext=" 20:.+((SYSTEM_STATE.+slice.+state.+changed )|(ment ac)|(multiple cpu faults)|(system.+state.+changed )|(\[timeout)|(PRM\|1\|D)|(kpr)|(kdp)|(\|lc)|(penalty))" /e /r /s</v>
      </c>
      <c r="AG79" s="1" t="str">
        <f t="shared" si="61"/>
        <v>EC</v>
      </c>
      <c r="AH79" s="86" t="str">
        <f t="shared" si="18"/>
        <v>"%USERPROFILE%\Documents\GitHub\eaglep3\Utilities\RefineRTDCRunTimes.py" --tripid 166-18 --locoid 4008 --swversion DE.1.0.9.0 --startMP 204:232973 --initTime 2017-02-18T12:32:31 --startdatetime 2017-02-18T12:41:16 --delay 1 --endMP 204:141 --enddatetime 2017-02-18T13:19:43 --enforcementcount 0 &gt;&gt;C:\Users\stu\Documents\GitHub\eaglep3-reporting\EC\2017-02-18-refined-times.txt</v>
      </c>
      <c r="AI79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{"issue":{"subject":"","project_id":79,"tracker_id":40,"status_id":1,"priority_id":2,"assigned_to_id":23,"start_date":"2017-02-18","description":"","custom_fields":[{"id":1,"name":"Subdivision","value":"EC"},{"id":4,"name":"Milepost","value":"0.0141"},{"id":17,"name":"Train ID","value":"166-18"},{"id":16,"name":"Locomotive ID","value":"4008"},{"id":130,"name":"Impact","value":""},{"id":150,"name":"Time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20"/>
        <v>start /low /b %USERPROFILE%\Documents\GitHub\eaglep3\Utilities\DownloadLogsFromS3.py --loco 4008 --day 2017-02-18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</row>
    <row r="80" spans="1:91" s="20" customFormat="1" x14ac:dyDescent="0.25">
      <c r="A80" s="33" t="s">
        <v>448</v>
      </c>
      <c r="B80" s="7">
        <v>4011</v>
      </c>
      <c r="C80" s="21" t="s">
        <v>680</v>
      </c>
      <c r="D80" s="21" t="s">
        <v>229</v>
      </c>
      <c r="E80" s="13">
        <v>42784.494826388887</v>
      </c>
      <c r="F80" s="13">
        <v>42784.500162037039</v>
      </c>
      <c r="G80" s="7">
        <v>1</v>
      </c>
      <c r="H80" s="21" t="s">
        <v>714</v>
      </c>
      <c r="I80" s="13">
        <v>42784.52542824074</v>
      </c>
      <c r="J80" s="7">
        <v>0</v>
      </c>
      <c r="K80" s="98" t="str">
        <f t="shared" si="53"/>
        <v>4011/4012</v>
      </c>
      <c r="L80" s="21" t="str">
        <f>VLOOKUP(A80,'Trips&amp;Operators'!$C$1:$G$99999,5,FALSE)</f>
        <v>LEVIN SCOTT</v>
      </c>
      <c r="M80" s="6">
        <f t="shared" si="54"/>
        <v>2.5266203701903578E-2</v>
      </c>
      <c r="N80" s="7">
        <f t="shared" si="63"/>
        <v>36.383333330741152</v>
      </c>
      <c r="O80" s="7"/>
      <c r="P80" s="7"/>
      <c r="Q80" s="22"/>
      <c r="R80" s="22"/>
      <c r="S80" s="31">
        <f t="shared" si="52"/>
        <v>1</v>
      </c>
      <c r="T80" s="46" t="str">
        <f t="shared" si="55"/>
        <v>NorthBound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64"/>
        <v>https://d0f6bd738d7f1b3e5a7ca70fe4ff75f0.us-east-1.aws.found.io/app/kibana#/discover/Steve-Slow-Train-Analysis-(2080s-and-2083s)?_g=(refreshInterval:(display:Off,pause:!f,section:0,value:0),time:(from:'2017-02-18T10:52:33-0700',mode:absolute,to:'2017-02-18T13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0" s="188" t="str">
        <f t="shared" si="56"/>
        <v>N</v>
      </c>
      <c r="X80" s="188">
        <f t="shared" si="62"/>
        <v>1</v>
      </c>
      <c r="Y80" s="62">
        <f t="shared" si="57"/>
        <v>4.5100000000000001E-2</v>
      </c>
      <c r="Z80" s="62">
        <f t="shared" si="58"/>
        <v>23.334700000000002</v>
      </c>
      <c r="AA80" s="62">
        <f t="shared" si="59"/>
        <v>23.2896</v>
      </c>
      <c r="AB80" s="59" t="str">
        <f>VLOOKUP(A80,Enforcements!$C$7:$K$13,8,0)</f>
        <v>Bulletin (2)</v>
      </c>
      <c r="AC80" s="55" t="str">
        <f>VLOOKUP(A80,Enforcements!$C$7:$E$13,3,0)</f>
        <v>GRADE CROSSING</v>
      </c>
      <c r="AD80" s="56" t="str">
        <f t="shared" si="60"/>
        <v>0167-18</v>
      </c>
      <c r="AE80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80" s="82" t="str">
        <f t="shared" si="66"/>
        <v>"C:\Program Files (x86)\AstroGrep\AstroGrep.exe" /spath="%USERPROFILE%\AppData\Local\Temp\OnboardLogs" /stypes="app*4011*20170218*" /stext=" 19:.+((SYSTEM_STATE.+slice.+state.+changed )|(ment ac)|(multiple cpu faults)|(system.+state.+changed )|(\[timeout)|(PRM\|1\|D)|(kpr)|(kdp)|(\|lc)|(penalty))" /e /r /s</v>
      </c>
      <c r="AG80" s="1" t="str">
        <f t="shared" si="61"/>
        <v>EC</v>
      </c>
      <c r="AH80" s="86" t="str">
        <f t="shared" si="18"/>
        <v>"%USERPROFILE%\Documents\GitHub\eaglep3\Utilities\RefineRTDCRunTimes.py" --tripid 167-18 --locoid 4011 --swversion DE.1.0.9.0 --startMP 204:451 --initTime 2017-02-18T11:52:33 --startdatetime 2017-02-18T12:00:14 --delay 1 --endMP 204:233347 --enddatetime 2017-02-18T12:36:37 --enforcementcount 0 &gt;&gt;C:\Users\stu\Documents\GitHub\eaglep3-reporting\EC\2017-02-18-refined-times.txt</v>
      </c>
      <c r="AI80" s="108" t="str">
        <f t="shared" si="19"/>
        <v>echo {"issue":{"subject":"","project_id":79,"tracker_id":40,"status_id":1,"priority_id":2,"assigned_to_id":23,"start_date":"2017-02-18","description":"","custom_fields":[{"id":1,"name":"Subdivision","value":"EC"},{"id":4,"name":"Milepost","value":"23.3347"},{"id":17,"name":"Train ID","value":"167-18"},{"id":16,"name":"Locomotive ID","value":"4011"},{"id":130,"name":"Impact","value":""},{"id":150,"name":"Time of Event (Mountain Time)","value":"12:36:37"},{"id":151,"name":"Denver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20"/>
        <v>start /low /b %USERPROFILE%\Documents\GitHub\eaglep3\Utilities\DownloadLogsFromS3.py --loco 4011 --day 2017-02-18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455</v>
      </c>
      <c r="B81" s="7">
        <v>4012</v>
      </c>
      <c r="C81" s="21" t="s">
        <v>680</v>
      </c>
      <c r="D81" s="21" t="s">
        <v>715</v>
      </c>
      <c r="E81" s="13">
        <v>42784.53496527778</v>
      </c>
      <c r="F81" s="13">
        <v>42784.539120370369</v>
      </c>
      <c r="G81" s="7">
        <v>2</v>
      </c>
      <c r="H81" s="21" t="s">
        <v>716</v>
      </c>
      <c r="I81" s="13">
        <v>42784.565682870372</v>
      </c>
      <c r="J81" s="7">
        <v>0</v>
      </c>
      <c r="K81" s="98" t="str">
        <f t="shared" si="53"/>
        <v>4011/4012</v>
      </c>
      <c r="L81" s="21" t="str">
        <f>VLOOKUP(A81,'Trips&amp;Operators'!$C$1:$G$99999,5,FALSE)</f>
        <v>LEVIN SCOTT</v>
      </c>
      <c r="M81" s="6">
        <f t="shared" si="54"/>
        <v>2.6562500002910383E-2</v>
      </c>
      <c r="N81" s="7">
        <f t="shared" si="63"/>
        <v>38.250000004190952</v>
      </c>
      <c r="O81" s="7"/>
      <c r="P81" s="7"/>
      <c r="Q81" s="22"/>
      <c r="R81" s="22"/>
      <c r="S81" s="31">
        <f t="shared" si="52"/>
        <v>1</v>
      </c>
      <c r="T81" s="46" t="str">
        <f t="shared" si="55"/>
        <v>Southbound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64"/>
        <v>https://d0f6bd738d7f1b3e5a7ca70fe4ff75f0.us-east-1.aws.found.io/app/kibana#/discover/Steve-Slow-Train-Analysis-(2080s-and-2083s)?_g=(refreshInterval:(display:Off,pause:!f,section:0,value:0),time:(from:'2017-02-18T11:50:21-0700',mode:absolute,to:'2017-02-18T14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188" t="str">
        <f t="shared" si="56"/>
        <v>N</v>
      </c>
      <c r="X81" s="188">
        <f t="shared" si="62"/>
        <v>1</v>
      </c>
      <c r="Y81" s="62">
        <f t="shared" si="57"/>
        <v>23.307400000000001</v>
      </c>
      <c r="Z81" s="62">
        <f t="shared" si="58"/>
        <v>1.34E-2</v>
      </c>
      <c r="AA81" s="62">
        <f t="shared" si="59"/>
        <v>23.294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60"/>
        <v>0168-18</v>
      </c>
      <c r="AE81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81" s="82" t="str">
        <f t="shared" si="66"/>
        <v>"C:\Program Files (x86)\AstroGrep\AstroGrep.exe" /spath="%USERPROFILE%\AppData\Local\Temp\OnboardLogs" /stypes="app*4012*20170218*" /stext=" 20:.+((SYSTEM_STATE.+slice.+state.+changed )|(ment ac)|(multiple cpu faults)|(system.+state.+changed )|(\[timeout)|(PRM\|1\|D)|(kpr)|(kdp)|(\|lc)|(penalty))" /e /r /s</v>
      </c>
      <c r="AG81" s="1" t="str">
        <f t="shared" si="61"/>
        <v>EC</v>
      </c>
      <c r="AH81" s="86" t="str">
        <f t="shared" ref="AH81:AH144" si="67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168-18 --locoid 4012 --swversion DE.1.0.9.0 --startMP 204:233074 --initTime 2017-02-18T12:50:21 --startdatetime 2017-02-18T12:56:20 --delay 2 --endMP 204:134 --enddatetime 2017-02-18T13:34:35 --enforcementcount 0 &gt;&gt;C:\Users\stu\Documents\GitHub\eaglep3-reporting\EC\2017-02-18-refined-times.txt</v>
      </c>
      <c r="AI81" s="108" t="str">
        <f t="shared" ref="AI81:AI144" si="68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{"issue":{"subject":"","project_id":79,"tracker_id":40,"status_id":1,"priority_id":2,"assigned_to_id":23,"start_date":"2017-02-18","description":"","custom_fields":[{"id":1,"name":"Subdivision","value":"EC"},{"id":4,"name":"Milepost","value":"0.0134"},{"id":17,"name":"Train ID","value":"168-18"},{"id":16,"name":"Locomotive ID","value":"4012"},{"id":130,"name":"Impact","value":""},{"id":150,"name":"Time of Event (Mountain Time)","value":"13:34:35"},{"id":151,"name":"Denver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ref="AM81:AM144" si="69">"start /low /b "&amp;dls3logs&amp;" --loco "&amp;B81&amp;" --day "&amp;TEXT(F81,"YYYY-MM-DD")</f>
        <v>start /low /b %USERPROFILE%\Documents\GitHub\eaglep3\Utilities\DownloadLogsFromS3.py --loco 4012 --day 2017-02-18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453</v>
      </c>
      <c r="B82" s="7">
        <v>4053</v>
      </c>
      <c r="C82" s="21" t="s">
        <v>680</v>
      </c>
      <c r="D82" s="21" t="s">
        <v>297</v>
      </c>
      <c r="E82" s="13">
        <v>42784.50476851852</v>
      </c>
      <c r="F82" s="13">
        <v>42784.510578703703</v>
      </c>
      <c r="G82" s="7">
        <v>0</v>
      </c>
      <c r="H82" s="21" t="s">
        <v>717</v>
      </c>
      <c r="I82" s="13">
        <v>42784.534895833334</v>
      </c>
      <c r="J82" s="7">
        <v>0</v>
      </c>
      <c r="K82" s="98" t="str">
        <f t="shared" si="53"/>
        <v>4053/4054</v>
      </c>
      <c r="L82" s="21" t="str">
        <f>VLOOKUP(A82,'Trips&amp;Operators'!$C$1:$G$99999,5,FALSE)</f>
        <v>ROMERO CHAD</v>
      </c>
      <c r="M82" s="6">
        <f t="shared" si="54"/>
        <v>2.4317129631526768E-2</v>
      </c>
      <c r="N82" s="7">
        <f t="shared" si="63"/>
        <v>35.016666669398546</v>
      </c>
      <c r="O82" s="7"/>
      <c r="P82" s="7"/>
      <c r="Q82" s="22"/>
      <c r="R82" s="22"/>
      <c r="S82" s="31">
        <f t="shared" si="52"/>
        <v>1</v>
      </c>
      <c r="T82" s="46" t="str">
        <f t="shared" si="55"/>
        <v>NorthBound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64"/>
        <v>https://d0f6bd738d7f1b3e5a7ca70fe4ff75f0.us-east-1.aws.found.io/app/kibana#/discover/Steve-Slow-Train-Analysis-(2080s-and-2083s)?_g=(refreshInterval:(display:Off,pause:!f,section:0,value:0),time:(from:'2017-02-18T11:06:52-0700',mode:absolute,to:'2017-02-18T13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2" s="188" t="str">
        <f t="shared" si="56"/>
        <v>N</v>
      </c>
      <c r="X82" s="188">
        <f t="shared" si="62"/>
        <v>1</v>
      </c>
      <c r="Y82" s="62">
        <f t="shared" si="57"/>
        <v>4.4400000000000002E-2</v>
      </c>
      <c r="Z82" s="62">
        <f t="shared" si="58"/>
        <v>23.342199999999998</v>
      </c>
      <c r="AA82" s="62">
        <f t="shared" si="59"/>
        <v>23.297799999999999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60"/>
        <v>0169-18</v>
      </c>
      <c r="AE82" s="85" t="str">
        <f t="shared" si="65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82" s="82" t="str">
        <f t="shared" si="66"/>
        <v>"C:\Program Files (x86)\AstroGrep\AstroGrep.exe" /spath="%USERPROFILE%\AppData\Local\Temp\OnboardLogs" /stypes="app*4053*20170218*" /stext=" 19:.+((SYSTEM_STATE.+slice.+state.+changed )|(ment ac)|(multiple cpu faults)|(system.+state.+changed )|(\[timeout)|(PRM\|1\|D)|(kpr)|(kdp)|(\|lc)|(penalty))" /e /r /s</v>
      </c>
      <c r="AG82" s="1" t="str">
        <f t="shared" si="61"/>
        <v>EC</v>
      </c>
      <c r="AH82" s="86" t="str">
        <f t="shared" si="67"/>
        <v>"%USERPROFILE%\Documents\GitHub\eaglep3\Utilities\RefineRTDCRunTimes.py" --tripid 169-18 --locoid 4053 --swversion DE.1.0.9.0 --startMP 204:444 --initTime 2017-02-18T12:06:52 --startdatetime 2017-02-18T12:15:14 --delay 0 --endMP 204:233422 --enddatetime 2017-02-18T12:50:15 --enforcementcount 0 &gt;&gt;C:\Users\stu\Documents\GitHub\eaglep3-reporting\EC\2017-02-18-refined-times.txt</v>
      </c>
      <c r="AI8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{"issue":{"subject":"","project_id":79,"tracker_id":40,"status_id":1,"priority_id":2,"assigned_to_id":23,"start_date":"2017-02-18","description":"","custom_fields":[{"id":1,"name":"Subdivision","value":"EC"},{"id":4,"name":"Milepost","value":"23.3422"},{"id":17,"name":"Train ID","value":"169-18"},{"id":16,"name":"Locomotive ID","value":"4053"},{"id":130,"name":"Impact","value":""},{"id":150,"name":"Time of Event (Mountain Time)","value":"12:50:15"},{"id":151,"name":"Denver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69"/>
        <v>start /low /b %USERPROFILE%\Documents\GitHub\eaglep3\Utilities\DownloadLogsFromS3.py --loco 4053 --day 2017-02-18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588</v>
      </c>
      <c r="B83" s="7">
        <v>4054</v>
      </c>
      <c r="C83" s="21" t="s">
        <v>680</v>
      </c>
      <c r="D83" s="21" t="s">
        <v>718</v>
      </c>
      <c r="E83" s="13">
        <v>42784.536354166667</v>
      </c>
      <c r="F83" s="13">
        <v>42784.549479166664</v>
      </c>
      <c r="G83" s="7">
        <v>1</v>
      </c>
      <c r="H83" s="21" t="s">
        <v>216</v>
      </c>
      <c r="I83" s="13">
        <v>42784.574861111112</v>
      </c>
      <c r="J83" s="7">
        <v>0</v>
      </c>
      <c r="K83" s="98" t="str">
        <f t="shared" si="53"/>
        <v>4053/4054</v>
      </c>
      <c r="L83" s="21" t="str">
        <f>VLOOKUP(A83,'Trips&amp;Operators'!$C$1:$G$99999,5,FALSE)</f>
        <v>ROMERO CHAD</v>
      </c>
      <c r="M83" s="6">
        <f t="shared" si="54"/>
        <v>2.5381944447872229E-2</v>
      </c>
      <c r="N83" s="7">
        <f t="shared" si="63"/>
        <v>36.55000000493601</v>
      </c>
      <c r="O83" s="7"/>
      <c r="P83" s="7"/>
      <c r="Q83" s="22"/>
      <c r="R83" s="22"/>
      <c r="S83" s="31">
        <f t="shared" ref="S83:S114" si="70">SUM(U83:U83)/IF(AG83="EC",12,1)</f>
        <v>1</v>
      </c>
      <c r="T83" s="46" t="str">
        <f t="shared" si="55"/>
        <v>Southbound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64"/>
        <v>https://d0f6bd738d7f1b3e5a7ca70fe4ff75f0.us-east-1.aws.found.io/app/kibana#/discover/Steve-Slow-Train-Analysis-(2080s-and-2083s)?_g=(refreshInterval:(display:Off,pause:!f,section:0,value:0),time:(from:'2017-02-18T11:52:21-0700',mode:absolute,to:'2017-02-18T14:47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188" t="str">
        <f t="shared" si="56"/>
        <v>N</v>
      </c>
      <c r="X83" s="188">
        <f t="shared" si="62"/>
        <v>1</v>
      </c>
      <c r="Y83" s="62">
        <f t="shared" si="57"/>
        <v>23.309200000000001</v>
      </c>
      <c r="Z83" s="62">
        <f t="shared" si="58"/>
        <v>1.54E-2</v>
      </c>
      <c r="AA83" s="62">
        <f t="shared" si="59"/>
        <v>23.293800000000001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60"/>
        <v>0170-18</v>
      </c>
      <c r="AE83" s="85" t="str">
        <f t="shared" si="65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83" s="82" t="str">
        <f t="shared" si="66"/>
        <v>"C:\Program Files (x86)\AstroGrep\AstroGrep.exe" /spath="%USERPROFILE%\AppData\Local\Temp\OnboardLogs" /stypes="app*4054*20170218*" /stext=" 20:.+((SYSTEM_STATE.+slice.+state.+changed )|(ment ac)|(multiple cpu faults)|(system.+state.+changed )|(\[timeout)|(PRM\|1\|D)|(kpr)|(kdp)|(\|lc)|(penalty))" /e /r /s</v>
      </c>
      <c r="AG83" s="1" t="str">
        <f t="shared" si="61"/>
        <v>EC</v>
      </c>
      <c r="AH83" s="86" t="str">
        <f t="shared" si="67"/>
        <v>"%USERPROFILE%\Documents\GitHub\eaglep3\Utilities\RefineRTDCRunTimes.py" --tripid 170-18 --locoid 4054 --swversion DE.1.0.9.0 --startMP 204:233092 --initTime 2017-02-18T12:52:21 --startdatetime 2017-02-18T13:11:15 --delay 1 --endMP 204:154 --enddatetime 2017-02-18T13:47:48 --enforcementcount 0 &gt;&gt;C:\Users\stu\Documents\GitHub\eaglep3-reporting\EC\2017-02-18-refined-times.txt</v>
      </c>
      <c r="AI8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{"issue":{"subject":"","project_id":79,"tracker_id":40,"status_id":1,"priority_id":2,"assigned_to_id":23,"start_date":"2017-02-18","description":"","custom_fields":[{"id":1,"name":"Subdivision","value":"EC"},{"id":4,"name":"Milepost","value":"0.0154"},{"id":17,"name":"Train ID","value":"170-18"},{"id":16,"name":"Locomotive ID","value":"4054"},{"id":130,"name":"Impact","value":""},{"id":150,"name":"Time of Event (Mountain Time)","value":"13:47:48"},{"id":151,"name":"Denver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69"/>
        <v>start /low /b %USERPROFILE%\Documents\GitHub\eaglep3\Utilities\DownloadLogsFromS3.py --loco 4054 --day 2017-02-18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585</v>
      </c>
      <c r="B84" s="7">
        <v>4016</v>
      </c>
      <c r="C84" s="21" t="s">
        <v>680</v>
      </c>
      <c r="D84" s="21" t="s">
        <v>260</v>
      </c>
      <c r="E84" s="13">
        <v>42784.517175925925</v>
      </c>
      <c r="F84" s="13">
        <v>42784.520983796298</v>
      </c>
      <c r="G84" s="7">
        <v>1</v>
      </c>
      <c r="H84" s="21" t="s">
        <v>357</v>
      </c>
      <c r="I84" s="13">
        <v>42784.545960648145</v>
      </c>
      <c r="J84" s="7">
        <v>0</v>
      </c>
      <c r="K84" s="98" t="str">
        <f t="shared" si="53"/>
        <v>4015/4016</v>
      </c>
      <c r="L84" s="21" t="str">
        <f>VLOOKUP(A84,'Trips&amp;Operators'!$C$1:$G$99999,5,FALSE)</f>
        <v>BRANNON JEFFREY</v>
      </c>
      <c r="M84" s="6">
        <f t="shared" si="54"/>
        <v>2.4976851847895887E-2</v>
      </c>
      <c r="N84" s="7">
        <f t="shared" si="63"/>
        <v>35.966666660970077</v>
      </c>
      <c r="O84" s="7"/>
      <c r="P84" s="7"/>
      <c r="Q84" s="22"/>
      <c r="R84" s="22"/>
      <c r="S84" s="31">
        <f t="shared" si="70"/>
        <v>1</v>
      </c>
      <c r="T84" s="46" t="str">
        <f t="shared" si="55"/>
        <v>NorthBound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64"/>
        <v>https://d0f6bd738d7f1b3e5a7ca70fe4ff75f0.us-east-1.aws.found.io/app/kibana#/discover/Steve-Slow-Train-Analysis-(2080s-and-2083s)?_g=(refreshInterval:(display:Off,pause:!f,section:0,value:0),time:(from:'2017-02-18T11:24:44-0700',mode:absolute,to:'2017-02-18T14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188" t="str">
        <f t="shared" si="56"/>
        <v>N</v>
      </c>
      <c r="X84" s="188">
        <f t="shared" si="62"/>
        <v>1</v>
      </c>
      <c r="Y84" s="62">
        <f t="shared" si="57"/>
        <v>4.6699999999999998E-2</v>
      </c>
      <c r="Z84" s="62">
        <f t="shared" si="58"/>
        <v>23.331700000000001</v>
      </c>
      <c r="AA84" s="62">
        <f t="shared" si="59"/>
        <v>23.285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60"/>
        <v>0171-18</v>
      </c>
      <c r="AE84" s="85" t="str">
        <f t="shared" si="65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84" s="82" t="str">
        <f t="shared" si="66"/>
        <v>"C:\Program Files (x86)\AstroGrep\AstroGrep.exe" /spath="%USERPROFILE%\AppData\Local\Temp\OnboardLogs" /stypes="app*4016*20170218*" /stext=" 20:.+((SYSTEM_STATE.+slice.+state.+changed )|(ment ac)|(multiple cpu faults)|(system.+state.+changed )|(\[timeout)|(PRM\|1\|D)|(kpr)|(kdp)|(\|lc)|(penalty))" /e /r /s</v>
      </c>
      <c r="AG84" s="1" t="str">
        <f t="shared" si="61"/>
        <v>EC</v>
      </c>
      <c r="AH84" s="86" t="str">
        <f t="shared" si="67"/>
        <v>"%USERPROFILE%\Documents\GitHub\eaglep3\Utilities\RefineRTDCRunTimes.py" --tripid 171-18 --locoid 4016 --swversion DE.1.0.9.0 --startMP 204:467 --initTime 2017-02-18T12:24:44 --startdatetime 2017-02-18T12:30:13 --delay 1 --endMP 204:233317 --enddatetime 2017-02-18T13:06:11 --enforcementcount 0 &gt;&gt;C:\Users\stu\Documents\GitHub\eaglep3-reporting\EC\2017-02-18-refined-times.txt</v>
      </c>
      <c r="AI8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{"issue":{"subject":"","project_id":79,"tracker_id":40,"status_id":1,"priority_id":2,"assigned_to_id":23,"start_date":"2017-02-18","description":"","custom_fields":[{"id":1,"name":"Subdivision","value":"EC"},{"id":4,"name":"Milepost","value":"23.3317"},{"id":17,"name":"Train ID","value":"171-18"},{"id":16,"name":"Locomotive ID","value":"4016"},{"id":130,"name":"Impact","value":""},{"id":150,"name":"Time of Event (Mountain Time)","value":"13:06:11"},{"id":151,"name":"Denver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69"/>
        <v>start /low /b %USERPROFILE%\Documents\GitHub\eaglep3\Utilities\DownloadLogsFromS3.py --loco 4016 --day 2017-02-18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457</v>
      </c>
      <c r="B85" s="7">
        <v>4015</v>
      </c>
      <c r="C85" s="21" t="s">
        <v>680</v>
      </c>
      <c r="D85" s="21" t="s">
        <v>719</v>
      </c>
      <c r="E85" s="13">
        <v>42784.549039351848</v>
      </c>
      <c r="F85" s="13">
        <v>42784.559884259259</v>
      </c>
      <c r="G85" s="7">
        <v>1</v>
      </c>
      <c r="H85" s="21" t="s">
        <v>720</v>
      </c>
      <c r="I85" s="13">
        <v>42784.587118055555</v>
      </c>
      <c r="J85" s="7">
        <v>0</v>
      </c>
      <c r="K85" s="98" t="str">
        <f t="shared" si="53"/>
        <v>4015/4016</v>
      </c>
      <c r="L85" s="21" t="str">
        <f>VLOOKUP(A85,'Trips&amp;Operators'!$C$1:$G$99999,5,FALSE)</f>
        <v>BRANNON JEFFREY</v>
      </c>
      <c r="M85" s="6">
        <f t="shared" si="54"/>
        <v>2.7233796296059154E-2</v>
      </c>
      <c r="N85" s="7">
        <f t="shared" si="63"/>
        <v>39.216666666325182</v>
      </c>
      <c r="O85" s="7"/>
      <c r="P85" s="7"/>
      <c r="Q85" s="22"/>
      <c r="R85" s="22"/>
      <c r="S85" s="31">
        <f t="shared" si="70"/>
        <v>1</v>
      </c>
      <c r="T85" s="46" t="str">
        <f t="shared" si="55"/>
        <v>Southbound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64"/>
        <v>https://d0f6bd738d7f1b3e5a7ca70fe4ff75f0.us-east-1.aws.found.io/app/kibana#/discover/Steve-Slow-Train-Analysis-(2080s-and-2083s)?_g=(refreshInterval:(display:Off,pause:!f,section:0,value:0),time:(from:'2017-02-18T12:10:37-0700',mode:absolute,to:'2017-02-18T15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188" t="str">
        <f t="shared" si="56"/>
        <v>N</v>
      </c>
      <c r="X85" s="188">
        <f t="shared" si="62"/>
        <v>1</v>
      </c>
      <c r="Y85" s="62">
        <f t="shared" si="57"/>
        <v>23.299399999999999</v>
      </c>
      <c r="Z85" s="62">
        <f t="shared" si="58"/>
        <v>1.7399999999999999E-2</v>
      </c>
      <c r="AA85" s="62">
        <f t="shared" si="59"/>
        <v>23.282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60"/>
        <v>0172-18</v>
      </c>
      <c r="AE85" s="85" t="str">
        <f t="shared" si="65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85" s="82" t="str">
        <f t="shared" si="66"/>
        <v>"C:\Program Files (x86)\AstroGrep\AstroGrep.exe" /spath="%USERPROFILE%\AppData\Local\Temp\OnboardLogs" /stypes="app*4015*20170218*" /stext=" 21:.+((SYSTEM_STATE.+slice.+state.+changed )|(ment ac)|(multiple cpu faults)|(system.+state.+changed )|(\[timeout)|(PRM\|1\|D)|(kpr)|(kdp)|(\|lc)|(penalty))" /e /r /s</v>
      </c>
      <c r="AG85" s="1" t="str">
        <f t="shared" si="61"/>
        <v>EC</v>
      </c>
      <c r="AH85" s="86" t="str">
        <f t="shared" si="67"/>
        <v>"%USERPROFILE%\Documents\GitHub\eaglep3\Utilities\RefineRTDCRunTimes.py" --tripid 172-18 --locoid 4015 --swversion DE.1.0.9.0 --startMP 204:232994 --initTime 2017-02-18T13:10:37 --startdatetime 2017-02-18T13:26:14 --delay 1 --endMP 204:174 --enddatetime 2017-02-18T14:05:27 --enforcementcount 0 &gt;&gt;C:\Users\stu\Documents\GitHub\eaglep3-reporting\EC\2017-02-18-refined-times.txt</v>
      </c>
      <c r="AI8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{"issue":{"subject":"","project_id":79,"tracker_id":40,"status_id":1,"priority_id":2,"assigned_to_id":23,"start_date":"2017-02-18","description":"","custom_fields":[{"id":1,"name":"Subdivision","value":"EC"},{"id":4,"name":"Milepost","value":"0.0174"},{"id":17,"name":"Train ID","value":"172-18"},{"id":16,"name":"Locomotive ID","value":"4015"},{"id":130,"name":"Impact","value":""},{"id":150,"name":"Time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69"/>
        <v>start /low /b %USERPROFILE%\Documents\GitHub\eaglep3\Utilities\DownloadLogsFromS3.py --loco 4015 --day 2017-02-18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</row>
    <row r="86" spans="1:91" s="20" customFormat="1" x14ac:dyDescent="0.25">
      <c r="A86" s="33" t="s">
        <v>454</v>
      </c>
      <c r="B86" s="7">
        <v>4027</v>
      </c>
      <c r="C86" s="21" t="s">
        <v>680</v>
      </c>
      <c r="D86" s="21" t="s">
        <v>262</v>
      </c>
      <c r="E86" s="13">
        <v>42784.526296296295</v>
      </c>
      <c r="F86" s="13">
        <v>42784.531446759262</v>
      </c>
      <c r="G86" s="7">
        <v>1</v>
      </c>
      <c r="H86" s="21" t="s">
        <v>693</v>
      </c>
      <c r="I86" s="13">
        <v>42784.555810185186</v>
      </c>
      <c r="J86" s="7">
        <v>0</v>
      </c>
      <c r="K86" s="98" t="str">
        <f t="shared" si="53"/>
        <v>4027/4028</v>
      </c>
      <c r="L86" s="21" t="str">
        <f>VLOOKUP(A86,'Trips&amp;Operators'!$C$1:$G$99999,5,FALSE)</f>
        <v>STEWART MICHAEL</v>
      </c>
      <c r="M86" s="6">
        <f t="shared" si="54"/>
        <v>2.4363425924093463E-2</v>
      </c>
      <c r="N86" s="7">
        <f t="shared" si="63"/>
        <v>35.083333330694586</v>
      </c>
      <c r="O86" s="7"/>
      <c r="P86" s="7"/>
      <c r="Q86" s="22"/>
      <c r="R86" s="22"/>
      <c r="S86" s="31">
        <f t="shared" si="70"/>
        <v>1</v>
      </c>
      <c r="T86" s="46" t="str">
        <f t="shared" si="55"/>
        <v>NorthBound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64"/>
        <v>https://d0f6bd738d7f1b3e5a7ca70fe4ff75f0.us-east-1.aws.found.io/app/kibana#/discover/Steve-Slow-Train-Analysis-(2080s-and-2083s)?_g=(refreshInterval:(display:Off,pause:!f,section:0,value:0),time:(from:'2017-02-18T11:37:52-0700',mode:absolute,to:'2017-02-18T14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6" s="188" t="str">
        <f t="shared" si="56"/>
        <v>N</v>
      </c>
      <c r="X86" s="188">
        <f t="shared" si="62"/>
        <v>1</v>
      </c>
      <c r="Y86" s="62">
        <f t="shared" si="57"/>
        <v>4.5499999999999999E-2</v>
      </c>
      <c r="Z86" s="62">
        <f t="shared" si="58"/>
        <v>23.3291</v>
      </c>
      <c r="AA86" s="62">
        <f t="shared" si="59"/>
        <v>23.2836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60"/>
        <v>0173-18</v>
      </c>
      <c r="AE86" s="85" t="str">
        <f t="shared" si="65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86" s="82" t="str">
        <f t="shared" si="66"/>
        <v>"C:\Program Files (x86)\AstroGrep\AstroGrep.exe" /spath="%USERPROFILE%\AppData\Local\Temp\OnboardLogs" /stypes="app*4027*20170218*" /stext=" 20:.+((SYSTEM_STATE.+slice.+state.+changed )|(ment ac)|(multiple cpu faults)|(system.+state.+changed )|(\[timeout)|(PRM\|1\|D)|(kpr)|(kdp)|(\|lc)|(penalty))" /e /r /s</v>
      </c>
      <c r="AG86" s="1" t="str">
        <f t="shared" si="61"/>
        <v>EC</v>
      </c>
      <c r="AH86" s="86" t="str">
        <f t="shared" si="67"/>
        <v>"%USERPROFILE%\Documents\GitHub\eaglep3\Utilities\RefineRTDCRunTimes.py" --tripid 173-18 --locoid 4027 --swversion DE.1.0.9.0 --startMP 204:455 --initTime 2017-02-18T12:37:52 --startdatetime 2017-02-18T12:45:17 --delay 1 --endMP 204:233291 --enddatetime 2017-02-18T13:20:22 --enforcementcount 0 &gt;&gt;C:\Users\stu\Documents\GitHub\eaglep3-reporting\EC\2017-02-18-refined-times.txt</v>
      </c>
      <c r="AI8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ID","value":"173-18"},{"id":16,"name":"Locomotive ID","value":"4027"},{"id":130,"name":"Impact","value":""},{"id":150,"name":"Time of Event (Mountain Time)","value":"13:20:22"},{"id":151,"name":"Denver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69"/>
        <v>start /low /b %USERPROFILE%\Documents\GitHub\eaglep3\Utilities\DownloadLogsFromS3.py --loco 4027 --day 2017-02-18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593</v>
      </c>
      <c r="B87" s="7">
        <v>4028</v>
      </c>
      <c r="C87" s="21" t="s">
        <v>680</v>
      </c>
      <c r="D87" s="21" t="s">
        <v>721</v>
      </c>
      <c r="E87" s="13">
        <v>42784.566354166665</v>
      </c>
      <c r="F87" s="13">
        <v>42784.570347222223</v>
      </c>
      <c r="G87" s="7">
        <v>1</v>
      </c>
      <c r="H87" s="21" t="s">
        <v>295</v>
      </c>
      <c r="I87" s="13">
        <v>42784.596701388888</v>
      </c>
      <c r="J87" s="7">
        <v>0</v>
      </c>
      <c r="K87" s="98" t="str">
        <f t="shared" si="53"/>
        <v>4027/4028</v>
      </c>
      <c r="L87" s="21" t="str">
        <f>VLOOKUP(A87,'Trips&amp;Operators'!$C$1:$G$99999,5,FALSE)</f>
        <v>STEWART MICHAEL</v>
      </c>
      <c r="M87" s="6">
        <f t="shared" si="54"/>
        <v>2.6354166664532386E-2</v>
      </c>
      <c r="N87" s="7">
        <f t="shared" si="63"/>
        <v>37.949999996926636</v>
      </c>
      <c r="O87" s="7"/>
      <c r="P87" s="7"/>
      <c r="Q87" s="22"/>
      <c r="R87" s="22"/>
      <c r="S87" s="31">
        <f t="shared" si="70"/>
        <v>1</v>
      </c>
      <c r="T87" s="46" t="str">
        <f t="shared" si="55"/>
        <v>Southbound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64"/>
        <v>https://d0f6bd738d7f1b3e5a7ca70fe4ff75f0.us-east-1.aws.found.io/app/kibana#/discover/Steve-Slow-Train-Analysis-(2080s-and-2083s)?_g=(refreshInterval:(display:Off,pause:!f,section:0,value:0),time:(from:'2017-02-18T12:35:33-0700',mode:absolute,to:'2017-02-18T15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88" t="str">
        <f t="shared" si="56"/>
        <v>N</v>
      </c>
      <c r="X87" s="188">
        <f t="shared" si="62"/>
        <v>1</v>
      </c>
      <c r="Y87" s="62">
        <f t="shared" si="57"/>
        <v>23.293600000000001</v>
      </c>
      <c r="Z87" s="62">
        <f t="shared" si="58"/>
        <v>1.5599999999999999E-2</v>
      </c>
      <c r="AA87" s="62">
        <f t="shared" si="59"/>
        <v>23.278000000000002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60"/>
        <v>0174-18</v>
      </c>
      <c r="AE87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87" s="82" t="str">
        <f t="shared" si="66"/>
        <v>"C:\Program Files (x86)\AstroGrep\AstroGrep.exe" /spath="%USERPROFILE%\AppData\Local\Temp\OnboardLogs" /stypes="app*4028*20170218*" /stext=" 21:.+((SYSTEM_STATE.+slice.+state.+changed )|(ment ac)|(multiple cpu faults)|(system.+state.+changed )|(\[timeout)|(PRM\|1\|D)|(kpr)|(kdp)|(\|lc)|(penalty))" /e /r /s</v>
      </c>
      <c r="AG87" s="1" t="str">
        <f t="shared" si="61"/>
        <v>EC</v>
      </c>
      <c r="AH87" s="86" t="str">
        <f t="shared" si="67"/>
        <v>"%USERPROFILE%\Documents\GitHub\eaglep3\Utilities\RefineRTDCRunTimes.py" --tripid 174-18 --locoid 4028 --swversion DE.1.0.9.0 --startMP 204:232936 --initTime 2017-02-18T13:35:33 --startdatetime 2017-02-18T13:41:18 --delay 1 --endMP 204:156 --enddatetime 2017-02-18T14:19:15 --enforcementcount 0 &gt;&gt;C:\Users\stu\Documents\GitHub\eaglep3-reporting\EC\2017-02-18-refined-times.txt</v>
      </c>
      <c r="AI8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{"issue":{"subject":"","project_id":79,"tracker_id":40,"status_id":1,"priority_id":2,"assigned_to_id":23,"start_date":"2017-02-18","description":"","custom_fields":[{"id":1,"name":"Subdivision","value":"EC"},{"id":4,"name":"Milepost","value":"0.0156"},{"id":17,"name":"Train ID","value":"174-18"},{"id":16,"name":"Locomotive ID","value":"4028"},{"id":130,"name":"Impact","value":""},{"id":150,"name":"Time of Event (Mountain Time)","value":"14:19:15"},{"id":151,"name":"Denver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69"/>
        <v>start /low /b %USERPROFILE%\Documents\GitHub\eaglep3\Utilities\DownloadLogsFromS3.py --loco 4028 --day 2017-02-18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590</v>
      </c>
      <c r="B88" s="7">
        <v>4029</v>
      </c>
      <c r="C88" s="21" t="s">
        <v>680</v>
      </c>
      <c r="D88" s="21" t="s">
        <v>414</v>
      </c>
      <c r="E88" s="13">
        <v>42784.539803240739</v>
      </c>
      <c r="F88" s="13">
        <v>42784.542013888888</v>
      </c>
      <c r="G88" s="7">
        <v>1</v>
      </c>
      <c r="H88" s="21" t="s">
        <v>284</v>
      </c>
      <c r="I88" s="13">
        <v>42784.569085648145</v>
      </c>
      <c r="J88" s="7">
        <v>0</v>
      </c>
      <c r="K88" s="98" t="str">
        <f t="shared" si="53"/>
        <v>4029/4030</v>
      </c>
      <c r="L88" s="21" t="str">
        <f>VLOOKUP(A88,'Trips&amp;Operators'!$C$1:$G$99999,5,FALSE)</f>
        <v>DAVIS MICHAEL</v>
      </c>
      <c r="M88" s="6">
        <f t="shared" si="54"/>
        <v>2.7071759257523809E-2</v>
      </c>
      <c r="N88" s="7">
        <f t="shared" si="63"/>
        <v>38.983333330834284</v>
      </c>
      <c r="O88" s="7"/>
      <c r="P88" s="7"/>
      <c r="Q88" s="22"/>
      <c r="R88" s="22"/>
      <c r="S88" s="31">
        <f t="shared" si="70"/>
        <v>1</v>
      </c>
      <c r="T88" s="46" t="str">
        <f t="shared" si="55"/>
        <v>NorthBound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64"/>
        <v>https://d0f6bd738d7f1b3e5a7ca70fe4ff75f0.us-east-1.aws.found.io/app/kibana#/discover/Steve-Slow-Train-Analysis-(2080s-and-2083s)?_g=(refreshInterval:(display:Off,pause:!f,section:0,value:0),time:(from:'2017-02-18T11:57:19-0700',mode:absolute,to:'2017-02-18T14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188" t="str">
        <f t="shared" si="56"/>
        <v>N</v>
      </c>
      <c r="X88" s="188">
        <f t="shared" si="62"/>
        <v>1</v>
      </c>
      <c r="Y88" s="62">
        <f t="shared" si="57"/>
        <v>4.6600000000000003E-2</v>
      </c>
      <c r="Z88" s="62">
        <f t="shared" si="58"/>
        <v>23.331199999999999</v>
      </c>
      <c r="AA88" s="62">
        <f t="shared" si="59"/>
        <v>23.284599999999998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60"/>
        <v>0175-18</v>
      </c>
      <c r="AE88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88" s="82" t="str">
        <f t="shared" si="66"/>
        <v>"C:\Program Files (x86)\AstroGrep\AstroGrep.exe" /spath="%USERPROFILE%\AppData\Local\Temp\OnboardLogs" /stypes="app*4029*20170218*" /stext=" 20:.+((SYSTEM_STATE.+slice.+state.+changed )|(ment ac)|(multiple cpu faults)|(system.+state.+changed )|(\[timeout)|(PRM\|1\|D)|(kpr)|(kdp)|(\|lc)|(penalty))" /e /r /s</v>
      </c>
      <c r="AG88" s="1" t="str">
        <f t="shared" si="61"/>
        <v>EC</v>
      </c>
      <c r="AH88" s="86" t="str">
        <f t="shared" si="67"/>
        <v>"%USERPROFILE%\Documents\GitHub\eaglep3\Utilities\RefineRTDCRunTimes.py" --tripid 175-18 --locoid 4029 --swversion DE.1.0.9.0 --startMP 204:466 --initTime 2017-02-18T12:57:19 --startdatetime 2017-02-18T13:00:30 --delay 1 --endMP 204:233312 --enddatetime 2017-02-18T13:39:29 --enforcementcount 0 &gt;&gt;C:\Users\stu\Documents\GitHub\eaglep3-reporting\EC\2017-02-18-refined-times.txt</v>
      </c>
      <c r="AI8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{"issue":{"subject":"","project_id":79,"tracker_id":40,"status_id":1,"priority_id":2,"assigned_to_id":23,"start_date":"2017-02-18","description":"","custom_fields":[{"id":1,"name":"Subdivision","value":"EC"},{"id":4,"name":"Milepost","value":"23.3312"},{"id":17,"name":"Train ID","value":"175-18"},{"id":16,"name":"Locomotive ID","value":"4029"},{"id":130,"name":"Impact","value":""},{"id":150,"name":"Time of Event (Mountain Time)","value":"13:39:29"},{"id":151,"name":"Denver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69"/>
        <v>start /low /b %USERPROFILE%\Documents\GitHub\eaglep3\Utilities\DownloadLogsFromS3.py --loco 4029 --day 2017-02-18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458</v>
      </c>
      <c r="B89" s="7">
        <v>4030</v>
      </c>
      <c r="C89" s="21" t="s">
        <v>680</v>
      </c>
      <c r="D89" s="21" t="s">
        <v>312</v>
      </c>
      <c r="E89" s="13">
        <v>42784.578402777777</v>
      </c>
      <c r="F89" s="13">
        <v>42784.580972222226</v>
      </c>
      <c r="G89" s="7">
        <v>1</v>
      </c>
      <c r="H89" s="21" t="s">
        <v>226</v>
      </c>
      <c r="I89" s="13">
        <v>42784.61037037037</v>
      </c>
      <c r="J89" s="7">
        <v>0</v>
      </c>
      <c r="K89" s="98" t="str">
        <f t="shared" ref="K89:K120" si="71">IF(ISEVEN(B89),(B89-1)&amp;"/"&amp;B89,B89&amp;"/"&amp;(B89+1))</f>
        <v>4029/4030</v>
      </c>
      <c r="L89" s="21" t="str">
        <f>VLOOKUP(A89,'Trips&amp;Operators'!$C$1:$G$99999,5,FALSE)</f>
        <v>DAVIS MICHAEL</v>
      </c>
      <c r="M89" s="6">
        <f t="shared" ref="M89:M120" si="72">I89-F89</f>
        <v>2.9398148144537117E-2</v>
      </c>
      <c r="N89" s="7">
        <f t="shared" si="63"/>
        <v>42.333333328133449</v>
      </c>
      <c r="O89" s="7"/>
      <c r="P89" s="7"/>
      <c r="Q89" s="22"/>
      <c r="R89" s="22"/>
      <c r="S89" s="31">
        <f t="shared" si="70"/>
        <v>1</v>
      </c>
      <c r="T89" s="46" t="str">
        <f t="shared" ref="T89:T120" si="73">IF(ISEVEN(LEFT(AD89,4)),"Southbound","NorthBound")</f>
        <v>Southbound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64"/>
        <v>https://d0f6bd738d7f1b3e5a7ca70fe4ff75f0.us-east-1.aws.found.io/app/kibana#/discover/Steve-Slow-Train-Analysis-(2080s-and-2083s)?_g=(refreshInterval:(display:Off,pause:!f,section:0,value:0),time:(from:'2017-02-18T12:52:54-0700',mode:absolute,to:'2017-02-18T15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188" t="str">
        <f t="shared" ref="W89:W120" si="74">IF(AA89&lt;IF(AG89="EC",23,5.65),"Y","N")</f>
        <v>N</v>
      </c>
      <c r="X89" s="188">
        <f t="shared" si="62"/>
        <v>1</v>
      </c>
      <c r="Y89" s="62">
        <f t="shared" ref="Y89:Y120" si="75">RIGHT(D89,LEN(D89)-4)/10000</f>
        <v>23.298500000000001</v>
      </c>
      <c r="Z89" s="62">
        <f t="shared" ref="Z89:Z120" si="76">RIGHT(H89,LEN(H89)-4)/10000</f>
        <v>1.43E-2</v>
      </c>
      <c r="AA89" s="62">
        <f t="shared" ref="AA89:AA120" si="77">ABS(Z89-Y89)</f>
        <v>23.284200000000002</v>
      </c>
      <c r="AB89" s="59" t="str">
        <f>VLOOKUP(A89,Enforcements!$C$7:$K$13,8,0)</f>
        <v>Bulletin (2)</v>
      </c>
      <c r="AC89" s="55" t="str">
        <f>VLOOKUP(A89,Enforcements!$C$7:$E$13,3,0)</f>
        <v>GRADE CROSSING</v>
      </c>
      <c r="AD89" s="56" t="str">
        <f t="shared" ref="AD89:AD120" si="78">IF(LEN(A89)=6,"0"&amp;A89,A89)</f>
        <v>0176-18</v>
      </c>
      <c r="AE89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89" s="82" t="str">
        <f t="shared" si="66"/>
        <v>"C:\Program Files (x86)\AstroGrep\AstroGrep.exe" /spath="%USERPROFILE%\AppData\Local\Temp\OnboardLogs" /stypes="app*4030*20170218*" /stext=" 21:.+((SYSTEM_STATE.+slice.+state.+changed )|(ment ac)|(multiple cpu faults)|(system.+state.+changed )|(\[timeout)|(PRM\|1\|D)|(kpr)|(kdp)|(\|lc)|(penalty))" /e /r /s</v>
      </c>
      <c r="AG89" s="1" t="str">
        <f t="shared" ref="AG89:AG120" si="79">IFERROR(IF(VALUE(LEFT(AD89,2))&lt;=2,"EC",IF(OR(VALUE(LEFT(AD89,2))=8,VALUE(LEFT(AD89,2))=18),"NW","Other")),"Other")</f>
        <v>EC</v>
      </c>
      <c r="AH89" s="86" t="str">
        <f t="shared" si="67"/>
        <v>"%USERPROFILE%\Documents\GitHub\eaglep3\Utilities\RefineRTDCRunTimes.py" --tripid 176-18 --locoid 4030 --swversion DE.1.0.9.0 --startMP 204:232985 --initTime 2017-02-18T13:52:54 --startdatetime 2017-02-18T13:56:36 --delay 1 --endMP 204:143 --enddatetime 2017-02-18T14:38:56 --enforcementcount 0 &gt;&gt;C:\Users\stu\Documents\GitHub\eaglep3-reporting\EC\2017-02-18-refined-times.txt</v>
      </c>
      <c r="AI8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{"issue":{"subject":"","project_id":79,"tracker_id":40,"status_id":1,"priority_id":2,"assigned_to_id":23,"start_date":"2017-02-18","description":"","custom_fields":[{"id":1,"name":"Subdivision","value":"EC"},{"id":4,"name":"Milepost","value":"0.0143"},{"id":17,"name":"Train ID","value":"176-18"},{"id":16,"name":"Locomotive ID","value":"4030"},{"id":130,"name":"Impact","value":""},{"id":150,"name":"Time of Event (Mountain Time)","value":"14:38:56"},{"id":151,"name":"Denver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69"/>
        <v>start /low /b %USERPROFILE%\Documents\GitHub\eaglep3\Utilities\DownloadLogsFromS3.py --loco 4030 --day 2017-02-18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591</v>
      </c>
      <c r="B90" s="7">
        <v>4018</v>
      </c>
      <c r="C90" s="21" t="s">
        <v>680</v>
      </c>
      <c r="D90" s="21" t="s">
        <v>695</v>
      </c>
      <c r="E90" s="13">
        <v>42784.547256944446</v>
      </c>
      <c r="F90" s="13">
        <v>42784.552256944444</v>
      </c>
      <c r="G90" s="7">
        <v>2</v>
      </c>
      <c r="H90" s="21" t="s">
        <v>359</v>
      </c>
      <c r="I90" s="13">
        <v>42784.576782407406</v>
      </c>
      <c r="J90" s="7">
        <v>0</v>
      </c>
      <c r="K90" s="98" t="str">
        <f t="shared" si="71"/>
        <v>4017/4018</v>
      </c>
      <c r="L90" s="21" t="str">
        <f>VLOOKUP(A90,'Trips&amp;Operators'!$C$1:$G$99999,5,FALSE)</f>
        <v>BRUDER RICHARD</v>
      </c>
      <c r="M90" s="6">
        <f t="shared" si="72"/>
        <v>2.4525462962628808E-2</v>
      </c>
      <c r="N90" s="7">
        <f t="shared" si="63"/>
        <v>35.316666666185483</v>
      </c>
      <c r="O90" s="7"/>
      <c r="P90" s="7"/>
      <c r="Q90" s="22"/>
      <c r="R90" s="22"/>
      <c r="S90" s="31">
        <f t="shared" si="70"/>
        <v>1</v>
      </c>
      <c r="T90" s="46" t="str">
        <f t="shared" si="73"/>
        <v>NorthBound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64"/>
        <v>https://d0f6bd738d7f1b3e5a7ca70fe4ff75f0.us-east-1.aws.found.io/app/kibana#/discover/Steve-Slow-Train-Analysis-(2080s-and-2083s)?_g=(refreshInterval:(display:Off,pause:!f,section:0,value:0),time:(from:'2017-02-18T12:08:03-0700',mode:absolute,to:'2017-02-18T14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188" t="str">
        <f t="shared" si="74"/>
        <v>N</v>
      </c>
      <c r="X90" s="188">
        <f t="shared" si="62"/>
        <v>1</v>
      </c>
      <c r="Y90" s="62">
        <f t="shared" si="75"/>
        <v>4.58E-2</v>
      </c>
      <c r="Z90" s="62">
        <f t="shared" si="76"/>
        <v>23.3307</v>
      </c>
      <c r="AA90" s="62">
        <f t="shared" si="77"/>
        <v>23.2849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78"/>
        <v>0177-18</v>
      </c>
      <c r="AE90" s="85" t="str">
        <f t="shared" si="65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90" s="82" t="str">
        <f t="shared" si="66"/>
        <v>"C:\Program Files (x86)\AstroGrep\AstroGrep.exe" /spath="%USERPROFILE%\AppData\Local\Temp\OnboardLogs" /stypes="app*4018*20170218*" /stext=" 20:.+((SYSTEM_STATE.+slice.+state.+changed )|(ment ac)|(multiple cpu faults)|(system.+state.+changed )|(\[timeout)|(PRM\|1\|D)|(kpr)|(kdp)|(\|lc)|(penalty))" /e /r /s</v>
      </c>
      <c r="AG90" s="1" t="str">
        <f t="shared" si="79"/>
        <v>EC</v>
      </c>
      <c r="AH90" s="86" t="str">
        <f t="shared" si="67"/>
        <v>"%USERPROFILE%\Documents\GitHub\eaglep3\Utilities\RefineRTDCRunTimes.py" --tripid 177-18 --locoid 4018 --swversion DE.1.0.9.0 --startMP 204:458 --initTime 2017-02-18T13:08:03 --startdatetime 2017-02-18T13:15:15 --delay 2 --endMP 204:233307 --enddatetime 2017-02-18T13:50:34 --enforcementcount 0 &gt;&gt;C:\Users\stu\Documents\GitHub\eaglep3-reporting\EC\2017-02-18-refined-times.txt</v>
      </c>
      <c r="AI9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{"issue":{"subject":"","project_id":79,"tracker_id":40,"status_id":1,"priority_id":2,"assigned_to_id":23,"start_date":"2017-02-18","description":"","custom_fields":[{"id":1,"name":"Subdivision","value":"EC"},{"id":4,"name":"Milepost","value":"23.3307"},{"id":17,"name":"Train ID","value":"177-18"},{"id":16,"name":"Locomotive ID","value":"4018"},{"id":130,"name":"Impact","value":""},{"id":150,"name":"Time of Event (Mountain Time)","value":"13:50:34"},{"id":151,"name":"Denver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69"/>
        <v>start /low /b %USERPROFILE%\Documents\GitHub\eaglep3\Utilities\DownloadLogsFromS3.py --loco 4018 --day 2017-02-18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598</v>
      </c>
      <c r="B91" s="7">
        <v>4017</v>
      </c>
      <c r="C91" s="21" t="s">
        <v>680</v>
      </c>
      <c r="D91" s="21" t="s">
        <v>722</v>
      </c>
      <c r="E91" s="13">
        <v>42784.578483796293</v>
      </c>
      <c r="F91" s="13">
        <v>42784.591273148151</v>
      </c>
      <c r="G91" s="7">
        <v>1</v>
      </c>
      <c r="H91" s="21" t="s">
        <v>196</v>
      </c>
      <c r="I91" s="13">
        <v>42784.617581018516</v>
      </c>
      <c r="J91" s="7">
        <v>0</v>
      </c>
      <c r="K91" s="98" t="str">
        <f t="shared" si="71"/>
        <v>4017/4018</v>
      </c>
      <c r="L91" s="21" t="str">
        <f>VLOOKUP(A91,'Trips&amp;Operators'!$C$1:$G$99999,5,FALSE)</f>
        <v>LOPES KIMBERLY</v>
      </c>
      <c r="M91" s="6">
        <f t="shared" si="72"/>
        <v>2.6307870364689734E-2</v>
      </c>
      <c r="N91" s="7">
        <f t="shared" si="63"/>
        <v>37.883333325153217</v>
      </c>
      <c r="O91" s="7"/>
      <c r="P91" s="7"/>
      <c r="Q91" s="22"/>
      <c r="R91" s="22"/>
      <c r="S91" s="31">
        <f t="shared" si="70"/>
        <v>1</v>
      </c>
      <c r="T91" s="46" t="str">
        <f t="shared" si="73"/>
        <v>Southbound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64"/>
        <v>https://d0f6bd738d7f1b3e5a7ca70fe4ff75f0.us-east-1.aws.found.io/app/kibana#/discover/Steve-Slow-Train-Analysis-(2080s-and-2083s)?_g=(refreshInterval:(display:Off,pause:!f,section:0,value:0),time:(from:'2017-02-18T12:53:01-0700',mode:absolute,to:'2017-02-18T15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188" t="str">
        <f t="shared" si="74"/>
        <v>N</v>
      </c>
      <c r="X91" s="188">
        <f t="shared" si="62"/>
        <v>1</v>
      </c>
      <c r="Y91" s="62">
        <f t="shared" si="75"/>
        <v>23.2988</v>
      </c>
      <c r="Z91" s="62">
        <f t="shared" si="76"/>
        <v>1.4500000000000001E-2</v>
      </c>
      <c r="AA91" s="62">
        <f t="shared" si="77"/>
        <v>23.284299999999998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78"/>
        <v>0178-18</v>
      </c>
      <c r="AE91" s="85" t="str">
        <f t="shared" si="65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91" s="82" t="str">
        <f t="shared" si="66"/>
        <v>"C:\Program Files (x86)\AstroGrep\AstroGrep.exe" /spath="%USERPROFILE%\AppData\Local\Temp\OnboardLogs" /stypes="app*4017*20170218*" /stext=" 21:.+((SYSTEM_STATE.+slice.+state.+changed )|(ment ac)|(multiple cpu faults)|(system.+state.+changed )|(\[timeout)|(PRM\|1\|D)|(kpr)|(kdp)|(\|lc)|(penalty))" /e /r /s</v>
      </c>
      <c r="AG91" s="1" t="str">
        <f t="shared" si="79"/>
        <v>EC</v>
      </c>
      <c r="AH91" s="86" t="str">
        <f t="shared" si="67"/>
        <v>"%USERPROFILE%\Documents\GitHub\eaglep3\Utilities\RefineRTDCRunTimes.py" --tripid 178-18 --locoid 4017 --swversion DE.1.0.9.0 --startMP 204:232988 --initTime 2017-02-18T13:53:01 --startdatetime 2017-02-18T14:11:26 --delay 1 --endMP 204:145 --enddatetime 2017-02-18T14:49:19 --enforcementcount 0 &gt;&gt;C:\Users\stu\Documents\GitHub\eaglep3-reporting\EC\2017-02-18-refined-times.txt</v>
      </c>
      <c r="AI9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ID","value":"178-18"},{"id":16,"name":"Locomotive ID","value":"4017"},{"id":130,"name":"Impact","value":""},{"id":150,"name":"Time of Event (Mountain Time)","value":"14:49:19"},{"id":151,"name":"Denver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69"/>
        <v>start /low /b %USERPROFILE%\Documents\GitHub\eaglep3\Utilities\DownloadLogsFromS3.py --loco 4017 --day 2017-02-18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592</v>
      </c>
      <c r="B92" s="7">
        <v>4007</v>
      </c>
      <c r="C92" s="21" t="s">
        <v>680</v>
      </c>
      <c r="D92" s="21" t="s">
        <v>214</v>
      </c>
      <c r="E92" s="13">
        <v>42784.557141203702</v>
      </c>
      <c r="F92" s="13">
        <v>42784.562743055554</v>
      </c>
      <c r="G92" s="7">
        <v>1</v>
      </c>
      <c r="H92" s="21" t="s">
        <v>306</v>
      </c>
      <c r="I92" s="13">
        <v>42784.588055555556</v>
      </c>
      <c r="J92" s="7">
        <v>0</v>
      </c>
      <c r="K92" s="98" t="str">
        <f t="shared" si="71"/>
        <v>4007/4008</v>
      </c>
      <c r="L92" s="21" t="str">
        <f>VLOOKUP(A92,'Trips&amp;Operators'!$C$1:$G$99999,5,FALSE)</f>
        <v>KILLION DAVID</v>
      </c>
      <c r="M92" s="6">
        <f t="shared" si="72"/>
        <v>2.531250000174623E-2</v>
      </c>
      <c r="N92" s="7">
        <f t="shared" si="63"/>
        <v>36.450000002514571</v>
      </c>
      <c r="O92" s="7"/>
      <c r="P92" s="7"/>
      <c r="Q92" s="22"/>
      <c r="R92" s="22"/>
      <c r="S92" s="31">
        <f t="shared" si="70"/>
        <v>1</v>
      </c>
      <c r="T92" s="46" t="str">
        <f t="shared" si="73"/>
        <v>NorthBound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64"/>
        <v>https://d0f6bd738d7f1b3e5a7ca70fe4ff75f0.us-east-1.aws.found.io/app/kibana#/discover/Steve-Slow-Train-Analysis-(2080s-and-2083s)?_g=(refreshInterval:(display:Off,pause:!f,section:0,value:0),time:(from:'2017-02-18T12:22:17-0700',mode:absolute,to:'2017-02-18T15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88" t="str">
        <f t="shared" si="74"/>
        <v>N</v>
      </c>
      <c r="X92" s="188">
        <f t="shared" ref="X92:X123" si="80">VALUE(LEFT(AD92,4))-VALUE(LEFT(AD91,4))</f>
        <v>1</v>
      </c>
      <c r="Y92" s="62">
        <f t="shared" si="75"/>
        <v>4.6899999999999997E-2</v>
      </c>
      <c r="Z92" s="62">
        <f t="shared" si="76"/>
        <v>23.330200000000001</v>
      </c>
      <c r="AA92" s="62">
        <f t="shared" si="77"/>
        <v>23.283300000000001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78"/>
        <v>0179-18</v>
      </c>
      <c r="AE92" s="85" t="str">
        <f t="shared" si="65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92" s="82" t="str">
        <f t="shared" si="66"/>
        <v>"C:\Program Files (x86)\AstroGrep\AstroGrep.exe" /spath="%USERPROFILE%\AppData\Local\Temp\OnboardLogs" /stypes="app*4007*20170218*" /stext=" 21:.+((SYSTEM_STATE.+slice.+state.+changed )|(ment ac)|(multiple cpu faults)|(system.+state.+changed )|(\[timeout)|(PRM\|1\|D)|(kpr)|(kdp)|(\|lc)|(penalty))" /e /r /s</v>
      </c>
      <c r="AG92" s="1" t="str">
        <f t="shared" si="79"/>
        <v>EC</v>
      </c>
      <c r="AH92" s="86" t="str">
        <f t="shared" si="67"/>
        <v>"%USERPROFILE%\Documents\GitHub\eaglep3\Utilities\RefineRTDCRunTimes.py" --tripid 179-18 --locoid 4007 --swversion DE.1.0.9.0 --startMP 204:469 --initTime 2017-02-18T13:22:17 --startdatetime 2017-02-18T13:30:21 --delay 1 --endMP 204:233302 --enddatetime 2017-02-18T14:06:48 --enforcementcount 0 &gt;&gt;C:\Users\stu\Documents\GitHub\eaglep3-reporting\EC\2017-02-18-refined-times.txt</v>
      </c>
      <c r="AI9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{"issue":{"subject":"","project_id":79,"tracker_id":40,"status_id":1,"priority_id":2,"assigned_to_id":23,"start_date":"2017-02-18","description":"","custom_fields":[{"id":1,"name":"Subdivision","value":"EC"},{"id":4,"name":"Milepost","value":"23.3302"},{"id":17,"name":"Train ID","value":"179-18"},{"id":16,"name":"Locomotive ID","value":"4007"},{"id":130,"name":"Impact","value":""},{"id":150,"name":"Time of Event (Mountain Time)","value":"14:06:48"},{"id":151,"name":"Denver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69"/>
        <v>start /low /b %USERPROFILE%\Documents\GitHub\eaglep3\Utilities\DownloadLogsFromS3.py --loco 4007 --day 2017-02-18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459</v>
      </c>
      <c r="B93" s="7">
        <v>4008</v>
      </c>
      <c r="C93" s="21" t="s">
        <v>680</v>
      </c>
      <c r="D93" s="21" t="s">
        <v>280</v>
      </c>
      <c r="E93" s="13">
        <v>42784.599085648151</v>
      </c>
      <c r="F93" s="13">
        <v>42784.601921296293</v>
      </c>
      <c r="G93" s="7">
        <v>1</v>
      </c>
      <c r="H93" s="21" t="s">
        <v>208</v>
      </c>
      <c r="I93" s="13">
        <v>42784.629328703704</v>
      </c>
      <c r="J93" s="7">
        <v>0</v>
      </c>
      <c r="K93" s="98" t="str">
        <f t="shared" si="71"/>
        <v>4007/4008</v>
      </c>
      <c r="L93" s="21" t="str">
        <f>VLOOKUP(A93,'Trips&amp;Operators'!$C$1:$G$99999,5,FALSE)</f>
        <v>KILLION DAVID</v>
      </c>
      <c r="M93" s="6">
        <f t="shared" si="72"/>
        <v>2.7407407411374152E-2</v>
      </c>
      <c r="N93" s="7">
        <f t="shared" si="63"/>
        <v>39.466666672378778</v>
      </c>
      <c r="O93" s="7"/>
      <c r="P93" s="7"/>
      <c r="Q93" s="22"/>
      <c r="R93" s="22"/>
      <c r="S93" s="31">
        <f t="shared" si="70"/>
        <v>1</v>
      </c>
      <c r="T93" s="46" t="str">
        <f t="shared" si="73"/>
        <v>Southbound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64"/>
        <v>https://d0f6bd738d7f1b3e5a7ca70fe4ff75f0.us-east-1.aws.found.io/app/kibana#/discover/Steve-Slow-Train-Analysis-(2080s-and-2083s)?_g=(refreshInterval:(display:Off,pause:!f,section:0,value:0),time:(from:'2017-02-18T13:22:41-0700',mode:absolute,to:'2017-02-18T16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188" t="str">
        <f t="shared" si="74"/>
        <v>N</v>
      </c>
      <c r="X93" s="188">
        <f t="shared" si="80"/>
        <v>1</v>
      </c>
      <c r="Y93" s="62">
        <f t="shared" si="75"/>
        <v>23.2987</v>
      </c>
      <c r="Z93" s="62">
        <f t="shared" si="76"/>
        <v>1.5800000000000002E-2</v>
      </c>
      <c r="AA93" s="62">
        <f t="shared" si="77"/>
        <v>23.282900000000001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78"/>
        <v>0180-18</v>
      </c>
      <c r="AE93" s="85" t="str">
        <f t="shared" si="65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93" s="82" t="str">
        <f t="shared" si="66"/>
        <v>"C:\Program Files (x86)\AstroGrep\AstroGrep.exe" /spath="%USERPROFILE%\AppData\Local\Temp\OnboardLogs" /stypes="app*4008*20170218*" /stext=" 22:.+((SYSTEM_STATE.+slice.+state.+changed )|(ment ac)|(multiple cpu faults)|(system.+state.+changed )|(\[timeout)|(PRM\|1\|D)|(kpr)|(kdp)|(\|lc)|(penalty))" /e /r /s</v>
      </c>
      <c r="AG93" s="1" t="str">
        <f t="shared" si="79"/>
        <v>EC</v>
      </c>
      <c r="AH93" s="86" t="str">
        <f t="shared" si="67"/>
        <v>"%USERPROFILE%\Documents\GitHub\eaglep3\Utilities\RefineRTDCRunTimes.py" --tripid 180-18 --locoid 4008 --swversion DE.1.0.9.0 --startMP 204:232987 --initTime 2017-02-18T14:22:41 --startdatetime 2017-02-18T14:26:46 --delay 1 --endMP 204:158 --enddatetime 2017-02-18T15:06:14 --enforcementcount 0 &gt;&gt;C:\Users\stu\Documents\GitHub\eaglep3-reporting\EC\2017-02-18-refined-times.txt</v>
      </c>
      <c r="AI9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{"issue":{"subject":"","project_id":79,"tracker_id":40,"status_id":1,"priority_id":2,"assigned_to_id":23,"start_date":"2017-02-18","description":"","custom_fields":[{"id":1,"name":"Subdivision","value":"EC"},{"id":4,"name":"Milepost","value":"0.0158"},{"id":17,"name":"Train ID","value":"180-18"},{"id":16,"name":"Locomotive ID","value":"4008"},{"id":130,"name":"Impact","value":""},{"id":150,"name":"Time of Event (Mountain Time)","value":"15:06:14"},{"id":151,"name":"Denver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69"/>
        <v>start /low /b %USERPROFILE%\Documents\GitHub\eaglep3\Utilities\DownloadLogsFromS3.py --loco 4008 --day 2017-02-18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</row>
    <row r="94" spans="1:91" s="20" customFormat="1" x14ac:dyDescent="0.25">
      <c r="A94" s="33" t="s">
        <v>456</v>
      </c>
      <c r="B94" s="7">
        <v>4011</v>
      </c>
      <c r="C94" s="21" t="s">
        <v>680</v>
      </c>
      <c r="D94" s="21" t="s">
        <v>402</v>
      </c>
      <c r="E94" s="13">
        <v>42784.568796296298</v>
      </c>
      <c r="F94" s="13">
        <v>42784.573078703703</v>
      </c>
      <c r="G94" s="7">
        <v>1</v>
      </c>
      <c r="H94" s="21" t="s">
        <v>736</v>
      </c>
      <c r="I94" s="13">
        <v>42784.597800925927</v>
      </c>
      <c r="J94" s="7">
        <v>0</v>
      </c>
      <c r="K94" s="98" t="str">
        <f t="shared" si="71"/>
        <v>4011/4012</v>
      </c>
      <c r="L94" s="21" t="str">
        <f>VLOOKUP(A94,'Trips&amp;Operators'!$C$1:$G$99999,5,FALSE)</f>
        <v>LEVIN SCOTT</v>
      </c>
      <c r="M94" s="6">
        <f t="shared" si="72"/>
        <v>2.4722222224227153E-2</v>
      </c>
      <c r="N94" s="7">
        <f t="shared" si="63"/>
        <v>35.6000000028871</v>
      </c>
      <c r="O94" s="7"/>
      <c r="P94" s="7"/>
      <c r="Q94" s="22"/>
      <c r="R94" s="22"/>
      <c r="S94" s="31">
        <f t="shared" si="70"/>
        <v>1</v>
      </c>
      <c r="T94" s="46" t="str">
        <f t="shared" si="73"/>
        <v>NorthBound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64"/>
        <v>https://d0f6bd738d7f1b3e5a7ca70fe4ff75f0.us-east-1.aws.found.io/app/kibana#/discover/Steve-Slow-Train-Analysis-(2080s-and-2083s)?_g=(refreshInterval:(display:Off,pause:!f,section:0,value:0),time:(from:'2017-02-18T12:39:04-0700',mode:absolute,to:'2017-02-18T15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188" t="str">
        <f t="shared" si="74"/>
        <v>N</v>
      </c>
      <c r="X94" s="188">
        <f t="shared" si="80"/>
        <v>1</v>
      </c>
      <c r="Y94" s="62">
        <f t="shared" si="75"/>
        <v>4.3700000000000003E-2</v>
      </c>
      <c r="Z94" s="62">
        <f t="shared" si="76"/>
        <v>23.334099999999999</v>
      </c>
      <c r="AA94" s="62">
        <f t="shared" si="77"/>
        <v>23.290399999999998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78"/>
        <v>0181-18</v>
      </c>
      <c r="AE94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94" s="82" t="str">
        <f t="shared" si="66"/>
        <v>"C:\Program Files (x86)\AstroGrep\AstroGrep.exe" /spath="%USERPROFILE%\AppData\Local\Temp\OnboardLogs" /stypes="app*4011*20170218*" /stext=" 21:.+((SYSTEM_STATE.+slice.+state.+changed )|(ment ac)|(multiple cpu faults)|(system.+state.+changed )|(\[timeout)|(PRM\|1\|D)|(kpr)|(kdp)|(\|lc)|(penalty))" /e /r /s</v>
      </c>
      <c r="AG94" s="1" t="str">
        <f t="shared" si="79"/>
        <v>EC</v>
      </c>
      <c r="AH94" s="86" t="str">
        <f t="shared" si="67"/>
        <v>"%USERPROFILE%\Documents\GitHub\eaglep3\Utilities\RefineRTDCRunTimes.py" --tripid 181-18 --locoid 4011 --swversion DE.1.0.9.0 --startMP 204:437 --initTime 2017-02-18T13:39:04 --startdatetime 2017-02-18T13:45:14 --delay 1 --endMP 204:233341 --enddatetime 2017-02-18T14:20:50 --enforcementcount 0 &gt;&gt;C:\Users\stu\Documents\GitHub\eaglep3-reporting\EC\2017-02-18-refined-times.txt</v>
      </c>
      <c r="AI9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{"issue":{"subject":"","project_id":79,"tracker_id":40,"status_id":1,"priority_id":2,"assigned_to_id":23,"start_date":"2017-02-18","description":"","custom_fields":[{"id":1,"name":"Subdivision","value":"EC"},{"id":4,"name":"Milepost","value":"23.3341"},{"id":17,"name":"Train ID","value":"181-18"},{"id":16,"name":"Locomotive ID","value":"4011"},{"id":130,"name":"Impact","value":""},{"id":150,"name":"Time of Event (Mountain Time)","value":"14:20:50"},{"id":151,"name":"Denver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69"/>
        <v>start /low /b %USERPROFILE%\Documents\GitHub\eaglep3\Utilities\DownloadLogsFromS3.py --loco 4011 --day 2017-02-18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606</v>
      </c>
      <c r="B95" s="7">
        <v>4012</v>
      </c>
      <c r="C95" s="21" t="s">
        <v>680</v>
      </c>
      <c r="D95" s="21" t="s">
        <v>748</v>
      </c>
      <c r="E95" s="13">
        <v>42784.606458333335</v>
      </c>
      <c r="F95" s="13">
        <v>42784.612071759257</v>
      </c>
      <c r="G95" s="7">
        <v>1</v>
      </c>
      <c r="H95" s="21" t="s">
        <v>351</v>
      </c>
      <c r="I95" s="13">
        <v>42784.638842592591</v>
      </c>
      <c r="J95" s="7">
        <v>0</v>
      </c>
      <c r="K95" s="98" t="str">
        <f t="shared" si="71"/>
        <v>4011/4012</v>
      </c>
      <c r="L95" s="21" t="str">
        <f>VLOOKUP(A95,'Trips&amp;Operators'!$C$1:$G$99999,5,FALSE)</f>
        <v>LEVIN SCOTT</v>
      </c>
      <c r="M95" s="6">
        <f t="shared" si="72"/>
        <v>2.6770833334012423E-2</v>
      </c>
      <c r="N95" s="7">
        <f t="shared" si="63"/>
        <v>38.550000000977889</v>
      </c>
      <c r="O95" s="7"/>
      <c r="P95" s="7"/>
      <c r="Q95" s="22"/>
      <c r="R95" s="22"/>
      <c r="S95" s="31">
        <f t="shared" si="70"/>
        <v>1</v>
      </c>
      <c r="T95" s="46" t="str">
        <f t="shared" si="73"/>
        <v>Southbound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64"/>
        <v>https://d0f6bd738d7f1b3e5a7ca70fe4ff75f0.us-east-1.aws.found.io/app/kibana#/discover/Steve-Slow-Train-Analysis-(2080s-and-2083s)?_g=(refreshInterval:(display:Off,pause:!f,section:0,value:0),time:(from:'2017-02-18T13:33:18-0700',mode:absolute,to:'2017-02-18T16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188" t="str">
        <f t="shared" si="74"/>
        <v>N</v>
      </c>
      <c r="X95" s="188">
        <f t="shared" si="80"/>
        <v>1</v>
      </c>
      <c r="Y95" s="62">
        <f t="shared" si="75"/>
        <v>23.3017</v>
      </c>
      <c r="Z95" s="62">
        <f t="shared" si="76"/>
        <v>1.29E-2</v>
      </c>
      <c r="AA95" s="62">
        <f t="shared" si="77"/>
        <v>23.288800000000002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78"/>
        <v>0182-18</v>
      </c>
      <c r="AE95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95" s="82" t="str">
        <f t="shared" si="66"/>
        <v>"C:\Program Files (x86)\AstroGrep\AstroGrep.exe" /spath="%USERPROFILE%\AppData\Local\Temp\OnboardLogs" /stypes="app*4012*20170218*" /stext=" 22:.+((SYSTEM_STATE.+slice.+state.+changed )|(ment ac)|(multiple cpu faults)|(system.+state.+changed )|(\[timeout)|(PRM\|1\|D)|(kpr)|(kdp)|(\|lc)|(penalty))" /e /r /s</v>
      </c>
      <c r="AG95" s="1" t="str">
        <f t="shared" si="79"/>
        <v>EC</v>
      </c>
      <c r="AH95" s="86" t="str">
        <f t="shared" si="67"/>
        <v>"%USERPROFILE%\Documents\GitHub\eaglep3\Utilities\RefineRTDCRunTimes.py" --tripid 182-18 --locoid 4012 --swversion DE.1.0.9.0 --startMP 204:233017 --initTime 2017-02-18T14:33:18 --startdatetime 2017-02-18T14:41:23 --delay 1 --endMP 204:129 --enddatetime 2017-02-18T15:19:56 --enforcementcount 0 &gt;&gt;C:\Users\stu\Documents\GitHub\eaglep3-reporting\EC\2017-02-18-refined-times.txt</v>
      </c>
      <c r="AI9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{"issue":{"subject":"","project_id":79,"tracker_id":40,"status_id":1,"priority_id":2,"assigned_to_id":23,"start_date":"2017-02-18","description":"","custom_fields":[{"id":1,"name":"Subdivision","value":"EC"},{"id":4,"name":"Milepost","value":"0.0129"},{"id":17,"name":"Train ID","value":"182-18"},{"id":16,"name":"Locomotive ID","value":"4012"},{"id":130,"name":"Impact","value":""},{"id":150,"name":"Time of Event (Mountain Time)","value":"15:19:56"},{"id":151,"name":"Denver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69"/>
        <v>start /low /b %USERPROFILE%\Documents\GitHub\eaglep3\Utilities\DownloadLogsFromS3.py --loco 4012 --day 2017-02-18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595</v>
      </c>
      <c r="B96" s="7">
        <v>4053</v>
      </c>
      <c r="C96" s="21" t="s">
        <v>680</v>
      </c>
      <c r="D96" s="21" t="s">
        <v>695</v>
      </c>
      <c r="E96" s="13">
        <v>42784.576145833336</v>
      </c>
      <c r="F96" s="13">
        <v>42784.583506944444</v>
      </c>
      <c r="G96" s="7">
        <v>1</v>
      </c>
      <c r="H96" s="21" t="s">
        <v>760</v>
      </c>
      <c r="I96" s="13">
        <v>42784.608877314815</v>
      </c>
      <c r="J96" s="7">
        <v>0</v>
      </c>
      <c r="K96" s="98" t="str">
        <f t="shared" si="71"/>
        <v>4053/4054</v>
      </c>
      <c r="L96" s="21" t="str">
        <f>VLOOKUP(A96,'Trips&amp;Operators'!$C$1:$G$99999,5,FALSE)</f>
        <v>DELGADO DIANAH</v>
      </c>
      <c r="M96" s="6">
        <f t="shared" si="72"/>
        <v>2.5370370371092577E-2</v>
      </c>
      <c r="N96" s="7">
        <f t="shared" si="63"/>
        <v>36.53333333437331</v>
      </c>
      <c r="O96" s="7"/>
      <c r="P96" s="7"/>
      <c r="Q96" s="22"/>
      <c r="R96" s="22"/>
      <c r="S96" s="31">
        <f t="shared" si="70"/>
        <v>1</v>
      </c>
      <c r="T96" s="46" t="str">
        <f t="shared" si="73"/>
        <v>NorthBound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64"/>
        <v>https://d0f6bd738d7f1b3e5a7ca70fe4ff75f0.us-east-1.aws.found.io/app/kibana#/discover/Steve-Slow-Train-Analysis-(2080s-and-2083s)?_g=(refreshInterval:(display:Off,pause:!f,section:0,value:0),time:(from:'2017-02-18T12:49:39-0700',mode:absolute,to:'2017-02-18T15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188" t="str">
        <f t="shared" si="74"/>
        <v>N</v>
      </c>
      <c r="X96" s="188">
        <f t="shared" si="80"/>
        <v>1</v>
      </c>
      <c r="Y96" s="62">
        <f t="shared" si="75"/>
        <v>4.58E-2</v>
      </c>
      <c r="Z96" s="62">
        <f t="shared" si="76"/>
        <v>23.336600000000001</v>
      </c>
      <c r="AA96" s="62">
        <f t="shared" si="77"/>
        <v>23.290800000000001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78"/>
        <v>0183-18</v>
      </c>
      <c r="AE96" s="85" t="str">
        <f t="shared" si="65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96" s="82" t="str">
        <f t="shared" si="66"/>
        <v>"C:\Program Files (x86)\AstroGrep\AstroGrep.exe" /spath="%USERPROFILE%\AppData\Local\Temp\OnboardLogs" /stypes="app*4053*20170218*" /stext=" 21:.+((SYSTEM_STATE.+slice.+state.+changed )|(ment ac)|(multiple cpu faults)|(system.+state.+changed )|(\[timeout)|(PRM\|1\|D)|(kpr)|(kdp)|(\|lc)|(penalty))" /e /r /s</v>
      </c>
      <c r="AG96" s="1" t="str">
        <f t="shared" si="79"/>
        <v>EC</v>
      </c>
      <c r="AH96" s="86" t="str">
        <f t="shared" si="67"/>
        <v>"%USERPROFILE%\Documents\GitHub\eaglep3\Utilities\RefineRTDCRunTimes.py" --tripid 183-18 --locoid 4053 --swversion DE.1.0.9.0 --startMP 204:458 --initTime 2017-02-18T13:49:39 --startdatetime 2017-02-18T14:00:15 --delay 1 --endMP 204:233366 --enddatetime 2017-02-18T14:36:47 --enforcementcount 0 &gt;&gt;C:\Users\stu\Documents\GitHub\eaglep3-reporting\EC\2017-02-18-refined-times.txt</v>
      </c>
      <c r="AI9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{"issue":{"subject":"","project_id":79,"tracker_id":40,"status_id":1,"priority_id":2,"assigned_to_id":23,"start_date":"2017-02-18","description":"","custom_fields":[{"id":1,"name":"Subdivision","value":"EC"},{"id":4,"name":"Milepost","value":"23.3366"},{"id":17,"name":"Train ID","value":"183-18"},{"id":16,"name":"Locomotive ID","value":"4053"},{"id":130,"name":"Impact","value":""},{"id":150,"name":"Time of Event (Mountain Time)","value":"14:36:47"},{"id":151,"name":"Denver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69"/>
        <v>start /low /b %USERPROFILE%\Documents\GitHub\eaglep3\Utilities\DownloadLogsFromS3.py --loco 4053 --day 2017-02-18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608</v>
      </c>
      <c r="B97" s="7">
        <v>4054</v>
      </c>
      <c r="C97" s="21" t="s">
        <v>680</v>
      </c>
      <c r="D97" s="21" t="s">
        <v>763</v>
      </c>
      <c r="E97" s="13">
        <v>42784.613032407404</v>
      </c>
      <c r="F97" s="13">
        <v>42784.622418981482</v>
      </c>
      <c r="G97" s="7">
        <v>1</v>
      </c>
      <c r="H97" s="21" t="s">
        <v>264</v>
      </c>
      <c r="I97" s="13">
        <v>42784.650648148148</v>
      </c>
      <c r="J97" s="7">
        <v>0</v>
      </c>
      <c r="K97" s="98" t="str">
        <f t="shared" si="71"/>
        <v>4053/4054</v>
      </c>
      <c r="L97" s="21" t="str">
        <f>VLOOKUP(A97,'Trips&amp;Operators'!$C$1:$G$99999,5,FALSE)</f>
        <v>DELGADO DIANAH</v>
      </c>
      <c r="M97" s="6">
        <f t="shared" si="72"/>
        <v>2.8229166666278616E-2</v>
      </c>
      <c r="N97" s="7">
        <f t="shared" si="63"/>
        <v>40.649999999441206</v>
      </c>
      <c r="O97" s="7"/>
      <c r="P97" s="7"/>
      <c r="Q97" s="22"/>
      <c r="R97" s="22"/>
      <c r="S97" s="31">
        <f t="shared" si="70"/>
        <v>1</v>
      </c>
      <c r="T97" s="46" t="str">
        <f t="shared" si="73"/>
        <v>Southbound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64"/>
        <v>https://d0f6bd738d7f1b3e5a7ca70fe4ff75f0.us-east-1.aws.found.io/app/kibana#/discover/Steve-Slow-Train-Analysis-(2080s-and-2083s)?_g=(refreshInterval:(display:Off,pause:!f,section:0,value:0),time:(from:'2017-02-18T13:42:46-0700',mode:absolute,to:'2017-02-18T16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7" s="188" t="str">
        <f t="shared" si="74"/>
        <v>N</v>
      </c>
      <c r="X97" s="188">
        <f t="shared" si="80"/>
        <v>1</v>
      </c>
      <c r="Y97" s="62">
        <f t="shared" si="75"/>
        <v>23.305299999999999</v>
      </c>
      <c r="Z97" s="62">
        <f t="shared" si="76"/>
        <v>1.3899999999999999E-2</v>
      </c>
      <c r="AA97" s="62">
        <f t="shared" si="77"/>
        <v>23.291399999999999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78"/>
        <v>0184-18</v>
      </c>
      <c r="AE97" s="85" t="str">
        <f t="shared" si="65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97" s="82" t="str">
        <f t="shared" si="66"/>
        <v>"C:\Program Files (x86)\AstroGrep\AstroGrep.exe" /spath="%USERPROFILE%\AppData\Local\Temp\OnboardLogs" /stypes="app*4054*20170218*" /stext=" 22:.+((SYSTEM_STATE.+slice.+state.+changed )|(ment ac)|(multiple cpu faults)|(system.+state.+changed )|(\[timeout)|(PRM\|1\|D)|(kpr)|(kdp)|(\|lc)|(penalty))" /e /r /s</v>
      </c>
      <c r="AG97" s="1" t="str">
        <f t="shared" si="79"/>
        <v>EC</v>
      </c>
      <c r="AH97" s="86" t="str">
        <f t="shared" si="67"/>
        <v>"%USERPROFILE%\Documents\GitHub\eaglep3\Utilities\RefineRTDCRunTimes.py" --tripid 184-18 --locoid 4054 --swversion DE.1.0.9.0 --startMP 204:233053 --initTime 2017-02-18T14:42:46 --startdatetime 2017-02-18T14:56:17 --delay 1 --endMP 204:139 --enddatetime 2017-02-18T15:36:56 --enforcementcount 0 &gt;&gt;C:\Users\stu\Documents\GitHub\eaglep3-reporting\EC\2017-02-18-refined-times.txt</v>
      </c>
      <c r="AI9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ID","value":"184-18"},{"id":16,"name":"Locomotive ID","value":"4054"},{"id":130,"name":"Impact","value":""},{"id":150,"name":"Time of Event (Mountain Time)","value":"15:36:56"},{"id":151,"name":"Denver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69"/>
        <v>start /low /b %USERPROFILE%\Documents\GitHub\eaglep3\Utilities\DownloadLogsFromS3.py --loco 4054 --day 2017-02-18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"%USERPROFILE%\AppData\Local\Temp\OnboardLogs"\RTDC4054\*4054*20170218* | grep -SE "(Enforcement Action)|(\[TIMEOUT)|(CHR.+\|PRM\|1\|D.+(SWITCH|SIGNAL).+UNKNOWN)" - &gt;&gt; 2017-02-18-UncaughtWiMAX.txt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601</v>
      </c>
      <c r="B98" s="7">
        <v>4016</v>
      </c>
      <c r="C98" s="21" t="s">
        <v>680</v>
      </c>
      <c r="D98" s="21" t="s">
        <v>301</v>
      </c>
      <c r="E98" s="13">
        <v>42784.58971064815</v>
      </c>
      <c r="F98" s="13">
        <v>42784.593912037039</v>
      </c>
      <c r="G98" s="7">
        <v>1</v>
      </c>
      <c r="H98" s="21" t="s">
        <v>764</v>
      </c>
      <c r="I98" s="13">
        <v>42784.618368055555</v>
      </c>
      <c r="J98" s="7">
        <v>0</v>
      </c>
      <c r="K98" s="98" t="str">
        <f t="shared" si="71"/>
        <v>4015/4016</v>
      </c>
      <c r="L98" s="21" t="str">
        <f>VLOOKUP(A98,'Trips&amp;Operators'!$C$1:$G$99999,5,FALSE)</f>
        <v>LALONDE GREGORY</v>
      </c>
      <c r="M98" s="6">
        <f t="shared" si="72"/>
        <v>2.4456018516502809E-2</v>
      </c>
      <c r="N98" s="7">
        <f t="shared" si="63"/>
        <v>35.216666663764045</v>
      </c>
      <c r="O98" s="7"/>
      <c r="P98" s="7"/>
      <c r="Q98" s="22"/>
      <c r="R98" s="22"/>
      <c r="S98" s="31">
        <f t="shared" si="70"/>
        <v>1</v>
      </c>
      <c r="T98" s="46" t="str">
        <f t="shared" si="73"/>
        <v>NorthBound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64"/>
        <v>https://d0f6bd738d7f1b3e5a7ca70fe4ff75f0.us-east-1.aws.found.io/app/kibana#/discover/Steve-Slow-Train-Analysis-(2080s-and-2083s)?_g=(refreshInterval:(display:Off,pause:!f,section:0,value:0),time:(from:'2017-02-18T13:09:11-0700',mode:absolute,to:'2017-02-18T15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188" t="str">
        <f t="shared" si="74"/>
        <v>N</v>
      </c>
      <c r="X98" s="188">
        <f t="shared" si="80"/>
        <v>1</v>
      </c>
      <c r="Y98" s="62">
        <f t="shared" si="75"/>
        <v>4.7699999999999999E-2</v>
      </c>
      <c r="Z98" s="62">
        <f t="shared" si="76"/>
        <v>23.324300000000001</v>
      </c>
      <c r="AA98" s="62">
        <f t="shared" si="77"/>
        <v>23.276600000000002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78"/>
        <v>0185-18</v>
      </c>
      <c r="AE98" s="85" t="str">
        <f t="shared" si="65"/>
        <v>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 &amp; aws s3 cp s3://rtdc.mdm.uploadarchive.raw/RTDC4016/ "%USERPROFILE%\AppData\Local\Temp\OnboardLogs"\RTDC4016\2017-02-19 --exclude "*" --recursive --include "*20170219*" &amp; "%USERPROFILE%\Documents\GitHub\mrs-test-scripts\Headless Mode &amp; Sideloading\WalkAndUnGZ.bat" "%USERPROFILE%\AppData\Local\Temp\OnboardLogs"\RTDC4016\2017-02-19</v>
      </c>
      <c r="AF98" s="82" t="str">
        <f t="shared" si="66"/>
        <v>"C:\Program Files (x86)\AstroGrep\AstroGrep.exe" /spath="%USERPROFILE%\AppData\Local\Temp\OnboardLogs" /stypes="app*4016*20170218*" /stext=" 21:.+((SYSTEM_STATE.+slice.+state.+changed )|(ment ac)|(multiple cpu faults)|(system.+state.+changed )|(\[timeout)|(PRM\|1\|D)|(kpr)|(kdp)|(\|lc)|(penalty))" /e /r /s</v>
      </c>
      <c r="AG98" s="1" t="str">
        <f t="shared" si="79"/>
        <v>EC</v>
      </c>
      <c r="AH98" s="86" t="str">
        <f t="shared" si="67"/>
        <v>"%USERPROFILE%\Documents\GitHub\eaglep3\Utilities\RefineRTDCRunTimes.py" --tripid 185-18 --locoid 4016 --swversion DE.1.0.9.0 --startMP 204:477 --initTime 2017-02-18T14:09:11 --startdatetime 2017-02-18T14:15:14 --delay 1 --endMP 204:233243 --enddatetime 2017-02-18T14:50:27 --enforcementcount 0 &gt;&gt;C:\Users\stu\Documents\GitHub\eaglep3-reporting\EC\2017-02-18-refined-times.txt</v>
      </c>
      <c r="AI9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{"issue":{"subject":"","project_id":79,"tracker_id":40,"status_id":1,"priority_id":2,"assigned_to_id":23,"start_date":"2017-02-18","description":"","custom_fields":[{"id":1,"name":"Subdivision","value":"EC"},{"id":4,"name":"Milepost","value":"23.3243"},{"id":17,"name":"Train ID","value":"185-18"},{"id":16,"name":"Locomotive ID","value":"4016"},{"id":130,"name":"Impact","value":""},{"id":150,"name":"Time of Event (Mountain Time)","value":"14:50:27"},{"id":151,"name":"Denver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69"/>
        <v>start /low /b %USERPROFILE%\Documents\GitHub\eaglep3\Utilities\DownloadLogsFromS3.py --loco 4016 --day 2017-02-18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2017-02-18-UncaughtWiMAX.txt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610</v>
      </c>
      <c r="B99" s="7">
        <v>4015</v>
      </c>
      <c r="C99" s="21" t="s">
        <v>680</v>
      </c>
      <c r="D99" s="21" t="s">
        <v>403</v>
      </c>
      <c r="E99" s="13">
        <v>42784.622870370367</v>
      </c>
      <c r="F99" s="13">
        <v>42784.632835648146</v>
      </c>
      <c r="G99" s="7">
        <v>1</v>
      </c>
      <c r="H99" s="21" t="s">
        <v>765</v>
      </c>
      <c r="I99" s="13">
        <v>42784.659861111111</v>
      </c>
      <c r="J99" s="7">
        <v>0</v>
      </c>
      <c r="K99" s="98" t="str">
        <f t="shared" si="71"/>
        <v>4015/4016</v>
      </c>
      <c r="L99" s="21" t="str">
        <f>VLOOKUP(A99,'Trips&amp;Operators'!$C$1:$G$99999,5,FALSE)</f>
        <v>LALONDE GREGORY</v>
      </c>
      <c r="M99" s="6">
        <f t="shared" si="72"/>
        <v>2.7025462964957114E-2</v>
      </c>
      <c r="N99" s="7">
        <f t="shared" si="63"/>
        <v>38.916666669538245</v>
      </c>
      <c r="O99" s="7"/>
      <c r="P99" s="7"/>
      <c r="Q99" s="22"/>
      <c r="R99" s="22"/>
      <c r="S99" s="31">
        <f t="shared" si="70"/>
        <v>1</v>
      </c>
      <c r="T99" s="46" t="str">
        <f t="shared" si="73"/>
        <v>Southbound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64"/>
        <v>https://d0f6bd738d7f1b3e5a7ca70fe4ff75f0.us-east-1.aws.found.io/app/kibana#/discover/Steve-Slow-Train-Analysis-(2080s-and-2083s)?_g=(refreshInterval:(display:Off,pause:!f,section:0,value:0),time:(from:'2017-02-18T13:56:56-0700',mode:absolute,to:'2017-02-18T16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188" t="str">
        <f t="shared" si="74"/>
        <v>N</v>
      </c>
      <c r="X99" s="188">
        <f t="shared" si="80"/>
        <v>1</v>
      </c>
      <c r="Y99" s="62">
        <f t="shared" si="75"/>
        <v>23.298200000000001</v>
      </c>
      <c r="Z99" s="62">
        <f t="shared" si="76"/>
        <v>0.11749999999999999</v>
      </c>
      <c r="AA99" s="62">
        <f t="shared" si="77"/>
        <v>23.180700000000002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78"/>
        <v>0186-18</v>
      </c>
      <c r="AE99" s="85" t="str">
        <f t="shared" si="65"/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AF99" s="82" t="str">
        <f t="shared" si="66"/>
        <v>"C:\Program Files (x86)\AstroGrep\AstroGrep.exe" /spath="%USERPROFILE%\AppData\Local\Temp\OnboardLogs" /stypes="app*4015*20170218*" /stext=" 22:.+((SYSTEM_STATE.+slice.+state.+changed )|(ment ac)|(multiple cpu faults)|(system.+state.+changed )|(\[timeout)|(PRM\|1\|D)|(kpr)|(kdp)|(\|lc)|(penalty))" /e /r /s</v>
      </c>
      <c r="AG99" s="1" t="str">
        <f t="shared" si="79"/>
        <v>EC</v>
      </c>
      <c r="AH99" s="86" t="str">
        <f t="shared" si="67"/>
        <v>"%USERPROFILE%\Documents\GitHub\eaglep3\Utilities\RefineRTDCRunTimes.py" --tripid 186-18 --locoid 4015 --swversion DE.1.0.9.0 --startMP 204:232982 --initTime 2017-02-18T14:56:56 --startdatetime 2017-02-18T15:11:17 --delay 1 --endMP 204:1175 --enddatetime 2017-02-18T15:50:12 --enforcementcount 0 &gt;&gt;C:\Users\stu\Documents\GitHub\eaglep3-reporting\EC\2017-02-18-refined-times.txt</v>
      </c>
      <c r="AI9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{"issue":{"subject":"","project_id":79,"tracker_id":40,"status_id":1,"priority_id":2,"assigned_to_id":23,"start_date":"2017-02-18","description":"","custom_fields":[{"id":1,"name":"Subdivision","value":"EC"},{"id":4,"name":"Milepost","value":"0.1175"},{"id":17,"name":"Train ID","value":"186-18"},{"id":16,"name":"Locomotive ID","value":"4015"},{"id":130,"name":"Impact","value":""},{"id":150,"name":"Time of Event (Mountain Time)","value":"15:50:12"},{"id":151,"name":"Denver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69"/>
        <v>start /low /b %USERPROFILE%\Documents\GitHub\eaglep3\Utilities\DownloadLogsFromS3.py --loco 4015 --day 2017-02-18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2017-02-18-UncaughtWiMAX.txt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605</v>
      </c>
      <c r="B100" s="7">
        <v>4027</v>
      </c>
      <c r="C100" s="21" t="s">
        <v>680</v>
      </c>
      <c r="D100" s="21" t="s">
        <v>272</v>
      </c>
      <c r="E100" s="13">
        <v>42784.600127314814</v>
      </c>
      <c r="F100" s="13">
        <v>42784.604490740741</v>
      </c>
      <c r="G100" s="7">
        <v>2</v>
      </c>
      <c r="H100" s="21" t="s">
        <v>696</v>
      </c>
      <c r="I100" s="13">
        <v>42784.631331018521</v>
      </c>
      <c r="J100" s="7">
        <v>0</v>
      </c>
      <c r="K100" s="98" t="str">
        <f t="shared" si="71"/>
        <v>4027/4028</v>
      </c>
      <c r="L100" s="21" t="str">
        <f>VLOOKUP(A100,'Trips&amp;Operators'!$C$1:$G$99999,5,FALSE)</f>
        <v>STEWART MICHAEL</v>
      </c>
      <c r="M100" s="6">
        <f t="shared" si="72"/>
        <v>2.6840277780138422E-2</v>
      </c>
      <c r="N100" s="7">
        <f t="shared" si="63"/>
        <v>38.650000003399327</v>
      </c>
      <c r="O100" s="7"/>
      <c r="P100" s="7"/>
      <c r="Q100" s="22"/>
      <c r="R100" s="22"/>
      <c r="S100" s="31">
        <f t="shared" si="70"/>
        <v>1</v>
      </c>
      <c r="T100" s="46" t="str">
        <f t="shared" si="73"/>
        <v>NorthBound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64"/>
        <v>https://d0f6bd738d7f1b3e5a7ca70fe4ff75f0.us-east-1.aws.found.io/app/kibana#/discover/Steve-Slow-Train-Analysis-(2080s-and-2083s)?_g=(refreshInterval:(display:Off,pause:!f,section:0,value:0),time:(from:'2017-02-18T13:24:11-0700',mode:absolute,to:'2017-02-18T16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0" s="188" t="str">
        <f t="shared" si="74"/>
        <v>N</v>
      </c>
      <c r="X100" s="188">
        <f t="shared" si="80"/>
        <v>1</v>
      </c>
      <c r="Y100" s="62">
        <f t="shared" si="75"/>
        <v>4.6399999999999997E-2</v>
      </c>
      <c r="Z100" s="62">
        <f t="shared" si="76"/>
        <v>23.329799999999999</v>
      </c>
      <c r="AA100" s="62">
        <f t="shared" si="77"/>
        <v>23.2834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78"/>
        <v>0187-18</v>
      </c>
      <c r="AE100" s="85" t="str">
        <f t="shared" si="65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100" s="82" t="str">
        <f t="shared" si="66"/>
        <v>"C:\Program Files (x86)\AstroGrep\AstroGrep.exe" /spath="%USERPROFILE%\AppData\Local\Temp\OnboardLogs" /stypes="app*4027*20170218*" /stext=" 22:.+((SYSTEM_STATE.+slice.+state.+changed )|(ment ac)|(multiple cpu faults)|(system.+state.+changed )|(\[timeout)|(PRM\|1\|D)|(kpr)|(kdp)|(\|lc)|(penalty))" /e /r /s</v>
      </c>
      <c r="AG100" s="1" t="str">
        <f t="shared" si="79"/>
        <v>EC</v>
      </c>
      <c r="AH100" s="86" t="str">
        <f t="shared" si="67"/>
        <v>"%USERPROFILE%\Documents\GitHub\eaglep3\Utilities\RefineRTDCRunTimes.py" --tripid 187-18 --locoid 4027 --swversion DE.1.0.9.0 --startMP 204:464 --initTime 2017-02-18T14:24:11 --startdatetime 2017-02-18T14:30:28 --delay 2 --endMP 204:233298 --enddatetime 2017-02-18T15:09:07 --enforcementcount 0 &gt;&gt;C:\Users\stu\Documents\GitHub\eaglep3-reporting\EC\2017-02-18-refined-times.txt</v>
      </c>
      <c r="AI10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{"issue":{"subject":"","project_id":79,"tracker_id":40,"status_id":1,"priority_id":2,"assigned_to_id":23,"start_date":"2017-02-18","description":"","custom_fields":[{"id":1,"name":"Subdivision","value":"EC"},{"id":4,"name":"Milepost","value":"23.3298"},{"id":17,"name":"Train ID","value":"187-18"},{"id":16,"name":"Locomotive ID","value":"4027"},{"id":130,"name":"Impact","value":""},{"id":150,"name":"Time of Event (Mountain Time)","value":"15:09:07"},{"id":151,"name":"Denver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69"/>
        <v>start /low /b %USERPROFILE%\Documents\GitHub\eaglep3\Utilities\DownloadLogsFromS3.py --loco 4027 --day 2017-02-18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613</v>
      </c>
      <c r="B101" s="7">
        <v>4028</v>
      </c>
      <c r="C101" s="21" t="s">
        <v>680</v>
      </c>
      <c r="D101" s="21" t="s">
        <v>706</v>
      </c>
      <c r="E101" s="13">
        <v>42784.641064814816</v>
      </c>
      <c r="F101" s="13">
        <v>42784.643310185187</v>
      </c>
      <c r="G101" s="7">
        <v>1</v>
      </c>
      <c r="H101" s="21" t="s">
        <v>404</v>
      </c>
      <c r="I101" s="13">
        <v>42784.66978009259</v>
      </c>
      <c r="J101" s="7">
        <v>0</v>
      </c>
      <c r="K101" s="98" t="str">
        <f t="shared" si="71"/>
        <v>4027/4028</v>
      </c>
      <c r="L101" s="21" t="str">
        <f>VLOOKUP(A101,'Trips&amp;Operators'!$C$1:$G$99999,5,FALSE)</f>
        <v>STEWART MICHAEL</v>
      </c>
      <c r="M101" s="6">
        <f t="shared" si="72"/>
        <v>2.6469907403225079E-2</v>
      </c>
      <c r="N101" s="7">
        <f t="shared" si="63"/>
        <v>38.116666660644114</v>
      </c>
      <c r="O101" s="7"/>
      <c r="P101" s="7"/>
      <c r="Q101" s="22"/>
      <c r="R101" s="22"/>
      <c r="S101" s="31">
        <f t="shared" si="70"/>
        <v>1</v>
      </c>
      <c r="T101" s="46" t="str">
        <f t="shared" si="73"/>
        <v>Southbound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64"/>
        <v>https://d0f6bd738d7f1b3e5a7ca70fe4ff75f0.us-east-1.aws.found.io/app/kibana#/discover/Steve-Slow-Train-Analysis-(2080s-and-2083s)?_g=(refreshInterval:(display:Off,pause:!f,section:0,value:0),time:(from:'2017-02-18T14:23:08-0700',mode:absolute,to:'2017-02-18T17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88" t="str">
        <f t="shared" si="74"/>
        <v>N</v>
      </c>
      <c r="X101" s="188">
        <f t="shared" si="80"/>
        <v>1</v>
      </c>
      <c r="Y101" s="62">
        <f t="shared" si="75"/>
        <v>23.3</v>
      </c>
      <c r="Z101" s="62">
        <f t="shared" si="76"/>
        <v>1.6299999999999999E-2</v>
      </c>
      <c r="AA101" s="62">
        <f t="shared" si="77"/>
        <v>23.2837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78"/>
        <v>0188-18</v>
      </c>
      <c r="AE101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01" s="82" t="str">
        <f t="shared" si="66"/>
        <v>"C:\Program Files (x86)\AstroGrep\AstroGrep.exe" /spath="%USERPROFILE%\AppData\Local\Temp\OnboardLogs" /stypes="app*4028*20170218*" /stext=" 23:.+((SYSTEM_STATE.+slice.+state.+changed )|(ment ac)|(multiple cpu faults)|(system.+state.+changed )|(\[timeout)|(PRM\|1\|D)|(kpr)|(kdp)|(\|lc)|(penalty))" /e /r /s</v>
      </c>
      <c r="AG101" s="1" t="str">
        <f t="shared" si="79"/>
        <v>EC</v>
      </c>
      <c r="AH101" s="86" t="str">
        <f t="shared" si="67"/>
        <v>"%USERPROFILE%\Documents\GitHub\eaglep3\Utilities\RefineRTDCRunTimes.py" --tripid 188-18 --locoid 4028 --swversion DE.1.0.9.0 --startMP 204:233000 --initTime 2017-02-18T15:23:08 --startdatetime 2017-02-18T15:26:22 --delay 1 --endMP 204:163 --enddatetime 2017-02-18T16:04:29 --enforcementcount 0 &gt;&gt;C:\Users\stu\Documents\GitHub\eaglep3-reporting\EC\2017-02-18-refined-times.txt</v>
      </c>
      <c r="AI10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{"issue":{"subject":"","project_id":79,"tracker_id":40,"status_id":1,"priority_id":2,"assigned_to_id":23,"start_date":"2017-02-18","description":"","custom_fields":[{"id":1,"name":"Subdivision","value":"EC"},{"id":4,"name":"Milepost","value":"0.0163"},{"id":17,"name":"Train ID","value":"188-18"},{"id":16,"name":"Locomotive ID","value":"4028"},{"id":130,"name":"Impact","value":""},{"id":150,"name":"Time of Event (Mountain Time)","value":"16:04:29"},{"id":151,"name":"Denver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69"/>
        <v>start /low /b %USERPROFILE%\Documents\GitHub\eaglep3\Utilities\DownloadLogsFromS3.py --loco 4028 --day 2017-02-18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460</v>
      </c>
      <c r="B102" s="7">
        <v>4029</v>
      </c>
      <c r="C102" s="21" t="s">
        <v>680</v>
      </c>
      <c r="D102" s="21" t="s">
        <v>229</v>
      </c>
      <c r="E102" s="13">
        <v>42784.612962962965</v>
      </c>
      <c r="F102" s="13">
        <v>42784.615011574075</v>
      </c>
      <c r="G102" s="7">
        <v>1</v>
      </c>
      <c r="H102" s="21" t="s">
        <v>401</v>
      </c>
      <c r="I102" s="13">
        <v>42784.641099537039</v>
      </c>
      <c r="J102" s="7">
        <v>0</v>
      </c>
      <c r="K102" s="98" t="str">
        <f t="shared" si="71"/>
        <v>4029/4030</v>
      </c>
      <c r="L102" s="21" t="str">
        <f>VLOOKUP(A102,'Trips&amp;Operators'!$C$1:$G$99999,5,FALSE)</f>
        <v>DAVIS MICHAEL</v>
      </c>
      <c r="M102" s="6">
        <f t="shared" si="72"/>
        <v>2.6087962964083999E-2</v>
      </c>
      <c r="N102" s="7">
        <f t="shared" si="63"/>
        <v>37.566666668280959</v>
      </c>
      <c r="O102" s="7"/>
      <c r="P102" s="7"/>
      <c r="Q102" s="22"/>
      <c r="R102" s="22"/>
      <c r="S102" s="31">
        <f t="shared" si="70"/>
        <v>1</v>
      </c>
      <c r="T102" s="46" t="str">
        <f t="shared" si="73"/>
        <v>NorthBound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64"/>
        <v>https://d0f6bd738d7f1b3e5a7ca70fe4ff75f0.us-east-1.aws.found.io/app/kibana#/discover/Steve-Slow-Train-Analysis-(2080s-and-2083s)?_g=(refreshInterval:(display:Off,pause:!f,section:0,value:0),time:(from:'2017-02-18T13:42:40-0700',mode:absolute,to:'2017-02-18T16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188" t="str">
        <f t="shared" si="74"/>
        <v>N</v>
      </c>
      <c r="X102" s="188">
        <f t="shared" si="80"/>
        <v>1</v>
      </c>
      <c r="Y102" s="62">
        <f t="shared" si="75"/>
        <v>4.5100000000000001E-2</v>
      </c>
      <c r="Z102" s="62">
        <f t="shared" si="76"/>
        <v>23.313800000000001</v>
      </c>
      <c r="AA102" s="62">
        <f t="shared" si="77"/>
        <v>23.268699999999999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78"/>
        <v>0189-18</v>
      </c>
      <c r="AE102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02" s="82" t="str">
        <f t="shared" si="66"/>
        <v>"C:\Program Files (x86)\AstroGrep\AstroGrep.exe" /spath="%USERPROFILE%\AppData\Local\Temp\OnboardLogs" /stypes="app*4029*20170218*" /stext=" 22:.+((SYSTEM_STATE.+slice.+state.+changed )|(ment ac)|(multiple cpu faults)|(system.+state.+changed )|(\[timeout)|(PRM\|1\|D)|(kpr)|(kdp)|(\|lc)|(penalty))" /e /r /s</v>
      </c>
      <c r="AG102" s="1" t="str">
        <f t="shared" si="79"/>
        <v>EC</v>
      </c>
      <c r="AH102" s="86" t="str">
        <f t="shared" si="67"/>
        <v>"%USERPROFILE%\Documents\GitHub\eaglep3\Utilities\RefineRTDCRunTimes.py" --tripid 189-18 --locoid 4029 --swversion DE.1.0.9.0 --startMP 204:451 --initTime 2017-02-18T14:42:40 --startdatetime 2017-02-18T14:45:37 --delay 1 --endMP 204:233138 --enddatetime 2017-02-18T15:23:11 --enforcementcount 0 &gt;&gt;C:\Users\stu\Documents\GitHub\eaglep3-reporting\EC\2017-02-18-refined-times.txt</v>
      </c>
      <c r="AI10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{"issue":{"subject":"","project_id":79,"tracker_id":40,"status_id":1,"priority_id":2,"assigned_to_id":23,"start_date":"2017-02-18","description":"","custom_fields":[{"id":1,"name":"Subdivision","value":"EC"},{"id":4,"name":"Milepost","value":"23.3138"},{"id":17,"name":"Train ID","value":"189-18"},{"id":16,"name":"Locomotive ID","value":"4029"},{"id":130,"name":"Impact","value":""},{"id":150,"name":"Time of Event (Mountain Time)","value":"15:23:11"},{"id":151,"name":"Denver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69"/>
        <v>start /low /b %USERPROFILE%\Documents\GitHub\eaglep3\Utilities\DownloadLogsFromS3.py --loco 4029 --day 2017-02-18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616</v>
      </c>
      <c r="B103" s="7">
        <v>4030</v>
      </c>
      <c r="C103" s="21" t="s">
        <v>680</v>
      </c>
      <c r="D103" s="21" t="s">
        <v>766</v>
      </c>
      <c r="E103" s="13">
        <v>42784.650740740741</v>
      </c>
      <c r="F103" s="13">
        <v>42784.653726851851</v>
      </c>
      <c r="G103" s="7">
        <v>2</v>
      </c>
      <c r="H103" s="21" t="s">
        <v>767</v>
      </c>
      <c r="I103" s="13">
        <v>42784.681342592594</v>
      </c>
      <c r="J103" s="7">
        <v>0</v>
      </c>
      <c r="K103" s="98" t="str">
        <f t="shared" si="71"/>
        <v>4029/4030</v>
      </c>
      <c r="L103" s="21" t="str">
        <f>VLOOKUP(A103,'Trips&amp;Operators'!$C$1:$G$99999,5,FALSE)</f>
        <v>DAVIS MICHAEL</v>
      </c>
      <c r="M103" s="6">
        <f t="shared" si="72"/>
        <v>2.7615740742476191E-2</v>
      </c>
      <c r="N103" s="7">
        <f t="shared" si="63"/>
        <v>39.766666669165716</v>
      </c>
      <c r="O103" s="7"/>
      <c r="P103" s="7"/>
      <c r="Q103" s="22"/>
      <c r="R103" s="22"/>
      <c r="S103" s="31">
        <f t="shared" si="70"/>
        <v>1</v>
      </c>
      <c r="T103" s="46" t="str">
        <f t="shared" si="73"/>
        <v>Southbound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64"/>
        <v>https://d0f6bd738d7f1b3e5a7ca70fe4ff75f0.us-east-1.aws.found.io/app/kibana#/discover/Steve-Slow-Train-Analysis-(2080s-and-2083s)?_g=(refreshInterval:(display:Off,pause:!f,section:0,value:0),time:(from:'2017-02-18T14:37:04-0700',mode:absolute,to:'2017-02-18T17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88" t="str">
        <f t="shared" si="74"/>
        <v>N</v>
      </c>
      <c r="X103" s="188">
        <f t="shared" si="80"/>
        <v>1</v>
      </c>
      <c r="Y103" s="62">
        <f t="shared" si="75"/>
        <v>23.283799999999999</v>
      </c>
      <c r="Z103" s="62">
        <f t="shared" si="76"/>
        <v>1.6899999999999998E-2</v>
      </c>
      <c r="AA103" s="62">
        <f t="shared" si="77"/>
        <v>23.2669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78"/>
        <v>0190-18</v>
      </c>
      <c r="AE103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03" s="82" t="str">
        <f t="shared" si="66"/>
        <v>"C:\Program Files (x86)\AstroGrep\AstroGrep.exe" /spath="%USERPROFILE%\AppData\Local\Temp\OnboardLogs" /stypes="app*4030*20170218*" /stext=" 23:.+((SYSTEM_STATE.+slice.+state.+changed )|(ment ac)|(multiple cpu faults)|(system.+state.+changed )|(\[timeout)|(PRM\|1\|D)|(kpr)|(kdp)|(\|lc)|(penalty))" /e /r /s</v>
      </c>
      <c r="AG103" s="1" t="str">
        <f t="shared" si="79"/>
        <v>EC</v>
      </c>
      <c r="AH103" s="86" t="str">
        <f t="shared" si="67"/>
        <v>"%USERPROFILE%\Documents\GitHub\eaglep3\Utilities\RefineRTDCRunTimes.py" --tripid 190-18 --locoid 4030 --swversion DE.1.0.9.0 --startMP 204:232838 --initTime 2017-02-18T15:37:04 --startdatetime 2017-02-18T15:41:22 --delay 2 --endMP 204:169 --enddatetime 2017-02-18T16:21:08 --enforcementcount 0 &gt;&gt;C:\Users\stu\Documents\GitHub\eaglep3-reporting\EC\2017-02-18-refined-times.txt</v>
      </c>
      <c r="AI10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{"issue":{"subject":"","project_id":79,"tracker_id":40,"status_id":1,"priority_id":2,"assigned_to_id":23,"start_date":"2017-02-18","description":"","custom_fields":[{"id":1,"name":"Subdivision","value":"EC"},{"id":4,"name":"Milepost","value":"0.0169"},{"id":17,"name":"Train ID","value":"190-18"},{"id":16,"name":"Locomotive ID","value":"4030"},{"id":130,"name":"Impact","value":""},{"id":150,"name":"Time of Event (Mountain Time)","value":"16:21:08"},{"id":151,"name":"Denver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69"/>
        <v>start /low /b %USERPROFILE%\Documents\GitHub\eaglep3\Utilities\DownloadLogsFromS3.py --loco 4030 --day 2017-02-18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609</v>
      </c>
      <c r="B104" s="7">
        <v>4018</v>
      </c>
      <c r="C104" s="21" t="s">
        <v>680</v>
      </c>
      <c r="D104" s="21" t="s">
        <v>229</v>
      </c>
      <c r="E104" s="13">
        <v>42784.619108796294</v>
      </c>
      <c r="F104" s="13">
        <v>42784.625185185185</v>
      </c>
      <c r="G104" s="7">
        <v>1</v>
      </c>
      <c r="H104" s="21" t="s">
        <v>693</v>
      </c>
      <c r="I104" s="13">
        <v>42784.650266203702</v>
      </c>
      <c r="J104" s="7">
        <v>0</v>
      </c>
      <c r="K104" s="98" t="str">
        <f t="shared" si="71"/>
        <v>4017/4018</v>
      </c>
      <c r="L104" s="21" t="str">
        <f>VLOOKUP(A104,'Trips&amp;Operators'!$C$1:$G$99999,5,FALSE)</f>
        <v>LOPES KIMBERLY</v>
      </c>
      <c r="M104" s="6">
        <f t="shared" si="72"/>
        <v>2.5081018517084885E-2</v>
      </c>
      <c r="N104" s="7">
        <f t="shared" ref="N104:N128" si="81">24*60*SUM($M104:$M104)</f>
        <v>36.116666664602235</v>
      </c>
      <c r="O104" s="7"/>
      <c r="P104" s="7"/>
      <c r="Q104" s="22"/>
      <c r="R104" s="22"/>
      <c r="S104" s="31">
        <f t="shared" si="70"/>
        <v>1</v>
      </c>
      <c r="T104" s="46" t="str">
        <f t="shared" si="73"/>
        <v>NorthBound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64"/>
        <v>https://d0f6bd738d7f1b3e5a7ca70fe4ff75f0.us-east-1.aws.found.io/app/kibana#/discover/Steve-Slow-Train-Analysis-(2080s-and-2083s)?_g=(refreshInterval:(display:Off,pause:!f,section:0,value:0),time:(from:'2017-02-18T13:51:31-0700',mode:absolute,to:'2017-02-18T16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188" t="str">
        <f t="shared" si="74"/>
        <v>N</v>
      </c>
      <c r="X104" s="188">
        <f t="shared" si="80"/>
        <v>1</v>
      </c>
      <c r="Y104" s="62">
        <f t="shared" si="75"/>
        <v>4.5100000000000001E-2</v>
      </c>
      <c r="Z104" s="62">
        <f t="shared" si="76"/>
        <v>23.3291</v>
      </c>
      <c r="AA104" s="62">
        <f t="shared" si="77"/>
        <v>23.283999999999999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78"/>
        <v>0191-18</v>
      </c>
      <c r="AE104" s="85" t="str">
        <f t="shared" si="65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04" s="82" t="str">
        <f t="shared" si="66"/>
        <v>"C:\Program Files (x86)\AstroGrep\AstroGrep.exe" /spath="%USERPROFILE%\AppData\Local\Temp\OnboardLogs" /stypes="app*4018*20170218*" /stext=" 22:.+((SYSTEM_STATE.+slice.+state.+changed )|(ment ac)|(multiple cpu faults)|(system.+state.+changed )|(\[timeout)|(PRM\|1\|D)|(kpr)|(kdp)|(\|lc)|(penalty))" /e /r /s</v>
      </c>
      <c r="AG104" s="1" t="str">
        <f t="shared" si="79"/>
        <v>EC</v>
      </c>
      <c r="AH104" s="86" t="str">
        <f t="shared" si="67"/>
        <v>"%USERPROFILE%\Documents\GitHub\eaglep3\Utilities\RefineRTDCRunTimes.py" --tripid 191-18 --locoid 4018 --swversion DE.1.0.9.0 --startMP 204:451 --initTime 2017-02-18T14:51:31 --startdatetime 2017-02-18T15:00:16 --delay 1 --endMP 204:233291 --enddatetime 2017-02-18T15:36:23 --enforcementcount 0 &gt;&gt;C:\Users\stu\Documents\GitHub\eaglep3-reporting\EC\2017-02-18-refined-times.txt</v>
      </c>
      <c r="AI10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ID","value":"191-18"},{"id":16,"name":"Locomotive ID","value":"4018"},{"id":130,"name":"Impact","value":""},{"id":150,"name":"Time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69"/>
        <v>start /low /b %USERPROFILE%\Documents\GitHub\eaglep3\Utilities\DownloadLogsFromS3.py --loco 4018 --day 2017-02-18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2017-02-18-UncaughtWiMAX.txt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618</v>
      </c>
      <c r="B105" s="7">
        <v>4017</v>
      </c>
      <c r="C105" s="21" t="s">
        <v>680</v>
      </c>
      <c r="D105" s="21" t="s">
        <v>410</v>
      </c>
      <c r="E105" s="13">
        <v>42784.654594907406</v>
      </c>
      <c r="F105" s="13">
        <v>42784.664050925923</v>
      </c>
      <c r="G105" s="7">
        <v>1</v>
      </c>
      <c r="H105" s="21" t="s">
        <v>264</v>
      </c>
      <c r="I105" s="13">
        <v>42784.690254629626</v>
      </c>
      <c r="J105" s="7">
        <v>0</v>
      </c>
      <c r="K105" s="98" t="str">
        <f t="shared" si="71"/>
        <v>4017/4018</v>
      </c>
      <c r="L105" s="21" t="str">
        <f>VLOOKUP(A105,'Trips&amp;Operators'!$C$1:$G$99999,5,FALSE)</f>
        <v>LOPES KIMBERLY</v>
      </c>
      <c r="M105" s="6">
        <f t="shared" si="72"/>
        <v>2.6203703702776693E-2</v>
      </c>
      <c r="N105" s="7">
        <f t="shared" si="81"/>
        <v>37.733333331998438</v>
      </c>
      <c r="O105" s="7"/>
      <c r="P105" s="7"/>
      <c r="Q105" s="22"/>
      <c r="R105" s="22"/>
      <c r="S105" s="31">
        <f t="shared" si="70"/>
        <v>1</v>
      </c>
      <c r="T105" s="46" t="str">
        <f t="shared" si="73"/>
        <v>Southbound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64"/>
        <v>https://d0f6bd738d7f1b3e5a7ca70fe4ff75f0.us-east-1.aws.found.io/app/kibana#/discover/Steve-Slow-Train-Analysis-(2080s-and-2083s)?_g=(refreshInterval:(display:Off,pause:!f,section:0,value:0),time:(from:'2017-02-18T14:42:37-0700',mode:absolute,to:'2017-02-18T17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188" t="str">
        <f t="shared" si="74"/>
        <v>N</v>
      </c>
      <c r="X105" s="188">
        <f t="shared" si="80"/>
        <v>1</v>
      </c>
      <c r="Y105" s="62">
        <f t="shared" si="75"/>
        <v>23.298100000000002</v>
      </c>
      <c r="Z105" s="62">
        <f t="shared" si="76"/>
        <v>1.3899999999999999E-2</v>
      </c>
      <c r="AA105" s="62">
        <f t="shared" si="77"/>
        <v>23.284200000000002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78"/>
        <v>0192-18</v>
      </c>
      <c r="AE105" s="85" t="str">
        <f t="shared" si="65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05" s="82" t="str">
        <f t="shared" si="66"/>
        <v>"C:\Program Files (x86)\AstroGrep\AstroGrep.exe" /spath="%USERPROFILE%\AppData\Local\Temp\OnboardLogs" /stypes="app*4017*20170218*" /stext=" 23:.+((SYSTEM_STATE.+slice.+state.+changed )|(ment ac)|(multiple cpu faults)|(system.+state.+changed )|(\[timeout)|(PRM\|1\|D)|(kpr)|(kdp)|(\|lc)|(penalty))" /e /r /s</v>
      </c>
      <c r="AG105" s="1" t="str">
        <f t="shared" si="79"/>
        <v>EC</v>
      </c>
      <c r="AH105" s="86" t="str">
        <f t="shared" si="67"/>
        <v>"%USERPROFILE%\Documents\GitHub\eaglep3\Utilities\RefineRTDCRunTimes.py" --tripid 192-18 --locoid 4017 --swversion DE.1.0.9.0 --startMP 204:232981 --initTime 2017-02-18T15:42:37 --startdatetime 2017-02-18T15:56:14 --delay 1 --endMP 204:139 --enddatetime 2017-02-18T16:33:58 --enforcementcount 0 &gt;&gt;C:\Users\stu\Documents\GitHub\eaglep3-reporting\EC\2017-02-18-refined-times.txt</v>
      </c>
      <c r="AI10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{"issue":{"subject":"","project_id":79,"tracker_id":40,"status_id":1,"priority_id":2,"assigned_to_id":23,"start_date":"2017-02-18","description":"","custom_fields":[{"id":1,"name":"Subdivision","value":"EC"},{"id":4,"name":"Milepost","value":"0.0139"},{"id":17,"name":"Train ID","value":"192-18"},{"id":16,"name":"Locomotive ID","value":"4017"},{"id":130,"name":"Impact","value":""},{"id":150,"name":"Time of Event (Mountain Time)","value":"16:33:58"},{"id":151,"name":"Denver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69"/>
        <v>start /low /b %USERPROFILE%\Documents\GitHub\eaglep3\Utilities\DownloadLogsFromS3.py --loco 4017 --day 2017-02-18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611</v>
      </c>
      <c r="B106" s="7">
        <v>4007</v>
      </c>
      <c r="C106" s="21" t="s">
        <v>680</v>
      </c>
      <c r="D106" s="21" t="s">
        <v>770</v>
      </c>
      <c r="E106" s="13">
        <v>42784.632303240738</v>
      </c>
      <c r="F106" s="13">
        <v>42784.635636574072</v>
      </c>
      <c r="G106" s="7">
        <v>1</v>
      </c>
      <c r="H106" s="21" t="s">
        <v>407</v>
      </c>
      <c r="I106" s="13">
        <v>42784.660277777781</v>
      </c>
      <c r="J106" s="7">
        <v>0</v>
      </c>
      <c r="K106" s="98" t="str">
        <f t="shared" si="71"/>
        <v>4007/4008</v>
      </c>
      <c r="L106" s="21" t="str">
        <f>VLOOKUP(A106,'Trips&amp;Operators'!$C$1:$G$99999,5,FALSE)</f>
        <v>KILLION DAVID</v>
      </c>
      <c r="M106" s="6">
        <f t="shared" si="72"/>
        <v>2.4641203708597459E-2</v>
      </c>
      <c r="N106" s="7">
        <f t="shared" si="81"/>
        <v>35.483333340380341</v>
      </c>
      <c r="O106" s="7"/>
      <c r="P106" s="7"/>
      <c r="Q106" s="22"/>
      <c r="R106" s="22"/>
      <c r="S106" s="31">
        <f t="shared" si="70"/>
        <v>1</v>
      </c>
      <c r="T106" s="46" t="str">
        <f t="shared" si="73"/>
        <v>NorthBound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64"/>
        <v>https://d0f6bd738d7f1b3e5a7ca70fe4ff75f0.us-east-1.aws.found.io/app/kibana#/discover/Steve-Slow-Train-Analysis-(2080s-and-2083s)?_g=(refreshInterval:(display:Off,pause:!f,section:0,value:0),time:(from:'2017-02-18T14:10:31-0700',mode:absolute,to:'2017-02-18T16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88" t="str">
        <f t="shared" si="74"/>
        <v>N</v>
      </c>
      <c r="X106" s="188">
        <f t="shared" si="80"/>
        <v>1</v>
      </c>
      <c r="Y106" s="62">
        <f t="shared" si="75"/>
        <v>4.8800000000000003E-2</v>
      </c>
      <c r="Z106" s="62">
        <f t="shared" si="76"/>
        <v>23.329499999999999</v>
      </c>
      <c r="AA106" s="62">
        <f t="shared" si="77"/>
        <v>23.2807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78"/>
        <v>0193-18</v>
      </c>
      <c r="AE106" s="85" t="str">
        <f t="shared" si="65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106" s="82" t="str">
        <f t="shared" si="66"/>
        <v>"C:\Program Files (x86)\AstroGrep\AstroGrep.exe" /spath="%USERPROFILE%\AppData\Local\Temp\OnboardLogs" /stypes="app*4007*20170218*" /stext=" 22:.+((SYSTEM_STATE.+slice.+state.+changed )|(ment ac)|(multiple cpu faults)|(system.+state.+changed )|(\[timeout)|(PRM\|1\|D)|(kpr)|(kdp)|(\|lc)|(penalty))" /e /r /s</v>
      </c>
      <c r="AG106" s="1" t="str">
        <f t="shared" si="79"/>
        <v>EC</v>
      </c>
      <c r="AH106" s="86" t="str">
        <f t="shared" si="67"/>
        <v>"%USERPROFILE%\Documents\GitHub\eaglep3\Utilities\RefineRTDCRunTimes.py" --tripid 193-18 --locoid 4007 --swversion DE.1.0.9.0 --startMP 204:488 --initTime 2017-02-18T15:10:31 --startdatetime 2017-02-18T15:15:19 --delay 1 --endMP 204:233295 --enddatetime 2017-02-18T15:50:48 --enforcementcount 0 &gt;&gt;C:\Users\stu\Documents\GitHub\eaglep3-reporting\EC\2017-02-18-refined-times.txt</v>
      </c>
      <c r="AI10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{"issue":{"subject":"","project_id":79,"tracker_id":40,"status_id":1,"priority_id":2,"assigned_to_id":23,"start_date":"2017-02-18","description":"","custom_fields":[{"id":1,"name":"Subdivision","value":"EC"},{"id":4,"name":"Milepost","value":"23.3295"},{"id":17,"name":"Train ID","value":"193-18"},{"id":16,"name":"Locomotive ID","value":"4007"},{"id":130,"name":"Impact","value":""},{"id":150,"name":"Time of Event (Mountain Time)","value":"15:50:48"},{"id":151,"name":"Denver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69"/>
        <v>start /low /b %USERPROFILE%\Documents\GitHub\eaglep3\Utilities\DownloadLogsFromS3.py --loco 4007 --day 2017-02-18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2017-02-18-UncaughtWiMAX.txt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620</v>
      </c>
      <c r="B107" s="7">
        <v>4008</v>
      </c>
      <c r="C107" s="21" t="s">
        <v>680</v>
      </c>
      <c r="D107" s="21" t="s">
        <v>418</v>
      </c>
      <c r="E107" s="13">
        <v>42784.666921296295</v>
      </c>
      <c r="F107" s="13">
        <v>42784.674490740741</v>
      </c>
      <c r="G107" s="7">
        <v>1</v>
      </c>
      <c r="H107" s="21" t="s">
        <v>196</v>
      </c>
      <c r="I107" s="13">
        <v>42784.70140046296</v>
      </c>
      <c r="J107" s="7">
        <v>0</v>
      </c>
      <c r="K107" s="98" t="str">
        <f t="shared" si="71"/>
        <v>4007/4008</v>
      </c>
      <c r="L107" s="21" t="str">
        <f>VLOOKUP(A107,'Trips&amp;Operators'!$C$1:$G$99999,5,FALSE)</f>
        <v>KILLION DAVID</v>
      </c>
      <c r="M107" s="6">
        <f t="shared" si="72"/>
        <v>2.6909722218988463E-2</v>
      </c>
      <c r="N107" s="7">
        <f t="shared" si="81"/>
        <v>38.749999995343387</v>
      </c>
      <c r="O107" s="7"/>
      <c r="P107" s="7"/>
      <c r="Q107" s="22"/>
      <c r="R107" s="22"/>
      <c r="S107" s="31">
        <f t="shared" si="70"/>
        <v>1</v>
      </c>
      <c r="T107" s="46" t="str">
        <f t="shared" si="73"/>
        <v>Southbound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64"/>
        <v>https://d0f6bd738d7f1b3e5a7ca70fe4ff75f0.us-east-1.aws.found.io/app/kibana#/discover/Steve-Slow-Train-Analysis-(2080s-and-2083s)?_g=(refreshInterval:(display:Off,pause:!f,section:0,value:0),time:(from:'2017-02-18T15:00:22-0700',mode:absolute,to:'2017-02-18T17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188" t="str">
        <f t="shared" si="74"/>
        <v>N</v>
      </c>
      <c r="X107" s="188">
        <f t="shared" si="80"/>
        <v>1</v>
      </c>
      <c r="Y107" s="62">
        <f t="shared" si="75"/>
        <v>23.296099999999999</v>
      </c>
      <c r="Z107" s="62">
        <f t="shared" si="76"/>
        <v>1.4500000000000001E-2</v>
      </c>
      <c r="AA107" s="62">
        <f t="shared" si="77"/>
        <v>23.281599999999997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78"/>
        <v>0194-18</v>
      </c>
      <c r="AE107" s="85" t="str">
        <f t="shared" si="65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107" s="82" t="str">
        <f t="shared" si="66"/>
        <v>"C:\Program Files (x86)\AstroGrep\AstroGrep.exe" /spath="%USERPROFILE%\AppData\Local\Temp\OnboardLogs" /stypes="app*4008*20170218*" /stext=" 23:.+((SYSTEM_STATE.+slice.+state.+changed )|(ment ac)|(multiple cpu faults)|(system.+state.+changed )|(\[timeout)|(PRM\|1\|D)|(kpr)|(kdp)|(\|lc)|(penalty))" /e /r /s</v>
      </c>
      <c r="AG107" s="1" t="str">
        <f t="shared" si="79"/>
        <v>EC</v>
      </c>
      <c r="AH107" s="86" t="str">
        <f t="shared" si="67"/>
        <v>"%USERPROFILE%\Documents\GitHub\eaglep3\Utilities\RefineRTDCRunTimes.py" --tripid 194-18 --locoid 4008 --swversion DE.1.0.9.0 --startMP 204:232961 --initTime 2017-02-18T16:00:22 --startdatetime 2017-02-18T16:11:16 --delay 1 --endMP 204:145 --enddatetime 2017-02-18T16:50:01 --enforcementcount 0 &gt;&gt;C:\Users\stu\Documents\GitHub\eaglep3-reporting\EC\2017-02-18-refined-times.txt</v>
      </c>
      <c r="AI10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ID","value":"194-18"},{"id":16,"name":"Locomotive ID","value":"4008"},{"id":130,"name":"Impact","value":""},{"id":150,"name":"Time of Event (Mountain Time)","value":"16:50:01"},{"id":151,"name":"Denver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69"/>
        <v>start /low /b %USERPROFILE%\Documents\GitHub\eaglep3\Utilities\DownloadLogsFromS3.py --loco 4008 --day 2017-02-18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614</v>
      </c>
      <c r="B108" s="7">
        <v>4011</v>
      </c>
      <c r="C108" s="21" t="s">
        <v>680</v>
      </c>
      <c r="D108" s="21" t="s">
        <v>771</v>
      </c>
      <c r="E108" s="13">
        <v>42784.642951388887</v>
      </c>
      <c r="F108" s="13">
        <v>42784.645995370367</v>
      </c>
      <c r="G108" s="7">
        <v>1</v>
      </c>
      <c r="H108" s="21" t="s">
        <v>772</v>
      </c>
      <c r="I108" s="13">
        <v>42784.670949074076</v>
      </c>
      <c r="J108" s="7">
        <v>0</v>
      </c>
      <c r="K108" s="98" t="str">
        <f t="shared" si="71"/>
        <v>4011/4012</v>
      </c>
      <c r="L108" s="21" t="str">
        <f>VLOOKUP(A108,'Trips&amp;Operators'!$C$1:$G$99999,5,FALSE)</f>
        <v>LEVIN SCOTT</v>
      </c>
      <c r="M108" s="6">
        <f t="shared" si="72"/>
        <v>2.4953703708888497E-2</v>
      </c>
      <c r="N108" s="7">
        <f t="shared" si="81"/>
        <v>35.933333340799436</v>
      </c>
      <c r="O108" s="7"/>
      <c r="P108" s="7"/>
      <c r="Q108" s="22"/>
      <c r="R108" s="22"/>
      <c r="S108" s="31">
        <f t="shared" si="70"/>
        <v>1</v>
      </c>
      <c r="T108" s="46" t="str">
        <f t="shared" si="73"/>
        <v>NorthBound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64"/>
        <v>https://d0f6bd738d7f1b3e5a7ca70fe4ff75f0.us-east-1.aws.found.io/app/kibana#/discover/Steve-Slow-Train-Analysis-(2080s-and-2083s)?_g=(refreshInterval:(display:Off,pause:!f,section:0,value:0),time:(from:'2017-02-18T14:25:51-0700',mode:absolute,to:'2017-02-18T17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188" t="str">
        <f t="shared" si="74"/>
        <v>N</v>
      </c>
      <c r="X108" s="188">
        <f t="shared" si="80"/>
        <v>1</v>
      </c>
      <c r="Y108" s="62">
        <f t="shared" si="75"/>
        <v>4.3499999999999997E-2</v>
      </c>
      <c r="Z108" s="62">
        <f t="shared" si="76"/>
        <v>23.335100000000001</v>
      </c>
      <c r="AA108" s="62">
        <f t="shared" si="77"/>
        <v>23.291599999999999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78"/>
        <v>0195-18</v>
      </c>
      <c r="AE108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08" s="82" t="str">
        <f t="shared" si="66"/>
        <v>"C:\Program Files (x86)\AstroGrep\AstroGrep.exe" /spath="%USERPROFILE%\AppData\Local\Temp\OnboardLogs" /stypes="app*4011*20170218*" /stext=" 23:.+((SYSTEM_STATE.+slice.+state.+changed )|(ment ac)|(multiple cpu faults)|(system.+state.+changed )|(\[timeout)|(PRM\|1\|D)|(kpr)|(kdp)|(\|lc)|(penalty))" /e /r /s</v>
      </c>
      <c r="AG108" s="1" t="str">
        <f t="shared" si="79"/>
        <v>EC</v>
      </c>
      <c r="AH108" s="86" t="str">
        <f t="shared" si="67"/>
        <v>"%USERPROFILE%\Documents\GitHub\eaglep3\Utilities\RefineRTDCRunTimes.py" --tripid 195-18 --locoid 4011 --swversion DE.1.0.9.0 --startMP 204:435 --initTime 2017-02-18T15:25:51 --startdatetime 2017-02-18T15:30:14 --delay 1 --endMP 204:233351 --enddatetime 2017-02-18T16:06:10 --enforcementcount 0 &gt;&gt;C:\Users\stu\Documents\GitHub\eaglep3-reporting\EC\2017-02-18-refined-times.txt</v>
      </c>
      <c r="AI10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{"issue":{"subject":"","project_id":79,"tracker_id":40,"status_id":1,"priority_id":2,"assigned_to_id":23,"start_date":"2017-02-18","description":"","custom_fields":[{"id":1,"name":"Subdivision","value":"EC"},{"id":4,"name":"Milepost","value":"23.3351"},{"id":17,"name":"Train ID","value":"195-18"},{"id":16,"name":"Locomotive ID","value":"4011"},{"id":130,"name":"Impact","value":""},{"id":150,"name":"Time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69"/>
        <v>start /low /b %USERPROFILE%\Documents\GitHub\eaglep3\Utilities\DownloadLogsFromS3.py --loco 4011 --day 2017-02-18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2017-02-18-UncaughtWiMAX.txt</v>
      </c>
    </row>
    <row r="109" spans="1:91" s="20" customFormat="1" x14ac:dyDescent="0.25">
      <c r="A109" s="33" t="s">
        <v>622</v>
      </c>
      <c r="B109" s="7">
        <v>4012</v>
      </c>
      <c r="C109" s="21" t="s">
        <v>680</v>
      </c>
      <c r="D109" s="21" t="s">
        <v>773</v>
      </c>
      <c r="E109" s="13">
        <v>42784.679340277777</v>
      </c>
      <c r="F109" s="13">
        <v>42784.684976851851</v>
      </c>
      <c r="G109" s="7">
        <v>1</v>
      </c>
      <c r="H109" s="21" t="s">
        <v>774</v>
      </c>
      <c r="I109" s="13">
        <v>42784.711180555554</v>
      </c>
      <c r="J109" s="7">
        <v>0</v>
      </c>
      <c r="K109" s="98" t="str">
        <f t="shared" si="71"/>
        <v>4011/4012</v>
      </c>
      <c r="L109" s="21" t="str">
        <f>VLOOKUP(A109,'Trips&amp;Operators'!$C$1:$G$99999,5,FALSE)</f>
        <v>LEVIN SCOTT</v>
      </c>
      <c r="M109" s="6">
        <f t="shared" si="72"/>
        <v>2.6203703702776693E-2</v>
      </c>
      <c r="N109" s="7">
        <f t="shared" si="81"/>
        <v>37.733333331998438</v>
      </c>
      <c r="O109" s="7"/>
      <c r="P109" s="7"/>
      <c r="Q109" s="22"/>
      <c r="R109" s="22"/>
      <c r="S109" s="31">
        <f t="shared" si="70"/>
        <v>1</v>
      </c>
      <c r="T109" s="46" t="str">
        <f t="shared" si="73"/>
        <v>Southbound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64"/>
        <v>https://d0f6bd738d7f1b3e5a7ca70fe4ff75f0.us-east-1.aws.found.io/app/kibana#/discover/Steve-Slow-Train-Analysis-(2080s-and-2083s)?_g=(refreshInterval:(display:Off,pause:!f,section:0,value:0),time:(from:'2017-02-18T15:18:15-0700',mode:absolute,to:'2017-02-18T18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188" t="str">
        <f t="shared" si="74"/>
        <v>N</v>
      </c>
      <c r="X109" s="188">
        <f t="shared" si="80"/>
        <v>1</v>
      </c>
      <c r="Y109" s="62">
        <f t="shared" si="75"/>
        <v>23.303999999999998</v>
      </c>
      <c r="Z109" s="62">
        <f t="shared" si="76"/>
        <v>1.0500000000000001E-2</v>
      </c>
      <c r="AA109" s="62">
        <f t="shared" si="77"/>
        <v>23.293499999999998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78"/>
        <v>0196-18</v>
      </c>
      <c r="AE109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09" s="82" t="str">
        <f t="shared" si="66"/>
        <v>"C:\Program Files (x86)\AstroGrep\AstroGrep.exe" /spath="%USERPROFILE%\AppData\Local\Temp\OnboardLogs" /stypes="app*4012*20170219*" /stext=" 00:.+((SYSTEM_STATE.+slice.+state.+changed )|(ment ac)|(multiple cpu faults)|(system.+state.+changed )|(\[timeout)|(PRM\|1\|D)|(kpr)|(kdp)|(\|lc)|(penalty))" /e /r /s</v>
      </c>
      <c r="AG109" s="1" t="str">
        <f t="shared" si="79"/>
        <v>EC</v>
      </c>
      <c r="AH109" s="86" t="str">
        <f t="shared" si="67"/>
        <v>"%USERPROFILE%\Documents\GitHub\eaglep3\Utilities\RefineRTDCRunTimes.py" --tripid 196-18 --locoid 4012 --swversion DE.1.0.9.0 --startMP 204:233040 --initTime 2017-02-18T16:18:15 --startdatetime 2017-02-18T16:26:22 --delay 1 --endMP 204:105 --enddatetime 2017-02-18T17:04:06 --enforcementcount 0 &gt;&gt;C:\Users\stu\Documents\GitHub\eaglep3-reporting\EC\2017-02-18-refined-times.txt</v>
      </c>
      <c r="AI10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{"issue":{"subject":"","project_id":79,"tracker_id":40,"status_id":1,"priority_id":2,"assigned_to_id":23,"start_date":"2017-02-18","description":"","custom_fields":[{"id":1,"name":"Subdivision","value":"EC"},{"id":4,"name":"Milepost","value":"0.0105"},{"id":17,"name":"Train ID","value":"196-18"},{"id":16,"name":"Locomotive ID","value":"4012"},{"id":130,"name":"Impact","value":""},{"id":150,"name":"Time of Event (Mountain Time)","value":"17:04:06"},{"id":151,"name":"Denver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69"/>
        <v>start /low /b %USERPROFILE%\Documents\GitHub\eaglep3\Utilities\DownloadLogsFromS3.py --loco 4012 --day 2017-02-18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2017-02-18-UncaughtWiMAX.txt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617</v>
      </c>
      <c r="B110" s="7">
        <v>4053</v>
      </c>
      <c r="C110" s="21" t="s">
        <v>680</v>
      </c>
      <c r="D110" s="21" t="s">
        <v>260</v>
      </c>
      <c r="E110" s="13">
        <v>42784.651863425926</v>
      </c>
      <c r="F110" s="13">
        <v>42784.656435185185</v>
      </c>
      <c r="G110" s="7">
        <v>1</v>
      </c>
      <c r="H110" s="21" t="s">
        <v>284</v>
      </c>
      <c r="I110" s="13">
        <v>42784.681307870371</v>
      </c>
      <c r="J110" s="7">
        <v>0</v>
      </c>
      <c r="K110" s="98" t="str">
        <f t="shared" si="71"/>
        <v>4053/4054</v>
      </c>
      <c r="L110" s="21" t="str">
        <f>VLOOKUP(A110,'Trips&amp;Operators'!$C$1:$G$99999,5,FALSE)</f>
        <v>DELGADO DIANAH</v>
      </c>
      <c r="M110" s="6">
        <f t="shared" si="72"/>
        <v>2.4872685185982846E-2</v>
      </c>
      <c r="N110" s="7">
        <f t="shared" si="81"/>
        <v>35.816666667815298</v>
      </c>
      <c r="O110" s="7"/>
      <c r="P110" s="7"/>
      <c r="Q110" s="22"/>
      <c r="R110" s="22"/>
      <c r="S110" s="31">
        <f t="shared" si="70"/>
        <v>1</v>
      </c>
      <c r="T110" s="46" t="str">
        <f t="shared" si="73"/>
        <v>NorthBound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64"/>
        <v>https://d0f6bd738d7f1b3e5a7ca70fe4ff75f0.us-east-1.aws.found.io/app/kibana#/discover/Steve-Slow-Train-Analysis-(2080s-and-2083s)?_g=(refreshInterval:(display:Off,pause:!f,section:0,value:0),time:(from:'2017-02-18T14:38:41-0700',mode:absolute,to:'2017-02-18T17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88" t="str">
        <f t="shared" si="74"/>
        <v>N</v>
      </c>
      <c r="X110" s="188">
        <f t="shared" si="80"/>
        <v>1</v>
      </c>
      <c r="Y110" s="62">
        <f t="shared" si="75"/>
        <v>4.6699999999999998E-2</v>
      </c>
      <c r="Z110" s="62">
        <f t="shared" si="76"/>
        <v>23.331199999999999</v>
      </c>
      <c r="AA110" s="62">
        <f t="shared" si="77"/>
        <v>23.284499999999998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78"/>
        <v>0197-18</v>
      </c>
      <c r="AE110" s="85" t="str">
        <f t="shared" si="65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110" s="82" t="str">
        <f t="shared" si="66"/>
        <v>"C:\Program Files (x86)\AstroGrep\AstroGrep.exe" /spath="%USERPROFILE%\AppData\Local\Temp\OnboardLogs" /stypes="app*4053*20170218*" /stext=" 23:.+((SYSTEM_STATE.+slice.+state.+changed )|(ment ac)|(multiple cpu faults)|(system.+state.+changed )|(\[timeout)|(PRM\|1\|D)|(kpr)|(kdp)|(\|lc)|(penalty))" /e /r /s</v>
      </c>
      <c r="AG110" s="1" t="str">
        <f t="shared" si="79"/>
        <v>EC</v>
      </c>
      <c r="AH110" s="86" t="str">
        <f t="shared" si="67"/>
        <v>"%USERPROFILE%\Documents\GitHub\eaglep3\Utilities\RefineRTDCRunTimes.py" --tripid 197-18 --locoid 4053 --swversion DE.1.0.9.0 --startMP 204:467 --initTime 2017-02-18T15:38:41 --startdatetime 2017-02-18T15:45:16 --delay 1 --endMP 204:233312 --enddatetime 2017-02-18T16:21:05 --enforcementcount 0 &gt;&gt;C:\Users\stu\Documents\GitHub\eaglep3-reporting\EC\2017-02-18-refined-times.txt</v>
      </c>
      <c r="AI11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{"issue":{"subject":"","project_id":79,"tracker_id":40,"status_id":1,"priority_id":2,"assigned_to_id":23,"start_date":"2017-02-18","description":"","custom_fields":[{"id":1,"name":"Subdivision","value":"EC"},{"id":4,"name":"Milepost","value":"23.3312"},{"id":17,"name":"Train ID","value":"197-18"},{"id":16,"name":"Locomotive ID","value":"4053"},{"id":130,"name":"Impact","value":""},{"id":150,"name":"Time of Event (Mountain Time)","value":"16:21:05"},{"id":151,"name":"Denver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69"/>
        <v>start /low /b %USERPROFILE%\Documents\GitHub\eaglep3\Utilities\DownloadLogsFromS3.py --loco 4053 --day 2017-02-18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"%USERPROFILE%\AppData\Local\Temp\OnboardLogs"\RTDC4053\*4053*20170218* | grep -SE "(Enforcement Action)|(\[TIMEOUT)|(CHR.+\|PRM\|1\|D.+(SWITCH|SIGNAL).+UNKNOWN)" - &gt;&gt; 2017-02-18-UncaughtWiMAX.txt</v>
      </c>
    </row>
    <row r="111" spans="1:91" s="20" customFormat="1" x14ac:dyDescent="0.25">
      <c r="A111" s="33" t="s">
        <v>624</v>
      </c>
      <c r="B111" s="7">
        <v>4054</v>
      </c>
      <c r="C111" s="21" t="s">
        <v>680</v>
      </c>
      <c r="D111" s="21" t="s">
        <v>298</v>
      </c>
      <c r="E111" s="13">
        <v>42784.685289351852</v>
      </c>
      <c r="F111" s="13">
        <v>42784.695347222223</v>
      </c>
      <c r="G111" s="7">
        <v>1</v>
      </c>
      <c r="H111" s="21" t="s">
        <v>196</v>
      </c>
      <c r="I111" s="13">
        <v>42784.721724537034</v>
      </c>
      <c r="J111" s="7">
        <v>0</v>
      </c>
      <c r="K111" s="98" t="str">
        <f t="shared" si="71"/>
        <v>4053/4054</v>
      </c>
      <c r="L111" s="21" t="str">
        <f>VLOOKUP(A111,'Trips&amp;Operators'!$C$1:$G$99999,5,FALSE)</f>
        <v>DELGADO DIANAH</v>
      </c>
      <c r="M111" s="6">
        <f t="shared" si="72"/>
        <v>2.6377314810815733E-2</v>
      </c>
      <c r="N111" s="7">
        <f t="shared" si="81"/>
        <v>37.983333327574655</v>
      </c>
      <c r="O111" s="7"/>
      <c r="P111" s="7"/>
      <c r="Q111" s="22"/>
      <c r="R111" s="22"/>
      <c r="S111" s="31">
        <f t="shared" si="70"/>
        <v>1</v>
      </c>
      <c r="T111" s="46" t="str">
        <f t="shared" si="73"/>
        <v>Southbound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64"/>
        <v>https://d0f6bd738d7f1b3e5a7ca70fe4ff75f0.us-east-1.aws.found.io/app/kibana#/discover/Steve-Slow-Train-Analysis-(2080s-and-2083s)?_g=(refreshInterval:(display:Off,pause:!f,section:0,value:0),time:(from:'2017-02-18T15:26:49-0700',mode:absolute,to:'2017-02-18T18:19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1" s="188" t="str">
        <f t="shared" si="74"/>
        <v>N</v>
      </c>
      <c r="X111" s="188">
        <f t="shared" si="80"/>
        <v>1</v>
      </c>
      <c r="Y111" s="62">
        <f t="shared" si="75"/>
        <v>23.299199999999999</v>
      </c>
      <c r="Z111" s="62">
        <f t="shared" si="76"/>
        <v>1.4500000000000001E-2</v>
      </c>
      <c r="AA111" s="62">
        <f t="shared" si="77"/>
        <v>23.284699999999997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78"/>
        <v>0198-18</v>
      </c>
      <c r="AE111" s="85" t="str">
        <f t="shared" si="65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111" s="82" t="str">
        <f t="shared" si="66"/>
        <v>"C:\Program Files (x86)\AstroGrep\AstroGrep.exe" /spath="%USERPROFILE%\AppData\Local\Temp\OnboardLogs" /stypes="app*4054*20170219*" /stext=" 00:.+((SYSTEM_STATE.+slice.+state.+changed )|(ment ac)|(multiple cpu faults)|(system.+state.+changed )|(\[timeout)|(PRM\|1\|D)|(kpr)|(kdp)|(\|lc)|(penalty))" /e /r /s</v>
      </c>
      <c r="AG111" s="1" t="str">
        <f t="shared" si="79"/>
        <v>EC</v>
      </c>
      <c r="AH111" s="86" t="str">
        <f t="shared" si="67"/>
        <v>"%USERPROFILE%\Documents\GitHub\eaglep3\Utilities\RefineRTDCRunTimes.py" --tripid 198-18 --locoid 4054 --swversion DE.1.0.9.0 --startMP 204:232992 --initTime 2017-02-18T16:26:49 --startdatetime 2017-02-18T16:41:18 --delay 1 --endMP 204:145 --enddatetime 2017-02-18T17:19:17 --enforcementcount 0 &gt;&gt;C:\Users\stu\Documents\GitHub\eaglep3-reporting\EC\2017-02-18-refined-times.txt</v>
      </c>
      <c r="AI11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ID","value":"198-18"},{"id":16,"name":"Locomotive ID","value":"4054"},{"id":130,"name":"Impact","value":""},{"id":150,"name":"Time of Event (Mountain Time)","value":"17:19:17"},{"id":151,"name":"Denver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69"/>
        <v>start /low /b %USERPROFILE%\Documents\GitHub\eaglep3\Utilities\DownloadLogsFromS3.py --loco 4054 --day 2017-02-18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"%USERPROFILE%\AppData\Local\Temp\OnboardLogs"\RTDC4054\*4054*20170219* | grep -SE "(Enforcement Action)|(\[TIMEOUT)|(CHR.+\|PRM\|1\|D.+(SWITCH|SIGNAL).+UNKNOWN)" - &gt;&gt; 2017-02-18-UncaughtWiMAX.txt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619</v>
      </c>
      <c r="B112" s="7">
        <v>4022</v>
      </c>
      <c r="C112" s="21" t="s">
        <v>680</v>
      </c>
      <c r="D112" s="21" t="s">
        <v>412</v>
      </c>
      <c r="E112" s="13">
        <v>42784.664560185185</v>
      </c>
      <c r="F112" s="13">
        <v>42784.666828703703</v>
      </c>
      <c r="G112" s="7">
        <v>2</v>
      </c>
      <c r="H112" s="21" t="s">
        <v>296</v>
      </c>
      <c r="I112" s="13">
        <v>42784.691666666666</v>
      </c>
      <c r="J112" s="7">
        <v>0</v>
      </c>
      <c r="K112" s="98" t="str">
        <f t="shared" si="71"/>
        <v>4021/4022</v>
      </c>
      <c r="L112" s="21" t="str">
        <f>VLOOKUP(A112,'Trips&amp;Operators'!$C$1:$G$99999,5,FALSE)</f>
        <v>BRANNON JEFFREY</v>
      </c>
      <c r="M112" s="6">
        <f t="shared" si="72"/>
        <v>2.4837962962919846E-2</v>
      </c>
      <c r="N112" s="7">
        <f t="shared" si="81"/>
        <v>35.766666666604578</v>
      </c>
      <c r="O112" s="7"/>
      <c r="P112" s="7"/>
      <c r="Q112" s="22"/>
      <c r="R112" s="22"/>
      <c r="S112" s="31">
        <f t="shared" si="70"/>
        <v>1</v>
      </c>
      <c r="T112" s="46" t="str">
        <f t="shared" si="73"/>
        <v>NorthBound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64"/>
        <v>https://d0f6bd738d7f1b3e5a7ca70fe4ff75f0.us-east-1.aws.found.io/app/kibana#/discover/Steve-Slow-Train-Analysis-(2080s-and-2083s)?_g=(refreshInterval:(display:Off,pause:!f,section:0,value:0),time:(from:'2017-02-18T14:56:58-0700',mode:absolute,to:'2017-02-18T17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2" s="188" t="str">
        <f t="shared" si="74"/>
        <v>N</v>
      </c>
      <c r="X112" s="188">
        <f t="shared" si="80"/>
        <v>1</v>
      </c>
      <c r="Y112" s="62">
        <f t="shared" si="75"/>
        <v>4.4699999999999997E-2</v>
      </c>
      <c r="Z112" s="62">
        <f t="shared" si="76"/>
        <v>23.331</v>
      </c>
      <c r="AA112" s="62">
        <f t="shared" si="77"/>
        <v>23.286300000000001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78"/>
        <v>0199-18</v>
      </c>
      <c r="AE112" s="85" t="str">
        <f t="shared" si="65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12" s="82" t="str">
        <f t="shared" si="66"/>
        <v>"C:\Program Files (x86)\AstroGrep\AstroGrep.exe" /spath="%USERPROFILE%\AppData\Local\Temp\OnboardLogs" /stypes="app*4022*20170218*" /stext=" 23:.+((SYSTEM_STATE.+slice.+state.+changed )|(ment ac)|(multiple cpu faults)|(system.+state.+changed )|(\[timeout)|(PRM\|1\|D)|(kpr)|(kdp)|(\|lc)|(penalty))" /e /r /s</v>
      </c>
      <c r="AG112" s="1" t="str">
        <f t="shared" si="79"/>
        <v>EC</v>
      </c>
      <c r="AH112" s="86" t="str">
        <f t="shared" si="67"/>
        <v>"%USERPROFILE%\Documents\GitHub\eaglep3\Utilities\RefineRTDCRunTimes.py" --tripid 199-18 --locoid 4022 --swversion DE.1.0.9.0 --startMP 204:447 --initTime 2017-02-18T15:56:58 --startdatetime 2017-02-18T16:00:14 --delay 2 --endMP 204:233310 --enddatetime 2017-02-18T16:36:00 --enforcementcount 0 &gt;&gt;C:\Users\stu\Documents\GitHub\eaglep3-reporting\EC\2017-02-18-refined-times.txt</v>
      </c>
      <c r="AI11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{"issue":{"subject":"","project_id":79,"tracker_id":40,"status_id":1,"priority_id":2,"assigned_to_id":23,"start_date":"2017-02-18","description":"","custom_fields":[{"id":1,"name":"Subdivision","value":"EC"},{"id":4,"name":"Milepost","value":"23.331"},{"id":17,"name":"Train ID","value":"199-18"},{"id":16,"name":"Locomotive ID","value":"4022"},{"id":130,"name":"Impact","value":""},{"id":150,"name":"Time of Event (Mountain Time)","value":"16:36:00"},{"id":151,"name":"Denver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69"/>
        <v>start /low /b %USERPROFILE%\Documents\GitHub\eaglep3\Utilities\DownloadLogsFromS3.py --loco 4022 --day 2017-02-18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"%USERPROFILE%\AppData\Local\Temp\OnboardLogs"\RTDC4022\*4022*20170218* | grep -SE "(Enforcement Action)|(\[TIMEOUT)|(CHR.+\|PRM\|1\|D.+(SWITCH|SIGNAL).+UNKNOWN)" - &gt;&gt; 2017-02-18-UncaughtWiMAX.txt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626</v>
      </c>
      <c r="B113" s="7">
        <v>4021</v>
      </c>
      <c r="C113" s="21" t="s">
        <v>680</v>
      </c>
      <c r="D113" s="21" t="s">
        <v>283</v>
      </c>
      <c r="E113" s="13">
        <v>42784.697592592594</v>
      </c>
      <c r="F113" s="13">
        <v>42784.705706018518</v>
      </c>
      <c r="G113" s="7">
        <v>1</v>
      </c>
      <c r="H113" s="21" t="s">
        <v>207</v>
      </c>
      <c r="I113" s="13">
        <v>42784.732581018521</v>
      </c>
      <c r="J113" s="7">
        <v>0</v>
      </c>
      <c r="K113" s="98" t="str">
        <f t="shared" si="71"/>
        <v>4021/4022</v>
      </c>
      <c r="L113" s="21" t="str">
        <f>VLOOKUP(A113,'Trips&amp;Operators'!$C$1:$G$99999,5,FALSE)</f>
        <v>BRANNON JEFFREY</v>
      </c>
      <c r="M113" s="6">
        <f t="shared" si="72"/>
        <v>2.6875000003201421E-2</v>
      </c>
      <c r="N113" s="7">
        <f t="shared" si="81"/>
        <v>38.700000004610047</v>
      </c>
      <c r="O113" s="7"/>
      <c r="P113" s="7"/>
      <c r="Q113" s="22"/>
      <c r="R113" s="22"/>
      <c r="S113" s="31">
        <f t="shared" si="70"/>
        <v>1</v>
      </c>
      <c r="T113" s="46" t="str">
        <f t="shared" si="73"/>
        <v>Southbound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64"/>
        <v>https://d0f6bd738d7f1b3e5a7ca70fe4ff75f0.us-east-1.aws.found.io/app/kibana#/discover/Steve-Slow-Train-Analysis-(2080s-and-2083s)?_g=(refreshInterval:(display:Off,pause:!f,section:0,value:0),time:(from:'2017-02-18T15:44:32-0700',mode:absolute,to:'2017-02-18T18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3" s="188" t="str">
        <f t="shared" si="74"/>
        <v>N</v>
      </c>
      <c r="X113" s="188">
        <f t="shared" si="80"/>
        <v>1</v>
      </c>
      <c r="Y113" s="62">
        <f t="shared" si="75"/>
        <v>23.299600000000002</v>
      </c>
      <c r="Z113" s="62">
        <f t="shared" si="76"/>
        <v>1.52E-2</v>
      </c>
      <c r="AA113" s="62">
        <f t="shared" si="77"/>
        <v>23.284400000000002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78"/>
        <v>0200-18</v>
      </c>
      <c r="AE113" s="85" t="str">
        <f t="shared" si="65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113" s="82" t="str">
        <f t="shared" si="66"/>
        <v>"C:\Program Files (x86)\AstroGrep\AstroGrep.exe" /spath="%USERPROFILE%\AppData\Local\Temp\OnboardLogs" /stypes="app*4021*20170219*" /stext=" 00:.+((SYSTEM_STATE.+slice.+state.+changed )|(ment ac)|(multiple cpu faults)|(system.+state.+changed )|(\[timeout)|(PRM\|1\|D)|(kpr)|(kdp)|(\|lc)|(penalty))" /e /r /s</v>
      </c>
      <c r="AG113" s="1" t="str">
        <f t="shared" si="79"/>
        <v>EC</v>
      </c>
      <c r="AH113" s="86" t="str">
        <f t="shared" si="67"/>
        <v>"%USERPROFILE%\Documents\GitHub\eaglep3\Utilities\RefineRTDCRunTimes.py" --tripid 200-18 --locoid 4021 --swversion DE.1.0.9.0 --startMP 204:232996 --initTime 2017-02-18T16:44:32 --startdatetime 2017-02-18T16:56:13 --delay 1 --endMP 204:152 --enddatetime 2017-02-18T17:34:55 --enforcementcount 0 &gt;&gt;C:\Users\stu\Documents\GitHub\eaglep3-reporting\EC\2017-02-18-refined-times.txt</v>
      </c>
      <c r="AI11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{"issue":{"subject":"","project_id":79,"tracker_id":40,"status_id":1,"priority_id":2,"assigned_to_id":23,"start_date":"2017-02-18","description":"","custom_fields":[{"id":1,"name":"Subdivision","value":"EC"},{"id":4,"name":"Milepost","value":"0.0152"},{"id":17,"name":"Train ID","value":"200-18"},{"id":16,"name":"Locomotive ID","value":"4021"},{"id":130,"name":"Impact","value":""},{"id":150,"name":"Time of Event (Mountain Time)","value":"17:34:55"},{"id":151,"name":"Denver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69"/>
        <v>start /low /b %USERPROFILE%\Documents\GitHub\eaglep3\Utilities\DownloadLogsFromS3.py --loco 4021 --day 2017-02-18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621</v>
      </c>
      <c r="B114" s="7">
        <v>4027</v>
      </c>
      <c r="C114" s="21" t="s">
        <v>680</v>
      </c>
      <c r="D114" s="21" t="s">
        <v>414</v>
      </c>
      <c r="E114" s="13">
        <v>42784.673692129632</v>
      </c>
      <c r="F114" s="13">
        <v>42784.677337962959</v>
      </c>
      <c r="G114" s="7">
        <v>1</v>
      </c>
      <c r="H114" s="21" t="s">
        <v>270</v>
      </c>
      <c r="I114" s="13">
        <v>42784.701851851853</v>
      </c>
      <c r="J114" s="7">
        <v>0</v>
      </c>
      <c r="K114" s="98" t="str">
        <f t="shared" si="71"/>
        <v>4027/4028</v>
      </c>
      <c r="L114" s="21" t="str">
        <f>VLOOKUP(A114,'Trips&amp;Operators'!$C$1:$G$99999,5,FALSE)</f>
        <v>STEWART MICHAEL</v>
      </c>
      <c r="M114" s="6">
        <f t="shared" si="72"/>
        <v>2.4513888893125113E-2</v>
      </c>
      <c r="N114" s="7">
        <f t="shared" si="81"/>
        <v>35.300000006100163</v>
      </c>
      <c r="O114" s="7"/>
      <c r="P114" s="7"/>
      <c r="Q114" s="22"/>
      <c r="R114" s="22"/>
      <c r="S114" s="31">
        <f t="shared" si="70"/>
        <v>1</v>
      </c>
      <c r="T114" s="46" t="str">
        <f t="shared" si="73"/>
        <v>NorthBound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64"/>
        <v>https://d0f6bd738d7f1b3e5a7ca70fe4ff75f0.us-east-1.aws.found.io/app/kibana#/discover/Steve-Slow-Train-Analysis-(2080s-and-2083s)?_g=(refreshInterval:(display:Off,pause:!f,section:0,value:0),time:(from:'2017-02-18T15:10:07-0700',mode:absolute,to:'2017-02-18T17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4" s="188" t="str">
        <f t="shared" si="74"/>
        <v>N</v>
      </c>
      <c r="X114" s="188">
        <f t="shared" si="80"/>
        <v>1</v>
      </c>
      <c r="Y114" s="62">
        <f t="shared" si="75"/>
        <v>4.6600000000000003E-2</v>
      </c>
      <c r="Z114" s="62">
        <f t="shared" si="76"/>
        <v>23.3293</v>
      </c>
      <c r="AA114" s="62">
        <f t="shared" si="77"/>
        <v>23.282699999999998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78"/>
        <v>0201-18</v>
      </c>
      <c r="AE114" s="85" t="str">
        <f t="shared" si="65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114" s="82" t="str">
        <f t="shared" si="66"/>
        <v>"C:\Program Files (x86)\AstroGrep\AstroGrep.exe" /spath="%USERPROFILE%\AppData\Local\Temp\OnboardLogs" /stypes="app*4027*20170218*" /stext=" 23:.+((SYSTEM_STATE.+slice.+state.+changed )|(ment ac)|(multiple cpu faults)|(system.+state.+changed )|(\[timeout)|(PRM\|1\|D)|(kpr)|(kdp)|(\|lc)|(penalty))" /e /r /s</v>
      </c>
      <c r="AG114" s="1" t="str">
        <f t="shared" si="79"/>
        <v>EC</v>
      </c>
      <c r="AH114" s="86" t="str">
        <f t="shared" si="67"/>
        <v>"%USERPROFILE%\Documents\GitHub\eaglep3\Utilities\RefineRTDCRunTimes.py" --tripid 201-18 --locoid 4027 --swversion DE.1.0.9.0 --startMP 204:466 --initTime 2017-02-18T16:10:07 --startdatetime 2017-02-18T16:15:22 --delay 1 --endMP 204:233293 --enddatetime 2017-02-18T16:50:40 --enforcementcount 0 &gt;&gt;C:\Users\stu\Documents\GitHub\eaglep3-reporting\EC\2017-02-18-refined-times.txt</v>
      </c>
      <c r="AI11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{"issue":{"subject":"","project_id":79,"tracker_id":40,"status_id":1,"priority_id":2,"assigned_to_id":23,"start_date":"2017-02-18","description":"","custom_fields":[{"id":1,"name":"Subdivision","value":"EC"},{"id":4,"name":"Milepost","value":"23.3293"},{"id":17,"name":"Train ID","value":"201-18"},{"id":16,"name":"Locomotive ID","value":"4027"},{"id":130,"name":"Impact","value":""},{"id":150,"name":"Time of Event (Mountain Time)","value":"16:50:40"},{"id":151,"name":"Denver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69"/>
        <v>start /low /b %USERPROFILE%\Documents\GitHub\eaglep3\Utilities\DownloadLogsFromS3.py --loco 4027 --day 2017-02-18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2017-02-18-UncaughtWiMAX.txt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463</v>
      </c>
      <c r="B115" s="7">
        <v>4028</v>
      </c>
      <c r="C115" s="21" t="s">
        <v>680</v>
      </c>
      <c r="D115" s="21" t="s">
        <v>315</v>
      </c>
      <c r="E115" s="13">
        <v>42784.714189814818</v>
      </c>
      <c r="F115" s="13">
        <v>42784.716157407405</v>
      </c>
      <c r="G115" s="7">
        <v>1</v>
      </c>
      <c r="H115" s="21" t="s">
        <v>767</v>
      </c>
      <c r="I115" s="13">
        <v>42784.744571759256</v>
      </c>
      <c r="J115" s="7">
        <v>0</v>
      </c>
      <c r="K115" s="98" t="str">
        <f t="shared" si="71"/>
        <v>4027/4028</v>
      </c>
      <c r="L115" s="21" t="str">
        <f>VLOOKUP(A115,'Trips&amp;Operators'!$C$1:$G$99999,5,FALSE)</f>
        <v>STEWART MICHAEL</v>
      </c>
      <c r="M115" s="6">
        <f t="shared" si="72"/>
        <v>2.8414351851097308E-2</v>
      </c>
      <c r="N115" s="7">
        <f t="shared" si="81"/>
        <v>40.916666665580124</v>
      </c>
      <c r="O115" s="7"/>
      <c r="P115" s="7"/>
      <c r="Q115" s="22"/>
      <c r="R115" s="22"/>
      <c r="S115" s="31">
        <f t="shared" ref="S115:S129" si="82">SUM(U115:U115)/IF(AG115="EC",12,1)</f>
        <v>1</v>
      </c>
      <c r="T115" s="46" t="str">
        <f t="shared" si="73"/>
        <v>Southbound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64"/>
        <v>https://d0f6bd738d7f1b3e5a7ca70fe4ff75f0.us-east-1.aws.found.io/app/kibana#/discover/Steve-Slow-Train-Analysis-(2080s-and-2083s)?_g=(refreshInterval:(display:Off,pause:!f,section:0,value:0),time:(from:'2017-02-18T16:08:26-0700',mode:absolute,to:'2017-02-18T18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188" t="str">
        <f t="shared" si="74"/>
        <v>N</v>
      </c>
      <c r="X115" s="188">
        <f t="shared" si="80"/>
        <v>1</v>
      </c>
      <c r="Y115" s="62">
        <f t="shared" si="75"/>
        <v>23.2971</v>
      </c>
      <c r="Z115" s="62">
        <f t="shared" si="76"/>
        <v>1.6899999999999998E-2</v>
      </c>
      <c r="AA115" s="62">
        <f t="shared" si="77"/>
        <v>23.280200000000001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78"/>
        <v>0202-18</v>
      </c>
      <c r="AE115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15" s="82" t="str">
        <f t="shared" si="66"/>
        <v>"C:\Program Files (x86)\AstroGrep\AstroGrep.exe" /spath="%USERPROFILE%\AppData\Local\Temp\OnboardLogs" /stypes="app*4028*20170219*" /stext=" 00:.+((SYSTEM_STATE.+slice.+state.+changed )|(ment ac)|(multiple cpu faults)|(system.+state.+changed )|(\[timeout)|(PRM\|1\|D)|(kpr)|(kdp)|(\|lc)|(penalty))" /e /r /s</v>
      </c>
      <c r="AG115" s="1" t="str">
        <f t="shared" si="79"/>
        <v>EC</v>
      </c>
      <c r="AH115" s="86" t="str">
        <f t="shared" si="67"/>
        <v>"%USERPROFILE%\Documents\GitHub\eaglep3\Utilities\RefineRTDCRunTimes.py" --tripid 202-18 --locoid 4028 --swversion DE.1.0.9.0 --startMP 204:232971 --initTime 2017-02-18T17:08:26 --startdatetime 2017-02-18T17:11:16 --delay 1 --endMP 204:169 --enddatetime 2017-02-18T17:52:11 --enforcementcount 0 &gt;&gt;C:\Users\stu\Documents\GitHub\eaglep3-reporting\EC\2017-02-18-refined-times.txt</v>
      </c>
      <c r="AI11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{"issue":{"subject":"","project_id":79,"tracker_id":40,"status_id":1,"priority_id":2,"assigned_to_id":23,"start_date":"2017-02-18","description":"","custom_fields":[{"id":1,"name":"Subdivision","value":"EC"},{"id":4,"name":"Milepost","value":"0.0169"},{"id":17,"name":"Train ID","value":"202-18"},{"id":16,"name":"Locomotive ID","value":"4028"},{"id":130,"name":"Impact","value":""},{"id":150,"name":"Time of Event (Mountain Time)","value":"17:52:11"},{"id":151,"name":"Denver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69"/>
        <v>start /low /b %USERPROFILE%\Documents\GitHub\eaglep3\Utilities\DownloadLogsFromS3.py --loco 4028 --day 2017-02-18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"%USERPROFILE%\AppData\Local\Temp\OnboardLogs"\RTDC4028\*4028*20170219* | grep -SE "(Enforcement Action)|(\[TIMEOUT)|(CHR.+\|PRM\|1\|D.+(SWITCH|SIGNAL).+UNKNOWN)" - &gt;&gt; 2017-02-18-UncaughtWiMAX.txt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623</v>
      </c>
      <c r="B116" s="7">
        <v>4029</v>
      </c>
      <c r="C116" s="21" t="s">
        <v>680</v>
      </c>
      <c r="D116" s="21" t="s">
        <v>262</v>
      </c>
      <c r="E116" s="13">
        <v>42784.683252314811</v>
      </c>
      <c r="F116" s="13">
        <v>42784.687858796293</v>
      </c>
      <c r="G116" s="7">
        <v>1</v>
      </c>
      <c r="H116" s="21" t="s">
        <v>711</v>
      </c>
      <c r="I116" s="13">
        <v>42784.714571759258</v>
      </c>
      <c r="J116" s="7">
        <v>0</v>
      </c>
      <c r="K116" s="98" t="str">
        <f t="shared" si="71"/>
        <v>4029/4030</v>
      </c>
      <c r="L116" s="21" t="str">
        <f>VLOOKUP(A116,'Trips&amp;Operators'!$C$1:$G$99999,5,FALSE)</f>
        <v>DAVIS MICHAEL</v>
      </c>
      <c r="M116" s="6">
        <f t="shared" si="72"/>
        <v>2.6712962964666076E-2</v>
      </c>
      <c r="N116" s="7">
        <f t="shared" si="81"/>
        <v>38.466666669119149</v>
      </c>
      <c r="O116" s="7"/>
      <c r="P116" s="7"/>
      <c r="Q116" s="22"/>
      <c r="R116" s="22"/>
      <c r="S116" s="31">
        <f t="shared" si="82"/>
        <v>1</v>
      </c>
      <c r="T116" s="46" t="str">
        <f t="shared" si="73"/>
        <v>NorthBound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64"/>
        <v>https://d0f6bd738d7f1b3e5a7ca70fe4ff75f0.us-east-1.aws.found.io/app/kibana#/discover/Steve-Slow-Train-Analysis-(2080s-and-2083s)?_g=(refreshInterval:(display:Off,pause:!f,section:0,value:0),time:(from:'2017-02-18T15:23:53-0700',mode:absolute,to:'2017-02-18T18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6" s="188" t="str">
        <f t="shared" si="74"/>
        <v>N</v>
      </c>
      <c r="X116" s="188">
        <f t="shared" si="80"/>
        <v>1</v>
      </c>
      <c r="Y116" s="62">
        <f t="shared" si="75"/>
        <v>4.5499999999999999E-2</v>
      </c>
      <c r="Z116" s="62">
        <f t="shared" si="76"/>
        <v>23.328299999999999</v>
      </c>
      <c r="AA116" s="62">
        <f t="shared" si="77"/>
        <v>23.282799999999998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78"/>
        <v>0203-18</v>
      </c>
      <c r="AE116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16" s="82" t="str">
        <f t="shared" si="66"/>
        <v>"C:\Program Files (x86)\AstroGrep\AstroGrep.exe" /spath="%USERPROFILE%\AppData\Local\Temp\OnboardLogs" /stypes="app*4029*20170219*" /stext=" 00:.+((SYSTEM_STATE.+slice.+state.+changed )|(ment ac)|(multiple cpu faults)|(system.+state.+changed )|(\[timeout)|(PRM\|1\|D)|(kpr)|(kdp)|(\|lc)|(penalty))" /e /r /s</v>
      </c>
      <c r="AG116" s="1" t="str">
        <f t="shared" si="79"/>
        <v>EC</v>
      </c>
      <c r="AH116" s="86" t="str">
        <f t="shared" si="67"/>
        <v>"%USERPROFILE%\Documents\GitHub\eaglep3\Utilities\RefineRTDCRunTimes.py" --tripid 203-18 --locoid 4029 --swversion DE.1.0.9.0 --startMP 204:455 --initTime 2017-02-18T16:23:53 --startdatetime 2017-02-18T16:30:31 --delay 1 --endMP 204:233283 --enddatetime 2017-02-18T17:08:59 --enforcementcount 0 &gt;&gt;C:\Users\stu\Documents\GitHub\eaglep3-reporting\EC\2017-02-18-refined-times.txt</v>
      </c>
      <c r="AI11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{"issue":{"subject":"","project_id":79,"tracker_id":40,"status_id":1,"priority_id":2,"assigned_to_id":23,"start_date":"2017-02-18","description":"","custom_fields":[{"id":1,"name":"Subdivision","value":"EC"},{"id":4,"name":"Milepost","value":"23.3283"},{"id":17,"name":"Train ID","value":"203-18"},{"id":16,"name":"Locomotive ID","value":"4029"},{"id":130,"name":"Impact","value":""},{"id":150,"name":"Time of Event (Mountain Time)","value":"17:08:59"},{"id":151,"name":"Denver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69"/>
        <v>start /low /b %USERPROFILE%\Documents\GitHub\eaglep3\Utilities\DownloadLogsFromS3.py --loco 4029 --day 2017-02-18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2017-02-18-UncaughtWiMAX.txt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632</v>
      </c>
      <c r="B117" s="7">
        <v>4030</v>
      </c>
      <c r="C117" s="21" t="s">
        <v>680</v>
      </c>
      <c r="D117" s="21" t="s">
        <v>719</v>
      </c>
      <c r="E117" s="13">
        <v>42784.72420138889</v>
      </c>
      <c r="F117" s="13">
        <v>42784.726851851854</v>
      </c>
      <c r="G117" s="7">
        <v>1</v>
      </c>
      <c r="H117" s="21" t="s">
        <v>194</v>
      </c>
      <c r="I117" s="13">
        <v>42784.755185185182</v>
      </c>
      <c r="J117" s="7">
        <v>0</v>
      </c>
      <c r="K117" s="98" t="str">
        <f t="shared" si="71"/>
        <v>4029/4030</v>
      </c>
      <c r="L117" s="21" t="str">
        <f>VLOOKUP(A117,'Trips&amp;Operators'!$C$1:$G$99999,5,FALSE)</f>
        <v>DAVIS MICHAEL</v>
      </c>
      <c r="M117" s="6">
        <f t="shared" si="72"/>
        <v>2.8333333328191657E-2</v>
      </c>
      <c r="N117" s="7">
        <f t="shared" si="81"/>
        <v>40.799999992595986</v>
      </c>
      <c r="O117" s="7"/>
      <c r="P117" s="7"/>
      <c r="Q117" s="22"/>
      <c r="R117" s="22"/>
      <c r="S117" s="31">
        <f t="shared" si="82"/>
        <v>1</v>
      </c>
      <c r="T117" s="46" t="str">
        <f t="shared" si="73"/>
        <v>Southbound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64"/>
        <v>https://d0f6bd738d7f1b3e5a7ca70fe4ff75f0.us-east-1.aws.found.io/app/kibana#/discover/Steve-Slow-Train-Analysis-(2080s-and-2083s)?_g=(refreshInterval:(display:Off,pause:!f,section:0,value:0),time:(from:'2017-02-18T16:22:51-0700',mode:absolute,to:'2017-02-18T19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88" t="str">
        <f t="shared" si="74"/>
        <v>N</v>
      </c>
      <c r="X117" s="188">
        <f t="shared" si="80"/>
        <v>1</v>
      </c>
      <c r="Y117" s="62">
        <f t="shared" si="75"/>
        <v>23.299399999999999</v>
      </c>
      <c r="Z117" s="62">
        <f t="shared" si="76"/>
        <v>1.4999999999999999E-2</v>
      </c>
      <c r="AA117" s="62">
        <f t="shared" si="77"/>
        <v>23.284399999999998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78"/>
        <v>0204-18</v>
      </c>
      <c r="AE117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17" s="82" t="str">
        <f t="shared" si="66"/>
        <v>"C:\Program Files (x86)\AstroGrep\AstroGrep.exe" /spath="%USERPROFILE%\AppData\Local\Temp\OnboardLogs" /stypes="app*4030*20170219*" /stext=" 01:.+((SYSTEM_STATE.+slice.+state.+changed )|(ment ac)|(multiple cpu faults)|(system.+state.+changed )|(\[timeout)|(PRM\|1\|D)|(kpr)|(kdp)|(\|lc)|(penalty))" /e /r /s</v>
      </c>
      <c r="AG117" s="1" t="str">
        <f t="shared" si="79"/>
        <v>EC</v>
      </c>
      <c r="AH117" s="86" t="str">
        <f t="shared" si="67"/>
        <v>"%USERPROFILE%\Documents\GitHub\eaglep3\Utilities\RefineRTDCRunTimes.py" --tripid 204-18 --locoid 4030 --swversion DE.1.0.9.0 --startMP 204:232994 --initTime 2017-02-18T17:22:51 --startdatetime 2017-02-18T17:26:40 --delay 1 --endMP 204:150 --enddatetime 2017-02-18T18:07:28 --enforcementcount 0 &gt;&gt;C:\Users\stu\Documents\GitHub\eaglep3-reporting\EC\2017-02-18-refined-times.txt</v>
      </c>
      <c r="AI11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ID","value":"204-18"},{"id":16,"name":"Locomotive ID","value":"4030"},{"id":130,"name":"Impact","value":""},{"id":150,"name":"Time of Event (Mountain Time)","value":"18:07:28"},{"id":151,"name":"Denver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69"/>
        <v>start /low /b %USERPROFILE%\Documents\GitHub\eaglep3\Utilities\DownloadLogsFromS3.py --loco 4030 --day 2017-02-18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625</v>
      </c>
      <c r="B118" s="7">
        <v>4018</v>
      </c>
      <c r="C118" s="21" t="s">
        <v>680</v>
      </c>
      <c r="D118" s="21" t="s">
        <v>255</v>
      </c>
      <c r="E118" s="13">
        <v>42784.692025462966</v>
      </c>
      <c r="F118" s="13">
        <v>42784.698125000003</v>
      </c>
      <c r="G118" s="7">
        <v>1</v>
      </c>
      <c r="H118" s="21" t="s">
        <v>420</v>
      </c>
      <c r="I118" s="13">
        <v>42784.72246527778</v>
      </c>
      <c r="J118" s="7">
        <v>0</v>
      </c>
      <c r="K118" s="98" t="str">
        <f t="shared" si="71"/>
        <v>4017/4018</v>
      </c>
      <c r="L118" s="21" t="str">
        <f>VLOOKUP(A118,'Trips&amp;Operators'!$C$1:$G$99999,5,FALSE)</f>
        <v>BRUDER RICHARD</v>
      </c>
      <c r="M118" s="6">
        <f t="shared" si="72"/>
        <v>2.4340277777810115E-2</v>
      </c>
      <c r="N118" s="7">
        <f t="shared" si="81"/>
        <v>35.050000000046566</v>
      </c>
      <c r="O118" s="7"/>
      <c r="P118" s="7"/>
      <c r="Q118" s="22"/>
      <c r="R118" s="22"/>
      <c r="S118" s="31">
        <f t="shared" si="82"/>
        <v>1</v>
      </c>
      <c r="T118" s="46" t="str">
        <f t="shared" si="73"/>
        <v>NorthBound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64"/>
        <v>https://d0f6bd738d7f1b3e5a7ca70fe4ff75f0.us-east-1.aws.found.io/app/kibana#/discover/Steve-Slow-Train-Analysis-(2080s-and-2083s)?_g=(refreshInterval:(display:Off,pause:!f,section:0,value:0),time:(from:'2017-02-18T15:36:31-0700',mode:absolute,to:'2017-02-18T18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188" t="str">
        <f t="shared" si="74"/>
        <v>N</v>
      </c>
      <c r="X118" s="188">
        <f t="shared" si="80"/>
        <v>1</v>
      </c>
      <c r="Y118" s="62">
        <f t="shared" si="75"/>
        <v>4.53E-2</v>
      </c>
      <c r="Z118" s="62">
        <f t="shared" si="76"/>
        <v>23.330300000000001</v>
      </c>
      <c r="AA118" s="62">
        <f t="shared" si="77"/>
        <v>23.285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78"/>
        <v>0205-18</v>
      </c>
      <c r="AE118" s="85" t="str">
        <f t="shared" si="65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18" s="82" t="str">
        <f t="shared" si="66"/>
        <v>"C:\Program Files (x86)\AstroGrep\AstroGrep.exe" /spath="%USERPROFILE%\AppData\Local\Temp\OnboardLogs" /stypes="app*4018*20170219*" /stext=" 00:.+((SYSTEM_STATE.+slice.+state.+changed )|(ment ac)|(multiple cpu faults)|(system.+state.+changed )|(\[timeout)|(PRM\|1\|D)|(kpr)|(kdp)|(\|lc)|(penalty))" /e /r /s</v>
      </c>
      <c r="AG118" s="1" t="str">
        <f t="shared" si="79"/>
        <v>EC</v>
      </c>
      <c r="AH118" s="86" t="str">
        <f t="shared" si="67"/>
        <v>"%USERPROFILE%\Documents\GitHub\eaglep3\Utilities\RefineRTDCRunTimes.py" --tripid 205-18 --locoid 4018 --swversion DE.1.0.9.0 --startMP 204:453 --initTime 2017-02-18T16:36:31 --startdatetime 2017-02-18T16:45:18 --delay 1 --endMP 204:233303 --enddatetime 2017-02-18T17:20:21 --enforcementcount 0 &gt;&gt;C:\Users\stu\Documents\GitHub\eaglep3-reporting\EC\2017-02-18-refined-times.txt</v>
      </c>
      <c r="AI11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{"issue":{"subject":"","project_id":79,"tracker_id":40,"status_id":1,"priority_id":2,"assigned_to_id":23,"start_date":"2017-02-18","description":"","custom_fields":[{"id":1,"name":"Subdivision","value":"EC"},{"id":4,"name":"Milepost","value":"23.3303"},{"id":17,"name":"Train ID","value":"205-18"},{"id":16,"name":"Locomotive ID","value":"4018"},{"id":130,"name":"Impact","value":""},{"id":150,"name":"Time of Event (Mountain Time)","value":"17:20:21"},{"id":151,"name":"Denver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69"/>
        <v>start /low /b %USERPROFILE%\Documents\GitHub\eaglep3\Utilities\DownloadLogsFromS3.py --loco 4018 --day 2017-02-18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634</v>
      </c>
      <c r="B119" s="7">
        <v>4017</v>
      </c>
      <c r="C119" s="21" t="s">
        <v>680</v>
      </c>
      <c r="D119" s="21" t="s">
        <v>285</v>
      </c>
      <c r="E119" s="13">
        <v>42784.732256944444</v>
      </c>
      <c r="F119" s="13">
        <v>42784.736967592595</v>
      </c>
      <c r="G119" s="7">
        <v>1</v>
      </c>
      <c r="H119" s="21" t="s">
        <v>295</v>
      </c>
      <c r="I119" s="13">
        <v>42784.763784722221</v>
      </c>
      <c r="J119" s="7">
        <v>0</v>
      </c>
      <c r="K119" s="98" t="str">
        <f t="shared" si="71"/>
        <v>4017/4018</v>
      </c>
      <c r="L119" s="21" t="str">
        <f>VLOOKUP(A119,'Trips&amp;Operators'!$C$1:$G$99999,5,FALSE)</f>
        <v>BRUDER RICHARD</v>
      </c>
      <c r="M119" s="6">
        <f t="shared" si="72"/>
        <v>2.6817129626579117E-2</v>
      </c>
      <c r="N119" s="7">
        <f t="shared" si="81"/>
        <v>38.616666662273929</v>
      </c>
      <c r="O119" s="7"/>
      <c r="P119" s="7"/>
      <c r="Q119" s="22"/>
      <c r="R119" s="22"/>
      <c r="S119" s="31">
        <f t="shared" si="82"/>
        <v>1</v>
      </c>
      <c r="T119" s="46" t="str">
        <f t="shared" si="73"/>
        <v>Southbound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64"/>
        <v>https://d0f6bd738d7f1b3e5a7ca70fe4ff75f0.us-east-1.aws.found.io/app/kibana#/discover/Steve-Slow-Train-Analysis-(2080s-and-2083s)?_g=(refreshInterval:(display:Off,pause:!f,section:0,value:0),time:(from:'2017-02-18T16:34:27-0700',mode:absolute,to:'2017-02-18T19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188" t="str">
        <f t="shared" si="74"/>
        <v>N</v>
      </c>
      <c r="X119" s="188">
        <f t="shared" si="80"/>
        <v>1</v>
      </c>
      <c r="Y119" s="62">
        <f t="shared" si="75"/>
        <v>23.297999999999998</v>
      </c>
      <c r="Z119" s="62">
        <f t="shared" si="76"/>
        <v>1.5599999999999999E-2</v>
      </c>
      <c r="AA119" s="62">
        <f t="shared" si="77"/>
        <v>23.282399999999999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78"/>
        <v>0206-18</v>
      </c>
      <c r="AE119" s="85" t="str">
        <f t="shared" si="65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19" s="82" t="str">
        <f t="shared" si="66"/>
        <v>"C:\Program Files (x86)\AstroGrep\AstroGrep.exe" /spath="%USERPROFILE%\AppData\Local\Temp\OnboardLogs" /stypes="app*4017*20170219*" /stext=" 01:.+((SYSTEM_STATE.+slice.+state.+changed )|(ment ac)|(multiple cpu faults)|(system.+state.+changed )|(\[timeout)|(PRM\|1\|D)|(kpr)|(kdp)|(\|lc)|(penalty))" /e /r /s</v>
      </c>
      <c r="AG119" s="1" t="str">
        <f t="shared" si="79"/>
        <v>EC</v>
      </c>
      <c r="AH119" s="86" t="str">
        <f t="shared" si="67"/>
        <v>"%USERPROFILE%\Documents\GitHub\eaglep3\Utilities\RefineRTDCRunTimes.py" --tripid 206-18 --locoid 4017 --swversion DE.1.0.9.0 --startMP 204:232980 --initTime 2017-02-18T17:34:27 --startdatetime 2017-02-18T17:41:14 --delay 1 --endMP 204:156 --enddatetime 2017-02-18T18:19:51 --enforcementcount 0 &gt;&gt;C:\Users\stu\Documents\GitHub\eaglep3-reporting\EC\2017-02-18-refined-times.txt</v>
      </c>
      <c r="AI11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{"issue":{"subject":"","project_id":79,"tracker_id":40,"status_id":1,"priority_id":2,"assigned_to_id":23,"start_date":"2017-02-18","description":"","custom_fields":[{"id":1,"name":"Subdivision","value":"EC"},{"id":4,"name":"Milepost","value":"0.0156"},{"id":17,"name":"Train ID","value":"206-18"},{"id":16,"name":"Locomotive ID","value":"4017"},{"id":130,"name":"Impact","value":""},{"id":150,"name":"Time of Event (Mountain Time)","value":"18:19:51"},{"id":151,"name":"Denver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69"/>
        <v>start /low /b %USERPROFILE%\Documents\GitHub\eaglep3\Utilities\DownloadLogsFromS3.py --loco 4017 --day 2017-02-18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627</v>
      </c>
      <c r="B120" s="7">
        <v>4007</v>
      </c>
      <c r="C120" s="21" t="s">
        <v>680</v>
      </c>
      <c r="D120" s="21" t="s">
        <v>230</v>
      </c>
      <c r="E120" s="13">
        <v>42784.703252314815</v>
      </c>
      <c r="F120" s="13">
        <v>42784.708564814813</v>
      </c>
      <c r="G120" s="7">
        <v>0</v>
      </c>
      <c r="H120" s="21" t="s">
        <v>306</v>
      </c>
      <c r="I120" s="13">
        <v>42784.733437499999</v>
      </c>
      <c r="J120" s="7">
        <v>0</v>
      </c>
      <c r="K120" s="98" t="str">
        <f t="shared" si="71"/>
        <v>4007/4008</v>
      </c>
      <c r="L120" s="21" t="str">
        <f>VLOOKUP(A120,'Trips&amp;Operators'!$C$1:$G$99999,5,FALSE)</f>
        <v>KILLION DAVID</v>
      </c>
      <c r="M120" s="6">
        <f t="shared" si="72"/>
        <v>2.4872685185982846E-2</v>
      </c>
      <c r="N120" s="7">
        <f t="shared" si="81"/>
        <v>35.816666667815298</v>
      </c>
      <c r="O120" s="7"/>
      <c r="P120" s="7"/>
      <c r="Q120" s="22"/>
      <c r="R120" s="22"/>
      <c r="S120" s="31">
        <f t="shared" si="82"/>
        <v>1</v>
      </c>
      <c r="T120" s="46" t="str">
        <f t="shared" si="73"/>
        <v>NorthBound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64"/>
        <v>https://d0f6bd738d7f1b3e5a7ca70fe4ff75f0.us-east-1.aws.found.io/app/kibana#/discover/Steve-Slow-Train-Analysis-(2080s-and-2083s)?_g=(refreshInterval:(display:Off,pause:!f,section:0,value:0),time:(from:'2017-02-18T15:52:41-0700',mode:absolute,to:'2017-02-18T18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88" t="str">
        <f t="shared" si="74"/>
        <v>N</v>
      </c>
      <c r="X120" s="188">
        <f t="shared" si="80"/>
        <v>1</v>
      </c>
      <c r="Y120" s="62">
        <f t="shared" si="75"/>
        <v>4.5699999999999998E-2</v>
      </c>
      <c r="Z120" s="62">
        <f t="shared" si="76"/>
        <v>23.330200000000001</v>
      </c>
      <c r="AA120" s="62">
        <f t="shared" si="77"/>
        <v>23.284500000000001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78"/>
        <v>0207-18</v>
      </c>
      <c r="AE120" s="85" t="str">
        <f t="shared" si="65"/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AF120" s="82" t="str">
        <f t="shared" si="66"/>
        <v>"C:\Program Files (x86)\AstroGrep\AstroGrep.exe" /spath="%USERPROFILE%\AppData\Local\Temp\OnboardLogs" /stypes="app*4007*20170219*" /stext=" 00:.+((SYSTEM_STATE.+slice.+state.+changed )|(ment ac)|(multiple cpu faults)|(system.+state.+changed )|(\[timeout)|(PRM\|1\|D)|(kpr)|(kdp)|(\|lc)|(penalty))" /e /r /s</v>
      </c>
      <c r="AG120" s="1" t="str">
        <f t="shared" si="79"/>
        <v>EC</v>
      </c>
      <c r="AH120" s="86" t="str">
        <f t="shared" si="67"/>
        <v>"%USERPROFILE%\Documents\GitHub\eaglep3\Utilities\RefineRTDCRunTimes.py" --tripid 207-18 --locoid 4007 --swversion DE.1.0.9.0 --startMP 204:457 --initTime 2017-02-18T16:52:41 --startdatetime 2017-02-18T17:00:20 --delay 0 --endMP 204:233302 --enddatetime 2017-02-18T17:36:09 --enforcementcount 0 &gt;&gt;C:\Users\stu\Documents\GitHub\eaglep3-reporting\EC\2017-02-18-refined-times.txt</v>
      </c>
      <c r="AI12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{"issue":{"subject":"","project_id":79,"tracker_id":40,"status_id":1,"priority_id":2,"assigned_to_id":23,"start_date":"2017-02-18","description":"","custom_fields":[{"id":1,"name":"Subdivision","value":"EC"},{"id":4,"name":"Milepost","value":"23.3302"},{"id":17,"name":"Train ID","value":"207-18"},{"id":16,"name":"Locomotive ID","value":"4007"},{"id":130,"name":"Impact","value":""},{"id":150,"name":"Time of Event (Mountain Time)","value":"17:36:09"},{"id":151,"name":"Denver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69"/>
        <v>start /low /b %USERPROFILE%\Documents\GitHub\eaglep3\Utilities\DownloadLogsFromS3.py --loco 4007 --day 2017-02-18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"%USERPROFILE%\AppData\Local\Temp\OnboardLogs"\RTDC4007\*4007*20170219* | grep -SE "(Enforcement Action)|(\[TIMEOUT)|(CHR.+\|PRM\|1\|D.+(SWITCH|SIGNAL).+UNKNOWN)" - &gt;&gt; 2017-02-18-UncaughtWiMAX.txt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639</v>
      </c>
      <c r="B121" s="7">
        <v>4008</v>
      </c>
      <c r="C121" s="21" t="s">
        <v>680</v>
      </c>
      <c r="D121" s="21" t="s">
        <v>281</v>
      </c>
      <c r="E121" s="13">
        <v>42784.740810185183</v>
      </c>
      <c r="F121" s="13">
        <v>42784.747430555559</v>
      </c>
      <c r="G121" s="7">
        <v>1</v>
      </c>
      <c r="H121" s="21" t="s">
        <v>276</v>
      </c>
      <c r="I121" s="13">
        <v>42784.774259259262</v>
      </c>
      <c r="J121" s="7">
        <v>0</v>
      </c>
      <c r="K121" s="98" t="str">
        <f t="shared" ref="K121:K152" si="83">IF(ISEVEN(B121),(B121-1)&amp;"/"&amp;B121,B121&amp;"/"&amp;(B121+1))</f>
        <v>4007/4008</v>
      </c>
      <c r="L121" s="21" t="str">
        <f>VLOOKUP(A121,'Trips&amp;Operators'!$C$1:$G$99999,5,FALSE)</f>
        <v>KILLION DAVID</v>
      </c>
      <c r="M121" s="6">
        <f t="shared" ref="M121:M152" si="84">I121-F121</f>
        <v>2.6828703703358769E-2</v>
      </c>
      <c r="N121" s="7">
        <f t="shared" si="81"/>
        <v>38.633333332836628</v>
      </c>
      <c r="O121" s="7"/>
      <c r="P121" s="7"/>
      <c r="Q121" s="22"/>
      <c r="R121" s="22"/>
      <c r="S121" s="31">
        <f t="shared" si="82"/>
        <v>1</v>
      </c>
      <c r="T121" s="46" t="str">
        <f t="shared" ref="T121:T152" si="85">IF(ISEVEN(LEFT(AD121,4)),"Southbound","NorthBound")</f>
        <v>Southbound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64"/>
        <v>https://d0f6bd738d7f1b3e5a7ca70fe4ff75f0.us-east-1.aws.found.io/app/kibana#/discover/Steve-Slow-Train-Analysis-(2080s-and-2083s)?_g=(refreshInterval:(display:Off,pause:!f,section:0,value:0),time:(from:'2017-02-18T16:46:46-0700',mode:absolute,to:'2017-02-18T19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1" s="188" t="str">
        <f t="shared" ref="W121:W152" si="86">IF(AA121&lt;IF(AG121="EC",23,5.65),"Y","N")</f>
        <v>N</v>
      </c>
      <c r="X121" s="188">
        <f t="shared" si="80"/>
        <v>1</v>
      </c>
      <c r="Y121" s="62">
        <f t="shared" ref="Y121:Y152" si="87">RIGHT(D121,LEN(D121)-4)/10000</f>
        <v>23.298300000000001</v>
      </c>
      <c r="Z121" s="62">
        <f t="shared" ref="Z121:Z152" si="88">RIGHT(H121,LEN(H121)-4)/10000</f>
        <v>1.61E-2</v>
      </c>
      <c r="AA121" s="62">
        <f t="shared" ref="AA121:AA152" si="89">ABS(Z121-Y121)</f>
        <v>23.2822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ref="AD121:AD152" si="90">IF(LEN(A121)=6,"0"&amp;A121,A121)</f>
        <v>0208-18</v>
      </c>
      <c r="AE121" s="85" t="str">
        <f t="shared" si="65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121" s="82" t="str">
        <f t="shared" si="66"/>
        <v>"C:\Program Files (x86)\AstroGrep\AstroGrep.exe" /spath="%USERPROFILE%\AppData\Local\Temp\OnboardLogs" /stypes="app*4008*20170219*" /stext=" 01:.+((SYSTEM_STATE.+slice.+state.+changed )|(ment ac)|(multiple cpu faults)|(system.+state.+changed )|(\[timeout)|(PRM\|1\|D)|(kpr)|(kdp)|(\|lc)|(penalty))" /e /r /s</v>
      </c>
      <c r="AG121" s="1" t="str">
        <f t="shared" ref="AG121:AG152" si="91">IFERROR(IF(VALUE(LEFT(AD121,2))&lt;=2,"EC",IF(OR(VALUE(LEFT(AD121,2))=8,VALUE(LEFT(AD121,2))=18),"NW","Other")),"Other")</f>
        <v>EC</v>
      </c>
      <c r="AH121" s="86" t="str">
        <f t="shared" si="67"/>
        <v>"%USERPROFILE%\Documents\GitHub\eaglep3\Utilities\RefineRTDCRunTimes.py" --tripid 208-18 --locoid 4008 --swversion DE.1.0.9.0 --startMP 204:232983 --initTime 2017-02-18T17:46:46 --startdatetime 2017-02-18T17:56:18 --delay 1 --endMP 204:161 --enddatetime 2017-02-18T18:34:56 --enforcementcount 0 &gt;&gt;C:\Users\stu\Documents\GitHub\eaglep3-reporting\EC\2017-02-18-refined-times.txt</v>
      </c>
      <c r="AI12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{"issue":{"subject":"","project_id":79,"tracker_id":40,"status_id":1,"priority_id":2,"assigned_to_id":23,"start_date":"2017-02-18","description":"","custom_fields":[{"id":1,"name":"Subdivision","value":"EC"},{"id":4,"name":"Milepost","value":"0.0161"},{"id":17,"name":"Train ID","value":"208-18"},{"id":16,"name":"Locomotive ID","value":"4008"},{"id":130,"name":"Impact","value":""},{"id":150,"name":"Time of Event (Mountain Time)","value":"18:34:56"},{"id":151,"name":"Denver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69"/>
        <v>start /low /b %USERPROFILE%\Documents\GitHub\eaglep3\Utilities\DownloadLogsFromS3.py --loco 4008 --day 2017-02-18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"%USERPROFILE%\AppData\Local\Temp\OnboardLogs"\RTDC4008\*4008*20170219* | grep -SE "(Enforcement Action)|(\[TIMEOUT)|(CHR.+\|PRM\|1\|D.+(SWITCH|SIGNAL).+UNKNOWN)" - &gt;&gt; 2017-02-18-UncaughtWiMAX.txt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631</v>
      </c>
      <c r="B122" s="7">
        <v>4011</v>
      </c>
      <c r="C122" s="21" t="s">
        <v>680</v>
      </c>
      <c r="D122" s="21" t="s">
        <v>352</v>
      </c>
      <c r="E122" s="13">
        <v>42784.717187499999</v>
      </c>
      <c r="F122" s="13">
        <v>42784.718946759262</v>
      </c>
      <c r="G122" s="7">
        <v>1</v>
      </c>
      <c r="H122" s="21" t="s">
        <v>775</v>
      </c>
      <c r="I122" s="13">
        <v>42784.74355324074</v>
      </c>
      <c r="J122" s="7">
        <v>0</v>
      </c>
      <c r="K122" s="98" t="str">
        <f t="shared" si="83"/>
        <v>4011/4012</v>
      </c>
      <c r="L122" s="21" t="str">
        <f>VLOOKUP(A122,'Trips&amp;Operators'!$C$1:$G$99999,5,FALSE)</f>
        <v>LEVIN SCOTT</v>
      </c>
      <c r="M122" s="6">
        <f t="shared" si="84"/>
        <v>2.4606481478258502E-2</v>
      </c>
      <c r="N122" s="7">
        <f t="shared" si="81"/>
        <v>35.433333328692243</v>
      </c>
      <c r="O122" s="7"/>
      <c r="P122" s="7"/>
      <c r="Q122" s="22"/>
      <c r="R122" s="22"/>
      <c r="S122" s="31">
        <f t="shared" si="82"/>
        <v>1</v>
      </c>
      <c r="T122" s="46" t="str">
        <f t="shared" si="85"/>
        <v>NorthBound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64"/>
        <v>https://d0f6bd738d7f1b3e5a7ca70fe4ff75f0.us-east-1.aws.found.io/app/kibana#/discover/Steve-Slow-Train-Analysis-(2080s-and-2083s)?_g=(refreshInterval:(display:Off,pause:!f,section:0,value:0),time:(from:'2017-02-18T16:12:45-0700',mode:absolute,to:'2017-02-18T18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188" t="str">
        <f t="shared" si="86"/>
        <v>N</v>
      </c>
      <c r="X122" s="188">
        <f t="shared" si="80"/>
        <v>1</v>
      </c>
      <c r="Y122" s="62">
        <f t="shared" si="87"/>
        <v>4.2900000000000001E-2</v>
      </c>
      <c r="Z122" s="62">
        <f t="shared" si="88"/>
        <v>23.335699999999999</v>
      </c>
      <c r="AA122" s="62">
        <f t="shared" si="89"/>
        <v>23.2928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90"/>
        <v>0209-18</v>
      </c>
      <c r="AE122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22" s="82" t="str">
        <f t="shared" si="66"/>
        <v>"C:\Program Files (x86)\AstroGrep\AstroGrep.exe" /spath="%USERPROFILE%\AppData\Local\Temp\OnboardLogs" /stypes="app*4011*20170219*" /stext=" 00:.+((SYSTEM_STATE.+slice.+state.+changed )|(ment ac)|(multiple cpu faults)|(system.+state.+changed )|(\[timeout)|(PRM\|1\|D)|(kpr)|(kdp)|(\|lc)|(penalty))" /e /r /s</v>
      </c>
      <c r="AG122" s="1" t="str">
        <f t="shared" si="91"/>
        <v>EC</v>
      </c>
      <c r="AH122" s="86" t="str">
        <f t="shared" si="67"/>
        <v>"%USERPROFILE%\Documents\GitHub\eaglep3\Utilities\RefineRTDCRunTimes.py" --tripid 209-18 --locoid 4011 --swversion DE.1.0.9.0 --startMP 204:429 --initTime 2017-02-18T17:12:45 --startdatetime 2017-02-18T17:15:17 --delay 1 --endMP 204:233357 --enddatetime 2017-02-18T17:50:43 --enforcementcount 0 &gt;&gt;C:\Users\stu\Documents\GitHub\eaglep3-reporting\EC\2017-02-18-refined-times.txt</v>
      </c>
      <c r="AI12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{"issue":{"subject":"","project_id":79,"tracker_id":40,"status_id":1,"priority_id":2,"assigned_to_id":23,"start_date":"2017-02-18","description":"","custom_fields":[{"id":1,"name":"Subdivision","value":"EC"},{"id":4,"name":"Milepost","value":"23.3357"},{"id":17,"name":"Train ID","value":"209-18"},{"id":16,"name":"Locomotive ID","value":"4011"},{"id":130,"name":"Impact","value":""},{"id":150,"name":"Time of Event (Mountain Time)","value":"17:50:43"},{"id":151,"name":"Denver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69"/>
        <v>start /low /b %USERPROFILE%\Documents\GitHub\eaglep3\Utilities\DownloadLogsFromS3.py --loco 4011 --day 2017-02-18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466</v>
      </c>
      <c r="B123" s="7">
        <v>4012</v>
      </c>
      <c r="C123" s="21" t="s">
        <v>680</v>
      </c>
      <c r="D123" s="21" t="s">
        <v>773</v>
      </c>
      <c r="E123" s="13">
        <v>42784.750740740739</v>
      </c>
      <c r="F123" s="13">
        <v>42784.757847222223</v>
      </c>
      <c r="G123" s="7">
        <v>1</v>
      </c>
      <c r="H123" s="21" t="s">
        <v>776</v>
      </c>
      <c r="I123" s="13">
        <v>42784.784525462965</v>
      </c>
      <c r="J123" s="7">
        <v>0</v>
      </c>
      <c r="K123" s="98" t="str">
        <f t="shared" si="83"/>
        <v>4011/4012</v>
      </c>
      <c r="L123" s="21" t="str">
        <f>VLOOKUP(A123,'Trips&amp;Operators'!$C$1:$G$99999,5,FALSE)</f>
        <v>LEVIN SCOTT</v>
      </c>
      <c r="M123" s="6">
        <f t="shared" si="84"/>
        <v>2.6678240741603076E-2</v>
      </c>
      <c r="N123" s="7">
        <f t="shared" si="81"/>
        <v>38.41666666790843</v>
      </c>
      <c r="O123" s="7"/>
      <c r="P123" s="7"/>
      <c r="Q123" s="22"/>
      <c r="R123" s="22"/>
      <c r="S123" s="31">
        <f t="shared" si="82"/>
        <v>1</v>
      </c>
      <c r="T123" s="46" t="str">
        <f t="shared" si="85"/>
        <v>Southbound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64"/>
        <v>https://d0f6bd738d7f1b3e5a7ca70fe4ff75f0.us-east-1.aws.found.io/app/kibana#/discover/Steve-Slow-Train-Analysis-(2080s-and-2083s)?_g=(refreshInterval:(display:Off,pause:!f,section:0,value:0),time:(from:'2017-02-18T17:01:04-0700',mode:absolute,to:'2017-02-18T19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188" t="str">
        <f t="shared" si="86"/>
        <v>N</v>
      </c>
      <c r="X123" s="188">
        <f t="shared" si="80"/>
        <v>1</v>
      </c>
      <c r="Y123" s="62">
        <f t="shared" si="87"/>
        <v>23.303999999999998</v>
      </c>
      <c r="Z123" s="62">
        <f t="shared" si="88"/>
        <v>1.32E-2</v>
      </c>
      <c r="AA123" s="62">
        <f t="shared" si="89"/>
        <v>23.290799999999997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 t="shared" si="90"/>
        <v>0210-18</v>
      </c>
      <c r="AE123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23" s="82" t="str">
        <f t="shared" si="66"/>
        <v>"C:\Program Files (x86)\AstroGrep\AstroGrep.exe" /spath="%USERPROFILE%\AppData\Local\Temp\OnboardLogs" /stypes="app*4012*20170219*" /stext=" 01:.+((SYSTEM_STATE.+slice.+state.+changed )|(ment ac)|(multiple cpu faults)|(system.+state.+changed )|(\[timeout)|(PRM\|1\|D)|(kpr)|(kdp)|(\|lc)|(penalty))" /e /r /s</v>
      </c>
      <c r="AG123" s="1" t="str">
        <f t="shared" si="91"/>
        <v>EC</v>
      </c>
      <c r="AH123" s="86" t="str">
        <f t="shared" si="67"/>
        <v>"%USERPROFILE%\Documents\GitHub\eaglep3\Utilities\RefineRTDCRunTimes.py" --tripid 210-18 --locoid 4012 --swversion DE.1.0.9.0 --startMP 204:233040 --initTime 2017-02-18T18:01:04 --startdatetime 2017-02-18T18:11:18 --delay 1 --endMP 204:132 --enddatetime 2017-02-18T18:49:43 --enforcementcount 0 &gt;&gt;C:\Users\stu\Documents\GitHub\eaglep3-reporting\EC\2017-02-18-refined-times.txt</v>
      </c>
      <c r="AI12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{"issue":{"subject":"","project_id":79,"tracker_id":40,"status_id":1,"priority_id":2,"assigned_to_id":23,"start_date":"2017-02-18","description":"","custom_fields":[{"id":1,"name":"Subdivision","value":"EC"},{"id":4,"name":"Milepost","value":"0.0132"},{"id":17,"name":"Train ID","value":"210-18"},{"id":16,"name":"Locomotive ID","value":"4012"},{"id":130,"name":"Impact","value":""},{"id":150,"name":"Time of Event (Mountain Time)","value":"18:49:43"},{"id":151,"name":"Denver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69"/>
        <v>start /low /b %USERPROFILE%\Documents\GitHub\eaglep3\Utilities\DownloadLogsFromS3.py --loco 4012 --day 2017-02-18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633</v>
      </c>
      <c r="B124" s="7">
        <v>4053</v>
      </c>
      <c r="C124" s="21" t="s">
        <v>680</v>
      </c>
      <c r="D124" s="21" t="s">
        <v>206</v>
      </c>
      <c r="E124" s="13">
        <v>42784.726099537038</v>
      </c>
      <c r="F124" s="13">
        <v>42784.729375000003</v>
      </c>
      <c r="G124" s="7">
        <v>1</v>
      </c>
      <c r="H124" s="21" t="s">
        <v>705</v>
      </c>
      <c r="I124" s="13">
        <v>42784.753831018519</v>
      </c>
      <c r="J124" s="7">
        <v>0</v>
      </c>
      <c r="K124" s="98" t="str">
        <f t="shared" si="83"/>
        <v>4053/4054</v>
      </c>
      <c r="L124" s="21" t="str">
        <f>VLOOKUP(A124,'Trips&amp;Operators'!$C$1:$G$99999,5,FALSE)</f>
        <v>ROMERO CHAD</v>
      </c>
      <c r="M124" s="6">
        <f t="shared" si="84"/>
        <v>2.4456018516502809E-2</v>
      </c>
      <c r="N124" s="7">
        <f t="shared" si="81"/>
        <v>35.216666663764045</v>
      </c>
      <c r="O124" s="7"/>
      <c r="P124" s="7"/>
      <c r="Q124" s="22"/>
      <c r="R124" s="22"/>
      <c r="S124" s="31">
        <f t="shared" si="82"/>
        <v>1</v>
      </c>
      <c r="T124" s="46" t="str">
        <f t="shared" si="85"/>
        <v>NorthBound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64"/>
        <v>https://d0f6bd738d7f1b3e5a7ca70fe4ff75f0.us-east-1.aws.found.io/app/kibana#/discover/Steve-Slow-Train-Analysis-(2080s-and-2083s)?_g=(refreshInterval:(display:Off,pause:!f,section:0,value:0),time:(from:'2017-02-18T16:25:35-0700',mode:absolute,to:'2017-02-18T19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88" t="str">
        <f t="shared" si="86"/>
        <v>N</v>
      </c>
      <c r="X124" s="188">
        <f t="shared" ref="X124:X158" si="92">VALUE(LEFT(AD124,4))-VALUE(LEFT(AD123,4))</f>
        <v>1</v>
      </c>
      <c r="Y124" s="62">
        <f t="shared" si="87"/>
        <v>4.4900000000000002E-2</v>
      </c>
      <c r="Z124" s="62">
        <f t="shared" si="88"/>
        <v>23.334</v>
      </c>
      <c r="AA124" s="62">
        <f t="shared" si="89"/>
        <v>23.289100000000001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90"/>
        <v>0211-18</v>
      </c>
      <c r="AE124" s="85" t="str">
        <f t="shared" si="65"/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AF124" s="82" t="str">
        <f t="shared" si="66"/>
        <v>"C:\Program Files (x86)\AstroGrep\AstroGrep.exe" /spath="%USERPROFILE%\AppData\Local\Temp\OnboardLogs" /stypes="app*4053*20170219*" /stext=" 01:.+((SYSTEM_STATE.+slice.+state.+changed )|(ment ac)|(multiple cpu faults)|(system.+state.+changed )|(\[timeout)|(PRM\|1\|D)|(kpr)|(kdp)|(\|lc)|(penalty))" /e /r /s</v>
      </c>
      <c r="AG124" s="1" t="str">
        <f t="shared" si="91"/>
        <v>EC</v>
      </c>
      <c r="AH124" s="86" t="str">
        <f t="shared" si="67"/>
        <v>"%USERPROFILE%\Documents\GitHub\eaglep3\Utilities\RefineRTDCRunTimes.py" --tripid 211-18 --locoid 4053 --swversion DE.1.0.9.0 --startMP 204:449 --initTime 2017-02-18T17:25:35 --startdatetime 2017-02-18T17:30:18 --delay 1 --endMP 204:233340 --enddatetime 2017-02-18T18:05:31 --enforcementcount 0 &gt;&gt;C:\Users\stu\Documents\GitHub\eaglep3-reporting\EC\2017-02-18-refined-times.txt</v>
      </c>
      <c r="AI12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{"issue":{"subject":"","project_id":79,"tracker_id":40,"status_id":1,"priority_id":2,"assigned_to_id":23,"start_date":"2017-02-18","description":"","custom_fields":[{"id":1,"name":"Subdivision","value":"EC"},{"id":4,"name":"Milepost","value":"23.334"},{"id":17,"name":"Train ID","value":"211-18"},{"id":16,"name":"Locomotive ID","value":"4053"},{"id":130,"name":"Impact","value":""},{"id":150,"name":"Time of Event (Mountain Time)","value":"18:05:31"},{"id":151,"name":"Denver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69"/>
        <v>start /low /b %USERPROFILE%\Documents\GitHub\eaglep3\Utilities\DownloadLogsFromS3.py --loco 4053 --day 2017-02-18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"%USERPROFILE%\AppData\Local\Temp\OnboardLogs"\RTDC4053\*4053*20170219* | grep -SE "(Enforcement Action)|(\[TIMEOUT)|(CHR.+\|PRM\|1\|D.+(SWITCH|SIGNAL).+UNKNOWN)" - &gt;&gt; 2017-02-18-UncaughtWiMAX.txt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472</v>
      </c>
      <c r="B125" s="7">
        <v>4054</v>
      </c>
      <c r="C125" s="21" t="s">
        <v>680</v>
      </c>
      <c r="D125" s="21" t="s">
        <v>777</v>
      </c>
      <c r="E125" s="13">
        <v>42784.763194444444</v>
      </c>
      <c r="F125" s="13">
        <v>42784.768206018518</v>
      </c>
      <c r="G125" s="7">
        <v>1</v>
      </c>
      <c r="H125" s="21" t="s">
        <v>778</v>
      </c>
      <c r="I125" s="13">
        <v>42784.793865740743</v>
      </c>
      <c r="J125" s="7">
        <v>0</v>
      </c>
      <c r="K125" s="98" t="str">
        <f t="shared" si="83"/>
        <v>4053/4054</v>
      </c>
      <c r="L125" s="21" t="str">
        <f>VLOOKUP(A125,'Trips&amp;Operators'!$C$1:$G$99999,5,FALSE)</f>
        <v>ROMERO CHAD</v>
      </c>
      <c r="M125" s="6">
        <f t="shared" si="84"/>
        <v>2.5659722225100268E-2</v>
      </c>
      <c r="N125" s="7">
        <f t="shared" si="81"/>
        <v>36.950000004144385</v>
      </c>
      <c r="O125" s="7"/>
      <c r="P125" s="7"/>
      <c r="Q125" s="22"/>
      <c r="R125" s="22"/>
      <c r="S125" s="31">
        <f t="shared" si="82"/>
        <v>1</v>
      </c>
      <c r="T125" s="46" t="str">
        <f t="shared" si="85"/>
        <v>Southbound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64"/>
        <v>https://d0f6bd738d7f1b3e5a7ca70fe4ff75f0.us-east-1.aws.found.io/app/kibana#/discover/Steve-Slow-Train-Analysis-(2080s-and-2083s)?_g=(refreshInterval:(display:Off,pause:!f,section:0,value:0),time:(from:'2017-02-18T17:19:00-0700',mode:absolute,to:'2017-02-18T20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5" s="188" t="str">
        <f t="shared" si="86"/>
        <v>N</v>
      </c>
      <c r="X125" s="188">
        <f t="shared" si="92"/>
        <v>1</v>
      </c>
      <c r="Y125" s="62">
        <f t="shared" si="87"/>
        <v>23.303000000000001</v>
      </c>
      <c r="Z125" s="62">
        <f t="shared" si="88"/>
        <v>8.6699999999999999E-2</v>
      </c>
      <c r="AA125" s="62">
        <f t="shared" si="89"/>
        <v>23.2163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90"/>
        <v>0212-18</v>
      </c>
      <c r="AE125" s="85" t="str">
        <f t="shared" si="65"/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AF125" s="82" t="str">
        <f t="shared" si="66"/>
        <v>"C:\Program Files (x86)\AstroGrep\AstroGrep.exe" /spath="%USERPROFILE%\AppData\Local\Temp\OnboardLogs" /stypes="app*4054*20170219*" /stext=" 02:.+((SYSTEM_STATE.+slice.+state.+changed )|(ment ac)|(multiple cpu faults)|(system.+state.+changed )|(\[timeout)|(PRM\|1\|D)|(kpr)|(kdp)|(\|lc)|(penalty))" /e /r /s</v>
      </c>
      <c r="AG125" s="1" t="str">
        <f t="shared" si="91"/>
        <v>EC</v>
      </c>
      <c r="AH125" s="86" t="str">
        <f t="shared" si="67"/>
        <v>"%USERPROFILE%\Documents\GitHub\eaglep3\Utilities\RefineRTDCRunTimes.py" --tripid 212-18 --locoid 4054 --swversion DE.1.0.9.0 --startMP 204:233030 --initTime 2017-02-18T18:19:00 --startdatetime 2017-02-18T18:26:13 --delay 1 --endMP 204:867 --enddatetime 2017-02-18T19:03:10 --enforcementcount 0 &gt;&gt;C:\Users\stu\Documents\GitHub\eaglep3-reporting\EC\2017-02-18-refined-times.txt</v>
      </c>
      <c r="AI12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{"issue":{"subject":"","project_id":79,"tracker_id":40,"status_id":1,"priority_id":2,"assigned_to_id":23,"start_date":"2017-02-18","description":"","custom_fields":[{"id":1,"name":"Subdivision","value":"EC"},{"id":4,"name":"Milepost","value":"0.0867"},{"id":17,"name":"Train ID","value":"212-18"},{"id":16,"name":"Locomotive ID","value":"4054"},{"id":130,"name":"Impact","value":""},{"id":150,"name":"Time of Event (Mountain Time)","value":"19:03:10"},{"id":151,"name":"Denver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69"/>
        <v>start /low /b %USERPROFILE%\Documents\GitHub\eaglep3\Utilities\DownloadLogsFromS3.py --loco 4054 --day 2017-02-18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"%USERPROFILE%\AppData\Local\Temp\OnboardLogs"\RTDC4054\*4054*20170219* | grep -SE "(Enforcement Action)|(\[TIMEOUT)|(CHR.+\|PRM\|1\|D.+(SWITCH|SIGNAL).+UNKNOWN)" - &gt;&gt; 2017-02-18-UncaughtWiMAX.txt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636</v>
      </c>
      <c r="B126" s="7">
        <v>4022</v>
      </c>
      <c r="C126" s="21" t="s">
        <v>680</v>
      </c>
      <c r="D126" s="21" t="s">
        <v>310</v>
      </c>
      <c r="E126" s="13">
        <v>42784.735219907408</v>
      </c>
      <c r="F126" s="13">
        <v>42784.739803240744</v>
      </c>
      <c r="G126" s="7">
        <v>1</v>
      </c>
      <c r="H126" s="21" t="s">
        <v>779</v>
      </c>
      <c r="I126" s="13">
        <v>42784.764675925922</v>
      </c>
      <c r="J126" s="7">
        <v>0</v>
      </c>
      <c r="K126" s="98" t="str">
        <f t="shared" si="83"/>
        <v>4021/4022</v>
      </c>
      <c r="L126" s="21" t="str">
        <f>VLOOKUP(A126,'Trips&amp;Operators'!$C$1:$G$99999,5,FALSE)</f>
        <v>SMITH MICHAEL</v>
      </c>
      <c r="M126" s="6">
        <f t="shared" si="84"/>
        <v>2.4872685178706888E-2</v>
      </c>
      <c r="N126" s="7">
        <f t="shared" si="81"/>
        <v>35.816666657337919</v>
      </c>
      <c r="O126" s="7"/>
      <c r="P126" s="7"/>
      <c r="Q126" s="22"/>
      <c r="R126" s="22"/>
      <c r="S126" s="31">
        <f t="shared" si="82"/>
        <v>1</v>
      </c>
      <c r="T126" s="46" t="str">
        <f t="shared" si="85"/>
        <v>NorthBound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64"/>
        <v>https://d0f6bd738d7f1b3e5a7ca70fe4ff75f0.us-east-1.aws.found.io/app/kibana#/discover/Steve-Slow-Train-Analysis-(2080s-and-2083s)?_g=(refreshInterval:(display:Off,pause:!f,section:0,value:0),time:(from:'2017-02-18T16:38:43-0700',mode:absolute,to:'2017-02-18T19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6" s="188" t="str">
        <f t="shared" si="86"/>
        <v>N</v>
      </c>
      <c r="X126" s="188">
        <f t="shared" si="92"/>
        <v>1</v>
      </c>
      <c r="Y126" s="62">
        <f t="shared" si="87"/>
        <v>4.7800000000000002E-2</v>
      </c>
      <c r="Z126" s="62">
        <f t="shared" si="88"/>
        <v>23.323399999999999</v>
      </c>
      <c r="AA126" s="62">
        <f t="shared" si="89"/>
        <v>23.275600000000001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90"/>
        <v>0213-18</v>
      </c>
      <c r="AE126" s="85" t="str">
        <f t="shared" si="65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26" s="82" t="str">
        <f t="shared" si="66"/>
        <v>"C:\Program Files (x86)\AstroGrep\AstroGrep.exe" /spath="%USERPROFILE%\AppData\Local\Temp\OnboardLogs" /stypes="app*4022*20170219*" /stext=" 01:.+((SYSTEM_STATE.+slice.+state.+changed )|(ment ac)|(multiple cpu faults)|(system.+state.+changed )|(\[timeout)|(PRM\|1\|D)|(kpr)|(kdp)|(\|lc)|(penalty))" /e /r /s</v>
      </c>
      <c r="AG126" s="1" t="str">
        <f t="shared" si="91"/>
        <v>EC</v>
      </c>
      <c r="AH126" s="86" t="str">
        <f t="shared" si="67"/>
        <v>"%USERPROFILE%\Documents\GitHub\eaglep3\Utilities\RefineRTDCRunTimes.py" --tripid 213-18 --locoid 4022 --swversion DE.1.0.9.0 --startMP 204:478 --initTime 2017-02-18T17:38:43 --startdatetime 2017-02-18T17:45:19 --delay 1 --endMP 204:233234 --enddatetime 2017-02-18T18:21:08 --enforcementcount 0 &gt;&gt;C:\Users\stu\Documents\GitHub\eaglep3-reporting\EC\2017-02-18-refined-times.txt</v>
      </c>
      <c r="AI12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{"issue":{"subject":"","project_id":79,"tracker_id":40,"status_id":1,"priority_id":2,"assigned_to_id":23,"start_date":"2017-02-18","description":"","custom_fields":[{"id":1,"name":"Subdivision","value":"EC"},{"id":4,"name":"Milepost","value":"23.3234"},{"id":17,"name":"Train ID","value":"213-18"},{"id":16,"name":"Locomotive ID","value":"4022"},{"id":130,"name":"Impact","value":""},{"id":150,"name":"Time of Event (Mountain Time)","value":"18:21:08"},{"id":151,"name":"Denver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69"/>
        <v>start /low /b %USERPROFILE%\Documents\GitHub\eaglep3\Utilities\DownloadLogsFromS3.py --loco 4022 --day 2017-02-18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644</v>
      </c>
      <c r="B127" s="7">
        <v>4021</v>
      </c>
      <c r="C127" s="21" t="s">
        <v>680</v>
      </c>
      <c r="D127" s="21" t="s">
        <v>285</v>
      </c>
      <c r="E127" s="13">
        <v>42784.772268518522</v>
      </c>
      <c r="F127" s="13">
        <v>42784.778680555559</v>
      </c>
      <c r="G127" s="7">
        <v>1</v>
      </c>
      <c r="H127" s="21" t="s">
        <v>194</v>
      </c>
      <c r="I127" s="13">
        <v>42784.805462962962</v>
      </c>
      <c r="J127" s="7">
        <v>0</v>
      </c>
      <c r="K127" s="98" t="str">
        <f t="shared" si="83"/>
        <v>4021/4022</v>
      </c>
      <c r="L127" s="21" t="str">
        <f>VLOOKUP(A127,'Trips&amp;Operators'!$C$1:$G$99999,5,FALSE)</f>
        <v>SMITH MICHAEL</v>
      </c>
      <c r="M127" s="6">
        <f t="shared" si="84"/>
        <v>2.6782407403516117E-2</v>
      </c>
      <c r="N127" s="7">
        <f t="shared" si="81"/>
        <v>38.566666661063209</v>
      </c>
      <c r="O127" s="7"/>
      <c r="P127" s="7"/>
      <c r="Q127" s="22"/>
      <c r="R127" s="22"/>
      <c r="S127" s="31">
        <f t="shared" si="82"/>
        <v>1</v>
      </c>
      <c r="T127" s="46" t="str">
        <f t="shared" si="85"/>
        <v>Southbound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64"/>
        <v>https://d0f6bd738d7f1b3e5a7ca70fe4ff75f0.us-east-1.aws.found.io/app/kibana#/discover/Steve-Slow-Train-Analysis-(2080s-and-2083s)?_g=(refreshInterval:(display:Off,pause:!f,section:0,value:0),time:(from:'2017-02-18T17:32:04-0700',mode:absolute,to:'2017-02-18T20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7" s="188" t="str">
        <f t="shared" si="86"/>
        <v>N</v>
      </c>
      <c r="X127" s="188">
        <f t="shared" si="92"/>
        <v>1</v>
      </c>
      <c r="Y127" s="62">
        <f t="shared" si="87"/>
        <v>23.297999999999998</v>
      </c>
      <c r="Z127" s="62">
        <f t="shared" si="88"/>
        <v>1.4999999999999999E-2</v>
      </c>
      <c r="AA127" s="62">
        <f t="shared" si="89"/>
        <v>23.282999999999998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90"/>
        <v>0214-18</v>
      </c>
      <c r="AE127" s="85" t="str">
        <f t="shared" si="65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127" s="82" t="str">
        <f t="shared" si="66"/>
        <v>"C:\Program Files (x86)\AstroGrep\AstroGrep.exe" /spath="%USERPROFILE%\AppData\Local\Temp\OnboardLogs" /stypes="app*4021*20170219*" /stext=" 02:.+((SYSTEM_STATE.+slice.+state.+changed )|(ment ac)|(multiple cpu faults)|(system.+state.+changed )|(\[timeout)|(PRM\|1\|D)|(kpr)|(kdp)|(\|lc)|(penalty))" /e /r /s</v>
      </c>
      <c r="AG127" s="1" t="str">
        <f t="shared" si="91"/>
        <v>EC</v>
      </c>
      <c r="AH127" s="86" t="str">
        <f t="shared" si="67"/>
        <v>"%USERPROFILE%\Documents\GitHub\eaglep3\Utilities\RefineRTDCRunTimes.py" --tripid 214-18 --locoid 4021 --swversion DE.1.0.9.0 --startMP 204:232980 --initTime 2017-02-18T18:32:04 --startdatetime 2017-02-18T18:41:18 --delay 1 --endMP 204:150 --enddatetime 2017-02-18T19:19:52 --enforcementcount 0 &gt;&gt;C:\Users\stu\Documents\GitHub\eaglep3-reporting\EC\2017-02-18-refined-times.txt</v>
      </c>
      <c r="AI12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{"issue":{"subject":"","project_id":79,"tracker_id":40,"status_id":1,"priority_id":2,"assigned_to_id":23,"start_date":"2017-02-18","description":"","custom_fields":[{"id":1,"name":"Subdivision","value":"EC"},{"id":4,"name":"Milepost","value":"0.015"},{"id":17,"name":"Train ID","value":"214-18"},{"id":16,"name":"Locomotive ID","value":"4021"},{"id":130,"name":"Impact","value":""},{"id":150,"name":"Time of Event (Mountain Time)","value":"19:19:52"},{"id":151,"name":"Denver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69"/>
        <v>start /low /b %USERPROFILE%\Documents\GitHub\eaglep3\Utilities\DownloadLogsFromS3.py --loco 4021 --day 2017-02-18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640</v>
      </c>
      <c r="B128" s="7">
        <v>4027</v>
      </c>
      <c r="C128" s="21" t="s">
        <v>680</v>
      </c>
      <c r="D128" s="21" t="s">
        <v>694</v>
      </c>
      <c r="E128" s="13">
        <v>42784.746006944442</v>
      </c>
      <c r="F128" s="13">
        <v>42784.750173611108</v>
      </c>
      <c r="G128" s="7">
        <v>2</v>
      </c>
      <c r="H128" s="21" t="s">
        <v>306</v>
      </c>
      <c r="I128" s="13">
        <v>42784.774791666663</v>
      </c>
      <c r="J128" s="7">
        <v>0</v>
      </c>
      <c r="K128" s="98" t="str">
        <f t="shared" si="83"/>
        <v>4027/4028</v>
      </c>
      <c r="L128" s="21" t="str">
        <f>VLOOKUP(A128,'Trips&amp;Operators'!$C$1:$G$99999,5,FALSE)</f>
        <v>BRANNON JEFFREY</v>
      </c>
      <c r="M128" s="6">
        <f t="shared" si="84"/>
        <v>2.4618055555038154E-2</v>
      </c>
      <c r="N128" s="7">
        <f t="shared" si="81"/>
        <v>35.449999999254942</v>
      </c>
      <c r="O128" s="7"/>
      <c r="P128" s="7"/>
      <c r="Q128" s="22"/>
      <c r="R128" s="22"/>
      <c r="S128" s="31">
        <f t="shared" si="82"/>
        <v>1</v>
      </c>
      <c r="T128" s="46" t="str">
        <f t="shared" si="85"/>
        <v>NorthBound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64"/>
        <v>https://d0f6bd738d7f1b3e5a7ca70fe4ff75f0.us-east-1.aws.found.io/app/kibana#/discover/Steve-Slow-Train-Analysis-(2080s-and-2083s)?_g=(refreshInterval:(display:Off,pause:!f,section:0,value:0),time:(from:'2017-02-18T16:54:15-0700',mode:absolute,to:'2017-02-18T19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188" t="str">
        <f t="shared" si="86"/>
        <v>N</v>
      </c>
      <c r="X128" s="188">
        <f t="shared" si="92"/>
        <v>1</v>
      </c>
      <c r="Y128" s="62">
        <f t="shared" si="87"/>
        <v>4.9500000000000002E-2</v>
      </c>
      <c r="Z128" s="62">
        <f t="shared" si="88"/>
        <v>23.330200000000001</v>
      </c>
      <c r="AA128" s="62">
        <f t="shared" si="89"/>
        <v>23.280700000000003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90"/>
        <v>0215-18</v>
      </c>
      <c r="AE128" s="85" t="str">
        <f t="shared" si="65"/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AF128" s="82" t="str">
        <f t="shared" si="66"/>
        <v>"C:\Program Files (x86)\AstroGrep\AstroGrep.exe" /spath="%USERPROFILE%\AppData\Local\Temp\OnboardLogs" /stypes="app*4027*20170219*" /stext=" 01:.+((SYSTEM_STATE.+slice.+state.+changed )|(ment ac)|(multiple cpu faults)|(system.+state.+changed )|(\[timeout)|(PRM\|1\|D)|(kpr)|(kdp)|(\|lc)|(penalty))" /e /r /s</v>
      </c>
      <c r="AG128" s="1" t="str">
        <f t="shared" si="91"/>
        <v>EC</v>
      </c>
      <c r="AH128" s="86" t="str">
        <f t="shared" si="67"/>
        <v>"%USERPROFILE%\Documents\GitHub\eaglep3\Utilities\RefineRTDCRunTimes.py" --tripid 215-18 --locoid 4027 --swversion DE.1.0.9.0 --startMP 204:495 --initTime 2017-02-18T17:54:15 --startdatetime 2017-02-18T18:00:15 --delay 2 --endMP 204:233302 --enddatetime 2017-02-18T18:35:42 --enforcementcount 0 &gt;&gt;C:\Users\stu\Documents\GitHub\eaglep3-reporting\EC\2017-02-18-refined-times.txt</v>
      </c>
      <c r="AI12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{"issue":{"subject":"","project_id":79,"tracker_id":40,"status_id":1,"priority_id":2,"assigned_to_id":23,"start_date":"2017-02-18","description":"","custom_fields":[{"id":1,"name":"Subdivision","value":"EC"},{"id":4,"name":"Milepost","value":"23.3302"},{"id":17,"name":"Train ID","value":"215-18"},{"id":16,"name":"Locomotive ID","value":"4027"},{"id":130,"name":"Impact","value":""},{"id":150,"name":"Time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69"/>
        <v>start /low /b %USERPROFILE%\Documents\GitHub\eaglep3\Utilities\DownloadLogsFromS3.py --loco 4027 --day 2017-02-18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"%USERPROFILE%\AppData\Local\Temp\OnboardLogs"\RTDC4027\*4027*20170219* | grep -SE "(Enforcement Action)|(\[TIMEOUT)|(CHR.+\|PRM\|1\|D.+(SWITCH|SIGNAL).+UNKNOWN)" - &gt;&gt; 2017-02-18-UncaughtWiMAX.txt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469</v>
      </c>
      <c r="B129" s="7">
        <v>4028</v>
      </c>
      <c r="C129" s="21" t="s">
        <v>680</v>
      </c>
      <c r="D129" s="21" t="s">
        <v>780</v>
      </c>
      <c r="E129" s="13">
        <v>42784.796458333331</v>
      </c>
      <c r="F129" s="13">
        <v>42784.797037037039</v>
      </c>
      <c r="G129" s="7">
        <v>0</v>
      </c>
      <c r="H129" s="21" t="s">
        <v>226</v>
      </c>
      <c r="I129" s="13">
        <v>42784.816284722219</v>
      </c>
      <c r="J129" s="7">
        <v>0</v>
      </c>
      <c r="K129" s="98" t="str">
        <f t="shared" si="83"/>
        <v>4027/4028</v>
      </c>
      <c r="L129" s="21" t="str">
        <f>VLOOKUP(A129,'Trips&amp;Operators'!$C$1:$G$99999,5,FALSE)</f>
        <v>BRANNON JEFFREY</v>
      </c>
      <c r="M129" s="6">
        <f t="shared" si="84"/>
        <v>1.9247685180744156E-2</v>
      </c>
      <c r="N129" s="7"/>
      <c r="O129" s="7"/>
      <c r="P129" s="7">
        <f>24*60*SUM($M129:$M130)</f>
        <v>33.81666666129604</v>
      </c>
      <c r="Q129" s="22"/>
      <c r="R129" s="22" t="s">
        <v>850</v>
      </c>
      <c r="S129" s="31">
        <f t="shared" si="82"/>
        <v>1</v>
      </c>
      <c r="T129" s="46" t="str">
        <f t="shared" si="85"/>
        <v>Southbound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64"/>
        <v>https://d0f6bd738d7f1b3e5a7ca70fe4ff75f0.us-east-1.aws.found.io/app/kibana#/discover/Steve-Slow-Train-Analysis-(2080s-and-2083s)?_g=(refreshInterval:(display:Off,pause:!f,section:0,value:0),time:(from:'2017-02-18T18:06:54-0700',mode:absolute,to:'2017-02-18T20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188" t="str">
        <f t="shared" si="86"/>
        <v>Y</v>
      </c>
      <c r="X129" s="188">
        <f t="shared" si="92"/>
        <v>1</v>
      </c>
      <c r="Y129" s="62">
        <f t="shared" si="87"/>
        <v>15.399900000000001</v>
      </c>
      <c r="Z129" s="62">
        <f t="shared" si="88"/>
        <v>1.43E-2</v>
      </c>
      <c r="AA129" s="62">
        <f t="shared" si="89"/>
        <v>15.3856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90"/>
        <v>0216-18</v>
      </c>
      <c r="AE129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29" s="82" t="str">
        <f t="shared" si="66"/>
        <v>"C:\Program Files (x86)\AstroGrep\AstroGrep.exe" /spath="%USERPROFILE%\AppData\Local\Temp\OnboardLogs" /stypes="app*4028*20170219*" /stext=" 02:.+((SYSTEM_STATE.+slice.+state.+changed )|(ment ac)|(multiple cpu faults)|(system.+state.+changed )|(\[timeout)|(PRM\|1\|D)|(kpr)|(kdp)|(\|lc)|(penalty))" /e /r /s</v>
      </c>
      <c r="AG129" s="1" t="str">
        <f t="shared" si="91"/>
        <v>EC</v>
      </c>
      <c r="AH129" s="86" t="str">
        <f t="shared" si="67"/>
        <v>"%USERPROFILE%\Documents\GitHub\eaglep3\Utilities\RefineRTDCRunTimes.py" --tripid 216-18 --locoid 4028 --swversion DE.1.0.9.0 --startMP 204:153999 --initTime 2017-02-18T19:06:54 --startdatetime 2017-02-18T19:07:44 --delay 0 --endMP 204:143 --enddatetime 2017-02-18T19:35:27 --enforcementcount 0 &gt;&gt;C:\Users\stu\Documents\GitHub\eaglep3-reporting\EC\2017-02-18-refined-times.txt</v>
      </c>
      <c r="AI129" s="108" t="str">
        <f t="shared" si="68"/>
        <v>echo {"issue":{"subject":"Wi-MAX data drop","project_id":79,"tracker_id":40,"status_id":1,"priority_id":2,"assigned_to_id":23,"start_date":"2017-02-18","description":"","custom_fields":[{"id":1,"name":"Subdivision","value":"EC"},{"id":4,"name":"Milepost","value":"0.0143"},{"id":17,"name":"Train ID","value":"216-18"},{"id":16,"name":"Locomotive ID","value":"4028"},{"id":130,"name":"Impact","value":""},{"id":150,"name":"Time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69"/>
        <v>start /low /b %USERPROFILE%\Documents\GitHub\eaglep3\Utilities\DownloadLogsFromS3.py --loco 4028 --day 2017-02-18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"%USERPROFILE%\AppData\Local\Temp\OnboardLogs"\RTDC4028\*4028*20170219* | grep -SE "(Enforcement Action)|(\[TIMEOUT)|(CHR.+\|PRM\|1\|D.+(SWITCH|SIGNAL).+UNKNOWN)" - &gt;&gt; 2017-02-18-UncaughtWiMAX.txt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469</v>
      </c>
      <c r="B130" s="7">
        <v>4028</v>
      </c>
      <c r="C130" s="21" t="s">
        <v>680</v>
      </c>
      <c r="D130" s="21" t="s">
        <v>410</v>
      </c>
      <c r="E130" s="13">
        <v>42784.786539351851</v>
      </c>
      <c r="F130" s="13">
        <v>42784.787569444445</v>
      </c>
      <c r="G130" s="7">
        <v>1</v>
      </c>
      <c r="H130" s="21" t="s">
        <v>781</v>
      </c>
      <c r="I130" s="13">
        <v>42784.791805555556</v>
      </c>
      <c r="J130" s="7">
        <v>1</v>
      </c>
      <c r="K130" s="98" t="str">
        <f t="shared" si="83"/>
        <v>4027/4028</v>
      </c>
      <c r="L130" s="21" t="str">
        <f>VLOOKUP(A130,'Trips&amp;Operators'!$C$1:$G$99999,5,FALSE)</f>
        <v>BRANNON JEFFREY</v>
      </c>
      <c r="M130" s="6">
        <f t="shared" si="84"/>
        <v>4.2361111118225381E-3</v>
      </c>
      <c r="N130" s="7"/>
      <c r="O130" s="7"/>
      <c r="P130" s="7"/>
      <c r="Q130" s="22"/>
      <c r="R130" s="22"/>
      <c r="S130" s="31"/>
      <c r="T130" s="46" t="str">
        <f t="shared" si="85"/>
        <v>Southbound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187" t="str">
        <f t="shared" si="64"/>
        <v>https://d0f6bd738d7f1b3e5a7ca70fe4ff75f0.us-east-1.aws.found.io/app/kibana#/discover/Steve-Slow-Train-Analysis-(2080s-and-2083s)?_g=(refreshInterval:(display:Off,pause:!f,section:0,value:0),time:(from:'2017-02-18T17:52:37-0700',mode:absolute,to:'2017-02-18T20:00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0" s="188" t="str">
        <f t="shared" si="86"/>
        <v>Y</v>
      </c>
      <c r="X130" s="188">
        <f t="shared" si="92"/>
        <v>0</v>
      </c>
      <c r="Y130" s="62">
        <f t="shared" si="87"/>
        <v>23.298100000000002</v>
      </c>
      <c r="Z130" s="62">
        <f t="shared" si="88"/>
        <v>21.815999999999999</v>
      </c>
      <c r="AA130" s="62">
        <f t="shared" si="89"/>
        <v>1.4821000000000026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90"/>
        <v>0216-18</v>
      </c>
      <c r="AE130" s="85" t="str">
        <f t="shared" si="65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30" s="82" t="str">
        <f t="shared" si="66"/>
        <v>"C:\Program Files (x86)\AstroGrep\AstroGrep.exe" /spath="%USERPROFILE%\AppData\Local\Temp\OnboardLogs" /stypes="app*4028*20170219*" /stext=" 02:.+((SYSTEM_STATE.+slice.+state.+changed )|(ment ac)|(multiple cpu faults)|(system.+state.+changed )|(\[timeout)|(PRM\|1\|D)|(kpr)|(kdp)|(\|lc)|(penalty))" /e /r /s</v>
      </c>
      <c r="AG130" s="1" t="str">
        <f t="shared" si="91"/>
        <v>EC</v>
      </c>
      <c r="AH130" s="86" t="str">
        <f t="shared" si="67"/>
        <v>"%USERPROFILE%\Documents\GitHub\eaglep3\Utilities\RefineRTDCRunTimes.py" --tripid 216-18 --locoid 4028 --swversion DE.1.0.9.0 --startMP 204:232981 --initTime 2017-02-18T18:52:37 --startdatetime 2017-02-18T18:54:06 --delay 1 --endMP 204:218160 --enddatetime 2017-02-18T19:00:12 --enforcementcount 1 &gt;&gt;C:\Users\stu\Documents\GitHub\eaglep3-reporting\EC\2017-02-18-refined-times.txt</v>
      </c>
      <c r="AI13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{"issue":{"subject":"","project_id":79,"tracker_id":40,"status_id":1,"priority_id":2,"assigned_to_id":23,"start_date":"2017-02-18","description":"","custom_fields":[{"id":1,"name":"Subdivision","value":"EC"},{"id":4,"name":"Milepost","value":"21.816"},{"id":17,"name":"Train ID","value":"216-18"},{"id":16,"name":"Locomotive ID","value":"4028"},{"id":130,"name":"Impact","value":""},{"id":150,"name":"Time of Event (Mountain Time)","value":"19:00:12"},{"id":151,"name":"Denver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69"/>
        <v>start /low /b %USERPROFILE%\Documents\GitHub\eaglep3\Utilities\DownloadLogsFromS3.py --loco 4028 --day 2017-02-18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"%USERPROFILE%\AppData\Local\Temp\OnboardLogs"\RTDC4028\*4028*20170219* | grep -SE "(Enforcement Action)|(\[TIMEOUT)|(CHR.+\|PRM\|1\|D.+(SWITCH|SIGNAL).+UNKNOWN)" - &gt;&gt; 2017-02-18-UncaughtWiMAX.txt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468</v>
      </c>
      <c r="B131" s="7">
        <v>4029</v>
      </c>
      <c r="C131" s="21" t="s">
        <v>680</v>
      </c>
      <c r="D131" s="21" t="s">
        <v>272</v>
      </c>
      <c r="E131" s="13">
        <v>42784.756747685184</v>
      </c>
      <c r="F131" s="13">
        <v>42784.760798611111</v>
      </c>
      <c r="G131" s="7">
        <v>2</v>
      </c>
      <c r="H131" s="21" t="s">
        <v>782</v>
      </c>
      <c r="I131" s="13">
        <v>42784.785266203704</v>
      </c>
      <c r="J131" s="7">
        <v>0</v>
      </c>
      <c r="K131" s="98" t="str">
        <f t="shared" si="83"/>
        <v>4029/4030</v>
      </c>
      <c r="L131" s="21" t="str">
        <f>VLOOKUP(A131,'Trips&amp;Operators'!$C$1:$G$99999,5,FALSE)</f>
        <v>STAMBAUGH JAMES</v>
      </c>
      <c r="M131" s="6">
        <f t="shared" si="84"/>
        <v>2.4467592593282461E-2</v>
      </c>
      <c r="N131" s="7">
        <f t="shared" ref="N131:N162" si="93">24*60*SUM($M131:$M131)</f>
        <v>35.233333334326744</v>
      </c>
      <c r="O131" s="7"/>
      <c r="P131" s="7"/>
      <c r="Q131" s="22"/>
      <c r="R131" s="22"/>
      <c r="S131" s="31">
        <f t="shared" ref="S131:S162" si="94">SUM(U131:U131)/IF(AG131="EC",12,1)</f>
        <v>1</v>
      </c>
      <c r="T131" s="46" t="str">
        <f t="shared" si="85"/>
        <v>NorthBound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64"/>
        <v>https://d0f6bd738d7f1b3e5a7ca70fe4ff75f0.us-east-1.aws.found.io/app/kibana#/discover/Steve-Slow-Train-Analysis-(2080s-and-2083s)?_g=(refreshInterval:(display:Off,pause:!f,section:0,value:0),time:(from:'2017-02-18T17:09:43-0700',mode:absolute,to:'2017-02-18T19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88" t="str">
        <f t="shared" si="86"/>
        <v>N</v>
      </c>
      <c r="X131" s="188">
        <f t="shared" si="92"/>
        <v>1</v>
      </c>
      <c r="Y131" s="62">
        <f t="shared" si="87"/>
        <v>4.6399999999999997E-2</v>
      </c>
      <c r="Z131" s="62">
        <f t="shared" si="88"/>
        <v>23.3339</v>
      </c>
      <c r="AA131" s="62">
        <f t="shared" si="89"/>
        <v>23.287500000000001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90"/>
        <v>0217-18</v>
      </c>
      <c r="AE131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31" s="82" t="str">
        <f t="shared" si="66"/>
        <v>"C:\Program Files (x86)\AstroGrep\AstroGrep.exe" /spath="%USERPROFILE%\AppData\Local\Temp\OnboardLogs" /stypes="app*4029*20170219*" /stext=" 01:.+((SYSTEM_STATE.+slice.+state.+changed )|(ment ac)|(multiple cpu faults)|(system.+state.+changed )|(\[timeout)|(PRM\|1\|D)|(kpr)|(kdp)|(\|lc)|(penalty))" /e /r /s</v>
      </c>
      <c r="AG131" s="1" t="str">
        <f t="shared" si="91"/>
        <v>EC</v>
      </c>
      <c r="AH131" s="86" t="str">
        <f t="shared" si="67"/>
        <v>"%USERPROFILE%\Documents\GitHub\eaglep3\Utilities\RefineRTDCRunTimes.py" --tripid 217-18 --locoid 4029 --swversion DE.1.0.9.0 --startMP 204:464 --initTime 2017-02-18T18:09:43 --startdatetime 2017-02-18T18:15:33 --delay 2 --endMP 204:233339 --enddatetime 2017-02-18T18:50:47 --enforcementcount 0 &gt;&gt;C:\Users\stu\Documents\GitHub\eaglep3-reporting\EC\2017-02-18-refined-times.txt</v>
      </c>
      <c r="AI13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{"issue":{"subject":"","project_id":79,"tracker_id":40,"status_id":1,"priority_id":2,"assigned_to_id":23,"start_date":"2017-02-18","description":"","custom_fields":[{"id":1,"name":"Subdivision","value":"EC"},{"id":4,"name":"Milepost","value":"23.3339"},{"id":17,"name":"Train ID","value":"217-18"},{"id":16,"name":"Locomotive ID","value":"4029"},{"id":130,"name":"Impact","value":""},{"id":150,"name":"Time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69"/>
        <v>start /low /b %USERPROFILE%\Documents\GitHub\eaglep3\Utilities\DownloadLogsFromS3.py --loco 4029 --day 2017-02-18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"%USERPROFILE%\AppData\Local\Temp\OnboardLogs"\RTDC4029\*4029*20170219* | grep -SE "(Enforcement Action)|(\[TIMEOUT)|(CHR.+\|PRM\|1\|D.+(SWITCH|SIGNAL).+UNKNOWN)" - &gt;&gt; 2017-02-18-UncaughtWiMAX.txt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647</v>
      </c>
      <c r="B132" s="7">
        <v>4030</v>
      </c>
      <c r="C132" s="21" t="s">
        <v>680</v>
      </c>
      <c r="D132" s="21" t="s">
        <v>416</v>
      </c>
      <c r="E132" s="13">
        <v>42784.788449074076</v>
      </c>
      <c r="F132" s="13">
        <v>42784.799699074072</v>
      </c>
      <c r="G132" s="7">
        <v>3</v>
      </c>
      <c r="H132" s="21" t="s">
        <v>776</v>
      </c>
      <c r="I132" s="13">
        <v>42784.825555555559</v>
      </c>
      <c r="J132" s="7">
        <v>0</v>
      </c>
      <c r="K132" s="98" t="str">
        <f t="shared" si="83"/>
        <v>4029/4030</v>
      </c>
      <c r="L132" s="21" t="str">
        <f>VLOOKUP(A132,'Trips&amp;Operators'!$C$1:$G$99999,5,FALSE)</f>
        <v>STAMBAUGH JAMES</v>
      </c>
      <c r="M132" s="6">
        <f t="shared" si="84"/>
        <v>2.5856481486698613E-2</v>
      </c>
      <c r="N132" s="7">
        <f t="shared" si="93"/>
        <v>37.233333340846002</v>
      </c>
      <c r="O132" s="7"/>
      <c r="P132" s="7"/>
      <c r="Q132" s="22"/>
      <c r="R132" s="22"/>
      <c r="S132" s="31">
        <f t="shared" si="94"/>
        <v>1</v>
      </c>
      <c r="T132" s="46" t="str">
        <f t="shared" si="85"/>
        <v>Southbound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64"/>
        <v>https://d0f6bd738d7f1b3e5a7ca70fe4ff75f0.us-east-1.aws.found.io/app/kibana#/discover/Steve-Slow-Train-Analysis-(2080s-and-2083s)?_g=(refreshInterval:(display:Off,pause:!f,section:0,value:0),time:(from:'2017-02-18T17:55:22-0700',mode:absolute,to:'2017-02-18T20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188" t="str">
        <f t="shared" si="86"/>
        <v>N</v>
      </c>
      <c r="X132" s="188">
        <f t="shared" si="92"/>
        <v>1</v>
      </c>
      <c r="Y132" s="62">
        <f t="shared" si="87"/>
        <v>23.301100000000002</v>
      </c>
      <c r="Z132" s="62">
        <f t="shared" si="88"/>
        <v>1.32E-2</v>
      </c>
      <c r="AA132" s="62">
        <f t="shared" si="89"/>
        <v>23.2879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90"/>
        <v>0218-18</v>
      </c>
      <c r="AE132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32" s="82" t="str">
        <f t="shared" si="66"/>
        <v>"C:\Program Files (x86)\AstroGrep\AstroGrep.exe" /spath="%USERPROFILE%\AppData\Local\Temp\OnboardLogs" /stypes="app*4030*20170219*" /stext=" 02:.+((SYSTEM_STATE.+slice.+state.+changed )|(ment ac)|(multiple cpu faults)|(system.+state.+changed )|(\[timeout)|(PRM\|1\|D)|(kpr)|(kdp)|(\|lc)|(penalty))" /e /r /s</v>
      </c>
      <c r="AG132" s="1" t="str">
        <f t="shared" si="91"/>
        <v>EC</v>
      </c>
      <c r="AH132" s="86" t="str">
        <f t="shared" si="67"/>
        <v>"%USERPROFILE%\Documents\GitHub\eaglep3\Utilities\RefineRTDCRunTimes.py" --tripid 218-18 --locoid 4030 --swversion DE.1.0.9.0 --startMP 204:233011 --initTime 2017-02-18T18:55:22 --startdatetime 2017-02-18T19:11:34 --delay 3 --endMP 204:132 --enddatetime 2017-02-18T19:48:48 --enforcementcount 0 &gt;&gt;C:\Users\stu\Documents\GitHub\eaglep3-reporting\EC\2017-02-18-refined-times.txt</v>
      </c>
      <c r="AI13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{"issue":{"subject":"","project_id":79,"tracker_id":40,"status_id":1,"priority_id":2,"assigned_to_id":23,"start_date":"2017-02-18","description":"","custom_fields":[{"id":1,"name":"Subdivision","value":"EC"},{"id":4,"name":"Milepost","value":"0.0132"},{"id":17,"name":"Train ID","value":"218-18"},{"id":16,"name":"Locomotive ID","value":"4030"},{"id":130,"name":"Impact","value":""},{"id":150,"name":"Time of Event (Mountain Time)","value":"19:48:48"},{"id":151,"name":"Denver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69"/>
        <v>start /low /b %USERPROFILE%\Documents\GitHub\eaglep3\Utilities\DownloadLogsFromS3.py --loco 4030 --day 2017-02-18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643</v>
      </c>
      <c r="B133" s="7">
        <v>4018</v>
      </c>
      <c r="C133" s="21" t="s">
        <v>680</v>
      </c>
      <c r="D133" s="21" t="s">
        <v>206</v>
      </c>
      <c r="E133" s="13">
        <v>42784.767337962963</v>
      </c>
      <c r="F133" s="13">
        <v>42784.77103009259</v>
      </c>
      <c r="G133" s="7">
        <v>1</v>
      </c>
      <c r="H133" s="21" t="s">
        <v>783</v>
      </c>
      <c r="I133" s="13">
        <v>42784.796099537038</v>
      </c>
      <c r="J133" s="7">
        <v>0</v>
      </c>
      <c r="K133" s="98" t="str">
        <f t="shared" si="83"/>
        <v>4017/4018</v>
      </c>
      <c r="L133" s="21" t="str">
        <f>VLOOKUP(A133,'Trips&amp;Operators'!$C$1:$G$99999,5,FALSE)</f>
        <v>MAGEE KENYA</v>
      </c>
      <c r="M133" s="6">
        <f t="shared" si="84"/>
        <v>2.5069444447581191E-2</v>
      </c>
      <c r="N133" s="7">
        <f t="shared" si="93"/>
        <v>36.100000004516914</v>
      </c>
      <c r="O133" s="7"/>
      <c r="P133" s="7"/>
      <c r="Q133" s="22"/>
      <c r="R133" s="22"/>
      <c r="S133" s="31">
        <f t="shared" si="94"/>
        <v>1</v>
      </c>
      <c r="T133" s="46" t="str">
        <f t="shared" si="85"/>
        <v>NorthBound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64"/>
        <v>https://d0f6bd738d7f1b3e5a7ca70fe4ff75f0.us-east-1.aws.found.io/app/kibana#/discover/Steve-Slow-Train-Analysis-(2080s-and-2083s)?_g=(refreshInterval:(display:Off,pause:!f,section:0,value:0),time:(from:'2017-02-18T17:24:58-0700',mode:absolute,to:'2017-02-18T20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188" t="str">
        <f t="shared" si="86"/>
        <v>N</v>
      </c>
      <c r="X133" s="188">
        <f t="shared" si="92"/>
        <v>1</v>
      </c>
      <c r="Y133" s="62">
        <f t="shared" si="87"/>
        <v>4.4900000000000002E-2</v>
      </c>
      <c r="Z133" s="62">
        <f t="shared" si="88"/>
        <v>23.337399999999999</v>
      </c>
      <c r="AA133" s="62">
        <f t="shared" si="89"/>
        <v>23.2925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90"/>
        <v>0219-18</v>
      </c>
      <c r="AE133" s="85" t="str">
        <f t="shared" si="65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33" s="82" t="str">
        <f t="shared" si="66"/>
        <v>"C:\Program Files (x86)\AstroGrep\AstroGrep.exe" /spath="%USERPROFILE%\AppData\Local\Temp\OnboardLogs" /stypes="app*4018*20170219*" /stext=" 02:.+((SYSTEM_STATE.+slice.+state.+changed )|(ment ac)|(multiple cpu faults)|(system.+state.+changed )|(\[timeout)|(PRM\|1\|D)|(kpr)|(kdp)|(\|lc)|(penalty))" /e /r /s</v>
      </c>
      <c r="AG133" s="1" t="str">
        <f t="shared" si="91"/>
        <v>EC</v>
      </c>
      <c r="AH133" s="86" t="str">
        <f t="shared" si="67"/>
        <v>"%USERPROFILE%\Documents\GitHub\eaglep3\Utilities\RefineRTDCRunTimes.py" --tripid 219-18 --locoid 4018 --swversion DE.1.0.9.0 --startMP 204:449 --initTime 2017-02-18T18:24:58 --startdatetime 2017-02-18T18:30:17 --delay 1 --endMP 204:233374 --enddatetime 2017-02-18T19:06:23 --enforcementcount 0 &gt;&gt;C:\Users\stu\Documents\GitHub\eaglep3-reporting\EC\2017-02-18-refined-times.txt</v>
      </c>
      <c r="AI13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{"issue":{"subject":"","project_id":79,"tracker_id":40,"status_id":1,"priority_id":2,"assigned_to_id":23,"start_date":"2017-02-18","description":"","custom_fields":[{"id":1,"name":"Subdivision","value":"EC"},{"id":4,"name":"Milepost","value":"23.3374"},{"id":17,"name":"Train ID","value":"219-18"},{"id":16,"name":"Locomotive ID","value":"4018"},{"id":130,"name":"Impact","value":""},{"id":150,"name":"Time of Event (Mountain Time)","value":"19:06:23"},{"id":151,"name":"Denver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69"/>
        <v>start /low /b %USERPROFILE%\Documents\GitHub\eaglep3\Utilities\DownloadLogsFromS3.py --loco 4018 --day 2017-02-18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474</v>
      </c>
      <c r="B134" s="7">
        <v>4017</v>
      </c>
      <c r="C134" s="21" t="s">
        <v>680</v>
      </c>
      <c r="D134" s="21" t="s">
        <v>784</v>
      </c>
      <c r="E134" s="13">
        <v>42784.806655092594</v>
      </c>
      <c r="F134" s="13">
        <v>42784.809965277775</v>
      </c>
      <c r="G134" s="7">
        <v>1</v>
      </c>
      <c r="H134" s="21" t="s">
        <v>184</v>
      </c>
      <c r="I134" s="13">
        <v>42784.837430555555</v>
      </c>
      <c r="J134" s="7">
        <v>0</v>
      </c>
      <c r="K134" s="98" t="str">
        <f t="shared" si="83"/>
        <v>4017/4018</v>
      </c>
      <c r="L134" s="21" t="str">
        <f>VLOOKUP(A134,'Trips&amp;Operators'!$C$1:$G$99999,5,FALSE)</f>
        <v>MAGEE KENYA</v>
      </c>
      <c r="M134" s="6">
        <f t="shared" si="84"/>
        <v>2.7465277780720498E-2</v>
      </c>
      <c r="N134" s="7">
        <f t="shared" si="93"/>
        <v>39.550000004237518</v>
      </c>
      <c r="O134" s="7"/>
      <c r="P134" s="7"/>
      <c r="Q134" s="22"/>
      <c r="R134" s="22"/>
      <c r="S134" s="31">
        <f t="shared" si="94"/>
        <v>1</v>
      </c>
      <c r="T134" s="46" t="str">
        <f t="shared" si="85"/>
        <v>Southbound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64"/>
        <v>https://d0f6bd738d7f1b3e5a7ca70fe4ff75f0.us-east-1.aws.found.io/app/kibana#/discover/Steve-Slow-Train-Analysis-(2080s-and-2083s)?_g=(refreshInterval:(display:Off,pause:!f,section:0,value:0),time:(from:'2017-02-18T18:21:35-0700',mode:absolute,to:'2017-02-18T21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188" t="str">
        <f t="shared" si="86"/>
        <v>N</v>
      </c>
      <c r="X134" s="188">
        <f t="shared" si="92"/>
        <v>1</v>
      </c>
      <c r="Y134" s="62">
        <f t="shared" si="87"/>
        <v>23.302299999999999</v>
      </c>
      <c r="Z134" s="62">
        <f t="shared" si="88"/>
        <v>1.49E-2</v>
      </c>
      <c r="AA134" s="62">
        <f t="shared" si="89"/>
        <v>23.287399999999998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90"/>
        <v>0220-18</v>
      </c>
      <c r="AE134" s="85" t="str">
        <f t="shared" si="65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34" s="82" t="str">
        <f t="shared" si="66"/>
        <v>"C:\Program Files (x86)\AstroGrep\AstroGrep.exe" /spath="%USERPROFILE%\AppData\Local\Temp\OnboardLogs" /stypes="app*4017*20170219*" /stext=" 03:.+((SYSTEM_STATE.+slice.+state.+changed )|(ment ac)|(multiple cpu faults)|(system.+state.+changed )|(\[timeout)|(PRM\|1\|D)|(kpr)|(kdp)|(\|lc)|(penalty))" /e /r /s</v>
      </c>
      <c r="AG134" s="1" t="str">
        <f t="shared" si="91"/>
        <v>EC</v>
      </c>
      <c r="AH134" s="86" t="str">
        <f t="shared" si="67"/>
        <v>"%USERPROFILE%\Documents\GitHub\eaglep3\Utilities\RefineRTDCRunTimes.py" --tripid 220-18 --locoid 4017 --swversion DE.1.0.9.0 --startMP 204:233023 --initTime 2017-02-18T19:21:35 --startdatetime 2017-02-18T19:26:21 --delay 1 --endMP 204:149 --enddatetime 2017-02-18T20:05:54 --enforcementcount 0 &gt;&gt;C:\Users\stu\Documents\GitHub\eaglep3-reporting\EC\2017-02-18-refined-times.txt</v>
      </c>
      <c r="AI13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{"issue":{"subject":"","project_id":79,"tracker_id":40,"status_id":1,"priority_id":2,"assigned_to_id":23,"start_date":"2017-02-18","description":"","custom_fields":[{"id":1,"name":"Subdivision","value":"EC"},{"id":4,"name":"Milepost","value":"0.0149"},{"id":17,"name":"Train ID","value":"220-18"},{"id":16,"name":"Locomotive ID","value":"4017"},{"id":130,"name":"Impact","value":""},{"id":150,"name":"Time of Event (Mountain Time)","value":"20:05:54"},{"id":151,"name":"Denver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69"/>
        <v>start /low /b %USERPROFILE%\Documents\GitHub\eaglep3\Utilities\DownloadLogsFromS3.py --loco 4017 --day 2017-02-18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646</v>
      </c>
      <c r="B135" s="7">
        <v>4011</v>
      </c>
      <c r="C135" s="21" t="s">
        <v>680</v>
      </c>
      <c r="D135" s="21" t="s">
        <v>262</v>
      </c>
      <c r="E135" s="13">
        <v>42784.787488425929</v>
      </c>
      <c r="F135" s="13">
        <v>42784.792164351849</v>
      </c>
      <c r="G135" s="7">
        <v>2</v>
      </c>
      <c r="H135" s="21" t="s">
        <v>693</v>
      </c>
      <c r="I135" s="13">
        <v>42784.817939814813</v>
      </c>
      <c r="J135" s="7">
        <v>0</v>
      </c>
      <c r="K135" s="98" t="str">
        <f t="shared" si="83"/>
        <v>4011/4012</v>
      </c>
      <c r="L135" s="21" t="str">
        <f>VLOOKUP(A135,'Trips&amp;Operators'!$C$1:$G$99999,5,FALSE)</f>
        <v>DUNCAN SHEILA</v>
      </c>
      <c r="M135" s="6">
        <f t="shared" si="84"/>
        <v>2.5775462963792961E-2</v>
      </c>
      <c r="N135" s="7">
        <f t="shared" si="93"/>
        <v>37.116666667861864</v>
      </c>
      <c r="O135" s="7"/>
      <c r="P135" s="7"/>
      <c r="Q135" s="22"/>
      <c r="R135" s="22"/>
      <c r="S135" s="31">
        <f t="shared" si="94"/>
        <v>1</v>
      </c>
      <c r="T135" s="46" t="str">
        <f t="shared" si="85"/>
        <v>NorthBound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64"/>
        <v>https://d0f6bd738d7f1b3e5a7ca70fe4ff75f0.us-east-1.aws.found.io/app/kibana#/discover/Steve-Slow-Train-Analysis-(2080s-and-2083s)?_g=(refreshInterval:(display:Off,pause:!f,section:0,value:0),time:(from:'2017-02-18T17:53:59-0700',mode:absolute,to:'2017-02-18T20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5" s="188" t="str">
        <f t="shared" si="86"/>
        <v>N</v>
      </c>
      <c r="X135" s="188">
        <f t="shared" si="92"/>
        <v>1</v>
      </c>
      <c r="Y135" s="62">
        <f t="shared" si="87"/>
        <v>4.5499999999999999E-2</v>
      </c>
      <c r="Z135" s="62">
        <f t="shared" si="88"/>
        <v>23.3291</v>
      </c>
      <c r="AA135" s="62">
        <f t="shared" si="89"/>
        <v>23.2836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90"/>
        <v>0221-18</v>
      </c>
      <c r="AE135" s="85" t="str">
        <f t="shared" si="65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35" s="82" t="str">
        <f t="shared" si="66"/>
        <v>"C:\Program Files (x86)\AstroGrep\AstroGrep.exe" /spath="%USERPROFILE%\AppData\Local\Temp\OnboardLogs" /stypes="app*4011*20170219*" /stext=" 02:.+((SYSTEM_STATE.+slice.+state.+changed )|(ment ac)|(multiple cpu faults)|(system.+state.+changed )|(\[timeout)|(PRM\|1\|D)|(kpr)|(kdp)|(\|lc)|(penalty))" /e /r /s</v>
      </c>
      <c r="AG135" s="1" t="str">
        <f t="shared" si="91"/>
        <v>EC</v>
      </c>
      <c r="AH135" s="86" t="str">
        <f t="shared" si="67"/>
        <v>"%USERPROFILE%\Documents\GitHub\eaglep3\Utilities\RefineRTDCRunTimes.py" --tripid 221-18 --locoid 4011 --swversion DE.1.0.9.0 --startMP 204:455 --initTime 2017-02-18T18:53:59 --startdatetime 2017-02-18T19:00:43 --delay 2 --endMP 204:233291 --enddatetime 2017-02-18T19:37:50 --enforcementcount 0 &gt;&gt;C:\Users\stu\Documents\GitHub\eaglep3-reporting\EC\2017-02-18-refined-times.txt</v>
      </c>
      <c r="AI135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{"issue":{"subject":"","project_id":79,"tracker_id":40,"status_id":1,"priority_id":2,"assigned_to_id":23,"start_date":"2017-02-18","description":"","custom_fields":[{"id":1,"name":"Subdivision","value":"EC"},{"id":4,"name":"Milepost","value":"23.3291"},{"id":17,"name":"Train ID","value":"221-18"},{"id":16,"name":"Locomotive ID","value":"4011"},{"id":130,"name":"Impact","value":""},{"id":150,"name":"Time of Event (Mountain Time)","value":"19:37:50"},{"id":151,"name":"Denver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69"/>
        <v>start /low /b %USERPROFILE%\Documents\GitHub\eaglep3\Utilities\DownloadLogsFromS3.py --loco 4011 --day 2017-02-18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652</v>
      </c>
      <c r="B136" s="7">
        <v>4012</v>
      </c>
      <c r="C136" s="21" t="s">
        <v>680</v>
      </c>
      <c r="D136" s="21" t="s">
        <v>287</v>
      </c>
      <c r="E136" s="13">
        <v>42784.825300925928</v>
      </c>
      <c r="F136" s="13">
        <v>42784.831354166665</v>
      </c>
      <c r="G136" s="7">
        <v>2</v>
      </c>
      <c r="H136" s="21" t="s">
        <v>785</v>
      </c>
      <c r="I136" s="13">
        <v>42784.858784722222</v>
      </c>
      <c r="J136" s="7">
        <v>0</v>
      </c>
      <c r="K136" s="98" t="str">
        <f t="shared" si="83"/>
        <v>4011/4012</v>
      </c>
      <c r="L136" s="21" t="str">
        <f>VLOOKUP(A136,'Trips&amp;Operators'!$C$1:$G$99999,5,FALSE)</f>
        <v>DUNCAN SHEILA</v>
      </c>
      <c r="M136" s="6">
        <f t="shared" si="84"/>
        <v>2.7430555557657499E-2</v>
      </c>
      <c r="N136" s="7">
        <f t="shared" si="93"/>
        <v>39.500000003026798</v>
      </c>
      <c r="O136" s="7"/>
      <c r="P136" s="7"/>
      <c r="Q136" s="22"/>
      <c r="R136" s="22"/>
      <c r="S136" s="31">
        <f t="shared" si="94"/>
        <v>1</v>
      </c>
      <c r="T136" s="46" t="str">
        <f t="shared" si="85"/>
        <v>Southbound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64"/>
        <v>https://d0f6bd738d7f1b3e5a7ca70fe4ff75f0.us-east-1.aws.found.io/app/kibana#/discover/Steve-Slow-Train-Analysis-(2080s-and-2083s)?_g=(refreshInterval:(display:Off,pause:!f,section:0,value:0),time:(from:'2017-02-18T18:48:26-0700',mode:absolute,to:'2017-02-18T21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6" s="188" t="str">
        <f t="shared" si="86"/>
        <v>N</v>
      </c>
      <c r="X136" s="188">
        <f t="shared" si="92"/>
        <v>1</v>
      </c>
      <c r="Y136" s="62">
        <f t="shared" si="87"/>
        <v>23.2986</v>
      </c>
      <c r="Z136" s="62">
        <f t="shared" si="88"/>
        <v>1.21E-2</v>
      </c>
      <c r="AA136" s="62">
        <f t="shared" si="89"/>
        <v>23.2865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90"/>
        <v>0222-18</v>
      </c>
      <c r="AE136" s="85" t="str">
        <f t="shared" si="65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36" s="82" t="str">
        <f t="shared" si="66"/>
        <v>"C:\Program Files (x86)\AstroGrep\AstroGrep.exe" /spath="%USERPROFILE%\AppData\Local\Temp\OnboardLogs" /stypes="app*4012*20170219*" /stext=" 03:.+((SYSTEM_STATE.+slice.+state.+changed )|(ment ac)|(multiple cpu faults)|(system.+state.+changed )|(\[timeout)|(PRM\|1\|D)|(kpr)|(kdp)|(\|lc)|(penalty))" /e /r /s</v>
      </c>
      <c r="AG136" s="1" t="str">
        <f t="shared" si="91"/>
        <v>EC</v>
      </c>
      <c r="AH136" s="86" t="str">
        <f t="shared" si="67"/>
        <v>"%USERPROFILE%\Documents\GitHub\eaglep3\Utilities\RefineRTDCRunTimes.py" --tripid 222-18 --locoid 4012 --swversion DE.1.0.9.0 --startMP 204:232986 --initTime 2017-02-18T19:48:26 --startdatetime 2017-02-18T19:57:09 --delay 2 --endMP 204:121 --enddatetime 2017-02-18T20:36:39 --enforcementcount 0 &gt;&gt;C:\Users\stu\Documents\GitHub\eaglep3-reporting\EC\2017-02-18-refined-times.txt</v>
      </c>
      <c r="AI136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{"issue":{"subject":"","project_id":79,"tracker_id":40,"status_id":1,"priority_id":2,"assigned_to_id":23,"start_date":"2017-02-18","description":"","custom_fields":[{"id":1,"name":"Subdivision","value":"EC"},{"id":4,"name":"Milepost","value":"0.0121"},{"id":17,"name":"Train ID","value":"222-18"},{"id":16,"name":"Locomotive ID","value":"4012"},{"id":130,"name":"Impact","value":""},{"id":150,"name":"Time of Event (Mountain Time)","value":"20:36:39"},{"id":151,"name":"Denver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69"/>
        <v>start /low /b %USERPROFILE%\Documents\GitHub\eaglep3\Utilities\DownloadLogsFromS3.py --loco 4012 --day 2017-02-18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649</v>
      </c>
      <c r="B137" s="7">
        <v>4022</v>
      </c>
      <c r="C137" s="21" t="s">
        <v>680</v>
      </c>
      <c r="D137" s="21" t="s">
        <v>786</v>
      </c>
      <c r="E137" s="13">
        <v>42784.807430555556</v>
      </c>
      <c r="F137" s="13">
        <v>42784.812893518516</v>
      </c>
      <c r="G137" s="7">
        <v>1</v>
      </c>
      <c r="H137" s="21" t="s">
        <v>275</v>
      </c>
      <c r="I137" s="13">
        <v>42784.838206018518</v>
      </c>
      <c r="J137" s="7">
        <v>0</v>
      </c>
      <c r="K137" s="98" t="str">
        <f t="shared" si="83"/>
        <v>4021/4022</v>
      </c>
      <c r="L137" s="21" t="str">
        <f>VLOOKUP(A137,'Trips&amp;Operators'!$C$1:$G$99999,5,FALSE)</f>
        <v>SMITH MICHAEL</v>
      </c>
      <c r="M137" s="6">
        <f t="shared" si="84"/>
        <v>2.531250000174623E-2</v>
      </c>
      <c r="N137" s="7">
        <f t="shared" si="93"/>
        <v>36.450000002514571</v>
      </c>
      <c r="O137" s="7"/>
      <c r="P137" s="7"/>
      <c r="Q137" s="22"/>
      <c r="R137" s="22"/>
      <c r="S137" s="31">
        <f t="shared" si="94"/>
        <v>1</v>
      </c>
      <c r="T137" s="46" t="str">
        <f t="shared" si="85"/>
        <v>NorthBound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64"/>
        <v>https://d0f6bd738d7f1b3e5a7ca70fe4ff75f0.us-east-1.aws.found.io/app/kibana#/discover/Steve-Slow-Train-Analysis-(2080s-and-2083s)?_g=(refreshInterval:(display:Off,pause:!f,section:0,value:0),time:(from:'2017-02-18T18:22:42-0700',mode:absolute,to:'2017-02-18T21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7" s="188" t="str">
        <f t="shared" si="86"/>
        <v>N</v>
      </c>
      <c r="X137" s="188">
        <f t="shared" si="92"/>
        <v>1</v>
      </c>
      <c r="Y137" s="62">
        <f t="shared" si="87"/>
        <v>4.2000000000000003E-2</v>
      </c>
      <c r="Z137" s="62">
        <f t="shared" si="88"/>
        <v>23.329699999999999</v>
      </c>
      <c r="AA137" s="62">
        <f t="shared" si="89"/>
        <v>23.287699999999997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90"/>
        <v>0223-18</v>
      </c>
      <c r="AE137" s="85" t="str">
        <f t="shared" si="65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37" s="82" t="str">
        <f t="shared" si="66"/>
        <v>"C:\Program Files (x86)\AstroGrep\AstroGrep.exe" /spath="%USERPROFILE%\AppData\Local\Temp\OnboardLogs" /stypes="app*4022*20170219*" /stext=" 03:.+((SYSTEM_STATE.+slice.+state.+changed )|(ment ac)|(multiple cpu faults)|(system.+state.+changed )|(\[timeout)|(PRM\|1\|D)|(kpr)|(kdp)|(\|lc)|(penalty))" /e /r /s</v>
      </c>
      <c r="AG137" s="1" t="str">
        <f t="shared" si="91"/>
        <v>EC</v>
      </c>
      <c r="AH137" s="86" t="str">
        <f t="shared" si="67"/>
        <v>"%USERPROFILE%\Documents\GitHub\eaglep3\Utilities\RefineRTDCRunTimes.py" --tripid 223-18 --locoid 4022 --swversion DE.1.0.9.0 --startMP 204:420 --initTime 2017-02-18T19:22:42 --startdatetime 2017-02-18T19:30:34 --delay 1 --endMP 204:233297 --enddatetime 2017-02-18T20:07:01 --enforcementcount 0 &gt;&gt;C:\Users\stu\Documents\GitHub\eaglep3-reporting\EC\2017-02-18-refined-times.txt</v>
      </c>
      <c r="AI137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{"issue":{"subject":"","project_id":79,"tracker_id":40,"status_id":1,"priority_id":2,"assigned_to_id":23,"start_date":"2017-02-18","description":"","custom_fields":[{"id":1,"name":"Subdivision","value":"EC"},{"id":4,"name":"Milepost","value":"23.3297"},{"id":17,"name":"Train ID","value":"223-18"},{"id":16,"name":"Locomotive ID","value":"4022"},{"id":130,"name":"Impact","value":""},{"id":150,"name":"Time of Event (Mountain Time)","value":"20:07:01"},{"id":151,"name":"Denver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69"/>
        <v>start /low /b %USERPROFILE%\Documents\GitHub\eaglep3\Utilities\DownloadLogsFromS3.py --loco 4022 --day 2017-02-18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654</v>
      </c>
      <c r="B138" s="7">
        <v>4021</v>
      </c>
      <c r="C138" s="21" t="s">
        <v>680</v>
      </c>
      <c r="D138" s="21" t="s">
        <v>356</v>
      </c>
      <c r="E138" s="13">
        <v>42784.842939814815</v>
      </c>
      <c r="F138" s="13">
        <v>42784.851747685185</v>
      </c>
      <c r="G138" s="7">
        <v>1</v>
      </c>
      <c r="H138" s="21" t="s">
        <v>295</v>
      </c>
      <c r="I138" s="13">
        <v>42784.880497685182</v>
      </c>
      <c r="J138" s="7">
        <v>0</v>
      </c>
      <c r="K138" s="98" t="str">
        <f t="shared" si="83"/>
        <v>4021/4022</v>
      </c>
      <c r="L138" s="21" t="str">
        <f>VLOOKUP(A138,'Trips&amp;Operators'!$C$1:$G$99999,5,FALSE)</f>
        <v>DAVIDSON DAVID</v>
      </c>
      <c r="M138" s="6">
        <f t="shared" si="84"/>
        <v>2.8749999997671694E-2</v>
      </c>
      <c r="N138" s="7">
        <f t="shared" si="93"/>
        <v>41.399999996647239</v>
      </c>
      <c r="O138" s="7"/>
      <c r="P138" s="7"/>
      <c r="Q138" s="22"/>
      <c r="R138" s="22"/>
      <c r="S138" s="31">
        <f t="shared" si="94"/>
        <v>1</v>
      </c>
      <c r="T138" s="46" t="str">
        <f t="shared" si="85"/>
        <v>Southbound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64"/>
        <v>https://d0f6bd738d7f1b3e5a7ca70fe4ff75f0.us-east-1.aws.found.io/app/kibana#/discover/Steve-Slow-Train-Analysis-(2080s-and-2083s)?_g=(refreshInterval:(display:Off,pause:!f,section:0,value:0),time:(from:'2017-02-18T19:13:50-0700',mode:absolute,to:'2017-02-18T22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8" s="188" t="str">
        <f t="shared" si="86"/>
        <v>N</v>
      </c>
      <c r="X138" s="188">
        <f t="shared" si="92"/>
        <v>1</v>
      </c>
      <c r="Y138" s="62">
        <f t="shared" si="87"/>
        <v>23.2989</v>
      </c>
      <c r="Z138" s="62">
        <f t="shared" si="88"/>
        <v>1.5599999999999999E-2</v>
      </c>
      <c r="AA138" s="62">
        <f t="shared" si="89"/>
        <v>23.283300000000001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90"/>
        <v>0224-18</v>
      </c>
      <c r="AE138" s="85" t="str">
        <f t="shared" si="65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138" s="82" t="str">
        <f t="shared" si="66"/>
        <v>"C:\Program Files (x86)\AstroGrep\AstroGrep.exe" /spath="%USERPROFILE%\AppData\Local\Temp\OnboardLogs" /stypes="app*4021*20170219*" /stext=" 04:.+((SYSTEM_STATE.+slice.+state.+changed )|(ment ac)|(multiple cpu faults)|(system.+state.+changed )|(\[timeout)|(PRM\|1\|D)|(kpr)|(kdp)|(\|lc)|(penalty))" /e /r /s</v>
      </c>
      <c r="AG138" s="1" t="str">
        <f t="shared" si="91"/>
        <v>EC</v>
      </c>
      <c r="AH138" s="86" t="str">
        <f t="shared" si="67"/>
        <v>"%USERPROFILE%\Documents\GitHub\eaglep3\Utilities\RefineRTDCRunTimes.py" --tripid 224-18 --locoid 4021 --swversion DE.1.0.9.0 --startMP 204:232989 --initTime 2017-02-18T20:13:50 --startdatetime 2017-02-18T20:26:31 --delay 1 --endMP 204:156 --enddatetime 2017-02-18T21:07:55 --enforcementcount 0 &gt;&gt;C:\Users\stu\Documents\GitHub\eaglep3-reporting\EC\2017-02-18-refined-times.txt</v>
      </c>
      <c r="AI138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{"issue":{"subject":"","project_id":79,"tracker_id":40,"status_id":1,"priority_id":2,"assigned_to_id":23,"start_date":"2017-02-18","description":"","custom_fields":[{"id":1,"name":"Subdivision","value":"EC"},{"id":4,"name":"Milepost","value":"0.0156"},{"id":17,"name":"Train ID","value":"224-18"},{"id":16,"name":"Locomotive ID","value":"4021"},{"id":130,"name":"Impact","value":""},{"id":150,"name":"Time of Event (Mountain Time)","value":"21:07:55"},{"id":151,"name":"Denver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69"/>
        <v>start /low /b %USERPROFILE%\Documents\GitHub\eaglep3\Utilities\DownloadLogsFromS3.py --loco 4021 --day 2017-02-18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475</v>
      </c>
      <c r="B139" s="7">
        <v>4029</v>
      </c>
      <c r="C139" s="21" t="s">
        <v>680</v>
      </c>
      <c r="D139" s="21" t="s">
        <v>230</v>
      </c>
      <c r="E139" s="13">
        <v>42784.827337962961</v>
      </c>
      <c r="F139" s="13">
        <v>42784.83394675926</v>
      </c>
      <c r="G139" s="7">
        <v>2</v>
      </c>
      <c r="H139" s="21" t="s">
        <v>302</v>
      </c>
      <c r="I139" s="13">
        <v>42784.858402777776</v>
      </c>
      <c r="J139" s="7">
        <v>0</v>
      </c>
      <c r="K139" s="98" t="str">
        <f t="shared" si="83"/>
        <v>4029/4030</v>
      </c>
      <c r="L139" s="21" t="str">
        <f>VLOOKUP(A139,'Trips&amp;Operators'!$C$1:$G$99999,5,FALSE)</f>
        <v>STAMBAUGH JAMES</v>
      </c>
      <c r="M139" s="6">
        <f t="shared" si="84"/>
        <v>2.4456018516502809E-2</v>
      </c>
      <c r="N139" s="7">
        <f t="shared" si="93"/>
        <v>35.216666663764045</v>
      </c>
      <c r="O139" s="7"/>
      <c r="P139" s="7"/>
      <c r="Q139" s="22"/>
      <c r="R139" s="22"/>
      <c r="S139" s="31">
        <f t="shared" si="94"/>
        <v>1</v>
      </c>
      <c r="T139" s="46" t="str">
        <f t="shared" si="85"/>
        <v>NorthBound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64"/>
        <v>https://d0f6bd738d7f1b3e5a7ca70fe4ff75f0.us-east-1.aws.found.io/app/kibana#/discover/Steve-Slow-Train-Analysis-(2080s-and-2083s)?_g=(refreshInterval:(display:Off,pause:!f,section:0,value:0),time:(from:'2017-02-18T18:51:22-0700',mode:absolute,to:'2017-02-18T21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9" s="188" t="str">
        <f t="shared" si="86"/>
        <v>N</v>
      </c>
      <c r="X139" s="188">
        <f t="shared" si="92"/>
        <v>1</v>
      </c>
      <c r="Y139" s="62">
        <f t="shared" si="87"/>
        <v>4.5699999999999998E-2</v>
      </c>
      <c r="Z139" s="62">
        <f t="shared" si="88"/>
        <v>23.328399999999998</v>
      </c>
      <c r="AA139" s="62">
        <f t="shared" si="89"/>
        <v>23.282699999999998</v>
      </c>
      <c r="AB139" s="59" t="str">
        <f>VLOOKUP(A139,Enforcements!$C$7:$K$13,8,0)</f>
        <v>Bulletin (2)</v>
      </c>
      <c r="AC139" s="55" t="str">
        <f>VLOOKUP(A139,Enforcements!$C$7:$E$13,3,0)</f>
        <v>GRADE CROSSING</v>
      </c>
      <c r="AD139" s="56" t="str">
        <f t="shared" si="90"/>
        <v>0225-18</v>
      </c>
      <c r="AE139" s="85" t="str">
        <f t="shared" si="65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39" s="82" t="str">
        <f t="shared" si="66"/>
        <v>"C:\Program Files (x86)\AstroGrep\AstroGrep.exe" /spath="%USERPROFILE%\AppData\Local\Temp\OnboardLogs" /stypes="app*4029*20170219*" /stext=" 03:.+((SYSTEM_STATE.+slice.+state.+changed )|(ment ac)|(multiple cpu faults)|(system.+state.+changed )|(\[timeout)|(PRM\|1\|D)|(kpr)|(kdp)|(\|lc)|(penalty))" /e /r /s</v>
      </c>
      <c r="AG139" s="1" t="str">
        <f t="shared" si="91"/>
        <v>EC</v>
      </c>
      <c r="AH139" s="86" t="str">
        <f t="shared" si="67"/>
        <v>"%USERPROFILE%\Documents\GitHub\eaglep3\Utilities\RefineRTDCRunTimes.py" --tripid 225-18 --locoid 4029 --swversion DE.1.0.9.0 --startMP 204:457 --initTime 2017-02-18T19:51:22 --startdatetime 2017-02-18T20:00:53 --delay 2 --endMP 204:233284 --enddatetime 2017-02-18T20:36:06 --enforcementcount 0 &gt;&gt;C:\Users\stu\Documents\GitHub\eaglep3-reporting\EC\2017-02-18-refined-times.txt</v>
      </c>
      <c r="AI139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{"issue":{"subject":"","project_id":79,"tracker_id":40,"status_id":1,"priority_id":2,"assigned_to_id":23,"start_date":"2017-02-18","description":"","custom_fields":[{"id":1,"name":"Subdivision","value":"EC"},{"id":4,"name":"Milepost","value":"23.3284"},{"id":17,"name":"Train ID","value":"225-18"},{"id":16,"name":"Locomotive ID","value":"4029"},{"id":130,"name":"Impact","value":""},{"id":150,"name":"Time of Event (Mountain Time)","value":"20:36:06"},{"id":151,"name":"Denver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69"/>
        <v>start /low /b %USERPROFILE%\Documents\GitHub\eaglep3\Utilities\DownloadLogsFromS3.py --loco 4029 --day 2017-02-18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"%USERPROFILE%\AppData\Local\Temp\OnboardLogs"\RTDC4029\*4029*20170219* | grep -SE "(Enforcement Action)|(\[TIMEOUT)|(CHR.+\|PRM\|1\|D.+(SWITCH|SIGNAL).+UNKNOWN)" - &gt;&gt; 2017-02-18-UncaughtWiMAX.txt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477</v>
      </c>
      <c r="B140" s="7">
        <v>4030</v>
      </c>
      <c r="C140" s="21" t="s">
        <v>680</v>
      </c>
      <c r="D140" s="21" t="s">
        <v>719</v>
      </c>
      <c r="E140" s="13">
        <v>42784.867083333331</v>
      </c>
      <c r="F140" s="13">
        <v>42784.872546296298</v>
      </c>
      <c r="G140" s="7">
        <v>1</v>
      </c>
      <c r="H140" s="21" t="s">
        <v>702</v>
      </c>
      <c r="I140" s="13">
        <v>42784.901180555556</v>
      </c>
      <c r="J140" s="7">
        <v>0</v>
      </c>
      <c r="K140" s="98" t="str">
        <f t="shared" si="83"/>
        <v>4029/4030</v>
      </c>
      <c r="L140" s="21" t="str">
        <f>VLOOKUP(A140,'Trips&amp;Operators'!$C$1:$G$99999,5,FALSE)</f>
        <v>MACDONALD THOMAS</v>
      </c>
      <c r="M140" s="6">
        <f t="shared" si="84"/>
        <v>2.8634259258979E-2</v>
      </c>
      <c r="N140" s="7">
        <f t="shared" si="93"/>
        <v>41.23333333292976</v>
      </c>
      <c r="O140" s="7"/>
      <c r="P140" s="7"/>
      <c r="Q140" s="22"/>
      <c r="R140" s="22"/>
      <c r="S140" s="31">
        <f t="shared" si="94"/>
        <v>1</v>
      </c>
      <c r="T140" s="46" t="str">
        <f t="shared" si="85"/>
        <v>Southbound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64"/>
        <v>https://d0f6bd738d7f1b3e5a7ca70fe4ff75f0.us-east-1.aws.found.io/app/kibana#/discover/Steve-Slow-Train-Analysis-(2080s-and-2083s)?_g=(refreshInterval:(display:Off,pause:!f,section:0,value:0),time:(from:'2017-02-18T19:48:36-0700',mode:absolute,to:'2017-02-18T22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188" t="str">
        <f t="shared" si="86"/>
        <v>N</v>
      </c>
      <c r="X140" s="188">
        <f t="shared" si="92"/>
        <v>1</v>
      </c>
      <c r="Y140" s="62">
        <f t="shared" si="87"/>
        <v>23.299399999999999</v>
      </c>
      <c r="Z140" s="62">
        <f t="shared" si="88"/>
        <v>1.72E-2</v>
      </c>
      <c r="AA140" s="62">
        <f t="shared" si="89"/>
        <v>23.2822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90"/>
        <v>0226-18</v>
      </c>
      <c r="AE140" s="85" t="str">
        <f t="shared" si="65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40" s="82" t="str">
        <f t="shared" si="66"/>
        <v>"C:\Program Files (x86)\AstroGrep\AstroGrep.exe" /spath="%USERPROFILE%\AppData\Local\Temp\OnboardLogs" /stypes="app*4030*20170219*" /stext=" 04:.+((SYSTEM_STATE.+slice.+state.+changed )|(ment ac)|(multiple cpu faults)|(system.+state.+changed )|(\[timeout)|(PRM\|1\|D)|(kpr)|(kdp)|(\|lc)|(penalty))" /e /r /s</v>
      </c>
      <c r="AG140" s="1" t="str">
        <f t="shared" si="91"/>
        <v>EC</v>
      </c>
      <c r="AH140" s="86" t="str">
        <f t="shared" si="67"/>
        <v>"%USERPROFILE%\Documents\GitHub\eaglep3\Utilities\RefineRTDCRunTimes.py" --tripid 226-18 --locoid 4030 --swversion DE.1.0.9.0 --startMP 204:232994 --initTime 2017-02-18T20:48:36 --startdatetime 2017-02-18T20:56:28 --delay 1 --endMP 204:172 --enddatetime 2017-02-18T21:37:42 --enforcementcount 0 &gt;&gt;C:\Users\stu\Documents\GitHub\eaglep3-reporting\EC\2017-02-18-refined-times.txt</v>
      </c>
      <c r="AI140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{"issue":{"subject":"","project_id":79,"tracker_id":40,"status_id":1,"priority_id":2,"assigned_to_id":23,"start_date":"2017-02-18","description":"","custom_fields":[{"id":1,"name":"Subdivision","value":"EC"},{"id":4,"name":"Milepost","value":"0.0172"},{"id":17,"name":"Train ID","value":"226-18"},{"id":16,"name":"Locomotive ID","value":"4030"},{"id":130,"name":"Impact","value":""},{"id":150,"name":"Time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69"/>
        <v>start /low /b %USERPROFILE%\Documents\GitHub\eaglep3\Utilities\DownloadLogsFromS3.py --loco 4030 --day 2017-02-18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476</v>
      </c>
      <c r="B141" s="7">
        <v>4018</v>
      </c>
      <c r="C141" s="21" t="s">
        <v>680</v>
      </c>
      <c r="D141" s="21" t="s">
        <v>233</v>
      </c>
      <c r="E141" s="13">
        <v>42784.84952546296</v>
      </c>
      <c r="F141" s="13">
        <v>42784.854537037034</v>
      </c>
      <c r="G141" s="7">
        <v>1</v>
      </c>
      <c r="H141" s="21" t="s">
        <v>296</v>
      </c>
      <c r="I141" s="13">
        <v>42784.880937499998</v>
      </c>
      <c r="J141" s="7">
        <v>0</v>
      </c>
      <c r="K141" s="98" t="str">
        <f t="shared" si="83"/>
        <v>4017/4018</v>
      </c>
      <c r="L141" s="21" t="str">
        <f>VLOOKUP(A141,'Trips&amp;Operators'!$C$1:$G$99999,5,FALSE)</f>
        <v>MAGEE KENYA</v>
      </c>
      <c r="M141" s="6">
        <f t="shared" si="84"/>
        <v>2.6400462964375038E-2</v>
      </c>
      <c r="N141" s="7">
        <f t="shared" si="93"/>
        <v>38.016666668700054</v>
      </c>
      <c r="O141" s="7"/>
      <c r="P141" s="7"/>
      <c r="Q141" s="22"/>
      <c r="R141" s="22"/>
      <c r="S141" s="31">
        <f t="shared" si="94"/>
        <v>1</v>
      </c>
      <c r="T141" s="46" t="str">
        <f t="shared" si="85"/>
        <v>NorthBound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204" si="9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-18T19:23:19-0700',mode:absolute,to:'2017-02-18T22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188" t="str">
        <f t="shared" si="86"/>
        <v>N</v>
      </c>
      <c r="X141" s="188">
        <f t="shared" si="92"/>
        <v>1</v>
      </c>
      <c r="Y141" s="62">
        <f t="shared" si="87"/>
        <v>4.5999999999999999E-2</v>
      </c>
      <c r="Z141" s="62">
        <f t="shared" si="88"/>
        <v>23.331</v>
      </c>
      <c r="AA141" s="62">
        <f t="shared" si="89"/>
        <v>23.285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90"/>
        <v>0227-18</v>
      </c>
      <c r="AE141" s="85" t="str">
        <f t="shared" ref="AE141:AE204" si="9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41" s="82" t="str">
        <f t="shared" ref="AF141:AF204" si="9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/stypes="app*4018*20170219*" /stext=" 04:.+((SYSTEM_STATE.+slice.+state.+changed )|(ment ac)|(multiple cpu faults)|(system.+state.+changed )|(\[timeout)|(PRM\|1\|D)|(kpr)|(kdp)|(\|lc)|(penalty))" /e /r /s</v>
      </c>
      <c r="AG141" s="1" t="str">
        <f t="shared" si="91"/>
        <v>EC</v>
      </c>
      <c r="AH141" s="86" t="str">
        <f t="shared" si="67"/>
        <v>"%USERPROFILE%\Documents\GitHub\eaglep3\Utilities\RefineRTDCRunTimes.py" --tripid 227-18 --locoid 4018 --swversion DE.1.0.9.0 --startMP 204:460 --initTime 2017-02-18T20:23:19 --startdatetime 2017-02-18T20:30:32 --delay 1 --endMP 204:233310 --enddatetime 2017-02-18T21:08:33 --enforcementcount 0 &gt;&gt;C:\Users\stu\Documents\GitHub\eaglep3-reporting\EC\2017-02-18-refined-times.txt</v>
      </c>
      <c r="AI141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{"issue":{"subject":"","project_id":79,"tracker_id":40,"status_id":1,"priority_id":2,"assigned_to_id":23,"start_date":"2017-02-18","description":"","custom_fields":[{"id":1,"name":"Subdivision","value":"EC"},{"id":4,"name":"Milepost","value":"23.331"},{"id":17,"name":"Train ID","value":"227-18"},{"id":16,"name":"Locomotive ID","value":"4018"},{"id":130,"name":"Impact","value":""},{"id":150,"name":"Time of Event (Mountain Time)","value":"21:08:33"},{"id":151,"name":"Denver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69"/>
        <v>start /low /b %USERPROFILE%\Documents\GitHub\eaglep3\Utilities\DownloadLogsFromS3.py --loco 4018 --day 2017-02-18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659</v>
      </c>
      <c r="B142" s="7">
        <v>4017</v>
      </c>
      <c r="C142" s="21" t="s">
        <v>680</v>
      </c>
      <c r="D142" s="21" t="s">
        <v>353</v>
      </c>
      <c r="E142" s="13">
        <v>42784.891377314816</v>
      </c>
      <c r="F142" s="13">
        <v>42784.893379629626</v>
      </c>
      <c r="G142" s="7">
        <v>1</v>
      </c>
      <c r="H142" s="21" t="s">
        <v>311</v>
      </c>
      <c r="I142" s="13">
        <v>42784.923078703701</v>
      </c>
      <c r="J142" s="7">
        <v>0</v>
      </c>
      <c r="K142" s="98" t="str">
        <f t="shared" si="83"/>
        <v>4017/4018</v>
      </c>
      <c r="L142" s="21" t="str">
        <f>VLOOKUP(A142,'Trips&amp;Operators'!$C$1:$G$99999,5,FALSE)</f>
        <v>MAGEE KENYA</v>
      </c>
      <c r="M142" s="6">
        <f t="shared" si="84"/>
        <v>2.9699074075324461E-2</v>
      </c>
      <c r="N142" s="7">
        <f t="shared" si="93"/>
        <v>42.766666668467224</v>
      </c>
      <c r="O142" s="7"/>
      <c r="P142" s="7"/>
      <c r="Q142" s="22"/>
      <c r="R142" s="22"/>
      <c r="S142" s="31">
        <f t="shared" si="94"/>
        <v>1</v>
      </c>
      <c r="T142" s="46" t="str">
        <f t="shared" si="85"/>
        <v>Southbound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95"/>
        <v>https://d0f6bd738d7f1b3e5a7ca70fe4ff75f0.us-east-1.aws.found.io/app/kibana#/discover/Steve-Slow-Train-Analysis-(2080s-and-2083s)?_g=(refreshInterval:(display:Off,pause:!f,section:0,value:0),time:(from:'2017-02-18T20:23:35-0700',mode:absolute,to:'2017-02-18T23:09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188" t="str">
        <f t="shared" si="86"/>
        <v>N</v>
      </c>
      <c r="X142" s="188">
        <f t="shared" si="92"/>
        <v>1</v>
      </c>
      <c r="Y142" s="62">
        <f t="shared" si="87"/>
        <v>23.297899999999998</v>
      </c>
      <c r="Z142" s="62">
        <f t="shared" si="88"/>
        <v>1.67E-2</v>
      </c>
      <c r="AA142" s="62">
        <f t="shared" si="89"/>
        <v>23.281199999999998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90"/>
        <v>0228-18</v>
      </c>
      <c r="AE142" s="85" t="str">
        <f t="shared" si="96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42" s="82" t="str">
        <f t="shared" si="97"/>
        <v>"C:\Program Files (x86)\AstroGrep\AstroGrep.exe" /spath="%USERPROFILE%\AppData\Local\Temp\OnboardLogs" /stypes="app*4017*20170219*" /stext=" 05:.+((SYSTEM_STATE.+slice.+state.+changed )|(ment ac)|(multiple cpu faults)|(system.+state.+changed )|(\[timeout)|(PRM\|1\|D)|(kpr)|(kdp)|(\|lc)|(penalty))" /e /r /s</v>
      </c>
      <c r="AG142" s="1" t="str">
        <f t="shared" si="91"/>
        <v>EC</v>
      </c>
      <c r="AH142" s="86" t="str">
        <f t="shared" si="67"/>
        <v>"%USERPROFILE%\Documents\GitHub\eaglep3\Utilities\RefineRTDCRunTimes.py" --tripid 228-18 --locoid 4017 --swversion DE.1.0.9.0 --startMP 204:232979 --initTime 2017-02-18T21:23:35 --startdatetime 2017-02-18T21:26:28 --delay 1 --endMP 204:167 --enddatetime 2017-02-18T22:09:14 --enforcementcount 0 &gt;&gt;C:\Users\stu\Documents\GitHub\eaglep3-reporting\EC\2017-02-18-refined-times.txt</v>
      </c>
      <c r="AI142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{"issue":{"subject":"","project_id":79,"tracker_id":40,"status_id":1,"priority_id":2,"assigned_to_id":23,"start_date":"2017-02-18","description":"","custom_fields":[{"id":1,"name":"Subdivision","value":"EC"},{"id":4,"name":"Milepost","value":"0.0167"},{"id":17,"name":"Train ID","value":"228-18"},{"id":16,"name":"Locomotive ID","value":"4017"},{"id":130,"name":"Impact","value":""},{"id":150,"name":"Time of Event (Mountain Time)","value":"22:09:14"},{"id":151,"name":"Denver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9"/>
        <v>start /low /b %USERPROFILE%\Documents\GitHub\eaglep3\Utilities\DownloadLogsFromS3.py --loco 4017 --day 2017-02-18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478</v>
      </c>
      <c r="B143" s="7">
        <v>4011</v>
      </c>
      <c r="C143" s="21" t="s">
        <v>680</v>
      </c>
      <c r="D143" s="21" t="s">
        <v>695</v>
      </c>
      <c r="E143" s="13">
        <v>42784.865682870368</v>
      </c>
      <c r="F143" s="13">
        <v>42784.875740740739</v>
      </c>
      <c r="G143" s="7">
        <v>1</v>
      </c>
      <c r="H143" s="21" t="s">
        <v>407</v>
      </c>
      <c r="I143" s="13">
        <v>42784.902118055557</v>
      </c>
      <c r="J143" s="7">
        <v>0</v>
      </c>
      <c r="K143" s="98" t="str">
        <f t="shared" si="83"/>
        <v>4011/4012</v>
      </c>
      <c r="L143" s="21" t="str">
        <f>VLOOKUP(A143,'Trips&amp;Operators'!$C$1:$G$99999,5,FALSE)</f>
        <v>DUNCAN SHEILA</v>
      </c>
      <c r="M143" s="6">
        <f t="shared" si="84"/>
        <v>2.6377314818091691E-2</v>
      </c>
      <c r="N143" s="7">
        <f t="shared" si="93"/>
        <v>37.983333338052034</v>
      </c>
      <c r="O143" s="7"/>
      <c r="P143" s="7"/>
      <c r="Q143" s="22"/>
      <c r="R143" s="22"/>
      <c r="S143" s="31">
        <f t="shared" si="94"/>
        <v>1</v>
      </c>
      <c r="T143" s="46" t="str">
        <f t="shared" si="85"/>
        <v>NorthBound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95"/>
        <v>https://d0f6bd738d7f1b3e5a7ca70fe4ff75f0.us-east-1.aws.found.io/app/kibana#/discover/Steve-Slow-Train-Analysis-(2080s-and-2083s)?_g=(refreshInterval:(display:Off,pause:!f,section:0,value:0),time:(from:'2017-02-18T19:46:35-0700',mode:absolute,to:'2017-02-18T22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188" t="str">
        <f t="shared" si="86"/>
        <v>N</v>
      </c>
      <c r="X143" s="188">
        <f t="shared" si="92"/>
        <v>1</v>
      </c>
      <c r="Y143" s="62">
        <f t="shared" si="87"/>
        <v>4.58E-2</v>
      </c>
      <c r="Z143" s="62">
        <f t="shared" si="88"/>
        <v>23.329499999999999</v>
      </c>
      <c r="AA143" s="62">
        <f t="shared" si="89"/>
        <v>23.2837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90"/>
        <v>0229-18</v>
      </c>
      <c r="AE143" s="85" t="str">
        <f t="shared" si="96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43" s="82" t="str">
        <f t="shared" si="97"/>
        <v>"C:\Program Files (x86)\AstroGrep\AstroGrep.exe" /spath="%USERPROFILE%\AppData\Local\Temp\OnboardLogs" /stypes="app*4011*20170219*" /stext=" 04:.+((SYSTEM_STATE.+slice.+state.+changed )|(ment ac)|(multiple cpu faults)|(system.+state.+changed )|(\[timeout)|(PRM\|1\|D)|(kpr)|(kdp)|(\|lc)|(penalty))" /e /r /s</v>
      </c>
      <c r="AG143" s="1" t="str">
        <f t="shared" si="91"/>
        <v>EC</v>
      </c>
      <c r="AH143" s="86" t="str">
        <f t="shared" si="67"/>
        <v>"%USERPROFILE%\Documents\GitHub\eaglep3\Utilities\RefineRTDCRunTimes.py" --tripid 229-18 --locoid 4011 --swversion DE.1.0.9.0 --startMP 204:458 --initTime 2017-02-18T20:46:35 --startdatetime 2017-02-18T21:01:04 --delay 1 --endMP 204:233295 --enddatetime 2017-02-18T21:39:03 --enforcementcount 0 &gt;&gt;C:\Users\stu\Documents\GitHub\eaglep3-reporting\EC\2017-02-18-refined-times.txt</v>
      </c>
      <c r="AI143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{"issue":{"subject":"","project_id":79,"tracker_id":40,"status_id":1,"priority_id":2,"assigned_to_id":23,"start_date":"2017-02-18","description":"","custom_fields":[{"id":1,"name":"Subdivision","value":"EC"},{"id":4,"name":"Milepost","value":"23.3295"},{"id":17,"name":"Train ID","value":"229-18"},{"id":16,"name":"Locomotive ID","value":"4011"},{"id":130,"name":"Impact","value":""},{"id":150,"name":"Time of Event (Mountain Time)","value":"21:39:03"},{"id":151,"name":"Denver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9"/>
        <v>start /low /b %USERPROFILE%\Documents\GitHub\eaglep3\Utilities\DownloadLogsFromS3.py --loco 4011 --day 2017-02-18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662</v>
      </c>
      <c r="B144" s="7">
        <v>4012</v>
      </c>
      <c r="C144" s="21" t="s">
        <v>680</v>
      </c>
      <c r="D144" s="21" t="s">
        <v>403</v>
      </c>
      <c r="E144" s="13">
        <v>42784.906157407408</v>
      </c>
      <c r="F144" s="13">
        <v>42784.914317129631</v>
      </c>
      <c r="G144" s="7">
        <v>1</v>
      </c>
      <c r="H144" s="21" t="s">
        <v>299</v>
      </c>
      <c r="I144" s="13">
        <v>42784.945925925924</v>
      </c>
      <c r="J144" s="7">
        <v>0</v>
      </c>
      <c r="K144" s="98" t="str">
        <f t="shared" si="83"/>
        <v>4011/4012</v>
      </c>
      <c r="L144" s="21" t="str">
        <f>VLOOKUP(A144,'Trips&amp;Operators'!$C$1:$G$99999,5,FALSE)</f>
        <v>DUNCAN SHEILA</v>
      </c>
      <c r="M144" s="6">
        <f t="shared" si="84"/>
        <v>3.1608796292857733E-2</v>
      </c>
      <c r="N144" s="7">
        <f t="shared" si="93"/>
        <v>45.516666661715135</v>
      </c>
      <c r="O144" s="7"/>
      <c r="P144" s="7"/>
      <c r="Q144" s="22"/>
      <c r="R144" s="22"/>
      <c r="S144" s="31">
        <f t="shared" si="94"/>
        <v>1</v>
      </c>
      <c r="T144" s="46" t="str">
        <f t="shared" si="85"/>
        <v>Southbound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95"/>
        <v>https://d0f6bd738d7f1b3e5a7ca70fe4ff75f0.us-east-1.aws.found.io/app/kibana#/discover/Steve-Slow-Train-Analysis-(2080s-and-2083s)?_g=(refreshInterval:(display:Off,pause:!f,section:0,value:0),time:(from:'2017-02-18T20:44:52-0700',mode:absolute,to:'2017-02-18T23:42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4" s="188" t="str">
        <f t="shared" si="86"/>
        <v>N</v>
      </c>
      <c r="X144" s="188">
        <f t="shared" si="92"/>
        <v>1</v>
      </c>
      <c r="Y144" s="62">
        <f t="shared" si="87"/>
        <v>23.298200000000001</v>
      </c>
      <c r="Z144" s="62">
        <f t="shared" si="88"/>
        <v>1.47E-2</v>
      </c>
      <c r="AA144" s="62">
        <f t="shared" si="89"/>
        <v>23.2835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90"/>
        <v>0230-18</v>
      </c>
      <c r="AE144" s="85" t="str">
        <f t="shared" si="96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44" s="82" t="str">
        <f t="shared" si="97"/>
        <v>"C:\Program Files (x86)\AstroGrep\AstroGrep.exe" /spath="%USERPROFILE%\AppData\Local\Temp\OnboardLogs" /stypes="app*4012*20170219*" /stext=" 05:.+((SYSTEM_STATE.+slice.+state.+changed )|(ment ac)|(multiple cpu faults)|(system.+state.+changed )|(\[timeout)|(PRM\|1\|D)|(kpr)|(kdp)|(\|lc)|(penalty))" /e /r /s</v>
      </c>
      <c r="AG144" s="1" t="str">
        <f t="shared" si="91"/>
        <v>EC</v>
      </c>
      <c r="AH144" s="86" t="str">
        <f t="shared" si="67"/>
        <v>"%USERPROFILE%\Documents\GitHub\eaglep3\Utilities\RefineRTDCRunTimes.py" --tripid 230-18 --locoid 4012 --swversion DE.1.0.9.0 --startMP 204:232982 --initTime 2017-02-18T21:44:52 --startdatetime 2017-02-18T21:56:37 --delay 1 --endMP 204:147 --enddatetime 2017-02-18T22:42:08 --enforcementcount 0 &gt;&gt;C:\Users\stu\Documents\GitHub\eaglep3-reporting\EC\2017-02-18-refined-times.txt</v>
      </c>
      <c r="AI144" s="108" t="str">
        <f t="shared" si="68"/>
        <v>echo {"issue":{"subject":"","project_id":79,"tracker_id":40,"status_id":1,"priority_id":2,"assigned_to_id":23,"start_date":"2017-02-18","description":"","custom_fields":[{"id":1,"name":"Subdivision","value":"EC"},{"id":4,"name":"Milepost","value":"0.0147"},{"id":17,"name":"Train ID","value":"230-18"},{"id":16,"name":"Locomotive ID","value":"4012"},{"id":130,"name":"Impact","value":""},{"id":150,"name":"Time of Event (Mountain Time)","value":"22:42:08"},{"id":151,"name":"Denver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9"/>
        <v>start /low /b %USERPROFILE%\Documents\GitHub\eaglep3\Utilities\DownloadLogsFromS3.py --loco 4012 --day 2017-02-18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658</v>
      </c>
      <c r="B145" s="7">
        <v>4022</v>
      </c>
      <c r="C145" s="21" t="s">
        <v>680</v>
      </c>
      <c r="D145" s="21" t="s">
        <v>233</v>
      </c>
      <c r="E145" s="13">
        <v>42784.884745370371</v>
      </c>
      <c r="F145" s="13">
        <v>42784.896041666667</v>
      </c>
      <c r="G145" s="7">
        <v>1</v>
      </c>
      <c r="H145" s="21" t="s">
        <v>407</v>
      </c>
      <c r="I145" s="13">
        <v>42784.924525462964</v>
      </c>
      <c r="J145" s="7">
        <v>0</v>
      </c>
      <c r="K145" s="98" t="str">
        <f t="shared" si="83"/>
        <v>4021/4022</v>
      </c>
      <c r="L145" s="21" t="str">
        <f>VLOOKUP(A145,'Trips&amp;Operators'!$C$1:$G$99999,5,FALSE)</f>
        <v>SMITH MICHAEL</v>
      </c>
      <c r="M145" s="6">
        <f t="shared" si="84"/>
        <v>2.8483796297223307E-2</v>
      </c>
      <c r="N145" s="7">
        <f t="shared" si="93"/>
        <v>41.016666668001562</v>
      </c>
      <c r="O145" s="7"/>
      <c r="P145" s="7"/>
      <c r="Q145" s="22"/>
      <c r="R145" s="22"/>
      <c r="S145" s="31">
        <f t="shared" si="94"/>
        <v>1</v>
      </c>
      <c r="T145" s="46" t="str">
        <f t="shared" si="85"/>
        <v>NorthBound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95"/>
        <v>https://d0f6bd738d7f1b3e5a7ca70fe4ff75f0.us-east-1.aws.found.io/app/kibana#/discover/Steve-Slow-Train-Analysis-(2080s-and-2083s)?_g=(refreshInterval:(display:Off,pause:!f,section:0,value:0),time:(from:'2017-02-18T20:14:02-0700',mode:absolute,to:'2017-02-18T23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5" s="188" t="str">
        <f t="shared" si="86"/>
        <v>N</v>
      </c>
      <c r="X145" s="188">
        <f t="shared" si="92"/>
        <v>1</v>
      </c>
      <c r="Y145" s="62">
        <f t="shared" si="87"/>
        <v>4.5999999999999999E-2</v>
      </c>
      <c r="Z145" s="62">
        <f t="shared" si="88"/>
        <v>23.329499999999999</v>
      </c>
      <c r="AA145" s="62">
        <f t="shared" si="89"/>
        <v>23.2835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90"/>
        <v>0231-18</v>
      </c>
      <c r="AE145" s="85" t="str">
        <f t="shared" si="96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45" s="82" t="str">
        <f t="shared" si="97"/>
        <v>"C:\Program Files (x86)\AstroGrep\AstroGrep.exe" /spath="%USERPROFILE%\AppData\Local\Temp\OnboardLogs" /stypes="app*4022*20170219*" /stext=" 05:.+((SYSTEM_STATE.+slice.+state.+changed )|(ment ac)|(multiple cpu faults)|(system.+state.+changed )|(\[timeout)|(PRM\|1\|D)|(kpr)|(kdp)|(\|lc)|(penalty))" /e /r /s</v>
      </c>
      <c r="AG145" s="1" t="str">
        <f t="shared" si="91"/>
        <v>EC</v>
      </c>
      <c r="AH145" s="86" t="str">
        <f t="shared" ref="AH145:AH208" si="98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231-18 --locoid 4022 --swversion DE.1.0.9.0 --startMP 204:460 --initTime 2017-02-18T21:14:02 --startdatetime 2017-02-18T21:30:18 --delay 1 --endMP 204:233295 --enddatetime 2017-02-18T22:11:19 --enforcementcount 0 &gt;&gt;C:\Users\stu\Documents\GitHub\eaglep3-reporting\EC\2017-02-18-refined-times.txt</v>
      </c>
      <c r="AI145" s="108" t="str">
        <f t="shared" ref="AI145:AI208" si="99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{"issue":{"subject":"","project_id":79,"tracker_id":40,"status_id":1,"priority_id":2,"assigned_to_id":23,"start_date":"2017-02-18","description":"","custom_fields":[{"id":1,"name":"Subdivision","value":"EC"},{"id":4,"name":"Milepost","value":"23.3295"},{"id":17,"name":"Train ID","value":"231-18"},{"id":16,"name":"Locomotive ID","value":"4022"},{"id":130,"name":"Impact","value":""},{"id":150,"name":"Time of Event (Mountain Time)","value":"22:11:19"},{"id":151,"name":"Denver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ref="AM145:AM208" si="100">"start /low /b "&amp;dls3logs&amp;" --loco "&amp;B145&amp;" --day "&amp;TEXT(F145,"YYYY-MM-DD")</f>
        <v>start /low /b %USERPROFILE%\Documents\GitHub\eaglep3\Utilities\DownloadLogsFromS3.py --loco 4022 --day 2017-02-18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664</v>
      </c>
      <c r="B146" s="7">
        <v>4021</v>
      </c>
      <c r="C146" s="21" t="s">
        <v>680</v>
      </c>
      <c r="D146" s="21" t="s">
        <v>266</v>
      </c>
      <c r="E146" s="13">
        <v>42784.929108796299</v>
      </c>
      <c r="F146" s="13">
        <v>42784.934988425928</v>
      </c>
      <c r="G146" s="7">
        <v>1</v>
      </c>
      <c r="H146" s="21" t="s">
        <v>196</v>
      </c>
      <c r="I146" s="13">
        <v>42784.963078703702</v>
      </c>
      <c r="J146" s="7">
        <v>0</v>
      </c>
      <c r="K146" s="98" t="str">
        <f t="shared" si="83"/>
        <v>4021/4022</v>
      </c>
      <c r="L146" s="21" t="str">
        <f>VLOOKUP(A146,'Trips&amp;Operators'!$C$1:$G$99999,5,FALSE)</f>
        <v>SMITH MICHAEL</v>
      </c>
      <c r="M146" s="6">
        <f t="shared" si="84"/>
        <v>2.8090277774026617E-2</v>
      </c>
      <c r="N146" s="7">
        <f t="shared" si="93"/>
        <v>40.449999994598329</v>
      </c>
      <c r="O146" s="7"/>
      <c r="P146" s="7"/>
      <c r="Q146" s="22"/>
      <c r="R146" s="22"/>
      <c r="S146" s="31">
        <f t="shared" si="94"/>
        <v>1</v>
      </c>
      <c r="T146" s="46" t="str">
        <f t="shared" si="85"/>
        <v>Southbound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95"/>
        <v>https://d0f6bd738d7f1b3e5a7ca70fe4ff75f0.us-east-1.aws.found.io/app/kibana#/discover/Steve-Slow-Train-Analysis-(2080s-and-2083s)?_g=(refreshInterval:(display:Off,pause:!f,section:0,value:0),time:(from:'2017-02-18T21:17:55-0700',mode:absolute,to:'2017-02-19T00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6" s="188" t="str">
        <f t="shared" si="86"/>
        <v>N</v>
      </c>
      <c r="X146" s="188">
        <f t="shared" si="92"/>
        <v>1</v>
      </c>
      <c r="Y146" s="62">
        <f t="shared" si="87"/>
        <v>23.299299999999999</v>
      </c>
      <c r="Z146" s="62">
        <f t="shared" si="88"/>
        <v>1.4500000000000001E-2</v>
      </c>
      <c r="AA146" s="62">
        <f t="shared" si="89"/>
        <v>23.284799999999997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90"/>
        <v>0232-18</v>
      </c>
      <c r="AE146" s="85" t="str">
        <f t="shared" si="96"/>
        <v>aws s3 cp s3://rtdc.mdm.uploadarchive.raw/RTDC4021/ "%USERPROFILE%\AppData\Local\Temp\OnboardLogs"\RTDC4021\2017-02-18 --exclude "*" --recursive --include "*20170218*" &amp; "%USERPROFILE%\Documents\GitHub\mrs-test-scripts\Headless Mode &amp; Sideloading\WalkAndUnGZ.bat" "%USERPROFILE%\AppData\Local\Temp\OnboardLogs"\RTDC4021\2017-02-18 &amp; 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</v>
      </c>
      <c r="AF146" s="82" t="str">
        <f t="shared" si="97"/>
        <v>"C:\Program Files (x86)\AstroGrep\AstroGrep.exe" /spath="%USERPROFILE%\AppData\Local\Temp\OnboardLogs" /stypes="app*4021*20170219*" /stext=" 06:.+((SYSTEM_STATE.+slice.+state.+changed )|(ment ac)|(multiple cpu faults)|(system.+state.+changed )|(\[timeout)|(PRM\|1\|D)|(kpr)|(kdp)|(\|lc)|(penalty))" /e /r /s</v>
      </c>
      <c r="AG146" s="1" t="str">
        <f t="shared" si="91"/>
        <v>EC</v>
      </c>
      <c r="AH146" s="86" t="str">
        <f t="shared" si="98"/>
        <v>"%USERPROFILE%\Documents\GitHub\eaglep3\Utilities\RefineRTDCRunTimes.py" --tripid 232-18 --locoid 4021 --swversion DE.1.0.9.0 --startMP 204:232993 --initTime 2017-02-18T22:17:55 --startdatetime 2017-02-18T22:26:23 --delay 1 --endMP 204:145 --enddatetime 2017-02-18T23:06:50 --enforcementcount 0 &gt;&gt;C:\Users\stu\Documents\GitHub\eaglep3-reporting\EC\2017-02-18-refined-times.txt</v>
      </c>
      <c r="AI146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{"issue":{"subject":"","project_id":79,"tracker_id":40,"status_id":1,"priority_id":2,"assigned_to_id":23,"start_date":"2017-02-18","description":"","custom_fields":[{"id":1,"name":"Subdivision","value":"EC"},{"id":4,"name":"Milepost","value":"0.0145"},{"id":17,"name":"Train ID","value":"232-18"},{"id":16,"name":"Locomotive ID","value":"4021"},{"id":130,"name":"Impact","value":""},{"id":150,"name":"Time of Event (Mountain Time)","value":"23:06:50"},{"id":151,"name":"Denver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00"/>
        <v>start /low /b %USERPROFILE%\Documents\GitHub\eaglep3\Utilities\DownloadLogsFromS3.py --loco 4021 --day 2017-02-18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</row>
    <row r="147" spans="1:91" s="20" customFormat="1" x14ac:dyDescent="0.25">
      <c r="A147" s="33" t="s">
        <v>661</v>
      </c>
      <c r="B147" s="7">
        <v>4029</v>
      </c>
      <c r="C147" s="21" t="s">
        <v>680</v>
      </c>
      <c r="D147" s="21" t="s">
        <v>787</v>
      </c>
      <c r="E147" s="13">
        <v>42784.902546296296</v>
      </c>
      <c r="F147" s="13">
        <v>42784.917453703703</v>
      </c>
      <c r="G147" s="7">
        <v>1</v>
      </c>
      <c r="H147" s="21" t="s">
        <v>788</v>
      </c>
      <c r="I147" s="13">
        <v>42784.942094907405</v>
      </c>
      <c r="J147" s="7">
        <v>0</v>
      </c>
      <c r="K147" s="98" t="str">
        <f t="shared" si="83"/>
        <v>4029/4030</v>
      </c>
      <c r="L147" s="21" t="str">
        <f>VLOOKUP(A147,'Trips&amp;Operators'!$C$1:$G$99999,5,FALSE)</f>
        <v>STAMBAUGH JAMES</v>
      </c>
      <c r="M147" s="6">
        <f t="shared" si="84"/>
        <v>2.4641203701321501E-2</v>
      </c>
      <c r="N147" s="7">
        <f t="shared" si="93"/>
        <v>35.483333329902962</v>
      </c>
      <c r="O147" s="7"/>
      <c r="P147" s="7"/>
      <c r="Q147" s="22"/>
      <c r="R147" s="22"/>
      <c r="S147" s="31">
        <f t="shared" si="94"/>
        <v>1</v>
      </c>
      <c r="T147" s="46" t="str">
        <f t="shared" si="85"/>
        <v>NorthBound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95"/>
        <v>https://d0f6bd738d7f1b3e5a7ca70fe4ff75f0.us-east-1.aws.found.io/app/kibana#/discover/Steve-Slow-Train-Analysis-(2080s-and-2083s)?_g=(refreshInterval:(display:Off,pause:!f,section:0,value:0),time:(from:'2017-02-18T20:39:40-0700',mode:absolute,to:'2017-02-18T23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7" s="188" t="str">
        <f t="shared" si="86"/>
        <v>N</v>
      </c>
      <c r="X147" s="188">
        <f t="shared" si="92"/>
        <v>1</v>
      </c>
      <c r="Y147" s="62">
        <f t="shared" si="87"/>
        <v>4.9700000000000001E-2</v>
      </c>
      <c r="Z147" s="62">
        <f t="shared" si="88"/>
        <v>23.335899999999999</v>
      </c>
      <c r="AA147" s="62">
        <f t="shared" si="89"/>
        <v>23.286199999999997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90"/>
        <v>0233-18</v>
      </c>
      <c r="AE147" s="85" t="str">
        <f t="shared" si="96"/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AF147" s="82" t="str">
        <f t="shared" si="97"/>
        <v>"C:\Program Files (x86)\AstroGrep\AstroGrep.exe" /spath="%USERPROFILE%\AppData\Local\Temp\OnboardLogs" /stypes="app*4029*20170219*" /stext=" 05:.+((SYSTEM_STATE.+slice.+state.+changed )|(ment ac)|(multiple cpu faults)|(system.+state.+changed )|(\[timeout)|(PRM\|1\|D)|(kpr)|(kdp)|(\|lc)|(penalty))" /e /r /s</v>
      </c>
      <c r="AG147" s="1" t="str">
        <f t="shared" si="91"/>
        <v>EC</v>
      </c>
      <c r="AH147" s="86" t="str">
        <f t="shared" si="98"/>
        <v>"%USERPROFILE%\Documents\GitHub\eaglep3\Utilities\RefineRTDCRunTimes.py" --tripid 233-18 --locoid 4029 --swversion DE.1.0.9.0 --startMP 204:497 --initTime 2017-02-18T21:39:40 --startdatetime 2017-02-18T22:01:08 --delay 1 --endMP 204:233359 --enddatetime 2017-02-18T22:36:37 --enforcementcount 0 &gt;&gt;C:\Users\stu\Documents\GitHub\eaglep3-reporting\EC\2017-02-18-refined-times.txt</v>
      </c>
      <c r="AI147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{"issue":{"subject":"","project_id":79,"tracker_id":40,"status_id":1,"priority_id":2,"assigned_to_id":23,"start_date":"2017-02-18","description":"","custom_fields":[{"id":1,"name":"Subdivision","value":"EC"},{"id":4,"name":"Milepost","value":"23.3359"},{"id":17,"name":"Train ID","value":"233-18"},{"id":16,"name":"Locomotive ID","value":"4029"},{"id":130,"name":"Impact","value":""},{"id":150,"name":"Time of Event (Mountain Time)","value":"22:36:37"},{"id":151,"name":"Denver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00"/>
        <v>start /low /b %USERPROFILE%\Documents\GitHub\eaglep3\Utilities\DownloadLogsFromS3.py --loco 4029 --day 2017-02-18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"%USERPROFILE%\AppData\Local\Temp\OnboardLogs"\RTDC4029\*4029*20170219* | grep -SE "(Enforcement Action)|(\[TIMEOUT)|(CHR.+\|PRM\|1\|D.+(SWITCH|SIGNAL).+UNKNOWN)" - &gt;&gt; 2017-02-18-UncaughtWiMAX.txt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668</v>
      </c>
      <c r="B148" s="7">
        <v>4030</v>
      </c>
      <c r="C148" s="21" t="s">
        <v>680</v>
      </c>
      <c r="D148" s="21" t="s">
        <v>784</v>
      </c>
      <c r="E148" s="13">
        <v>42784.954236111109</v>
      </c>
      <c r="F148" s="13">
        <v>42784.955891203703</v>
      </c>
      <c r="G148" s="7">
        <v>1</v>
      </c>
      <c r="H148" s="21" t="s">
        <v>424</v>
      </c>
      <c r="I148" s="13">
        <v>42784.981747685182</v>
      </c>
      <c r="J148" s="7">
        <v>0</v>
      </c>
      <c r="K148" s="98" t="str">
        <f t="shared" si="83"/>
        <v>4029/4030</v>
      </c>
      <c r="L148" s="21" t="str">
        <f>VLOOKUP(A148,'Trips&amp;Operators'!$C$1:$G$99999,5,FALSE)</f>
        <v>STAMBAUGH JAMES</v>
      </c>
      <c r="M148" s="6">
        <f t="shared" si="84"/>
        <v>2.5856481479422655E-2</v>
      </c>
      <c r="N148" s="7">
        <f t="shared" si="93"/>
        <v>37.233333330368623</v>
      </c>
      <c r="O148" s="7"/>
      <c r="P148" s="7"/>
      <c r="Q148" s="22"/>
      <c r="R148" s="22"/>
      <c r="S148" s="31">
        <f t="shared" si="94"/>
        <v>1</v>
      </c>
      <c r="T148" s="46" t="str">
        <f t="shared" si="85"/>
        <v>Southbound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95"/>
        <v>https://d0f6bd738d7f1b3e5a7ca70fe4ff75f0.us-east-1.aws.found.io/app/kibana#/discover/Steve-Slow-Train-Analysis-(2080s-and-2083s)?_g=(refreshInterval:(display:Off,pause:!f,section:0,value:0),time:(from:'2017-02-18T21:54:06-0700',mode:absolute,to:'2017-02-19T00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188" t="str">
        <f t="shared" si="86"/>
        <v>N</v>
      </c>
      <c r="X148" s="188">
        <f t="shared" si="92"/>
        <v>1</v>
      </c>
      <c r="Y148" s="62">
        <f t="shared" si="87"/>
        <v>23.302299999999999</v>
      </c>
      <c r="Z148" s="62">
        <f t="shared" si="88"/>
        <v>1.2500000000000001E-2</v>
      </c>
      <c r="AA148" s="62">
        <f t="shared" si="89"/>
        <v>23.2898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90"/>
        <v>0234-18</v>
      </c>
      <c r="AE148" s="85" t="str">
        <f t="shared" si="96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48" s="82" t="str">
        <f t="shared" si="97"/>
        <v>"C:\Program Files (x86)\AstroGrep\AstroGrep.exe" /spath="%USERPROFILE%\AppData\Local\Temp\OnboardLogs" /stypes="app*4030*20170219*" /stext=" 06:.+((SYSTEM_STATE.+slice.+state.+changed )|(ment ac)|(multiple cpu faults)|(system.+state.+changed )|(\[timeout)|(PRM\|1\|D)|(kpr)|(kdp)|(\|lc)|(penalty))" /e /r /s</v>
      </c>
      <c r="AG148" s="1" t="str">
        <f t="shared" si="91"/>
        <v>EC</v>
      </c>
      <c r="AH148" s="86" t="str">
        <f t="shared" si="98"/>
        <v>"%USERPROFILE%\Documents\GitHub\eaglep3\Utilities\RefineRTDCRunTimes.py" --tripid 234-18 --locoid 4030 --swversion DE.1.0.9.0 --startMP 204:233023 --initTime 2017-02-18T22:54:06 --startdatetime 2017-02-18T22:56:29 --delay 1 --endMP 204:125 --enddatetime 2017-02-18T23:33:43 --enforcementcount 0 &gt;&gt;C:\Users\stu\Documents\GitHub\eaglep3-reporting\EC\2017-02-18-refined-times.txt</v>
      </c>
      <c r="AI148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{"issue":{"subject":"","project_id":79,"tracker_id":40,"status_id":1,"priority_id":2,"assigned_to_id":23,"start_date":"2017-02-18","description":"","custom_fields":[{"id":1,"name":"Subdivision","value":"EC"},{"id":4,"name":"Milepost","value":"0.0125"},{"id":17,"name":"Train ID","value":"234-18"},{"id":16,"name":"Locomotive ID","value":"4030"},{"id":130,"name":"Impact","value":""},{"id":150,"name":"Time of Event (Mountain Time)","value":"23:33:43"},{"id":151,"name":"Denver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00"/>
        <v>start /low /b %USERPROFILE%\Documents\GitHub\eaglep3\Utilities\DownloadLogsFromS3.py --loco 4030 --day 2017-02-18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665</v>
      </c>
      <c r="B149" s="7">
        <v>4018</v>
      </c>
      <c r="C149" s="21" t="s">
        <v>680</v>
      </c>
      <c r="D149" s="21" t="s">
        <v>789</v>
      </c>
      <c r="E149" s="13">
        <v>42784.933437500003</v>
      </c>
      <c r="F149" s="13">
        <v>42784.937951388885</v>
      </c>
      <c r="G149" s="7">
        <v>2</v>
      </c>
      <c r="H149" s="21" t="s">
        <v>263</v>
      </c>
      <c r="I149" s="13">
        <v>42784.963599537034</v>
      </c>
      <c r="J149" s="7">
        <v>0</v>
      </c>
      <c r="K149" s="98" t="str">
        <f t="shared" si="83"/>
        <v>4017/4018</v>
      </c>
      <c r="L149" s="21" t="str">
        <f>VLOOKUP(A149,'Trips&amp;Operators'!$C$1:$G$99999,5,FALSE)</f>
        <v>SAFIEF AEIMEN</v>
      </c>
      <c r="M149" s="6">
        <f t="shared" si="84"/>
        <v>2.5648148148320615E-2</v>
      </c>
      <c r="N149" s="7">
        <f t="shared" si="93"/>
        <v>36.933333333581686</v>
      </c>
      <c r="O149" s="7"/>
      <c r="P149" s="7"/>
      <c r="Q149" s="22"/>
      <c r="R149" s="22"/>
      <c r="S149" s="31">
        <f t="shared" si="94"/>
        <v>1</v>
      </c>
      <c r="T149" s="46" t="str">
        <f t="shared" si="85"/>
        <v>NorthBound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95"/>
        <v>https://d0f6bd738d7f1b3e5a7ca70fe4ff75f0.us-east-1.aws.found.io/app/kibana#/discover/Steve-Slow-Train-Analysis-(2080s-and-2083s)?_g=(refreshInterval:(display:Off,pause:!f,section:0,value:0),time:(from:'2017-02-18T21:24:09-0700',mode:absolute,to:'2017-02-19T00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188" t="str">
        <f t="shared" si="86"/>
        <v>N</v>
      </c>
      <c r="X149" s="188">
        <f t="shared" si="92"/>
        <v>1</v>
      </c>
      <c r="Y149" s="62">
        <f t="shared" si="87"/>
        <v>4.8599999999999997E-2</v>
      </c>
      <c r="Z149" s="62">
        <f t="shared" si="88"/>
        <v>23.3308</v>
      </c>
      <c r="AA149" s="62">
        <f t="shared" si="89"/>
        <v>23.2822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90"/>
        <v>0235-18</v>
      </c>
      <c r="AE149" s="85" t="str">
        <f t="shared" si="96"/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AF149" s="82" t="str">
        <f t="shared" si="97"/>
        <v>"C:\Program Files (x86)\AstroGrep\AstroGrep.exe" /spath="%USERPROFILE%\AppData\Local\Temp\OnboardLogs" /stypes="app*4018*20170219*" /stext=" 06:.+((SYSTEM_STATE.+slice.+state.+changed )|(ment ac)|(multiple cpu faults)|(system.+state.+changed )|(\[timeout)|(PRM\|1\|D)|(kpr)|(kdp)|(\|lc)|(penalty))" /e /r /s</v>
      </c>
      <c r="AG149" s="1" t="str">
        <f t="shared" si="91"/>
        <v>EC</v>
      </c>
      <c r="AH149" s="86" t="str">
        <f t="shared" si="98"/>
        <v>"%USERPROFILE%\Documents\GitHub\eaglep3\Utilities\RefineRTDCRunTimes.py" --tripid 235-18 --locoid 4018 --swversion DE.1.0.9.0 --startMP 204:486 --initTime 2017-02-18T22:24:09 --startdatetime 2017-02-18T22:30:39 --delay 2 --endMP 204:233308 --enddatetime 2017-02-18T23:07:35 --enforcementcount 0 &gt;&gt;C:\Users\stu\Documents\GitHub\eaglep3-reporting\EC\2017-02-18-refined-times.txt</v>
      </c>
      <c r="AI149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{"issue":{"subject":"","project_id":79,"tracker_id":40,"status_id":1,"priority_id":2,"assigned_to_id":23,"start_date":"2017-02-18","description":"","custom_fields":[{"id":1,"name":"Subdivision","value":"EC"},{"id":4,"name":"Milepost","value":"23.3308"},{"id":17,"name":"Train ID","value":"235-18"},{"id":16,"name":"Locomotive ID","value":"4018"},{"id":130,"name":"Impact","value":""},{"id":150,"name":"Time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00"/>
        <v>start /low /b %USERPROFILE%\Documents\GitHub\eaglep3\Utilities\DownloadLogsFromS3.py --loco 4018 --day 2017-02-18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669</v>
      </c>
      <c r="B150" s="7">
        <v>4017</v>
      </c>
      <c r="C150" s="21" t="s">
        <v>680</v>
      </c>
      <c r="D150" s="21" t="s">
        <v>280</v>
      </c>
      <c r="E150" s="13">
        <v>42784.966122685182</v>
      </c>
      <c r="F150" s="13">
        <v>42784.976643518516</v>
      </c>
      <c r="G150" s="7">
        <v>1</v>
      </c>
      <c r="H150" s="21" t="s">
        <v>216</v>
      </c>
      <c r="I150" s="13">
        <v>42785.005069444444</v>
      </c>
      <c r="J150" s="7">
        <v>0</v>
      </c>
      <c r="K150" s="98" t="str">
        <f t="shared" si="83"/>
        <v>4017/4018</v>
      </c>
      <c r="L150" s="21" t="str">
        <f>VLOOKUP(A150,'Trips&amp;Operators'!$C$1:$G$99999,5,FALSE)</f>
        <v>SAFIEF AEIMEN</v>
      </c>
      <c r="M150" s="6">
        <f t="shared" si="84"/>
        <v>2.842592592787696E-2</v>
      </c>
      <c r="N150" s="7">
        <f t="shared" si="93"/>
        <v>40.933333336142823</v>
      </c>
      <c r="O150" s="7"/>
      <c r="P150" s="7"/>
      <c r="Q150" s="22"/>
      <c r="R150" s="22"/>
      <c r="S150" s="31">
        <f t="shared" si="94"/>
        <v>1</v>
      </c>
      <c r="T150" s="46" t="str">
        <f t="shared" si="85"/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95"/>
        <v>https://d0f6bd738d7f1b3e5a7ca70fe4ff75f0.us-east-1.aws.found.io/app/kibana#/discover/Steve-Slow-Train-Analysis-(2080s-and-2083s)?_g=(refreshInterval:(display:Off,pause:!f,section:0,value:0),time:(from:'2017-02-18T22:11:13-0700',mode:absolute,to:'2017-02-19T01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188" t="str">
        <f t="shared" si="86"/>
        <v>N</v>
      </c>
      <c r="X150" s="188">
        <f t="shared" si="92"/>
        <v>1</v>
      </c>
      <c r="Y150" s="62">
        <f t="shared" si="87"/>
        <v>23.2987</v>
      </c>
      <c r="Z150" s="62">
        <f t="shared" si="88"/>
        <v>1.54E-2</v>
      </c>
      <c r="AA150" s="62">
        <f t="shared" si="89"/>
        <v>23.283300000000001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90"/>
        <v>0236-18</v>
      </c>
      <c r="AE150" s="85" t="str">
        <f t="shared" si="96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150" s="82" t="str">
        <f t="shared" si="97"/>
        <v>"C:\Program Files (x86)\AstroGrep\AstroGrep.exe" /spath="%USERPROFILE%\AppData\Local\Temp\OnboardLogs" /stypes="app*4017*20170219*" /stext=" 07:.+((SYSTEM_STATE.+slice.+state.+changed )|(ment ac)|(multiple cpu faults)|(system.+state.+changed )|(\[timeout)|(PRM\|1\|D)|(kpr)|(kdp)|(\|lc)|(penalty))" /e /r /s</v>
      </c>
      <c r="AG150" s="1" t="str">
        <f t="shared" si="91"/>
        <v>EC</v>
      </c>
      <c r="AH150" s="86" t="str">
        <f t="shared" si="98"/>
        <v>"%USERPROFILE%\Documents\GitHub\eaglep3\Utilities\RefineRTDCRunTimes.py" --tripid 236-18 --locoid 4017 --swversion DE.1.0.9.0 --startMP 204:232987 --initTime 2017-02-18T23:11:13 --startdatetime 2017-02-18T23:26:22 --delay 1 --endMP 204:154 --enddatetime 2017-02-19T00:07:18 --enforcementcount 0 &gt;&gt;C:\Users\stu\Documents\GitHub\eaglep3-reporting\EC\2017-02-18-refined-times.txt</v>
      </c>
      <c r="AI150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{"issue":{"subject":"","project_id":79,"tracker_id":40,"status_id":1,"priority_id":2,"assigned_to_id":23,"start_date":"2017-02-19","description":"","custom_fields":[{"id":1,"name":"Subdivision","value":"EC"},{"id":4,"name":"Milepost","value":"0.0154"},{"id":17,"name":"Train ID","value":"236-18"},{"id":16,"name":"Locomotive ID","value":"4017"},{"id":130,"name":"Impact","value":""},{"id":150,"name":"Time of Event (Mountain Time)","value":"00:07:18"},{"id":151,"name":"Denver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00"/>
        <v>start /low /b %USERPROFILE%\Documents\GitHub\eaglep3\Utilities\DownloadLogsFromS3.py --loco 4017 --day 2017-02-18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667</v>
      </c>
      <c r="B151" s="7">
        <v>4011</v>
      </c>
      <c r="C151" s="21" t="s">
        <v>680</v>
      </c>
      <c r="D151" s="21" t="s">
        <v>262</v>
      </c>
      <c r="E151" s="13">
        <v>42784.952789351853</v>
      </c>
      <c r="F151" s="13">
        <v>42784.958715277775</v>
      </c>
      <c r="G151" s="7">
        <v>1</v>
      </c>
      <c r="H151" s="21" t="s">
        <v>698</v>
      </c>
      <c r="I151" s="13">
        <v>42784.985243055555</v>
      </c>
      <c r="J151" s="7">
        <v>0</v>
      </c>
      <c r="K151" s="98" t="str">
        <f t="shared" si="83"/>
        <v>4011/4012</v>
      </c>
      <c r="L151" s="21" t="str">
        <f>VLOOKUP(A151,'Trips&amp;Operators'!$C$1:$G$99999,5,FALSE)</f>
        <v>DUNCAN SHEILA</v>
      </c>
      <c r="M151" s="6">
        <f t="shared" si="84"/>
        <v>2.6527777779847383E-2</v>
      </c>
      <c r="N151" s="7">
        <f t="shared" si="93"/>
        <v>38.200000002980232</v>
      </c>
      <c r="O151" s="7"/>
      <c r="P151" s="7"/>
      <c r="Q151" s="22"/>
      <c r="R151" s="22"/>
      <c r="S151" s="31">
        <f t="shared" si="94"/>
        <v>1</v>
      </c>
      <c r="T151" s="46" t="str">
        <f t="shared" si="85"/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95"/>
        <v>https://d0f6bd738d7f1b3e5a7ca70fe4ff75f0.us-east-1.aws.found.io/app/kibana#/discover/Steve-Slow-Train-Analysis-(2080s-and-2083s)?_g=(refreshInterval:(display:Off,pause:!f,section:0,value:0),time:(from:'2017-02-18T21:52:01-0700',mode:absolute,to:'2017-02-19T00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188" t="str">
        <f t="shared" si="86"/>
        <v>N</v>
      </c>
      <c r="X151" s="188">
        <f t="shared" si="92"/>
        <v>1</v>
      </c>
      <c r="Y151" s="62">
        <f t="shared" si="87"/>
        <v>4.5499999999999999E-2</v>
      </c>
      <c r="Z151" s="62">
        <f t="shared" si="88"/>
        <v>23.331499999999998</v>
      </c>
      <c r="AA151" s="62">
        <f t="shared" si="89"/>
        <v>23.285999999999998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90"/>
        <v>0237-18</v>
      </c>
      <c r="AE151" s="85" t="str">
        <f t="shared" si="96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51" s="82" t="str">
        <f t="shared" si="97"/>
        <v>"C:\Program Files (x86)\AstroGrep\AstroGrep.exe" /spath="%USERPROFILE%\AppData\Local\Temp\OnboardLogs" /stypes="app*4011*20170219*" /stext=" 06:.+((SYSTEM_STATE.+slice.+state.+changed )|(ment ac)|(multiple cpu faults)|(system.+state.+changed )|(\[timeout)|(PRM\|1\|D)|(kpr)|(kdp)|(\|lc)|(penalty))" /e /r /s</v>
      </c>
      <c r="AG151" s="1" t="str">
        <f t="shared" si="91"/>
        <v>EC</v>
      </c>
      <c r="AH151" s="86" t="str">
        <f t="shared" si="98"/>
        <v>"%USERPROFILE%\Documents\GitHub\eaglep3\Utilities\RefineRTDCRunTimes.py" --tripid 237-18 --locoid 4011 --swversion DE.1.0.9.0 --startMP 204:455 --initTime 2017-02-18T22:52:01 --startdatetime 2017-02-18T23:00:33 --delay 1 --endMP 204:233315 --enddatetime 2017-02-18T23:38:45 --enforcementcount 0 &gt;&gt;C:\Users\stu\Documents\GitHub\eaglep3-reporting\EC\2017-02-18-refined-times.txt</v>
      </c>
      <c r="AI151" s="108" t="str">
        <f t="shared" si="99"/>
        <v>echo {"issue":{"subject":"","project_id":79,"tracker_id":40,"status_id":1,"priority_id":2,"assigned_to_id":23,"start_date":"2017-02-18","description":"","custom_fields":[{"id":1,"name":"Subdivision","value":"EC"},{"id":4,"name":"Milepost","value":"23.3315"},{"id":17,"name":"Train ID","value":"237-18"},{"id":16,"name":"Locomotive ID","value":"4011"},{"id":130,"name":"Impact","value":""},{"id":150,"name":"Time of Event (Mountain Time)","value":"23:38:45"},{"id":151,"name":"Denver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00"/>
        <v>start /low /b %USERPROFILE%\Documents\GitHub\eaglep3\Utilities\DownloadLogsFromS3.py --loco 4011 --day 2017-02-18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672</v>
      </c>
      <c r="B152" s="7">
        <v>4012</v>
      </c>
      <c r="C152" s="21" t="s">
        <v>680</v>
      </c>
      <c r="D152" s="21" t="s">
        <v>405</v>
      </c>
      <c r="E152" s="13">
        <v>42784.992291666669</v>
      </c>
      <c r="F152" s="13">
        <v>42784.997442129628</v>
      </c>
      <c r="G152" s="7">
        <v>1</v>
      </c>
      <c r="H152" s="21" t="s">
        <v>299</v>
      </c>
      <c r="I152" s="13">
        <v>42785.026273148149</v>
      </c>
      <c r="J152" s="7">
        <v>0</v>
      </c>
      <c r="K152" s="98" t="str">
        <f t="shared" si="83"/>
        <v>4011/4012</v>
      </c>
      <c r="L152" s="21" t="str">
        <f>VLOOKUP(A152,'Trips&amp;Operators'!$C$1:$G$99999,5,FALSE)</f>
        <v>DUNCAN SHEILA</v>
      </c>
      <c r="M152" s="6">
        <f t="shared" si="84"/>
        <v>2.8831018520577345E-2</v>
      </c>
      <c r="N152" s="7">
        <f t="shared" si="93"/>
        <v>41.516666669631377</v>
      </c>
      <c r="O152" s="7"/>
      <c r="P152" s="7"/>
      <c r="Q152" s="22"/>
      <c r="R152" s="22"/>
      <c r="S152" s="31">
        <f t="shared" si="94"/>
        <v>1</v>
      </c>
      <c r="T152" s="46" t="str">
        <f t="shared" si="85"/>
        <v>Southbound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 t="shared" si="95"/>
        <v>https://d0f6bd738d7f1b3e5a7ca70fe4ff75f0.us-east-1.aws.found.io/app/kibana#/discover/Steve-Slow-Train-Analysis-(2080s-and-2083s)?_g=(refreshInterval:(display:Off,pause:!f,section:0,value:0),time:(from:'2017-02-18T22:48:54-0700',mode:absolute,to:'2017-02-19T01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2" s="188" t="str">
        <f t="shared" si="86"/>
        <v>N</v>
      </c>
      <c r="X152" s="188">
        <f t="shared" si="92"/>
        <v>1</v>
      </c>
      <c r="Y152" s="62">
        <f t="shared" si="87"/>
        <v>23.3004</v>
      </c>
      <c r="Z152" s="62">
        <f t="shared" si="88"/>
        <v>1.47E-2</v>
      </c>
      <c r="AA152" s="62">
        <f t="shared" si="89"/>
        <v>23.285699999999999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90"/>
        <v>0238-18</v>
      </c>
      <c r="AE152" s="85" t="str">
        <f t="shared" si="96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52" s="82" t="str">
        <f t="shared" si="97"/>
        <v>"C:\Program Files (x86)\AstroGrep\AstroGrep.exe" /spath="%USERPROFILE%\AppData\Local\Temp\OnboardLogs" /stypes="app*4012*20170219*" /stext=" 07:.+((SYSTEM_STATE.+slice.+state.+changed )|(ment ac)|(multiple cpu faults)|(system.+state.+changed )|(\[timeout)|(PRM\|1\|D)|(kpr)|(kdp)|(\|lc)|(penalty))" /e /r /s</v>
      </c>
      <c r="AG152" s="1" t="str">
        <f t="shared" si="91"/>
        <v>EC</v>
      </c>
      <c r="AH152" s="86" t="str">
        <f t="shared" si="98"/>
        <v>"%USERPROFILE%\Documents\GitHub\eaglep3\Utilities\RefineRTDCRunTimes.py" --tripid 238-18 --locoid 4012 --swversion DE.1.0.9.0 --startMP 204:233004 --initTime 2017-02-18T23:48:54 --startdatetime 2017-02-18T23:56:19 --delay 1 --endMP 204:147 --enddatetime 2017-02-19T00:37:50 --enforcementcount 0 &gt;&gt;C:\Users\stu\Documents\GitHub\eaglep3-reporting\EC\2017-02-18-refined-times.txt</v>
      </c>
      <c r="AI152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{"issue":{"subject":"","project_id":79,"tracker_id":40,"status_id":1,"priority_id":2,"assigned_to_id":23,"start_date":"2017-02-19","description":"","custom_fields":[{"id":1,"name":"Subdivision","value":"EC"},{"id":4,"name":"Milepost","value":"0.0147"},{"id":17,"name":"Train ID","value":"238-18"},{"id":16,"name":"Locomotive ID","value":"4012"},{"id":130,"name":"Impact","value":""},{"id":150,"name":"Time of Event (Mountain Time)","value":"00:37:50"},{"id":151,"name":"Denver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00"/>
        <v>start /low /b %USERPROFILE%\Documents\GitHub\eaglep3\Utilities\DownloadLogsFromS3.py --loco 4012 --day 2017-02-18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</row>
    <row r="153" spans="1:91" s="20" customFormat="1" x14ac:dyDescent="0.25">
      <c r="A153" s="33" t="s">
        <v>670</v>
      </c>
      <c r="B153" s="7">
        <v>4022</v>
      </c>
      <c r="C153" s="21" t="s">
        <v>680</v>
      </c>
      <c r="D153" s="21" t="s">
        <v>409</v>
      </c>
      <c r="E153" s="13">
        <v>42784.970636574071</v>
      </c>
      <c r="F153" s="13">
        <v>42784.979328703703</v>
      </c>
      <c r="G153" s="7">
        <v>1</v>
      </c>
      <c r="H153" s="21" t="s">
        <v>306</v>
      </c>
      <c r="I153" s="13">
        <v>42785.004293981481</v>
      </c>
      <c r="J153" s="7">
        <v>0</v>
      </c>
      <c r="K153" s="98" t="str">
        <f t="shared" ref="K153:K184" si="101">IF(ISEVEN(B153),(B153-1)&amp;"/"&amp;B153,B153&amp;"/"&amp;(B153+1))</f>
        <v>4021/4022</v>
      </c>
      <c r="L153" s="21" t="str">
        <f>VLOOKUP(A153,'Trips&amp;Operators'!$C$1:$G$99999,5,FALSE)</f>
        <v>SMITH MICHAEL</v>
      </c>
      <c r="M153" s="6">
        <f t="shared" ref="M153:M184" si="102">I153-F153</f>
        <v>2.4965277778392192E-2</v>
      </c>
      <c r="N153" s="7">
        <f t="shared" si="93"/>
        <v>35.950000000884756</v>
      </c>
      <c r="O153" s="7"/>
      <c r="P153" s="7"/>
      <c r="Q153" s="22"/>
      <c r="R153" s="22"/>
      <c r="S153" s="31">
        <f t="shared" si="94"/>
        <v>1</v>
      </c>
      <c r="T153" s="46" t="str">
        <f t="shared" ref="T153:T184" si="103">IF(ISEVEN(LEFT(AD153,4)),"Southbound","NorthBound")</f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 t="shared" si="95"/>
        <v>https://d0f6bd738d7f1b3e5a7ca70fe4ff75f0.us-east-1.aws.found.io/app/kibana#/discover/Steve-Slow-Train-Analysis-(2080s-and-2083s)?_g=(refreshInterval:(display:Off,pause:!f,section:0,value:0),time:(from:'2017-02-18T22:17:43-0700',mode:absolute,to:'2017-02-19T01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3" s="188" t="str">
        <f t="shared" ref="W153:W184" si="104">IF(AA153&lt;IF(AG153="EC",23,5.65),"Y","N")</f>
        <v>N</v>
      </c>
      <c r="X153" s="188">
        <f t="shared" si="92"/>
        <v>1</v>
      </c>
      <c r="Y153" s="62">
        <f t="shared" ref="Y153:Y173" si="105">RIGHT(D153,LEN(D153)-4)/10000</f>
        <v>4.7500000000000001E-2</v>
      </c>
      <c r="Z153" s="62">
        <f t="shared" ref="Z153:Z173" si="106">RIGHT(H153,LEN(H153)-4)/10000</f>
        <v>23.330200000000001</v>
      </c>
      <c r="AA153" s="62">
        <f t="shared" ref="AA153:AA184" si="107">ABS(Z153-Y153)</f>
        <v>23.282700000000002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ref="AD153:AD184" si="108">IF(LEN(A153)=6,"0"&amp;A153,A153)</f>
        <v>0239-18</v>
      </c>
      <c r="AE153" s="85" t="str">
        <f t="shared" si="96"/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AF153" s="82" t="str">
        <f t="shared" si="97"/>
        <v>"C:\Program Files (x86)\AstroGrep\AstroGrep.exe" /spath="%USERPROFILE%\AppData\Local\Temp\OnboardLogs" /stypes="app*4022*20170219*" /stext=" 07:.+((SYSTEM_STATE.+slice.+state.+changed )|(ment ac)|(multiple cpu faults)|(system.+state.+changed )|(\[timeout)|(PRM\|1\|D)|(kpr)|(kdp)|(\|lc)|(penalty))" /e /r /s</v>
      </c>
      <c r="AG153" s="1" t="str">
        <f t="shared" ref="AG153:AG184" si="109">IFERROR(IF(VALUE(LEFT(AD153,2))&lt;=2,"EC",IF(OR(VALUE(LEFT(AD153,2))=8,VALUE(LEFT(AD153,2))=18),"NW","Other")),"Other")</f>
        <v>EC</v>
      </c>
      <c r="AH153" s="86" t="str">
        <f t="shared" si="98"/>
        <v>"%USERPROFILE%\Documents\GitHub\eaglep3\Utilities\RefineRTDCRunTimes.py" --tripid 239-18 --locoid 4022 --swversion DE.1.0.9.0 --startMP 204:475 --initTime 2017-02-18T23:17:43 --startdatetime 2017-02-18T23:30:14 --delay 1 --endMP 204:233302 --enddatetime 2017-02-19T00:06:11 --enforcementcount 0 &gt;&gt;C:\Users\stu\Documents\GitHub\eaglep3-reporting\EC\2017-02-18-refined-times.txt</v>
      </c>
      <c r="AI153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{"issue":{"subject":"","project_id":79,"tracker_id":40,"status_id":1,"priority_id":2,"assigned_to_id":23,"start_date":"2017-02-19","description":"","custom_fields":[{"id":1,"name":"Subdivision","value":"EC"},{"id":4,"name":"Milepost","value":"23.3302"},{"id":17,"name":"Train ID","value":"239-18"},{"id":16,"name":"Locomotive ID","value":"4022"},{"id":130,"name":"Impact","value":""},{"id":150,"name":"Time of Event (Mountain Time)","value":"00:06:11"},{"id":151,"name":"Denver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00"/>
        <v>start /low /b %USERPROFILE%\Documents\GitHub\eaglep3\Utilities\DownloadLogsFromS3.py --loco 4022 --day 2017-02-18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481</v>
      </c>
      <c r="B154" s="7">
        <v>4021</v>
      </c>
      <c r="C154" s="21" t="s">
        <v>680</v>
      </c>
      <c r="D154" s="21" t="s">
        <v>266</v>
      </c>
      <c r="E154" s="13">
        <v>42785.010914351849</v>
      </c>
      <c r="F154" s="13">
        <v>42785.018321759257</v>
      </c>
      <c r="G154" s="7">
        <v>1</v>
      </c>
      <c r="H154" s="21" t="s">
        <v>417</v>
      </c>
      <c r="I154" s="13">
        <v>42785.045289351852</v>
      </c>
      <c r="J154" s="7">
        <v>0</v>
      </c>
      <c r="K154" s="98" t="str">
        <f t="shared" si="101"/>
        <v>4021/4022</v>
      </c>
      <c r="L154" s="21" t="str">
        <f>VLOOKUP(A154,'Trips&amp;Operators'!$C$1:$G$99999,5,FALSE)</f>
        <v>SMITH MICHAEL</v>
      </c>
      <c r="M154" s="6">
        <f t="shared" si="102"/>
        <v>2.6967592595610768E-2</v>
      </c>
      <c r="N154" s="7">
        <f t="shared" si="93"/>
        <v>38.833333337679505</v>
      </c>
      <c r="O154" s="7"/>
      <c r="P154" s="7"/>
      <c r="Q154" s="22"/>
      <c r="R154" s="22"/>
      <c r="S154" s="31">
        <f t="shared" si="94"/>
        <v>1</v>
      </c>
      <c r="T154" s="46" t="str">
        <f t="shared" si="103"/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 t="shared" si="95"/>
        <v>https://d0f6bd738d7f1b3e5a7ca70fe4ff75f0.us-east-1.aws.found.io/app/kibana#/discover/Steve-Slow-Train-Analysis-(2080s-and-2083s)?_g=(refreshInterval:(display:Off,pause:!f,section:0,value:0),time:(from:'2017-02-18T23:15:43-0700',mode:absolute,to:'2017-02-19T02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4" s="188" t="str">
        <f t="shared" si="104"/>
        <v>N</v>
      </c>
      <c r="X154" s="188">
        <f t="shared" si="92"/>
        <v>1</v>
      </c>
      <c r="Y154" s="62">
        <f t="shared" si="105"/>
        <v>23.299299999999999</v>
      </c>
      <c r="Z154" s="62">
        <f t="shared" si="106"/>
        <v>1.6500000000000001E-2</v>
      </c>
      <c r="AA154" s="62">
        <f t="shared" si="107"/>
        <v>23.282799999999998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108"/>
        <v>0240-18</v>
      </c>
      <c r="AE154" s="85" t="str">
        <f t="shared" si="96"/>
        <v>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 &amp; 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</v>
      </c>
      <c r="AF154" s="82" t="str">
        <f t="shared" si="97"/>
        <v>"C:\Program Files (x86)\AstroGrep\AstroGrep.exe" /spath="%USERPROFILE%\AppData\Local\Temp\OnboardLogs" /stypes="app*4021*20170219*" /stext=" 08:.+((SYSTEM_STATE.+slice.+state.+changed )|(ment ac)|(multiple cpu faults)|(system.+state.+changed )|(\[timeout)|(PRM\|1\|D)|(kpr)|(kdp)|(\|lc)|(penalty))" /e /r /s</v>
      </c>
      <c r="AG154" s="1" t="str">
        <f t="shared" si="109"/>
        <v>EC</v>
      </c>
      <c r="AH154" s="86" t="str">
        <f t="shared" si="98"/>
        <v>"%USERPROFILE%\Documents\GitHub\eaglep3\Utilities\RefineRTDCRunTimes.py" --tripid 240-18 --locoid 4021 --swversion DE.1.0.9.0 --startMP 204:232993 --initTime 2017-02-19T00:15:43 --startdatetime 2017-02-19T00:26:23 --delay 1 --endMP 204:165 --enddatetime 2017-02-19T01:05:13 --enforcementcount 0 &gt;&gt;C:\Users\stu\Documents\GitHub\eaglep3-reporting\EC\2017-02-18-refined-times.txt</v>
      </c>
      <c r="AI154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{"issue":{"subject":"","project_id":79,"tracker_id":40,"status_id":1,"priority_id":2,"assigned_to_id":23,"start_date":"2017-02-19","description":"","custom_fields":[{"id":1,"name":"Subdivision","value":"EC"},{"id":4,"name":"Milepost","value":"0.0165"},{"id":17,"name":"Train ID","value":"240-18"},{"id":16,"name":"Locomotive ID","value":"4021"},{"id":130,"name":"Impact","value":""},{"id":150,"name":"Time of Event (Mountain Time)","value":"01:05:13"},{"id":151,"name":"Denver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00"/>
        <v>start /low /b %USERPROFILE%\Documents\GitHub\eaglep3\Utilities\DownloadLogsFromS3.py --loco 4021 --day 2017-02-19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"%USERPROFILE%\AppData\Local\Temp\OnboardLogs"\RTDC4021\*4021*20170219* | grep -SE "(Enforcement Action)|(\[TIMEOUT)|(CHR.+\|PRM\|1\|D.+(SWITCH|SIGNAL).+UNKNOWN)" - &gt;&gt; 2017-02-18-UncaughtWiMAX.txt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671</v>
      </c>
      <c r="B155" s="7">
        <v>4029</v>
      </c>
      <c r="C155" s="21" t="s">
        <v>680</v>
      </c>
      <c r="D155" s="21" t="s">
        <v>272</v>
      </c>
      <c r="E155" s="13">
        <v>42784.983472222222</v>
      </c>
      <c r="F155" s="13">
        <v>42785.000520833331</v>
      </c>
      <c r="G155" s="7">
        <v>1</v>
      </c>
      <c r="H155" s="21" t="s">
        <v>790</v>
      </c>
      <c r="I155" s="13">
        <v>42785.024872685186</v>
      </c>
      <c r="J155" s="7">
        <v>0</v>
      </c>
      <c r="K155" s="98" t="str">
        <f t="shared" si="101"/>
        <v>4029/4030</v>
      </c>
      <c r="L155" s="21" t="str">
        <f>VLOOKUP(A155,'Trips&amp;Operators'!$C$1:$G$99999,5,FALSE)</f>
        <v>STAMBAUGH JAMES</v>
      </c>
      <c r="M155" s="6">
        <f t="shared" si="102"/>
        <v>2.4351851854589768E-2</v>
      </c>
      <c r="N155" s="7">
        <f t="shared" si="93"/>
        <v>35.066666670609266</v>
      </c>
      <c r="O155" s="7"/>
      <c r="P155" s="7"/>
      <c r="Q155" s="22"/>
      <c r="R155" s="22"/>
      <c r="S155" s="31">
        <f t="shared" si="94"/>
        <v>1</v>
      </c>
      <c r="T155" s="46" t="str">
        <f t="shared" si="103"/>
        <v>NorthBound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7" t="str">
        <f t="shared" si="95"/>
        <v>https://d0f6bd738d7f1b3e5a7ca70fe4ff75f0.us-east-1.aws.found.io/app/kibana#/discover/Steve-Slow-Train-Analysis-(2080s-and-2083s)?_g=(refreshInterval:(display:Off,pause:!f,section:0,value:0),time:(from:'2017-02-18T22:36:12-0700',mode:absolute,to:'2017-02-19T01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5" s="188" t="str">
        <f t="shared" si="104"/>
        <v>N</v>
      </c>
      <c r="X155" s="188">
        <f t="shared" si="92"/>
        <v>1</v>
      </c>
      <c r="Y155" s="62">
        <f t="shared" si="105"/>
        <v>4.6399999999999997E-2</v>
      </c>
      <c r="Z155" s="62">
        <f t="shared" si="106"/>
        <v>23.3338</v>
      </c>
      <c r="AA155" s="62">
        <f t="shared" si="107"/>
        <v>23.287400000000002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108"/>
        <v>0241-18</v>
      </c>
      <c r="AE155" s="85" t="str">
        <f t="shared" si="96"/>
        <v>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 &amp; 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</v>
      </c>
      <c r="AF155" s="82" t="str">
        <f t="shared" si="97"/>
        <v>"C:\Program Files (x86)\AstroGrep\AstroGrep.exe" /spath="%USERPROFILE%\AppData\Local\Temp\OnboardLogs" /stypes="app*4029*20170219*" /stext=" 07:.+((SYSTEM_STATE.+slice.+state.+changed )|(ment ac)|(multiple cpu faults)|(system.+state.+changed )|(\[timeout)|(PRM\|1\|D)|(kpr)|(kdp)|(\|lc)|(penalty))" /e /r /s</v>
      </c>
      <c r="AG155" s="1" t="str">
        <f t="shared" si="109"/>
        <v>EC</v>
      </c>
      <c r="AH155" s="86" t="str">
        <f t="shared" si="98"/>
        <v>"%USERPROFILE%\Documents\GitHub\eaglep3\Utilities\RefineRTDCRunTimes.py" --tripid 241-18 --locoid 4029 --swversion DE.1.0.9.0 --startMP 204:464 --initTime 2017-02-18T23:36:12 --startdatetime 2017-02-19T00:00:45 --delay 1 --endMP 204:233338 --enddatetime 2017-02-19T00:35:49 --enforcementcount 0 &gt;&gt;C:\Users\stu\Documents\GitHub\eaglep3-reporting\EC\2017-02-18-refined-times.txt</v>
      </c>
      <c r="AI155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{"issue":{"subject":"","project_id":79,"tracker_id":40,"status_id":1,"priority_id":2,"assigned_to_id":23,"start_date":"2017-02-19","description":"","custom_fields":[{"id":1,"name":"Subdivision","value":"EC"},{"id":4,"name":"Milepost","value":"23.3338"},{"id":17,"name":"Train ID","value":"241-18"},{"id":16,"name":"Locomotive ID","value":"4029"},{"id":130,"name":"Impact","value":""},{"id":150,"name":"Time of Event (Mountain Time)","value":"00:35:49"},{"id":151,"name":"Denver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00"/>
        <v>start /low /b %USERPROFILE%\Documents\GitHub\eaglep3\Utilities\DownloadLogsFromS3.py --loco 4029 --day 2017-02-19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"%USERPROFILE%\AppData\Local\Temp\OnboardLogs"\RTDC4029\*4029*20170219* | grep -SE "(Enforcement Action)|(\[TIMEOUT)|(CHR.+\|PRM\|1\|D.+(SWITCH|SIGNAL).+UNKNOWN)" - &gt;&gt; 2017-02-18-UncaughtWiMAX.txt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482</v>
      </c>
      <c r="B156" s="7">
        <v>4030</v>
      </c>
      <c r="C156" s="21" t="s">
        <v>680</v>
      </c>
      <c r="D156" s="21" t="s">
        <v>791</v>
      </c>
      <c r="E156" s="13">
        <v>42785.028090277781</v>
      </c>
      <c r="F156" s="13">
        <v>42785.039259259262</v>
      </c>
      <c r="G156" s="7">
        <v>1</v>
      </c>
      <c r="H156" s="21" t="s">
        <v>260</v>
      </c>
      <c r="I156" s="13">
        <v>42785.065011574072</v>
      </c>
      <c r="J156" s="7">
        <v>0</v>
      </c>
      <c r="K156" s="98" t="str">
        <f t="shared" si="101"/>
        <v>4029/4030</v>
      </c>
      <c r="L156" s="21" t="str">
        <f>VLOOKUP(A156,'Trips&amp;Operators'!$C$1:$G$99999,5,FALSE)</f>
        <v>STAMBAUGH JAMES</v>
      </c>
      <c r="M156" s="6">
        <f t="shared" si="102"/>
        <v>2.5752314810233656E-2</v>
      </c>
      <c r="N156" s="7">
        <f t="shared" si="93"/>
        <v>37.083333326736465</v>
      </c>
      <c r="O156" s="7"/>
      <c r="P156" s="7"/>
      <c r="Q156" s="22"/>
      <c r="R156" s="22"/>
      <c r="S156" s="31">
        <f t="shared" si="94"/>
        <v>1</v>
      </c>
      <c r="T156" s="46" t="str">
        <f t="shared" si="103"/>
        <v>Southbound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 t="shared" si="95"/>
        <v>https://d0f6bd738d7f1b3e5a7ca70fe4ff75f0.us-east-1.aws.found.io/app/kibana#/discover/Steve-Slow-Train-Analysis-(2080s-and-2083s)?_g=(refreshInterval:(display:Off,pause:!f,section:0,value:0),time:(from:'2017-02-18T23:40:27-0700',mode:absolute,to:'2017-02-19T02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188" t="str">
        <f t="shared" si="104"/>
        <v>N</v>
      </c>
      <c r="X156" s="188">
        <f t="shared" si="92"/>
        <v>1</v>
      </c>
      <c r="Y156" s="62">
        <f t="shared" si="105"/>
        <v>23.302499999999998</v>
      </c>
      <c r="Z156" s="62">
        <f t="shared" si="106"/>
        <v>4.6699999999999998E-2</v>
      </c>
      <c r="AA156" s="62">
        <f t="shared" si="107"/>
        <v>23.255799999999997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108"/>
        <v>0242-18</v>
      </c>
      <c r="AE156" s="85" t="str">
        <f t="shared" si="96"/>
        <v>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 &amp; 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</v>
      </c>
      <c r="AF156" s="82" t="str">
        <f t="shared" si="97"/>
        <v>"C:\Program Files (x86)\AstroGrep\AstroGrep.exe" /spath="%USERPROFILE%\AppData\Local\Temp\OnboardLogs" /stypes="app*4030*20170219*" /stext=" 08:.+((SYSTEM_STATE.+slice.+state.+changed )|(ment ac)|(multiple cpu faults)|(system.+state.+changed )|(\[timeout)|(PRM\|1\|D)|(kpr)|(kdp)|(\|lc)|(penalty))" /e /r /s</v>
      </c>
      <c r="AG156" s="1" t="str">
        <f t="shared" si="109"/>
        <v>EC</v>
      </c>
      <c r="AH156" s="86" t="str">
        <f t="shared" si="98"/>
        <v>"%USERPROFILE%\Documents\GitHub\eaglep3\Utilities\RefineRTDCRunTimes.py" --tripid 242-18 --locoid 4030 --swversion DE.1.0.9.0 --startMP 204:233025 --initTime 2017-02-19T00:40:27 --startdatetime 2017-02-19T00:56:32 --delay 1 --endMP 204:467 --enddatetime 2017-02-19T01:33:37 --enforcementcount 0 &gt;&gt;C:\Users\stu\Documents\GitHub\eaglep3-reporting\EC\2017-02-18-refined-times.txt</v>
      </c>
      <c r="AI156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{"issue":{"subject":"","project_id":79,"tracker_id":40,"status_id":1,"priority_id":2,"assigned_to_id":23,"start_date":"2017-02-19","description":"","custom_fields":[{"id":1,"name":"Subdivision","value":"EC"},{"id":4,"name":"Milepost","value":"0.0467"},{"id":17,"name":"Train ID","value":"242-18"},{"id":16,"name":"Locomotive ID","value":"4030"},{"id":130,"name":"Impact","value":""},{"id":150,"name":"Time of Event (Mountain Time)","value":"01:33:37"},{"id":151,"name":"Denver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00"/>
        <v>start /low /b %USERPROFILE%\Documents\GitHub\eaglep3\Utilities\DownloadLogsFromS3.py --loco 4030 --day 2017-02-19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"%USERPROFILE%\AppData\Local\Temp\OnboardLogs"\RTDC4030\*4030*20170219* | grep -SE "(Enforcement Action)|(\[TIMEOUT)|(CHR.+\|PRM\|1\|D.+(SWITCH|SIGNAL).+UNKNOWN)" - &gt;&gt; 2017-02-18-UncaughtWiMAX.txt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673</v>
      </c>
      <c r="B157" s="7">
        <v>4018</v>
      </c>
      <c r="C157" s="21" t="s">
        <v>680</v>
      </c>
      <c r="D157" s="21" t="s">
        <v>255</v>
      </c>
      <c r="E157" s="13">
        <v>42785.012754629628</v>
      </c>
      <c r="F157" s="13">
        <v>42785.021249999998</v>
      </c>
      <c r="G157" s="7">
        <v>1</v>
      </c>
      <c r="H157" s="21" t="s">
        <v>423</v>
      </c>
      <c r="I157" s="13">
        <v>42785.046782407408</v>
      </c>
      <c r="J157" s="7">
        <v>0</v>
      </c>
      <c r="K157" s="98" t="str">
        <f t="shared" si="101"/>
        <v>4017/4018</v>
      </c>
      <c r="L157" s="21" t="str">
        <f>VLOOKUP(A157,'Trips&amp;Operators'!$C$1:$G$99999,5,FALSE)</f>
        <v>MAGEE KENYA</v>
      </c>
      <c r="M157" s="6">
        <f t="shared" si="102"/>
        <v>2.5532407409627922E-2</v>
      </c>
      <c r="N157" s="7">
        <f t="shared" si="93"/>
        <v>36.766666669864208</v>
      </c>
      <c r="O157" s="7"/>
      <c r="P157" s="7"/>
      <c r="Q157" s="22"/>
      <c r="R157" s="22"/>
      <c r="S157" s="31">
        <f t="shared" si="94"/>
        <v>1</v>
      </c>
      <c r="T157" s="46" t="str">
        <f t="shared" si="103"/>
        <v>NorthBound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7" t="str">
        <f t="shared" si="95"/>
        <v>https://d0f6bd738d7f1b3e5a7ca70fe4ff75f0.us-east-1.aws.found.io/app/kibana#/discover/Steve-Slow-Train-Analysis-(2080s-and-2083s)?_g=(refreshInterval:(display:Off,pause:!f,section:0,value:0),time:(from:'2017-02-18T23:18:22-0700',mode:absolute,to:'2017-02-19T02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188" t="str">
        <f t="shared" si="104"/>
        <v>N</v>
      </c>
      <c r="X157" s="188">
        <f t="shared" si="92"/>
        <v>1</v>
      </c>
      <c r="Y157" s="62">
        <f t="shared" si="105"/>
        <v>4.53E-2</v>
      </c>
      <c r="Z157" s="62">
        <f t="shared" si="106"/>
        <v>23.328499999999998</v>
      </c>
      <c r="AA157" s="62">
        <f t="shared" si="107"/>
        <v>23.283199999999997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108"/>
        <v>0243-18</v>
      </c>
      <c r="AE157" s="85" t="str">
        <f t="shared" si="96"/>
        <v>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 &amp; aws s3 cp s3://rtdc.mdm.uploadarchive.raw/RTDC4018/ "%USERPROFILE%\AppData\Local\Temp\OnboardLogs"\RTDC4018\2017-02-20 --exclude "*" --recursive --include "*20170220*" &amp; "%USERPROFILE%\Documents\GitHub\mrs-test-scripts\Headless Mode &amp; Sideloading\WalkAndUnGZ.bat" "%USERPROFILE%\AppData\Local\Temp\OnboardLogs"\RTDC4018\2017-02-20</v>
      </c>
      <c r="AF157" s="82" t="str">
        <f t="shared" si="97"/>
        <v>"C:\Program Files (x86)\AstroGrep\AstroGrep.exe" /spath="%USERPROFILE%\AppData\Local\Temp\OnboardLogs" /stypes="app*4018*20170219*" /stext=" 08:.+((SYSTEM_STATE.+slice.+state.+changed )|(ment ac)|(multiple cpu faults)|(system.+state.+changed )|(\[timeout)|(PRM\|1\|D)|(kpr)|(kdp)|(\|lc)|(penalty))" /e /r /s</v>
      </c>
      <c r="AG157" s="1" t="str">
        <f t="shared" si="109"/>
        <v>EC</v>
      </c>
      <c r="AH157" s="86" t="str">
        <f t="shared" si="98"/>
        <v>"%USERPROFILE%\Documents\GitHub\eaglep3\Utilities\RefineRTDCRunTimes.py" --tripid 243-18 --locoid 4018 --swversion DE.1.0.9.0 --startMP 204:453 --initTime 2017-02-19T00:18:22 --startdatetime 2017-02-19T00:30:36 --delay 1 --endMP 204:233285 --enddatetime 2017-02-19T01:07:22 --enforcementcount 0 &gt;&gt;C:\Users\stu\Documents\GitHub\eaglep3-reporting\EC\2017-02-18-refined-times.txt</v>
      </c>
      <c r="AI157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{"issue":{"subject":"","project_id":79,"tracker_id":40,"status_id":1,"priority_id":2,"assigned_to_id":23,"start_date":"2017-02-19","description":"","custom_fields":[{"id":1,"name":"Subdivision","value":"EC"},{"id":4,"name":"Milepost","value":"23.3285"},{"id":17,"name":"Train ID","value":"243-18"},{"id":16,"name":"Locomotive ID","value":"4018"},{"id":130,"name":"Impact","value":""},{"id":150,"name":"Time of Event (Mountain Time)","value":"01:07:22"},{"id":151,"name":"Denver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00"/>
        <v>start /low /b %USERPROFILE%\Documents\GitHub\eaglep3\Utilities\DownloadLogsFromS3.py --loco 4018 --day 2017-02-19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"%USERPROFILE%\AppData\Local\Temp\OnboardLogs"\RTDC4018\*4018*20170219* | grep -SE "(Enforcement Action)|(\[TIMEOUT)|(CHR.+\|PRM\|1\|D.+(SWITCH|SIGNAL).+UNKNOWN)" - &gt;&gt; 2017-02-18-UncaughtWiMAX.txt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676</v>
      </c>
      <c r="B158" s="7">
        <v>4017</v>
      </c>
      <c r="C158" s="21" t="s">
        <v>680</v>
      </c>
      <c r="D158" s="21" t="s">
        <v>267</v>
      </c>
      <c r="E158" s="13">
        <v>42785.052662037036</v>
      </c>
      <c r="F158" s="13">
        <v>42785.060081018521</v>
      </c>
      <c r="G158" s="7">
        <v>1</v>
      </c>
      <c r="H158" s="21" t="s">
        <v>207</v>
      </c>
      <c r="I158" s="13">
        <v>42785.086747685185</v>
      </c>
      <c r="J158" s="7">
        <v>0</v>
      </c>
      <c r="K158" s="98" t="str">
        <f t="shared" si="101"/>
        <v>4017/4018</v>
      </c>
      <c r="L158" s="21" t="str">
        <f>VLOOKUP(A158,'Trips&amp;Operators'!$C$1:$G$99999,5,FALSE)</f>
        <v>MAGEE KENYA</v>
      </c>
      <c r="M158" s="6">
        <f t="shared" si="102"/>
        <v>2.6666666664823424E-2</v>
      </c>
      <c r="N158" s="7">
        <f t="shared" si="93"/>
        <v>38.399999997345731</v>
      </c>
      <c r="O158" s="7"/>
      <c r="P158" s="7"/>
      <c r="Q158" s="22"/>
      <c r="R158" s="22"/>
      <c r="S158" s="31">
        <f t="shared" si="94"/>
        <v>1</v>
      </c>
      <c r="T158" s="46" t="str">
        <f t="shared" si="103"/>
        <v>Southbound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7" t="str">
        <f t="shared" si="95"/>
        <v>https://d0f6bd738d7f1b3e5a7ca70fe4ff75f0.us-east-1.aws.found.io/app/kibana#/discover/Steve-Slow-Train-Analysis-(2080s-and-2083s)?_g=(refreshInterval:(display:Off,pause:!f,section:0,value:0),time:(from:'2017-02-19T00:15:50-0700',mode:absolute,to:'2017-02-19T03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188" t="str">
        <f t="shared" si="104"/>
        <v>N</v>
      </c>
      <c r="X158" s="188">
        <f t="shared" si="92"/>
        <v>1</v>
      </c>
      <c r="Y158" s="62">
        <f t="shared" si="105"/>
        <v>23.297699999999999</v>
      </c>
      <c r="Z158" s="62">
        <f t="shared" si="106"/>
        <v>1.52E-2</v>
      </c>
      <c r="AA158" s="62">
        <f t="shared" si="107"/>
        <v>23.282499999999999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108"/>
        <v>0244-18</v>
      </c>
      <c r="AE158" s="85" t="str">
        <f t="shared" si="96"/>
        <v>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 &amp; aws s3 cp s3://rtdc.mdm.uploadarchive.raw/RTDC4017/ "%USERPROFILE%\AppData\Local\Temp\OnboardLogs"\RTDC4017\2017-02-20 --exclude "*" --recursive --include "*20170220*" &amp; "%USERPROFILE%\Documents\GitHub\mrs-test-scripts\Headless Mode &amp; Sideloading\WalkAndUnGZ.bat" "%USERPROFILE%\AppData\Local\Temp\OnboardLogs"\RTDC4017\2017-02-20</v>
      </c>
      <c r="AF158" s="82" t="str">
        <f t="shared" si="97"/>
        <v>"C:\Program Files (x86)\AstroGrep\AstroGrep.exe" /spath="%USERPROFILE%\AppData\Local\Temp\OnboardLogs" /stypes="app*4017*20170219*" /stext=" 09:.+((SYSTEM_STATE.+slice.+state.+changed )|(ment ac)|(multiple cpu faults)|(system.+state.+changed )|(\[timeout)|(PRM\|1\|D)|(kpr)|(kdp)|(\|lc)|(penalty))" /e /r /s</v>
      </c>
      <c r="AG158" s="1" t="str">
        <f t="shared" si="109"/>
        <v>EC</v>
      </c>
      <c r="AH158" s="86" t="str">
        <f t="shared" si="98"/>
        <v>"%USERPROFILE%\Documents\GitHub\eaglep3\Utilities\RefineRTDCRunTimes.py" --tripid 244-18 --locoid 4017 --swversion DE.1.0.9.0 --startMP 204:232977 --initTime 2017-02-19T01:15:50 --startdatetime 2017-02-19T01:26:31 --delay 1 --endMP 204:152 --enddatetime 2017-02-19T02:04:55 --enforcementcount 0 &gt;&gt;C:\Users\stu\Documents\GitHub\eaglep3-reporting\EC\2017-02-18-refined-times.txt</v>
      </c>
      <c r="AI158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{"issue":{"subject":"","project_id":79,"tracker_id":40,"status_id":1,"priority_id":2,"assigned_to_id":23,"start_date":"2017-02-19","description":"","custom_fields":[{"id":1,"name":"Subdivision","value":"EC"},{"id":4,"name":"Milepost","value":"0.0152"},{"id":17,"name":"Train ID","value":"244-18"},{"id":16,"name":"Locomotive ID","value":"4017"},{"id":130,"name":"Impact","value":""},{"id":150,"name":"Time of Event (Mountain Time)","value":"02:04:55"},{"id":151,"name":"Denver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00"/>
        <v>start /low /b %USERPROFILE%\Documents\GitHub\eaglep3\Utilities\DownloadLogsFromS3.py --loco 4017 --day 2017-02-19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"%USERPROFILE%\AppData\Local\Temp\OnboardLogs"\RTDC4017\*4017*20170219* | grep -SE "(Enforcement Action)|(\[TIMEOUT)|(CHR.+\|PRM\|1\|D.+(SWITCH|SIGNAL).+UNKNOWN)" - &gt;&gt; 2017-02-18-UncaughtWiMAX.txt</v>
      </c>
    </row>
    <row r="159" spans="1:91" x14ac:dyDescent="0.25">
      <c r="A159" s="33" t="s">
        <v>674</v>
      </c>
      <c r="B159" s="7">
        <v>4011</v>
      </c>
      <c r="C159" s="21" t="s">
        <v>680</v>
      </c>
      <c r="D159" s="21" t="s">
        <v>409</v>
      </c>
      <c r="E159" s="13">
        <v>42785.031678240739</v>
      </c>
      <c r="F159" s="13">
        <v>42785.041261574072</v>
      </c>
      <c r="G159" s="7">
        <v>2</v>
      </c>
      <c r="H159" s="21" t="s">
        <v>263</v>
      </c>
      <c r="I159" s="13">
        <v>42785.074155092596</v>
      </c>
      <c r="J159" s="7">
        <v>0</v>
      </c>
      <c r="K159" s="98" t="str">
        <f t="shared" si="101"/>
        <v>4011/4012</v>
      </c>
      <c r="L159" s="21" t="str">
        <f>VLOOKUP(A159,'Trips&amp;Operators'!$C$1:$G$99999,5,FALSE)</f>
        <v>DUNCAN SHEILA</v>
      </c>
      <c r="M159" s="6">
        <f t="shared" si="102"/>
        <v>3.2893518524360843E-2</v>
      </c>
      <c r="N159" s="7">
        <f t="shared" si="93"/>
        <v>47.366666675079614</v>
      </c>
      <c r="O159" s="7"/>
      <c r="P159" s="7"/>
      <c r="Q159" s="22"/>
      <c r="R159" s="22"/>
      <c r="S159" s="31">
        <f t="shared" si="94"/>
        <v>1</v>
      </c>
      <c r="T159" s="46" t="str">
        <f t="shared" si="103"/>
        <v>NorthBound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7" t="str">
        <f t="shared" si="95"/>
        <v>https://d0f6bd738d7f1b3e5a7ca70fe4ff75f0.us-east-1.aws.found.io/app/kibana#/discover/Steve-Slow-Train-Analysis-(2080s-and-2083s)?_g=(refreshInterval:(display:Off,pause:!f,section:0,value:0),time:(from:'2017-02-18T23:45:37-0700',mode:absolute,to:'2017-02-19T02:46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88" t="str">
        <f t="shared" si="104"/>
        <v>N</v>
      </c>
      <c r="X159" s="188">
        <f t="shared" ref="X159:X163" si="110">VALUE(LEFT(AD159,4))-VALUE(LEFT(AD158,4))</f>
        <v>1</v>
      </c>
      <c r="Y159" s="62">
        <f t="shared" si="105"/>
        <v>4.7500000000000001E-2</v>
      </c>
      <c r="Z159" s="62">
        <f t="shared" si="106"/>
        <v>23.3308</v>
      </c>
      <c r="AA159" s="62">
        <f t="shared" si="107"/>
        <v>23.283300000000001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108"/>
        <v>0245-18</v>
      </c>
      <c r="AE159" s="85" t="str">
        <f t="shared" si="96"/>
        <v>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 &amp; 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</v>
      </c>
      <c r="AF159" s="82" t="str">
        <f t="shared" si="97"/>
        <v>"C:\Program Files (x86)\AstroGrep\AstroGrep.exe" /spath="%USERPROFILE%\AppData\Local\Temp\OnboardLogs" /stypes="app*4011*20170219*" /stext=" 08:.+((SYSTEM_STATE.+slice.+state.+changed )|(ment ac)|(multiple cpu faults)|(system.+state.+changed )|(\[timeout)|(PRM\|1\|D)|(kpr)|(kdp)|(\|lc)|(penalty))" /e /r /s</v>
      </c>
      <c r="AG159" s="1" t="str">
        <f t="shared" si="109"/>
        <v>EC</v>
      </c>
      <c r="AH159" s="86" t="str">
        <f t="shared" si="98"/>
        <v>"%USERPROFILE%\Documents\GitHub\eaglep3\Utilities\RefineRTDCRunTimes.py" --tripid 245-18 --locoid 4011 --swversion DE.1.0.9.0 --startMP 204:475 --initTime 2017-02-19T00:45:37 --startdatetime 2017-02-19T00:59:25 --delay 2 --endMP 204:233308 --enddatetime 2017-02-19T01:46:47 --enforcementcount 0 &gt;&gt;C:\Users\stu\Documents\GitHub\eaglep3-reporting\EC\2017-02-18-refined-times.txt</v>
      </c>
      <c r="AI159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{"issue":{"subject":"","project_id":79,"tracker_id":40,"status_id":1,"priority_id":2,"assigned_to_id":23,"start_date":"2017-02-19","description":"","custom_fields":[{"id":1,"name":"Subdivision","value":"EC"},{"id":4,"name":"Milepost","value":"23.3308"},{"id":17,"name":"Train ID","value":"245-18"},{"id":16,"name":"Locomotive ID","value":"4011"},{"id":130,"name":"Impact","value":""},{"id":150,"name":"Time of Event (Mountain Time)","value":"01:46:47"},{"id":151,"name":"Denver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00"/>
        <v>start /low /b %USERPROFILE%\Documents\GitHub\eaglep3\Utilities\DownloadLogsFromS3.py --loco 4011 --day 2017-02-19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"%USERPROFILE%\AppData\Local\Temp\OnboardLogs"\RTDC4011\*4011*20170219* | grep -SE "(Enforcement Action)|(\[TIMEOUT)|(CHR.+\|PRM\|1\|D.+(SWITCH|SIGNAL).+UNKNOWN)" - &gt;&gt; 2017-02-18-UncaughtWiMAX.txt</v>
      </c>
    </row>
    <row r="160" spans="1:91" x14ac:dyDescent="0.25">
      <c r="A160" s="33" t="s">
        <v>678</v>
      </c>
      <c r="B160" s="7">
        <v>4012</v>
      </c>
      <c r="C160" s="21" t="s">
        <v>680</v>
      </c>
      <c r="D160" s="21" t="s">
        <v>719</v>
      </c>
      <c r="E160" s="13">
        <v>42785.077210648145</v>
      </c>
      <c r="F160" s="13">
        <v>42785.080740740741</v>
      </c>
      <c r="G160" s="7">
        <v>2</v>
      </c>
      <c r="H160" s="21" t="s">
        <v>216</v>
      </c>
      <c r="I160" s="13">
        <v>42785.107719907406</v>
      </c>
      <c r="J160" s="7">
        <v>0</v>
      </c>
      <c r="K160" s="98" t="str">
        <f t="shared" si="101"/>
        <v>4011/4012</v>
      </c>
      <c r="L160" s="21" t="str">
        <f>VLOOKUP(A160,'Trips&amp;Operators'!$C$1:$G$99999,5,FALSE)</f>
        <v>DUNCAN SHEILA</v>
      </c>
      <c r="M160" s="6">
        <f t="shared" si="102"/>
        <v>2.6979166665114462E-2</v>
      </c>
      <c r="N160" s="7">
        <f t="shared" si="93"/>
        <v>38.849999997764826</v>
      </c>
      <c r="O160" s="7"/>
      <c r="P160" s="7"/>
      <c r="Q160" s="22"/>
      <c r="R160" s="22"/>
      <c r="S160" s="31">
        <f t="shared" si="94"/>
        <v>1</v>
      </c>
      <c r="T160" s="46" t="str">
        <f t="shared" si="103"/>
        <v>Southbound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7" t="str">
        <f t="shared" si="95"/>
        <v>https://d0f6bd738d7f1b3e5a7ca70fe4ff75f0.us-east-1.aws.found.io/app/kibana#/discover/Steve-Slow-Train-Analysis-(2080s-and-2083s)?_g=(refreshInterval:(display:Off,pause:!f,section:0,value:0),time:(from:'2017-02-19T00:51:11-0700',mode:absolute,to:'2017-02-19T03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88" t="str">
        <f t="shared" si="104"/>
        <v>N</v>
      </c>
      <c r="X160" s="188">
        <f t="shared" si="110"/>
        <v>1</v>
      </c>
      <c r="Y160" s="62">
        <f t="shared" si="105"/>
        <v>23.299399999999999</v>
      </c>
      <c r="Z160" s="62">
        <f t="shared" si="106"/>
        <v>1.54E-2</v>
      </c>
      <c r="AA160" s="62">
        <f t="shared" si="107"/>
        <v>23.283999999999999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108"/>
        <v>0246-18</v>
      </c>
      <c r="AE160" s="85" t="str">
        <f t="shared" si="96"/>
        <v>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 &amp; 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</v>
      </c>
      <c r="AF160" s="82" t="str">
        <f t="shared" si="97"/>
        <v>"C:\Program Files (x86)\AstroGrep\AstroGrep.exe" /spath="%USERPROFILE%\AppData\Local\Temp\OnboardLogs" /stypes="app*4012*20170219*" /stext=" 09:.+((SYSTEM_STATE.+slice.+state.+changed )|(ment ac)|(multiple cpu faults)|(system.+state.+changed )|(\[timeout)|(PRM\|1\|D)|(kpr)|(kdp)|(\|lc)|(penalty))" /e /r /s</v>
      </c>
      <c r="AG160" s="1" t="str">
        <f t="shared" si="109"/>
        <v>EC</v>
      </c>
      <c r="AH160" s="86" t="str">
        <f t="shared" si="98"/>
        <v>"%USERPROFILE%\Documents\GitHub\eaglep3\Utilities\RefineRTDCRunTimes.py" --tripid 246-18 --locoid 4012 --swversion DE.1.0.9.0 --startMP 204:232994 --initTime 2017-02-19T01:51:11 --startdatetime 2017-02-19T01:56:16 --delay 2 --endMP 204:154 --enddatetime 2017-02-19T02:35:07 --enforcementcount 0 &gt;&gt;C:\Users\stu\Documents\GitHub\eaglep3-reporting\EC\2017-02-18-refined-times.txt</v>
      </c>
      <c r="AI160" s="108" t="str">
        <f t="shared" si="99"/>
        <v>echo {"issue":{"subject":"","project_id":79,"tracker_id":40,"status_id":1,"priority_id":2,"assigned_to_id":23,"start_date":"2017-02-19","description":"","custom_fields":[{"id":1,"name":"Subdivision","value":"EC"},{"id":4,"name":"Milepost","value":"0.0154"},{"id":17,"name":"Train ID","value":"246-18"},{"id":16,"name":"Locomotive ID","value":"4012"},{"id":130,"name":"Impact","value":""},{"id":150,"name":"Time of Event (Mountain Time)","value":"02:35:07"},{"id":151,"name":"Denver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00"/>
        <v>start /low /b %USERPROFILE%\Documents\GitHub\eaglep3\Utilities\DownloadLogsFromS3.py --loco 4012 --day 2017-02-19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"%USERPROFILE%\AppData\Local\Temp\OnboardLogs"\RTDC4012\*4012*20170219* | grep -SE "(Enforcement Action)|(\[TIMEOUT)|(CHR.+\|PRM\|1\|D.+(SWITCH|SIGNAL).+UNKNOWN)" - &gt;&gt; 2017-02-18-UncaughtWiMAX.txt</v>
      </c>
    </row>
    <row r="161" spans="1:91" s="20" customFormat="1" x14ac:dyDescent="0.25">
      <c r="A161" s="33" t="s">
        <v>523</v>
      </c>
      <c r="B161" s="7">
        <v>4032</v>
      </c>
      <c r="C161" s="21" t="s">
        <v>680</v>
      </c>
      <c r="D161" s="21" t="s">
        <v>426</v>
      </c>
      <c r="E161" s="13">
        <v>42784.234733796293</v>
      </c>
      <c r="F161" s="13">
        <v>42784.236875000002</v>
      </c>
      <c r="G161" s="7">
        <v>1</v>
      </c>
      <c r="H161" s="21" t="s">
        <v>723</v>
      </c>
      <c r="I161" s="13">
        <v>42784.246736111112</v>
      </c>
      <c r="J161" s="7">
        <v>0</v>
      </c>
      <c r="K161" s="98" t="str">
        <f t="shared" si="101"/>
        <v>4031/4032</v>
      </c>
      <c r="L161" s="21" t="str">
        <f>VLOOKUP(A161,'Trips&amp;Operators'!$C$1:$G$99999,5,FALSE)</f>
        <v>SHOOK JOHN</v>
      </c>
      <c r="M161" s="6">
        <f t="shared" si="102"/>
        <v>9.8611111097852699E-3</v>
      </c>
      <c r="N161" s="7">
        <f t="shared" si="93"/>
        <v>14.199999998090789</v>
      </c>
      <c r="O161" s="7"/>
      <c r="P161" s="7"/>
      <c r="Q161" s="22"/>
      <c r="R161" s="22"/>
      <c r="S161" s="31">
        <f t="shared" si="94"/>
        <v>1</v>
      </c>
      <c r="T161" s="46" t="str">
        <f t="shared" si="103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95"/>
        <v>https://d0f6bd738d7f1b3e5a7ca70fe4ff75f0.us-east-1.aws.found.io/app/kibana#/discover/Steve-Slow-Train-Analysis-(2080s-and-2083s)?_g=(refreshInterval:(display:Off,pause:!f,section:0,value:0),time:(from:'2017-02-18T04:38:01-0700',mode:absolute,to:'2017-02-18T06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88" t="str">
        <f t="shared" si="104"/>
        <v>N</v>
      </c>
      <c r="X161" s="188">
        <f t="shared" si="110"/>
        <v>1554</v>
      </c>
      <c r="Y161" s="62">
        <f t="shared" si="105"/>
        <v>5.8682999999999996</v>
      </c>
      <c r="Z161" s="62">
        <f t="shared" si="106"/>
        <v>7.2900000000000006E-2</v>
      </c>
      <c r="AA161" s="62">
        <f t="shared" si="107"/>
        <v>5.7953999999999999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108"/>
        <v>1800-18</v>
      </c>
      <c r="AE161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1" s="82" t="str">
        <f t="shared" si="97"/>
        <v>"C:\Program Files (x86)\AstroGrep\AstroGrep.exe" /spath="%USERPROFILE%\AppData\Local\Temp\OnboardLogs" /stypes="app*4032*20170218*" /stext=" 12:.+((SYSTEM_STATE.+slice.+state.+changed )|(ment ac)|(multiple cpu faults)|(system.+state.+changed )|(\[timeout)|(PRM\|1\|D)|(kpr)|(kdp)|(\|lc)|(penalty))" /e /r /s</v>
      </c>
      <c r="AG161" s="1" t="str">
        <f t="shared" si="109"/>
        <v>NW</v>
      </c>
      <c r="AH161" s="86" t="str">
        <f t="shared" si="98"/>
        <v>"%USERPROFILE%\Documents\GitHub\eaglep3\Utilities\RefineRTDCRunTimes.py" --tripid 1800-18 --locoid 4032 --swversion DE.1.0.9.0 --startMP 300:58683 --initTime 2017-02-18T05:38:01 --startdatetime 2017-02-18T05:41:06 --delay 1 --endMP 204:729 --enddatetime 2017-02-18T05:55:18 --enforcementcount 0 &gt;&gt;C:\Users\stu\Documents\GitHub\eaglep3-reporting\EC\2017-02-18-refined-times.txt</v>
      </c>
      <c r="AI161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{"issue":{"subject":"","project_id":79,"tracker_id":40,"status_id":1,"priority_id":2,"assigned_to_id":23,"start_date":"2017-02-18","description":"","custom_fields":[{"id":1,"name":"Subdivision","value":"NW"},{"id":4,"name":"Milepost","value":"0.0729"},{"id":17,"name":"Train ID","value":"1800-18"},{"id":16,"name":"Locomotive ID","value":"4032"},{"id":130,"name":"Impact","value":""},{"id":150,"name":"Time of Event (Mountain Time)","value":"05:55:18"},{"id":151,"name":"Denver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00"/>
        <v>start /low /b %USERPROFILE%\Documents\GitHub\eaglep3\Utilities\DownloadLogsFromS3.py --loco 4032 --day 2017-02-18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525</v>
      </c>
      <c r="B162" s="7">
        <v>4031</v>
      </c>
      <c r="C162" s="21" t="s">
        <v>680</v>
      </c>
      <c r="D162" s="21" t="s">
        <v>724</v>
      </c>
      <c r="E162" s="13">
        <v>42784.248483796298</v>
      </c>
      <c r="F162" s="13">
        <v>42784.264780092592</v>
      </c>
      <c r="G162" s="7">
        <v>1</v>
      </c>
      <c r="H162" s="21" t="s">
        <v>725</v>
      </c>
      <c r="I162" s="13">
        <v>42784.274409722224</v>
      </c>
      <c r="J162" s="7">
        <v>0</v>
      </c>
      <c r="K162" s="98" t="str">
        <f t="shared" si="101"/>
        <v>4031/4032</v>
      </c>
      <c r="L162" s="21" t="str">
        <f>VLOOKUP(A162,'Trips&amp;Operators'!$C$1:$G$99999,5,FALSE)</f>
        <v>SHOOK JOHN</v>
      </c>
      <c r="M162" s="6">
        <f t="shared" si="102"/>
        <v>9.6296296323998831E-3</v>
      </c>
      <c r="N162" s="7">
        <f t="shared" si="93"/>
        <v>13.866666670655832</v>
      </c>
      <c r="O162" s="7"/>
      <c r="P162" s="7"/>
      <c r="Q162" s="22"/>
      <c r="R162" s="22"/>
      <c r="S162" s="31">
        <f t="shared" si="94"/>
        <v>1</v>
      </c>
      <c r="T162" s="46" t="str">
        <f t="shared" si="103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95"/>
        <v>https://d0f6bd738d7f1b3e5a7ca70fe4ff75f0.us-east-1.aws.found.io/app/kibana#/discover/Steve-Slow-Train-Analysis-(2080s-and-2083s)?_g=(refreshInterval:(display:Off,pause:!f,section:0,value:0),time:(from:'2017-02-18T04:57:49-0700',mode:absolute,to:'2017-02-18T07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88" t="str">
        <f t="shared" si="104"/>
        <v>N</v>
      </c>
      <c r="X162" s="188">
        <f t="shared" si="110"/>
        <v>1</v>
      </c>
      <c r="Y162" s="62">
        <f t="shared" si="105"/>
        <v>0.1027</v>
      </c>
      <c r="Z162" s="62">
        <f t="shared" si="106"/>
        <v>5.899</v>
      </c>
      <c r="AA162" s="62">
        <f t="shared" si="107"/>
        <v>5.7963000000000005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108"/>
        <v>1801-18</v>
      </c>
      <c r="AE162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62" s="82" t="str">
        <f t="shared" si="97"/>
        <v>"C:\Program Files (x86)\AstroGrep\AstroGrep.exe" /spath="%USERPROFILE%\AppData\Local\Temp\OnboardLogs" /stypes="app*4031*20170218*" /stext=" 13:.+((SYSTEM_STATE.+slice.+state.+changed )|(ment ac)|(multiple cpu faults)|(system.+state.+changed )|(\[timeout)|(PRM\|1\|D)|(kpr)|(kdp)|(\|lc)|(penalty))" /e /r /s</v>
      </c>
      <c r="AG162" s="1" t="str">
        <f t="shared" si="109"/>
        <v>NW</v>
      </c>
      <c r="AH162" s="86" t="str">
        <f t="shared" si="98"/>
        <v>"%USERPROFILE%\Documents\GitHub\eaglep3\Utilities\RefineRTDCRunTimes.py" --tripid 1801-18 --locoid 4031 --swversion DE.1.0.9.0 --startMP 204:1027 --initTime 2017-02-18T05:57:49 --startdatetime 2017-02-18T06:21:17 --delay 1 --endMP 300:58990 --enddatetime 2017-02-18T06:35:09 --enforcementcount 0 &gt;&gt;C:\Users\stu\Documents\GitHub\eaglep3-reporting\EC\2017-02-18-refined-times.txt</v>
      </c>
      <c r="AI162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{"issue":{"subject":"","project_id":79,"tracker_id":40,"status_id":1,"priority_id":2,"assigned_to_id":23,"start_date":"2017-02-18","description":"","custom_fields":[{"id":1,"name":"Subdivision","value":"NW"},{"id":4,"name":"Milepost","value":"5.899"},{"id":17,"name":"Train ID","value":"1801-18"},{"id":16,"name":"Locomotive ID","value":"4031"},{"id":130,"name":"Impact","value":""},{"id":150,"name":"Time of Event (Mountain Time)","value":"06:35:09"},{"id":151,"name":"Denver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00"/>
        <v>start /low /b %USERPROFILE%\Documents\GitHub\eaglep3\Utilities\DownloadLogsFromS3.py --loco 4031 --day 2017-02-18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63" spans="1:91" x14ac:dyDescent="0.25">
      <c r="A163" s="33" t="s">
        <v>531</v>
      </c>
      <c r="B163" s="7">
        <v>4032</v>
      </c>
      <c r="C163" s="21" t="s">
        <v>680</v>
      </c>
      <c r="D163" s="21" t="s">
        <v>426</v>
      </c>
      <c r="E163" s="13">
        <v>42784.276284722226</v>
      </c>
      <c r="F163" s="13">
        <v>42784.278391203705</v>
      </c>
      <c r="G163" s="7">
        <v>1</v>
      </c>
      <c r="H163" s="21" t="s">
        <v>726</v>
      </c>
      <c r="I163" s="13">
        <v>42784.288263888891</v>
      </c>
      <c r="J163" s="7">
        <v>0</v>
      </c>
      <c r="K163" s="98" t="str">
        <f t="shared" si="101"/>
        <v>4031/4032</v>
      </c>
      <c r="L163" s="21" t="str">
        <f>VLOOKUP(A163,'Trips&amp;Operators'!$C$1:$G$99999,5,FALSE)</f>
        <v>SHOOK JOHN</v>
      </c>
      <c r="M163" s="6">
        <f t="shared" si="102"/>
        <v>9.8726851865649223E-3</v>
      </c>
      <c r="N163" s="7">
        <f t="shared" ref="N163:N194" si="111">24*60*SUM($M163:$M163)</f>
        <v>14.216666668653488</v>
      </c>
      <c r="O163" s="7"/>
      <c r="P163" s="7"/>
      <c r="Q163" s="22"/>
      <c r="R163" s="22"/>
      <c r="S163" s="31">
        <f t="shared" ref="S163:S194" si="112">SUM(U163:U163)/IF(AG163="EC",12,1)</f>
        <v>1</v>
      </c>
      <c r="T163" s="46" t="str">
        <f t="shared" si="103"/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95"/>
        <v>https://d0f6bd738d7f1b3e5a7ca70fe4ff75f0.us-east-1.aws.found.io/app/kibana#/discover/Steve-Slow-Train-Analysis-(2080s-and-2083s)?_g=(refreshInterval:(display:Off,pause:!f,section:0,value:0),time:(from:'2017-02-18T05:37:51-0700',mode:absolute,to:'2017-02-18T07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188" t="str">
        <f t="shared" si="104"/>
        <v>N</v>
      </c>
      <c r="X163" s="188">
        <f t="shared" si="110"/>
        <v>1</v>
      </c>
      <c r="Y163" s="62">
        <f t="shared" si="105"/>
        <v>5.8682999999999996</v>
      </c>
      <c r="Z163" s="62">
        <f t="shared" si="106"/>
        <v>7.4800000000000005E-2</v>
      </c>
      <c r="AA163" s="62">
        <f t="shared" si="107"/>
        <v>5.7934999999999999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108"/>
        <v>1802-18</v>
      </c>
      <c r="AE163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3" s="82" t="str">
        <f t="shared" si="97"/>
        <v>"C:\Program Files (x86)\AstroGrep\AstroGrep.exe" /spath="%USERPROFILE%\AppData\Local\Temp\OnboardLogs" /stypes="app*4032*20170218*" /stext=" 13:.+((SYSTEM_STATE.+slice.+state.+changed )|(ment ac)|(multiple cpu faults)|(system.+state.+changed )|(\[timeout)|(PRM\|1\|D)|(kpr)|(kdp)|(\|lc)|(penalty))" /e /r /s</v>
      </c>
      <c r="AG163" s="1" t="str">
        <f t="shared" si="109"/>
        <v>NW</v>
      </c>
      <c r="AH163" s="86" t="str">
        <f t="shared" si="98"/>
        <v>"%USERPROFILE%\Documents\GitHub\eaglep3\Utilities\RefineRTDCRunTimes.py" --tripid 1802-18 --locoid 4032 --swversion DE.1.0.9.0 --startMP 300:58683 --initTime 2017-02-18T06:37:51 --startdatetime 2017-02-18T06:40:53 --delay 1 --endMP 204:748 --enddatetime 2017-02-18T06:55:06 --enforcementcount 0 &gt;&gt;C:\Users\stu\Documents\GitHub\eaglep3-reporting\EC\2017-02-18-refined-times.txt</v>
      </c>
      <c r="AI163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{"issue":{"subject":"","project_id":79,"tracker_id":40,"status_id":1,"priority_id":2,"assigned_to_id":23,"start_date":"2017-02-18","description":"","custom_fields":[{"id":1,"name":"Subdivision","value":"NW"},{"id":4,"name":"Milepost","value":"0.0748"},{"id":17,"name":"Train ID","value":"1802-18"},{"id":16,"name":"Locomotive ID","value":"4032"},{"id":130,"name":"Impact","value":""},{"id":150,"name":"Time of Event (Mountain Time)","value":"06:55:06"},{"id":151,"name":"Denver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00"/>
        <v>start /low /b %USERPROFILE%\Documents\GitHub\eaglep3\Utilities\DownloadLogsFromS3.py --loco 4032 --day 2017-02-18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64" spans="1:91" x14ac:dyDescent="0.25">
      <c r="A164" s="33" t="s">
        <v>534</v>
      </c>
      <c r="B164" s="7">
        <v>4031</v>
      </c>
      <c r="C164" s="21" t="s">
        <v>680</v>
      </c>
      <c r="D164" s="21" t="s">
        <v>727</v>
      </c>
      <c r="E164" s="13">
        <v>42784.29109953704</v>
      </c>
      <c r="F164" s="13">
        <v>42784.306423611109</v>
      </c>
      <c r="G164" s="7">
        <v>1</v>
      </c>
      <c r="H164" s="21" t="s">
        <v>728</v>
      </c>
      <c r="I164" s="13">
        <v>42784.315879629627</v>
      </c>
      <c r="J164" s="7">
        <v>0</v>
      </c>
      <c r="K164" s="98" t="str">
        <f t="shared" si="101"/>
        <v>4031/4032</v>
      </c>
      <c r="L164" s="21" t="str">
        <f>VLOOKUP(A164,'Trips&amp;Operators'!$C$1:$G$99999,5,FALSE)</f>
        <v>SHOOK JOHN</v>
      </c>
      <c r="M164" s="6">
        <f t="shared" si="102"/>
        <v>9.4560185170848854E-3</v>
      </c>
      <c r="N164" s="7">
        <f t="shared" si="111"/>
        <v>13.616666664602235</v>
      </c>
      <c r="O164" s="7"/>
      <c r="P164" s="7"/>
      <c r="Q164" s="22"/>
      <c r="R164" s="22"/>
      <c r="S164" s="31">
        <f t="shared" si="112"/>
        <v>1</v>
      </c>
      <c r="T164" s="46" t="str">
        <f t="shared" si="103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95"/>
        <v>https://d0f6bd738d7f1b3e5a7ca70fe4ff75f0.us-east-1.aws.found.io/app/kibana#/discover/Steve-Slow-Train-Analysis-(2080s-and-2083s)?_g=(refreshInterval:(display:Off,pause:!f,section:0,value:0),time:(from:'2017-02-18T05:59:11-0700',mode:absolute,to:'2017-02-18T08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188" t="str">
        <f t="shared" si="104"/>
        <v>N</v>
      </c>
      <c r="X164" s="188">
        <f t="shared" ref="X164:X174" si="113">VALUE(LEFT(AD164,4))-VALUE(LEFT(AD163,4))</f>
        <v>1</v>
      </c>
      <c r="Y164" s="62">
        <f t="shared" si="105"/>
        <v>9.9900000000000003E-2</v>
      </c>
      <c r="Z164" s="62">
        <f t="shared" si="106"/>
        <v>5.9008000000000003</v>
      </c>
      <c r="AA164" s="62">
        <f t="shared" si="107"/>
        <v>5.8009000000000004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108"/>
        <v>1803-18</v>
      </c>
      <c r="AE164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64" s="82" t="str">
        <f t="shared" si="97"/>
        <v>"C:\Program Files (x86)\AstroGrep\AstroGrep.exe" /spath="%USERPROFILE%\AppData\Local\Temp\OnboardLogs" /stypes="app*4031*20170218*" /stext=" 14:.+((SYSTEM_STATE.+slice.+state.+changed )|(ment ac)|(multiple cpu faults)|(system.+state.+changed )|(\[timeout)|(PRM\|1\|D)|(kpr)|(kdp)|(\|lc)|(penalty))" /e /r /s</v>
      </c>
      <c r="AG164" s="1" t="str">
        <f t="shared" si="109"/>
        <v>NW</v>
      </c>
      <c r="AH164" s="86" t="str">
        <f t="shared" si="98"/>
        <v>"%USERPROFILE%\Documents\GitHub\eaglep3\Utilities\RefineRTDCRunTimes.py" --tripid 1803-18 --locoid 4031 --swversion DE.1.0.9.0 --startMP 204:999 --initTime 2017-02-18T06:59:11 --startdatetime 2017-02-18T07:21:15 --delay 1 --endMP 300:59008 --enddatetime 2017-02-18T07:34:52 --enforcementcount 0 &gt;&gt;C:\Users\stu\Documents\GitHub\eaglep3-reporting\EC\2017-02-18-refined-times.txt</v>
      </c>
      <c r="AI164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{"issue":{"subject":"","project_id":79,"tracker_id":40,"status_id":1,"priority_id":2,"assigned_to_id":23,"start_date":"2017-02-18","description":"","custom_fields":[{"id":1,"name":"Subdivision","value":"NW"},{"id":4,"name":"Milepost","value":"5.9008"},{"id":17,"name":"Train ID","value":"1803-18"},{"id":16,"name":"Locomotive ID","value":"4031"},{"id":130,"name":"Impact","value":""},{"id":150,"name":"Time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00"/>
        <v>start /low /b %USERPROFILE%\Documents\GitHub\eaglep3\Utilities\DownloadLogsFromS3.py --loco 4031 --day 2017-02-18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65" spans="1:91" x14ac:dyDescent="0.25">
      <c r="A165" s="33" t="s">
        <v>537</v>
      </c>
      <c r="B165" s="7">
        <v>4032</v>
      </c>
      <c r="C165" s="21" t="s">
        <v>680</v>
      </c>
      <c r="D165" s="21" t="s">
        <v>729</v>
      </c>
      <c r="E165" s="13">
        <v>42784.317546296297</v>
      </c>
      <c r="F165" s="13">
        <v>42784.320057870369</v>
      </c>
      <c r="G165" s="7">
        <v>1</v>
      </c>
      <c r="H165" s="21" t="s">
        <v>730</v>
      </c>
      <c r="I165" s="13">
        <v>42784.329837962963</v>
      </c>
      <c r="J165" s="7">
        <v>0</v>
      </c>
      <c r="K165" s="98" t="str">
        <f t="shared" si="101"/>
        <v>4031/4032</v>
      </c>
      <c r="L165" s="21" t="str">
        <f>VLOOKUP(A165,'Trips&amp;Operators'!$C$1:$G$99999,5,FALSE)</f>
        <v>SHOOK JOHN</v>
      </c>
      <c r="M165" s="6">
        <f t="shared" si="102"/>
        <v>9.7800925941555761E-3</v>
      </c>
      <c r="N165" s="7">
        <f t="shared" si="111"/>
        <v>14.08333333558403</v>
      </c>
      <c r="O165" s="7"/>
      <c r="P165" s="7"/>
      <c r="Q165" s="22"/>
      <c r="R165" s="22"/>
      <c r="S165" s="31">
        <f t="shared" si="112"/>
        <v>1</v>
      </c>
      <c r="T165" s="46" t="str">
        <f t="shared" si="103"/>
        <v>Southbound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95"/>
        <v>https://d0f6bd738d7f1b3e5a7ca70fe4ff75f0.us-east-1.aws.found.io/app/kibana#/discover/Steve-Slow-Train-Analysis-(2080s-and-2083s)?_g=(refreshInterval:(display:Off,pause:!f,section:0,value:0),time:(from:'2017-02-18T06:37:16-0700',mode:absolute,to:'2017-02-18T08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88" t="str">
        <f t="shared" si="104"/>
        <v>N</v>
      </c>
      <c r="X165" s="188">
        <f t="shared" si="113"/>
        <v>1</v>
      </c>
      <c r="Y165" s="62">
        <f t="shared" si="105"/>
        <v>5.8686999999999996</v>
      </c>
      <c r="Z165" s="62">
        <f t="shared" si="106"/>
        <v>7.3400000000000007E-2</v>
      </c>
      <c r="AA165" s="62">
        <f t="shared" si="107"/>
        <v>5.7952999999999992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108"/>
        <v>1804-18</v>
      </c>
      <c r="AE165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5" s="82" t="str">
        <f t="shared" si="97"/>
        <v>"C:\Program Files (x86)\AstroGrep\AstroGrep.exe" /spath="%USERPROFILE%\AppData\Local\Temp\OnboardLogs" /stypes="app*4032*20170218*" /stext=" 14:.+((SYSTEM_STATE.+slice.+state.+changed )|(ment ac)|(multiple cpu faults)|(system.+state.+changed )|(\[timeout)|(PRM\|1\|D)|(kpr)|(kdp)|(\|lc)|(penalty))" /e /r /s</v>
      </c>
      <c r="AG165" s="1" t="str">
        <f t="shared" si="109"/>
        <v>NW</v>
      </c>
      <c r="AH165" s="86" t="str">
        <f t="shared" si="98"/>
        <v>"%USERPROFILE%\Documents\GitHub\eaglep3\Utilities\RefineRTDCRunTimes.py" --tripid 1804-18 --locoid 4032 --swversion DE.1.0.9.0 --startMP 300:58687 --initTime 2017-02-18T07:37:16 --startdatetime 2017-02-18T07:40:53 --delay 1 --endMP 204:734 --enddatetime 2017-02-18T07:54:58 --enforcementcount 0 &gt;&gt;C:\Users\stu\Documents\GitHub\eaglep3-reporting\EC\2017-02-18-refined-times.txt</v>
      </c>
      <c r="AI165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{"issue":{"subject":"","project_id":79,"tracker_id":40,"status_id":1,"priority_id":2,"assigned_to_id":23,"start_date":"2017-02-18","description":"","custom_fields":[{"id":1,"name":"Subdivision","value":"NW"},{"id":4,"name":"Milepost","value":"0.0734"},{"id":17,"name":"Train ID","value":"1804-18"},{"id":16,"name":"Locomotive ID","value":"4032"},{"id":130,"name":"Impact","value":""},{"id":150,"name":"Time of Event (Mountain Time)","value":"07:54:58"},{"id":151,"name":"Denver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00"/>
        <v>start /low /b %USERPROFILE%\Documents\GitHub\eaglep3\Utilities\DownloadLogsFromS3.py --loco 4032 --day 2017-02-18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66" spans="1:91" x14ac:dyDescent="0.25">
      <c r="A166" s="33" t="s">
        <v>542</v>
      </c>
      <c r="B166" s="7">
        <v>4031</v>
      </c>
      <c r="C166" s="21" t="s">
        <v>680</v>
      </c>
      <c r="D166" s="21" t="s">
        <v>731</v>
      </c>
      <c r="E166" s="13">
        <v>42784.331817129627</v>
      </c>
      <c r="F166" s="13">
        <v>42784.348090277781</v>
      </c>
      <c r="G166" s="7">
        <v>1</v>
      </c>
      <c r="H166" s="21" t="s">
        <v>732</v>
      </c>
      <c r="I166" s="13">
        <v>42784.357476851852</v>
      </c>
      <c r="J166" s="7">
        <v>0</v>
      </c>
      <c r="K166" s="98" t="str">
        <f t="shared" si="101"/>
        <v>4031/4032</v>
      </c>
      <c r="L166" s="21" t="str">
        <f>VLOOKUP(A166,'Trips&amp;Operators'!$C$1:$G$99999,5,FALSE)</f>
        <v>SHOOK JOHN</v>
      </c>
      <c r="M166" s="6">
        <f t="shared" si="102"/>
        <v>9.3865740709588863E-3</v>
      </c>
      <c r="N166" s="7">
        <f t="shared" si="111"/>
        <v>13.516666662180796</v>
      </c>
      <c r="O166" s="7"/>
      <c r="P166" s="7"/>
      <c r="Q166" s="22"/>
      <c r="R166" s="22"/>
      <c r="S166" s="31">
        <f t="shared" si="112"/>
        <v>1</v>
      </c>
      <c r="T166" s="46" t="str">
        <f t="shared" si="103"/>
        <v>NorthBound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95"/>
        <v>https://d0f6bd738d7f1b3e5a7ca70fe4ff75f0.us-east-1.aws.found.io/app/kibana#/discover/Steve-Slow-Train-Analysis-(2080s-and-2083s)?_g=(refreshInterval:(display:Off,pause:!f,section:0,value:0),time:(from:'2017-02-18T06:57:49-0700',mode:absolute,to:'2017-02-18T09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88" t="str">
        <f t="shared" si="104"/>
        <v>N</v>
      </c>
      <c r="X166" s="188">
        <f t="shared" si="113"/>
        <v>1</v>
      </c>
      <c r="Y166" s="62">
        <f t="shared" si="105"/>
        <v>0.10199999999999999</v>
      </c>
      <c r="Z166" s="62">
        <f t="shared" si="106"/>
        <v>5.8987999999999996</v>
      </c>
      <c r="AA166" s="62">
        <f t="shared" si="107"/>
        <v>5.7967999999999993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108"/>
        <v>1805-18</v>
      </c>
      <c r="AE166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66" s="82" t="str">
        <f t="shared" si="97"/>
        <v>"C:\Program Files (x86)\AstroGrep\AstroGrep.exe" /spath="%USERPROFILE%\AppData\Local\Temp\OnboardLogs" /stypes="app*4031*20170218*" /stext=" 15:.+((SYSTEM_STATE.+slice.+state.+changed )|(ment ac)|(multiple cpu faults)|(system.+state.+changed )|(\[timeout)|(PRM\|1\|D)|(kpr)|(kdp)|(\|lc)|(penalty))" /e /r /s</v>
      </c>
      <c r="AG166" s="1" t="str">
        <f t="shared" si="109"/>
        <v>NW</v>
      </c>
      <c r="AH166" s="86" t="str">
        <f t="shared" si="98"/>
        <v>"%USERPROFILE%\Documents\GitHub\eaglep3\Utilities\RefineRTDCRunTimes.py" --tripid 1805-18 --locoid 4031 --swversion DE.1.0.9.0 --startMP 204:1020 --initTime 2017-02-18T07:57:49 --startdatetime 2017-02-18T08:21:15 --delay 1 --endMP 300:58988 --enddatetime 2017-02-18T08:34:46 --enforcementcount 0 &gt;&gt;C:\Users\stu\Documents\GitHub\eaglep3-reporting\EC\2017-02-18-refined-times.txt</v>
      </c>
      <c r="AI166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{"issue":{"subject":"","project_id":79,"tracker_id":40,"status_id":1,"priority_id":2,"assigned_to_id":23,"start_date":"2017-02-18","description":"","custom_fields":[{"id":1,"name":"Subdivision","value":"NW"},{"id":4,"name":"Milepost","value":"5.8988"},{"id":17,"name":"Train ID","value":"1805-18"},{"id":16,"name":"Locomotive ID","value":"4031"},{"id":130,"name":"Impact","value":""},{"id":150,"name":"Time of Event (Mountain Time)","value":"08:34:46"},{"id":151,"name":"Denver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00"/>
        <v>start /low /b %USERPROFILE%\Documents\GitHub\eaglep3\Utilities\DownloadLogsFromS3.py --loco 4031 --day 2017-02-18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67" spans="1:91" s="20" customFormat="1" x14ac:dyDescent="0.25">
      <c r="A167" s="33" t="s">
        <v>548</v>
      </c>
      <c r="B167" s="7">
        <v>4032</v>
      </c>
      <c r="C167" s="21" t="s">
        <v>680</v>
      </c>
      <c r="D167" s="21" t="s">
        <v>733</v>
      </c>
      <c r="E167" s="13">
        <v>42784.359166666669</v>
      </c>
      <c r="F167" s="13">
        <v>42784.361828703702</v>
      </c>
      <c r="G167" s="7">
        <v>1</v>
      </c>
      <c r="H167" s="21" t="s">
        <v>734</v>
      </c>
      <c r="I167" s="13">
        <v>42784.371620370373</v>
      </c>
      <c r="J167" s="7">
        <v>0</v>
      </c>
      <c r="K167" s="98" t="str">
        <f t="shared" si="101"/>
        <v>4031/4032</v>
      </c>
      <c r="L167" s="21" t="str">
        <f>VLOOKUP(A167,'Trips&amp;Operators'!$C$1:$G$99999,5,FALSE)</f>
        <v>SHOOK JOHN</v>
      </c>
      <c r="M167" s="6">
        <f t="shared" si="102"/>
        <v>9.7916666709352285E-3</v>
      </c>
      <c r="N167" s="7">
        <f t="shared" si="111"/>
        <v>14.100000006146729</v>
      </c>
      <c r="O167" s="7"/>
      <c r="P167" s="7"/>
      <c r="Q167" s="22"/>
      <c r="R167" s="22"/>
      <c r="S167" s="31">
        <f t="shared" si="112"/>
        <v>1</v>
      </c>
      <c r="T167" s="46" t="str">
        <f t="shared" si="103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95"/>
        <v>https://d0f6bd738d7f1b3e5a7ca70fe4ff75f0.us-east-1.aws.found.io/app/kibana#/discover/Steve-Slow-Train-Analysis-(2080s-and-2083s)?_g=(refreshInterval:(display:Off,pause:!f,section:0,value:0),time:(from:'2017-02-18T07:37:12-0700',mode:absolute,to:'2017-02-18T09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8" t="str">
        <f t="shared" si="104"/>
        <v>N</v>
      </c>
      <c r="X167" s="188">
        <f t="shared" si="113"/>
        <v>1</v>
      </c>
      <c r="Y167" s="62">
        <f t="shared" si="105"/>
        <v>5.8673000000000002</v>
      </c>
      <c r="Z167" s="62">
        <f t="shared" si="106"/>
        <v>7.4300000000000005E-2</v>
      </c>
      <c r="AA167" s="62">
        <f t="shared" si="107"/>
        <v>5.7930000000000001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108"/>
        <v>1806-18</v>
      </c>
      <c r="AE167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7" s="82" t="str">
        <f t="shared" si="97"/>
        <v>"C:\Program Files (x86)\AstroGrep\AstroGrep.exe" /spath="%USERPROFILE%\AppData\Local\Temp\OnboardLogs" /stypes="app*4032*20170218*" /stext=" 15:.+((SYSTEM_STATE.+slice.+state.+changed )|(ment ac)|(multiple cpu faults)|(system.+state.+changed )|(\[timeout)|(PRM\|1\|D)|(kpr)|(kdp)|(\|lc)|(penalty))" /e /r /s</v>
      </c>
      <c r="AG167" s="1" t="str">
        <f t="shared" si="109"/>
        <v>NW</v>
      </c>
      <c r="AH167" s="86" t="str">
        <f t="shared" si="98"/>
        <v>"%USERPROFILE%\Documents\GitHub\eaglep3\Utilities\RefineRTDCRunTimes.py" --tripid 1806-18 --locoid 4032 --swversion DE.1.0.9.0 --startMP 300:58673 --initTime 2017-02-18T08:37:12 --startdatetime 2017-02-18T08:41:02 --delay 1 --endMP 204:743 --enddatetime 2017-02-18T08:55:08 --enforcementcount 0 &gt;&gt;C:\Users\stu\Documents\GitHub\eaglep3-reporting\EC\2017-02-18-refined-times.txt</v>
      </c>
      <c r="AI167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{"issue":{"subject":"","project_id":79,"tracker_id":40,"status_id":1,"priority_id":2,"assigned_to_id":23,"start_date":"2017-02-18","description":"","custom_fields":[{"id":1,"name":"Subdivision","value":"NW"},{"id":4,"name":"Milepost","value":"0.0743"},{"id":17,"name":"Train ID","value":"1806-18"},{"id":16,"name":"Locomotive ID","value":"4032"},{"id":130,"name":"Impact","value":""},{"id":150,"name":"Time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00"/>
        <v>start /low /b %USERPROFILE%\Documents\GitHub\eaglep3\Utilities\DownloadLogsFromS3.py --loco 4032 --day 2017-02-18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552</v>
      </c>
      <c r="B168" s="7">
        <v>4031</v>
      </c>
      <c r="C168" s="21" t="s">
        <v>680</v>
      </c>
      <c r="D168" s="21" t="s">
        <v>735</v>
      </c>
      <c r="E168" s="13">
        <v>42784.373657407406</v>
      </c>
      <c r="F168" s="13">
        <v>42784.389756944445</v>
      </c>
      <c r="G168" s="7">
        <v>1</v>
      </c>
      <c r="H168" s="21" t="s">
        <v>428</v>
      </c>
      <c r="I168" s="13">
        <v>42784.398969907408</v>
      </c>
      <c r="J168" s="7">
        <v>0</v>
      </c>
      <c r="K168" s="98" t="str">
        <f t="shared" si="101"/>
        <v>4031/4032</v>
      </c>
      <c r="L168" s="21" t="str">
        <f>VLOOKUP(A168,'Trips&amp;Operators'!$C$1:$G$99999,5,FALSE)</f>
        <v>SHOOK JOHN</v>
      </c>
      <c r="M168" s="6">
        <f t="shared" si="102"/>
        <v>9.2129629629198462E-3</v>
      </c>
      <c r="N168" s="7">
        <f t="shared" si="111"/>
        <v>13.266666666604578</v>
      </c>
      <c r="O168" s="7"/>
      <c r="P168" s="7"/>
      <c r="Q168" s="22"/>
      <c r="R168" s="22"/>
      <c r="S168" s="31">
        <f t="shared" si="112"/>
        <v>1</v>
      </c>
      <c r="T168" s="46" t="str">
        <f t="shared" si="103"/>
        <v>NorthBound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95"/>
        <v>https://d0f6bd738d7f1b3e5a7ca70fe4ff75f0.us-east-1.aws.found.io/app/kibana#/discover/Steve-Slow-Train-Analysis-(2080s-and-2083s)?_g=(refreshInterval:(display:Off,pause:!f,section:0,value:0),time:(from:'2017-02-18T07:58:04-0700',mode:absolute,to:'2017-02-18T10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188" t="str">
        <f t="shared" si="104"/>
        <v>N</v>
      </c>
      <c r="X168" s="188">
        <f t="shared" si="113"/>
        <v>1</v>
      </c>
      <c r="Y168" s="62">
        <f t="shared" si="105"/>
        <v>0.1032</v>
      </c>
      <c r="Z168" s="62">
        <f t="shared" si="106"/>
        <v>5.8992000000000004</v>
      </c>
      <c r="AA168" s="62">
        <f t="shared" si="107"/>
        <v>5.7960000000000003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108"/>
        <v>1807-18</v>
      </c>
      <c r="AE168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68" s="82" t="str">
        <f t="shared" si="97"/>
        <v>"C:\Program Files (x86)\AstroGrep\AstroGrep.exe" /spath="%USERPROFILE%\AppData\Local\Temp\OnboardLogs" /stypes="app*4031*20170218*" /stext=" 16:.+((SYSTEM_STATE.+slice.+state.+changed )|(ment ac)|(multiple cpu faults)|(system.+state.+changed )|(\[timeout)|(PRM\|1\|D)|(kpr)|(kdp)|(\|lc)|(penalty))" /e /r /s</v>
      </c>
      <c r="AG168" s="1" t="str">
        <f t="shared" si="109"/>
        <v>NW</v>
      </c>
      <c r="AH168" s="86" t="str">
        <f t="shared" si="98"/>
        <v>"%USERPROFILE%\Documents\GitHub\eaglep3\Utilities\RefineRTDCRunTimes.py" --tripid 1807-18 --locoid 4031 --swversion DE.1.0.9.0 --startMP 204:1032 --initTime 2017-02-18T08:58:04 --startdatetime 2017-02-18T09:21:15 --delay 1 --endMP 300:58992 --enddatetime 2017-02-18T09:34:31 --enforcementcount 0 &gt;&gt;C:\Users\stu\Documents\GitHub\eaglep3-reporting\EC\2017-02-18-refined-times.txt</v>
      </c>
      <c r="AI168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{"issue":{"subject":"","project_id":79,"tracker_id":40,"status_id":1,"priority_id":2,"assigned_to_id":23,"start_date":"2017-02-18","description":"","custom_fields":[{"id":1,"name":"Subdivision","value":"NW"},{"id":4,"name":"Milepost","value":"5.8992"},{"id":17,"name":"Train ID","value":"1807-18"},{"id":16,"name":"Locomotive ID","value":"4031"},{"id":130,"name":"Impact","value":""},{"id":150,"name":"Time of Event (Mountain Time)","value":"09:34:31"},{"id":151,"name":"Denver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00"/>
        <v>start /low /b %USERPROFILE%\Documents\GitHub\eaglep3\Utilities\DownloadLogsFromS3.py --loco 4031 --day 2017-02-18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69" spans="1:91" x14ac:dyDescent="0.25">
      <c r="A169" s="33" t="s">
        <v>557</v>
      </c>
      <c r="B169" s="7">
        <v>4032</v>
      </c>
      <c r="C169" s="21" t="s">
        <v>680</v>
      </c>
      <c r="D169" s="21" t="s">
        <v>429</v>
      </c>
      <c r="E169" s="13">
        <v>42784.400601851848</v>
      </c>
      <c r="F169" s="13">
        <v>42784.403402777774</v>
      </c>
      <c r="G169" s="7">
        <v>1</v>
      </c>
      <c r="H169" s="21" t="s">
        <v>689</v>
      </c>
      <c r="I169" s="13">
        <v>42784.41306712963</v>
      </c>
      <c r="J169" s="7">
        <v>0</v>
      </c>
      <c r="K169" s="98" t="str">
        <f t="shared" si="101"/>
        <v>4031/4032</v>
      </c>
      <c r="L169" s="21" t="str">
        <f>VLOOKUP(A169,'Trips&amp;Operators'!$C$1:$G$99999,5,FALSE)</f>
        <v>SHOOK JOHN</v>
      </c>
      <c r="M169" s="6">
        <f t="shared" si="102"/>
        <v>9.6643518554628827E-3</v>
      </c>
      <c r="N169" s="7">
        <f t="shared" si="111"/>
        <v>13.916666671866551</v>
      </c>
      <c r="O169" s="7"/>
      <c r="P169" s="7"/>
      <c r="Q169" s="22"/>
      <c r="R169" s="22"/>
      <c r="S169" s="31">
        <f t="shared" si="112"/>
        <v>1</v>
      </c>
      <c r="T169" s="46" t="str">
        <f t="shared" si="103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95"/>
        <v>https://d0f6bd738d7f1b3e5a7ca70fe4ff75f0.us-east-1.aws.found.io/app/kibana#/discover/Steve-Slow-Train-Analysis-(2080s-and-2083s)?_g=(refreshInterval:(display:Off,pause:!f,section:0,value:0),time:(from:'2017-02-18T08:36:52-0700',mode:absolute,to:'2017-02-18T10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88" t="str">
        <f t="shared" si="104"/>
        <v>N</v>
      </c>
      <c r="X169" s="188">
        <f t="shared" si="113"/>
        <v>1</v>
      </c>
      <c r="Y169" s="62">
        <f t="shared" si="105"/>
        <v>5.8678999999999997</v>
      </c>
      <c r="Z169" s="62">
        <f t="shared" si="106"/>
        <v>7.1499999999999994E-2</v>
      </c>
      <c r="AA169" s="62">
        <f t="shared" si="107"/>
        <v>5.7963999999999993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108"/>
        <v>1808-18</v>
      </c>
      <c r="AE169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69" s="82" t="str">
        <f t="shared" si="97"/>
        <v>"C:\Program Files (x86)\AstroGrep\AstroGrep.exe" /spath="%USERPROFILE%\AppData\Local\Temp\OnboardLogs" /stypes="app*4032*20170218*" /stext=" 16:.+((SYSTEM_STATE.+slice.+state.+changed )|(ment ac)|(multiple cpu faults)|(system.+state.+changed )|(\[timeout)|(PRM\|1\|D)|(kpr)|(kdp)|(\|lc)|(penalty))" /e /r /s</v>
      </c>
      <c r="AG169" s="1" t="str">
        <f t="shared" si="109"/>
        <v>NW</v>
      </c>
      <c r="AH169" s="86" t="str">
        <f t="shared" si="98"/>
        <v>"%USERPROFILE%\Documents\GitHub\eaglep3\Utilities\RefineRTDCRunTimes.py" --tripid 1808-18 --locoid 4032 --swversion DE.1.0.9.0 --startMP 300:58679 --initTime 2017-02-18T09:36:52 --startdatetime 2017-02-18T09:40:54 --delay 1 --endMP 204:715 --enddatetime 2017-02-18T09:54:49 --enforcementcount 0 &gt;&gt;C:\Users\stu\Documents\GitHub\eaglep3-reporting\EC\2017-02-18-refined-times.txt</v>
      </c>
      <c r="AI169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{"issue":{"subject":"","project_id":79,"tracker_id":40,"status_id":1,"priority_id":2,"assigned_to_id":23,"start_date":"2017-02-18","description":"","custom_fields":[{"id":1,"name":"Subdivision","value":"NW"},{"id":4,"name":"Milepost","value":"0.0715"},{"id":17,"name":"Train ID","value":"1808-18"},{"id":16,"name":"Locomotive ID","value":"4032"},{"id":130,"name":"Impact","value":""},{"id":150,"name":"Time of Event (Mountain Time)","value":"09:54:49"},{"id":151,"name":"Denver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00"/>
        <v>start /low /b %USERPROFILE%\Documents\GitHub\eaglep3\Utilities\DownloadLogsFromS3.py --loco 4032 --day 2017-02-18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70" spans="1:91" x14ac:dyDescent="0.25">
      <c r="A170" s="33" t="s">
        <v>560</v>
      </c>
      <c r="B170" s="7">
        <v>4031</v>
      </c>
      <c r="C170" s="21" t="s">
        <v>680</v>
      </c>
      <c r="D170" s="21" t="s">
        <v>432</v>
      </c>
      <c r="E170" s="13">
        <v>42784.414849537039</v>
      </c>
      <c r="F170" s="13">
        <v>42784.431435185186</v>
      </c>
      <c r="G170" s="7">
        <v>1</v>
      </c>
      <c r="H170" s="21" t="s">
        <v>728</v>
      </c>
      <c r="I170" s="13">
        <v>42784.440798611111</v>
      </c>
      <c r="J170" s="7">
        <v>0</v>
      </c>
      <c r="K170" s="98" t="str">
        <f t="shared" si="101"/>
        <v>4031/4032</v>
      </c>
      <c r="L170" s="21" t="str">
        <f>VLOOKUP(A170,'Trips&amp;Operators'!$C$1:$G$99999,5,FALSE)</f>
        <v>SHOOK JOHN</v>
      </c>
      <c r="M170" s="6">
        <f t="shared" si="102"/>
        <v>9.3634259246755391E-3</v>
      </c>
      <c r="N170" s="7">
        <f t="shared" si="111"/>
        <v>13.483333331532776</v>
      </c>
      <c r="O170" s="7"/>
      <c r="P170" s="7"/>
      <c r="Q170" s="22"/>
      <c r="R170" s="22"/>
      <c r="S170" s="31">
        <f t="shared" si="112"/>
        <v>1</v>
      </c>
      <c r="T170" s="46" t="str">
        <f t="shared" si="103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95"/>
        <v>https://d0f6bd738d7f1b3e5a7ca70fe4ff75f0.us-east-1.aws.found.io/app/kibana#/discover/Steve-Slow-Train-Analysis-(2080s-and-2083s)?_g=(refreshInterval:(display:Off,pause:!f,section:0,value:0),time:(from:'2017-02-18T08:57:23-0700',mode:absolute,to:'2017-02-18T11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88" t="str">
        <f t="shared" si="104"/>
        <v>N</v>
      </c>
      <c r="X170" s="188">
        <f t="shared" si="113"/>
        <v>1</v>
      </c>
      <c r="Y170" s="62">
        <f t="shared" si="105"/>
        <v>0.1021</v>
      </c>
      <c r="Z170" s="62">
        <f t="shared" si="106"/>
        <v>5.9008000000000003</v>
      </c>
      <c r="AA170" s="62">
        <f t="shared" si="107"/>
        <v>5.7987000000000002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108"/>
        <v>1809-18</v>
      </c>
      <c r="AE170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0" s="82" t="str">
        <f t="shared" si="97"/>
        <v>"C:\Program Files (x86)\AstroGrep\AstroGrep.exe" /spath="%USERPROFILE%\AppData\Local\Temp\OnboardLogs" /stypes="app*4031*20170218*" /stext=" 17:.+((SYSTEM_STATE.+slice.+state.+changed )|(ment ac)|(multiple cpu faults)|(system.+state.+changed )|(\[timeout)|(PRM\|1\|D)|(kpr)|(kdp)|(\|lc)|(penalty))" /e /r /s</v>
      </c>
      <c r="AG170" s="1" t="str">
        <f t="shared" si="109"/>
        <v>NW</v>
      </c>
      <c r="AH170" s="86" t="str">
        <f t="shared" si="98"/>
        <v>"%USERPROFILE%\Documents\GitHub\eaglep3\Utilities\RefineRTDCRunTimes.py" --tripid 1809-18 --locoid 4031 --swversion DE.1.0.9.0 --startMP 204:1021 --initTime 2017-02-18T09:57:23 --startdatetime 2017-02-18T10:21:16 --delay 1 --endMP 300:59008 --enddatetime 2017-02-18T10:34:45 --enforcementcount 0 &gt;&gt;C:\Users\stu\Documents\GitHub\eaglep3-reporting\EC\2017-02-18-refined-times.txt</v>
      </c>
      <c r="AI170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{"issue":{"subject":"","project_id":79,"tracker_id":40,"status_id":1,"priority_id":2,"assigned_to_id":23,"start_date":"2017-02-18","description":"","custom_fields":[{"id":1,"name":"Subdivision","value":"NW"},{"id":4,"name":"Milepost","value":"5.9008"},{"id":17,"name":"Train ID","value":"1809-18"},{"id":16,"name":"Locomotive ID","value":"4031"},{"id":130,"name":"Impact","value":""},{"id":150,"name":"Time of Event (Mountain Time)","value":"10:34:45"},{"id":151,"name":"Denver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00"/>
        <v>start /low /b %USERPROFILE%\Documents\GitHub\eaglep3\Utilities\DownloadLogsFromS3.py --loco 4031 --day 2017-02-18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71" spans="1:91" s="20" customFormat="1" x14ac:dyDescent="0.25">
      <c r="A171" s="33" t="s">
        <v>567</v>
      </c>
      <c r="B171" s="7">
        <v>4032</v>
      </c>
      <c r="C171" s="21" t="s">
        <v>680</v>
      </c>
      <c r="D171" s="21" t="s">
        <v>737</v>
      </c>
      <c r="E171" s="13">
        <v>42784.442465277774</v>
      </c>
      <c r="F171" s="13">
        <v>42784.445011574076</v>
      </c>
      <c r="G171" s="7">
        <v>1</v>
      </c>
      <c r="H171" s="21" t="s">
        <v>738</v>
      </c>
      <c r="I171" s="13">
        <v>42784.454988425925</v>
      </c>
      <c r="J171" s="7">
        <v>0</v>
      </c>
      <c r="K171" s="98" t="str">
        <f t="shared" si="101"/>
        <v>4031/4032</v>
      </c>
      <c r="L171" s="21" t="str">
        <f>VLOOKUP(A171,'Trips&amp;Operators'!$C$1:$G$99999,5,FALSE)</f>
        <v>SHOOK JOHN</v>
      </c>
      <c r="M171" s="6">
        <f t="shared" si="102"/>
        <v>9.9768518484779634E-3</v>
      </c>
      <c r="N171" s="7">
        <f t="shared" si="111"/>
        <v>14.366666661808267</v>
      </c>
      <c r="O171" s="7"/>
      <c r="P171" s="7"/>
      <c r="Q171" s="22"/>
      <c r="R171" s="22"/>
      <c r="S171" s="31">
        <f t="shared" si="112"/>
        <v>1</v>
      </c>
      <c r="T171" s="46" t="str">
        <f t="shared" si="103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95"/>
        <v>https://d0f6bd738d7f1b3e5a7ca70fe4ff75f0.us-east-1.aws.found.io/app/kibana#/discover/Steve-Slow-Train-Analysis-(2080s-and-2083s)?_g=(refreshInterval:(display:Off,pause:!f,section:0,value:0),time:(from:'2017-02-18T09:37:09-0700',mode:absolute,to:'2017-02-18T11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188" t="str">
        <f t="shared" si="104"/>
        <v>N</v>
      </c>
      <c r="X171" s="188">
        <f t="shared" si="113"/>
        <v>1</v>
      </c>
      <c r="Y171" s="62">
        <f t="shared" si="105"/>
        <v>5.8693999999999997</v>
      </c>
      <c r="Z171" s="62">
        <f t="shared" si="106"/>
        <v>7.4499999999999997E-2</v>
      </c>
      <c r="AA171" s="62">
        <f t="shared" si="107"/>
        <v>5.7949000000000002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108"/>
        <v>1810-18</v>
      </c>
      <c r="AE171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1" s="82" t="str">
        <f t="shared" si="97"/>
        <v>"C:\Program Files (x86)\AstroGrep\AstroGrep.exe" /spath="%USERPROFILE%\AppData\Local\Temp\OnboardLogs" /stypes="app*4032*20170218*" /stext=" 17:.+((SYSTEM_STATE.+slice.+state.+changed )|(ment ac)|(multiple cpu faults)|(system.+state.+changed )|(\[timeout)|(PRM\|1\|D)|(kpr)|(kdp)|(\|lc)|(penalty))" /e /r /s</v>
      </c>
      <c r="AG171" s="1" t="str">
        <f t="shared" si="109"/>
        <v>NW</v>
      </c>
      <c r="AH171" s="86" t="str">
        <f t="shared" si="98"/>
        <v>"%USERPROFILE%\Documents\GitHub\eaglep3\Utilities\RefineRTDCRunTimes.py" --tripid 1810-18 --locoid 4032 --swversion DE.1.0.9.0 --startMP 300:58694 --initTime 2017-02-18T10:37:09 --startdatetime 2017-02-18T10:40:49 --delay 1 --endMP 204:745 --enddatetime 2017-02-18T10:55:11 --enforcementcount 0 &gt;&gt;C:\Users\stu\Documents\GitHub\eaglep3-reporting\EC\2017-02-18-refined-times.txt</v>
      </c>
      <c r="AI171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{"issue":{"subject":"","project_id":79,"tracker_id":40,"status_id":1,"priority_id":2,"assigned_to_id":23,"start_date":"2017-02-18","description":"","custom_fields":[{"id":1,"name":"Subdivision","value":"NW"},{"id":4,"name":"Milepost","value":"0.0745"},{"id":17,"name":"Train ID","value":"1810-18"},{"id":16,"name":"Locomotive ID","value":"4032"},{"id":130,"name":"Impact","value":""},{"id":150,"name":"Time of Event (Mountain Time)","value":"10:55:11"},{"id":151,"name":"Denver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00"/>
        <v>start /low /b %USERPROFILE%\Documents\GitHub\eaglep3\Utilities\DownloadLogsFromS3.py --loco 4032 --day 2017-02-18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571</v>
      </c>
      <c r="B172" s="7">
        <v>4031</v>
      </c>
      <c r="C172" s="21" t="s">
        <v>680</v>
      </c>
      <c r="D172" s="21" t="s">
        <v>739</v>
      </c>
      <c r="E172" s="13">
        <v>42784.457361111112</v>
      </c>
      <c r="F172" s="13">
        <v>42784.473240740743</v>
      </c>
      <c r="G172" s="7">
        <v>1</v>
      </c>
      <c r="H172" s="21" t="s">
        <v>732</v>
      </c>
      <c r="I172" s="13">
        <v>42784.482835648145</v>
      </c>
      <c r="J172" s="7">
        <v>0</v>
      </c>
      <c r="K172" s="98" t="str">
        <f t="shared" si="101"/>
        <v>4031/4032</v>
      </c>
      <c r="L172" s="21" t="str">
        <f>VLOOKUP(A172,'Trips&amp;Operators'!$C$1:$G$99999,5,FALSE)</f>
        <v>SHOOK JOHN</v>
      </c>
      <c r="M172" s="6">
        <f t="shared" si="102"/>
        <v>9.594907402060926E-3</v>
      </c>
      <c r="N172" s="7">
        <f t="shared" si="111"/>
        <v>13.816666658967733</v>
      </c>
      <c r="O172" s="7"/>
      <c r="P172" s="7"/>
      <c r="Q172" s="22"/>
      <c r="R172" s="22"/>
      <c r="S172" s="31">
        <f t="shared" si="112"/>
        <v>1</v>
      </c>
      <c r="T172" s="46" t="str">
        <f t="shared" si="103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95"/>
        <v>https://d0f6bd738d7f1b3e5a7ca70fe4ff75f0.us-east-1.aws.found.io/app/kibana#/discover/Steve-Slow-Train-Analysis-(2080s-and-2083s)?_g=(refreshInterval:(display:Off,pause:!f,section:0,value:0),time:(from:'2017-02-18T09:58:36-0700',mode:absolute,to:'2017-02-18T12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188" t="str">
        <f t="shared" si="104"/>
        <v>N</v>
      </c>
      <c r="X172" s="188">
        <f t="shared" si="113"/>
        <v>1</v>
      </c>
      <c r="Y172" s="62">
        <f t="shared" si="105"/>
        <v>0.10340000000000001</v>
      </c>
      <c r="Z172" s="62">
        <f t="shared" si="106"/>
        <v>5.8987999999999996</v>
      </c>
      <c r="AA172" s="62">
        <f t="shared" si="107"/>
        <v>5.7953999999999999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108"/>
        <v>1811-18</v>
      </c>
      <c r="AE172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2" s="82" t="str">
        <f t="shared" si="97"/>
        <v>"C:\Program Files (x86)\AstroGrep\AstroGrep.exe" /spath="%USERPROFILE%\AppData\Local\Temp\OnboardLogs" /stypes="app*4031*20170218*" /stext=" 18:.+((SYSTEM_STATE.+slice.+state.+changed )|(ment ac)|(multiple cpu faults)|(system.+state.+changed )|(\[timeout)|(PRM\|1\|D)|(kpr)|(kdp)|(\|lc)|(penalty))" /e /r /s</v>
      </c>
      <c r="AG172" s="1" t="str">
        <f t="shared" si="109"/>
        <v>NW</v>
      </c>
      <c r="AH172" s="86" t="str">
        <f t="shared" si="98"/>
        <v>"%USERPROFILE%\Documents\GitHub\eaglep3\Utilities\RefineRTDCRunTimes.py" --tripid 1811-18 --locoid 4031 --swversion DE.1.0.9.0 --startMP 204:1034 --initTime 2017-02-18T10:58:36 --startdatetime 2017-02-18T11:21:28 --delay 1 --endMP 300:58988 --enddatetime 2017-02-18T11:35:17 --enforcementcount 0 &gt;&gt;C:\Users\stu\Documents\GitHub\eaglep3-reporting\EC\2017-02-18-refined-times.txt</v>
      </c>
      <c r="AI172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{"issue":{"subject":"","project_id":79,"tracker_id":40,"status_id":1,"priority_id":2,"assigned_to_id":23,"start_date":"2017-02-18","description":"","custom_fields":[{"id":1,"name":"Subdivision","value":"NW"},{"id":4,"name":"Milepost","value":"5.8988"},{"id":17,"name":"Train ID","value":"1811-18"},{"id":16,"name":"Locomotive ID","value":"4031"},{"id":130,"name":"Impact","value":""},{"id":150,"name":"Time of Event (Mountain Time)","value":"11:35:17"},{"id":151,"name":"Denver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00"/>
        <v>start /low /b %USERPROFILE%\Documents\GitHub\eaglep3\Utilities\DownloadLogsFromS3.py --loco 4031 --day 2017-02-18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73" spans="1:91" x14ac:dyDescent="0.25">
      <c r="A173" s="33" t="s">
        <v>581</v>
      </c>
      <c r="B173" s="7">
        <v>4032</v>
      </c>
      <c r="C173" s="21" t="s">
        <v>680</v>
      </c>
      <c r="D173" s="21" t="s">
        <v>740</v>
      </c>
      <c r="E173" s="13">
        <v>42784.484386574077</v>
      </c>
      <c r="F173" s="13">
        <v>42784.48646990741</v>
      </c>
      <c r="G173" s="7">
        <v>1</v>
      </c>
      <c r="H173" s="21" t="s">
        <v>741</v>
      </c>
      <c r="I173" s="13">
        <v>42784.496493055558</v>
      </c>
      <c r="J173" s="7">
        <v>0</v>
      </c>
      <c r="K173" s="98" t="str">
        <f t="shared" si="101"/>
        <v>4031/4032</v>
      </c>
      <c r="L173" s="21" t="str">
        <f>VLOOKUP(A173,'Trips&amp;Operators'!$C$1:$G$99999,5,FALSE)</f>
        <v>SHOOK JOHN</v>
      </c>
      <c r="M173" s="6">
        <f t="shared" si="102"/>
        <v>1.0023148148320615E-2</v>
      </c>
      <c r="N173" s="7">
        <f t="shared" si="111"/>
        <v>14.433333333581686</v>
      </c>
      <c r="O173" s="7"/>
      <c r="P173" s="7"/>
      <c r="Q173" s="22"/>
      <c r="R173" s="22"/>
      <c r="S173" s="31">
        <f t="shared" si="112"/>
        <v>1</v>
      </c>
      <c r="T173" s="46" t="str">
        <f t="shared" si="103"/>
        <v>Southbound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95"/>
        <v>https://d0f6bd738d7f1b3e5a7ca70fe4ff75f0.us-east-1.aws.found.io/app/kibana#/discover/Steve-Slow-Train-Analysis-(2080s-and-2083s)?_g=(refreshInterval:(display:Off,pause:!f,section:0,value:0),time:(from:'2017-02-18T10:37:31-0700',mode:absolute,to:'2017-02-18T12:54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188" t="str">
        <f t="shared" si="104"/>
        <v>N</v>
      </c>
      <c r="X173" s="188">
        <f t="shared" si="113"/>
        <v>1</v>
      </c>
      <c r="Y173" s="62">
        <f t="shared" si="105"/>
        <v>5.8677000000000001</v>
      </c>
      <c r="Z173" s="62">
        <f t="shared" si="106"/>
        <v>7.1300000000000002E-2</v>
      </c>
      <c r="AA173" s="62">
        <f t="shared" si="107"/>
        <v>5.7964000000000002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108"/>
        <v>1812-18</v>
      </c>
      <c r="AE173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3" s="82" t="str">
        <f t="shared" si="97"/>
        <v>"C:\Program Files (x86)\AstroGrep\AstroGrep.exe" /spath="%USERPROFILE%\AppData\Local\Temp\OnboardLogs" /stypes="app*4032*20170218*" /stext=" 18:.+((SYSTEM_STATE.+slice.+state.+changed )|(ment ac)|(multiple cpu faults)|(system.+state.+changed )|(\[timeout)|(PRM\|1\|D)|(kpr)|(kdp)|(\|lc)|(penalty))" /e /r /s</v>
      </c>
      <c r="AG173" s="1" t="str">
        <f t="shared" si="109"/>
        <v>NW</v>
      </c>
      <c r="AH173" s="86" t="str">
        <f t="shared" si="98"/>
        <v>"%USERPROFILE%\Documents\GitHub\eaglep3\Utilities\RefineRTDCRunTimes.py" --tripid 1812-18 --locoid 4032 --swversion DE.1.0.9.0 --startMP 300:58677 --initTime 2017-02-18T11:37:31 --startdatetime 2017-02-18T11:40:31 --delay 1 --endMP 204:713 --enddatetime 2017-02-18T11:54:57 --enforcementcount 0 &gt;&gt;C:\Users\stu\Documents\GitHub\eaglep3-reporting\EC\2017-02-18-refined-times.txt</v>
      </c>
      <c r="AI173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{"issue":{"subject":"","project_id":79,"tracker_id":40,"status_id":1,"priority_id":2,"assigned_to_id":23,"start_date":"2017-02-18","description":"","custom_fields":[{"id":1,"name":"Subdivision","value":"NW"},{"id":4,"name":"Milepost","value":"0.0713"},{"id":17,"name":"Train ID","value":"1812-18"},{"id":16,"name":"Locomotive ID","value":"4032"},{"id":130,"name":"Impact","value":""},{"id":150,"name":"Time of Event (Mountain Time)","value":"11:54:57"},{"id":151,"name":"Denver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00"/>
        <v>start /low /b %USERPROFILE%\Documents\GitHub\eaglep3\Utilities\DownloadLogsFromS3.py --loco 4032 --day 2017-02-18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74" spans="1:91" s="20" customFormat="1" x14ac:dyDescent="0.25">
      <c r="A174" s="33" t="s">
        <v>452</v>
      </c>
      <c r="B174" s="7">
        <v>4031</v>
      </c>
      <c r="C174" s="21" t="s">
        <v>680</v>
      </c>
      <c r="D174" s="21" t="s">
        <v>740</v>
      </c>
      <c r="E174" s="13">
        <v>42784.484386574077</v>
      </c>
      <c r="F174" s="13">
        <v>42784.514756944445</v>
      </c>
      <c r="G174" s="7">
        <v>1</v>
      </c>
      <c r="H174" s="21" t="s">
        <v>741</v>
      </c>
      <c r="I174" s="13">
        <v>42784.524247685185</v>
      </c>
      <c r="J174" s="7">
        <v>0</v>
      </c>
      <c r="K174" s="98" t="str">
        <f t="shared" si="101"/>
        <v>4031/4032</v>
      </c>
      <c r="L174" s="21" t="str">
        <f>VLOOKUP(A174,'Trips&amp;Operators'!$C$1:$G$99999,5,FALSE)</f>
        <v>SHOOK JOHN</v>
      </c>
      <c r="M174" s="6">
        <f t="shared" si="102"/>
        <v>9.4907407401478849E-3</v>
      </c>
      <c r="N174" s="7">
        <f t="shared" si="111"/>
        <v>13.666666665812954</v>
      </c>
      <c r="O174" s="7"/>
      <c r="P174" s="7"/>
      <c r="Q174" s="22"/>
      <c r="R174" s="22"/>
      <c r="S174" s="31">
        <f t="shared" si="112"/>
        <v>1</v>
      </c>
      <c r="T174" s="46" t="str">
        <f t="shared" si="103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95"/>
        <v>https://d0f6bd738d7f1b3e5a7ca70fe4ff75f0.us-east-1.aws.found.io/app/kibana#/discover/Steve-Slow-Train-Analysis-(2080s-and-2083s)?_g=(refreshInterval:(display:Off,pause:!f,section:0,value:0),time:(from:'2017-02-18T10:37:31-0700',mode:absolute,to:'2017-02-18T13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188" t="str">
        <f t="shared" si="104"/>
        <v>N</v>
      </c>
      <c r="X174" s="188">
        <f t="shared" si="113"/>
        <v>1</v>
      </c>
      <c r="Y174" s="62">
        <v>0.10340000000000001</v>
      </c>
      <c r="Z174" s="62">
        <v>5.8987999999999996</v>
      </c>
      <c r="AA174" s="62">
        <f t="shared" si="107"/>
        <v>5.7953999999999999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108"/>
        <v>1813-18</v>
      </c>
      <c r="AE174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4" s="82" t="str">
        <f t="shared" si="97"/>
        <v>"C:\Program Files (x86)\AstroGrep\AstroGrep.exe" /spath="%USERPROFILE%\AppData\Local\Temp\OnboardLogs" /stypes="app*4031*20170218*" /stext=" 19:.+((SYSTEM_STATE.+slice.+state.+changed )|(ment ac)|(multiple cpu faults)|(system.+state.+changed )|(\[timeout)|(PRM\|1\|D)|(kpr)|(kdp)|(\|lc)|(penalty))" /e /r /s</v>
      </c>
      <c r="AG174" s="1" t="str">
        <f t="shared" si="109"/>
        <v>NW</v>
      </c>
      <c r="AH174" s="86" t="str">
        <f t="shared" ref="AH174" si="114">refinertdcruntimes&amp;" --tripid "&amp;A174&amp;" --locoid "&amp;B174&amp;" --swversion "&amp;C174&amp;" --startMP "&amp;D174&amp;" --initTime "&amp;TEXT(E174,"yyyy-mm-ddTHH:MM:SS")&amp;" --startdatetime "&amp;TEXT(F174,"yyyy-mm-ddTHH:MM:SS")&amp;" --delay "&amp;G174&amp;" --endMP "&amp;H174&amp;" --enddatetime "&amp;TEXT(I174,"yyyy-mm-ddTHH:MM:SS")&amp;" --enforcementcount "&amp;J174&amp;IF(outputrefinedruntimes," &gt;&gt;"&amp;RefinedRTDCRunTimesOutputFile,"")</f>
        <v>"%USERPROFILE%\Documents\GitHub\eaglep3\Utilities\RefineRTDCRunTimes.py" --tripid 1813-18 --locoid 4031 --swversion DE.1.0.9.0 --startMP 300:58677 --initTime 2017-02-18T11:37:31 --startdatetime 2017-02-18T12:21:15 --delay 1 --endMP 204:713 --enddatetime 2017-02-18T12:34:55 --enforcementcount 0 &gt;&gt;C:\Users\stu\Documents\GitHub\eaglep3-reporting\EC\2017-02-18-refined-times.txt</v>
      </c>
      <c r="AI174" s="108" t="str">
        <f t="shared" ref="AI174" si="115">"echo {""issue"":{""subject"":"""&amp;R174&amp;""",""project_id"":79,""tracker_id"":40,""status_id"":"&amp;redmine_status&amp;",""priority_id"":"&amp;redmine_priority&amp;",""assigned_to_id"":"&amp;redmine_assignee&amp;",""start_date"":"""&amp;TEXT(I174,"YYYY-mm-dd")&amp;""",""description"":"""&amp;AJ174&amp;""",""custom_fields"":[{""id"":1,""name"":""Subdivision"",""value"":"""&amp;AG174&amp;"""},{""id"":4,""name"":""Milepost"",""value"":"""&amp;Z174&amp;"""},{""id"":17,""name"":""Train ID"",""value"":"""&amp;A174&amp;"""},{""id"":16,""name"":""Locomotive ID"",""value"":"""&amp;B174&amp;"""},{""id"":130,""name"":""Impact"",""value"":"""&amp;AK174&amp;"""},{""id"":150,""name"":""Time of Event (Mountain Time)"",""value"":"""&amp;TEXT(I174,"hh:mm:ss")&amp;"""},{""id"":151,""name"":""Denver Issue ID"",""value"":"""&amp;"""},{""id"":178,""name"":""Operational Impact"",""value"":"""&amp;redmine_op_impact&amp;"""},{""id"":179,""name"":""Denver Segment Assigned"",""value"":"""&amp;AL174&amp;"""}]}}"&amp;"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{"issue":{"subject":"","project_id":79,"tracker_id":40,"status_id":1,"priority_id":2,"assigned_to_id":23,"start_date":"2017-02-18","description":"","custom_fields":[{"id":1,"name":"Subdivision","value":"NW"},{"id":4,"name":"Milepost","value":"5.8988"},{"id":17,"name":"Train ID","value":"1813-18"},{"id":16,"name":"Locomotive ID","value":"4031"},{"id":130,"name":"Impact","value":""},{"id":150,"name":"Time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ref="AM174" si="116">"start /low /b "&amp;dls3logs&amp;" --loco "&amp;B174&amp;" --day "&amp;TEXT(F174,"YYYY-MM-DD")</f>
        <v>start /low /b %USERPROFILE%\Documents\GitHub\eaglep3\Utilities\DownloadLogsFromS3.py --loco 4031 --day 2017-02-18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75" spans="1:91" x14ac:dyDescent="0.25">
      <c r="A175" s="33" t="s">
        <v>587</v>
      </c>
      <c r="B175" s="7">
        <v>4032</v>
      </c>
      <c r="C175" s="21" t="s">
        <v>680</v>
      </c>
      <c r="D175" s="21" t="s">
        <v>742</v>
      </c>
      <c r="E175" s="13">
        <v>42784.525729166664</v>
      </c>
      <c r="F175" s="13">
        <v>42784.528402777774</v>
      </c>
      <c r="G175" s="7">
        <v>1</v>
      </c>
      <c r="H175" s="21" t="s">
        <v>743</v>
      </c>
      <c r="I175" s="13">
        <v>42784.538055555553</v>
      </c>
      <c r="J175" s="7">
        <v>0</v>
      </c>
      <c r="K175" s="98" t="str">
        <f t="shared" si="101"/>
        <v>4031/4032</v>
      </c>
      <c r="L175" s="21" t="str">
        <f>VLOOKUP(A175,'Trips&amp;Operators'!$C$1:$G$99999,5,FALSE)</f>
        <v>SHOOK JOHN</v>
      </c>
      <c r="M175" s="6">
        <f t="shared" si="102"/>
        <v>9.6527777786832303E-3</v>
      </c>
      <c r="N175" s="7">
        <f t="shared" si="111"/>
        <v>13.900000001303852</v>
      </c>
      <c r="O175" s="7"/>
      <c r="P175" s="7"/>
      <c r="Q175" s="22"/>
      <c r="R175" s="22"/>
      <c r="S175" s="31">
        <f t="shared" si="112"/>
        <v>1</v>
      </c>
      <c r="T175" s="46" t="str">
        <f t="shared" si="103"/>
        <v>Southbound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95"/>
        <v>https://d0f6bd738d7f1b3e5a7ca70fe4ff75f0.us-east-1.aws.found.io/app/kibana#/discover/Steve-Slow-Train-Analysis-(2080s-and-2083s)?_g=(refreshInterval:(display:Off,pause:!f,section:0,value:0),time:(from:'2017-02-18T11:37:03-0700',mode:absolute,to:'2017-02-18T13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188" t="str">
        <f t="shared" si="104"/>
        <v>N</v>
      </c>
      <c r="X175" s="188">
        <f t="shared" ref="X175:X176" si="117">VALUE(LEFT(AD175,4))-VALUE(LEFT(AD174,4))</f>
        <v>1</v>
      </c>
      <c r="Y175" s="62">
        <f t="shared" ref="Y175:Y221" si="118">RIGHT(D175,LEN(D175)-4)/10000</f>
        <v>5.8685</v>
      </c>
      <c r="Z175" s="62">
        <f t="shared" ref="Z175:Z221" si="119">RIGHT(H175,LEN(H175)-4)/10000</f>
        <v>7.5200000000000003E-2</v>
      </c>
      <c r="AA175" s="62">
        <f t="shared" si="107"/>
        <v>5.7933000000000003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08"/>
        <v>1814-18</v>
      </c>
      <c r="AE175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5" s="82" t="str">
        <f t="shared" si="97"/>
        <v>"C:\Program Files (x86)\AstroGrep\AstroGrep.exe" /spath="%USERPROFILE%\AppData\Local\Temp\OnboardLogs" /stypes="app*4032*20170218*" /stext=" 19:.+((SYSTEM_STATE.+slice.+state.+changed )|(ment ac)|(multiple cpu faults)|(system.+state.+changed )|(\[timeout)|(PRM\|1\|D)|(kpr)|(kdp)|(\|lc)|(penalty))" /e /r /s</v>
      </c>
      <c r="AG175" s="1" t="str">
        <f t="shared" si="109"/>
        <v>NW</v>
      </c>
      <c r="AH175" s="86" t="str">
        <f t="shared" si="98"/>
        <v>"%USERPROFILE%\Documents\GitHub\eaglep3\Utilities\RefineRTDCRunTimes.py" --tripid 1814-18 --locoid 4032 --swversion DE.1.0.9.0 --startMP 300:58685 --initTime 2017-02-18T12:37:03 --startdatetime 2017-02-18T12:40:54 --delay 1 --endMP 204:752 --enddatetime 2017-02-18T12:54:48 --enforcementcount 0 &gt;&gt;C:\Users\stu\Documents\GitHub\eaglep3-reporting\EC\2017-02-18-refined-times.txt</v>
      </c>
      <c r="AI175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{"issue":{"subject":"","project_id":79,"tracker_id":40,"status_id":1,"priority_id":2,"assigned_to_id":23,"start_date":"2017-02-18","description":"","custom_fields":[{"id":1,"name":"Subdivision","value":"NW"},{"id":4,"name":"Milepost","value":"0.0752"},{"id":17,"name":"Train ID","value":"1814-18"},{"id":16,"name":"Locomotive ID","value":"4032"},{"id":130,"name":"Impact","value":""},{"id":150,"name":"Time of Event (Mountain Time)","value":"12:54:48"},{"id":151,"name":"Denver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00"/>
        <v>start /low /b %USERPROFILE%\Documents\GitHub\eaglep3\Utilities\DownloadLogsFromS3.py --loco 4032 --day 2017-02-18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76" spans="1:91" s="20" customFormat="1" x14ac:dyDescent="0.25">
      <c r="A176" s="33" t="s">
        <v>589</v>
      </c>
      <c r="B176" s="7">
        <v>4031</v>
      </c>
      <c r="C176" s="21" t="s">
        <v>680</v>
      </c>
      <c r="D176" s="21" t="s">
        <v>427</v>
      </c>
      <c r="E176" s="13">
        <v>42784.539814814816</v>
      </c>
      <c r="F176" s="13">
        <v>42784.556435185186</v>
      </c>
      <c r="G176" s="7">
        <v>1</v>
      </c>
      <c r="H176" s="21" t="s">
        <v>428</v>
      </c>
      <c r="I176" s="13">
        <v>42784.565937500003</v>
      </c>
      <c r="J176" s="7">
        <v>0</v>
      </c>
      <c r="K176" s="98" t="str">
        <f t="shared" si="101"/>
        <v>4031/4032</v>
      </c>
      <c r="L176" s="21" t="str">
        <f>VLOOKUP(A176,'Trips&amp;Operators'!$C$1:$G$99999,5,FALSE)</f>
        <v>SHOOK JOHN</v>
      </c>
      <c r="M176" s="6">
        <f t="shared" si="102"/>
        <v>9.5023148169275373E-3</v>
      </c>
      <c r="N176" s="7">
        <f t="shared" si="111"/>
        <v>13.683333336375654</v>
      </c>
      <c r="O176" s="7"/>
      <c r="P176" s="7"/>
      <c r="Q176" s="22"/>
      <c r="R176" s="22"/>
      <c r="S176" s="31">
        <f t="shared" si="112"/>
        <v>1</v>
      </c>
      <c r="T176" s="46" t="str">
        <f t="shared" si="103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95"/>
        <v>https://d0f6bd738d7f1b3e5a7ca70fe4ff75f0.us-east-1.aws.found.io/app/kibana#/discover/Steve-Slow-Train-Analysis-(2080s-and-2083s)?_g=(refreshInterval:(display:Off,pause:!f,section:0,value:0),time:(from:'2017-02-18T11:57:20-0700',mode:absolute,to:'2017-02-18T14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188" t="str">
        <f t="shared" si="104"/>
        <v>N</v>
      </c>
      <c r="X176" s="188">
        <f t="shared" si="117"/>
        <v>1</v>
      </c>
      <c r="Y176" s="62">
        <f t="shared" si="118"/>
        <v>0.1023</v>
      </c>
      <c r="Z176" s="62">
        <f t="shared" si="119"/>
        <v>5.8992000000000004</v>
      </c>
      <c r="AA176" s="62">
        <f t="shared" si="107"/>
        <v>5.7969000000000008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08"/>
        <v>1815-18</v>
      </c>
      <c r="AE176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6" s="82" t="str">
        <f t="shared" si="97"/>
        <v>"C:\Program Files (x86)\AstroGrep\AstroGrep.exe" /spath="%USERPROFILE%\AppData\Local\Temp\OnboardLogs" /stypes="app*4031*20170218*" /stext=" 20:.+((SYSTEM_STATE.+slice.+state.+changed )|(ment ac)|(multiple cpu faults)|(system.+state.+changed )|(\[timeout)|(PRM\|1\|D)|(kpr)|(kdp)|(\|lc)|(penalty))" /e /r /s</v>
      </c>
      <c r="AG176" s="1" t="str">
        <f t="shared" si="109"/>
        <v>NW</v>
      </c>
      <c r="AH176" s="86" t="str">
        <f t="shared" si="98"/>
        <v>"%USERPROFILE%\Documents\GitHub\eaglep3\Utilities\RefineRTDCRunTimes.py" --tripid 1815-18 --locoid 4031 --swversion DE.1.0.9.0 --startMP 204:1023 --initTime 2017-02-18T12:57:20 --startdatetime 2017-02-18T13:21:16 --delay 1 --endMP 300:58992 --enddatetime 2017-02-18T13:34:57 --enforcementcount 0 &gt;&gt;C:\Users\stu\Documents\GitHub\eaglep3-reporting\EC\2017-02-18-refined-times.txt</v>
      </c>
      <c r="AI176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{"issue":{"subject":"","project_id":79,"tracker_id":40,"status_id":1,"priority_id":2,"assigned_to_id":23,"start_date":"2017-02-18","description":"","custom_fields":[{"id":1,"name":"Subdivision","value":"NW"},{"id":4,"name":"Milepost","value":"5.8992"},{"id":17,"name":"Train ID","value":"1815-18"},{"id":16,"name":"Locomotive ID","value":"4031"},{"id":130,"name":"Impact","value":""},{"id":150,"name":"Time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00"/>
        <v>start /low /b %USERPROFILE%\Documents\GitHub\eaglep3\Utilities\DownloadLogsFromS3.py --loco 4031 --day 2017-02-18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594</v>
      </c>
      <c r="B177" s="7">
        <v>4032</v>
      </c>
      <c r="C177" s="21" t="s">
        <v>680</v>
      </c>
      <c r="D177" s="21" t="s">
        <v>429</v>
      </c>
      <c r="E177" s="13">
        <v>42784.567372685182</v>
      </c>
      <c r="F177" s="13">
        <v>42784.570115740738</v>
      </c>
      <c r="G177" s="7">
        <v>1</v>
      </c>
      <c r="H177" s="21" t="s">
        <v>350</v>
      </c>
      <c r="I177" s="13">
        <v>42784.579930555556</v>
      </c>
      <c r="J177" s="7">
        <v>0</v>
      </c>
      <c r="K177" s="98" t="str">
        <f t="shared" si="101"/>
        <v>4031/4032</v>
      </c>
      <c r="L177" s="21" t="str">
        <f>VLOOKUP(A177,'Trips&amp;Operators'!$C$1:$G$99999,5,FALSE)</f>
        <v>SHOOK JOHN</v>
      </c>
      <c r="M177" s="6">
        <f t="shared" si="102"/>
        <v>9.8148148172185756E-3</v>
      </c>
      <c r="N177" s="7">
        <f t="shared" si="111"/>
        <v>14.133333336794749</v>
      </c>
      <c r="O177" s="7"/>
      <c r="P177" s="7"/>
      <c r="Q177" s="22"/>
      <c r="R177" s="22"/>
      <c r="S177" s="31">
        <f t="shared" si="112"/>
        <v>1</v>
      </c>
      <c r="T177" s="46" t="str">
        <f t="shared" si="103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95"/>
        <v>https://d0f6bd738d7f1b3e5a7ca70fe4ff75f0.us-east-1.aws.found.io/app/kibana#/discover/Steve-Slow-Train-Analysis-(2080s-and-2083s)?_g=(refreshInterval:(display:Off,pause:!f,section:0,value:0),time:(from:'2017-02-18T12:37:01-0700',mode:absolute,to:'2017-02-18T14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188" t="str">
        <f t="shared" si="104"/>
        <v>N</v>
      </c>
      <c r="X177" s="188">
        <f t="shared" ref="X177:X221" si="120">VALUE(LEFT(AD177,4))-VALUE(LEFT(AD176,4))</f>
        <v>1</v>
      </c>
      <c r="Y177" s="62">
        <f t="shared" si="118"/>
        <v>5.8678999999999997</v>
      </c>
      <c r="Z177" s="62">
        <f t="shared" si="119"/>
        <v>7.2400000000000006E-2</v>
      </c>
      <c r="AA177" s="62">
        <f t="shared" si="107"/>
        <v>5.7954999999999997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08"/>
        <v>1816-18</v>
      </c>
      <c r="AE177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7" s="82" t="str">
        <f t="shared" si="97"/>
        <v>"C:\Program Files (x86)\AstroGrep\AstroGrep.exe" /spath="%USERPROFILE%\AppData\Local\Temp\OnboardLogs" /stypes="app*4032*20170218*" /stext=" 20:.+((SYSTEM_STATE.+slice.+state.+changed )|(ment ac)|(multiple cpu faults)|(system.+state.+changed )|(\[timeout)|(PRM\|1\|D)|(kpr)|(kdp)|(\|lc)|(penalty))" /e /r /s</v>
      </c>
      <c r="AG177" s="1" t="str">
        <f t="shared" si="109"/>
        <v>NW</v>
      </c>
      <c r="AH177" s="86" t="str">
        <f t="shared" si="98"/>
        <v>"%USERPROFILE%\Documents\GitHub\eaglep3\Utilities\RefineRTDCRunTimes.py" --tripid 1816-18 --locoid 4032 --swversion DE.1.0.9.0 --startMP 300:58679 --initTime 2017-02-18T13:37:01 --startdatetime 2017-02-18T13:40:58 --delay 1 --endMP 204:724 --enddatetime 2017-02-18T13:55:06 --enforcementcount 0 &gt;&gt;C:\Users\stu\Documents\GitHub\eaglep3-reporting\EC\2017-02-18-refined-times.txt</v>
      </c>
      <c r="AI177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{"issue":{"subject":"","project_id":79,"tracker_id":40,"status_id":1,"priority_id":2,"assigned_to_id":23,"start_date":"2017-02-18","description":"","custom_fields":[{"id":1,"name":"Subdivision","value":"NW"},{"id":4,"name":"Milepost","value":"0.0724"},{"id":17,"name":"Train ID","value":"1816-18"},{"id":16,"name":"Locomotive ID","value":"4032"},{"id":130,"name":"Impact","value":""},{"id":150,"name":"Time of Event (Mountain Time)","value":"13:55:06"},{"id":151,"name":"Denver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00"/>
        <v>start /low /b %USERPROFILE%\Documents\GitHub\eaglep3\Utilities\DownloadLogsFromS3.py --loco 4032 --day 2017-02-18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78" spans="1:91" s="20" customFormat="1" x14ac:dyDescent="0.25">
      <c r="A178" s="33" t="s">
        <v>604</v>
      </c>
      <c r="B178" s="7">
        <v>4031</v>
      </c>
      <c r="C178" s="21" t="s">
        <v>680</v>
      </c>
      <c r="D178" s="21" t="s">
        <v>432</v>
      </c>
      <c r="E178" s="13">
        <v>42784.590196759258</v>
      </c>
      <c r="F178" s="13">
        <v>42784.598136574074</v>
      </c>
      <c r="G178" s="7">
        <v>2</v>
      </c>
      <c r="H178" s="21" t="s">
        <v>744</v>
      </c>
      <c r="I178" s="13">
        <v>42784.607349537036</v>
      </c>
      <c r="J178" s="7">
        <v>0</v>
      </c>
      <c r="K178" s="98" t="str">
        <f t="shared" si="101"/>
        <v>4031/4032</v>
      </c>
      <c r="L178" s="21" t="str">
        <f>VLOOKUP(A178,'Trips&amp;Operators'!$C$1:$G$99999,5,FALSE)</f>
        <v>HELVIE ADAM</v>
      </c>
      <c r="M178" s="6">
        <f t="shared" si="102"/>
        <v>9.2129629629198462E-3</v>
      </c>
      <c r="N178" s="7">
        <f t="shared" si="111"/>
        <v>13.266666666604578</v>
      </c>
      <c r="O178" s="7"/>
      <c r="P178" s="7"/>
      <c r="Q178" s="22"/>
      <c r="R178" s="22"/>
      <c r="S178" s="31">
        <f t="shared" si="112"/>
        <v>1</v>
      </c>
      <c r="T178" s="46" t="str">
        <f t="shared" si="103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95"/>
        <v>https://d0f6bd738d7f1b3e5a7ca70fe4ff75f0.us-east-1.aws.found.io/app/kibana#/discover/Steve-Slow-Train-Analysis-(2080s-and-2083s)?_g=(refreshInterval:(display:Off,pause:!f,section:0,value:0),time:(from:'2017-02-18T13:09:53-0700',mode:absolute,to:'2017-02-18T15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188" t="str">
        <f t="shared" si="104"/>
        <v>N</v>
      </c>
      <c r="X178" s="188">
        <f t="shared" si="120"/>
        <v>1</v>
      </c>
      <c r="Y178" s="62">
        <f t="shared" si="118"/>
        <v>0.1021</v>
      </c>
      <c r="Z178" s="62">
        <f t="shared" si="119"/>
        <v>5.8944000000000001</v>
      </c>
      <c r="AA178" s="62">
        <f t="shared" si="107"/>
        <v>5.7923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08"/>
        <v>1817-18</v>
      </c>
      <c r="AE178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78" s="82" t="str">
        <f t="shared" si="97"/>
        <v>"C:\Program Files (x86)\AstroGrep\AstroGrep.exe" /spath="%USERPROFILE%\AppData\Local\Temp\OnboardLogs" /stypes="app*4031*20170218*" /stext=" 21:.+((SYSTEM_STATE.+slice.+state.+changed )|(ment ac)|(multiple cpu faults)|(system.+state.+changed )|(\[timeout)|(PRM\|1\|D)|(kpr)|(kdp)|(\|lc)|(penalty))" /e /r /s</v>
      </c>
      <c r="AG178" s="1" t="str">
        <f t="shared" si="109"/>
        <v>NW</v>
      </c>
      <c r="AH178" s="86" t="str">
        <f t="shared" si="98"/>
        <v>"%USERPROFILE%\Documents\GitHub\eaglep3\Utilities\RefineRTDCRunTimes.py" --tripid 1817-18 --locoid 4031 --swversion DE.1.0.9.0 --startMP 204:1021 --initTime 2017-02-18T14:09:53 --startdatetime 2017-02-18T14:21:19 --delay 2 --endMP 300:58944 --enddatetime 2017-02-18T14:34:35 --enforcementcount 0 &gt;&gt;C:\Users\stu\Documents\GitHub\eaglep3-reporting\EC\2017-02-18-refined-times.txt</v>
      </c>
      <c r="AI178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{"issue":{"subject":"","project_id":79,"tracker_id":40,"status_id":1,"priority_id":2,"assigned_to_id":23,"start_date":"2017-02-18","description":"","custom_fields":[{"id":1,"name":"Subdivision","value":"NW"},{"id":4,"name":"Milepost","value":"5.8944"},{"id":17,"name":"Train ID","value":"1817-18"},{"id":16,"name":"Locomotive ID","value":"4031"},{"id":130,"name":"Impact","value":""},{"id":150,"name":"Time of Event (Mountain Time)","value":"14:34:35"},{"id":151,"name":"Denver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00"/>
        <v>start /low /b %USERPROFILE%\Documents\GitHub\eaglep3\Utilities\DownloadLogsFromS3.py --loco 4031 --day 2017-02-18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607</v>
      </c>
      <c r="B179" s="7">
        <v>4032</v>
      </c>
      <c r="C179" s="21" t="s">
        <v>680</v>
      </c>
      <c r="D179" s="21" t="s">
        <v>745</v>
      </c>
      <c r="E179" s="13">
        <v>42784.608622685184</v>
      </c>
      <c r="F179" s="13">
        <v>42784.610173611109</v>
      </c>
      <c r="G179" s="7">
        <v>1</v>
      </c>
      <c r="H179" s="21" t="s">
        <v>431</v>
      </c>
      <c r="I179" s="13">
        <v>42784.621157407404</v>
      </c>
      <c r="J179" s="7">
        <v>0</v>
      </c>
      <c r="K179" s="98" t="str">
        <f t="shared" si="101"/>
        <v>4031/4032</v>
      </c>
      <c r="L179" s="21" t="str">
        <f>VLOOKUP(A179,'Trips&amp;Operators'!$C$1:$G$99999,5,FALSE)</f>
        <v>HELVIE ADAM</v>
      </c>
      <c r="M179" s="6">
        <f t="shared" si="102"/>
        <v>1.0983796295477077E-2</v>
      </c>
      <c r="N179" s="7">
        <f t="shared" si="111"/>
        <v>15.816666665486991</v>
      </c>
      <c r="O179" s="7"/>
      <c r="P179" s="7"/>
      <c r="Q179" s="22"/>
      <c r="R179" s="22"/>
      <c r="S179" s="31">
        <f t="shared" si="112"/>
        <v>1</v>
      </c>
      <c r="T179" s="46" t="str">
        <f t="shared" si="103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95"/>
        <v>https://d0f6bd738d7f1b3e5a7ca70fe4ff75f0.us-east-1.aws.found.io/app/kibana#/discover/Steve-Slow-Train-Analysis-(2080s-and-2083s)?_g=(refreshInterval:(display:Off,pause:!f,section:0,value:0),time:(from:'2017-02-18T13:36:25-0700',mode:absolute,to:'2017-02-18T15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188" t="str">
        <f t="shared" si="104"/>
        <v>N</v>
      </c>
      <c r="X179" s="188">
        <f t="shared" si="120"/>
        <v>1</v>
      </c>
      <c r="Y179" s="62">
        <f t="shared" si="118"/>
        <v>5.8625999999999996</v>
      </c>
      <c r="Z179" s="62">
        <f t="shared" si="119"/>
        <v>7.0300000000000001E-2</v>
      </c>
      <c r="AA179" s="62">
        <f t="shared" si="107"/>
        <v>5.7923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08"/>
        <v>1818-18</v>
      </c>
      <c r="AE179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79" s="82" t="str">
        <f t="shared" si="97"/>
        <v>"C:\Program Files (x86)\AstroGrep\AstroGrep.exe" /spath="%USERPROFILE%\AppData\Local\Temp\OnboardLogs" /stypes="app*4032*20170218*" /stext=" 21:.+((SYSTEM_STATE.+slice.+state.+changed )|(ment ac)|(multiple cpu faults)|(system.+state.+changed )|(\[timeout)|(PRM\|1\|D)|(kpr)|(kdp)|(\|lc)|(penalty))" /e /r /s</v>
      </c>
      <c r="AG179" s="1" t="str">
        <f t="shared" si="109"/>
        <v>NW</v>
      </c>
      <c r="AH179" s="86" t="str">
        <f t="shared" si="98"/>
        <v>"%USERPROFILE%\Documents\GitHub\eaglep3\Utilities\RefineRTDCRunTimes.py" --tripid 1818-18 --locoid 4032 --swversion DE.1.0.9.0 --startMP 300:58626 --initTime 2017-02-18T14:36:25 --startdatetime 2017-02-18T14:38:39 --delay 1 --endMP 204:703 --enddatetime 2017-02-18T14:54:28 --enforcementcount 0 &gt;&gt;C:\Users\stu\Documents\GitHub\eaglep3-reporting\EC\2017-02-18-refined-times.txt</v>
      </c>
      <c r="AI179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{"issue":{"subject":"","project_id":79,"tracker_id":40,"status_id":1,"priority_id":2,"assigned_to_id":23,"start_date":"2017-02-18","description":"","custom_fields":[{"id":1,"name":"Subdivision","value":"NW"},{"id":4,"name":"Milepost","value":"0.0703"},{"id":17,"name":"Train ID","value":"1818-18"},{"id":16,"name":"Locomotive ID","value":"4032"},{"id":130,"name":"Impact","value":""},{"id":150,"name":"Time of Event (Mountain Time)","value":"14:54:28"},{"id":151,"name":"Denver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00"/>
        <v>start /low /b %USERPROFILE%\Documents\GitHub\eaglep3\Utilities\DownloadLogsFromS3.py --loco 4032 --day 2017-02-18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</row>
    <row r="180" spans="1:91" x14ac:dyDescent="0.25">
      <c r="A180" s="33" t="s">
        <v>612</v>
      </c>
      <c r="B180" s="7">
        <v>4031</v>
      </c>
      <c r="C180" s="21" t="s">
        <v>680</v>
      </c>
      <c r="D180" s="21" t="s">
        <v>746</v>
      </c>
      <c r="E180" s="13">
        <v>42784.637650462966</v>
      </c>
      <c r="F180" s="13">
        <v>42784.640405092592</v>
      </c>
      <c r="G180" s="7">
        <v>1</v>
      </c>
      <c r="H180" s="21" t="s">
        <v>747</v>
      </c>
      <c r="I180" s="13">
        <v>42784.649629629632</v>
      </c>
      <c r="J180" s="7">
        <v>0</v>
      </c>
      <c r="K180" s="98" t="str">
        <f t="shared" si="101"/>
        <v>4031/4032</v>
      </c>
      <c r="L180" s="21" t="str">
        <f>VLOOKUP(A180,'Trips&amp;Operators'!$C$1:$G$99999,5,FALSE)</f>
        <v>HELVIE ADAM</v>
      </c>
      <c r="M180" s="6">
        <f t="shared" si="102"/>
        <v>9.2245370396994986E-3</v>
      </c>
      <c r="N180" s="7">
        <f t="shared" si="111"/>
        <v>13.283333337167278</v>
      </c>
      <c r="O180" s="7"/>
      <c r="P180" s="7"/>
      <c r="Q180" s="22"/>
      <c r="R180" s="22"/>
      <c r="S180" s="31">
        <f t="shared" si="112"/>
        <v>1</v>
      </c>
      <c r="T180" s="46" t="str">
        <f t="shared" si="103"/>
        <v>NorthBound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95"/>
        <v>https://d0f6bd738d7f1b3e5a7ca70fe4ff75f0.us-east-1.aws.found.io/app/kibana#/discover/Steve-Slow-Train-Analysis-(2080s-and-2083s)?_g=(refreshInterval:(display:Off,pause:!f,section:0,value:0),time:(from:'2017-02-18T14:18:13-0700',mode:absolute,to:'2017-02-18T16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188" t="str">
        <f t="shared" si="104"/>
        <v>N</v>
      </c>
      <c r="X180" s="188">
        <f t="shared" si="120"/>
        <v>1</v>
      </c>
      <c r="Y180" s="62">
        <f t="shared" si="118"/>
        <v>9.9500000000000005E-2</v>
      </c>
      <c r="Z180" s="62">
        <f t="shared" si="119"/>
        <v>5.8943000000000003</v>
      </c>
      <c r="AA180" s="62">
        <f t="shared" si="107"/>
        <v>5.7948000000000004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08"/>
        <v>1819-18</v>
      </c>
      <c r="AE180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0" s="82" t="str">
        <f t="shared" si="97"/>
        <v>"C:\Program Files (x86)\AstroGrep\AstroGrep.exe" /spath="%USERPROFILE%\AppData\Local\Temp\OnboardLogs" /stypes="app*4031*20170218*" /stext=" 22:.+((SYSTEM_STATE.+slice.+state.+changed )|(ment ac)|(multiple cpu faults)|(system.+state.+changed )|(\[timeout)|(PRM\|1\|D)|(kpr)|(kdp)|(\|lc)|(penalty))" /e /r /s</v>
      </c>
      <c r="AG180" s="1" t="str">
        <f t="shared" si="109"/>
        <v>NW</v>
      </c>
      <c r="AH180" s="86" t="str">
        <f t="shared" si="98"/>
        <v>"%USERPROFILE%\Documents\GitHub\eaglep3\Utilities\RefineRTDCRunTimes.py" --tripid 1819-18 --locoid 4031 --swversion DE.1.0.9.0 --startMP 204:995 --initTime 2017-02-18T15:18:13 --startdatetime 2017-02-18T15:22:11 --delay 1 --endMP 300:58943 --enddatetime 2017-02-18T15:35:28 --enforcementcount 0 &gt;&gt;C:\Users\stu\Documents\GitHub\eaglep3-reporting\EC\2017-02-18-refined-times.txt</v>
      </c>
      <c r="AI180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{"issue":{"subject":"","project_id":79,"tracker_id":40,"status_id":1,"priority_id":2,"assigned_to_id":23,"start_date":"2017-02-18","description":"","custom_fields":[{"id":1,"name":"Subdivision","value":"NW"},{"id":4,"name":"Milepost","value":"5.8943"},{"id":17,"name":"Train ID","value":"1819-18"},{"id":16,"name":"Locomotive ID","value":"4031"},{"id":130,"name":"Impact","value":""},{"id":150,"name":"Time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00"/>
        <v>start /low /b %USERPROFILE%\Documents\GitHub\eaglep3\Utilities\DownloadLogsFromS3.py --loco 4031 --day 2017-02-18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81" spans="1:91" s="20" customFormat="1" x14ac:dyDescent="0.25">
      <c r="A181" s="33" t="s">
        <v>615</v>
      </c>
      <c r="B181" s="7">
        <v>4032</v>
      </c>
      <c r="C181" s="21" t="s">
        <v>680</v>
      </c>
      <c r="D181" s="21" t="s">
        <v>304</v>
      </c>
      <c r="E181" s="13">
        <v>42784.650706018518</v>
      </c>
      <c r="F181" s="13">
        <v>42784.652511574073</v>
      </c>
      <c r="G181" s="7">
        <v>1</v>
      </c>
      <c r="H181" s="21" t="s">
        <v>749</v>
      </c>
      <c r="I181" s="13">
        <v>42784.662881944445</v>
      </c>
      <c r="J181" s="7">
        <v>0</v>
      </c>
      <c r="K181" s="98" t="str">
        <f t="shared" si="101"/>
        <v>4031/4032</v>
      </c>
      <c r="L181" s="21" t="str">
        <f>VLOOKUP(A181,'Trips&amp;Operators'!$C$1:$G$99999,5,FALSE)</f>
        <v>HELVIE ADAM</v>
      </c>
      <c r="M181" s="6">
        <f t="shared" si="102"/>
        <v>1.0370370371674653E-2</v>
      </c>
      <c r="N181" s="7">
        <f t="shared" si="111"/>
        <v>14.933333335211501</v>
      </c>
      <c r="O181" s="7"/>
      <c r="P181" s="7"/>
      <c r="Q181" s="22"/>
      <c r="R181" s="22"/>
      <c r="S181" s="31">
        <f t="shared" si="112"/>
        <v>1</v>
      </c>
      <c r="T181" s="46" t="str">
        <f t="shared" si="103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95"/>
        <v>https://d0f6bd738d7f1b3e5a7ca70fe4ff75f0.us-east-1.aws.found.io/app/kibana#/discover/Steve-Slow-Train-Analysis-(2080s-and-2083s)?_g=(refreshInterval:(display:Off,pause:!f,section:0,value:0),time:(from:'2017-02-18T14:37:01-0700',mode:absolute,to:'2017-02-18T16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188" t="str">
        <f t="shared" si="104"/>
        <v>N</v>
      </c>
      <c r="X181" s="188">
        <f t="shared" si="120"/>
        <v>1</v>
      </c>
      <c r="Y181" s="62">
        <f t="shared" si="118"/>
        <v>5.8623000000000003</v>
      </c>
      <c r="Z181" s="62">
        <f t="shared" si="119"/>
        <v>7.4700000000000003E-2</v>
      </c>
      <c r="AA181" s="62">
        <f t="shared" si="107"/>
        <v>5.7876000000000003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08"/>
        <v>1820-18</v>
      </c>
      <c r="AE181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1" s="82" t="str">
        <f t="shared" si="97"/>
        <v>"C:\Program Files (x86)\AstroGrep\AstroGrep.exe" /spath="%USERPROFILE%\AppData\Local\Temp\OnboardLogs" /stypes="app*4032*20170218*" /stext=" 22:.+((SYSTEM_STATE.+slice.+state.+changed )|(ment ac)|(multiple cpu faults)|(system.+state.+changed )|(\[timeout)|(PRM\|1\|D)|(kpr)|(kdp)|(\|lc)|(penalty))" /e /r /s</v>
      </c>
      <c r="AG181" s="1" t="str">
        <f t="shared" si="109"/>
        <v>NW</v>
      </c>
      <c r="AH181" s="86" t="str">
        <f t="shared" si="98"/>
        <v>"%USERPROFILE%\Documents\GitHub\eaglep3\Utilities\RefineRTDCRunTimes.py" --tripid 1820-18 --locoid 4032 --swversion DE.1.0.9.0 --startMP 300:58623 --initTime 2017-02-18T15:37:01 --startdatetime 2017-02-18T15:39:37 --delay 1 --endMP 204:747 --enddatetime 2017-02-18T15:54:33 --enforcementcount 0 &gt;&gt;C:\Users\stu\Documents\GitHub\eaglep3-reporting\EC\2017-02-18-refined-times.txt</v>
      </c>
      <c r="AI181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{"issue":{"subject":"","project_id":79,"tracker_id":40,"status_id":1,"priority_id":2,"assigned_to_id":23,"start_date":"2017-02-18","description":"","custom_fields":[{"id":1,"name":"Subdivision","value":"NW"},{"id":4,"name":"Milepost","value":"0.0747"},{"id":17,"name":"Train ID","value":"1820-18"},{"id":16,"name":"Locomotive ID","value":"4032"},{"id":130,"name":"Impact","value":""},{"id":150,"name":"Time of Event (Mountain Time)","value":"15:54:33"},{"id":151,"name":"Denver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00"/>
        <v>start /low /b %USERPROFILE%\Documents\GitHub\eaglep3\Utilities\DownloadLogsFromS3.py --loco 4032 --day 2017-02-18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461</v>
      </c>
      <c r="B182" s="7">
        <v>4031</v>
      </c>
      <c r="C182" s="21" t="s">
        <v>680</v>
      </c>
      <c r="D182" s="21" t="s">
        <v>427</v>
      </c>
      <c r="E182" s="13">
        <v>42784.673437500001</v>
      </c>
      <c r="F182" s="13">
        <v>42784.681527777779</v>
      </c>
      <c r="G182" s="7">
        <v>2</v>
      </c>
      <c r="H182" s="21" t="s">
        <v>430</v>
      </c>
      <c r="I182" s="13">
        <v>42784.691203703704</v>
      </c>
      <c r="J182" s="7">
        <v>0</v>
      </c>
      <c r="K182" s="98" t="str">
        <f t="shared" si="101"/>
        <v>4031/4032</v>
      </c>
      <c r="L182" s="21" t="str">
        <f>VLOOKUP(A182,'Trips&amp;Operators'!$C$1:$G$99999,5,FALSE)</f>
        <v>NELSON ARIANE</v>
      </c>
      <c r="M182" s="6">
        <f t="shared" si="102"/>
        <v>9.6759259249665774E-3</v>
      </c>
      <c r="N182" s="7">
        <f t="shared" si="111"/>
        <v>13.933333331951872</v>
      </c>
      <c r="O182" s="7"/>
      <c r="P182" s="7"/>
      <c r="Q182" s="22"/>
      <c r="R182" s="22"/>
      <c r="S182" s="31">
        <f t="shared" si="112"/>
        <v>1</v>
      </c>
      <c r="T182" s="46" t="str">
        <f t="shared" si="103"/>
        <v>NorthBound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95"/>
        <v>https://d0f6bd738d7f1b3e5a7ca70fe4ff75f0.us-east-1.aws.found.io/app/kibana#/discover/Steve-Slow-Train-Analysis-(2080s-and-2083s)?_g=(refreshInterval:(display:Off,pause:!f,section:0,value:0),time:(from:'2017-02-18T15:09:45-0700',mode:absolute,to:'2017-02-18T17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188" t="str">
        <f t="shared" si="104"/>
        <v>N</v>
      </c>
      <c r="X182" s="188">
        <f t="shared" si="120"/>
        <v>1</v>
      </c>
      <c r="Y182" s="62">
        <f t="shared" si="118"/>
        <v>0.1023</v>
      </c>
      <c r="Z182" s="62">
        <f t="shared" si="119"/>
        <v>5.8964999999999996</v>
      </c>
      <c r="AA182" s="62">
        <f t="shared" si="107"/>
        <v>5.7942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08"/>
        <v>1821-18</v>
      </c>
      <c r="AE182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2" s="82" t="str">
        <f t="shared" si="97"/>
        <v>"C:\Program Files (x86)\AstroGrep\AstroGrep.exe" /spath="%USERPROFILE%\AppData\Local\Temp\OnboardLogs" /stypes="app*4031*20170218*" /stext=" 23:.+((SYSTEM_STATE.+slice.+state.+changed )|(ment ac)|(multiple cpu faults)|(system.+state.+changed )|(\[timeout)|(PRM\|1\|D)|(kpr)|(kdp)|(\|lc)|(penalty))" /e /r /s</v>
      </c>
      <c r="AG182" s="1" t="str">
        <f t="shared" si="109"/>
        <v>NW</v>
      </c>
      <c r="AH182" s="86" t="str">
        <f t="shared" si="98"/>
        <v>"%USERPROFILE%\Documents\GitHub\eaglep3\Utilities\RefineRTDCRunTimes.py" --tripid 1821-18 --locoid 4031 --swversion DE.1.0.9.0 --startMP 204:1023 --initTime 2017-02-18T16:09:45 --startdatetime 2017-02-18T16:21:24 --delay 2 --endMP 300:58965 --enddatetime 2017-02-18T16:35:20 --enforcementcount 0 &gt;&gt;C:\Users\stu\Documents\GitHub\eaglep3-reporting\EC\2017-02-18-refined-times.txt</v>
      </c>
      <c r="AI182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{"issue":{"subject":"","project_id":79,"tracker_id":40,"status_id":1,"priority_id":2,"assigned_to_id":23,"start_date":"2017-02-18","description":"","custom_fields":[{"id":1,"name":"Subdivision","value":"NW"},{"id":4,"name":"Milepost","value":"5.8965"},{"id":17,"name":"Train ID","value":"1821-18"},{"id":16,"name":"Locomotive ID","value":"4031"},{"id":130,"name":"Impact","value":""},{"id":150,"name":"Time of Event (Mountain Time)","value":"16:35:20"},{"id":151,"name":"Denver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00"/>
        <v>start /low /b %USERPROFILE%\Documents\GitHub\eaglep3\Utilities\DownloadLogsFromS3.py --loco 4031 --day 2017-02-18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"%USERPROFILE%\AppData\Local\Temp\OnboardLogs"\RTDC4031\*4031*20170218* | grep -SE "(Enforcement Action)|(\[TIMEOUT)|(CHR.+\|PRM\|1\|D.+(SWITCH|SIGNAL).+UNKNOWN)" - &gt;&gt; 2017-02-18-UncaughtWiMAX.txt</v>
      </c>
    </row>
    <row r="183" spans="1:91" s="20" customFormat="1" x14ac:dyDescent="0.25">
      <c r="A183" s="33" t="s">
        <v>462</v>
      </c>
      <c r="B183" s="7">
        <v>4032</v>
      </c>
      <c r="C183" s="21" t="s">
        <v>680</v>
      </c>
      <c r="D183" s="21" t="s">
        <v>435</v>
      </c>
      <c r="E183" s="13">
        <v>42784.693368055552</v>
      </c>
      <c r="F183" s="13">
        <v>42784.695567129631</v>
      </c>
      <c r="G183" s="7">
        <v>1</v>
      </c>
      <c r="H183" s="21" t="s">
        <v>689</v>
      </c>
      <c r="I183" s="13">
        <v>42784.705671296295</v>
      </c>
      <c r="J183" s="7">
        <v>0</v>
      </c>
      <c r="K183" s="98" t="str">
        <f t="shared" si="101"/>
        <v>4031/4032</v>
      </c>
      <c r="L183" s="21" t="str">
        <f>VLOOKUP(A183,'Trips&amp;Operators'!$C$1:$G$99999,5,FALSE)</f>
        <v>NELSON ARIANE</v>
      </c>
      <c r="M183" s="6">
        <f t="shared" si="102"/>
        <v>1.0104166663950309E-2</v>
      </c>
      <c r="N183" s="7">
        <f t="shared" si="111"/>
        <v>14.549999996088445</v>
      </c>
      <c r="O183" s="7"/>
      <c r="P183" s="7"/>
      <c r="Q183" s="22"/>
      <c r="R183" s="22"/>
      <c r="S183" s="31">
        <f t="shared" si="112"/>
        <v>1</v>
      </c>
      <c r="T183" s="46" t="str">
        <f t="shared" si="103"/>
        <v>Southbound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95"/>
        <v>https://d0f6bd738d7f1b3e5a7ca70fe4ff75f0.us-east-1.aws.found.io/app/kibana#/discover/Steve-Slow-Train-Analysis-(2080s-and-2083s)?_g=(refreshInterval:(display:Off,pause:!f,section:0,value:0),time:(from:'2017-02-18T15:38:27-0700',mode:absolute,to:'2017-02-18T17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188" t="str">
        <f t="shared" si="104"/>
        <v>N</v>
      </c>
      <c r="X183" s="188">
        <f t="shared" si="120"/>
        <v>1</v>
      </c>
      <c r="Y183" s="62">
        <f t="shared" si="118"/>
        <v>5.8648999999999996</v>
      </c>
      <c r="Z183" s="62">
        <f t="shared" si="119"/>
        <v>7.1499999999999994E-2</v>
      </c>
      <c r="AA183" s="62">
        <f t="shared" si="107"/>
        <v>5.7933999999999992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08"/>
        <v>1822-18</v>
      </c>
      <c r="AE183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3" s="82" t="str">
        <f t="shared" si="97"/>
        <v>"C:\Program Files (x86)\AstroGrep\AstroGrep.exe" /spath="%USERPROFILE%\AppData\Local\Temp\OnboardLogs" /stypes="app*4032*20170218*" /stext=" 23:.+((SYSTEM_STATE.+slice.+state.+changed )|(ment ac)|(multiple cpu faults)|(system.+state.+changed )|(\[timeout)|(PRM\|1\|D)|(kpr)|(kdp)|(\|lc)|(penalty))" /e /r /s</v>
      </c>
      <c r="AG183" s="1" t="str">
        <f t="shared" si="109"/>
        <v>NW</v>
      </c>
      <c r="AH183" s="86" t="str">
        <f t="shared" si="98"/>
        <v>"%USERPROFILE%\Documents\GitHub\eaglep3\Utilities\RefineRTDCRunTimes.py" --tripid 1822-18 --locoid 4032 --swversion DE.1.0.9.0 --startMP 300:58649 --initTime 2017-02-18T16:38:27 --startdatetime 2017-02-18T16:41:37 --delay 1 --endMP 204:715 --enddatetime 2017-02-18T16:56:10 --enforcementcount 0 &gt;&gt;C:\Users\stu\Documents\GitHub\eaglep3-reporting\EC\2017-02-18-refined-times.txt</v>
      </c>
      <c r="AI183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{"issue":{"subject":"","project_id":79,"tracker_id":40,"status_id":1,"priority_id":2,"assigned_to_id":23,"start_date":"2017-02-18","description":"","custom_fields":[{"id":1,"name":"Subdivision","value":"NW"},{"id":4,"name":"Milepost","value":"0.0715"},{"id":17,"name":"Train ID","value":"1822-18"},{"id":16,"name":"Locomotive ID","value":"4032"},{"id":130,"name":"Impact","value":""},{"id":150,"name":"Time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00"/>
        <v>start /low /b %USERPROFILE%\Documents\GitHub\eaglep3\Utilities\DownloadLogsFromS3.py --loco 4032 --day 2017-02-18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"%USERPROFILE%\AppData\Local\Temp\OnboardLogs"\RTDC4032\*4032*20170218* | grep -SE "(Enforcement Action)|(\[TIMEOUT)|(CHR.+\|PRM\|1\|D.+(SWITCH|SIGNAL).+UNKNOWN)" - &gt;&gt; 2017-02-18-UncaughtWiMAX.txt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630</v>
      </c>
      <c r="B184" s="7">
        <v>4031</v>
      </c>
      <c r="C184" s="21" t="s">
        <v>680</v>
      </c>
      <c r="D184" s="21" t="s">
        <v>433</v>
      </c>
      <c r="E184" s="13">
        <v>42784.714097222219</v>
      </c>
      <c r="F184" s="13">
        <v>42784.723090277781</v>
      </c>
      <c r="G184" s="7">
        <v>1</v>
      </c>
      <c r="H184" s="21" t="s">
        <v>305</v>
      </c>
      <c r="I184" s="13">
        <v>42784.732928240737</v>
      </c>
      <c r="J184" s="7">
        <v>0</v>
      </c>
      <c r="K184" s="98" t="str">
        <f t="shared" si="101"/>
        <v>4031/4032</v>
      </c>
      <c r="L184" s="21" t="str">
        <f>VLOOKUP(A184,'Trips&amp;Operators'!$C$1:$G$99999,5,FALSE)</f>
        <v>HELVIE ADAM</v>
      </c>
      <c r="M184" s="6">
        <f t="shared" si="102"/>
        <v>9.8379629562259652E-3</v>
      </c>
      <c r="N184" s="7">
        <f t="shared" si="111"/>
        <v>14.16666665696539</v>
      </c>
      <c r="O184" s="7"/>
      <c r="P184" s="7"/>
      <c r="Q184" s="22"/>
      <c r="R184" s="22"/>
      <c r="S184" s="31">
        <f t="shared" si="112"/>
        <v>1</v>
      </c>
      <c r="T184" s="46" t="str">
        <f t="shared" si="103"/>
        <v>NorthBound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95"/>
        <v>https://d0f6bd738d7f1b3e5a7ca70fe4ff75f0.us-east-1.aws.found.io/app/kibana#/discover/Steve-Slow-Train-Analysis-(2080s-and-2083s)?_g=(refreshInterval:(display:Off,pause:!f,section:0,value:0),time:(from:'2017-02-18T16:08:18-0700',mode:absolute,to:'2017-02-18T18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188" t="str">
        <f t="shared" si="104"/>
        <v>N</v>
      </c>
      <c r="X184" s="188">
        <f t="shared" si="120"/>
        <v>1</v>
      </c>
      <c r="Y184" s="62">
        <f t="shared" si="118"/>
        <v>9.9000000000000005E-2</v>
      </c>
      <c r="Z184" s="62">
        <f t="shared" si="119"/>
        <v>5.8936999999999999</v>
      </c>
      <c r="AA184" s="62">
        <f t="shared" si="107"/>
        <v>5.7946999999999997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08"/>
        <v>1823-18</v>
      </c>
      <c r="AE184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4" s="82" t="str">
        <f t="shared" si="97"/>
        <v>"C:\Program Files (x86)\AstroGrep\AstroGrep.exe" /spath="%USERPROFILE%\AppData\Local\Temp\OnboardLogs" /stypes="app*4031*20170219*" /stext=" 00:.+((SYSTEM_STATE.+slice.+state.+changed )|(ment ac)|(multiple cpu faults)|(system.+state.+changed )|(\[timeout)|(PRM\|1\|D)|(kpr)|(kdp)|(\|lc)|(penalty))" /e /r /s</v>
      </c>
      <c r="AG184" s="1" t="str">
        <f t="shared" si="109"/>
        <v>NW</v>
      </c>
      <c r="AH184" s="86" t="str">
        <f t="shared" si="98"/>
        <v>"%USERPROFILE%\Documents\GitHub\eaglep3\Utilities\RefineRTDCRunTimes.py" --tripid 1823-18 --locoid 4031 --swversion DE.1.0.9.0 --startMP 204:990 --initTime 2017-02-18T17:08:18 --startdatetime 2017-02-18T17:21:15 --delay 1 --endMP 300:58937 --enddatetime 2017-02-18T17:35:25 --enforcementcount 0 &gt;&gt;C:\Users\stu\Documents\GitHub\eaglep3-reporting\EC\2017-02-18-refined-times.txt</v>
      </c>
      <c r="AI184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{"issue":{"subject":"","project_id":79,"tracker_id":40,"status_id":1,"priority_id":2,"assigned_to_id":23,"start_date":"2017-02-18","description":"","custom_fields":[{"id":1,"name":"Subdivision","value":"NW"},{"id":4,"name":"Milepost","value":"5.8937"},{"id":17,"name":"Train ID","value":"1823-18"},{"id":16,"name":"Locomotive ID","value":"4031"},{"id":130,"name":"Impact","value":""},{"id":150,"name":"Time of Event (Mountain Time)","value":"17:35:25"},{"id":151,"name":"Denver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00"/>
        <v>start /low /b %USERPROFILE%\Documents\GitHub\eaglep3\Utilities\DownloadLogsFromS3.py --loco 4031 --day 2017-02-18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85" spans="1:91" x14ac:dyDescent="0.25">
      <c r="A185" s="33" t="s">
        <v>635</v>
      </c>
      <c r="B185" s="7">
        <v>4032</v>
      </c>
      <c r="C185" s="21" t="s">
        <v>680</v>
      </c>
      <c r="D185" s="21" t="s">
        <v>750</v>
      </c>
      <c r="E185" s="13">
        <v>42784.734097222223</v>
      </c>
      <c r="F185" s="13">
        <v>42784.735879629632</v>
      </c>
      <c r="G185" s="7">
        <v>1</v>
      </c>
      <c r="H185" s="21" t="s">
        <v>749</v>
      </c>
      <c r="I185" s="13">
        <v>42784.747164351851</v>
      </c>
      <c r="J185" s="7">
        <v>0</v>
      </c>
      <c r="K185" s="98" t="str">
        <f t="shared" ref="K185:K221" si="121">IF(ISEVEN(B185),(B185-1)&amp;"/"&amp;B185,B185&amp;"/"&amp;(B185+1))</f>
        <v>4031/4032</v>
      </c>
      <c r="L185" s="21" t="str">
        <f>VLOOKUP(A185,'Trips&amp;Operators'!$C$1:$G$99999,5,FALSE)</f>
        <v>HELVIE ADAM</v>
      </c>
      <c r="M185" s="6">
        <f t="shared" ref="M185:M221" si="122">I185-F185</f>
        <v>1.1284722218988463E-2</v>
      </c>
      <c r="N185" s="7">
        <f t="shared" si="111"/>
        <v>16.249999995343387</v>
      </c>
      <c r="O185" s="7"/>
      <c r="P185" s="7"/>
      <c r="Q185" s="22"/>
      <c r="R185" s="22"/>
      <c r="S185" s="31">
        <f t="shared" si="112"/>
        <v>1</v>
      </c>
      <c r="T185" s="46" t="str">
        <f t="shared" ref="T185:T221" si="123">IF(ISEVEN(LEFT(AD185,4)),"Southbound","NorthBound")</f>
        <v>Southbound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95"/>
        <v>https://d0f6bd738d7f1b3e5a7ca70fe4ff75f0.us-east-1.aws.found.io/app/kibana#/discover/Steve-Slow-Train-Analysis-(2080s-and-2083s)?_g=(refreshInterval:(display:Off,pause:!f,section:0,value:0),time:(from:'2017-02-18T16:37:06-0700',mode:absolute,to:'2017-02-18T18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188" t="str">
        <f t="shared" ref="W185:W221" si="124">IF(AA185&lt;IF(AG185="EC",23,5.65),"Y","N")</f>
        <v>N</v>
      </c>
      <c r="X185" s="188">
        <f t="shared" si="120"/>
        <v>1</v>
      </c>
      <c r="Y185" s="62">
        <f t="shared" si="118"/>
        <v>5.8613</v>
      </c>
      <c r="Z185" s="62">
        <f t="shared" si="119"/>
        <v>7.4700000000000003E-2</v>
      </c>
      <c r="AA185" s="62">
        <f t="shared" ref="AA185:AA216" si="125">ABS(Z185-Y185)</f>
        <v>5.7866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ref="AD185:AD221" si="126">IF(LEN(A185)=6,"0"&amp;A185,A185)</f>
        <v>1824-18</v>
      </c>
      <c r="AE185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5" s="82" t="str">
        <f t="shared" si="97"/>
        <v>"C:\Program Files (x86)\AstroGrep\AstroGrep.exe" /spath="%USERPROFILE%\AppData\Local\Temp\OnboardLogs" /stypes="app*4032*20170219*" /stext=" 00:.+((SYSTEM_STATE.+slice.+state.+changed )|(ment ac)|(multiple cpu faults)|(system.+state.+changed )|(\[timeout)|(PRM\|1\|D)|(kpr)|(kdp)|(\|lc)|(penalty))" /e /r /s</v>
      </c>
      <c r="AG185" s="1" t="str">
        <f t="shared" ref="AG185:AG221" si="127">IFERROR(IF(VALUE(LEFT(AD185,2))&lt;=2,"EC",IF(OR(VALUE(LEFT(AD185,2))=8,VALUE(LEFT(AD185,2))=18),"NW","Other")),"Other")</f>
        <v>NW</v>
      </c>
      <c r="AH185" s="86" t="str">
        <f t="shared" si="98"/>
        <v>"%USERPROFILE%\Documents\GitHub\eaglep3\Utilities\RefineRTDCRunTimes.py" --tripid 1824-18 --locoid 4032 --swversion DE.1.0.9.0 --startMP 300:58613 --initTime 2017-02-18T17:37:06 --startdatetime 2017-02-18T17:39:40 --delay 1 --endMP 204:747 --enddatetime 2017-02-18T17:55:55 --enforcementcount 0 &gt;&gt;C:\Users\stu\Documents\GitHub\eaglep3-reporting\EC\2017-02-18-refined-times.txt</v>
      </c>
      <c r="AI185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{"issue":{"subject":"","project_id":79,"tracker_id":40,"status_id":1,"priority_id":2,"assigned_to_id":23,"start_date":"2017-02-18","description":"","custom_fields":[{"id":1,"name":"Subdivision","value":"NW"},{"id":4,"name":"Milepost","value":"0.0747"},{"id":17,"name":"Train ID","value":"1824-18"},{"id":16,"name":"Locomotive ID","value":"4032"},{"id":130,"name":"Impact","value":""},{"id":150,"name":"Time of Event (Mountain Time)","value":"17:55:55"},{"id":151,"name":"Denver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00"/>
        <v>start /low /b %USERPROFILE%\Documents\GitHub\eaglep3\Utilities\DownloadLogsFromS3.py --loco 4032 --day 2017-02-18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</row>
    <row r="186" spans="1:91" x14ac:dyDescent="0.25">
      <c r="A186" s="33" t="s">
        <v>642</v>
      </c>
      <c r="B186" s="7">
        <v>4031</v>
      </c>
      <c r="C186" s="21" t="s">
        <v>680</v>
      </c>
      <c r="D186" s="21" t="s">
        <v>427</v>
      </c>
      <c r="E186" s="13">
        <v>42784.762638888889</v>
      </c>
      <c r="F186" s="13">
        <v>42784.764768518522</v>
      </c>
      <c r="G186" s="7">
        <v>1</v>
      </c>
      <c r="H186" s="21" t="s">
        <v>751</v>
      </c>
      <c r="I186" s="13">
        <v>42784.774826388886</v>
      </c>
      <c r="J186" s="7">
        <v>0</v>
      </c>
      <c r="K186" s="98" t="str">
        <f t="shared" si="121"/>
        <v>4031/4032</v>
      </c>
      <c r="L186" s="21" t="str">
        <f>VLOOKUP(A186,'Trips&amp;Operators'!$C$1:$G$99999,5,FALSE)</f>
        <v>HELVIE ADAM</v>
      </c>
      <c r="M186" s="6">
        <f t="shared" si="122"/>
        <v>1.0057870364107657E-2</v>
      </c>
      <c r="N186" s="7">
        <f t="shared" si="111"/>
        <v>14.483333324315026</v>
      </c>
      <c r="O186" s="7"/>
      <c r="P186" s="7"/>
      <c r="Q186" s="22"/>
      <c r="R186" s="22"/>
      <c r="S186" s="31">
        <f t="shared" si="112"/>
        <v>1</v>
      </c>
      <c r="T186" s="46" t="str">
        <f t="shared" si="123"/>
        <v>NorthBound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95"/>
        <v>https://d0f6bd738d7f1b3e5a7ca70fe4ff75f0.us-east-1.aws.found.io/app/kibana#/discover/Steve-Slow-Train-Analysis-(2080s-and-2083s)?_g=(refreshInterval:(display:Off,pause:!f,section:0,value:0),time:(from:'2017-02-18T17:18:12-0700',mode:absolute,to:'2017-02-18T19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188" t="str">
        <f t="shared" si="124"/>
        <v>N</v>
      </c>
      <c r="X186" s="188">
        <f t="shared" si="120"/>
        <v>1</v>
      </c>
      <c r="Y186" s="62">
        <f t="shared" si="118"/>
        <v>0.1023</v>
      </c>
      <c r="Z186" s="62">
        <f t="shared" si="119"/>
        <v>5.8939000000000004</v>
      </c>
      <c r="AA186" s="62">
        <f t="shared" si="125"/>
        <v>5.7916000000000007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26"/>
        <v>1825-18</v>
      </c>
      <c r="AE186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6" s="82" t="str">
        <f t="shared" si="97"/>
        <v>"C:\Program Files (x86)\AstroGrep\AstroGrep.exe" /spath="%USERPROFILE%\AppData\Local\Temp\OnboardLogs" /stypes="app*4031*20170219*" /stext=" 01:.+((SYSTEM_STATE.+slice.+state.+changed )|(ment ac)|(multiple cpu faults)|(system.+state.+changed )|(\[timeout)|(PRM\|1\|D)|(kpr)|(kdp)|(\|lc)|(penalty))" /e /r /s</v>
      </c>
      <c r="AG186" s="1" t="str">
        <f t="shared" si="127"/>
        <v>NW</v>
      </c>
      <c r="AH186" s="86" t="str">
        <f t="shared" si="98"/>
        <v>"%USERPROFILE%\Documents\GitHub\eaglep3\Utilities\RefineRTDCRunTimes.py" --tripid 1825-18 --locoid 4031 --swversion DE.1.0.9.0 --startMP 204:1023 --initTime 2017-02-18T18:18:12 --startdatetime 2017-02-18T18:21:16 --delay 1 --endMP 300:58939 --enddatetime 2017-02-18T18:35:45 --enforcementcount 0 &gt;&gt;C:\Users\stu\Documents\GitHub\eaglep3-reporting\EC\2017-02-18-refined-times.txt</v>
      </c>
      <c r="AI186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{"issue":{"subject":"","project_id":79,"tracker_id":40,"status_id":1,"priority_id":2,"assigned_to_id":23,"start_date":"2017-02-18","description":"","custom_fields":[{"id":1,"name":"Subdivision","value":"NW"},{"id":4,"name":"Milepost","value":"5.8939"},{"id":17,"name":"Train ID","value":"1825-18"},{"id":16,"name":"Locomotive ID","value":"4031"},{"id":130,"name":"Impact","value":""},{"id":150,"name":"Time of Event (Mountain Time)","value":"18:35:45"},{"id":151,"name":"Denver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00"/>
        <v>start /low /b %USERPROFILE%\Documents\GitHub\eaglep3\Utilities\DownloadLogsFromS3.py --loco 4031 --day 2017-02-18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87" spans="1:91" s="20" customFormat="1" x14ac:dyDescent="0.25">
      <c r="A187" s="33" t="s">
        <v>645</v>
      </c>
      <c r="B187" s="7">
        <v>4032</v>
      </c>
      <c r="C187" s="21" t="s">
        <v>680</v>
      </c>
      <c r="D187" s="21" t="s">
        <v>752</v>
      </c>
      <c r="E187" s="13">
        <v>42784.775775462964</v>
      </c>
      <c r="F187" s="13">
        <v>42784.778217592589</v>
      </c>
      <c r="G187" s="7">
        <v>0</v>
      </c>
      <c r="H187" s="21" t="s">
        <v>753</v>
      </c>
      <c r="I187" s="13">
        <v>42784.78833333333</v>
      </c>
      <c r="J187" s="7">
        <v>0</v>
      </c>
      <c r="K187" s="98" t="str">
        <f t="shared" si="121"/>
        <v>4031/4032</v>
      </c>
      <c r="L187" s="21" t="str">
        <f>VLOOKUP(A187,'Trips&amp;Operators'!$C$1:$G$99999,5,FALSE)</f>
        <v>HELVIE ADAM</v>
      </c>
      <c r="M187" s="6">
        <f t="shared" si="122"/>
        <v>1.0115740740729962E-2</v>
      </c>
      <c r="N187" s="7">
        <f t="shared" si="111"/>
        <v>14.566666666651145</v>
      </c>
      <c r="O187" s="7"/>
      <c r="P187" s="7"/>
      <c r="Q187" s="22"/>
      <c r="R187" s="22"/>
      <c r="S187" s="31">
        <f t="shared" si="112"/>
        <v>1</v>
      </c>
      <c r="T187" s="46" t="str">
        <f t="shared" si="123"/>
        <v>Southbound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95"/>
        <v>https://d0f6bd738d7f1b3e5a7ca70fe4ff75f0.us-east-1.aws.found.io/app/kibana#/discover/Steve-Slow-Train-Analysis-(2080s-and-2083s)?_g=(refreshInterval:(display:Off,pause:!f,section:0,value:0),time:(from:'2017-02-18T17:37:07-0700',mode:absolute,to:'2017-02-18T19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88" t="str">
        <f t="shared" si="124"/>
        <v>N</v>
      </c>
      <c r="X187" s="188">
        <f t="shared" si="120"/>
        <v>1</v>
      </c>
      <c r="Y187" s="62">
        <f t="shared" si="118"/>
        <v>5.8628</v>
      </c>
      <c r="Z187" s="62">
        <f t="shared" si="119"/>
        <v>7.3099999999999998E-2</v>
      </c>
      <c r="AA187" s="62">
        <f t="shared" si="125"/>
        <v>5.7896999999999998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26"/>
        <v>1826-18</v>
      </c>
      <c r="AE187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7" s="82" t="str">
        <f t="shared" si="97"/>
        <v>"C:\Program Files (x86)\AstroGrep\AstroGrep.exe" /spath="%USERPROFILE%\AppData\Local\Temp\OnboardLogs" /stypes="app*4032*20170219*" /stext=" 01:.+((SYSTEM_STATE.+slice.+state.+changed )|(ment ac)|(multiple cpu faults)|(system.+state.+changed )|(\[timeout)|(PRM\|1\|D)|(kpr)|(kdp)|(\|lc)|(penalty))" /e /r /s</v>
      </c>
      <c r="AG187" s="1" t="str">
        <f t="shared" si="127"/>
        <v>NW</v>
      </c>
      <c r="AH187" s="86" t="str">
        <f t="shared" si="98"/>
        <v>"%USERPROFILE%\Documents\GitHub\eaglep3\Utilities\RefineRTDCRunTimes.py" --tripid 1826-18 --locoid 4032 --swversion DE.1.0.9.0 --startMP 300:58628 --initTime 2017-02-18T18:37:07 --startdatetime 2017-02-18T18:40:38 --delay 0 --endMP 204:731 --enddatetime 2017-02-18T18:55:12 --enforcementcount 0 &gt;&gt;C:\Users\stu\Documents\GitHub\eaglep3-reporting\EC\2017-02-18-refined-times.txt</v>
      </c>
      <c r="AI187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{"issue":{"subject":"","project_id":79,"tracker_id":40,"status_id":1,"priority_id":2,"assigned_to_id":23,"start_date":"2017-02-18","description":"","custom_fields":[{"id":1,"name":"Subdivision","value":"NW"},{"id":4,"name":"Milepost","value":"0.0731"},{"id":17,"name":"Train ID","value":"1826-18"},{"id":16,"name":"Locomotive ID","value":"4032"},{"id":130,"name":"Impact","value":""},{"id":150,"name":"Time of Event (Mountain Time)","value":"18:55:12"},{"id":151,"name":"Denver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00"/>
        <v>start /low /b %USERPROFILE%\Documents\GitHub\eaglep3\Utilities\DownloadLogsFromS3.py --loco 4032 --day 2017-02-18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648</v>
      </c>
      <c r="B188" s="7">
        <v>4031</v>
      </c>
      <c r="C188" s="21" t="s">
        <v>680</v>
      </c>
      <c r="D188" s="21" t="s">
        <v>754</v>
      </c>
      <c r="E188" s="13">
        <v>42784.803819444445</v>
      </c>
      <c r="F188" s="13">
        <v>42784.806423611109</v>
      </c>
      <c r="G188" s="7">
        <v>1</v>
      </c>
      <c r="H188" s="21" t="s">
        <v>755</v>
      </c>
      <c r="I188" s="13">
        <v>42784.815891203703</v>
      </c>
      <c r="J188" s="7">
        <v>0</v>
      </c>
      <c r="K188" s="98" t="str">
        <f t="shared" si="121"/>
        <v>4031/4032</v>
      </c>
      <c r="L188" s="21" t="str">
        <f>VLOOKUP(A188,'Trips&amp;Operators'!$C$1:$G$99999,5,FALSE)</f>
        <v>HELVIE ADAM</v>
      </c>
      <c r="M188" s="6">
        <f t="shared" si="122"/>
        <v>9.4675925938645378E-3</v>
      </c>
      <c r="N188" s="7">
        <f t="shared" si="111"/>
        <v>13.633333335164934</v>
      </c>
      <c r="O188" s="7"/>
      <c r="P188" s="7"/>
      <c r="Q188" s="22"/>
      <c r="R188" s="22"/>
      <c r="S188" s="31">
        <f t="shared" si="112"/>
        <v>1</v>
      </c>
      <c r="T188" s="46" t="str">
        <f t="shared" si="123"/>
        <v>NorthBound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95"/>
        <v>https://d0f6bd738d7f1b3e5a7ca70fe4ff75f0.us-east-1.aws.found.io/app/kibana#/discover/Steve-Slow-Train-Analysis-(2080s-and-2083s)?_g=(refreshInterval:(display:Off,pause:!f,section:0,value:0),time:(from:'2017-02-18T18:17:30-0700',mode:absolute,to:'2017-02-18T20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88" t="str">
        <f t="shared" si="124"/>
        <v>N</v>
      </c>
      <c r="X188" s="188">
        <f t="shared" si="120"/>
        <v>1</v>
      </c>
      <c r="Y188" s="62">
        <f t="shared" si="118"/>
        <v>0.1014</v>
      </c>
      <c r="Z188" s="62">
        <f t="shared" si="119"/>
        <v>5.8956</v>
      </c>
      <c r="AA188" s="62">
        <f t="shared" si="125"/>
        <v>5.7942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26"/>
        <v>1827-18</v>
      </c>
      <c r="AE188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88" s="82" t="str">
        <f t="shared" si="97"/>
        <v>"C:\Program Files (x86)\AstroGrep\AstroGrep.exe" /spath="%USERPROFILE%\AppData\Local\Temp\OnboardLogs" /stypes="app*4031*20170219*" /stext=" 02:.+((SYSTEM_STATE.+slice.+state.+changed )|(ment ac)|(multiple cpu faults)|(system.+state.+changed )|(\[timeout)|(PRM\|1\|D)|(kpr)|(kdp)|(\|lc)|(penalty))" /e /r /s</v>
      </c>
      <c r="AG188" s="1" t="str">
        <f t="shared" si="127"/>
        <v>NW</v>
      </c>
      <c r="AH188" s="86" t="str">
        <f t="shared" si="98"/>
        <v>"%USERPROFILE%\Documents\GitHub\eaglep3\Utilities\RefineRTDCRunTimes.py" --tripid 1827-18 --locoid 4031 --swversion DE.1.0.9.0 --startMP 204:1014 --initTime 2017-02-18T19:17:30 --startdatetime 2017-02-18T19:21:15 --delay 1 --endMP 300:58956 --enddatetime 2017-02-18T19:34:53 --enforcementcount 0 &gt;&gt;C:\Users\stu\Documents\GitHub\eaglep3-reporting\EC\2017-02-18-refined-times.txt</v>
      </c>
      <c r="AI188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{"issue":{"subject":"","project_id":79,"tracker_id":40,"status_id":1,"priority_id":2,"assigned_to_id":23,"start_date":"2017-02-18","description":"","custom_fields":[{"id":1,"name":"Subdivision","value":"NW"},{"id":4,"name":"Milepost","value":"5.8956"},{"id":17,"name":"Train ID","value":"1827-18"},{"id":16,"name":"Locomotive ID","value":"4031"},{"id":130,"name":"Impact","value":""},{"id":150,"name":"Time of Event (Mountain Time)","value":"19:34:53"},{"id":151,"name":"Denver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00"/>
        <v>start /low /b %USERPROFILE%\Documents\GitHub\eaglep3\Utilities\DownloadLogsFromS3.py --loco 4031 --day 2017-02-18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89" spans="1:91" s="20" customFormat="1" x14ac:dyDescent="0.25">
      <c r="A189" s="33" t="s">
        <v>651</v>
      </c>
      <c r="B189" s="7">
        <v>4032</v>
      </c>
      <c r="C189" s="21" t="s">
        <v>680</v>
      </c>
      <c r="D189" s="21" t="s">
        <v>756</v>
      </c>
      <c r="E189" s="13">
        <v>42784.819641203707</v>
      </c>
      <c r="F189" s="13">
        <v>42784.821851851855</v>
      </c>
      <c r="G189" s="7">
        <v>1</v>
      </c>
      <c r="H189" s="21" t="s">
        <v>757</v>
      </c>
      <c r="I189" s="13">
        <v>42784.830625000002</v>
      </c>
      <c r="J189" s="7">
        <v>0</v>
      </c>
      <c r="K189" s="98" t="str">
        <f t="shared" si="121"/>
        <v>4031/4032</v>
      </c>
      <c r="L189" s="21" t="str">
        <f>VLOOKUP(A189,'Trips&amp;Operators'!$C$1:$G$99999,5,FALSE)</f>
        <v>HELVIE ADAM</v>
      </c>
      <c r="M189" s="6">
        <f t="shared" si="122"/>
        <v>8.7731481471564621E-3</v>
      </c>
      <c r="N189" s="7">
        <f t="shared" si="111"/>
        <v>12.633333331905305</v>
      </c>
      <c r="O189" s="7"/>
      <c r="P189" s="7"/>
      <c r="Q189" s="22"/>
      <c r="R189" s="22"/>
      <c r="S189" s="31">
        <f t="shared" si="112"/>
        <v>1</v>
      </c>
      <c r="T189" s="46" t="str">
        <f t="shared" si="123"/>
        <v>Southbound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95"/>
        <v>https://d0f6bd738d7f1b3e5a7ca70fe4ff75f0.us-east-1.aws.found.io/app/kibana#/discover/Steve-Slow-Train-Analysis-(2080s-and-2083s)?_g=(refreshInterval:(display:Off,pause:!f,section:0,value:0),time:(from:'2017-02-18T18:40:17-0700',mode:absolute,to:'2017-02-18T20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188" t="str">
        <f t="shared" si="124"/>
        <v>N</v>
      </c>
      <c r="X189" s="188">
        <f t="shared" si="120"/>
        <v>1</v>
      </c>
      <c r="Y189" s="62">
        <f t="shared" si="118"/>
        <v>5.8634000000000004</v>
      </c>
      <c r="Z189" s="62">
        <f t="shared" si="119"/>
        <v>7.6600000000000001E-2</v>
      </c>
      <c r="AA189" s="62">
        <f t="shared" si="125"/>
        <v>5.7868000000000004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26"/>
        <v>1828-18</v>
      </c>
      <c r="AE189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89" s="82" t="str">
        <f t="shared" si="97"/>
        <v>"C:\Program Files (x86)\AstroGrep\AstroGrep.exe" /spath="%USERPROFILE%\AppData\Local\Temp\OnboardLogs" /stypes="app*4032*20170219*" /stext=" 02:.+((SYSTEM_STATE.+slice.+state.+changed )|(ment ac)|(multiple cpu faults)|(system.+state.+changed )|(\[timeout)|(PRM\|1\|D)|(kpr)|(kdp)|(\|lc)|(penalty))" /e /r /s</v>
      </c>
      <c r="AG189" s="1" t="str">
        <f t="shared" si="127"/>
        <v>NW</v>
      </c>
      <c r="AH189" s="86" t="str">
        <f t="shared" si="98"/>
        <v>"%USERPROFILE%\Documents\GitHub\eaglep3\Utilities\RefineRTDCRunTimes.py" --tripid 1828-18 --locoid 4032 --swversion DE.1.0.9.0 --startMP 300:58634 --initTime 2017-02-18T19:40:17 --startdatetime 2017-02-18T19:43:28 --delay 1 --endMP 204:766 --enddatetime 2017-02-18T19:56:06 --enforcementcount 0 &gt;&gt;C:\Users\stu\Documents\GitHub\eaglep3-reporting\EC\2017-02-18-refined-times.txt</v>
      </c>
      <c r="AI189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{"issue":{"subject":"","project_id":79,"tracker_id":40,"status_id":1,"priority_id":2,"assigned_to_id":23,"start_date":"2017-02-18","description":"","custom_fields":[{"id":1,"name":"Subdivision","value":"NW"},{"id":4,"name":"Milepost","value":"0.0766"},{"id":17,"name":"Train ID","value":"1828-18"},{"id":16,"name":"Locomotive ID","value":"4032"},{"id":130,"name":"Impact","value":""},{"id":150,"name":"Time of Event (Mountain Time)","value":"19:56:06"},{"id":151,"name":"Denver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00"/>
        <v>start /low /b %USERPROFILE%\Documents\GitHub\eaglep3\Utilities\DownloadLogsFromS3.py --loco 4032 --day 2017-02-18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656</v>
      </c>
      <c r="B190" s="7">
        <v>4031</v>
      </c>
      <c r="C190" s="21" t="s">
        <v>680</v>
      </c>
      <c r="D190" s="21" t="s">
        <v>758</v>
      </c>
      <c r="E190" s="13">
        <v>42784.845972222225</v>
      </c>
      <c r="F190" s="13">
        <v>42784.84814814815</v>
      </c>
      <c r="G190" s="7">
        <v>1</v>
      </c>
      <c r="H190" s="21" t="s">
        <v>759</v>
      </c>
      <c r="I190" s="13">
        <v>42784.857569444444</v>
      </c>
      <c r="J190" s="7">
        <v>0</v>
      </c>
      <c r="K190" s="98" t="str">
        <f t="shared" si="121"/>
        <v>4031/4032</v>
      </c>
      <c r="L190" s="21" t="str">
        <f>VLOOKUP(A190,'Trips&amp;Operators'!$C$1:$G$99999,5,FALSE)</f>
        <v>HELVIE ADAM</v>
      </c>
      <c r="M190" s="6">
        <f t="shared" si="122"/>
        <v>9.4212962940218858E-3</v>
      </c>
      <c r="N190" s="7">
        <f t="shared" si="111"/>
        <v>13.566666663391516</v>
      </c>
      <c r="O190" s="7"/>
      <c r="P190" s="7"/>
      <c r="Q190" s="22"/>
      <c r="R190" s="22"/>
      <c r="S190" s="31">
        <f t="shared" si="112"/>
        <v>1</v>
      </c>
      <c r="T190" s="46" t="str">
        <f t="shared" si="123"/>
        <v>NorthBound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95"/>
        <v>https://d0f6bd738d7f1b3e5a7ca70fe4ff75f0.us-east-1.aws.found.io/app/kibana#/discover/Steve-Slow-Train-Analysis-(2080s-and-2083s)?_g=(refreshInterval:(display:Off,pause:!f,section:0,value:0),time:(from:'2017-02-18T19:18:12-0700',mode:absolute,to:'2017-02-18T21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188" t="str">
        <f t="shared" si="124"/>
        <v>N</v>
      </c>
      <c r="X190" s="188">
        <f t="shared" si="120"/>
        <v>1</v>
      </c>
      <c r="Y190" s="62">
        <f t="shared" si="118"/>
        <v>0.1042</v>
      </c>
      <c r="Z190" s="62">
        <f t="shared" si="119"/>
        <v>5.8940999999999999</v>
      </c>
      <c r="AA190" s="62">
        <f t="shared" si="125"/>
        <v>5.7899000000000003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26"/>
        <v>1829-18</v>
      </c>
      <c r="AE190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90" s="82" t="str">
        <f t="shared" si="97"/>
        <v>"C:\Program Files (x86)\AstroGrep\AstroGrep.exe" /spath="%USERPROFILE%\AppData\Local\Temp\OnboardLogs" /stypes="app*4031*20170219*" /stext=" 03:.+((SYSTEM_STATE.+slice.+state.+changed )|(ment ac)|(multiple cpu faults)|(system.+state.+changed )|(\[timeout)|(PRM\|1\|D)|(kpr)|(kdp)|(\|lc)|(penalty))" /e /r /s</v>
      </c>
      <c r="AG190" s="1" t="str">
        <f t="shared" si="127"/>
        <v>NW</v>
      </c>
      <c r="AH190" s="86" t="str">
        <f t="shared" si="98"/>
        <v>"%USERPROFILE%\Documents\GitHub\eaglep3\Utilities\RefineRTDCRunTimes.py" --tripid 1829-18 --locoid 4031 --swversion DE.1.0.9.0 --startMP 204:1042 --initTime 2017-02-18T20:18:12 --startdatetime 2017-02-18T20:21:20 --delay 1 --endMP 300:58941 --enddatetime 2017-02-18T20:34:54 --enforcementcount 0 &gt;&gt;C:\Users\stu\Documents\GitHub\eaglep3-reporting\EC\2017-02-18-refined-times.txt</v>
      </c>
      <c r="AI190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{"issue":{"subject":"","project_id":79,"tracker_id":40,"status_id":1,"priority_id":2,"assigned_to_id":23,"start_date":"2017-02-18","description":"","custom_fields":[{"id":1,"name":"Subdivision","value":"NW"},{"id":4,"name":"Milepost","value":"5.8941"},{"id":17,"name":"Train ID","value":"1829-18"},{"id":16,"name":"Locomotive ID","value":"4031"},{"id":130,"name":"Impact","value":""},{"id":150,"name":"Time of Event (Mountain Time)","value":"20:34:54"},{"id":151,"name":"Denver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00"/>
        <v>start /low /b %USERPROFILE%\Documents\GitHub\eaglep3\Utilities\DownloadLogsFromS3.py --loco 4031 --day 2017-02-18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91" spans="1:91" x14ac:dyDescent="0.25">
      <c r="A191" s="33" t="s">
        <v>657</v>
      </c>
      <c r="B191" s="7">
        <v>4032</v>
      </c>
      <c r="C191" s="21" t="s">
        <v>680</v>
      </c>
      <c r="D191" s="21" t="s">
        <v>745</v>
      </c>
      <c r="E191" s="13">
        <v>42784.85864583333</v>
      </c>
      <c r="F191" s="13">
        <v>42784.860543981478</v>
      </c>
      <c r="G191" s="7">
        <v>1</v>
      </c>
      <c r="H191" s="21" t="s">
        <v>741</v>
      </c>
      <c r="I191" s="13">
        <v>42784.87128472222</v>
      </c>
      <c r="J191" s="7">
        <v>0</v>
      </c>
      <c r="K191" s="98" t="str">
        <f t="shared" si="121"/>
        <v>4031/4032</v>
      </c>
      <c r="L191" s="21" t="str">
        <f>VLOOKUP(A191,'Trips&amp;Operators'!$C$1:$G$99999,5,FALSE)</f>
        <v>HELVIE ADAM</v>
      </c>
      <c r="M191" s="6">
        <f t="shared" si="122"/>
        <v>1.0740740741312038E-2</v>
      </c>
      <c r="N191" s="7">
        <f t="shared" si="111"/>
        <v>15.466666667489335</v>
      </c>
      <c r="O191" s="7"/>
      <c r="P191" s="7"/>
      <c r="Q191" s="22"/>
      <c r="R191" s="22"/>
      <c r="S191" s="31">
        <f t="shared" si="112"/>
        <v>1</v>
      </c>
      <c r="T191" s="46" t="str">
        <f t="shared" si="123"/>
        <v>Southbound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95"/>
        <v>https://d0f6bd738d7f1b3e5a7ca70fe4ff75f0.us-east-1.aws.found.io/app/kibana#/discover/Steve-Slow-Train-Analysis-(2080s-and-2083s)?_g=(refreshInterval:(display:Off,pause:!f,section:0,value:0),time:(from:'2017-02-18T19:36:27-0700',mode:absolute,to:'2017-02-18T21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8" t="str">
        <f t="shared" si="124"/>
        <v>N</v>
      </c>
      <c r="X191" s="188">
        <f t="shared" si="120"/>
        <v>1</v>
      </c>
      <c r="Y191" s="62">
        <f t="shared" si="118"/>
        <v>5.8625999999999996</v>
      </c>
      <c r="Z191" s="62">
        <f t="shared" si="119"/>
        <v>7.1300000000000002E-2</v>
      </c>
      <c r="AA191" s="62">
        <f t="shared" si="125"/>
        <v>5.7912999999999997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26"/>
        <v>1830-18</v>
      </c>
      <c r="AE191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91" s="82" t="str">
        <f t="shared" si="97"/>
        <v>"C:\Program Files (x86)\AstroGrep\AstroGrep.exe" /spath="%USERPROFILE%\AppData\Local\Temp\OnboardLogs" /stypes="app*4032*20170219*" /stext=" 03:.+((SYSTEM_STATE.+slice.+state.+changed )|(ment ac)|(multiple cpu faults)|(system.+state.+changed )|(\[timeout)|(PRM\|1\|D)|(kpr)|(kdp)|(\|lc)|(penalty))" /e /r /s</v>
      </c>
      <c r="AG191" s="1" t="str">
        <f t="shared" si="127"/>
        <v>NW</v>
      </c>
      <c r="AH191" s="86" t="str">
        <f t="shared" si="98"/>
        <v>"%USERPROFILE%\Documents\GitHub\eaglep3\Utilities\RefineRTDCRunTimes.py" --tripid 1830-18 --locoid 4032 --swversion DE.1.0.9.0 --startMP 300:58626 --initTime 2017-02-18T20:36:27 --startdatetime 2017-02-18T20:39:11 --delay 1 --endMP 204:713 --enddatetime 2017-02-18T20:54:39 --enforcementcount 0 &gt;&gt;C:\Users\stu\Documents\GitHub\eaglep3-reporting\EC\2017-02-18-refined-times.txt</v>
      </c>
      <c r="AI191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{"issue":{"subject":"","project_id":79,"tracker_id":40,"status_id":1,"priority_id":2,"assigned_to_id":23,"start_date":"2017-02-18","description":"","custom_fields":[{"id":1,"name":"Subdivision","value":"NW"},{"id":4,"name":"Milepost","value":"0.0713"},{"id":17,"name":"Train ID","value":"1830-18"},{"id":16,"name":"Locomotive ID","value":"4032"},{"id":130,"name":"Impact","value":""},{"id":150,"name":"Time of Event (Mountain Time)","value":"20:54:39"},{"id":151,"name":"Denver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00"/>
        <v>start /low /b %USERPROFILE%\Documents\GitHub\eaglep3\Utilities\DownloadLogsFromS3.py --loco 4032 --day 2017-02-18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</row>
    <row r="192" spans="1:91" x14ac:dyDescent="0.25">
      <c r="A192" s="33" t="s">
        <v>479</v>
      </c>
      <c r="B192" s="7">
        <v>4031</v>
      </c>
      <c r="C192" s="21" t="s">
        <v>680</v>
      </c>
      <c r="D192" s="21" t="s">
        <v>746</v>
      </c>
      <c r="E192" s="13">
        <v>42784.88789351852</v>
      </c>
      <c r="F192" s="13">
        <v>42784.889756944445</v>
      </c>
      <c r="G192" s="7">
        <v>0</v>
      </c>
      <c r="H192" s="21" t="s">
        <v>761</v>
      </c>
      <c r="I192" s="13">
        <v>42784.899189814816</v>
      </c>
      <c r="J192" s="7">
        <v>0</v>
      </c>
      <c r="K192" s="98" t="str">
        <f t="shared" si="121"/>
        <v>4031/4032</v>
      </c>
      <c r="L192" s="21" t="str">
        <f>VLOOKUP(A192,'Trips&amp;Operators'!$C$1:$G$99999,5,FALSE)</f>
        <v>HELVIE ADAM</v>
      </c>
      <c r="M192" s="6">
        <f t="shared" si="122"/>
        <v>9.4328703708015382E-3</v>
      </c>
      <c r="N192" s="7">
        <f t="shared" si="111"/>
        <v>13.583333333954215</v>
      </c>
      <c r="O192" s="7"/>
      <c r="P192" s="7"/>
      <c r="Q192" s="22"/>
      <c r="R192" s="22"/>
      <c r="S192" s="31">
        <f t="shared" si="112"/>
        <v>1</v>
      </c>
      <c r="T192" s="46" t="str">
        <f t="shared" si="123"/>
        <v>NorthBound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95"/>
        <v>https://d0f6bd738d7f1b3e5a7ca70fe4ff75f0.us-east-1.aws.found.io/app/kibana#/discover/Steve-Slow-Train-Analysis-(2080s-and-2083s)?_g=(refreshInterval:(display:Off,pause:!f,section:0,value:0),time:(from:'2017-02-18T20:18:34-0700',mode:absolute,to:'2017-02-18T22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8" t="str">
        <f t="shared" si="124"/>
        <v>N</v>
      </c>
      <c r="X192" s="188">
        <f t="shared" si="120"/>
        <v>1</v>
      </c>
      <c r="Y192" s="62">
        <f t="shared" si="118"/>
        <v>9.9500000000000005E-2</v>
      </c>
      <c r="Z192" s="62">
        <f t="shared" si="119"/>
        <v>5.8952</v>
      </c>
      <c r="AA192" s="62">
        <f t="shared" si="125"/>
        <v>5.7957000000000001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26"/>
        <v>1831-18</v>
      </c>
      <c r="AE192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92" s="82" t="str">
        <f t="shared" si="97"/>
        <v>"C:\Program Files (x86)\AstroGrep\AstroGrep.exe" /spath="%USERPROFILE%\AppData\Local\Temp\OnboardLogs" /stypes="app*4031*20170219*" /stext=" 04:.+((SYSTEM_STATE.+slice.+state.+changed )|(ment ac)|(multiple cpu faults)|(system.+state.+changed )|(\[timeout)|(PRM\|1\|D)|(kpr)|(kdp)|(\|lc)|(penalty))" /e /r /s</v>
      </c>
      <c r="AG192" s="1" t="str">
        <f t="shared" si="127"/>
        <v>NW</v>
      </c>
      <c r="AH192" s="86" t="str">
        <f t="shared" si="98"/>
        <v>"%USERPROFILE%\Documents\GitHub\eaglep3\Utilities\RefineRTDCRunTimes.py" --tripid 1831-18 --locoid 4031 --swversion DE.1.0.9.0 --startMP 204:995 --initTime 2017-02-18T21:18:34 --startdatetime 2017-02-18T21:21:15 --delay 0 --endMP 300:58952 --enddatetime 2017-02-18T21:34:50 --enforcementcount 0 &gt;&gt;C:\Users\stu\Documents\GitHub\eaglep3-reporting\EC\2017-02-18-refined-times.txt</v>
      </c>
      <c r="AI192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{"issue":{"subject":"","project_id":79,"tracker_id":40,"status_id":1,"priority_id":2,"assigned_to_id":23,"start_date":"2017-02-18","description":"","custom_fields":[{"id":1,"name":"Subdivision","value":"NW"},{"id":4,"name":"Milepost","value":"5.8952"},{"id":17,"name":"Train ID","value":"1831-18"},{"id":16,"name":"Locomotive ID","value":"4031"},{"id":130,"name":"Impact","value":""},{"id":150,"name":"Time of Event (Mountain Time)","value":"21:34:50"},{"id":151,"name":"Denver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00"/>
        <v>start /low /b %USERPROFILE%\Documents\GitHub\eaglep3\Utilities\DownloadLogsFromS3.py --loco 4031 --day 2017-02-18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93" spans="1:40" x14ac:dyDescent="0.25">
      <c r="A193" s="33" t="s">
        <v>660</v>
      </c>
      <c r="B193" s="7">
        <v>4032</v>
      </c>
      <c r="C193" s="21" t="s">
        <v>680</v>
      </c>
      <c r="D193" s="21" t="s">
        <v>434</v>
      </c>
      <c r="E193" s="13">
        <v>42784.900277777779</v>
      </c>
      <c r="F193" s="13">
        <v>42784.901759259257</v>
      </c>
      <c r="G193" s="7">
        <v>1</v>
      </c>
      <c r="H193" s="21" t="s">
        <v>689</v>
      </c>
      <c r="I193" s="13">
        <v>42784.912962962961</v>
      </c>
      <c r="J193" s="7">
        <v>0</v>
      </c>
      <c r="K193" s="98" t="str">
        <f t="shared" si="121"/>
        <v>4031/4032</v>
      </c>
      <c r="L193" s="21" t="str">
        <f>VLOOKUP(A193,'Trips&amp;Operators'!$C$1:$G$99999,5,FALSE)</f>
        <v>HELVIE ADAM</v>
      </c>
      <c r="M193" s="6">
        <f t="shared" si="122"/>
        <v>1.1203703703358769E-2</v>
      </c>
      <c r="N193" s="7">
        <f t="shared" si="111"/>
        <v>16.133333332836628</v>
      </c>
      <c r="O193" s="7"/>
      <c r="P193" s="7"/>
      <c r="Q193" s="22"/>
      <c r="R193" s="22"/>
      <c r="S193" s="31">
        <f t="shared" si="112"/>
        <v>1</v>
      </c>
      <c r="T193" s="46" t="str">
        <f t="shared" si="123"/>
        <v>Southbound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95"/>
        <v>https://d0f6bd738d7f1b3e5a7ca70fe4ff75f0.us-east-1.aws.found.io/app/kibana#/discover/Steve-Slow-Train-Analysis-(2080s-and-2083s)?_g=(refreshInterval:(display:Off,pause:!f,section:0,value:0),time:(from:'2017-02-18T20:36:24-0700',mode:absolute,to:'2017-02-18T22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3" s="188" t="str">
        <f t="shared" si="124"/>
        <v>N</v>
      </c>
      <c r="X193" s="188">
        <f t="shared" si="120"/>
        <v>1</v>
      </c>
      <c r="Y193" s="62">
        <f t="shared" si="118"/>
        <v>5.8638000000000003</v>
      </c>
      <c r="Z193" s="62">
        <f t="shared" si="119"/>
        <v>7.1499999999999994E-2</v>
      </c>
      <c r="AA193" s="62">
        <f t="shared" si="125"/>
        <v>5.7923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26"/>
        <v>1832-18</v>
      </c>
      <c r="AE193" s="85" t="str">
        <f t="shared" si="96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193" s="82" t="str">
        <f t="shared" si="97"/>
        <v>"C:\Program Files (x86)\AstroGrep\AstroGrep.exe" /spath="%USERPROFILE%\AppData\Local\Temp\OnboardLogs" /stypes="app*4032*20170219*" /stext=" 04:.+((SYSTEM_STATE.+slice.+state.+changed )|(ment ac)|(multiple cpu faults)|(system.+state.+changed )|(\[timeout)|(PRM\|1\|D)|(kpr)|(kdp)|(\|lc)|(penalty))" /e /r /s</v>
      </c>
      <c r="AG193" s="1" t="str">
        <f t="shared" si="127"/>
        <v>NW</v>
      </c>
      <c r="AH193" s="86" t="str">
        <f t="shared" si="98"/>
        <v>"%USERPROFILE%\Documents\GitHub\eaglep3\Utilities\RefineRTDCRunTimes.py" --tripid 1832-18 --locoid 4032 --swversion DE.1.0.9.0 --startMP 300:58638 --initTime 2017-02-18T21:36:24 --startdatetime 2017-02-18T21:38:32 --delay 1 --endMP 204:715 --enddatetime 2017-02-18T21:54:40 --enforcementcount 0 &gt;&gt;C:\Users\stu\Documents\GitHub\eaglep3-reporting\EC\2017-02-18-refined-times.txt</v>
      </c>
      <c r="AI193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{"issue":{"subject":"","project_id":79,"tracker_id":40,"status_id":1,"priority_id":2,"assigned_to_id":23,"start_date":"2017-02-18","description":"","custom_fields":[{"id":1,"name":"Subdivision","value":"NW"},{"id":4,"name":"Milepost","value":"0.0715"},{"id":17,"name":"Train ID","value":"1832-18"},{"id":16,"name":"Locomotive ID","value":"4032"},{"id":130,"name":"Impact","value":""},{"id":150,"name":"Time of Event (Mountain Time)","value":"21:54:40"},{"id":151,"name":"Denver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00"/>
        <v>start /low /b %USERPROFILE%\Documents\GitHub\eaglep3\Utilities\DownloadLogsFromS3.py --loco 4032 --day 2017-02-18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</row>
    <row r="194" spans="1:40" x14ac:dyDescent="0.25">
      <c r="A194" s="33" t="s">
        <v>663</v>
      </c>
      <c r="B194" s="7">
        <v>4031</v>
      </c>
      <c r="C194" s="21" t="s">
        <v>680</v>
      </c>
      <c r="D194" s="21" t="s">
        <v>762</v>
      </c>
      <c r="E194" s="13">
        <v>42784.928020833337</v>
      </c>
      <c r="F194" s="13">
        <v>42784.931458333333</v>
      </c>
      <c r="G194" s="7">
        <v>1</v>
      </c>
      <c r="H194" s="21" t="s">
        <v>759</v>
      </c>
      <c r="I194" s="13">
        <v>42784.940694444442</v>
      </c>
      <c r="J194" s="7">
        <v>0</v>
      </c>
      <c r="K194" s="98" t="str">
        <f t="shared" si="121"/>
        <v>4031/4032</v>
      </c>
      <c r="L194" s="21" t="str">
        <f>VLOOKUP(A194,'Trips&amp;Operators'!$C$1:$G$99999,5,FALSE)</f>
        <v>HELVIE ADAM</v>
      </c>
      <c r="M194" s="6">
        <f t="shared" si="122"/>
        <v>9.2361111092031933E-3</v>
      </c>
      <c r="N194" s="7">
        <f t="shared" si="111"/>
        <v>13.299999997252598</v>
      </c>
      <c r="O194" s="7"/>
      <c r="P194" s="7"/>
      <c r="Q194" s="22"/>
      <c r="R194" s="22"/>
      <c r="S194" s="31">
        <f t="shared" si="112"/>
        <v>1</v>
      </c>
      <c r="T194" s="46" t="str">
        <f t="shared" si="123"/>
        <v>NorthBound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95"/>
        <v>https://d0f6bd738d7f1b3e5a7ca70fe4ff75f0.us-east-1.aws.found.io/app/kibana#/discover/Steve-Slow-Train-Analysis-(2080s-and-2083s)?_g=(refreshInterval:(display:Off,pause:!f,section:0,value:0),time:(from:'2017-02-18T21:16:21-0700',mode:absolute,to:'2017-02-18T23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4" s="188" t="str">
        <f t="shared" si="124"/>
        <v>N</v>
      </c>
      <c r="X194" s="188">
        <f t="shared" si="120"/>
        <v>1</v>
      </c>
      <c r="Y194" s="62">
        <f t="shared" si="118"/>
        <v>9.9199999999999997E-2</v>
      </c>
      <c r="Z194" s="62">
        <f t="shared" si="119"/>
        <v>5.8940999999999999</v>
      </c>
      <c r="AA194" s="62">
        <f t="shared" si="125"/>
        <v>5.7949000000000002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26"/>
        <v>1833-18</v>
      </c>
      <c r="AE194" s="85" t="str">
        <f t="shared" si="96"/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AF194" s="82" t="str">
        <f t="shared" si="97"/>
        <v>"C:\Program Files (x86)\AstroGrep\AstroGrep.exe" /spath="%USERPROFILE%\AppData\Local\Temp\OnboardLogs" /stypes="app*4031*20170219*" /stext=" 05:.+((SYSTEM_STATE.+slice.+state.+changed )|(ment ac)|(multiple cpu faults)|(system.+state.+changed )|(\[timeout)|(PRM\|1\|D)|(kpr)|(kdp)|(\|lc)|(penalty))" /e /r /s</v>
      </c>
      <c r="AG194" s="1" t="str">
        <f t="shared" si="127"/>
        <v>NW</v>
      </c>
      <c r="AH194" s="86" t="str">
        <f t="shared" si="98"/>
        <v>"%USERPROFILE%\Documents\GitHub\eaglep3\Utilities\RefineRTDCRunTimes.py" --tripid 1833-18 --locoid 4031 --swversion DE.1.0.9.0 --startMP 204:992 --initTime 2017-02-18T22:16:21 --startdatetime 2017-02-18T22:21:18 --delay 1 --endMP 300:58941 --enddatetime 2017-02-18T22:34:36 --enforcementcount 0 &gt;&gt;C:\Users\stu\Documents\GitHub\eaglep3-reporting\EC\2017-02-18-refined-times.txt</v>
      </c>
      <c r="AI194" s="108" t="str">
        <f t="shared" si="99"/>
        <v>echo {"issue":{"subject":"","project_id":79,"tracker_id":40,"status_id":1,"priority_id":2,"assigned_to_id":23,"start_date":"2017-02-18","description":"","custom_fields":[{"id":1,"name":"Subdivision","value":"NW"},{"id":4,"name":"Milepost","value":"5.8941"},{"id":17,"name":"Train ID","value":"1833-18"},{"id":16,"name":"Locomotive ID","value":"4031"},{"id":130,"name":"Impact","value":""},{"id":150,"name":"Time of Event (Mountain Time)","value":"22:34:36"},{"id":151,"name":"Denver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00"/>
        <v>start /low /b %USERPROFILE%\Documents\GitHub\eaglep3\Utilities\DownloadLogsFromS3.py --loco 4031 --day 2017-02-18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"%USERPROFILE%\AppData\Local\Temp\OnboardLogs"\RTDC4031\*4031*20170219* | grep -SE "(Enforcement Action)|(\[TIMEOUT)|(CHR.+\|PRM\|1\|D.+(SWITCH|SIGNAL).+UNKNOWN)" - &gt;&gt; 2017-02-18-UncaughtWiMAX.txt</v>
      </c>
    </row>
    <row r="195" spans="1:40" x14ac:dyDescent="0.25">
      <c r="A195" s="33" t="s">
        <v>503</v>
      </c>
      <c r="B195" s="7">
        <v>4013</v>
      </c>
      <c r="C195" s="21" t="s">
        <v>680</v>
      </c>
      <c r="D195" s="21" t="s">
        <v>792</v>
      </c>
      <c r="E195" s="13">
        <v>42784.117662037039</v>
      </c>
      <c r="F195" s="13">
        <v>42784.119571759256</v>
      </c>
      <c r="G195" s="7">
        <v>1</v>
      </c>
      <c r="H195" s="21" t="s">
        <v>196</v>
      </c>
      <c r="I195" s="13">
        <v>42784.125821759262</v>
      </c>
      <c r="J195" s="7">
        <v>0</v>
      </c>
      <c r="K195" s="98" t="str">
        <f t="shared" si="121"/>
        <v>4013/4014</v>
      </c>
      <c r="L195" s="21" t="str">
        <f>VLOOKUP(A195,'Trips&amp;Operators'!$C$1:$G$99999,5,FALSE)</f>
        <v>BADERTSCHER DIANE</v>
      </c>
      <c r="M195" s="6">
        <f t="shared" si="122"/>
        <v>6.2500000058207661E-3</v>
      </c>
      <c r="N195" s="7">
        <f t="shared" ref="N195:N221" si="128">24*60*SUM($M195:$M195)</f>
        <v>9.0000000083819032</v>
      </c>
      <c r="O195" s="7"/>
      <c r="P195" s="7"/>
      <c r="Q195" s="22"/>
      <c r="R195" s="22"/>
      <c r="S195" s="31">
        <f t="shared" ref="S195:S221" si="129">SUM(U195:U195)/IF(AG195="EC",12,1)</f>
        <v>1</v>
      </c>
      <c r="T195" s="46" t="str">
        <f t="shared" si="123"/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95"/>
        <v>https://d0f6bd738d7f1b3e5a7ca70fe4ff75f0.us-east-1.aws.found.io/app/kibana#/discover/Steve-Slow-Train-Analysis-(2080s-and-2083s)?_g=(refreshInterval:(display:Off,pause:!f,section:0,value:0),time:(from:'2017-02-18T01:49:26-0700',mode:absolute,to:'2017-02-18T04:01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188" t="str">
        <f t="shared" si="124"/>
        <v>Y</v>
      </c>
      <c r="X195" s="188">
        <f t="shared" si="120"/>
        <v>-1531</v>
      </c>
      <c r="Y195" s="62">
        <f t="shared" si="118"/>
        <v>2.2703000000000002</v>
      </c>
      <c r="Z195" s="62">
        <f t="shared" si="119"/>
        <v>1.4500000000000001E-2</v>
      </c>
      <c r="AA195" s="62">
        <f t="shared" si="125"/>
        <v>2.2558000000000002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26"/>
        <v>0302-18</v>
      </c>
      <c r="AE195" s="85" t="str">
        <f t="shared" si="96"/>
        <v>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 &amp; aws s3 cp s3://rtdc.mdm.uploadarchive.raw/RTDC4013/ "%USERPROFILE%\AppData\Local\Temp\OnboardLogs"\RTDC4013\2017-02-19 --exclude "*" --recursive --include "*20170219*" &amp; "%USERPROFILE%\Documents\GitHub\mrs-test-scripts\Headless Mode &amp; Sideloading\WalkAndUnGZ.bat" "%USERPROFILE%\AppData\Local\Temp\OnboardLogs"\RTDC4013\2017-02-19</v>
      </c>
      <c r="AF195" s="82" t="str">
        <f t="shared" si="97"/>
        <v>"C:\Program Files (x86)\AstroGrep\AstroGrep.exe" /spath="%USERPROFILE%\AppData\Local\Temp\OnboardLogs" /stypes="app*4013*20170218*" /stext=" 10:.+((SYSTEM_STATE.+slice.+state.+changed )|(ment ac)|(multiple cpu faults)|(system.+state.+changed )|(\[timeout)|(PRM\|1\|D)|(kpr)|(kdp)|(\|lc)|(penalty))" /e /r /s</v>
      </c>
      <c r="AG195" s="1" t="str">
        <f t="shared" si="127"/>
        <v>Other</v>
      </c>
      <c r="AH195" s="86" t="str">
        <f t="shared" si="98"/>
        <v>"%USERPROFILE%\Documents\GitHub\eaglep3\Utilities\RefineRTDCRunTimes.py" --tripid 302-18 --locoid 4013 --swversion DE.1.0.9.0 --startMP 300:22703 --initTime 2017-02-18T02:49:26 --startdatetime 2017-02-18T02:52:11 --delay 1 --endMP 204:145 --enddatetime 2017-02-18T03:01:11 --enforcementcount 0 &gt;&gt;C:\Users\stu\Documents\GitHub\eaglep3-reporting\EC\2017-02-18-refined-times.txt</v>
      </c>
      <c r="AI195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{"issue":{"subject":"","project_id":79,"tracker_id":40,"status_id":1,"priority_id":2,"assigned_to_id":23,"start_date":"2017-02-18","description":"","custom_fields":[{"id":1,"name":"Subdivision","value":"Other"},{"id":4,"name":"Milepost","value":"0.0145"},{"id":17,"name":"Train ID","value":"302-18"},{"id":16,"name":"Locomotive ID","value":"4013"},{"id":130,"name":"Impact","value":""},{"id":150,"name":"Time of Event (Mountain Time)","value":"03:01:11"},{"id":151,"name":"Denver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00"/>
        <v>start /low /b %USERPROFILE%\Documents\GitHub\eaglep3\Utilities\DownloadLogsFromS3.py --loco 4013 --day 2017-02-18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"%USERPROFILE%\AppData\Local\Temp\OnboardLogs"\RTDC4013\*4013*20170218* | grep -SE "(Enforcement Action)|(\[TIMEOUT)|(CHR.+\|PRM\|1\|D.+(SWITCH|SIGNAL).+UNKNOWN)" - &gt;&gt; 2017-02-18-UncaughtWiMAX.txt</v>
      </c>
    </row>
    <row r="196" spans="1:40" x14ac:dyDescent="0.25">
      <c r="A196" s="33" t="s">
        <v>505</v>
      </c>
      <c r="B196" s="7">
        <v>4028</v>
      </c>
      <c r="C196" s="21" t="s">
        <v>680</v>
      </c>
      <c r="D196" s="21" t="s">
        <v>793</v>
      </c>
      <c r="E196" s="13">
        <v>42784.133842592593</v>
      </c>
      <c r="F196" s="13">
        <v>42784.136516203704</v>
      </c>
      <c r="G196" s="7">
        <v>3</v>
      </c>
      <c r="H196" s="21" t="s">
        <v>203</v>
      </c>
      <c r="I196" s="13">
        <v>42784.143310185187</v>
      </c>
      <c r="J196" s="7">
        <v>0</v>
      </c>
      <c r="K196" s="98" t="str">
        <f t="shared" si="121"/>
        <v>4027/4028</v>
      </c>
      <c r="L196" s="21" t="str">
        <f>VLOOKUP(A196,'Trips&amp;Operators'!$C$1:$G$99999,5,FALSE)</f>
        <v>ROBINSON KADDIBA</v>
      </c>
      <c r="M196" s="6">
        <f t="shared" si="122"/>
        <v>6.7939814834971912E-3</v>
      </c>
      <c r="N196" s="7">
        <f t="shared" si="128"/>
        <v>9.7833333362359554</v>
      </c>
      <c r="O196" s="7"/>
      <c r="P196" s="7"/>
      <c r="Q196" s="22"/>
      <c r="R196" s="22"/>
      <c r="S196" s="31">
        <f t="shared" si="129"/>
        <v>1</v>
      </c>
      <c r="T196" s="46" t="str">
        <f t="shared" si="123"/>
        <v>Southbound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95"/>
        <v>https://d0f6bd738d7f1b3e5a7ca70fe4ff75f0.us-east-1.aws.found.io/app/kibana#/discover/Steve-Slow-Train-Analysis-(2080s-and-2083s)?_g=(refreshInterval:(display:Off,pause:!f,section:0,value:0),time:(from:'2017-02-18T02:12:44-0700',mode:absolute,to:'2017-02-18T04:26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188" t="str">
        <f t="shared" si="124"/>
        <v>Y</v>
      </c>
      <c r="X196" s="188">
        <f t="shared" si="120"/>
        <v>2</v>
      </c>
      <c r="Y196" s="62">
        <f t="shared" si="118"/>
        <v>2.3315000000000001</v>
      </c>
      <c r="Z196" s="62">
        <f t="shared" si="119"/>
        <v>1.6E-2</v>
      </c>
      <c r="AA196" s="62">
        <f t="shared" si="125"/>
        <v>2.3155000000000001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26"/>
        <v>0304-18</v>
      </c>
      <c r="AE196" s="85" t="str">
        <f t="shared" si="96"/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AF196" s="82" t="str">
        <f t="shared" si="97"/>
        <v>"C:\Program Files (x86)\AstroGrep\AstroGrep.exe" /spath="%USERPROFILE%\AppData\Local\Temp\OnboardLogs" /stypes="app*4028*20170218*" /stext=" 10:.+((SYSTEM_STATE.+slice.+state.+changed )|(ment ac)|(multiple cpu faults)|(system.+state.+changed )|(\[timeout)|(PRM\|1\|D)|(kpr)|(kdp)|(\|lc)|(penalty))" /e /r /s</v>
      </c>
      <c r="AG196" s="1" t="str">
        <f t="shared" si="127"/>
        <v>Other</v>
      </c>
      <c r="AH196" s="86" t="str">
        <f t="shared" si="98"/>
        <v>"%USERPROFILE%\Documents\GitHub\eaglep3\Utilities\RefineRTDCRunTimes.py" --tripid 304-18 --locoid 4028 --swversion DE.1.0.9.0 --startMP 300:23315 --initTime 2017-02-18T03:12:44 --startdatetime 2017-02-18T03:16:35 --delay 3 --endMP 204:160 --enddatetime 2017-02-18T03:26:22 --enforcementcount 0 &gt;&gt;C:\Users\stu\Documents\GitHub\eaglep3-reporting\EC\2017-02-18-refined-times.txt</v>
      </c>
      <c r="AI196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{"issue":{"subject":"","project_id":79,"tracker_id":40,"status_id":1,"priority_id":2,"assigned_to_id":23,"start_date":"2017-02-18","description":"","custom_fields":[{"id":1,"name":"Subdivision","value":"Other"},{"id":4,"name":"Milepost","value":"0.016"},{"id":17,"name":"Train ID","value":"304-18"},{"id":16,"name":"Locomotive ID","value":"4028"},{"id":130,"name":"Impact","value":""},{"id":150,"name":"Time of Event (Mountain Time)","value":"03:26:22"},{"id":151,"name":"Denver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00"/>
        <v>start /low /b %USERPROFILE%\Documents\GitHub\eaglep3\Utilities\DownloadLogsFromS3.py --loco 4028 --day 2017-02-18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2017-02-18-UncaughtWiMAX.txt</v>
      </c>
    </row>
    <row r="197" spans="1:40" x14ac:dyDescent="0.25">
      <c r="A197" s="33" t="s">
        <v>473</v>
      </c>
      <c r="B197" s="7">
        <v>4053</v>
      </c>
      <c r="C197" s="21" t="s">
        <v>680</v>
      </c>
      <c r="D197" s="21" t="s">
        <v>765</v>
      </c>
      <c r="E197" s="13">
        <v>42784.795347222222</v>
      </c>
      <c r="F197" s="13">
        <v>25568.708333333332</v>
      </c>
      <c r="G197" s="7">
        <v>1</v>
      </c>
      <c r="H197" s="21" t="s">
        <v>794</v>
      </c>
      <c r="I197" s="13">
        <v>25568.708333333332</v>
      </c>
      <c r="J197" s="7">
        <v>0</v>
      </c>
      <c r="K197" s="98" t="str">
        <f t="shared" si="121"/>
        <v>4053/4054</v>
      </c>
      <c r="L197" s="21" t="str">
        <f>VLOOKUP(A197,'Trips&amp;Operators'!$C$1:$G$99999,5,FALSE)</f>
        <v>ROMERO CHAD</v>
      </c>
      <c r="M197" s="6">
        <f t="shared" si="122"/>
        <v>0</v>
      </c>
      <c r="N197" s="7">
        <f t="shared" si="128"/>
        <v>0</v>
      </c>
      <c r="O197" s="7"/>
      <c r="P197" s="7"/>
      <c r="Q197" s="22"/>
      <c r="R197" s="22"/>
      <c r="S197" s="31">
        <f t="shared" si="129"/>
        <v>1</v>
      </c>
      <c r="T197" s="46" t="str">
        <f t="shared" si="123"/>
        <v>NorthBound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95"/>
        <v>https://d0f6bd738d7f1b3e5a7ca70fe4ff75f0.us-east-1.aws.found.io/app/kibana#/discover/Steve-Slow-Train-Analysis-(2080s-and-2083s)?_g=(refreshInterval:(display:Off,pause:!f,section:0,value:0),time:(from:'2017-02-18T18:05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7" s="188" t="str">
        <f t="shared" si="124"/>
        <v>Y</v>
      </c>
      <c r="X197" s="188">
        <f t="shared" si="120"/>
        <v>1</v>
      </c>
      <c r="Y197" s="62">
        <f t="shared" si="118"/>
        <v>0.11749999999999999</v>
      </c>
      <c r="Z197" s="62">
        <f t="shared" si="119"/>
        <v>2.3302</v>
      </c>
      <c r="AA197" s="62">
        <f t="shared" si="125"/>
        <v>2.2126999999999999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26"/>
        <v>0305-18</v>
      </c>
      <c r="AE197" s="85" t="str">
        <f t="shared" si="96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197" s="82" t="str">
        <f t="shared" si="97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197" s="1" t="str">
        <f t="shared" si="127"/>
        <v>Other</v>
      </c>
      <c r="AH197" s="86" t="str">
        <f t="shared" si="98"/>
        <v>"%USERPROFILE%\Documents\GitHub\eaglep3\Utilities\RefineRTDCRunTimes.py" --tripid 305-18 --locoid 4053 --swversion DE.1.0.9.0 --startMP 204:1175 --initTime 2017-02-18T19:05:18 --startdatetime 1969-12-31T17:00:00 --delay 1 --endMP 300:23302 --enddatetime 1969-12-31T17:00:00 --enforcementcount 0 &gt;&gt;C:\Users\stu\Documents\GitHub\eaglep3-reporting\EC\2017-02-18-refined-times.txt</v>
      </c>
      <c r="AI197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ID","value":"305-18"},{"id":16,"name":"Locomotive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00"/>
        <v>start /low /b %USERPROFILE%\Documents\GitHub\eaglep3\Utilities\DownloadLogsFromS3.py --loco 4053 --day 1969-12-31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"%USERPROFILE%\AppData\Local\Temp\OnboardLogs"\RTDC4053\*4053*19700101* | grep -SE "(Enforcement Action)|(\[TIMEOUT)|(CHR.+\|PRM\|1\|D.+(SWITCH|SIGNAL).+UNKNOWN)" - &gt;&gt; 2017-02-18-UncaughtWiMAX.txt</v>
      </c>
    </row>
    <row r="198" spans="1:40" x14ac:dyDescent="0.25">
      <c r="A198" s="33" t="s">
        <v>473</v>
      </c>
      <c r="B198" s="7">
        <v>4053</v>
      </c>
      <c r="C198" s="21" t="s">
        <v>680</v>
      </c>
      <c r="D198" s="21" t="s">
        <v>795</v>
      </c>
      <c r="E198" s="13">
        <v>42784.795347222222</v>
      </c>
      <c r="F198" s="13">
        <v>25568.708333333332</v>
      </c>
      <c r="G198" s="7">
        <v>9</v>
      </c>
      <c r="H198" s="21" t="s">
        <v>794</v>
      </c>
      <c r="I198" s="13">
        <v>25568.708333333332</v>
      </c>
      <c r="J198" s="7">
        <v>0</v>
      </c>
      <c r="K198" s="98" t="str">
        <f t="shared" si="121"/>
        <v>4053/4054</v>
      </c>
      <c r="L198" s="21" t="str">
        <f>VLOOKUP(A198,'Trips&amp;Operators'!$C$1:$G$99999,5,FALSE)</f>
        <v>ROMERO CHAD</v>
      </c>
      <c r="M198" s="6">
        <f t="shared" si="122"/>
        <v>0</v>
      </c>
      <c r="N198" s="7">
        <f t="shared" si="128"/>
        <v>0</v>
      </c>
      <c r="O198" s="7"/>
      <c r="P198" s="7"/>
      <c r="Q198" s="22"/>
      <c r="R198" s="22"/>
      <c r="S198" s="31">
        <f t="shared" si="129"/>
        <v>0</v>
      </c>
      <c r="T198" s="46" t="str">
        <f t="shared" si="123"/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87" t="str">
        <f t="shared" si="95"/>
        <v>https://d0f6bd738d7f1b3e5a7ca70fe4ff75f0.us-east-1.aws.found.io/app/kibana#/discover/Steve-Slow-Train-Analysis-(2080s-and-2083s)?_g=(refreshInterval:(display:Off,pause:!f,section:0,value:0),time:(from:'2017-02-18T18:05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8" s="188" t="str">
        <f t="shared" si="124"/>
        <v>Y</v>
      </c>
      <c r="X198" s="188">
        <f t="shared" si="120"/>
        <v>0</v>
      </c>
      <c r="Y198" s="62">
        <f t="shared" si="118"/>
        <v>2.3254999999999999</v>
      </c>
      <c r="Z198" s="62">
        <f t="shared" si="119"/>
        <v>2.3302</v>
      </c>
      <c r="AA198" s="62">
        <f t="shared" si="125"/>
        <v>4.7000000000001485E-3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26"/>
        <v>0305-18</v>
      </c>
      <c r="AE198" s="85" t="str">
        <f t="shared" si="96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198" s="82" t="str">
        <f t="shared" si="97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198" s="1" t="str">
        <f t="shared" si="127"/>
        <v>Other</v>
      </c>
      <c r="AH198" s="86" t="str">
        <f t="shared" si="98"/>
        <v>"%USERPROFILE%\Documents\GitHub\eaglep3\Utilities\RefineRTDCRunTimes.py" --tripid 305-18 --locoid 4053 --swversion DE.1.0.9.0 --startMP 300:23255 --initTime 2017-02-18T19:05:18 --startdatetime 1969-12-31T17:00:00 --delay 9 --endMP 300:23302 --enddatetime 1969-12-31T17:00:00 --enforcementcount 0 &gt;&gt;C:\Users\stu\Documents\GitHub\eaglep3-reporting\EC\2017-02-18-refined-times.txt</v>
      </c>
      <c r="AI198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ID","value":"305-18"},{"id":16,"name":"Locomotive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00"/>
        <v>start /low /b %USERPROFILE%\Documents\GitHub\eaglep3\Utilities\DownloadLogsFromS3.py --loco 4053 --day 1969-12-31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"%USERPROFILE%\AppData\Local\Temp\OnboardLogs"\RTDC4053\*4053*19700101* | grep -SE "(Enforcement Action)|(\[TIMEOUT)|(CHR.+\|PRM\|1\|D.+(SWITCH|SIGNAL).+UNKNOWN)" - &gt;&gt; 2017-02-18-UncaughtWiMAX.txt</v>
      </c>
    </row>
    <row r="199" spans="1:40" x14ac:dyDescent="0.25">
      <c r="A199" s="33" t="s">
        <v>507</v>
      </c>
      <c r="B199" s="7">
        <v>4030</v>
      </c>
      <c r="C199" s="21" t="s">
        <v>680</v>
      </c>
      <c r="D199" s="21" t="s">
        <v>796</v>
      </c>
      <c r="E199" s="13">
        <v>42784.159745370373</v>
      </c>
      <c r="F199" s="13">
        <v>42784.162326388891</v>
      </c>
      <c r="G199" s="7">
        <v>3</v>
      </c>
      <c r="H199" s="21" t="s">
        <v>264</v>
      </c>
      <c r="I199" s="13">
        <v>42784.167037037034</v>
      </c>
      <c r="J199" s="7">
        <v>0</v>
      </c>
      <c r="K199" s="98" t="str">
        <f t="shared" si="121"/>
        <v>4029/4030</v>
      </c>
      <c r="L199" s="21" t="str">
        <f>VLOOKUP(A199,'Trips&amp;Operators'!$C$1:$G$99999,5,FALSE)</f>
        <v>MAELZER KURT</v>
      </c>
      <c r="M199" s="6">
        <f t="shared" si="122"/>
        <v>4.7106481433729641E-3</v>
      </c>
      <c r="N199" s="7">
        <f t="shared" si="128"/>
        <v>6.7833333264570683</v>
      </c>
      <c r="O199" s="7"/>
      <c r="P199" s="7"/>
      <c r="Q199" s="22"/>
      <c r="R199" s="22"/>
      <c r="S199" s="31">
        <f t="shared" si="129"/>
        <v>1</v>
      </c>
      <c r="T199" s="46" t="str">
        <f t="shared" si="123"/>
        <v>Southbound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95"/>
        <v>https://d0f6bd738d7f1b3e5a7ca70fe4ff75f0.us-east-1.aws.found.io/app/kibana#/discover/Steve-Slow-Train-Analysis-(2080s-and-2083s)?_g=(refreshInterval:(display:Off,pause:!f,section:0,value:0),time:(from:'2017-02-18T02:50:02-0700',mode:absolute,to:'2017-02-18T05:00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9" s="188" t="str">
        <f t="shared" si="124"/>
        <v>Y</v>
      </c>
      <c r="X199" s="188">
        <f t="shared" si="120"/>
        <v>1</v>
      </c>
      <c r="Y199" s="62">
        <f t="shared" si="118"/>
        <v>1.9769000000000001</v>
      </c>
      <c r="Z199" s="62">
        <f t="shared" si="119"/>
        <v>1.3899999999999999E-2</v>
      </c>
      <c r="AA199" s="62">
        <f t="shared" si="125"/>
        <v>1.9630000000000001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26"/>
        <v>0306-18</v>
      </c>
      <c r="AE199" s="85" t="str">
        <f t="shared" si="96"/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AF199" s="82" t="str">
        <f t="shared" si="97"/>
        <v>"C:\Program Files (x86)\AstroGrep\AstroGrep.exe" /spath="%USERPROFILE%\AppData\Local\Temp\OnboardLogs" /stypes="app*4030*20170218*" /stext=" 11:.+((SYSTEM_STATE.+slice.+state.+changed )|(ment ac)|(multiple cpu faults)|(system.+state.+changed )|(\[timeout)|(PRM\|1\|D)|(kpr)|(kdp)|(\|lc)|(penalty))" /e /r /s</v>
      </c>
      <c r="AG199" s="1" t="str">
        <f t="shared" si="127"/>
        <v>Other</v>
      </c>
      <c r="AH199" s="86" t="str">
        <f t="shared" si="98"/>
        <v>"%USERPROFILE%\Documents\GitHub\eaglep3\Utilities\RefineRTDCRunTimes.py" --tripid 306-18 --locoid 4030 --swversion DE.1.0.9.0 --startMP 300:19769 --initTime 2017-02-18T03:50:02 --startdatetime 2017-02-18T03:53:45 --delay 3 --endMP 204:139 --enddatetime 2017-02-18T04:00:32 --enforcementcount 0 &gt;&gt;C:\Users\stu\Documents\GitHub\eaglep3-reporting\EC\2017-02-18-refined-times.txt</v>
      </c>
      <c r="AI199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{"issue":{"subject":"","project_id":79,"tracker_id":40,"status_id":1,"priority_id":2,"assigned_to_id":23,"start_date":"2017-02-18","description":"","custom_fields":[{"id":1,"name":"Subdivision","value":"Other"},{"id":4,"name":"Milepost","value":"0.0139"},{"id":17,"name":"Train ID","value":"306-18"},{"id":16,"name":"Locomotive ID","value":"4030"},{"id":130,"name":"Impact","value":""},{"id":150,"name":"Time of Event (Mountain Time)","value":"04:00:32"},{"id":151,"name":"Denver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00"/>
        <v>start /low /b %USERPROFILE%\Documents\GitHub\eaglep3\Utilities\DownloadLogsFromS3.py --loco 4030 --day 2017-02-18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2017-02-18-UncaughtWiMAX.txt</v>
      </c>
    </row>
    <row r="200" spans="1:40" x14ac:dyDescent="0.25">
      <c r="A200" s="33" t="s">
        <v>650</v>
      </c>
      <c r="B200" s="7">
        <v>4027</v>
      </c>
      <c r="C200" s="21" t="s">
        <v>680</v>
      </c>
      <c r="D200" s="21" t="s">
        <v>204</v>
      </c>
      <c r="E200" s="13">
        <v>42784.81758101852</v>
      </c>
      <c r="F200" s="13">
        <v>25568.708333333332</v>
      </c>
      <c r="G200" s="7">
        <v>1</v>
      </c>
      <c r="H200" s="21" t="s">
        <v>300</v>
      </c>
      <c r="I200" s="13">
        <v>25568.708333333332</v>
      </c>
      <c r="J200" s="7">
        <v>0</v>
      </c>
      <c r="K200" s="98" t="str">
        <f t="shared" si="121"/>
        <v>4027/4028</v>
      </c>
      <c r="L200" s="21" t="str">
        <f>VLOOKUP(A200,'Trips&amp;Operators'!$C$1:$G$99999,5,FALSE)</f>
        <v>BRANNON JEFFREY</v>
      </c>
      <c r="M200" s="6">
        <f t="shared" si="122"/>
        <v>0</v>
      </c>
      <c r="N200" s="7">
        <f t="shared" si="128"/>
        <v>0</v>
      </c>
      <c r="O200" s="7"/>
      <c r="P200" s="7"/>
      <c r="Q200" s="22"/>
      <c r="R200" s="22"/>
      <c r="S200" s="31">
        <f t="shared" si="129"/>
        <v>1</v>
      </c>
      <c r="T200" s="46" t="str">
        <f t="shared" si="123"/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95"/>
        <v>https://d0f6bd738d7f1b3e5a7ca70fe4ff75f0.us-east-1.aws.found.io/app/kibana#/discover/Steve-Slow-Train-Analysis-(2080s-and-2083s)?_g=(refreshInterval:(display:Off,pause:!f,section:0,value:0),time:(from:'2017-02-18T18:37:19-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0" s="188" t="str">
        <f t="shared" si="124"/>
        <v>Y</v>
      </c>
      <c r="X200" s="188">
        <f t="shared" si="120"/>
        <v>1</v>
      </c>
      <c r="Y200" s="62">
        <f t="shared" si="118"/>
        <v>4.6199999999999998E-2</v>
      </c>
      <c r="Z200" s="62">
        <f t="shared" si="119"/>
        <v>2.3346</v>
      </c>
      <c r="AA200" s="62">
        <f t="shared" si="125"/>
        <v>2.2884000000000002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26"/>
        <v>0307-18</v>
      </c>
      <c r="AE200" s="85" t="str">
        <f t="shared" si="96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0" s="82" t="str">
        <f t="shared" si="97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0" s="1" t="str">
        <f t="shared" si="127"/>
        <v>Other</v>
      </c>
      <c r="AH200" s="86" t="str">
        <f t="shared" si="98"/>
        <v>"%USERPROFILE%\Documents\GitHub\eaglep3\Utilities\RefineRTDCRunTimes.py" --tripid 307-18 --locoid 4027 --swversion DE.1.0.9.0 --startMP 204:462 --initTime 2017-02-18T19:37:19 --startdatetime 1969-12-31T17:00:00 --delay 1 --endMP 300:23346 --enddatetime 1969-12-31T17:00:00 --enforcementcount 0 &gt;&gt;C:\Users\stu\Documents\GitHub\eaglep3-reporting\EC\2017-02-18-refined-times.txt</v>
      </c>
      <c r="AI200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ID","value":"307-18"},{"id":16,"name":"Locomotive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00"/>
        <v>start /low /b %USERPROFILE%\Documents\GitHub\eaglep3\Utilities\DownloadLogsFromS3.py --loco 4027 --day 1969-12-31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2017-02-18-UncaughtWiMAX.txt</v>
      </c>
    </row>
    <row r="201" spans="1:40" x14ac:dyDescent="0.25">
      <c r="A201" s="33" t="s">
        <v>511</v>
      </c>
      <c r="B201" s="7">
        <v>4017</v>
      </c>
      <c r="C201" s="21" t="s">
        <v>680</v>
      </c>
      <c r="D201" s="21" t="s">
        <v>797</v>
      </c>
      <c r="E201" s="13">
        <v>42784.172615740739</v>
      </c>
      <c r="F201" s="13">
        <v>42784.174085648148</v>
      </c>
      <c r="G201" s="7">
        <v>1</v>
      </c>
      <c r="H201" s="21" t="s">
        <v>216</v>
      </c>
      <c r="I201" s="13">
        <v>42784.181018518517</v>
      </c>
      <c r="J201" s="7">
        <v>0</v>
      </c>
      <c r="K201" s="98" t="str">
        <f t="shared" si="121"/>
        <v>4017/4018</v>
      </c>
      <c r="L201" s="21" t="str">
        <f>VLOOKUP(A201,'Trips&amp;Operators'!$C$1:$G$99999,5,FALSE)</f>
        <v>DE LA ROSA ALEX</v>
      </c>
      <c r="M201" s="6">
        <f t="shared" si="122"/>
        <v>6.9328703684732318E-3</v>
      </c>
      <c r="N201" s="7">
        <f t="shared" si="128"/>
        <v>9.9833333306014538</v>
      </c>
      <c r="O201" s="7"/>
      <c r="P201" s="7"/>
      <c r="Q201" s="22"/>
      <c r="R201" s="22"/>
      <c r="S201" s="31">
        <f t="shared" si="129"/>
        <v>1</v>
      </c>
      <c r="T201" s="46" t="str">
        <f t="shared" si="123"/>
        <v>Southbound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95"/>
        <v>https://d0f6bd738d7f1b3e5a7ca70fe4ff75f0.us-east-1.aws.found.io/app/kibana#/discover/Steve-Slow-Train-Analysis-(2080s-and-2083s)?_g=(refreshInterval:(display:Off,pause:!f,section:0,value:0),time:(from:'2017-02-18T03:08:34-0700',mode:absolute,to:'2017-02-18T05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1" s="188" t="str">
        <f t="shared" si="124"/>
        <v>Y</v>
      </c>
      <c r="X201" s="188">
        <f t="shared" si="120"/>
        <v>1</v>
      </c>
      <c r="Y201" s="62">
        <f t="shared" si="118"/>
        <v>2.3169</v>
      </c>
      <c r="Z201" s="62">
        <f t="shared" si="119"/>
        <v>1.54E-2</v>
      </c>
      <c r="AA201" s="62">
        <f t="shared" si="125"/>
        <v>2.3014999999999999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26"/>
        <v>0308-18</v>
      </c>
      <c r="AE201" s="85" t="str">
        <f t="shared" si="96"/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AF201" s="82" t="str">
        <f t="shared" si="97"/>
        <v>"C:\Program Files (x86)\AstroGrep\AstroGrep.exe" /spath="%USERPROFILE%\AppData\Local\Temp\OnboardLogs" /stypes="app*4017*20170218*" /stext=" 11:.+((SYSTEM_STATE.+slice.+state.+changed )|(ment ac)|(multiple cpu faults)|(system.+state.+changed )|(\[timeout)|(PRM\|1\|D)|(kpr)|(kdp)|(\|lc)|(penalty))" /e /r /s</v>
      </c>
      <c r="AG201" s="1" t="str">
        <f t="shared" si="127"/>
        <v>Other</v>
      </c>
      <c r="AH201" s="86" t="str">
        <f t="shared" si="98"/>
        <v>"%USERPROFILE%\Documents\GitHub\eaglep3\Utilities\RefineRTDCRunTimes.py" --tripid 308-18 --locoid 4017 --swversion DE.1.0.9.0 --startMP 300:23169 --initTime 2017-02-18T04:08:34 --startdatetime 2017-02-18T04:10:41 --delay 1 --endMP 204:154 --enddatetime 2017-02-18T04:20:40 --enforcementcount 0 &gt;&gt;C:\Users\stu\Documents\GitHub\eaglep3-reporting\EC\2017-02-18-refined-times.txt</v>
      </c>
      <c r="AI201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{"issue":{"subject":"","project_id":79,"tracker_id":40,"status_id":1,"priority_id":2,"assigned_to_id":23,"start_date":"2017-02-18","description":"","custom_fields":[{"id":1,"name":"Subdivision","value":"Other"},{"id":4,"name":"Milepost","value":"0.0154"},{"id":17,"name":"Train ID","value":"308-18"},{"id":16,"name":"Locomotive ID","value":"4017"},{"id":130,"name":"Impact","value":""},{"id":150,"name":"Time of Event (Mountain Time)","value":"04:20:40"},{"id":151,"name":"Denver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00"/>
        <v>start /low /b %USERPROFILE%\Documents\GitHub\eaglep3\Utilities\DownloadLogsFromS3.py --loco 4017 --day 2017-02-18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2017-02-18-UncaughtWiMAX.txt</v>
      </c>
    </row>
    <row r="202" spans="1:40" x14ac:dyDescent="0.25">
      <c r="A202" s="33" t="s">
        <v>675</v>
      </c>
      <c r="B202" s="7">
        <v>4022</v>
      </c>
      <c r="C202" s="21" t="s">
        <v>680</v>
      </c>
      <c r="D202" s="21" t="s">
        <v>313</v>
      </c>
      <c r="E202" s="13">
        <v>42785.048449074071</v>
      </c>
      <c r="F202" s="13">
        <v>42785.052418981482</v>
      </c>
      <c r="G202" s="7">
        <v>1</v>
      </c>
      <c r="H202" s="21" t="s">
        <v>798</v>
      </c>
      <c r="I202" s="13">
        <v>42785.05741898148</v>
      </c>
      <c r="J202" s="7">
        <v>0</v>
      </c>
      <c r="K202" s="98" t="str">
        <f t="shared" si="121"/>
        <v>4021/4022</v>
      </c>
      <c r="L202" s="21" t="str">
        <f>VLOOKUP(A202,'Trips&amp;Operators'!$C$1:$G$99999,5,FALSE)</f>
        <v>SMITH MICHAEL</v>
      </c>
      <c r="M202" s="6">
        <f t="shared" si="122"/>
        <v>4.9999999973806553E-3</v>
      </c>
      <c r="N202" s="7">
        <f t="shared" si="128"/>
        <v>7.1999999962281436</v>
      </c>
      <c r="O202" s="7"/>
      <c r="P202" s="7"/>
      <c r="Q202" s="22"/>
      <c r="R202" s="22"/>
      <c r="S202" s="31">
        <f t="shared" si="129"/>
        <v>1</v>
      </c>
      <c r="T202" s="46" t="str">
        <f t="shared" si="123"/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 t="shared" si="95"/>
        <v>https://d0f6bd738d7f1b3e5a7ca70fe4ff75f0.us-east-1.aws.found.io/app/kibana#/discover/Steve-Slow-Train-Analysis-(2080s-and-2083s)?_g=(refreshInterval:(display:Off,pause:!f,section:0,value:0),time:(from:'2017-02-19T00:09:46-0700',mode:absolute,to:'2017-02-19T02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88" t="str">
        <f t="shared" si="124"/>
        <v>Y</v>
      </c>
      <c r="X202" s="188">
        <f t="shared" si="120"/>
        <v>1</v>
      </c>
      <c r="Y202" s="62">
        <f t="shared" si="118"/>
        <v>4.7300000000000002E-2</v>
      </c>
      <c r="Z202" s="62">
        <f t="shared" si="119"/>
        <v>2.3300999999999998</v>
      </c>
      <c r="AA202" s="62">
        <f t="shared" si="125"/>
        <v>2.2827999999999999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26"/>
        <v>0309-18</v>
      </c>
      <c r="AE202" s="85" t="str">
        <f t="shared" si="96"/>
        <v>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 &amp; 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</v>
      </c>
      <c r="AF202" s="82" t="str">
        <f t="shared" si="97"/>
        <v>"C:\Program Files (x86)\AstroGrep\AstroGrep.exe" /spath="%USERPROFILE%\AppData\Local\Temp\OnboardLogs" /stypes="app*4022*20170219*" /stext=" 08:.+((SYSTEM_STATE.+slice.+state.+changed )|(ment ac)|(multiple cpu faults)|(system.+state.+changed )|(\[timeout)|(PRM\|1\|D)|(kpr)|(kdp)|(\|lc)|(penalty))" /e /r /s</v>
      </c>
      <c r="AG202" s="1" t="str">
        <f t="shared" si="127"/>
        <v>Other</v>
      </c>
      <c r="AH202" s="86" t="str">
        <f t="shared" si="98"/>
        <v>"%USERPROFILE%\Documents\GitHub\eaglep3\Utilities\RefineRTDCRunTimes.py" --tripid 309-18 --locoid 4022 --swversion DE.1.0.9.0 --startMP 204:473 --initTime 2017-02-19T01:09:46 --startdatetime 2017-02-19T01:15:29 --delay 1 --endMP 300:23301 --enddatetime 2017-02-19T01:22:41 --enforcementcount 0 &gt;&gt;C:\Users\stu\Documents\GitHub\eaglep3-reporting\EC\2017-02-18-refined-times.txt</v>
      </c>
      <c r="AI202" s="108" t="str">
        <f t="shared" si="99"/>
        <v>echo {"issue":{"subject":"","project_id":79,"tracker_id":40,"status_id":1,"priority_id":2,"assigned_to_id":23,"start_date":"2017-02-19","description":"","custom_fields":[{"id":1,"name":"Subdivision","value":"Other"},{"id":4,"name":"Milepost","value":"2.3301"},{"id":17,"name":"Train ID","value":"309-18"},{"id":16,"name":"Locomotive ID","value":"4022"},{"id":130,"name":"Impact","value":""},{"id":150,"name":"Time of Event (Mountain Time)","value":"01:22:41"},{"id":151,"name":"Denver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00"/>
        <v>start /low /b %USERPROFILE%\Documents\GitHub\eaglep3\Utilities\DownloadLogsFromS3.py --loco 4022 --day 2017-02-19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"%USERPROFILE%\AppData\Local\Temp\OnboardLogs"\RTDC4022\*4022*20170219* | grep -SE "(Enforcement Action)|(\[TIMEOUT)|(CHR.+\|PRM\|1\|D.+(SWITCH|SIGNAL).+UNKNOWN)" - &gt;&gt; 2017-02-18-UncaughtWiMAX.txt</v>
      </c>
    </row>
    <row r="203" spans="1:40" x14ac:dyDescent="0.25">
      <c r="A203" s="33" t="s">
        <v>436</v>
      </c>
      <c r="B203" s="7">
        <v>4008</v>
      </c>
      <c r="C203" s="21" t="s">
        <v>680</v>
      </c>
      <c r="D203" s="21" t="s">
        <v>799</v>
      </c>
      <c r="E203" s="13">
        <v>42784.18378472222</v>
      </c>
      <c r="F203" s="13">
        <v>42784.184861111113</v>
      </c>
      <c r="G203" s="7">
        <v>1</v>
      </c>
      <c r="H203" s="21" t="s">
        <v>800</v>
      </c>
      <c r="I203" s="13">
        <v>42784.187337962961</v>
      </c>
      <c r="J203" s="7">
        <v>0</v>
      </c>
      <c r="K203" s="98" t="str">
        <f t="shared" si="121"/>
        <v>4007/4008</v>
      </c>
      <c r="L203" s="21" t="str">
        <f>VLOOKUP(A203,'Trips&amp;Operators'!$C$1:$G$99999,5,FALSE)</f>
        <v>BRANDNER MELINDA</v>
      </c>
      <c r="M203" s="6">
        <f t="shared" si="122"/>
        <v>2.4768518487690017E-3</v>
      </c>
      <c r="N203" s="7">
        <f t="shared" si="128"/>
        <v>3.5666666622273624</v>
      </c>
      <c r="O203" s="7"/>
      <c r="P203" s="7"/>
      <c r="Q203" s="22"/>
      <c r="R203" s="22"/>
      <c r="S203" s="31">
        <f t="shared" si="129"/>
        <v>0</v>
      </c>
      <c r="T203" s="46" t="str">
        <f t="shared" si="123"/>
        <v>Southbound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87" t="str">
        <f t="shared" si="95"/>
        <v>https://d0f6bd738d7f1b3e5a7ca70fe4ff75f0.us-east-1.aws.found.io/app/kibana#/discover/Steve-Slow-Train-Analysis-(2080s-and-2083s)?_g=(refreshInterval:(display:Off,pause:!f,section:0,value:0),time:(from:'2017-02-18T03:24:39-0700',mode:absolute,to:'2017-02-18T05:29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3" s="188" t="str">
        <f t="shared" si="124"/>
        <v>Y</v>
      </c>
      <c r="X203" s="188">
        <f t="shared" si="120"/>
        <v>1</v>
      </c>
      <c r="Y203" s="62">
        <f t="shared" si="118"/>
        <v>2.2517999999999998</v>
      </c>
      <c r="Z203" s="62">
        <f t="shared" si="119"/>
        <v>1.9043000000000001</v>
      </c>
      <c r="AA203" s="62">
        <f t="shared" si="125"/>
        <v>0.3474999999999997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26"/>
        <v>0310-18</v>
      </c>
      <c r="AE203" s="85" t="str">
        <f t="shared" si="96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203" s="82" t="str">
        <f t="shared" si="97"/>
        <v>"C:\Program Files (x86)\AstroGrep\AstroGrep.exe" /spath="%USERPROFILE%\AppData\Local\Temp\OnboardLogs" /stypes="app*4008*20170218*" /stext=" 11:.+((SYSTEM_STATE.+slice.+state.+changed )|(ment ac)|(multiple cpu faults)|(system.+state.+changed )|(\[timeout)|(PRM\|1\|D)|(kpr)|(kdp)|(\|lc)|(penalty))" /e /r /s</v>
      </c>
      <c r="AG203" s="1" t="str">
        <f t="shared" si="127"/>
        <v>Other</v>
      </c>
      <c r="AH203" s="86" t="str">
        <f t="shared" si="98"/>
        <v>"%USERPROFILE%\Documents\GitHub\eaglep3\Utilities\RefineRTDCRunTimes.py" --tripid 310-18 --locoid 4008 --swversion DE.1.0.9.0 --startMP 300:22518 --initTime 2017-02-18T04:24:39 --startdatetime 2017-02-18T04:26:12 --delay 1 --endMP 300:19043 --enddatetime 2017-02-18T04:29:46 --enforcementcount 0 &gt;&gt;C:\Users\stu\Documents\GitHub\eaglep3-reporting\EC\2017-02-18-refined-times.txt</v>
      </c>
      <c r="AI203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{"issue":{"subject":"","project_id":79,"tracker_id":40,"status_id":1,"priority_id":2,"assigned_to_id":23,"start_date":"2017-02-18","description":"","custom_fields":[{"id":1,"name":"Subdivision","value":"Other"},{"id":4,"name":"Milepost","value":"1.9043"},{"id":17,"name":"Train ID","value":"310-18"},{"id":16,"name":"Locomotive ID","value":"4008"},{"id":130,"name":"Impact","value":""},{"id":150,"name":"Time of Event (Mountain Time)","value":"04:29:46"},{"id":151,"name":"Denver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00"/>
        <v>start /low /b %USERPROFILE%\Documents\GitHub\eaglep3\Utilities\DownloadLogsFromS3.py --loco 4008 --day 2017-02-18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</row>
    <row r="204" spans="1:40" x14ac:dyDescent="0.25">
      <c r="A204" s="33" t="s">
        <v>436</v>
      </c>
      <c r="B204" s="7">
        <v>4008</v>
      </c>
      <c r="C204" s="21" t="s">
        <v>680</v>
      </c>
      <c r="D204" s="21" t="s">
        <v>801</v>
      </c>
      <c r="E204" s="13">
        <v>42784.179594907408</v>
      </c>
      <c r="F204" s="13">
        <v>42784.184861111113</v>
      </c>
      <c r="G204" s="7">
        <v>2</v>
      </c>
      <c r="H204" s="21" t="s">
        <v>802</v>
      </c>
      <c r="I204" s="13">
        <v>42784.187337962961</v>
      </c>
      <c r="J204" s="7">
        <v>0</v>
      </c>
      <c r="K204" s="98" t="str">
        <f t="shared" si="121"/>
        <v>4007/4008</v>
      </c>
      <c r="L204" s="21" t="str">
        <f>VLOOKUP(A204,'Trips&amp;Operators'!$C$1:$G$99999,5,FALSE)</f>
        <v>BRANDNER MELINDA</v>
      </c>
      <c r="M204" s="6">
        <f t="shared" si="122"/>
        <v>2.4768518487690017E-3</v>
      </c>
      <c r="N204" s="7">
        <f t="shared" si="128"/>
        <v>3.5666666622273624</v>
      </c>
      <c r="O204" s="7"/>
      <c r="P204" s="7"/>
      <c r="Q204" s="22"/>
      <c r="R204" s="22"/>
      <c r="S204" s="31">
        <f t="shared" si="129"/>
        <v>0</v>
      </c>
      <c r="T204" s="46" t="str">
        <f t="shared" si="123"/>
        <v>Southbound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7" t="str">
        <f t="shared" si="95"/>
        <v>https://d0f6bd738d7f1b3e5a7ca70fe4ff75f0.us-east-1.aws.found.io/app/kibana#/discover/Steve-Slow-Train-Analysis-(2080s-and-2083s)?_g=(refreshInterval:(display:Off,pause:!f,section:0,value:0),time:(from:'2017-02-18T03:18:37-0700',mode:absolute,to:'2017-02-18T05:29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88" t="str">
        <f t="shared" si="124"/>
        <v>Y</v>
      </c>
      <c r="X204" s="188">
        <f t="shared" si="120"/>
        <v>0</v>
      </c>
      <c r="Y204" s="62">
        <f t="shared" si="118"/>
        <v>2.6101000000000001</v>
      </c>
      <c r="Z204" s="62">
        <f t="shared" si="119"/>
        <v>2.4476</v>
      </c>
      <c r="AA204" s="62">
        <f t="shared" si="125"/>
        <v>0.16250000000000009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126"/>
        <v>0310-18</v>
      </c>
      <c r="AE204" s="85" t="str">
        <f t="shared" si="96"/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AF204" s="82" t="str">
        <f t="shared" si="97"/>
        <v>"C:\Program Files (x86)\AstroGrep\AstroGrep.exe" /spath="%USERPROFILE%\AppData\Local\Temp\OnboardLogs" /stypes="app*4008*20170218*" /stext=" 11:.+((SYSTEM_STATE.+slice.+state.+changed )|(ment ac)|(multiple cpu faults)|(system.+state.+changed )|(\[timeout)|(PRM\|1\|D)|(kpr)|(kdp)|(\|lc)|(penalty))" /e /r /s</v>
      </c>
      <c r="AG204" s="1" t="str">
        <f t="shared" si="127"/>
        <v>Other</v>
      </c>
      <c r="AH204" s="86" t="str">
        <f t="shared" si="98"/>
        <v>"%USERPROFILE%\Documents\GitHub\eaglep3\Utilities\RefineRTDCRunTimes.py" --tripid 310-18 --locoid 4008 --swversion DE.1.0.9.0 --startMP 300:26101 --initTime 2017-02-18T04:18:37 --startdatetime 2017-02-18T04:26:12 --delay 2 --endMP 300:24476 --enddatetime 2017-02-18T04:29:46 --enforcementcount 0 &gt;&gt;C:\Users\stu\Documents\GitHub\eaglep3-reporting\EC\2017-02-18-refined-times.txt</v>
      </c>
      <c r="AI204" s="108" t="str">
        <f t="shared" si="99"/>
        <v>echo {"issue":{"subject":"","project_id":79,"tracker_id":40,"status_id":1,"priority_id":2,"assigned_to_id":23,"start_date":"2017-02-18","description":"","custom_fields":[{"id":1,"name":"Subdivision","value":"Other"},{"id":4,"name":"Milepost","value":"2.4476"},{"id":17,"name":"Train ID","value":"310-18"},{"id":16,"name":"Locomotive ID","value":"4008"},{"id":130,"name":"Impact","value":""},{"id":150,"name":"Time of Event (Mountain Time)","value":"04:29:46"},{"id":151,"name":"Denver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00"/>
        <v>start /low /b %USERPROFILE%\Documents\GitHub\eaglep3\Utilities\DownloadLogsFromS3.py --loco 4008 --day 2017-02-18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2017-02-18-UncaughtWiMAX.txt</v>
      </c>
    </row>
    <row r="205" spans="1:40" x14ac:dyDescent="0.25">
      <c r="A205" s="33" t="s">
        <v>677</v>
      </c>
      <c r="B205" s="7">
        <v>4029</v>
      </c>
      <c r="C205" s="21" t="s">
        <v>680</v>
      </c>
      <c r="D205" s="21" t="s">
        <v>730</v>
      </c>
      <c r="E205" s="13">
        <v>42785.066319444442</v>
      </c>
      <c r="F205" s="13">
        <v>25568.708333333332</v>
      </c>
      <c r="G205" s="7">
        <v>1</v>
      </c>
      <c r="H205" s="21" t="s">
        <v>803</v>
      </c>
      <c r="I205" s="13">
        <v>25568.708333333332</v>
      </c>
      <c r="J205" s="7">
        <v>0</v>
      </c>
      <c r="K205" s="98" t="str">
        <f t="shared" si="121"/>
        <v>4029/4030</v>
      </c>
      <c r="L205" s="21" t="str">
        <f>VLOOKUP(A205,'Trips&amp;Operators'!$C$1:$G$99999,5,FALSE)</f>
        <v>STAMBAUGH JAMES</v>
      </c>
      <c r="M205" s="6">
        <f t="shared" si="122"/>
        <v>0</v>
      </c>
      <c r="N205" s="7">
        <f t="shared" si="128"/>
        <v>0</v>
      </c>
      <c r="O205" s="7"/>
      <c r="P205" s="7"/>
      <c r="Q205" s="22"/>
      <c r="R205" s="22"/>
      <c r="S205" s="31">
        <f t="shared" si="129"/>
        <v>1</v>
      </c>
      <c r="T205" s="46" t="str">
        <f t="shared" si="123"/>
        <v>NorthBound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 t="shared" ref="V205:V221" si="13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-19T00:35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5" s="188" t="str">
        <f t="shared" si="124"/>
        <v>Y</v>
      </c>
      <c r="X205" s="188">
        <f t="shared" si="120"/>
        <v>1</v>
      </c>
      <c r="Y205" s="62">
        <f t="shared" si="118"/>
        <v>7.3400000000000007E-2</v>
      </c>
      <c r="Z205" s="62">
        <f t="shared" si="119"/>
        <v>2.3308</v>
      </c>
      <c r="AA205" s="62">
        <f t="shared" si="125"/>
        <v>2.2574000000000001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26"/>
        <v>0311-18</v>
      </c>
      <c r="AE205" s="85" t="str">
        <f t="shared" ref="AE205:AE221" si="13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5" s="82" t="str">
        <f t="shared" ref="AF205:AF221" si="13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5" s="1" t="str">
        <f t="shared" si="127"/>
        <v>Other</v>
      </c>
      <c r="AH205" s="86" t="str">
        <f t="shared" si="98"/>
        <v>"%USERPROFILE%\Documents\GitHub\eaglep3\Utilities\RefineRTDCRunTimes.py" --tripid 311-18 --locoid 4029 --swversion DE.1.0.9.0 --startMP 204:734 --initTime 2017-02-19T01:35:30 --startdatetime 1969-12-31T17:00:00 --delay 1 --endMP 300:23308 --enddatetime 1969-12-31T17:00:00 --enforcementcount 0 &gt;&gt;C:\Users\stu\Documents\GitHub\eaglep3-reporting\EC\2017-02-18-refined-times.txt</v>
      </c>
      <c r="AI205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ID","value":"311-18"},{"id":16,"name":"Locomotive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00"/>
        <v>start /low /b %USERPROFILE%\Documents\GitHub\eaglep3\Utilities\DownloadLogsFromS3.py --loco 4029 --day 1969-12-31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2017-02-18-UncaughtWiMAX.txt</v>
      </c>
    </row>
    <row r="206" spans="1:40" x14ac:dyDescent="0.25">
      <c r="A206" s="33" t="s">
        <v>495</v>
      </c>
      <c r="B206" s="7">
        <v>4025</v>
      </c>
      <c r="C206" s="21" t="s">
        <v>680</v>
      </c>
      <c r="D206" s="21" t="s">
        <v>804</v>
      </c>
      <c r="E206" s="13">
        <v>42784.078692129631</v>
      </c>
      <c r="F206" s="13">
        <v>25568.708333333332</v>
      </c>
      <c r="G206" s="7">
        <v>1</v>
      </c>
      <c r="H206" s="21" t="s">
        <v>805</v>
      </c>
      <c r="I206" s="13">
        <v>25568.708333333332</v>
      </c>
      <c r="J206" s="7">
        <v>0</v>
      </c>
      <c r="K206" s="98" t="str">
        <f t="shared" si="121"/>
        <v>4025/4026</v>
      </c>
      <c r="L206" s="21" t="str">
        <f>VLOOKUP(A206,'Trips&amp;Operators'!$C$1:$G$99999,5,FALSE)</f>
        <v>HILLS DUSTIN</v>
      </c>
      <c r="M206" s="6">
        <f t="shared" si="122"/>
        <v>0</v>
      </c>
      <c r="N206" s="7">
        <f t="shared" si="128"/>
        <v>0</v>
      </c>
      <c r="O206" s="7"/>
      <c r="P206" s="7"/>
      <c r="Q206" s="22"/>
      <c r="R206" s="22"/>
      <c r="S206" s="31">
        <f t="shared" si="129"/>
        <v>1</v>
      </c>
      <c r="T206" s="46" t="str">
        <f t="shared" si="123"/>
        <v>NorthBound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7" t="str">
        <f t="shared" si="130"/>
        <v>https://d0f6bd738d7f1b3e5a7ca70fe4ff75f0.us-east-1.aws.found.io/app/kibana#/discover/Steve-Slow-Train-Analysis-(2080s-and-2083s)?_g=(refreshInterval:(display:Off,pause:!f,section:0,value:0),time:(from:'2017-02-18T00:53:19-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6" s="188" t="str">
        <f t="shared" si="124"/>
        <v>Y</v>
      </c>
      <c r="X206" s="188">
        <f t="shared" si="120"/>
        <v>2</v>
      </c>
      <c r="Y206" s="62">
        <f t="shared" si="118"/>
        <v>0.12620000000000001</v>
      </c>
      <c r="Z206" s="62">
        <f t="shared" si="119"/>
        <v>2.3311999999999999</v>
      </c>
      <c r="AA206" s="62">
        <f t="shared" si="125"/>
        <v>2.2050000000000001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26"/>
        <v>0313-17</v>
      </c>
      <c r="AE206" s="85" t="str">
        <f t="shared" si="131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6" s="82" t="str">
        <f t="shared" si="132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6" s="1" t="str">
        <f t="shared" si="127"/>
        <v>Other</v>
      </c>
      <c r="AH206" s="86" t="str">
        <f t="shared" si="98"/>
        <v>"%USERPROFILE%\Documents\GitHub\eaglep3\Utilities\RefineRTDCRunTimes.py" --tripid 313-17 --locoid 4025 --swversion DE.1.0.9.0 --startMP 204:1262 --initTime 2017-02-18T01:53:19 --startdatetime 1969-12-31T17:00:00 --delay 1 --endMP 300:23312 --enddatetime 1969-12-31T17:00:00 --enforcementcount 0 &gt;&gt;C:\Users\stu\Documents\GitHub\eaglep3-reporting\EC\2017-02-18-refined-times.txt</v>
      </c>
      <c r="AI206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ID","value":"313-17"},{"id":16,"name":"Locomotive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00"/>
        <v>start /low /b %USERPROFILE%\Documents\GitHub\eaglep3\Utilities\DownloadLogsFromS3.py --loco 4025 --day 1969-12-31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2017-02-18-UncaughtWiMAX.txt</v>
      </c>
    </row>
    <row r="207" spans="1:40" x14ac:dyDescent="0.25">
      <c r="A207" s="33" t="s">
        <v>249</v>
      </c>
      <c r="B207" s="7">
        <v>4018</v>
      </c>
      <c r="C207" s="21" t="s">
        <v>680</v>
      </c>
      <c r="D207" s="21" t="s">
        <v>695</v>
      </c>
      <c r="E207" s="13">
        <v>42785.088321759256</v>
      </c>
      <c r="F207" s="13">
        <v>25568.708333333332</v>
      </c>
      <c r="G207" s="7">
        <v>1</v>
      </c>
      <c r="H207" s="21" t="s">
        <v>425</v>
      </c>
      <c r="I207" s="13">
        <v>25568.708333333332</v>
      </c>
      <c r="J207" s="7">
        <v>0</v>
      </c>
      <c r="K207" s="98" t="str">
        <f t="shared" si="121"/>
        <v>4017/4018</v>
      </c>
      <c r="L207" s="21" t="str">
        <f>VLOOKUP(A207,'Trips&amp;Operators'!$C$1:$G$99999,5,FALSE)</f>
        <v>MAGEE KENYA</v>
      </c>
      <c r="M207" s="6">
        <f t="shared" si="122"/>
        <v>0</v>
      </c>
      <c r="N207" s="7">
        <f t="shared" si="128"/>
        <v>0</v>
      </c>
      <c r="O207" s="7"/>
      <c r="P207" s="7"/>
      <c r="Q207" s="22"/>
      <c r="R207" s="22"/>
      <c r="S207" s="31">
        <f t="shared" si="129"/>
        <v>1</v>
      </c>
      <c r="T207" s="46" t="str">
        <f t="shared" si="123"/>
        <v>NorthBound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 t="shared" si="130"/>
        <v>https://d0f6bd738d7f1b3e5a7ca70fe4ff75f0.us-east-1.aws.found.io/app/kibana#/discover/Steve-Slow-Train-Analysis-(2080s-and-2083s)?_g=(refreshInterval:(display:Off,pause:!f,section:0,value:0),time:(from:'2017-02-19T01:07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188" t="str">
        <f t="shared" si="124"/>
        <v>Y</v>
      </c>
      <c r="X207" s="188">
        <f t="shared" si="120"/>
        <v>0</v>
      </c>
      <c r="Y207" s="62">
        <f t="shared" si="118"/>
        <v>4.58E-2</v>
      </c>
      <c r="Z207" s="62">
        <f t="shared" si="119"/>
        <v>2.3306</v>
      </c>
      <c r="AA207" s="62">
        <f t="shared" si="125"/>
        <v>2.2848000000000002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26"/>
        <v>0313-18</v>
      </c>
      <c r="AE207" s="85" t="str">
        <f t="shared" si="13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7" s="82" t="str">
        <f t="shared" si="13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7" s="1" t="str">
        <f t="shared" si="127"/>
        <v>Other</v>
      </c>
      <c r="AH207" s="86" t="str">
        <f t="shared" si="98"/>
        <v>"%USERPROFILE%\Documents\GitHub\eaglep3\Utilities\RefineRTDCRunTimes.py" --tripid 313-18 --locoid 4018 --swversion DE.1.0.9.0 --startMP 204:458 --initTime 2017-02-19T02:07:11 --startdatetime 1969-12-31T17:00:00 --delay 1 --endMP 300:23306 --enddatetime 1969-12-31T17:00:00 --enforcementcount 0 &gt;&gt;C:\Users\stu\Documents\GitHub\eaglep3-reporting\EC\2017-02-18-refined-times.txt</v>
      </c>
      <c r="AI207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ID","value":"313-18"},{"id":16,"name":"Locomotive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00"/>
        <v>start /low /b %USERPROFILE%\Documents\GitHub\eaglep3\Utilities\DownloadLogsFromS3.py --loco 4018 --day 1969-12-31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2017-02-18-UncaughtWiMAX.txt</v>
      </c>
    </row>
    <row r="208" spans="1:40" x14ac:dyDescent="0.25">
      <c r="A208" s="33" t="s">
        <v>500</v>
      </c>
      <c r="B208" s="7">
        <v>4044</v>
      </c>
      <c r="C208" s="21" t="s">
        <v>680</v>
      </c>
      <c r="D208" s="21" t="s">
        <v>695</v>
      </c>
      <c r="E208" s="13">
        <v>42784.109409722223</v>
      </c>
      <c r="F208" s="13">
        <v>25568.708333333332</v>
      </c>
      <c r="G208" s="7">
        <v>1</v>
      </c>
      <c r="H208" s="21" t="s">
        <v>300</v>
      </c>
      <c r="I208" s="13">
        <v>25568.708333333332</v>
      </c>
      <c r="J208" s="7">
        <v>0</v>
      </c>
      <c r="K208" s="98" t="str">
        <f t="shared" si="121"/>
        <v>4043/4044</v>
      </c>
      <c r="L208" s="21" t="str">
        <f>VLOOKUP(A208,'Trips&amp;Operators'!$C$1:$G$99999,5,FALSE)</f>
        <v>BROWN JACOB</v>
      </c>
      <c r="M208" s="6">
        <f t="shared" si="122"/>
        <v>0</v>
      </c>
      <c r="N208" s="7">
        <f t="shared" si="128"/>
        <v>0</v>
      </c>
      <c r="O208" s="7"/>
      <c r="P208" s="7"/>
      <c r="Q208" s="22"/>
      <c r="R208" s="22"/>
      <c r="S208" s="31">
        <f t="shared" si="129"/>
        <v>1</v>
      </c>
      <c r="T208" s="46" t="str">
        <f t="shared" si="123"/>
        <v>NorthBound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7" t="str">
        <f t="shared" si="130"/>
        <v>https://d0f6bd738d7f1b3e5a7ca70fe4ff75f0.us-east-1.aws.found.io/app/kibana#/discover/Steve-Slow-Train-Analysis-(2080s-and-2083s)?_g=(refreshInterval:(display:Off,pause:!f,section:0,value:0),time:(from:'2017-02-18T01:37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188" t="str">
        <f t="shared" si="124"/>
        <v>Y</v>
      </c>
      <c r="X208" s="188">
        <f t="shared" si="120"/>
        <v>2</v>
      </c>
      <c r="Y208" s="62">
        <f t="shared" si="118"/>
        <v>4.58E-2</v>
      </c>
      <c r="Z208" s="62">
        <f t="shared" si="119"/>
        <v>2.3346</v>
      </c>
      <c r="AA208" s="62">
        <f t="shared" si="125"/>
        <v>2.2888000000000002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26"/>
        <v>0315-17</v>
      </c>
      <c r="AE208" s="85" t="str">
        <f t="shared" si="13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8" s="82" t="str">
        <f t="shared" si="13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8" s="1" t="str">
        <f t="shared" si="127"/>
        <v>Other</v>
      </c>
      <c r="AH208" s="86" t="str">
        <f t="shared" si="98"/>
        <v>"%USERPROFILE%\Documents\GitHub\eaglep3\Utilities\RefineRTDCRunTimes.py" --tripid 315-17 --locoid 4044 --swversion DE.1.0.9.0 --startMP 204:458 --initTime 2017-02-18T02:37:33 --startdatetime 1969-12-31T17:00:00 --delay 1 --endMP 300:23346 --enddatetime 1969-12-31T17:00:00 --enforcementcount 0 &gt;&gt;C:\Users\stu\Documents\GitHub\eaglep3-reporting\EC\2017-02-18-refined-times.txt</v>
      </c>
      <c r="AI208" s="108" t="str">
        <f t="shared" si="9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ID","value":"315-17"},{"id":16,"name":"Locomotive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00"/>
        <v>start /low /b %USERPROFILE%\Documents\GitHub\eaglep3\Utilities\DownloadLogsFromS3.py --loco 4044 --day 1969-12-31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2017-02-18-UncaughtWiMAX.txt</v>
      </c>
    </row>
    <row r="209" spans="1:40" x14ac:dyDescent="0.25">
      <c r="A209" s="33" t="s">
        <v>250</v>
      </c>
      <c r="B209" s="7">
        <v>4011</v>
      </c>
      <c r="C209" s="21" t="s">
        <v>680</v>
      </c>
      <c r="D209" s="21" t="s">
        <v>230</v>
      </c>
      <c r="E209" s="13">
        <v>42785.111319444448</v>
      </c>
      <c r="F209" s="13">
        <v>25568.708333333332</v>
      </c>
      <c r="G209" s="7">
        <v>1</v>
      </c>
      <c r="H209" s="21" t="s">
        <v>794</v>
      </c>
      <c r="I209" s="13">
        <v>25568.708333333332</v>
      </c>
      <c r="J209" s="7">
        <v>0</v>
      </c>
      <c r="K209" s="98" t="str">
        <f t="shared" si="121"/>
        <v>4011/4012</v>
      </c>
      <c r="L209" s="21" t="str">
        <f>VLOOKUP(A209,'Trips&amp;Operators'!$C$1:$G$99999,5,FALSE)</f>
        <v>DUNCAN SHEILA</v>
      </c>
      <c r="M209" s="6">
        <f t="shared" si="122"/>
        <v>0</v>
      </c>
      <c r="N209" s="7">
        <f t="shared" si="128"/>
        <v>0</v>
      </c>
      <c r="O209" s="7"/>
      <c r="P209" s="7"/>
      <c r="Q209" s="22"/>
      <c r="R209" s="22"/>
      <c r="S209" s="31">
        <f t="shared" si="129"/>
        <v>1</v>
      </c>
      <c r="T209" s="46" t="str">
        <f t="shared" si="123"/>
        <v>NorthBound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 t="shared" si="130"/>
        <v>https://d0f6bd738d7f1b3e5a7ca70fe4ff75f0.us-east-1.aws.found.io/app/kibana#/discover/Steve-Slow-Train-Analysis-(2080s-and-2083s)?_g=(refreshInterval:(display:Off,pause:!f,section:0,value:0),time:(from:'2017-02-19T01:40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9" s="188" t="str">
        <f t="shared" si="124"/>
        <v>Y</v>
      </c>
      <c r="X209" s="188">
        <f t="shared" si="120"/>
        <v>0</v>
      </c>
      <c r="Y209" s="62">
        <f t="shared" si="118"/>
        <v>4.5699999999999998E-2</v>
      </c>
      <c r="Z209" s="62">
        <f t="shared" si="119"/>
        <v>2.3302</v>
      </c>
      <c r="AA209" s="62">
        <f t="shared" si="125"/>
        <v>2.2845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26"/>
        <v>0315-18</v>
      </c>
      <c r="AE209" s="85" t="str">
        <f t="shared" si="13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9" s="82" t="str">
        <f t="shared" si="13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9" s="1" t="str">
        <f t="shared" si="127"/>
        <v>Other</v>
      </c>
      <c r="AH209" s="86" t="str">
        <f t="shared" ref="AH209:AH221" si="133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315-18 --locoid 4011 --swversion DE.1.0.9.0 --startMP 204:457 --initTime 2017-02-19T02:40:18 --startdatetime 1969-12-31T17:00:00 --delay 1 --endMP 300:23302 --enddatetime 1969-12-31T17:00:00 --enforcementcount 0 &gt;&gt;C:\Users\stu\Documents\GitHub\eaglep3-reporting\EC\2017-02-18-refined-times.txt</v>
      </c>
      <c r="AI209" s="108" t="str">
        <f t="shared" ref="AI209:AI221" si="134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ID","value":"315-18"},{"id":16,"name":"Locomotive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ref="AM209:AM221" si="135">"start /low /b "&amp;dls3logs&amp;" --loco "&amp;B209&amp;" --day "&amp;TEXT(F209,"YYYY-MM-DD")</f>
        <v>start /low /b %USERPROFILE%\Documents\GitHub\eaglep3\Utilities\DownloadLogsFromS3.py --loco 4011 --day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2017-02-18-UncaughtWiMAX.txt</v>
      </c>
    </row>
    <row r="210" spans="1:40" x14ac:dyDescent="0.25">
      <c r="A210" s="33" t="s">
        <v>666</v>
      </c>
      <c r="B210" s="7">
        <v>4032</v>
      </c>
      <c r="C210" s="21" t="s">
        <v>680</v>
      </c>
      <c r="D210" s="21" t="s">
        <v>768</v>
      </c>
      <c r="E210" s="13">
        <v>42784.94159722222</v>
      </c>
      <c r="F210" s="13">
        <v>42784.942824074074</v>
      </c>
      <c r="G210" s="7">
        <v>1</v>
      </c>
      <c r="H210" s="21" t="s">
        <v>769</v>
      </c>
      <c r="I210" s="13">
        <v>42784.947152777779</v>
      </c>
      <c r="J210" s="7">
        <v>0</v>
      </c>
      <c r="K210" s="98" t="str">
        <f t="shared" si="121"/>
        <v>4031/4032</v>
      </c>
      <c r="L210" s="21" t="str">
        <f>VLOOKUP(A210,'Trips&amp;Operators'!$C$1:$G$99999,5,FALSE)</f>
        <v>HELVIE ADAM</v>
      </c>
      <c r="M210" s="6">
        <f t="shared" si="122"/>
        <v>4.3287037042318843E-3</v>
      </c>
      <c r="N210" s="7">
        <f t="shared" si="128"/>
        <v>6.2333333340939134</v>
      </c>
      <c r="O210" s="7"/>
      <c r="P210" s="7"/>
      <c r="Q210" s="22"/>
      <c r="R210" s="22"/>
      <c r="S210" s="31">
        <f t="shared" si="129"/>
        <v>0</v>
      </c>
      <c r="T210" s="46" t="str">
        <f t="shared" si="123"/>
        <v>Southbound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7" t="str">
        <f t="shared" si="130"/>
        <v>https://d0f6bd738d7f1b3e5a7ca70fe4ff75f0.us-east-1.aws.found.io/app/kibana#/discover/Steve-Slow-Train-Analysis-(2080s-and-2083s)?_g=(refreshInterval:(display:Off,pause:!f,section:0,value:0),time:(from:'2017-02-18T21:35:54-0700',mode:absolute,to:'2017-02-18T23:43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188" t="str">
        <f t="shared" si="124"/>
        <v>Y</v>
      </c>
      <c r="X210" s="188">
        <f t="shared" si="120"/>
        <v>1587</v>
      </c>
      <c r="Y210" s="62">
        <f t="shared" si="118"/>
        <v>5.8615000000000004</v>
      </c>
      <c r="Z210" s="62">
        <f t="shared" si="119"/>
        <v>2.1789000000000001</v>
      </c>
      <c r="AA210" s="62">
        <f t="shared" si="125"/>
        <v>3.6826000000000003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26"/>
        <v>1902-18</v>
      </c>
      <c r="AE210" s="85" t="str">
        <f t="shared" si="131"/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AF210" s="82" t="str">
        <f t="shared" si="132"/>
        <v>"C:\Program Files (x86)\AstroGrep\AstroGrep.exe" /spath="%USERPROFILE%\AppData\Local\Temp\OnboardLogs" /stypes="app*4032*20170219*" /stext=" 05:.+((SYSTEM_STATE.+slice.+state.+changed )|(ment ac)|(multiple cpu faults)|(system.+state.+changed )|(\[timeout)|(PRM\|1\|D)|(kpr)|(kdp)|(\|lc)|(penalty))" /e /r /s</v>
      </c>
      <c r="AG210" s="1" t="str">
        <f t="shared" si="127"/>
        <v>Other</v>
      </c>
      <c r="AH210" s="86" t="str">
        <f t="shared" si="133"/>
        <v>"%USERPROFILE%\Documents\GitHub\eaglep3\Utilities\RefineRTDCRunTimes.py" --tripid 1902-18 --locoid 4032 --swversion DE.1.0.9.0 --startMP 300:58615 --initTime 2017-02-18T22:35:54 --startdatetime 2017-02-18T22:37:40 --delay 1 --endMP 300:21789 --enddatetime 2017-02-18T22:43:54 --enforcementcount 0 &gt;&gt;C:\Users\stu\Documents\GitHub\eaglep3-reporting\EC\2017-02-18-refined-times.txt</v>
      </c>
      <c r="AI210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{"issue":{"subject":"","project_id":79,"tracker_id":40,"status_id":1,"priority_id":2,"assigned_to_id":23,"start_date":"2017-02-18","description":"","custom_fields":[{"id":1,"name":"Subdivision","value":"Other"},{"id":4,"name":"Milepost","value":"2.1789"},{"id":17,"name":"Train ID","value":"1902-18"},{"id":16,"name":"Locomotive ID","value":"4032"},{"id":130,"name":"Impact","value":""},{"id":150,"name":"Time of Event (Mountain Time)","value":"22:43:54"},{"id":151,"name":"Denver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35"/>
        <v>start /low /b %USERPROFILE%\Documents\GitHub\eaglep3\Utilities\DownloadLogsFromS3.py --loco 4032 --day 2017-02-18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"%USERPROFILE%\AppData\Local\Temp\OnboardLogs"\RTDC4032\*4032*20170219* | grep -SE "(Enforcement Action)|(\[TIMEOUT)|(CHR.+\|PRM\|1\|D.+(SWITCH|SIGNAL).+UNKNOWN)" - &gt;&gt; 2017-02-18-UncaughtWiMAX.txt</v>
      </c>
    </row>
    <row r="211" spans="1:40" x14ac:dyDescent="0.25">
      <c r="A211" s="33" t="s">
        <v>578</v>
      </c>
      <c r="B211" s="7">
        <v>4005</v>
      </c>
      <c r="C211" s="21" t="s">
        <v>680</v>
      </c>
      <c r="D211" s="21" t="s">
        <v>806</v>
      </c>
      <c r="E211" s="13">
        <v>42784.479074074072</v>
      </c>
      <c r="F211" s="13">
        <v>42784.480127314811</v>
      </c>
      <c r="G211" s="7">
        <v>1</v>
      </c>
      <c r="H211" s="21" t="s">
        <v>807</v>
      </c>
      <c r="I211" s="13">
        <v>42784.48541666667</v>
      </c>
      <c r="J211" s="7">
        <v>0</v>
      </c>
      <c r="K211" s="98" t="str">
        <f t="shared" si="121"/>
        <v>4005/4006</v>
      </c>
      <c r="L211" s="21" t="str">
        <f>VLOOKUP(A211,'Trips&amp;Operators'!$C$1:$G$99999,5,FALSE)</f>
        <v>LEVIN SCOTT</v>
      </c>
      <c r="M211" s="6">
        <f t="shared" si="122"/>
        <v>5.289351858664304E-3</v>
      </c>
      <c r="N211" s="7">
        <f t="shared" si="128"/>
        <v>7.6166666764765978</v>
      </c>
      <c r="O211" s="7"/>
      <c r="P211" s="7"/>
      <c r="Q211" s="22"/>
      <c r="R211" s="22"/>
      <c r="S211" s="31">
        <f t="shared" si="129"/>
        <v>0</v>
      </c>
      <c r="T211" s="46" t="e">
        <f t="shared" si="123"/>
        <v>#VALUE!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7" t="str">
        <f t="shared" si="130"/>
        <v>https://d0f6bd738d7f1b3e5a7ca70fe4ff75f0.us-east-1.aws.found.io/app/kibana#/discover/Steve-Slow-Train-Analysis-(2080s-and-2083s)?_g=(refreshInterval:(display:Off,pause:!f,section:0,value:0),time:(from:'2017-02-18T10:29:52-0700',mode:absolute,to:'2017-02-18T12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1" s="188" t="str">
        <f t="shared" si="124"/>
        <v>Y</v>
      </c>
      <c r="X211" s="188" t="e">
        <f t="shared" si="120"/>
        <v>#VALUE!</v>
      </c>
      <c r="Y211" s="62">
        <f t="shared" si="118"/>
        <v>2.3378999999999999</v>
      </c>
      <c r="Z211" s="62">
        <f t="shared" si="119"/>
        <v>1.3100000000000001E-2</v>
      </c>
      <c r="AA211" s="62">
        <f t="shared" si="125"/>
        <v>2.3247999999999998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126"/>
        <v>50-18</v>
      </c>
      <c r="AE211" s="85" t="str">
        <f t="shared" si="131"/>
        <v>aws s3 cp s3://rtdc.mdm.uploadarchive.raw/RTDC4005/ "%USERPROFILE%\AppData\Local\Temp\OnboardLogs"\RTDC4005\2017-02-18 --exclude "*" --recursive --include "*20170218*" &amp; "%USERPROFILE%\Documents\GitHub\mrs-test-scripts\Headless Mode &amp; Sideloading\WalkAndUnGZ.bat" "%USERPROFILE%\AppData\Local\Temp\OnboardLogs"\RTDC4005\2017-02-18 &amp; 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</v>
      </c>
      <c r="AF211" s="82" t="str">
        <f t="shared" si="132"/>
        <v>"C:\Program Files (x86)\AstroGrep\AstroGrep.exe" /spath="%USERPROFILE%\AppData\Local\Temp\OnboardLogs" /stypes="app*4005*20170218*" /stext=" 18:.+((SYSTEM_STATE.+slice.+state.+changed )|(ment ac)|(multiple cpu faults)|(system.+state.+changed )|(\[timeout)|(PRM\|1\|D)|(kpr)|(kdp)|(\|lc)|(penalty))" /e /r /s</v>
      </c>
      <c r="AG211" s="1" t="str">
        <f t="shared" si="127"/>
        <v>Other</v>
      </c>
      <c r="AH211" s="86" t="str">
        <f t="shared" si="133"/>
        <v>"%USERPROFILE%\Documents\GitHub\eaglep3\Utilities\RefineRTDCRunTimes.py" --tripid 50-18 --locoid 4005 --swversion DE.1.0.9.0 --startMP 300:23379 --initTime 2017-02-18T11:29:52 --startdatetime 2017-02-18T11:31:23 --delay 1 --endMP 204:131 --enddatetime 2017-02-18T11:39:00 --enforcementcount 0 &gt;&gt;C:\Users\stu\Documents\GitHub\eaglep3-reporting\EC\2017-02-18-refined-times.txt</v>
      </c>
      <c r="AI211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{"issue":{"subject":"","project_id":79,"tracker_id":40,"status_id":1,"priority_id":2,"assigned_to_id":23,"start_date":"2017-02-18","description":"","custom_fields":[{"id":1,"name":"Subdivision","value":"Other"},{"id":4,"name":"Milepost","value":"0.0131"},{"id":17,"name":"Train ID","value":"50-18"},{"id":16,"name":"Locomotive ID","value":"4005"},{"id":130,"name":"Impact","value":""},{"id":150,"name":"Time of Event (Mountain Time)","value":"11:39:00"},{"id":151,"name":"Denver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35"/>
        <v>start /low /b %USERPROFILE%\Documents\GitHub\eaglep3\Utilities\DownloadLogsFromS3.py --loco 4005 --day 2017-02-18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"%USERPROFILE%\AppData\Local\Temp\OnboardLogs"\RTDC4005\*4005*20170218* | grep -SE "(Enforcement Action)|(\[TIMEOUT)|(CHR.+\|PRM\|1\|D.+(SWITCH|SIGNAL).+UNKNOWN)" - &gt;&gt; 2017-02-18-UncaughtWiMAX.txt</v>
      </c>
    </row>
    <row r="212" spans="1:40" x14ac:dyDescent="0.25">
      <c r="A212" s="33" t="s">
        <v>582</v>
      </c>
      <c r="B212" s="7">
        <v>4006</v>
      </c>
      <c r="C212" s="21" t="s">
        <v>680</v>
      </c>
      <c r="D212" s="21" t="s">
        <v>808</v>
      </c>
      <c r="E212" s="13">
        <v>42784.498761574076</v>
      </c>
      <c r="F212" s="13">
        <v>42784.500833333332</v>
      </c>
      <c r="G212" s="7">
        <v>2</v>
      </c>
      <c r="H212" s="21" t="s">
        <v>809</v>
      </c>
      <c r="I212" s="13">
        <v>42784.506342592591</v>
      </c>
      <c r="J212" s="7">
        <v>0</v>
      </c>
      <c r="K212" s="98" t="str">
        <f t="shared" si="121"/>
        <v>4005/4006</v>
      </c>
      <c r="L212" s="21" t="str">
        <f>VLOOKUP(A212,'Trips&amp;Operators'!$C$1:$G$99999,5,FALSE)</f>
        <v>LOZA FIDEL</v>
      </c>
      <c r="M212" s="6">
        <f t="shared" si="122"/>
        <v>5.5092592592700385E-3</v>
      </c>
      <c r="N212" s="7">
        <f t="shared" si="128"/>
        <v>7.9333333333488554</v>
      </c>
      <c r="O212" s="7"/>
      <c r="P212" s="7"/>
      <c r="Q212" s="22"/>
      <c r="R212" s="22"/>
      <c r="S212" s="31">
        <f t="shared" si="129"/>
        <v>0</v>
      </c>
      <c r="T212" s="46" t="e">
        <f t="shared" si="123"/>
        <v>#VALUE!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7" t="str">
        <f t="shared" si="130"/>
        <v>https://d0f6bd738d7f1b3e5a7ca70fe4ff75f0.us-east-1.aws.found.io/app/kibana#/discover/Steve-Slow-Train-Analysis-(2080s-and-2083s)?_g=(refreshInterval:(display:Off,pause:!f,section:0,value:0),time:(from:'2017-02-18T10:58:13-0700',mode:absolute,to:'2017-02-18T13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2" s="188" t="str">
        <f t="shared" si="124"/>
        <v>Y</v>
      </c>
      <c r="X212" s="188" t="e">
        <f t="shared" si="120"/>
        <v>#VALUE!</v>
      </c>
      <c r="Y212" s="62">
        <f t="shared" si="118"/>
        <v>4.2099999999999999E-2</v>
      </c>
      <c r="Z212" s="62">
        <f t="shared" si="119"/>
        <v>2.4264999999999999</v>
      </c>
      <c r="AA212" s="62">
        <f t="shared" si="125"/>
        <v>2.3843999999999999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126"/>
        <v>51-18</v>
      </c>
      <c r="AE212" s="85" t="str">
        <f t="shared" si="131"/>
        <v>aws s3 cp s3://rtdc.mdm.uploadarchive.raw/RTDC4006/ "%USERPROFILE%\AppData\Local\Temp\OnboardLogs"\RTDC4006\2017-02-18 --exclude "*" --recursive --include "*20170218*" &amp; "%USERPROFILE%\Documents\GitHub\mrs-test-scripts\Headless Mode &amp; Sideloading\WalkAndUnGZ.bat" "%USERPROFILE%\AppData\Local\Temp\OnboardLogs"\RTDC4006\2017-02-18 &amp; 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</v>
      </c>
      <c r="AF212" s="82" t="str">
        <f t="shared" si="132"/>
        <v>"C:\Program Files (x86)\AstroGrep\AstroGrep.exe" /spath="%USERPROFILE%\AppData\Local\Temp\OnboardLogs" /stypes="app*4006*20170218*" /stext=" 19:.+((SYSTEM_STATE.+slice.+state.+changed )|(ment ac)|(multiple cpu faults)|(system.+state.+changed )|(\[timeout)|(PRM\|1\|D)|(kpr)|(kdp)|(\|lc)|(penalty))" /e /r /s</v>
      </c>
      <c r="AG212" s="1" t="str">
        <f t="shared" si="127"/>
        <v>Other</v>
      </c>
      <c r="AH212" s="86" t="str">
        <f t="shared" si="133"/>
        <v>"%USERPROFILE%\Documents\GitHub\eaglep3\Utilities\RefineRTDCRunTimes.py" --tripid 51-18 --locoid 4006 --swversion DE.1.0.9.0 --startMP 204:421 --initTime 2017-02-18T11:58:13 --startdatetime 2017-02-18T12:01:12 --delay 2 --endMP 300:24265 --enddatetime 2017-02-18T12:09:08 --enforcementcount 0 &gt;&gt;C:\Users\stu\Documents\GitHub\eaglep3-reporting\EC\2017-02-18-refined-times.txt</v>
      </c>
      <c r="AI212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{"issue":{"subject":"","project_id":79,"tracker_id":40,"status_id":1,"priority_id":2,"assigned_to_id":23,"start_date":"2017-02-18","description":"","custom_fields":[{"id":1,"name":"Subdivision","value":"Other"},{"id":4,"name":"Milepost","value":"2.4265"},{"id":17,"name":"Train ID","value":"51-18"},{"id":16,"name":"Locomotive ID","value":"4006"},{"id":130,"name":"Impact","value":""},{"id":150,"name":"Time of Event (Mountain Time)","value":"12:09:08"},{"id":151,"name":"Denver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35"/>
        <v>start /low /b %USERPROFILE%\Documents\GitHub\eaglep3\Utilities\DownloadLogsFromS3.py --loco 4006 --day 2017-02-18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"%USERPROFILE%\AppData\Local\Temp\OnboardLogs"\RTDC4006\*4006*20170218* | grep -SE "(Enforcement Action)|(\[TIMEOUT)|(CHR.+\|PRM\|1\|D.+(SWITCH|SIGNAL).+UNKNOWN)" - &gt;&gt; 2017-02-18-UncaughtWiMAX.txt</v>
      </c>
    </row>
    <row r="213" spans="1:40" x14ac:dyDescent="0.25">
      <c r="A213" s="33" t="s">
        <v>464</v>
      </c>
      <c r="B213" s="7">
        <v>4016</v>
      </c>
      <c r="C213" s="21" t="s">
        <v>680</v>
      </c>
      <c r="D213" s="21" t="s">
        <v>810</v>
      </c>
      <c r="E213" s="13">
        <v>42784.713495370372</v>
      </c>
      <c r="F213" s="13">
        <v>25568.708333333332</v>
      </c>
      <c r="G213" s="7">
        <v>1</v>
      </c>
      <c r="H213" s="21" t="s">
        <v>803</v>
      </c>
      <c r="I213" s="13">
        <v>25568.708333333332</v>
      </c>
      <c r="J213" s="7">
        <v>0</v>
      </c>
      <c r="K213" s="98" t="str">
        <f t="shared" si="121"/>
        <v>4015/4016</v>
      </c>
      <c r="L213" s="21" t="str">
        <f>VLOOKUP(A213,'Trips&amp;Operators'!$C$1:$G$99999,5,FALSE)</f>
        <v>HOLCOMB KAMDEN</v>
      </c>
      <c r="M213" s="6">
        <f t="shared" si="122"/>
        <v>0</v>
      </c>
      <c r="N213" s="7">
        <f t="shared" si="128"/>
        <v>0</v>
      </c>
      <c r="O213" s="7"/>
      <c r="P213" s="7"/>
      <c r="Q213" s="22"/>
      <c r="R213" s="22"/>
      <c r="S213" s="31">
        <f t="shared" si="129"/>
        <v>0</v>
      </c>
      <c r="T213" s="46" t="e">
        <f t="shared" si="123"/>
        <v>#VALUE!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7" t="str">
        <f t="shared" si="130"/>
        <v>https://d0f6bd738d7f1b3e5a7ca70fe4ff75f0.us-east-1.aws.found.io/app/kibana#/discover/Steve-Slow-Train-Analysis-(2080s-and-2083s)?_g=(refreshInterval:(display:Off,pause:!f,section:0,value:0),time:(from:'2017-02-18T16:07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188" t="str">
        <f t="shared" si="124"/>
        <v>Y</v>
      </c>
      <c r="X213" s="188" t="e">
        <f t="shared" si="120"/>
        <v>#VALUE!</v>
      </c>
      <c r="Y213" s="62">
        <f t="shared" si="118"/>
        <v>0.1477</v>
      </c>
      <c r="Z213" s="62">
        <f t="shared" si="119"/>
        <v>2.3308</v>
      </c>
      <c r="AA213" s="62">
        <f t="shared" si="125"/>
        <v>2.1831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126"/>
        <v>53-18</v>
      </c>
      <c r="AE213" s="85" t="str">
        <f t="shared" si="13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2" t="str">
        <f t="shared" si="13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 t="shared" si="127"/>
        <v>Other</v>
      </c>
      <c r="AH213" s="86" t="str">
        <f t="shared" si="133"/>
        <v>"%USERPROFILE%\Documents\GitHub\eaglep3\Utilities\RefineRTDCRunTimes.py" --tripid 53-18 --locoid 4016 --swversion DE.1.0.9.0 --startMP 204:1477 --initTime 2017-02-18T17:07:26 --startdatetime 1969-12-31T17:00:00 --delay 1 --endMP 300:23308 --enddatetime 1969-12-31T17:00:00 --enforcementcount 0 &gt;&gt;C:\Users\stu\Documents\GitHub\eaglep3-reporting\EC\2017-02-18-refined-times.txt</v>
      </c>
      <c r="AI213" s="108" t="str">
        <f t="shared" si="13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ID","value":"53-18"},{"id":16,"name":"Locomotive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35"/>
        <v>start /low /b %USERPROFILE%\Documents\GitHub\eaglep3\Utilities\DownloadLogsFromS3.py --loco 4016 --day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2017-02-18-UncaughtWiMAX.txt</v>
      </c>
    </row>
    <row r="214" spans="1:40" x14ac:dyDescent="0.25">
      <c r="A214" s="33" t="s">
        <v>465</v>
      </c>
      <c r="B214" s="7">
        <v>4019</v>
      </c>
      <c r="C214" s="21" t="s">
        <v>680</v>
      </c>
      <c r="D214" s="21" t="s">
        <v>811</v>
      </c>
      <c r="E214" s="13">
        <v>42784.74628472222</v>
      </c>
      <c r="F214" s="13">
        <v>42784.747534722221</v>
      </c>
      <c r="G214" s="7">
        <v>1</v>
      </c>
      <c r="H214" s="21" t="s">
        <v>812</v>
      </c>
      <c r="I214" s="13">
        <v>42784.755439814813</v>
      </c>
      <c r="J214" s="7">
        <v>0</v>
      </c>
      <c r="K214" s="98" t="str">
        <f t="shared" si="121"/>
        <v>4019/4020</v>
      </c>
      <c r="L214" s="21" t="str">
        <f>VLOOKUP(A214,'Trips&amp;Operators'!$C$1:$G$99999,5,FALSE)</f>
        <v>SAFIEF AEIMEN</v>
      </c>
      <c r="M214" s="6">
        <f t="shared" si="122"/>
        <v>7.9050925924093463E-3</v>
      </c>
      <c r="N214" s="7">
        <f t="shared" si="128"/>
        <v>11.383333333069459</v>
      </c>
      <c r="O214" s="7"/>
      <c r="P214" s="7"/>
      <c r="Q214" s="22"/>
      <c r="R214" s="22"/>
      <c r="S214" s="31">
        <f t="shared" si="129"/>
        <v>0</v>
      </c>
      <c r="T214" s="46" t="e">
        <f t="shared" si="123"/>
        <v>#VALUE!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7" t="str">
        <f t="shared" si="130"/>
        <v>https://d0f6bd738d7f1b3e5a7ca70fe4ff75f0.us-east-1.aws.found.io/app/kibana#/discover/Steve-Slow-Train-Analysis-(2080s-and-2083s)?_g=(refreshInterval:(display:Off,pause:!f,section:0,value:0),time:(from:'2017-02-18T16:54:39-0700',mode:absolute,to:'2017-02-18T19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188" t="str">
        <f t="shared" si="124"/>
        <v>Y</v>
      </c>
      <c r="X214" s="188" t="e">
        <f t="shared" si="120"/>
        <v>#VALUE!</v>
      </c>
      <c r="Y214" s="62">
        <f t="shared" si="118"/>
        <v>2.3159999999999998</v>
      </c>
      <c r="Z214" s="62">
        <f t="shared" si="119"/>
        <v>0.44080000000000003</v>
      </c>
      <c r="AA214" s="62">
        <f t="shared" si="125"/>
        <v>1.8751999999999998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126"/>
        <v>70-18</v>
      </c>
      <c r="AE214" s="85" t="str">
        <f t="shared" si="131"/>
        <v>aws s3 cp s3://rtdc.mdm.uploadarchive.raw/RTDC4019/ "%USERPROFILE%\AppData\Local\Temp\OnboardLogs"\RTDC4019\2017-02-18 --exclude "*" --recursive --include "*20170218*" &amp; "%USERPROFILE%\Documents\GitHub\mrs-test-scripts\Headless Mode &amp; Sideloading\WalkAndUnGZ.bat" "%USERPROFILE%\AppData\Local\Temp\OnboardLogs"\RTDC4019\2017-02-18 &amp; 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</v>
      </c>
      <c r="AF214" s="82" t="str">
        <f t="shared" si="132"/>
        <v>"C:\Program Files (x86)\AstroGrep\AstroGrep.exe" /spath="%USERPROFILE%\AppData\Local\Temp\OnboardLogs" /stypes="app*4019*20170219*" /stext=" 01:.+((SYSTEM_STATE.+slice.+state.+changed )|(ment ac)|(multiple cpu faults)|(system.+state.+changed )|(\[timeout)|(PRM\|1\|D)|(kpr)|(kdp)|(\|lc)|(penalty))" /e /r /s</v>
      </c>
      <c r="AG214" s="1" t="str">
        <f t="shared" si="127"/>
        <v>Other</v>
      </c>
      <c r="AH214" s="86" t="str">
        <f t="shared" si="133"/>
        <v>"%USERPROFILE%\Documents\GitHub\eaglep3\Utilities\RefineRTDCRunTimes.py" --tripid 70-18 --locoid 4019 --swversion DE.1.0.9.0 --startMP 300:23160 --initTime 2017-02-18T17:54:39 --startdatetime 2017-02-18T17:56:27 --delay 1 --endMP 204:4408 --enddatetime 2017-02-18T18:07:50 --enforcementcount 0 &gt;&gt;C:\Users\stu\Documents\GitHub\eaglep3-reporting\EC\2017-02-18-refined-times.txt</v>
      </c>
      <c r="AI214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{"issue":{"subject":"","project_id":79,"tracker_id":40,"status_id":1,"priority_id":2,"assigned_to_id":23,"start_date":"2017-02-18","description":"","custom_fields":[{"id":1,"name":"Subdivision","value":"Other"},{"id":4,"name":"Milepost","value":"0.4408"},{"id":17,"name":"Train ID","value":"70-18"},{"id":16,"name":"Locomotive ID","value":"4019"},{"id":130,"name":"Impact","value":""},{"id":150,"name":"Time of Event (Mountain Time)","value":"18:07:50"},{"id":151,"name":"Denver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35"/>
        <v>start /low /b %USERPROFILE%\Documents\GitHub\eaglep3\Utilities\DownloadLogsFromS3.py --loco 4019 --day 2017-02-18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"%USERPROFILE%\AppData\Local\Temp\OnboardLogs"\RTDC4019\*4019*20170219* | grep -SE "(Enforcement Action)|(\[TIMEOUT)|(CHR.+\|PRM\|1\|D.+(SWITCH|SIGNAL).+UNKNOWN)" - &gt;&gt; 2017-02-18-UncaughtWiMAX.txt</v>
      </c>
    </row>
    <row r="215" spans="1:40" x14ac:dyDescent="0.25">
      <c r="A215" s="33" t="s">
        <v>497</v>
      </c>
      <c r="B215" s="7">
        <v>4009</v>
      </c>
      <c r="C215" s="21" t="s">
        <v>680</v>
      </c>
      <c r="D215" s="21" t="s">
        <v>813</v>
      </c>
      <c r="E215" s="13">
        <v>42784.133969907409</v>
      </c>
      <c r="F215" s="13">
        <v>42784.141724537039</v>
      </c>
      <c r="G215" s="7">
        <v>1</v>
      </c>
      <c r="H215" s="21" t="s">
        <v>814</v>
      </c>
      <c r="I215" s="13">
        <v>42784.156192129631</v>
      </c>
      <c r="J215" s="7">
        <v>0</v>
      </c>
      <c r="K215" s="98" t="str">
        <f t="shared" si="121"/>
        <v>4009/4010</v>
      </c>
      <c r="L215" s="21" t="str">
        <f>VLOOKUP(A215,'Trips&amp;Operators'!$C$1:$G$99999,5,FALSE)</f>
        <v>SAFIEF AEIMEN</v>
      </c>
      <c r="M215" s="6">
        <f t="shared" si="122"/>
        <v>1.4467592591245193E-2</v>
      </c>
      <c r="N215" s="7">
        <f t="shared" si="128"/>
        <v>20.833333331393078</v>
      </c>
      <c r="O215" s="7"/>
      <c r="P215" s="7"/>
      <c r="Q215" s="22"/>
      <c r="R215" s="22"/>
      <c r="S215" s="31">
        <f t="shared" si="129"/>
        <v>0</v>
      </c>
      <c r="T215" s="46" t="e">
        <f t="shared" si="123"/>
        <v>#VALUE!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7" t="str">
        <f t="shared" si="130"/>
        <v>https://d0f6bd738d7f1b3e5a7ca70fe4ff75f0.us-east-1.aws.found.io/app/kibana#/discover/Steve-Slow-Train-Analysis-(2080s-and-2083s)?_g=(refreshInterval:(display:Off,pause:!f,section:0,value:0),time:(from:'2017-02-18T02:12:55-0700',mode:absolute,to:'2017-02-18T04:44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5" s="188" t="str">
        <f t="shared" si="124"/>
        <v>N</v>
      </c>
      <c r="X215" s="188" t="e">
        <f t="shared" si="120"/>
        <v>#VALUE!</v>
      </c>
      <c r="Y215" s="62">
        <f t="shared" si="118"/>
        <v>1.0481</v>
      </c>
      <c r="Z215" s="62">
        <f t="shared" si="119"/>
        <v>12.8263</v>
      </c>
      <c r="AA215" s="62">
        <f t="shared" si="125"/>
        <v>11.7782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126"/>
        <v>73-17</v>
      </c>
      <c r="AE215" s="85" t="str">
        <f t="shared" si="131"/>
        <v>aws s3 cp s3://rtdc.mdm.uploadarchive.raw/RTDC4009/ "%USERPROFILE%\AppData\Local\Temp\OnboardLogs"\RTDC4009\2017-02-18 --exclude "*" --recursive --include "*20170218*" &amp; "%USERPROFILE%\Documents\GitHub\mrs-test-scripts\Headless Mode &amp; Sideloading\WalkAndUnGZ.bat" "%USERPROFILE%\AppData\Local\Temp\OnboardLogs"\RTDC4009\2017-02-18 &amp; 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</v>
      </c>
      <c r="AF215" s="82" t="str">
        <f t="shared" si="132"/>
        <v>"C:\Program Files (x86)\AstroGrep\AstroGrep.exe" /spath="%USERPROFILE%\AppData\Local\Temp\OnboardLogs" /stypes="app*4009*20170218*" /stext=" 10:.+((SYSTEM_STATE.+slice.+state.+changed )|(ment ac)|(multiple cpu faults)|(system.+state.+changed )|(\[timeout)|(PRM\|1\|D)|(kpr)|(kdp)|(\|lc)|(penalty))" /e /r /s</v>
      </c>
      <c r="AG215" s="1" t="str">
        <f t="shared" si="127"/>
        <v>Other</v>
      </c>
      <c r="AH215" s="86" t="str">
        <f t="shared" si="133"/>
        <v>"%USERPROFILE%\Documents\GitHub\eaglep3\Utilities\RefineRTDCRunTimes.py" --tripid 73-17 --locoid 4009 --swversion DE.1.0.9.0 --startMP 204:10481 --initTime 2017-02-18T03:12:55 --startdatetime 2017-02-18T03:24:05 --delay 1 --endMP 204:128263 --enddatetime 2017-02-18T03:44:55 --enforcementcount 0 &gt;&gt;C:\Users\stu\Documents\GitHub\eaglep3-reporting\EC\2017-02-18-refined-times.txt</v>
      </c>
      <c r="AI215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{"issue":{"subject":"","project_id":79,"tracker_id":40,"status_id":1,"priority_id":2,"assigned_to_id":23,"start_date":"2017-02-18","description":"","custom_fields":[{"id":1,"name":"Subdivision","value":"Other"},{"id":4,"name":"Milepost","value":"12.8263"},{"id":17,"name":"Train ID","value":"73-17"},{"id":16,"name":"Locomotive ID","value":"4009"},{"id":130,"name":"Impact","value":""},{"id":150,"name":"Time of Event (Mountain Time)","value":"03:44:55"},{"id":151,"name":"Denver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35"/>
        <v>start /low /b %USERPROFILE%\Documents\GitHub\eaglep3\Utilities\DownloadLogsFromS3.py --loco 4009 --day 2017-02-18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"%USERPROFILE%\AppData\Local\Temp\OnboardLogs"\RTDC4009\*4009*20170218* | grep -SE "(Enforcement Action)|(\[TIMEOUT)|(CHR.+\|PRM\|1\|D.+(SWITCH|SIGNAL).+UNKNOWN)" - &gt;&gt; 2017-02-18-UncaughtWiMAX.txt</v>
      </c>
    </row>
    <row r="216" spans="1:40" x14ac:dyDescent="0.25">
      <c r="A216" s="33" t="s">
        <v>497</v>
      </c>
      <c r="B216" s="7">
        <v>4009</v>
      </c>
      <c r="C216" s="21" t="s">
        <v>680</v>
      </c>
      <c r="D216" s="21" t="s">
        <v>815</v>
      </c>
      <c r="E216" s="13">
        <v>42784.080451388887</v>
      </c>
      <c r="F216" s="13">
        <v>42784.085509259261</v>
      </c>
      <c r="G216" s="7">
        <v>2</v>
      </c>
      <c r="H216" s="21" t="s">
        <v>816</v>
      </c>
      <c r="I216" s="13">
        <v>42784.106249999997</v>
      </c>
      <c r="J216" s="7">
        <v>0</v>
      </c>
      <c r="K216" s="98" t="str">
        <f t="shared" si="121"/>
        <v>4009/4010</v>
      </c>
      <c r="L216" s="21" t="str">
        <f>VLOOKUP(A216,'Trips&amp;Operators'!$C$1:$G$99999,5,FALSE)</f>
        <v>SAFIEF AEIMEN</v>
      </c>
      <c r="M216" s="6">
        <f t="shared" si="122"/>
        <v>2.0740740736073349E-2</v>
      </c>
      <c r="N216" s="7">
        <f t="shared" si="128"/>
        <v>29.866666659945622</v>
      </c>
      <c r="O216" s="7"/>
      <c r="P216" s="7"/>
      <c r="Q216" s="22"/>
      <c r="R216" s="22"/>
      <c r="S216" s="31">
        <f t="shared" si="129"/>
        <v>0</v>
      </c>
      <c r="T216" s="46" t="e">
        <f t="shared" si="123"/>
        <v>#VALUE!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7" t="str">
        <f t="shared" si="130"/>
        <v>https://d0f6bd738d7f1b3e5a7ca70fe4ff75f0.us-east-1.aws.found.io/app/kibana#/discover/Steve-Slow-Train-Analysis-(2080s-and-2083s)?_g=(refreshInterval:(display:Off,pause:!f,section:0,value:0),time:(from:'2017-02-18T00:55:51-0700',mode:absolute,to:'2017-02-18T03:33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6" s="188" t="str">
        <f t="shared" si="124"/>
        <v>N</v>
      </c>
      <c r="X216" s="188" t="e">
        <f t="shared" si="120"/>
        <v>#VALUE!</v>
      </c>
      <c r="Y216" s="62">
        <f t="shared" si="118"/>
        <v>0.12529999999999999</v>
      </c>
      <c r="Z216" s="62">
        <f t="shared" si="119"/>
        <v>14.968299999999999</v>
      </c>
      <c r="AA216" s="62">
        <f t="shared" si="125"/>
        <v>14.843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126"/>
        <v>73-17</v>
      </c>
      <c r="AE216" s="85" t="str">
        <f t="shared" si="131"/>
        <v>aws s3 cp s3://rtdc.mdm.uploadarchive.raw/RTDC4009/ "%USERPROFILE%\AppData\Local\Temp\OnboardLogs"\RTDC4009\2017-02-18 --exclude "*" --recursive --include "*20170218*" &amp; "%USERPROFILE%\Documents\GitHub\mrs-test-scripts\Headless Mode &amp; Sideloading\WalkAndUnGZ.bat" "%USERPROFILE%\AppData\Local\Temp\OnboardLogs"\RTDC4009\2017-02-18 &amp; 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</v>
      </c>
      <c r="AF216" s="82" t="str">
        <f t="shared" si="132"/>
        <v>"C:\Program Files (x86)\AstroGrep\AstroGrep.exe" /spath="%USERPROFILE%\AppData\Local\Temp\OnboardLogs" /stypes="app*4009*20170218*" /stext=" 09:.+((SYSTEM_STATE.+slice.+state.+changed )|(ment ac)|(multiple cpu faults)|(system.+state.+changed )|(\[timeout)|(PRM\|1\|D)|(kpr)|(kdp)|(\|lc)|(penalty))" /e /r /s</v>
      </c>
      <c r="AG216" s="1" t="str">
        <f t="shared" si="127"/>
        <v>Other</v>
      </c>
      <c r="AH216" s="86" t="str">
        <f t="shared" si="133"/>
        <v>"%USERPROFILE%\Documents\GitHub\eaglep3\Utilities\RefineRTDCRunTimes.py" --tripid 73-17 --locoid 4009 --swversion DE.1.0.9.0 --startMP 204:1253 --initTime 2017-02-18T01:55:51 --startdatetime 2017-02-18T02:03:08 --delay 2 --endMP 204:149683 --enddatetime 2017-02-18T02:33:00 --enforcementcount 0 &gt;&gt;C:\Users\stu\Documents\GitHub\eaglep3-reporting\EC\2017-02-18-refined-times.txt</v>
      </c>
      <c r="AI216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{"issue":{"subject":"","project_id":79,"tracker_id":40,"status_id":1,"priority_id":2,"assigned_to_id":23,"start_date":"2017-02-18","description":"","custom_fields":[{"id":1,"name":"Subdivision","value":"Other"},{"id":4,"name":"Milepost","value":"14.9683"},{"id":17,"name":"Train ID","value":"73-17"},{"id":16,"name":"Locomotive ID","value":"4009"},{"id":130,"name":"Impact","value":""},{"id":150,"name":"Time of Event (Mountain Time)","value":"02:33:00"},{"id":151,"name":"Denver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35"/>
        <v>start /low /b %USERPROFILE%\Documents\GitHub\eaglep3\Utilities\DownloadLogsFromS3.py --loco 4009 --day 2017-02-18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"%USERPROFILE%\AppData\Local\Temp\OnboardLogs"\RTDC4009\*4009*20170218* | grep -SE "(Enforcement Action)|(\[TIMEOUT)|(CHR.+\|PRM\|1\|D.+(SWITCH|SIGNAL).+UNKNOWN)" - &gt;&gt; 2017-02-18-UncaughtWiMAX.txt</v>
      </c>
    </row>
    <row r="217" spans="1:40" x14ac:dyDescent="0.25">
      <c r="A217" s="33" t="s">
        <v>497</v>
      </c>
      <c r="B217" s="7">
        <v>4009</v>
      </c>
      <c r="C217" s="21" t="s">
        <v>680</v>
      </c>
      <c r="D217" s="21" t="s">
        <v>817</v>
      </c>
      <c r="E217" s="13">
        <v>42784.178842592592</v>
      </c>
      <c r="F217" s="13">
        <v>25568.708333333332</v>
      </c>
      <c r="G217" s="7">
        <v>3</v>
      </c>
      <c r="H217" s="21" t="s">
        <v>805</v>
      </c>
      <c r="I217" s="13">
        <v>25568.708333333332</v>
      </c>
      <c r="J217" s="7">
        <v>0</v>
      </c>
      <c r="K217" s="98" t="str">
        <f t="shared" si="121"/>
        <v>4009/4010</v>
      </c>
      <c r="L217" s="21" t="str">
        <f>VLOOKUP(A217,'Trips&amp;Operators'!$C$1:$G$99999,5,FALSE)</f>
        <v>SAFIEF AEIMEN</v>
      </c>
      <c r="M217" s="6">
        <f t="shared" si="122"/>
        <v>0</v>
      </c>
      <c r="N217" s="7">
        <f t="shared" si="128"/>
        <v>0</v>
      </c>
      <c r="O217" s="7"/>
      <c r="P217" s="7"/>
      <c r="Q217" s="22"/>
      <c r="R217" s="22"/>
      <c r="S217" s="31">
        <f t="shared" si="129"/>
        <v>0</v>
      </c>
      <c r="T217" s="46" t="e">
        <f t="shared" si="123"/>
        <v>#VALUE!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7" t="str">
        <f t="shared" si="130"/>
        <v>https://d0f6bd738d7f1b3e5a7ca70fe4ff75f0.us-east-1.aws.found.io/app/kibana#/discover/Steve-Slow-Train-Analysis-(2080s-and-2083s)?_g=(refreshInterval:(display:Off,pause:!f,section:0,value:0),time:(from:'2017-02-18T03:17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7" s="188" t="str">
        <f t="shared" si="124"/>
        <v>Y</v>
      </c>
      <c r="X217" s="188" t="e">
        <f t="shared" si="120"/>
        <v>#VALUE!</v>
      </c>
      <c r="Y217" s="62">
        <f t="shared" si="118"/>
        <v>0.1285</v>
      </c>
      <c r="Z217" s="62">
        <f t="shared" si="119"/>
        <v>2.3311999999999999</v>
      </c>
      <c r="AA217" s="62">
        <f t="shared" ref="AA217:AA221" si="136">ABS(Z217-Y217)</f>
        <v>2.2027000000000001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126"/>
        <v>73-17</v>
      </c>
      <c r="AE217" s="85" t="str">
        <f t="shared" si="13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7" s="82" t="str">
        <f t="shared" si="13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7" s="1" t="str">
        <f t="shared" si="127"/>
        <v>Other</v>
      </c>
      <c r="AH217" s="86" t="str">
        <f t="shared" si="133"/>
        <v>"%USERPROFILE%\Documents\GitHub\eaglep3\Utilities\RefineRTDCRunTimes.py" --tripid 73-17 --locoid 4009 --swversion DE.1.0.9.0 --startMP 204:1285 --initTime 2017-02-18T04:17:32 --startdatetime 1969-12-31T17:00:00 --delay 3 --endMP 300:23312 --enddatetime 1969-12-31T17:00:00 --enforcementcount 0 &gt;&gt;C:\Users\stu\Documents\GitHub\eaglep3-reporting\EC\2017-02-18-refined-times.txt</v>
      </c>
      <c r="AI217" s="108" t="str">
        <f t="shared" si="13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ID","value":"73-17"},{"id":16,"name":"Locomotive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35"/>
        <v>start /low /b %USERPROFILE%\Documents\GitHub\eaglep3\Utilities\DownloadLogsFromS3.py --loco 4009 --day 1969-12-31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2017-02-18-UncaughtWiMAX.txt</v>
      </c>
    </row>
    <row r="218" spans="1:40" x14ac:dyDescent="0.25">
      <c r="A218" s="33" t="s">
        <v>502</v>
      </c>
      <c r="B218" s="7">
        <v>4010</v>
      </c>
      <c r="C218" s="21" t="s">
        <v>680</v>
      </c>
      <c r="D218" s="21" t="s">
        <v>818</v>
      </c>
      <c r="E218" s="13">
        <v>42784.115428240744</v>
      </c>
      <c r="F218" s="13">
        <v>42784.116550925923</v>
      </c>
      <c r="G218" s="7">
        <v>1</v>
      </c>
      <c r="H218" s="21" t="s">
        <v>819</v>
      </c>
      <c r="I218" s="13">
        <v>42784.13175925926</v>
      </c>
      <c r="J218" s="7">
        <v>0</v>
      </c>
      <c r="K218" s="98" t="str">
        <f t="shared" si="121"/>
        <v>4009/4010</v>
      </c>
      <c r="L218" s="21" t="str">
        <f>VLOOKUP(A218,'Trips&amp;Operators'!$C$1:$G$99999,5,FALSE)</f>
        <v>SAFIEF AEIMEN</v>
      </c>
      <c r="M218" s="6">
        <f t="shared" si="122"/>
        <v>1.5208333337795921E-2</v>
      </c>
      <c r="N218" s="7">
        <f t="shared" si="128"/>
        <v>21.900000006426126</v>
      </c>
      <c r="O218" s="7"/>
      <c r="P218" s="7"/>
      <c r="Q218" s="22"/>
      <c r="R218" s="22"/>
      <c r="S218" s="31">
        <f t="shared" si="129"/>
        <v>0</v>
      </c>
      <c r="T218" s="46" t="e">
        <f t="shared" si="123"/>
        <v>#VALUE!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7" t="str">
        <f t="shared" si="130"/>
        <v>https://d0f6bd738d7f1b3e5a7ca70fe4ff75f0.us-east-1.aws.found.io/app/kibana#/discover/Steve-Slow-Train-Analysis-(2080s-and-2083s)?_g=(refreshInterval:(display:Off,pause:!f,section:0,value:0),time:(from:'2017-02-18T01:46:13-0700',mode:absolute,to:'2017-02-18T04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8" s="188" t="str">
        <f t="shared" si="124"/>
        <v>N</v>
      </c>
      <c r="X218" s="188" t="e">
        <f t="shared" si="120"/>
        <v>#VALUE!</v>
      </c>
      <c r="Y218" s="62">
        <f t="shared" si="118"/>
        <v>12.787100000000001</v>
      </c>
      <c r="Z218" s="62">
        <f t="shared" si="119"/>
        <v>1.0250999999999999</v>
      </c>
      <c r="AA218" s="62">
        <f t="shared" si="136"/>
        <v>11.762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126"/>
        <v>74-17</v>
      </c>
      <c r="AE218" s="85" t="str">
        <f t="shared" si="131"/>
        <v>aws s3 cp s3://rtdc.mdm.uploadarchive.raw/RTDC4010/ "%USERPROFILE%\AppData\Local\Temp\OnboardLogs"\RTDC4010\2017-02-18 --exclude "*" --recursive --include "*20170218*" &amp; "%USERPROFILE%\Documents\GitHub\mrs-test-scripts\Headless Mode &amp; Sideloading\WalkAndUnGZ.bat" "%USERPROFILE%\AppData\Local\Temp\OnboardLogs"\RTDC4010\2017-02-18 &amp; aws s3 cp s3://rtdc.mdm.uploadarchive.raw/RTDC4010/ "%USERPROFILE%\AppData\Local\Temp\OnboardLogs"\RTDC4010\2017-02-19 --exclude "*" --recursive --include "*20170219*" &amp; "%USERPROFILE%\Documents\GitHub\mrs-test-scripts\Headless Mode &amp; Sideloading\WalkAndUnGZ.bat" "%USERPROFILE%\AppData\Local\Temp\OnboardLogs"\RTDC4010\2017-02-19</v>
      </c>
      <c r="AF218" s="82" t="str">
        <f t="shared" si="132"/>
        <v>"C:\Program Files (x86)\AstroGrep\AstroGrep.exe" /spath="%USERPROFILE%\AppData\Local\Temp\OnboardLogs" /stypes="app*4010*20170218*" /stext=" 10:.+((SYSTEM_STATE.+slice.+state.+changed )|(ment ac)|(multiple cpu faults)|(system.+state.+changed )|(\[timeout)|(PRM\|1\|D)|(kpr)|(kdp)|(\|lc)|(penalty))" /e /r /s</v>
      </c>
      <c r="AG218" s="1" t="str">
        <f t="shared" si="127"/>
        <v>Other</v>
      </c>
      <c r="AH218" s="86" t="str">
        <f t="shared" si="133"/>
        <v>"%USERPROFILE%\Documents\GitHub\eaglep3\Utilities\RefineRTDCRunTimes.py" --tripid 74-17 --locoid 4010 --swversion DE.1.0.9.0 --startMP 204:127871 --initTime 2017-02-18T02:46:13 --startdatetime 2017-02-18T02:47:50 --delay 1 --endMP 204:10251 --enddatetime 2017-02-18T03:09:44 --enforcementcount 0 &gt;&gt;C:\Users\stu\Documents\GitHub\eaglep3-reporting\EC\2017-02-18-refined-times.txt</v>
      </c>
      <c r="AI218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{"issue":{"subject":"","project_id":79,"tracker_id":40,"status_id":1,"priority_id":2,"assigned_to_id":23,"start_date":"2017-02-18","description":"","custom_fields":[{"id":1,"name":"Subdivision","value":"Other"},{"id":4,"name":"Milepost","value":"1.0251"},{"id":17,"name":"Train ID","value":"74-17"},{"id":16,"name":"Locomotive ID","value":"4010"},{"id":130,"name":"Impact","value":""},{"id":150,"name":"Time of Event (Mountain Time)","value":"03:09:44"},{"id":151,"name":"Denver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135"/>
        <v>start /low /b %USERPROFILE%\Documents\GitHub\eaglep3\Utilities\DownloadLogsFromS3.py --loco 4010 --day 2017-02-18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"%USERPROFILE%\AppData\Local\Temp\OnboardLogs"\RTDC4010\*4010*20170218* | grep -SE "(Enforcement Action)|(\[TIMEOUT)|(CHR.+\|PRM\|1\|D.+(SWITCH|SIGNAL).+UNKNOWN)" - &gt;&gt; 2017-02-18-UncaughtWiMAX.txt</v>
      </c>
    </row>
    <row r="219" spans="1:40" x14ac:dyDescent="0.25">
      <c r="A219" s="33" t="s">
        <v>502</v>
      </c>
      <c r="B219" s="7">
        <v>4010</v>
      </c>
      <c r="C219" s="21" t="s">
        <v>680</v>
      </c>
      <c r="D219" s="21" t="s">
        <v>820</v>
      </c>
      <c r="E219" s="13">
        <v>42784.157395833332</v>
      </c>
      <c r="F219" s="13">
        <v>42784.158888888887</v>
      </c>
      <c r="G219" s="7">
        <v>1</v>
      </c>
      <c r="H219" s="21" t="s">
        <v>821</v>
      </c>
      <c r="I219" s="13">
        <v>42784.176446759258</v>
      </c>
      <c r="J219" s="7">
        <v>0</v>
      </c>
      <c r="K219" s="98" t="str">
        <f t="shared" si="121"/>
        <v>4009/4010</v>
      </c>
      <c r="L219" s="21" t="str">
        <f>VLOOKUP(A219,'Trips&amp;Operators'!$C$1:$G$99999,5,FALSE)</f>
        <v>SAFIEF AEIMEN</v>
      </c>
      <c r="M219" s="6">
        <f t="shared" si="122"/>
        <v>1.7557870371092577E-2</v>
      </c>
      <c r="N219" s="7">
        <f t="shared" si="128"/>
        <v>25.28333333437331</v>
      </c>
      <c r="O219" s="7"/>
      <c r="P219" s="7"/>
      <c r="Q219" s="22"/>
      <c r="R219" s="22"/>
      <c r="S219" s="31">
        <f t="shared" si="129"/>
        <v>0</v>
      </c>
      <c r="T219" s="46" t="e">
        <f t="shared" si="123"/>
        <v>#VALUE!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7" t="str">
        <f t="shared" si="130"/>
        <v>https://d0f6bd738d7f1b3e5a7ca70fe4ff75f0.us-east-1.aws.found.io/app/kibana#/discover/Steve-Slow-Train-Analysis-(2080s-and-2083s)?_g=(refreshInterval:(display:Off,pause:!f,section:0,value:0),time:(from:'2017-02-18T02:46:39-0700',mode:absolute,to:'2017-02-18T05:14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9" s="188" t="str">
        <f t="shared" si="124"/>
        <v>N</v>
      </c>
      <c r="X219" s="188" t="e">
        <f t="shared" si="120"/>
        <v>#VALUE!</v>
      </c>
      <c r="Y219" s="62">
        <f t="shared" si="118"/>
        <v>12.800800000000001</v>
      </c>
      <c r="Z219" s="62">
        <f t="shared" si="119"/>
        <v>9.8400000000000001E-2</v>
      </c>
      <c r="AA219" s="62">
        <f t="shared" si="136"/>
        <v>12.702400000000001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126"/>
        <v>74-17</v>
      </c>
      <c r="AE219" s="85" t="str">
        <f t="shared" si="131"/>
        <v>aws s3 cp s3://rtdc.mdm.uploadarchive.raw/RTDC4010/ "%USERPROFILE%\AppData\Local\Temp\OnboardLogs"\RTDC4010\2017-02-18 --exclude "*" --recursive --include "*20170218*" &amp; "%USERPROFILE%\Documents\GitHub\mrs-test-scripts\Headless Mode &amp; Sideloading\WalkAndUnGZ.bat" "%USERPROFILE%\AppData\Local\Temp\OnboardLogs"\RTDC4010\2017-02-18 &amp; aws s3 cp s3://rtdc.mdm.uploadarchive.raw/RTDC4010/ "%USERPROFILE%\AppData\Local\Temp\OnboardLogs"\RTDC4010\2017-02-19 --exclude "*" --recursive --include "*20170219*" &amp; "%USERPROFILE%\Documents\GitHub\mrs-test-scripts\Headless Mode &amp; Sideloading\WalkAndUnGZ.bat" "%USERPROFILE%\AppData\Local\Temp\OnboardLogs"\RTDC4010\2017-02-19</v>
      </c>
      <c r="AF219" s="82" t="str">
        <f t="shared" si="132"/>
        <v>"C:\Program Files (x86)\AstroGrep\AstroGrep.exe" /spath="%USERPROFILE%\AppData\Local\Temp\OnboardLogs" /stypes="app*4010*20170218*" /stext=" 11:.+((SYSTEM_STATE.+slice.+state.+changed )|(ment ac)|(multiple cpu faults)|(system.+state.+changed )|(\[timeout)|(PRM\|1\|D)|(kpr)|(kdp)|(\|lc)|(penalty))" /e /r /s</v>
      </c>
      <c r="AG219" s="1" t="str">
        <f t="shared" si="127"/>
        <v>Other</v>
      </c>
      <c r="AH219" s="86" t="str">
        <f t="shared" si="133"/>
        <v>"%USERPROFILE%\Documents\GitHub\eaglep3\Utilities\RefineRTDCRunTimes.py" --tripid 74-17 --locoid 4010 --swversion DE.1.0.9.0 --startMP 204:128008 --initTime 2017-02-18T03:46:39 --startdatetime 2017-02-18T03:48:48 --delay 1 --endMP 204:984 --enddatetime 2017-02-18T04:14:05 --enforcementcount 0 &gt;&gt;C:\Users\stu\Documents\GitHub\eaglep3-reporting\EC\2017-02-18-refined-times.txt</v>
      </c>
      <c r="AI219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{"issue":{"subject":"","project_id":79,"tracker_id":40,"status_id":1,"priority_id":2,"assigned_to_id":23,"start_date":"2017-02-18","description":"","custom_fields":[{"id":1,"name":"Subdivision","value":"Other"},{"id":4,"name":"Milepost","value":"0.0984"},{"id":17,"name":"Train ID","value":"74-17"},{"id":16,"name":"Locomotive ID","value":"4010"},{"id":130,"name":"Impact","value":""},{"id":150,"name":"Time of Event (Mountain Time)","value":"04:14:05"},{"id":151,"name":"Denver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35"/>
        <v>start /low /b %USERPROFILE%\Documents\GitHub\eaglep3\Utilities\DownloadLogsFromS3.py --loco 4010 --day 2017-02-18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"%USERPROFILE%\AppData\Local\Temp\OnboardLogs"\RTDC4010\*4010*20170218* | grep -SE "(Enforcement Action)|(\[TIMEOUT)|(CHR.+\|PRM\|1\|D.+(SWITCH|SIGNAL).+UNKNOWN)" - &gt;&gt; 2017-02-18-UncaughtWiMAX.txt</v>
      </c>
    </row>
    <row r="220" spans="1:40" x14ac:dyDescent="0.25">
      <c r="A220" s="33" t="s">
        <v>641</v>
      </c>
      <c r="B220" s="7">
        <v>4006</v>
      </c>
      <c r="C220" s="21" t="s">
        <v>680</v>
      </c>
      <c r="D220" s="21" t="s">
        <v>261</v>
      </c>
      <c r="E220" s="13">
        <v>42784.762245370373</v>
      </c>
      <c r="F220" s="13">
        <v>42784.764050925929</v>
      </c>
      <c r="G220" s="7">
        <v>1</v>
      </c>
      <c r="H220" s="21" t="s">
        <v>300</v>
      </c>
      <c r="I220" s="13">
        <v>42784.770358796297</v>
      </c>
      <c r="J220" s="7">
        <v>0</v>
      </c>
      <c r="K220" s="98" t="str">
        <f t="shared" si="121"/>
        <v>4005/4006</v>
      </c>
      <c r="L220" s="21" t="str">
        <f>VLOOKUP(A220,'Trips&amp;Operators'!$C$1:$G$99999,5,FALSE)</f>
        <v>DAVIS MICHAEL</v>
      </c>
      <c r="M220" s="6">
        <f t="shared" si="122"/>
        <v>6.3078703678911552E-3</v>
      </c>
      <c r="N220" s="7">
        <f t="shared" si="128"/>
        <v>9.0833333297632635</v>
      </c>
      <c r="O220" s="7"/>
      <c r="P220" s="7"/>
      <c r="Q220" s="22"/>
      <c r="R220" s="22"/>
      <c r="S220" s="31">
        <f t="shared" si="129"/>
        <v>0</v>
      </c>
      <c r="T220" s="46" t="e">
        <f t="shared" si="123"/>
        <v>#VALUE!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7" t="str">
        <f t="shared" si="130"/>
        <v>https://d0f6bd738d7f1b3e5a7ca70fe4ff75f0.us-east-1.aws.found.io/app/kibana#/discover/Steve-Slow-Train-Analysis-(2080s-and-2083s)?_g=(refreshInterval:(display:Off,pause:!f,section:0,value:0),time:(from:'2017-02-18T17:17:38-0700',mode:absolute,to:'2017-02-18T19:29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0" s="188" t="str">
        <f t="shared" si="124"/>
        <v>Y</v>
      </c>
      <c r="X220" s="188" t="e">
        <f t="shared" si="120"/>
        <v>#VALUE!</v>
      </c>
      <c r="Y220" s="62">
        <f t="shared" si="118"/>
        <v>4.4600000000000001E-2</v>
      </c>
      <c r="Z220" s="62">
        <f t="shared" si="119"/>
        <v>2.3346</v>
      </c>
      <c r="AA220" s="62">
        <f t="shared" si="136"/>
        <v>2.29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126"/>
        <v>75-18</v>
      </c>
      <c r="AE220" s="85" t="str">
        <f t="shared" si="131"/>
        <v>aws s3 cp s3://rtdc.mdm.uploadarchive.raw/RTDC4006/ "%USERPROFILE%\AppData\Local\Temp\OnboardLogs"\RTDC4006\2017-02-18 --exclude "*" --recursive --include "*20170218*" &amp; "%USERPROFILE%\Documents\GitHub\mrs-test-scripts\Headless Mode &amp; Sideloading\WalkAndUnGZ.bat" "%USERPROFILE%\AppData\Local\Temp\OnboardLogs"\RTDC4006\2017-02-18 &amp; aws s3 cp s3://rtdc.mdm.uploadarchive.raw/RTDC4006/ "%USERPROFILE%\AppData\Local\Temp\OnboardLogs"\RTDC4006\2017-02-19 --exclude "*" --recursive --include "*20170219*" &amp; "%USERPROFILE%\Documents\GitHub\mrs-test-scripts\Headless Mode &amp; Sideloading\WalkAndUnGZ.bat" "%USERPROFILE%\AppData\Local\Temp\OnboardLogs"\RTDC4006\2017-02-19</v>
      </c>
      <c r="AF220" s="82" t="str">
        <f t="shared" si="132"/>
        <v>"C:\Program Files (x86)\AstroGrep\AstroGrep.exe" /spath="%USERPROFILE%\AppData\Local\Temp\OnboardLogs" /stypes="app*4006*20170219*" /stext=" 01:.+((SYSTEM_STATE.+slice.+state.+changed )|(ment ac)|(multiple cpu faults)|(system.+state.+changed )|(\[timeout)|(PRM\|1\|D)|(kpr)|(kdp)|(\|lc)|(penalty))" /e /r /s</v>
      </c>
      <c r="AG220" s="1" t="str">
        <f t="shared" si="127"/>
        <v>Other</v>
      </c>
      <c r="AH220" s="86" t="str">
        <f t="shared" si="133"/>
        <v>"%USERPROFILE%\Documents\GitHub\eaglep3\Utilities\RefineRTDCRunTimes.py" --tripid 75-18 --locoid 4006 --swversion DE.1.0.9.0 --startMP 204:446 --initTime 2017-02-18T18:17:38 --startdatetime 2017-02-18T18:20:14 --delay 1 --endMP 300:23346 --enddatetime 2017-02-18T18:29:19 --enforcementcount 0 &gt;&gt;C:\Users\stu\Documents\GitHub\eaglep3-reporting\EC\2017-02-18-refined-times.txt</v>
      </c>
      <c r="AI220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{"issue":{"subject":"","project_id":79,"tracker_id":40,"status_id":1,"priority_id":2,"assigned_to_id":23,"start_date":"2017-02-18","description":"","custom_fields":[{"id":1,"name":"Subdivision","value":"Other"},{"id":4,"name":"Milepost","value":"2.3346"},{"id":17,"name":"Train ID","value":"75-18"},{"id":16,"name":"Locomotive ID","value":"4006"},{"id":130,"name":"Impact","value":""},{"id":150,"name":"Time of Event (Mountain Time)","value":"18:29:19"},{"id":151,"name":"Denver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35"/>
        <v>start /low /b %USERPROFILE%\Documents\GitHub\eaglep3\Utilities\DownloadLogsFromS3.py --loco 4006 --day 2017-02-18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"%USERPROFILE%\AppData\Local\Temp\OnboardLogs"\RTDC4006\*4006*20170219* | grep -SE "(Enforcement Action)|(\[TIMEOUT)|(CHR.+\|PRM\|1\|D.+(SWITCH|SIGNAL).+UNKNOWN)" - &gt;&gt; 2017-02-18-UncaughtWiMAX.txt</v>
      </c>
    </row>
    <row r="221" spans="1:40" x14ac:dyDescent="0.25">
      <c r="A221" s="33" t="s">
        <v>637</v>
      </c>
      <c r="B221" s="7">
        <v>4005</v>
      </c>
      <c r="C221" s="21" t="s">
        <v>680</v>
      </c>
      <c r="D221" s="21" t="s">
        <v>822</v>
      </c>
      <c r="E221" s="13">
        <v>42784.736145833333</v>
      </c>
      <c r="F221" s="13">
        <v>42784.737500000003</v>
      </c>
      <c r="G221" s="7">
        <v>1</v>
      </c>
      <c r="H221" s="21" t="s">
        <v>823</v>
      </c>
      <c r="I221" s="13">
        <v>42784.744583333333</v>
      </c>
      <c r="J221" s="7">
        <v>0</v>
      </c>
      <c r="K221" s="98" t="str">
        <f t="shared" si="121"/>
        <v>4005/4006</v>
      </c>
      <c r="L221" s="21" t="str">
        <f>VLOOKUP(A221,'Trips&amp;Operators'!$C$1:$G$99999,5,FALSE)</f>
        <v>STAMBAUGH JAMES</v>
      </c>
      <c r="M221" s="6">
        <f t="shared" si="122"/>
        <v>7.0833333302289248E-3</v>
      </c>
      <c r="N221" s="7">
        <f t="shared" si="128"/>
        <v>10.199999995529652</v>
      </c>
      <c r="O221" s="7"/>
      <c r="P221" s="7"/>
      <c r="Q221" s="22"/>
      <c r="R221" s="22"/>
      <c r="S221" s="31">
        <f t="shared" si="129"/>
        <v>0</v>
      </c>
      <c r="T221" s="46" t="e">
        <f t="shared" si="123"/>
        <v>#VALUE!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7" t="str">
        <f t="shared" si="130"/>
        <v>https://d0f6bd738d7f1b3e5a7ca70fe4ff75f0.us-east-1.aws.found.io/app/kibana#/discover/Steve-Slow-Train-Analysis-(2080s-and-2083s)?_g=(refreshInterval:(display:Off,pause:!f,section:0,value:0),time:(from:'2017-02-18T16:40:03-0700',mode:absolute,to:'2017-02-18T18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1" s="188" t="str">
        <f t="shared" si="124"/>
        <v>Y</v>
      </c>
      <c r="X221" s="188" t="e">
        <f t="shared" si="120"/>
        <v>#VALUE!</v>
      </c>
      <c r="Y221" s="62">
        <f t="shared" si="118"/>
        <v>2.3855</v>
      </c>
      <c r="Z221" s="62">
        <f t="shared" si="119"/>
        <v>1.6199999999999999E-2</v>
      </c>
      <c r="AA221" s="62">
        <f t="shared" si="136"/>
        <v>2.3693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126"/>
        <v>82-18</v>
      </c>
      <c r="AE221" s="85" t="str">
        <f t="shared" si="131"/>
        <v>aws s3 cp s3://rtdc.mdm.uploadarchive.raw/RTDC4005/ "%USERPROFILE%\AppData\Local\Temp\OnboardLogs"\RTDC4005\2017-02-18 --exclude "*" --recursive --include "*20170218*" &amp; "%USERPROFILE%\Documents\GitHub\mrs-test-scripts\Headless Mode &amp; Sideloading\WalkAndUnGZ.bat" "%USERPROFILE%\AppData\Local\Temp\OnboardLogs"\RTDC4005\2017-02-18 &amp; aws s3 cp s3://rtdc.mdm.uploadarchive.raw/RTDC4005/ "%USERPROFILE%\AppData\Local\Temp\OnboardLogs"\RTDC4005\2017-02-19 --exclude "*" --recursive --include "*20170219*" &amp; "%USERPROFILE%\Documents\GitHub\mrs-test-scripts\Headless Mode &amp; Sideloading\WalkAndUnGZ.bat" "%USERPROFILE%\AppData\Local\Temp\OnboardLogs"\RTDC4005\2017-02-19</v>
      </c>
      <c r="AF221" s="82" t="str">
        <f t="shared" si="132"/>
        <v>"C:\Program Files (x86)\AstroGrep\AstroGrep.exe" /spath="%USERPROFILE%\AppData\Local\Temp\OnboardLogs" /stypes="app*4005*20170219*" /stext=" 00:.+((SYSTEM_STATE.+slice.+state.+changed )|(ment ac)|(multiple cpu faults)|(system.+state.+changed )|(\[timeout)|(PRM\|1\|D)|(kpr)|(kdp)|(\|lc)|(penalty))" /e /r /s</v>
      </c>
      <c r="AG221" s="1" t="str">
        <f t="shared" si="127"/>
        <v>Other</v>
      </c>
      <c r="AH221" s="86" t="str">
        <f t="shared" si="133"/>
        <v>"%USERPROFILE%\Documents\GitHub\eaglep3\Utilities\RefineRTDCRunTimes.py" --tripid 82-18 --locoid 4005 --swversion DE.1.0.9.0 --startMP 300:23855 --initTime 2017-02-18T17:40:03 --startdatetime 2017-02-18T17:42:00 --delay 1 --endMP 204:162 --enddatetime 2017-02-18T17:52:12 --enforcementcount 0 &gt;&gt;C:\Users\stu\Documents\GitHub\eaglep3-reporting\EC\2017-02-18-refined-times.txt</v>
      </c>
      <c r="AI221" s="108" t="str">
        <f t="shared" si="134"/>
        <v>echo {"issue":{"subject":"","project_id":79,"tracker_id":40,"status_id":1,"priority_id":2,"assigned_to_id":23,"start_date":"2017-02-18","description":"","custom_fields":[{"id":1,"name":"Subdivision","value":"Other"},{"id":4,"name":"Milepost","value":"0.0162"},{"id":17,"name":"Train ID","value":"82-18"},{"id":16,"name":"Locomotive ID","value":"4005"},{"id":130,"name":"Impact","value":""},{"id":150,"name":"Time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35"/>
        <v>start /low /b %USERPROFILE%\Documents\GitHub\eaglep3\Utilities\DownloadLogsFromS3.py --loco 4005 --day 2017-02-18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"%USERPROFILE%\AppData\Local\Temp\OnboardLogs"\RTDC4005\*4005*20170219* | grep -SE "(Enforcement Action)|(\[TIMEOUT)|(CHR.+\|PRM\|1\|D.+(SWITCH|SIGNAL).+UNKNOWN)" - &gt;&gt; 2017-02-18-UncaughtWiMAX.txt</v>
      </c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</sheetData>
  <autoFilter ref="A12:AG235"/>
  <sortState ref="A13:AH200">
    <sortCondition ref="AG13:AG200"/>
    <sortCondition ref="AD13:AD200"/>
  </sortState>
  <mergeCells count="1">
    <mergeCell ref="A11:P11"/>
  </mergeCells>
  <conditionalFormatting sqref="W11:W12 W251:X1048576 W13:X221">
    <cfRule type="cellIs" dxfId="10" priority="356" operator="equal">
      <formula>"Y"</formula>
    </cfRule>
  </conditionalFormatting>
  <conditionalFormatting sqref="X251:X1048576 X13:X221">
    <cfRule type="cellIs" dxfId="9" priority="339" operator="greaterThan">
      <formula>1</formula>
    </cfRule>
  </conditionalFormatting>
  <conditionalFormatting sqref="X251:X1048576 X12:X221">
    <cfRule type="cellIs" dxfId="8" priority="336" operator="equal">
      <formula>0</formula>
    </cfRule>
  </conditionalFormatting>
  <conditionalFormatting sqref="A13:S22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AK13:AK221</xm:sqref>
        </x14:dataValidation>
        <x14:dataValidation type="list" allowBlank="1" showInputMessage="1" showErrorMessage="1">
          <x14:formula1>
            <xm:f>'Redmine List Values'!$C$2:$C$15</xm:f>
          </x14:formula1>
          <xm:sqref>AL13:AL221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abSelected="1" topLeftCell="A20" zoomScaleNormal="100" workbookViewId="0">
      <selection activeCell="P39" sqref="P3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2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44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- 2017-02-18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210</v>
      </c>
    </row>
    <row r="7" spans="1:32" s="1" customFormat="1" x14ac:dyDescent="0.25">
      <c r="A7" s="32">
        <v>42784.463240740741</v>
      </c>
      <c r="B7" s="30" t="s">
        <v>223</v>
      </c>
      <c r="C7" s="30" t="s">
        <v>447</v>
      </c>
      <c r="D7" s="30" t="s">
        <v>49</v>
      </c>
      <c r="E7" s="30" t="s">
        <v>197</v>
      </c>
      <c r="F7" s="43">
        <v>0</v>
      </c>
      <c r="G7" s="43">
        <v>204</v>
      </c>
      <c r="H7" s="43">
        <v>27014</v>
      </c>
      <c r="I7" s="43">
        <v>27305</v>
      </c>
      <c r="J7" s="30" t="s">
        <v>198</v>
      </c>
      <c r="K7" s="43">
        <v>27053</v>
      </c>
      <c r="L7" s="143" t="s">
        <v>50</v>
      </c>
      <c r="M7" s="144">
        <f>CONVERT((I7-K7)/10000,"mi","ft")*IF(L7="Increasing Mileposts (1)",-1,1)</f>
        <v>-133.05600000000001</v>
      </c>
      <c r="N7" s="145" t="str">
        <f>VLOOKUP(C7,'Trips&amp;Operators'!$C$1:$G$99999,5,FALSE)</f>
        <v>STEWART MICHAEL</v>
      </c>
      <c r="O7" s="194" t="s">
        <v>185</v>
      </c>
      <c r="P7" s="146" t="s">
        <v>282</v>
      </c>
      <c r="Q7" s="30"/>
      <c r="R7" s="89" t="str">
        <f>VLOOKUP(C7,'Train Runs'!$A$13:$AE$9955,31,0)</f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S7" s="92" t="str">
        <f>VLOOKUP(C7,'Train Runs'!$A$13:$AE$9955,22,0)</f>
        <v>https://d0f6bd738d7f1b3e5a7ca70fe4ff75f0.us-east-1.aws.found.io/app/kibana#/discover/Steve-Slow-Train-Analysis-(2080s-and-2083s)?_g=(refreshInterval:(display:Off,pause:!f,section:0,value:0),time:(from:'2017-02-18T09:54:16-0700',mode:absolute,to:'2017-02-18T12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94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/stypes="*4027*201702181*" /stext=" 18:.+((SYSTEM_STATE.+slice.+state.+changed )|(ment ac)|(multiple cpu faults)|(system.+state.+changed )|(\[timeout)|(PRM\|1\|D)|(kpr)|(kdp)|(\|lc)|(penalty))" /e /r /s</v>
      </c>
      <c r="U7" s="9" t="str">
        <f>MID(B7,13,4)</f>
        <v>4027</v>
      </c>
      <c r="V7" s="32">
        <f>A7-utc_offset/24</f>
        <v>42784.754907407405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arrival","project_id":79,"tracker_id":40,"status_id":1,"priority_id":2,"assigned_to_id":23,"start_date":"2017-02-18","description":"","custom_fields":[{"id":1,"name":"Subdivision","value":"EC"},{"id":4,"name":"Milepost","value":"2.7053"},{"id":17,"name":"Train ID","value":"159-18"},{"id":16,"name":"Locomotive ID","value":"4027"},{"id":130,"name":"Impact","value":""},{"id":150,"name":"Time of Event (Mountain Time)","value":"11:07:04"},{"id":151,"name":"Denver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"%USERPROFILE%\AppData\Local\Temp\OnboardLogs"\RTDC4027\*4027*201702181*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"%USERPROFILE%\AppData\Local\Temp\OnboardLogs"\RTDC4027\*4027*201702181* &gt;&gt; 2017-02-18-SliceDisagreementCheck.txt</v>
      </c>
      <c r="AE7" s="157" t="str">
        <f>"start /low /b "&amp;dls3logs&amp;" --loco "&amp;U7&amp;" --day "&amp;TEXT(V7,"YYYY-MM-DD")</f>
        <v>start /low /b %USERPROFILE%\Documents\GitHub\eaglep3\Utilities\DownloadLogsFromS3.py --loco 4027 --day 2017-02-18</v>
      </c>
    </row>
    <row r="8" spans="1:32" s="1" customFormat="1" x14ac:dyDescent="0.25">
      <c r="A8" s="32">
        <v>42784.603194444448</v>
      </c>
      <c r="B8" s="30" t="s">
        <v>209</v>
      </c>
      <c r="C8" s="30" t="s">
        <v>458</v>
      </c>
      <c r="D8" s="30" t="s">
        <v>49</v>
      </c>
      <c r="E8" s="30" t="s">
        <v>197</v>
      </c>
      <c r="F8" s="43">
        <v>0</v>
      </c>
      <c r="G8" s="43">
        <v>153</v>
      </c>
      <c r="H8" s="43">
        <v>27391</v>
      </c>
      <c r="I8" s="43">
        <v>27216</v>
      </c>
      <c r="J8" s="30" t="s">
        <v>198</v>
      </c>
      <c r="K8" s="43">
        <v>27350</v>
      </c>
      <c r="L8" s="143" t="s">
        <v>51</v>
      </c>
      <c r="M8" s="144">
        <f>CONVERT((I8-K8)/10000,"mi","ft")*IF(L8="Increasing Mileposts (1)",-1,1)</f>
        <v>-70.751999999999995</v>
      </c>
      <c r="N8" s="145" t="str">
        <f>VLOOKUP(C8,'Trips&amp;Operators'!$C$1:$G$99999,5,FALSE)</f>
        <v>DAVIS MICHAEL</v>
      </c>
      <c r="O8" s="194" t="s">
        <v>185</v>
      </c>
      <c r="P8" s="146" t="s">
        <v>282</v>
      </c>
      <c r="Q8" s="30"/>
      <c r="R8" s="89" t="str">
        <f>VLOOKUP(C8,'Train Runs'!$A$13:$AE$9955,31,0)</f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S8" s="92" t="str">
        <f>VLOOKUP(C8,'Train Runs'!$A$13:$AE$9955,22,0)</f>
        <v>https://d0f6bd738d7f1b3e5a7ca70fe4ff75f0.us-east-1.aws.found.io/app/kibana#/discover/Steve-Slow-Train-Analysis-(2080s-and-2083s)?_g=(refreshInterval:(display:Off,pause:!f,section:0,value:0),time:(from:'2017-02-18T12:52:54-0700',mode:absolute,to:'2017-02-18T15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94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/stypes="*4030*201702182*" /stext=" 21:.+((SYSTEM_STATE.+slice.+state.+changed )|(ment ac)|(multiple cpu faults)|(system.+state.+changed )|(\[timeout)|(PRM\|1\|D)|(kpr)|(kdp)|(\|lc)|(penalty))" /e /r /s</v>
      </c>
      <c r="U8" s="9" t="str">
        <f>MID(B8,13,4)</f>
        <v>4030</v>
      </c>
      <c r="V8" s="32">
        <f>A8-utc_offset/24</f>
        <v>42784.894861111112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arrival","project_id":79,"tracker_id":40,"status_id":1,"priority_id":2,"assigned_to_id":23,"start_date":"2017-02-18","description":"","custom_fields":[{"id":1,"name":"Subdivision","value":"EC"},{"id":4,"name":"Milepost","value":"2.735"},{"id":17,"name":"Train ID","value":"176-18"},{"id":16,"name":"Locomotive ID","value":"4030"},{"id":130,"name":"Impact","value":""},{"id":150,"name":"Time of Event (Mountain Time)","value":"14:28:36"},{"id":151,"name":"Denver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"%USERPROFILE%\AppData\Local\Temp\OnboardLogs"\RTDC4030\*4030*201702182*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"%USERPROFILE%\AppData\Local\Temp\OnboardLogs"\RTDC4030\*4030*201702182* &gt;&gt; 2017-02-18-SliceDisagreementCheck.txt</v>
      </c>
      <c r="AE8" s="157" t="str">
        <f>"start /low /b "&amp;dls3logs&amp;" --loco "&amp;U8&amp;" --day "&amp;TEXT(V8,"YYYY-MM-DD")</f>
        <v>start /low /b %USERPROFILE%\Documents\GitHub\eaglep3\Utilities\DownloadLogsFromS3.py --loco 4030 --day 2017-02-18</v>
      </c>
    </row>
    <row r="9" spans="1:32" s="1" customFormat="1" x14ac:dyDescent="0.25">
      <c r="A9" s="32">
        <v>42784.779293981483</v>
      </c>
      <c r="B9" s="30" t="s">
        <v>291</v>
      </c>
      <c r="C9" s="30" t="s">
        <v>466</v>
      </c>
      <c r="D9" s="30" t="s">
        <v>98</v>
      </c>
      <c r="E9" s="30" t="s">
        <v>197</v>
      </c>
      <c r="F9" s="43">
        <v>0</v>
      </c>
      <c r="G9" s="43">
        <v>128</v>
      </c>
      <c r="H9" s="43">
        <v>27335</v>
      </c>
      <c r="I9" s="43">
        <v>27204</v>
      </c>
      <c r="J9" s="30" t="s">
        <v>198</v>
      </c>
      <c r="K9" s="43">
        <v>27350</v>
      </c>
      <c r="L9" s="143" t="s">
        <v>51</v>
      </c>
      <c r="M9" s="144">
        <f>CONVERT((I9-K9)/10000,"mi","ft")*IF(L9="Increasing Mileposts (1)",-1,1)</f>
        <v>-77.087999999999994</v>
      </c>
      <c r="N9" s="145" t="str">
        <f>VLOOKUP(C9,'Trips&amp;Operators'!$C$1:$G$99999,5,FALSE)</f>
        <v>LEVIN SCOTT</v>
      </c>
      <c r="O9" s="194" t="s">
        <v>185</v>
      </c>
      <c r="P9" s="146" t="s">
        <v>282</v>
      </c>
      <c r="Q9" s="30"/>
      <c r="R9" s="89" t="str">
        <f>VLOOKUP(C9,'Train Runs'!$A$13:$AE$9955,31,0)</f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S9" s="92" t="str">
        <f>VLOOKUP(C9,'Train Runs'!$A$13:$AE$9955,22,0)</f>
        <v>https://d0f6bd738d7f1b3e5a7ca70fe4ff75f0.us-east-1.aws.found.io/app/kibana#/discover/Steve-Slow-Train-Analysis-(2080s-and-2083s)?_g=(refreshInterval:(display:Off,pause:!f,section:0,value:0),time:(from:'2017-02-18T17:01:04-0700',mode:absolute,to:'2017-02-18T19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9" s="94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/stypes="*4012*201702190*" /stext=" 01:.+((SYSTEM_STATE.+slice.+state.+changed )|(ment ac)|(multiple cpu faults)|(system.+state.+changed )|(\[timeout)|(PRM\|1\|D)|(kpr)|(kdp)|(\|lc)|(penalty))" /e /r /s</v>
      </c>
      <c r="U9" s="9" t="str">
        <f>MID(B9,13,4)</f>
        <v>4012</v>
      </c>
      <c r="V9" s="32">
        <f>A9-utc_offset/24</f>
        <v>42785.070960648147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arrival","project_id":79,"tracker_id":40,"status_id":1,"priority_id":2,"assigned_to_id":23,"start_date":"2017-02-18","description":"","custom_fields":[{"id":1,"name":"Subdivision","value":"EC"},{"id":4,"name":"Milepost","value":"2.735"},{"id":17,"name":"Train ID","value":"210-18"},{"id":16,"name":"Locomotive ID","value":"4012"},{"id":130,"name":"Impact","value":""},{"id":150,"name":"Time of Event (Mountain Time)","value":"18:42:11"},{"id":151,"name":"Denver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"%USERPROFILE%\AppData\Local\Temp\OnboardLogs"\RTDC4012\*4012*201702190*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"%USERPROFILE%\AppData\Local\Temp\OnboardLogs"\RTDC4012\*4012*201702190* &gt;&gt; 2017-02-18-SliceDisagreementCheck.txt</v>
      </c>
      <c r="AE9" s="157" t="str">
        <f>"start /low /b "&amp;dls3logs&amp;" --loco "&amp;U9&amp;" --day "&amp;TEXT(V9,"YYYY-MM-DD")</f>
        <v>start /low /b %USERPROFILE%\Documents\GitHub\eaglep3\Utilities\DownloadLogsFromS3.py --loco 4012 --day 2017-02-19</v>
      </c>
    </row>
    <row r="10" spans="1:32" s="1" customFormat="1" x14ac:dyDescent="0.25">
      <c r="A10" s="32">
        <v>42784.391782407409</v>
      </c>
      <c r="B10" s="30" t="s">
        <v>223</v>
      </c>
      <c r="C10" s="30" t="s">
        <v>441</v>
      </c>
      <c r="D10" s="30" t="s">
        <v>49</v>
      </c>
      <c r="E10" s="30" t="s">
        <v>197</v>
      </c>
      <c r="F10" s="43">
        <v>150</v>
      </c>
      <c r="G10" s="43">
        <v>202</v>
      </c>
      <c r="H10" s="43">
        <v>30611</v>
      </c>
      <c r="I10" s="43">
        <v>30853</v>
      </c>
      <c r="J10" s="30" t="s">
        <v>198</v>
      </c>
      <c r="K10" s="43">
        <v>30830</v>
      </c>
      <c r="L10" s="143" t="s">
        <v>50</v>
      </c>
      <c r="M10" s="144">
        <f>CONVERT((I10-K10)/10000,"mi","ft")*IF(L10="Increasing Mileposts (1)",-1,1)</f>
        <v>-12.144</v>
      </c>
      <c r="N10" s="145" t="str">
        <f>VLOOKUP(C10,'Trips&amp;Operators'!$C$1:$G$99999,5,FALSE)</f>
        <v>ROBINSON KADDIBA</v>
      </c>
      <c r="O10" s="194" t="s">
        <v>185</v>
      </c>
      <c r="P10" s="146" t="s">
        <v>282</v>
      </c>
      <c r="Q10" s="30"/>
      <c r="R10" s="89" t="str">
        <f>VLOOKUP(C10,'Train Runs'!$A$13:$AE$9955,31,0)</f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S10" s="92" t="str">
        <f>VLOOKUP(C10,'Train Runs'!$A$13:$AE$9955,22,0)</f>
        <v>https://d0f6bd738d7f1b3e5a7ca70fe4ff75f0.us-east-1.aws.found.io/app/kibana#/discover/Steve-Slow-Train-Analysis-(2080s-and-2083s)?_g=(refreshInterval:(display:Off,pause:!f,section:0,value:0),time:(from:'2017-02-18T08:15:16-0700',mode:absolute,to:'2017-02-18T10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94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/stypes="*4027*201702181*" /stext=" 16:.+((SYSTEM_STATE.+slice.+state.+changed )|(ment ac)|(multiple cpu faults)|(system.+state.+changed )|(\[timeout)|(PRM\|1\|D)|(kpr)|(kdp)|(\|lc)|(penalty))" /e /r /s</v>
      </c>
      <c r="U10" s="9" t="str">
        <f>MID(B10,13,4)</f>
        <v>4027</v>
      </c>
      <c r="V10" s="32">
        <f>A10-utc_offset/24</f>
        <v>42784.683449074073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arrival","project_id":79,"tracker_id":40,"status_id":1,"priority_id":2,"assigned_to_id":23,"start_date":"2017-02-18","description":"","custom_fields":[{"id":1,"name":"Subdivision","value":"EC"},{"id":4,"name":"Milepost","value":"3.083"},{"id":17,"name":"Train ID","value":"145-18"},{"id":16,"name":"Locomotive ID","value":"4027"},{"id":130,"name":"Impact","value":""},{"id":150,"name":"Time of Event (Mountain Time)","value":"09:24:10"},{"id":151,"name":"Denver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"%USERPROFILE%\AppData\Local\Temp\OnboardLogs"\RTDC4027\*4027*201702181*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"%USERPROFILE%\AppData\Local\Temp\OnboardLogs"\RTDC4027\*4027*201702181* &gt;&gt; 2017-02-18-SliceDisagreementCheck.txt</v>
      </c>
      <c r="AE10" s="157" t="str">
        <f>"start /low /b "&amp;dls3logs&amp;" --loco "&amp;U10&amp;" --day "&amp;TEXT(V10,"YYYY-MM-DD")</f>
        <v>start /low /b %USERPROFILE%\Documents\GitHub\eaglep3\Utilities\DownloadLogsFromS3.py --loco 4027 --day 2017-02-18</v>
      </c>
    </row>
    <row r="11" spans="1:32" s="1" customFormat="1" x14ac:dyDescent="0.25">
      <c r="A11" s="32">
        <v>42784.505555555559</v>
      </c>
      <c r="B11" s="30" t="s">
        <v>192</v>
      </c>
      <c r="C11" s="30" t="s">
        <v>448</v>
      </c>
      <c r="D11" s="30" t="s">
        <v>49</v>
      </c>
      <c r="E11" s="30" t="s">
        <v>197</v>
      </c>
      <c r="F11" s="43">
        <v>0</v>
      </c>
      <c r="G11" s="43">
        <v>193</v>
      </c>
      <c r="H11" s="43">
        <v>30741</v>
      </c>
      <c r="I11" s="43">
        <v>30961</v>
      </c>
      <c r="J11" s="30" t="s">
        <v>198</v>
      </c>
      <c r="K11" s="43">
        <v>30830</v>
      </c>
      <c r="L11" s="143" t="s">
        <v>50</v>
      </c>
      <c r="M11" s="144">
        <f>CONVERT((I11-K11)/10000,"mi","ft")*IF(L11="Increasing Mileposts (1)",-1,1)</f>
        <v>-69.168000000000006</v>
      </c>
      <c r="N11" s="145" t="str">
        <f>VLOOKUP(C11,'Trips&amp;Operators'!$C$1:$G$99999,5,FALSE)</f>
        <v>LEVIN SCOTT</v>
      </c>
      <c r="O11" s="194" t="s">
        <v>185</v>
      </c>
      <c r="P11" s="146" t="s">
        <v>282</v>
      </c>
      <c r="Q11" s="30"/>
      <c r="R11" s="89" t="str">
        <f>VLOOKUP(C11,'Train Runs'!$A$13:$AE$9955,31,0)</f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S11" s="92" t="str">
        <f>VLOOKUP(C11,'Train Runs'!$A$13:$AE$9955,22,0)</f>
        <v>https://d0f6bd738d7f1b3e5a7ca70fe4ff75f0.us-east-1.aws.found.io/app/kibana#/discover/Steve-Slow-Train-Analysis-(2080s-and-2083s)?_g=(refreshInterval:(display:Off,pause:!f,section:0,value:0),time:(from:'2017-02-18T10:52:33-0700',mode:absolute,to:'2017-02-18T13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1" s="94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/stypes="*4011*201702181*" /stext=" 19:.+((SYSTEM_STATE.+slice.+state.+changed )|(ment ac)|(multiple cpu faults)|(system.+state.+changed )|(\[timeout)|(PRM\|1\|D)|(kpr)|(kdp)|(\|lc)|(penalty))" /e /r /s</v>
      </c>
      <c r="U11" s="9" t="str">
        <f>MID(B11,13,4)</f>
        <v>4011</v>
      </c>
      <c r="V11" s="32">
        <f>A11-utc_offset/24</f>
        <v>42784.797222222223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arrival","project_id":79,"tracker_id":40,"status_id":1,"priority_id":2,"assigned_to_id":23,"start_date":"2017-02-18","description":"","custom_fields":[{"id":1,"name":"Subdivision","value":"EC"},{"id":4,"name":"Milepost","value":"3.083"},{"id":17,"name":"Train ID","value":"167-18"},{"id":16,"name":"Locomotive ID","value":"4011"},{"id":130,"name":"Impact","value":""},{"id":150,"name":"Time of Event (Mountain Time)","value":"12:08:00"},{"id":151,"name":"Denver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"%USERPROFILE%\AppData\Local\Temp\OnboardLogs"\RTDC4011\*4011*201702181*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"%USERPROFILE%\AppData\Local\Temp\OnboardLogs"\RTDC4011\*4011*201702181* &gt;&gt; 2017-02-18-SliceDisagreementCheck.txt</v>
      </c>
      <c r="AE11" s="157" t="str">
        <f>"start /low /b "&amp;dls3logs&amp;" --loco "&amp;U11&amp;" --day "&amp;TEXT(V11,"YYYY-MM-DD")</f>
        <v>start /low /b %USERPROFILE%\Documents\GitHub\eaglep3\Utilities\DownloadLogsFromS3.py --loco 4011 --day 2017-02-18</v>
      </c>
    </row>
    <row r="12" spans="1:32" s="1" customFormat="1" x14ac:dyDescent="0.25">
      <c r="A12" s="32">
        <v>42784.839120370372</v>
      </c>
      <c r="B12" s="30" t="s">
        <v>228</v>
      </c>
      <c r="C12" s="30" t="s">
        <v>475</v>
      </c>
      <c r="D12" s="30" t="s">
        <v>49</v>
      </c>
      <c r="E12" s="30" t="s">
        <v>197</v>
      </c>
      <c r="F12" s="43">
        <v>0</v>
      </c>
      <c r="G12" s="43">
        <v>156</v>
      </c>
      <c r="H12" s="43">
        <v>30828</v>
      </c>
      <c r="I12" s="43">
        <v>30952</v>
      </c>
      <c r="J12" s="30" t="s">
        <v>198</v>
      </c>
      <c r="K12" s="43">
        <v>30830</v>
      </c>
      <c r="L12" s="143" t="s">
        <v>50</v>
      </c>
      <c r="M12" s="144">
        <f>CONVERT((I12-K12)/10000,"mi","ft")*IF(L12="Increasing Mileposts (1)",-1,1)</f>
        <v>-64.415999999999997</v>
      </c>
      <c r="N12" s="145" t="str">
        <f>VLOOKUP(C12,'Trips&amp;Operators'!$C$1:$G$99999,5,FALSE)</f>
        <v>STAMBAUGH JAMES</v>
      </c>
      <c r="O12" s="194" t="s">
        <v>185</v>
      </c>
      <c r="P12" s="146" t="s">
        <v>282</v>
      </c>
      <c r="Q12" s="30"/>
      <c r="R12" s="89" t="str">
        <f>VLOOKUP(C12,'Train Runs'!$A$13:$AE$9955,31,0)</f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S12" s="92" t="str">
        <f>VLOOKUP(C12,'Train Runs'!$A$13:$AE$9955,22,0)</f>
        <v>https://d0f6bd738d7f1b3e5a7ca70fe4ff75f0.us-east-1.aws.found.io/app/kibana#/discover/Steve-Slow-Train-Analysis-(2080s-and-2083s)?_g=(refreshInterval:(display:Off,pause:!f,section:0,value:0),time:(from:'2017-02-18T18:51:22-0700',mode:absolute,to:'2017-02-18T21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94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/stypes="*4029*201702190*" /stext=" 03:.+((SYSTEM_STATE.+slice.+state.+changed )|(ment ac)|(multiple cpu faults)|(system.+state.+changed )|(\[timeout)|(PRM\|1\|D)|(kpr)|(kdp)|(\|lc)|(penalty))" /e /r /s</v>
      </c>
      <c r="U12" s="9" t="str">
        <f>MID(B12,13,4)</f>
        <v>4029</v>
      </c>
      <c r="V12" s="32">
        <f>A12-utc_offset/24</f>
        <v>42785.130787037036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arrival","project_id":79,"tracker_id":40,"status_id":1,"priority_id":2,"assigned_to_id":23,"start_date":"2017-02-18","description":"","custom_fields":[{"id":1,"name":"Subdivision","value":"EC"},{"id":4,"name":"Milepost","value":"3.083"},{"id":17,"name":"Train ID","value":"225-18"},{"id":16,"name":"Locomotive ID","value":"4029"},{"id":130,"name":"Impact","value":""},{"id":150,"name":"Time of Event (Mountain Time)","value":"20:08:20"},{"id":151,"name":"Denver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"%USERPROFILE%\AppData\Local\Temp\OnboardLogs"\RTDC4029\*4029*201702190*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"%USERPROFILE%\AppData\Local\Temp\OnboardLogs"\RTDC4029\*4029*201702190* &gt;&gt; 2017-02-18-SliceDisagreementCheck.txt</v>
      </c>
      <c r="AE12" s="157" t="str">
        <f>"start /low /b "&amp;dls3logs&amp;" --loco "&amp;U12&amp;" --day "&amp;TEXT(V12,"YYYY-MM-DD")</f>
        <v>start /low /b %USERPROFILE%\Documents\GitHub\eaglep3\Utilities\DownloadLogsFromS3.py --loco 4029 --day 2017-02-19</v>
      </c>
    </row>
    <row r="13" spans="1:32" s="1" customFormat="1" x14ac:dyDescent="0.25">
      <c r="A13" s="32">
        <v>42784.331550925926</v>
      </c>
      <c r="B13" s="30" t="s">
        <v>288</v>
      </c>
      <c r="C13" s="30" t="s">
        <v>440</v>
      </c>
      <c r="D13" s="30" t="s">
        <v>49</v>
      </c>
      <c r="E13" s="30" t="s">
        <v>197</v>
      </c>
      <c r="F13" s="43">
        <v>0</v>
      </c>
      <c r="G13" s="43">
        <v>170</v>
      </c>
      <c r="H13" s="43">
        <v>31940</v>
      </c>
      <c r="I13" s="43">
        <v>31625</v>
      </c>
      <c r="J13" s="30" t="s">
        <v>198</v>
      </c>
      <c r="K13" s="43">
        <v>30970</v>
      </c>
      <c r="L13" s="143" t="s">
        <v>51</v>
      </c>
      <c r="M13" s="144">
        <f>CONVERT((I13-K13)/10000,"mi","ft")*IF(L13="Increasing Mileposts (1)",-1,1)</f>
        <v>345.84</v>
      </c>
      <c r="N13" s="145" t="str">
        <f>VLOOKUP(C13,'Trips&amp;Operators'!$C$1:$G$99999,5,FALSE)</f>
        <v>BRANDNER MELINDA</v>
      </c>
      <c r="O13" s="194" t="s">
        <v>185</v>
      </c>
      <c r="P13" s="146" t="s">
        <v>363</v>
      </c>
      <c r="Q13" s="30"/>
      <c r="R13" s="89" t="str">
        <f>VLOOKUP(C13,'Train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13" s="92" t="str">
        <f>VLOOKUP(C13,'Train Runs'!$A$13:$AE$9955,22,0)</f>
        <v>https://d0f6bd738d7f1b3e5a7ca70fe4ff75f0.us-east-1.aws.found.io/app/kibana#/discover/Steve-Slow-Train-Analysis-(2080s-and-2083s)?_g=(refreshInterval:(display:Off,pause:!f,section:0,value:0),time:(from:'2017-02-18T06:19:12-0700',mode:absolute,to:'2017-02-18T09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3" s="94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/stypes="*4008*201702181*" /stext=" 14:.+((SYSTEM_STATE.+slice.+state.+changed )|(ment ac)|(multiple cpu faults)|(system.+state.+changed )|(\[timeout)|(PRM\|1\|D)|(kpr)|(kdp)|(\|lc)|(penalty))" /e /r /s</v>
      </c>
      <c r="U13" s="9" t="str">
        <f>MID(B13,13,4)</f>
        <v>4008</v>
      </c>
      <c r="V13" s="32">
        <f>A13-utc_offset/24</f>
        <v>42784.623217592591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C","project_id":79,"tracker_id":40,"status_id":1,"priority_id":2,"assigned_to_id":23,"start_date":"2017-02-18","description":"","custom_fields":[{"id":1,"name":"Subdivision","value":"EC"},{"id":4,"name":"Milepost","value":"3.097"},{"id":17,"name":"Train ID","value":"124-18"},{"id":16,"name":"Locomotive ID","value":"4008"},{"id":130,"name":"Impact","value":""},{"id":150,"name":"Time of Event (Mountain Time)","value":"07:57:26"},{"id":151,"name":"Denver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"%USERPROFILE%\AppData\Local\Temp\OnboardLogs"\RTDC4008\*4008*201702181*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"%USERPROFILE%\AppData\Local\Temp\OnboardLogs"\RTDC4008\*4008*201702181* &gt;&gt; 2017-02-18-SliceDisagreementCheck.txt</v>
      </c>
      <c r="AE13" s="157" t="str">
        <f>"start /low /b "&amp;dls3logs&amp;" --loco "&amp;U13&amp;" --day "&amp;TEXT(V13,"YYYY-MM-DD")</f>
        <v>start /low /b %USERPROFILE%\Documents\GitHub\eaglep3\Utilities\DownloadLogsFromS3.py --loco 4008 --day 2017-02-18</v>
      </c>
    </row>
    <row r="14" spans="1:32" x14ac:dyDescent="0.25">
      <c r="A14" s="32">
        <v>42784.517129629632</v>
      </c>
      <c r="B14" s="30" t="s">
        <v>222</v>
      </c>
      <c r="C14" s="30" t="s">
        <v>451</v>
      </c>
      <c r="D14" s="30" t="s">
        <v>49</v>
      </c>
      <c r="E14" s="30" t="s">
        <v>197</v>
      </c>
      <c r="F14" s="43">
        <v>0</v>
      </c>
      <c r="G14" s="43">
        <v>262</v>
      </c>
      <c r="H14" s="43">
        <v>33385</v>
      </c>
      <c r="I14" s="43">
        <v>32931</v>
      </c>
      <c r="J14" s="30" t="s">
        <v>198</v>
      </c>
      <c r="K14" s="43">
        <v>33257</v>
      </c>
      <c r="L14" s="143" t="s">
        <v>51</v>
      </c>
      <c r="M14" s="144">
        <f>CONVERT((I14-K14)/10000,"mi","ft")*IF(L14="Increasing Mileposts (1)",-1,1)</f>
        <v>-172.12799999999999</v>
      </c>
      <c r="N14" s="145" t="str">
        <f>VLOOKUP(C14,'Trips&amp;Operators'!$C$1:$G$99999,5,FALSE)</f>
        <v>STEWART MICHAEL</v>
      </c>
      <c r="O14" s="194" t="s">
        <v>185</v>
      </c>
      <c r="P14" s="146" t="s">
        <v>282</v>
      </c>
      <c r="Q14" s="30"/>
      <c r="R14" s="89" t="str">
        <f>VLOOKUP(C14,'Train Runs'!$A$13:$AE$9955,31,0)</f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S14" s="92" t="str">
        <f>VLOOKUP(C14,'Train Runs'!$A$13:$AE$9955,22,0)</f>
        <v>https://d0f6bd738d7f1b3e5a7ca70fe4ff75f0.us-east-1.aws.found.io/app/kibana#/discover/Steve-Slow-Train-Analysis-(2080s-and-2083s)?_g=(refreshInterval:(display:Off,pause:!f,section:0,value:0),time:(from:'2017-02-18T10:51:25-0700',mode:absolute,to:'2017-02-18T13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94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/stypes="*4028*201702181*" /stext=" 19:.+((SYSTEM_STATE.+slice.+state.+changed )|(ment ac)|(multiple cpu faults)|(system.+state.+changed )|(\[timeout)|(PRM\|1\|D)|(kpr)|(kdp)|(\|lc)|(penalty))" /e /r /s</v>
      </c>
      <c r="U14" s="9" t="str">
        <f>MID(B14,13,4)</f>
        <v>4028</v>
      </c>
      <c r="V14" s="32">
        <f>A14-utc_offset/24</f>
        <v>42784.808796296296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arrival","project_id":79,"tracker_id":40,"status_id":1,"priority_id":2,"assigned_to_id":23,"start_date":"2017-02-18","description":"","custom_fields":[{"id":1,"name":"Subdivision","value":"EC"},{"id":4,"name":"Milepost","value":"3.3257"},{"id":17,"name":"Train ID","value":"160-18"},{"id":16,"name":"Locomotive ID","value":"4028"},{"id":130,"name":"Impact","value":""},{"id":150,"name":"Time of Event (Mountain Time)","value":"12:24:40"},{"id":151,"name":"Denver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"%USERPROFILE%\AppData\Local\Temp\OnboardLogs"\RTDC4028\*4028*201702181*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"%USERPROFILE%\AppData\Local\Temp\OnboardLogs"\RTDC4028\*4028*201702181* &gt;&gt; 2017-02-18-SliceDisagreementCheck.txt</v>
      </c>
      <c r="AE14" s="157" t="str">
        <f>"start /low /b "&amp;dls3logs&amp;" --loco "&amp;U14&amp;" --day "&amp;TEXT(V14,"YYYY-MM-DD")</f>
        <v>start /low /b %USERPROFILE%\Documents\GitHub\eaglep3\Utilities\DownloadLogsFromS3.py --loco 4028 --day 2017-02-18</v>
      </c>
      <c r="AF14" s="1"/>
    </row>
    <row r="15" spans="1:32" x14ac:dyDescent="0.25">
      <c r="A15" s="32">
        <v>42784.580393518518</v>
      </c>
      <c r="B15" s="30" t="s">
        <v>227</v>
      </c>
      <c r="C15" s="30" t="s">
        <v>457</v>
      </c>
      <c r="D15" s="30" t="s">
        <v>49</v>
      </c>
      <c r="E15" s="30" t="s">
        <v>197</v>
      </c>
      <c r="F15" s="43">
        <v>250</v>
      </c>
      <c r="G15" s="43">
        <v>346</v>
      </c>
      <c r="H15" s="43">
        <v>35653</v>
      </c>
      <c r="I15" s="43">
        <v>34790</v>
      </c>
      <c r="J15" s="30" t="s">
        <v>198</v>
      </c>
      <c r="K15" s="43">
        <v>33257</v>
      </c>
      <c r="L15" s="143" t="s">
        <v>51</v>
      </c>
      <c r="M15" s="144">
        <f>CONVERT((I15-K15)/10000,"mi","ft")*IF(L15="Increasing Mileposts (1)",-1,1)</f>
        <v>809.42399999999998</v>
      </c>
      <c r="N15" s="145" t="str">
        <f>VLOOKUP(C15,'Trips&amp;Operators'!$C$1:$G$99999,5,FALSE)</f>
        <v>BRANNON JEFFREY</v>
      </c>
      <c r="O15" s="194" t="s">
        <v>185</v>
      </c>
      <c r="P15" s="146" t="s">
        <v>282</v>
      </c>
      <c r="Q15" s="30"/>
      <c r="R15" s="89" t="str">
        <f>VLOOKUP(C15,'Train Runs'!$A$13:$AE$9955,31,0)</f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S15" s="92" t="str">
        <f>VLOOKUP(C15,'Train Runs'!$A$13:$AE$9955,22,0)</f>
        <v>https://d0f6bd738d7f1b3e5a7ca70fe4ff75f0.us-east-1.aws.found.io/app/kibana#/discover/Steve-Slow-Train-Analysis-(2080s-and-2083s)?_g=(refreshInterval:(display:Off,pause:!f,section:0,value:0),time:(from:'2017-02-18T12:10:37-0700',mode:absolute,to:'2017-02-18T15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94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/stypes="*4015*201702182*" /stext=" 20:.+((SYSTEM_STATE.+slice.+state.+changed )|(ment ac)|(multiple cpu faults)|(system.+state.+changed )|(\[timeout)|(PRM\|1\|D)|(kpr)|(kdp)|(\|lc)|(penalty))" /e /r /s</v>
      </c>
      <c r="U15" s="9" t="str">
        <f>MID(B15,13,4)</f>
        <v>4015</v>
      </c>
      <c r="V15" s="32">
        <f>A15-utc_offset/24</f>
        <v>42784.872060185182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arrival","project_id":79,"tracker_id":40,"status_id":1,"priority_id":2,"assigned_to_id":23,"start_date":"2017-02-18","description":"","custom_fields":[{"id":1,"name":"Subdivision","value":"EC"},{"id":4,"name":"Milepost","value":"3.3257"},{"id":17,"name":"Train ID","value":"172-18"},{"id":16,"name":"Locomotive ID","value":"4015"},{"id":130,"name":"Impact","value":""},{"id":150,"name":"Time of Event (Mountain Time)","value":"13:55:46"},{"id":151,"name":"Denver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"%USERPROFILE%\AppData\Local\Temp\OnboardLogs"\RTDC4015\*4015*201702182*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"%USERPROFILE%\AppData\Local\Temp\OnboardLogs"\RTDC4015\*4015*201702182* &gt;&gt; 2017-02-18-SliceDisagreementCheck.txt</v>
      </c>
      <c r="AE15" s="157" t="str">
        <f>"start /low /b "&amp;dls3logs&amp;" --loco "&amp;U15&amp;" --day "&amp;TEXT(V15,"YYYY-MM-DD")</f>
        <v>start /low /b %USERPROFILE%\Documents\GitHub\eaglep3\Utilities\DownloadLogsFromS3.py --loco 4015 --day 2017-02-18</v>
      </c>
      <c r="AF15" s="1"/>
    </row>
    <row r="16" spans="1:32" x14ac:dyDescent="0.25">
      <c r="A16" s="32">
        <v>42784.580150462964</v>
      </c>
      <c r="B16" s="30" t="s">
        <v>192</v>
      </c>
      <c r="C16" s="30" t="s">
        <v>456</v>
      </c>
      <c r="D16" s="30" t="s">
        <v>49</v>
      </c>
      <c r="E16" s="30" t="s">
        <v>197</v>
      </c>
      <c r="F16" s="43">
        <v>0</v>
      </c>
      <c r="G16" s="43">
        <v>347</v>
      </c>
      <c r="H16" s="43">
        <v>42475</v>
      </c>
      <c r="I16" s="43">
        <v>43187</v>
      </c>
      <c r="J16" s="30" t="s">
        <v>198</v>
      </c>
      <c r="K16" s="43">
        <v>42779</v>
      </c>
      <c r="L16" s="143" t="s">
        <v>50</v>
      </c>
      <c r="M16" s="144">
        <f>CONVERT((I16-K16)/10000,"mi","ft")*IF(L16="Increasing Mileposts (1)",-1,1)</f>
        <v>-215.42400000000001</v>
      </c>
      <c r="N16" s="145" t="str">
        <f>VLOOKUP(C16,'Trips&amp;Operators'!$C$1:$G$99999,5,FALSE)</f>
        <v>LEVIN SCOTT</v>
      </c>
      <c r="O16" s="194" t="s">
        <v>185</v>
      </c>
      <c r="P16" s="146" t="s">
        <v>282</v>
      </c>
      <c r="Q16" s="30"/>
      <c r="R16" s="89" t="str">
        <f>VLOOKUP(C16,'Train Runs'!$A$13:$AE$9955,31,0)</f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S16" s="92" t="str">
        <f>VLOOKUP(C16,'Train Runs'!$A$13:$AE$9955,22,0)</f>
        <v>https://d0f6bd738d7f1b3e5a7ca70fe4ff75f0.us-east-1.aws.found.io/app/kibana#/discover/Steve-Slow-Train-Analysis-(2080s-and-2083s)?_g=(refreshInterval:(display:Off,pause:!f,section:0,value:0),time:(from:'2017-02-18T12:39:04-0700',mode:absolute,to:'2017-02-18T15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6" s="94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/stypes="*4011*201702182*" /stext=" 20:.+((SYSTEM_STATE.+slice.+state.+changed )|(ment ac)|(multiple cpu faults)|(system.+state.+changed )|(\[timeout)|(PRM\|1\|D)|(kpr)|(kdp)|(\|lc)|(penalty))" /e /r /s</v>
      </c>
      <c r="U16" s="9" t="str">
        <f>MID(B16,13,4)</f>
        <v>4011</v>
      </c>
      <c r="V16" s="32">
        <f>A16-utc_offset/24</f>
        <v>42784.871817129628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arrival","project_id":79,"tracker_id":40,"status_id":1,"priority_id":2,"assigned_to_id":23,"start_date":"2017-02-18","description":"","custom_fields":[{"id":1,"name":"Subdivision","value":"EC"},{"id":4,"name":"Milepost","value":"4.2779"},{"id":17,"name":"Train ID","value":"181-18"},{"id":16,"name":"Locomotive ID","value":"4011"},{"id":130,"name":"Impact","value":""},{"id":150,"name":"Time of Event (Mountain Time)","value":"13:55:25"},{"id":151,"name":"Denver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"%USERPROFILE%\AppData\Local\Temp\OnboardLogs"\RTDC4011\*4011*201702182*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"%USERPROFILE%\AppData\Local\Temp\OnboardLogs"\RTDC4011\*4011*201702182* &gt;&gt; 2017-02-18-SliceDisagreementCheck.txt</v>
      </c>
      <c r="AE16" s="157" t="str">
        <f>"start /low /b "&amp;dls3logs&amp;" --loco "&amp;U16&amp;" --day "&amp;TEXT(V16,"YYYY-MM-DD")</f>
        <v>start /low /b %USERPROFILE%\Documents\GitHub\eaglep3\Utilities\DownloadLogsFromS3.py --loco 4011 --day 2017-02-18</v>
      </c>
      <c r="AF16" s="1"/>
    </row>
    <row r="17" spans="1:32" x14ac:dyDescent="0.25">
      <c r="A17" s="32">
        <v>42784.557743055557</v>
      </c>
      <c r="B17" s="30" t="s">
        <v>291</v>
      </c>
      <c r="C17" s="30" t="s">
        <v>455</v>
      </c>
      <c r="D17" s="30" t="s">
        <v>49</v>
      </c>
      <c r="E17" s="30" t="s">
        <v>197</v>
      </c>
      <c r="F17" s="43">
        <v>0</v>
      </c>
      <c r="G17" s="43">
        <v>549</v>
      </c>
      <c r="H17" s="43">
        <v>48734</v>
      </c>
      <c r="I17" s="43">
        <v>43638</v>
      </c>
      <c r="J17" s="30" t="s">
        <v>198</v>
      </c>
      <c r="K17" s="43">
        <v>48048</v>
      </c>
      <c r="L17" s="143" t="s">
        <v>51</v>
      </c>
      <c r="M17" s="144">
        <f>CONVERT((I17-K17)/10000,"mi","ft")*IF(L17="Increasing Mileposts (1)",-1,1)</f>
        <v>-2328.48</v>
      </c>
      <c r="N17" s="145" t="str">
        <f>VLOOKUP(C17,'Trips&amp;Operators'!$C$1:$G$99999,5,FALSE)</f>
        <v>LEVIN SCOTT</v>
      </c>
      <c r="O17" s="194" t="s">
        <v>185</v>
      </c>
      <c r="P17" s="146" t="s">
        <v>282</v>
      </c>
      <c r="Q17" s="30"/>
      <c r="R17" s="89" t="str">
        <f>VLOOKUP(C17,'Train Runs'!$A$13:$AE$9955,31,0)</f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S17" s="92" t="str">
        <f>VLOOKUP(C17,'Train Runs'!$A$13:$AE$9955,22,0)</f>
        <v>https://d0f6bd738d7f1b3e5a7ca70fe4ff75f0.us-east-1.aws.found.io/app/kibana#/discover/Steve-Slow-Train-Analysis-(2080s-and-2083s)?_g=(refreshInterval:(display:Off,pause:!f,section:0,value:0),time:(from:'2017-02-18T11:50:21-0700',mode:absolute,to:'2017-02-18T14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7" s="94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/stypes="*4012*201702182*" /stext=" 20:.+((SYSTEM_STATE.+slice.+state.+changed )|(ment ac)|(multiple cpu faults)|(system.+state.+changed )|(\[timeout)|(PRM\|1\|D)|(kpr)|(kdp)|(\|lc)|(penalty))" /e /r /s</v>
      </c>
      <c r="U17" s="9" t="str">
        <f>MID(B17,13,4)</f>
        <v>4012</v>
      </c>
      <c r="V17" s="32">
        <f>A17-utc_offset/24</f>
        <v>42784.849409722221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arrival","project_id":79,"tracker_id":40,"status_id":1,"priority_id":2,"assigned_to_id":23,"start_date":"2017-02-18","description":"","custom_fields":[{"id":1,"name":"Subdivision","value":"EC"},{"id":4,"name":"Milepost","value":"4.8048"},{"id":17,"name":"Train ID","value":"168-18"},{"id":16,"name":"Locomotive ID","value":"4012"},{"id":130,"name":"Impact","value":""},{"id":150,"name":"Time of Event (Mountain Time)","value":"13:23:09"},{"id":151,"name":"Denver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"%USERPROFILE%\AppData\Local\Temp\OnboardLogs"\RTDC4012\*4012*201702182*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"%USERPROFILE%\AppData\Local\Temp\OnboardLogs"\RTDC4012\*4012*201702182* &gt;&gt; 2017-02-18-SliceDisagreementCheck.txt</v>
      </c>
      <c r="AE17" s="157" t="str">
        <f>"start /low /b "&amp;dls3logs&amp;" --loco "&amp;U17&amp;" --day "&amp;TEXT(V17,"YYYY-MM-DD")</f>
        <v>start /low /b %USERPROFILE%\Documents\GitHub\eaglep3\Utilities\DownloadLogsFromS3.py --loco 4012 --day 2017-02-18</v>
      </c>
      <c r="AF17" s="1"/>
    </row>
    <row r="18" spans="1:32" ht="15" customHeight="1" x14ac:dyDescent="0.25">
      <c r="A18" s="32">
        <v>42784.55704861111</v>
      </c>
      <c r="B18" s="30" t="s">
        <v>291</v>
      </c>
      <c r="C18" s="30" t="s">
        <v>455</v>
      </c>
      <c r="D18" s="30" t="s">
        <v>49</v>
      </c>
      <c r="E18" s="30" t="s">
        <v>197</v>
      </c>
      <c r="F18" s="43">
        <v>610</v>
      </c>
      <c r="G18" s="43">
        <v>665</v>
      </c>
      <c r="H18" s="43">
        <v>49722</v>
      </c>
      <c r="I18" s="43">
        <v>47264</v>
      </c>
      <c r="J18" s="30" t="s">
        <v>198</v>
      </c>
      <c r="K18" s="43">
        <v>48048</v>
      </c>
      <c r="L18" s="143" t="s">
        <v>51</v>
      </c>
      <c r="M18" s="144">
        <f>CONVERT((I18-K18)/10000,"mi","ft")*IF(L18="Increasing Mileposts (1)",-1,1)</f>
        <v>-413.952</v>
      </c>
      <c r="N18" s="145" t="str">
        <f>VLOOKUP(C18,'Trips&amp;Operators'!$C$1:$G$99999,5,FALSE)</f>
        <v>LEVIN SCOTT</v>
      </c>
      <c r="O18" s="194" t="s">
        <v>185</v>
      </c>
      <c r="P18" s="146" t="s">
        <v>282</v>
      </c>
      <c r="Q18" s="30"/>
      <c r="R18" s="89" t="str">
        <f>VLOOKUP(C18,'Train Runs'!$A$13:$AE$9955,31,0)</f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S18" s="92" t="str">
        <f>VLOOKUP(C18,'Train Runs'!$A$13:$AE$9955,22,0)</f>
        <v>https://d0f6bd738d7f1b3e5a7ca70fe4ff75f0.us-east-1.aws.found.io/app/kibana#/discover/Steve-Slow-Train-Analysis-(2080s-and-2083s)?_g=(refreshInterval:(display:Off,pause:!f,section:0,value:0),time:(from:'2017-02-18T11:50:21-0700',mode:absolute,to:'2017-02-18T14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94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/stypes="*4012*201702182*" /stext=" 20:.+((SYSTEM_STATE.+slice.+state.+changed )|(ment ac)|(multiple cpu faults)|(system.+state.+changed )|(\[timeout)|(PRM\|1\|D)|(kpr)|(kdp)|(\|lc)|(penalty))" /e /r /s</v>
      </c>
      <c r="U18" s="9" t="str">
        <f>MID(B18,13,4)</f>
        <v>4012</v>
      </c>
      <c r="V18" s="32">
        <f>A18-utc_offset/24</f>
        <v>42784.848715277774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arrival","project_id":79,"tracker_id":40,"status_id":1,"priority_id":2,"assigned_to_id":23,"start_date":"2017-02-18","description":"","custom_fields":[{"id":1,"name":"Subdivision","value":"EC"},{"id":4,"name":"Milepost","value":"4.8048"},{"id":17,"name":"Train ID","value":"168-18"},{"id":16,"name":"Locomotive ID","value":"4012"},{"id":130,"name":"Impact","value":""},{"id":150,"name":"Time of Event (Mountain Time)","value":"13:22:09"},{"id":151,"name":"Denver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"%USERPROFILE%\AppData\Local\Temp\OnboardLogs"\RTDC4012\*4012*201702182*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"%USERPROFILE%\AppData\Local\Temp\OnboardLogs"\RTDC4012\*4012*201702182* &gt;&gt; 2017-02-18-SliceDisagreementCheck.txt</v>
      </c>
      <c r="AE18" s="157" t="str">
        <f>"start /low /b "&amp;dls3logs&amp;" --loco "&amp;U18&amp;" --day "&amp;TEXT(V18,"YYYY-MM-DD")</f>
        <v>start /low /b %USERPROFILE%\Documents\GitHub\eaglep3\Utilities\DownloadLogsFromS3.py --loco 4012 --day 2017-02-18</v>
      </c>
      <c r="AF18" s="1"/>
    </row>
    <row r="19" spans="1:32" x14ac:dyDescent="0.25">
      <c r="A19" s="32">
        <v>42784.508553240739</v>
      </c>
      <c r="B19" s="30" t="s">
        <v>192</v>
      </c>
      <c r="C19" s="30" t="s">
        <v>448</v>
      </c>
      <c r="D19" s="30" t="s">
        <v>49</v>
      </c>
      <c r="E19" s="30" t="s">
        <v>197</v>
      </c>
      <c r="F19" s="43">
        <v>330</v>
      </c>
      <c r="G19" s="43">
        <v>516</v>
      </c>
      <c r="H19" s="43">
        <v>51611</v>
      </c>
      <c r="I19" s="43">
        <v>53201</v>
      </c>
      <c r="J19" s="30" t="s">
        <v>198</v>
      </c>
      <c r="K19" s="43">
        <v>53156</v>
      </c>
      <c r="L19" s="143" t="s">
        <v>50</v>
      </c>
      <c r="M19" s="144">
        <f>CONVERT((I19-K19)/10000,"mi","ft")*IF(L19="Increasing Mileposts (1)",-1,1)</f>
        <v>-23.76</v>
      </c>
      <c r="N19" s="145" t="str">
        <f>VLOOKUP(C19,'Trips&amp;Operators'!$C$1:$G$99999,5,FALSE)</f>
        <v>LEVIN SCOTT</v>
      </c>
      <c r="O19" s="194" t="s">
        <v>185</v>
      </c>
      <c r="P19" s="146" t="s">
        <v>282</v>
      </c>
      <c r="Q19" s="30"/>
      <c r="R19" s="89" t="str">
        <f>VLOOKUP(C19,'Train Runs'!$A$13:$AE$9955,31,0)</f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S19" s="92" t="str">
        <f>VLOOKUP(C19,'Train Runs'!$A$13:$AE$9955,22,0)</f>
        <v>https://d0f6bd738d7f1b3e5a7ca70fe4ff75f0.us-east-1.aws.found.io/app/kibana#/discover/Steve-Slow-Train-Analysis-(2080s-and-2083s)?_g=(refreshInterval:(display:Off,pause:!f,section:0,value:0),time:(from:'2017-02-18T10:52:33-0700',mode:absolute,to:'2017-02-18T13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9" s="94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/stypes="*4011*201702181*" /stext=" 19:.+((SYSTEM_STATE.+slice.+state.+changed )|(ment ac)|(multiple cpu faults)|(system.+state.+changed )|(\[timeout)|(PRM\|1\|D)|(kpr)|(kdp)|(\|lc)|(penalty))" /e /r /s</v>
      </c>
      <c r="U19" s="9" t="str">
        <f>MID(B19,13,4)</f>
        <v>4011</v>
      </c>
      <c r="V19" s="32">
        <f>A19-utc_offset/24</f>
        <v>42784.800219907404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arrival","project_id":79,"tracker_id":40,"status_id":1,"priority_id":2,"assigned_to_id":23,"start_date":"2017-02-18","description":"","custom_fields":[{"id":1,"name":"Subdivision","value":"EC"},{"id":4,"name":"Milepost","value":"5.3156"},{"id":17,"name":"Train ID","value":"167-18"},{"id":16,"name":"Locomotive ID","value":"4011"},{"id":130,"name":"Impact","value":""},{"id":150,"name":"Time of Event (Mountain Time)","value":"12:12:19"},{"id":151,"name":"Denver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"%USERPROFILE%\AppData\Local\Temp\OnboardLogs"\RTDC4011\*4011*201702181*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"%USERPROFILE%\AppData\Local\Temp\OnboardLogs"\RTDC4011\*4011*201702181* &gt;&gt; 2017-02-18-SliceDisagreementCheck.txt</v>
      </c>
      <c r="AE19" s="157" t="str">
        <f>"start /low /b "&amp;dls3logs&amp;" --loco "&amp;U19&amp;" --day "&amp;TEXT(V19,"YYYY-MM-DD")</f>
        <v>start /low /b %USERPROFILE%\Documents\GitHub\eaglep3\Utilities\DownloadLogsFromS3.py --loco 4011 --day 2017-02-18</v>
      </c>
      <c r="AF19" s="1"/>
    </row>
    <row r="20" spans="1:32" x14ac:dyDescent="0.25">
      <c r="A20" s="32">
        <v>42784.865937499999</v>
      </c>
      <c r="B20" s="30" t="s">
        <v>289</v>
      </c>
      <c r="C20" s="30" t="s">
        <v>476</v>
      </c>
      <c r="D20" s="30" t="s">
        <v>49</v>
      </c>
      <c r="E20" s="30" t="s">
        <v>197</v>
      </c>
      <c r="F20" s="43">
        <v>0</v>
      </c>
      <c r="G20" s="43">
        <v>626</v>
      </c>
      <c r="H20" s="43">
        <v>77434</v>
      </c>
      <c r="I20" s="43">
        <v>79284</v>
      </c>
      <c r="J20" s="30" t="s">
        <v>198</v>
      </c>
      <c r="K20" s="43">
        <v>78349</v>
      </c>
      <c r="L20" s="143" t="s">
        <v>50</v>
      </c>
      <c r="M20" s="144">
        <f>CONVERT((I20-K20)/10000,"mi","ft")*IF(L20="Increasing Mileposts (1)",-1,1)</f>
        <v>-493.68</v>
      </c>
      <c r="N20" s="145" t="str">
        <f>VLOOKUP(C20,'Trips&amp;Operators'!$C$1:$G$99999,5,FALSE)</f>
        <v>MAGEE KENYA</v>
      </c>
      <c r="O20" s="194" t="s">
        <v>185</v>
      </c>
      <c r="P20" s="146" t="s">
        <v>282</v>
      </c>
      <c r="Q20" s="30"/>
      <c r="R20" s="89" t="str">
        <f>VLOOKUP(C20,'Train Runs'!$A$13:$AE$9955,31,0)</f>
        <v>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 &amp; aws s3 cp s3://rtdc.mdm.uploadarchive.raw/RTDC4018/ "%USERPROFILE%\AppData\Local\Temp\OnboardLogs"\RTDC4018\2017-02-19 --exclude "*" --recursive --include "*20170219*" &amp; "%USERPROFILE%\Documents\GitHub\mrs-test-scripts\Headless Mode &amp; Sideloading\WalkAndUnGZ.bat" "%USERPROFILE%\AppData\Local\Temp\OnboardLogs"\RTDC4018\2017-02-19</v>
      </c>
      <c r="S20" s="92" t="str">
        <f>VLOOKUP(C20,'Train Runs'!$A$13:$AE$9955,22,0)</f>
        <v>https://d0f6bd738d7f1b3e5a7ca70fe4ff75f0.us-east-1.aws.found.io/app/kibana#/discover/Steve-Slow-Train-Analysis-(2080s-and-2083s)?_g=(refreshInterval:(display:Off,pause:!f,section:0,value:0),time:(from:'2017-02-18T19:23:19-0700',mode:absolute,to:'2017-02-18T22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94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/stypes="*4018*201702190*" /stext=" 03:.+((SYSTEM_STATE.+slice.+state.+changed )|(ment ac)|(multiple cpu faults)|(system.+state.+changed )|(\[timeout)|(PRM\|1\|D)|(kpr)|(kdp)|(\|lc)|(penalty))" /e /r /s</v>
      </c>
      <c r="U20" s="9" t="str">
        <f>MID(B20,13,4)</f>
        <v>4018</v>
      </c>
      <c r="V20" s="32">
        <f>A20-utc_offset/24</f>
        <v>42785.157604166663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arrival","project_id":79,"tracker_id":40,"status_id":1,"priority_id":2,"assigned_to_id":23,"start_date":"2017-02-18","description":"","custom_fields":[{"id":1,"name":"Subdivision","value":"EC"},{"id":4,"name":"Milepost","value":"7.8349"},{"id":17,"name":"Train ID","value":"227-18"},{"id":16,"name":"Locomotive ID","value":"4018"},{"id":130,"name":"Impact","value":""},{"id":150,"name":"Time of Event (Mountain Time)","value":"20:46:57"},{"id":151,"name":"Denver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"%USERPROFILE%\AppData\Local\Temp\OnboardLogs"\RTDC4018\*4018*201702190*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"%USERPROFILE%\AppData\Local\Temp\OnboardLogs"\RTDC4018\*4018*201702190* &gt;&gt; 2017-02-18-SliceDisagreementCheck.txt</v>
      </c>
      <c r="AE20" s="157" t="str">
        <f>"start /low /b "&amp;dls3logs&amp;" --loco "&amp;U20&amp;" --day "&amp;TEXT(V20,"YYYY-MM-DD")</f>
        <v>start /low /b %USERPROFILE%\Documents\GitHub\eaglep3\Utilities\DownloadLogsFromS3.py --loco 4018 --day 2017-02-19</v>
      </c>
      <c r="AF20" s="1"/>
    </row>
    <row r="21" spans="1:32" x14ac:dyDescent="0.25">
      <c r="A21" s="32">
        <v>42784.888472222221</v>
      </c>
      <c r="B21" s="30" t="s">
        <v>209</v>
      </c>
      <c r="C21" s="30" t="s">
        <v>477</v>
      </c>
      <c r="D21" s="30" t="s">
        <v>49</v>
      </c>
      <c r="E21" s="30" t="s">
        <v>197</v>
      </c>
      <c r="F21" s="43">
        <v>630</v>
      </c>
      <c r="G21" s="43">
        <v>680</v>
      </c>
      <c r="H21" s="43">
        <v>80519</v>
      </c>
      <c r="I21" s="43">
        <v>77862</v>
      </c>
      <c r="J21" s="30" t="s">
        <v>198</v>
      </c>
      <c r="K21" s="43">
        <v>78469</v>
      </c>
      <c r="L21" s="143" t="s">
        <v>51</v>
      </c>
      <c r="M21" s="144">
        <f>CONVERT((I21-K21)/10000,"mi","ft")*IF(L21="Increasing Mileposts (1)",-1,1)</f>
        <v>-320.49599999999998</v>
      </c>
      <c r="N21" s="145" t="str">
        <f>VLOOKUP(C21,'Trips&amp;Operators'!$C$1:$G$99999,5,FALSE)</f>
        <v>MACDONALD THOMAS</v>
      </c>
      <c r="O21" s="194" t="s">
        <v>185</v>
      </c>
      <c r="P21" s="146" t="s">
        <v>282</v>
      </c>
      <c r="Q21" s="30"/>
      <c r="R21" s="89" t="str">
        <f>VLOOKUP(C21,'Train Runs'!$A$13:$AE$9955,31,0)</f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S21" s="92" t="str">
        <f>VLOOKUP(C21,'Train Runs'!$A$13:$AE$9955,22,0)</f>
        <v>https://d0f6bd738d7f1b3e5a7ca70fe4ff75f0.us-east-1.aws.found.io/app/kibana#/discover/Steve-Slow-Train-Analysis-(2080s-and-2083s)?_g=(refreshInterval:(display:Off,pause:!f,section:0,value:0),time:(from:'2017-02-18T19:48:36-0700',mode:absolute,to:'2017-02-18T22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94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/stypes="*4030*201702190*" /stext=" 04:.+((SYSTEM_STATE.+slice.+state.+changed )|(ment ac)|(multiple cpu faults)|(system.+state.+changed )|(\[timeout)|(PRM\|1\|D)|(kpr)|(kdp)|(\|lc)|(penalty))" /e /r /s</v>
      </c>
      <c r="U21" s="9" t="str">
        <f>MID(B21,13,4)</f>
        <v>4030</v>
      </c>
      <c r="V21" s="32">
        <f>A21-utc_offset/24</f>
        <v>42785.180138888885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arrival","project_id":79,"tracker_id":40,"status_id":1,"priority_id":2,"assigned_to_id":23,"start_date":"2017-02-18","description":"","custom_fields":[{"id":1,"name":"Subdivision","value":"EC"},{"id":4,"name":"Milepost","value":"7.8469"},{"id":17,"name":"Train ID","value":"226-18"},{"id":16,"name":"Locomotive ID","value":"4030"},{"id":130,"name":"Impact","value":""},{"id":150,"name":"Time of Event (Mountain Time)","value":"21:19:24"},{"id":151,"name":"Denver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"%USERPROFILE%\AppData\Local\Temp\OnboardLogs"\RTDC4030\*4030*201702190*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"%USERPROFILE%\AppData\Local\Temp\OnboardLogs"\RTDC4030\*4030*201702190* &gt;&gt; 2017-02-18-SliceDisagreementCheck.txt</v>
      </c>
      <c r="AE21" s="157" t="str">
        <f>"start /low /b "&amp;dls3logs&amp;" --loco "&amp;U21&amp;" --day "&amp;TEXT(V21,"YYYY-MM-DD")</f>
        <v>start /low /b %USERPROFILE%\Documents\GitHub\eaglep3\Utilities\DownloadLogsFromS3.py --loco 4030 --day 2017-02-19</v>
      </c>
      <c r="AF21" s="1"/>
    </row>
    <row r="22" spans="1:32" x14ac:dyDescent="0.25">
      <c r="A22" s="32">
        <v>42784.311747685184</v>
      </c>
      <c r="B22" s="30" t="s">
        <v>290</v>
      </c>
      <c r="C22" s="30" t="s">
        <v>439</v>
      </c>
      <c r="D22" s="30" t="s">
        <v>49</v>
      </c>
      <c r="E22" s="30" t="s">
        <v>197</v>
      </c>
      <c r="F22" s="43">
        <v>410</v>
      </c>
      <c r="G22" s="43">
        <v>460</v>
      </c>
      <c r="H22" s="43">
        <v>110259</v>
      </c>
      <c r="I22" s="43">
        <v>108984</v>
      </c>
      <c r="J22" s="30" t="s">
        <v>198</v>
      </c>
      <c r="K22" s="43">
        <v>109135</v>
      </c>
      <c r="L22" s="143" t="s">
        <v>51</v>
      </c>
      <c r="M22" s="144">
        <f>CONVERT((I22-K22)/10000,"mi","ft")*IF(L22="Increasing Mileposts (1)",-1,1)</f>
        <v>-79.727999999999994</v>
      </c>
      <c r="N22" s="145" t="str">
        <f>VLOOKUP(C22,'Trips&amp;Operators'!$C$1:$G$99999,5,FALSE)</f>
        <v>DE LA ROSA ALEX</v>
      </c>
      <c r="O22" s="194" t="s">
        <v>185</v>
      </c>
      <c r="P22" s="146" t="s">
        <v>282</v>
      </c>
      <c r="Q22" s="30"/>
      <c r="R22" s="89" t="str">
        <f>VLOOKUP(C22,'Train Runs'!$A$13:$AE$9955,31,0)</f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S22" s="92" t="str">
        <f>VLOOKUP(C22,'Train Runs'!$A$13:$AE$9955,22,0)</f>
        <v>https://d0f6bd738d7f1b3e5a7ca70fe4ff75f0.us-east-1.aws.found.io/app/kibana#/discover/Steve-Slow-Train-Analysis-(2080s-and-2083s)?_g=(refreshInterval:(display:Off,pause:!f,section:0,value:0),time:(from:'2017-02-18T06:04:59-0700',mode:absolute,to:'2017-02-18T08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94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/stypes="*4017*201702181*" /stext=" 14:.+((SYSTEM_STATE.+slice.+state.+changed )|(ment ac)|(multiple cpu faults)|(system.+state.+changed )|(\[timeout)|(PRM\|1\|D)|(kpr)|(kdp)|(\|lc)|(penalty))" /e /r /s</v>
      </c>
      <c r="U22" s="9" t="str">
        <f>MID(B22,13,4)</f>
        <v>4017</v>
      </c>
      <c r="V22" s="32">
        <f>A22-utc_offset/24</f>
        <v>42784.603414351848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arrival","project_id":79,"tracker_id":40,"status_id":1,"priority_id":2,"assigned_to_id":23,"start_date":"2017-02-18","description":"","custom_fields":[{"id":1,"name":"Subdivision","value":"EC"},{"id":4,"name":"Milepost","value":"10.9135"},{"id":17,"name":"Train ID","value":"122-18"},{"id":16,"name":"Locomotive ID","value":"4017"},{"id":130,"name":"Impact","value":""},{"id":150,"name":"Time of Event (Mountain Time)","value":"07:28:55"},{"id":151,"name":"Denver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"%USERPROFILE%\AppData\Local\Temp\OnboardLogs"\RTDC4017\*4017*201702181*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"%USERPROFILE%\AppData\Local\Temp\OnboardLogs"\RTDC4017\*4017*201702181* &gt;&gt; 2017-02-18-SliceDisagreementCheck.txt</v>
      </c>
      <c r="AE22" s="157" t="str">
        <f>"start /low /b "&amp;dls3logs&amp;" --loco "&amp;U22&amp;" --day "&amp;TEXT(V22,"YYYY-MM-DD")</f>
        <v>start /low /b %USERPROFILE%\Documents\GitHub\eaglep3\Utilities\DownloadLogsFromS3.py --loco 4017 --day 2017-02-18</v>
      </c>
      <c r="AF22" s="1"/>
    </row>
    <row r="23" spans="1:32" x14ac:dyDescent="0.25">
      <c r="A23" s="32">
        <v>42784.8909375</v>
      </c>
      <c r="B23" s="30" t="s">
        <v>192</v>
      </c>
      <c r="C23" s="30" t="s">
        <v>478</v>
      </c>
      <c r="D23" s="30" t="s">
        <v>98</v>
      </c>
      <c r="E23" s="30" t="s">
        <v>444</v>
      </c>
      <c r="F23" s="43">
        <v>400</v>
      </c>
      <c r="G23" s="43">
        <v>450</v>
      </c>
      <c r="H23" s="43">
        <v>118897</v>
      </c>
      <c r="I23" s="43">
        <v>119971</v>
      </c>
      <c r="J23" s="30" t="s">
        <v>445</v>
      </c>
      <c r="K23" s="43">
        <v>116838</v>
      </c>
      <c r="L23" s="143" t="s">
        <v>50</v>
      </c>
      <c r="M23" s="144">
        <f>CONVERT((I23-K23)/10000,"mi","ft")*IF(L23="Increasing Mileposts (1)",-1,1)</f>
        <v>-1654.2239999999999</v>
      </c>
      <c r="N23" s="145" t="str">
        <f>VLOOKUP(C23,'Trips&amp;Operators'!$C$1:$G$99999,5,FALSE)</f>
        <v>DUNCAN SHEILA</v>
      </c>
      <c r="O23" s="194" t="s">
        <v>185</v>
      </c>
      <c r="P23" s="146"/>
      <c r="Q23" s="30"/>
      <c r="R23" s="89" t="str">
        <f>VLOOKUP(C23,'Train Runs'!$A$13:$AE$9955,31,0)</f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S23" s="92" t="str">
        <f>VLOOKUP(C23,'Train Runs'!$A$13:$AE$9955,22,0)</f>
        <v>https://d0f6bd738d7f1b3e5a7ca70fe4ff75f0.us-east-1.aws.found.io/app/kibana#/discover/Steve-Slow-Train-Analysis-(2080s-and-2083s)?_g=(refreshInterval:(display:Off,pause:!f,section:0,value:0),time:(from:'2017-02-18T19:46:35-0700',mode:absolute,to:'2017-02-18T22:39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3" s="94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/stypes="*4011*201702190*" /stext=" 04:.+((SYSTEM_STATE.+slice.+state.+changed )|(ment ac)|(multiple cpu faults)|(system.+state.+changed )|(\[timeout)|(PRM\|1\|D)|(kpr)|(kdp)|(\|lc)|(penalty))" /e /r /s</v>
      </c>
      <c r="U23" s="9" t="str">
        <f>MID(B23,13,4)</f>
        <v>4011</v>
      </c>
      <c r="V23" s="32">
        <f>A23-utc_offset/24</f>
        <v>42785.182604166665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{"issue":{"subject":"","project_id":79,"tracker_id":40,"status_id":1,"priority_id":2,"assigned_to_id":23,"start_date":"2017-02-18","description":"","custom_fields":[{"id":1,"name":"Subdivision","value":"EC"},{"id":4,"name":"Milepost","value":"11.6838"},{"id":17,"name":"Train ID","value":"229-18"},{"id":16,"name":"Locomotive ID","value":"4011"},{"id":130,"name":"Impact","value":""},{"id":150,"name":"Time of Event (Mountain Time)","value":"21:22:57"},{"id":151,"name":"Denver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"%USERPROFILE%\AppData\Local\Temp\OnboardLogs"\RTDC4011\*4011*201702190*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"%USERPROFILE%\AppData\Local\Temp\OnboardLogs"\RTDC4011\*4011*201702190* &gt;&gt; 2017-02-18-SliceDisagreementCheck.txt</v>
      </c>
      <c r="AE23" s="157" t="str">
        <f>"start /low /b "&amp;dls3logs&amp;" --loco "&amp;U23&amp;" --day "&amp;TEXT(V23,"YYYY-MM-DD")</f>
        <v>start /low /b %USERPROFILE%\Documents\GitHub\eaglep3\Utilities\DownloadLogsFromS3.py --loco 4011 --day 2017-02-19</v>
      </c>
      <c r="AF23" s="1"/>
    </row>
    <row r="24" spans="1:32" x14ac:dyDescent="0.25">
      <c r="A24" s="32">
        <v>42784.452233796299</v>
      </c>
      <c r="B24" s="30" t="s">
        <v>248</v>
      </c>
      <c r="C24" s="30" t="s">
        <v>443</v>
      </c>
      <c r="D24" s="30" t="s">
        <v>98</v>
      </c>
      <c r="E24" s="30" t="s">
        <v>444</v>
      </c>
      <c r="F24" s="43">
        <v>600</v>
      </c>
      <c r="G24" s="43">
        <v>651</v>
      </c>
      <c r="H24" s="43">
        <v>123680</v>
      </c>
      <c r="I24" s="43">
        <v>126614</v>
      </c>
      <c r="J24" s="30" t="s">
        <v>445</v>
      </c>
      <c r="K24" s="43">
        <v>119716</v>
      </c>
      <c r="L24" s="143" t="s">
        <v>50</v>
      </c>
      <c r="M24" s="144">
        <f>CONVERT((I24-K24)/10000,"mi","ft")*IF(L24="Increasing Mileposts (1)",-1,1)</f>
        <v>-3642.1439999999998</v>
      </c>
      <c r="N24" s="145" t="str">
        <f>VLOOKUP(C24,'Trips&amp;Operators'!$C$1:$G$99999,5,FALSE)</f>
        <v>ROMERO CHAD</v>
      </c>
      <c r="O24" s="194" t="s">
        <v>185</v>
      </c>
      <c r="P24" s="146"/>
      <c r="Q24" s="30"/>
      <c r="R24" s="89" t="str">
        <f>VLOOKUP(C24,'Train Runs'!$A$13:$AE$9955,31,0)</f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S24" s="92" t="str">
        <f>VLOOKUP(C24,'Train Runs'!$A$13:$AE$9955,22,0)</f>
        <v>https://d0f6bd738d7f1b3e5a7ca70fe4ff75f0.us-east-1.aws.found.io/app/kibana#/discover/Steve-Slow-Train-Analysis-(2080s-and-2083s)?_g=(refreshInterval:(display:Off,pause:!f,section:0,value:0),time:(from:'2017-02-18T09:25:24-0700',mode:absolute,to:'2017-02-18T12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4" s="94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/stypes="*4053*201702181*" /stext=" 17:.+((SYSTEM_STATE.+slice.+state.+changed )|(ment ac)|(multiple cpu faults)|(system.+state.+changed )|(\[timeout)|(PRM\|1\|D)|(kpr)|(kdp)|(\|lc)|(penalty))" /e /r /s</v>
      </c>
      <c r="U24" s="9" t="str">
        <f>MID(B24,13,4)</f>
        <v>4053</v>
      </c>
      <c r="V24" s="32">
        <f>A24-utc_offset/24</f>
        <v>42784.743900462963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{"issue":{"subject":"","project_id":79,"tracker_id":40,"status_id":1,"priority_id":2,"assigned_to_id":23,"start_date":"2017-02-18","description":"","custom_fields":[{"id":1,"name":"Subdivision","value":"EC"},{"id":4,"name":"Milepost","value":"11.9716"},{"id":17,"name":"Train ID","value":"155-18"},{"id":16,"name":"Locomotive ID","value":"4053"},{"id":130,"name":"Impact","value":""},{"id":150,"name":"Time of Event (Mountain Time)","value":"10:51:13"},{"id":151,"name":"Denver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"%USERPROFILE%\AppData\Local\Temp\OnboardLogs"\RTDC4053\*4053*201702181*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"%USERPROFILE%\AppData\Local\Temp\OnboardLogs"\RTDC4053\*4053*201702181* &gt;&gt; 2017-02-18-SliceDisagreementCheck.txt</v>
      </c>
      <c r="AE24" s="157" t="str">
        <f>"start /low /b "&amp;dls3logs&amp;" --loco "&amp;U24&amp;" --day "&amp;TEXT(V24,"YYYY-MM-DD")</f>
        <v>start /low /b %USERPROFILE%\Documents\GitHub\eaglep3\Utilities\DownloadLogsFromS3.py --loco 4053 --day 2017-02-18</v>
      </c>
      <c r="AF24" s="1"/>
    </row>
    <row r="25" spans="1:32" x14ac:dyDescent="0.25">
      <c r="A25" s="32">
        <v>42784.612766203703</v>
      </c>
      <c r="B25" s="30" t="s">
        <v>288</v>
      </c>
      <c r="C25" s="30" t="s">
        <v>459</v>
      </c>
      <c r="D25" s="30" t="s">
        <v>49</v>
      </c>
      <c r="E25" s="30" t="s">
        <v>444</v>
      </c>
      <c r="F25" s="43">
        <v>400</v>
      </c>
      <c r="G25" s="43">
        <v>560</v>
      </c>
      <c r="H25" s="43">
        <v>122478</v>
      </c>
      <c r="I25" s="43">
        <v>120734</v>
      </c>
      <c r="J25" s="30" t="s">
        <v>445</v>
      </c>
      <c r="K25" s="43">
        <v>119716</v>
      </c>
      <c r="L25" s="143" t="s">
        <v>51</v>
      </c>
      <c r="M25" s="144">
        <f>CONVERT((I25-K25)/10000,"mi","ft")*IF(L25="Increasing Mileposts (1)",-1,1)</f>
        <v>537.50400000000002</v>
      </c>
      <c r="N25" s="145" t="str">
        <f>VLOOKUP(C25,'Trips&amp;Operators'!$C$1:$G$99999,5,FALSE)</f>
        <v>KILLION DAVID</v>
      </c>
      <c r="O25" s="194" t="s">
        <v>185</v>
      </c>
      <c r="P25" s="146"/>
      <c r="Q25" s="30"/>
      <c r="R25" s="89" t="str">
        <f>VLOOKUP(C25,'Train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25" s="92" t="str">
        <f>VLOOKUP(C25,'Train Runs'!$A$13:$AE$9955,22,0)</f>
        <v>https://d0f6bd738d7f1b3e5a7ca70fe4ff75f0.us-east-1.aws.found.io/app/kibana#/discover/Steve-Slow-Train-Analysis-(2080s-and-2083s)?_g=(refreshInterval:(display:Off,pause:!f,section:0,value:0),time:(from:'2017-02-18T13:22:41-0700',mode:absolute,to:'2017-02-18T16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5" s="94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/stypes="*4008*201702182*" /stext=" 21:.+((SYSTEM_STATE.+slice.+state.+changed )|(ment ac)|(multiple cpu faults)|(system.+state.+changed )|(\[timeout)|(PRM\|1\|D)|(kpr)|(kdp)|(\|lc)|(penalty))" /e /r /s</v>
      </c>
      <c r="U25" s="9" t="str">
        <f>MID(B25,13,4)</f>
        <v>4008</v>
      </c>
      <c r="V25" s="32">
        <f>A25-utc_offset/24</f>
        <v>42784.904432870368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{"issue":{"subject":"","project_id":79,"tracker_id":40,"status_id":1,"priority_id":2,"assigned_to_id":23,"start_date":"2017-02-18","description":"","custom_fields":[{"id":1,"name":"Subdivision","value":"EC"},{"id":4,"name":"Milepost","value":"11.9716"},{"id":17,"name":"Train ID","value":"180-18"},{"id":16,"name":"Locomotive ID","value":"4008"},{"id":130,"name":"Impact","value":""},{"id":150,"name":"Time of Event (Mountain Time)","value":"14:42:23"},{"id":151,"name":"Denver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"%USERPROFILE%\AppData\Local\Temp\OnboardLogs"\RTDC4008\*4008*201702182*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"%USERPROFILE%\AppData\Local\Temp\OnboardLogs"\RTDC4008\*4008*201702182* &gt;&gt; 2017-02-18-SliceDisagreementCheck.txt</v>
      </c>
      <c r="AE25" s="157" t="str">
        <f>"start /low /b "&amp;dls3logs&amp;" --loco "&amp;U25&amp;" --day "&amp;TEXT(V25,"YYYY-MM-DD")</f>
        <v>start /low /b %USERPROFILE%\Documents\GitHub\eaglep3\Utilities\DownloadLogsFromS3.py --loco 4008 --day 2017-02-18</v>
      </c>
      <c r="AF25" s="1"/>
    </row>
    <row r="26" spans="1:32" x14ac:dyDescent="0.25">
      <c r="A26" s="32">
        <v>42784.815532407411</v>
      </c>
      <c r="B26" s="30" t="s">
        <v>290</v>
      </c>
      <c r="C26" s="30" t="s">
        <v>474</v>
      </c>
      <c r="D26" s="30" t="s">
        <v>98</v>
      </c>
      <c r="E26" s="30" t="s">
        <v>444</v>
      </c>
      <c r="F26" s="43">
        <v>700</v>
      </c>
      <c r="G26" s="43">
        <v>752</v>
      </c>
      <c r="H26" s="43">
        <v>180159</v>
      </c>
      <c r="I26" s="43">
        <v>176686</v>
      </c>
      <c r="J26" s="30" t="s">
        <v>445</v>
      </c>
      <c r="K26" s="43">
        <v>183829</v>
      </c>
      <c r="L26" s="143" t="s">
        <v>51</v>
      </c>
      <c r="M26" s="144">
        <f>CONVERT((I26-K26)/10000,"mi","ft")*IF(L26="Increasing Mileposts (1)",-1,1)</f>
        <v>-3771.5039999999999</v>
      </c>
      <c r="N26" s="145" t="str">
        <f>VLOOKUP(C26,'Trips&amp;Operators'!$C$1:$G$99999,5,FALSE)</f>
        <v>MAGEE KENYA</v>
      </c>
      <c r="O26" s="194" t="s">
        <v>185</v>
      </c>
      <c r="P26" s="146"/>
      <c r="Q26" s="30"/>
      <c r="R26" s="89" t="str">
        <f>VLOOKUP(C26,'Train Runs'!$A$13:$AE$9955,31,0)</f>
        <v>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 &amp; aws s3 cp s3://rtdc.mdm.uploadarchive.raw/RTDC4017/ "%USERPROFILE%\AppData\Local\Temp\OnboardLogs"\RTDC4017\2017-02-19 --exclude "*" --recursive --include "*20170219*" &amp; "%USERPROFILE%\Documents\GitHub\mrs-test-scripts\Headless Mode &amp; Sideloading\WalkAndUnGZ.bat" "%USERPROFILE%\AppData\Local\Temp\OnboardLogs"\RTDC4017\2017-02-19</v>
      </c>
      <c r="S26" s="92" t="str">
        <f>VLOOKUP(C26,'Train Runs'!$A$13:$AE$9955,22,0)</f>
        <v>https://d0f6bd738d7f1b3e5a7ca70fe4ff75f0.us-east-1.aws.found.io/app/kibana#/discover/Steve-Slow-Train-Analysis-(2080s-and-2083s)?_g=(refreshInterval:(display:Off,pause:!f,section:0,value:0),time:(from:'2017-02-18T18:21:35-0700',mode:absolute,to:'2017-02-18T21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6" s="94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/stypes="*4017*201702190*" /stext=" 02:.+((SYSTEM_STATE.+slice.+state.+changed )|(ment ac)|(multiple cpu faults)|(system.+state.+changed )|(\[timeout)|(PRM\|1\|D)|(kpr)|(kdp)|(\|lc)|(penalty))" /e /r /s</v>
      </c>
      <c r="U26" s="9" t="str">
        <f>MID(B26,13,4)</f>
        <v>4017</v>
      </c>
      <c r="V26" s="32">
        <f>A26-utc_offset/24</f>
        <v>42785.107199074075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{"issue":{"subject":"","project_id":79,"tracker_id":40,"status_id":1,"priority_id":2,"assigned_to_id":23,"start_date":"2017-02-18","description":"","custom_fields":[{"id":1,"name":"Subdivision","value":"EC"},{"id":4,"name":"Milepost","value":"18.3829"},{"id":17,"name":"Train ID","value":"220-18"},{"id":16,"name":"Locomotive ID","value":"4017"},{"id":130,"name":"Impact","value":""},{"id":150,"name":"Time of Event (Mountain Time)","value":"19:34:22"},{"id":151,"name":"Denver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"%USERPROFILE%\AppData\Local\Temp\OnboardLogs"\RTDC4017\*4017*201702190*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"%USERPROFILE%\AppData\Local\Temp\OnboardLogs"\RTDC4017\*4017*201702190* &gt;&gt; 2017-02-18-SliceDisagreementCheck.txt</v>
      </c>
      <c r="AE26" s="157" t="str">
        <f>"start /low /b "&amp;dls3logs&amp;" --loco "&amp;U26&amp;" --day "&amp;TEXT(V26,"YYYY-MM-DD")</f>
        <v>start /low /b %USERPROFILE%\Documents\GitHub\eaglep3\Utilities\DownloadLogsFromS3.py --loco 4017 --day 2017-02-19</v>
      </c>
      <c r="AF26" s="1"/>
    </row>
    <row r="27" spans="1:32" x14ac:dyDescent="0.25">
      <c r="A27" s="32">
        <v>42784.721134259256</v>
      </c>
      <c r="B27" s="30" t="s">
        <v>222</v>
      </c>
      <c r="C27" s="30" t="s">
        <v>463</v>
      </c>
      <c r="D27" s="30" t="s">
        <v>98</v>
      </c>
      <c r="E27" s="30" t="s">
        <v>444</v>
      </c>
      <c r="F27" s="43">
        <v>600</v>
      </c>
      <c r="G27" s="43">
        <v>650</v>
      </c>
      <c r="H27" s="43">
        <v>184537</v>
      </c>
      <c r="I27" s="43">
        <v>181483</v>
      </c>
      <c r="J27" s="30" t="s">
        <v>445</v>
      </c>
      <c r="K27" s="43">
        <v>190834</v>
      </c>
      <c r="L27" s="143" t="s">
        <v>51</v>
      </c>
      <c r="M27" s="144">
        <f>CONVERT((I27-K27)/10000,"mi","ft")*IF(L27="Increasing Mileposts (1)",-1,1)</f>
        <v>-4937.3280000000004</v>
      </c>
      <c r="N27" s="145" t="str">
        <f>VLOOKUP(C27,'Trips&amp;Operators'!$C$1:$G$99999,5,FALSE)</f>
        <v>STEWART MICHAEL</v>
      </c>
      <c r="O27" s="194" t="s">
        <v>185</v>
      </c>
      <c r="P27" s="146"/>
      <c r="Q27" s="30"/>
      <c r="R27" s="89" t="str">
        <f>VLOOKUP(C27,'Train Runs'!$A$13:$AE$9955,31,0)</f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S27" s="92" t="str">
        <f>VLOOKUP(C27,'Train Runs'!$A$13:$AE$9955,22,0)</f>
        <v>https://d0f6bd738d7f1b3e5a7ca70fe4ff75f0.us-east-1.aws.found.io/app/kibana#/discover/Steve-Slow-Train-Analysis-(2080s-and-2083s)?_g=(refreshInterval:(display:Off,pause:!f,section:0,value:0),time:(from:'2017-02-18T16:08:26-0700',mode:absolute,to:'2017-02-18T18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7" s="94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/stypes="*4028*201702190*" /stext=" 00:.+((SYSTEM_STATE.+slice.+state.+changed )|(ment ac)|(multiple cpu faults)|(system.+state.+changed )|(\[timeout)|(PRM\|1\|D)|(kpr)|(kdp)|(\|lc)|(penalty))" /e /r /s</v>
      </c>
      <c r="U27" s="9" t="str">
        <f>MID(B27,13,4)</f>
        <v>4028</v>
      </c>
      <c r="V27" s="32">
        <f>A27-utc_offset/24</f>
        <v>42785.012800925921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{"issue":{"subject":"","project_id":79,"tracker_id":40,"status_id":1,"priority_id":2,"assigned_to_id":23,"start_date":"2017-02-18","description":"","custom_fields":[{"id":1,"name":"Subdivision","value":"EC"},{"id":4,"name":"Milepost","value":"19.0834"},{"id":17,"name":"Train ID","value":"202-18"},{"id":16,"name":"Locomotive ID","value":"4028"},{"id":130,"name":"Impact","value":""},{"id":150,"name":"Time of Event (Mountain Time)","value":"17:18:26"},{"id":151,"name":"Denver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"%USERPROFILE%\AppData\Local\Temp\OnboardLogs"\RTDC4028\*4028*201702190*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"%USERPROFILE%\AppData\Local\Temp\OnboardLogs"\RTDC4028\*4028*201702190* &gt;&gt; 2017-02-18-SliceDisagreementCheck.txt</v>
      </c>
      <c r="AE27" s="157" t="str">
        <f>"start /low /b "&amp;dls3logs&amp;" --loco "&amp;U27&amp;" --day "&amp;TEXT(V27,"YYYY-MM-DD")</f>
        <v>start /low /b %USERPROFILE%\Documents\GitHub\eaglep3\Utilities\DownloadLogsFromS3.py --loco 4028 --day 2017-02-19</v>
      </c>
      <c r="AF27" s="1"/>
    </row>
    <row r="28" spans="1:32" x14ac:dyDescent="0.25">
      <c r="A28" s="32">
        <v>42784.512175925927</v>
      </c>
      <c r="B28" s="30" t="s">
        <v>234</v>
      </c>
      <c r="C28" s="30" t="s">
        <v>450</v>
      </c>
      <c r="D28" s="30" t="s">
        <v>49</v>
      </c>
      <c r="E28" s="30" t="s">
        <v>444</v>
      </c>
      <c r="F28" s="43">
        <v>550</v>
      </c>
      <c r="G28" s="43">
        <v>779</v>
      </c>
      <c r="H28" s="43">
        <v>218202</v>
      </c>
      <c r="I28" s="43">
        <v>221875</v>
      </c>
      <c r="J28" s="30" t="s">
        <v>445</v>
      </c>
      <c r="K28" s="43">
        <v>222090</v>
      </c>
      <c r="L28" s="143" t="s">
        <v>50</v>
      </c>
      <c r="M28" s="144">
        <f>CONVERT((I28-K28)/10000,"mi","ft")*IF(L28="Increasing Mileposts (1)",-1,1)</f>
        <v>113.52</v>
      </c>
      <c r="N28" s="145" t="str">
        <f>VLOOKUP(C28,'Trips&amp;Operators'!$C$1:$G$99999,5,FALSE)</f>
        <v>KILLION DAVID</v>
      </c>
      <c r="O28" s="194" t="s">
        <v>185</v>
      </c>
      <c r="P28" s="146"/>
      <c r="Q28" s="30"/>
      <c r="R28" s="89" t="str">
        <f>VLOOKUP(C28,'Train Runs'!$A$13:$AE$9955,31,0)</f>
        <v>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 &amp; aws s3 cp s3://rtdc.mdm.uploadarchive.raw/RTDC4007/ "%USERPROFILE%\AppData\Local\Temp\OnboardLogs"\RTDC4007\2017-02-19 --exclude "*" --recursive --include "*20170219*" &amp; "%USERPROFILE%\Documents\GitHub\mrs-test-scripts\Headless Mode &amp; Sideloading\WalkAndUnGZ.bat" "%USERPROFILE%\AppData\Local\Temp\OnboardLogs"\RTDC4007\2017-02-19</v>
      </c>
      <c r="S28" s="92" t="str">
        <f>VLOOKUP(C28,'Train Runs'!$A$13:$AE$9955,22,0)</f>
        <v>https://d0f6bd738d7f1b3e5a7ca70fe4ff75f0.us-east-1.aws.found.io/app/kibana#/discover/Steve-Slow-Train-Analysis-(2080s-and-2083s)?_g=(refreshInterval:(display:Off,pause:!f,section:0,value:0),time:(from:'2017-02-18T10:38:33-0700',mode:absolute,to:'2017-02-18T13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8" s="94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/stypes="*4007*201702181*" /stext=" 19:.+((SYSTEM_STATE.+slice.+state.+changed )|(ment ac)|(multiple cpu faults)|(system.+state.+changed )|(\[timeout)|(PRM\|1\|D)|(kpr)|(kdp)|(\|lc)|(penalty))" /e /r /s</v>
      </c>
      <c r="U28" s="9" t="str">
        <f>MID(B28,13,4)</f>
        <v>4007</v>
      </c>
      <c r="V28" s="32">
        <f>A28-utc_offset/24</f>
        <v>42784.803842592592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{"issue":{"subject":"","project_id":79,"tracker_id":40,"status_id":1,"priority_id":2,"assigned_to_id":23,"start_date":"2017-02-18","description":"","custom_fields":[{"id":1,"name":"Subdivision","value":"EC"},{"id":4,"name":"Milepost","value":"22.209"},{"id":17,"name":"Train ID","value":"165-18"},{"id":16,"name":"Locomotive ID","value":"4007"},{"id":130,"name":"Impact","value":""},{"id":150,"name":"Time of Event (Mountain Time)","value":"12:17:32"},{"id":151,"name":"Denver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"%USERPROFILE%\AppData\Local\Temp\OnboardLogs"\RTDC4007\*4007*201702181*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"%USERPROFILE%\AppData\Local\Temp\OnboardLogs"\RTDC4007\*4007*201702181* &gt;&gt; 2017-02-18-SliceDisagreementCheck.txt</v>
      </c>
      <c r="AE28" s="157" t="str">
        <f>"start /low /b "&amp;dls3logs&amp;" --loco "&amp;U28&amp;" --day "&amp;TEXT(V28,"YYYY-MM-DD")</f>
        <v>start /low /b %USERPROFILE%\Documents\GitHub\eaglep3\Utilities\DownloadLogsFromS3.py --loco 4007 --day 2017-02-18</v>
      </c>
      <c r="AF28" s="1"/>
    </row>
    <row r="29" spans="1:32" x14ac:dyDescent="0.25">
      <c r="A29" s="32">
        <v>42784.509826388887</v>
      </c>
      <c r="B29" s="30" t="s">
        <v>227</v>
      </c>
      <c r="C29" s="30" t="s">
        <v>449</v>
      </c>
      <c r="D29" s="30" t="s">
        <v>49</v>
      </c>
      <c r="E29" s="30" t="s">
        <v>186</v>
      </c>
      <c r="F29" s="43">
        <v>0</v>
      </c>
      <c r="G29" s="43">
        <v>159</v>
      </c>
      <c r="H29" s="43">
        <v>21220</v>
      </c>
      <c r="I29" s="43">
        <v>21000</v>
      </c>
      <c r="J29" s="30" t="s">
        <v>187</v>
      </c>
      <c r="K29" s="43">
        <v>20632</v>
      </c>
      <c r="L29" s="143" t="s">
        <v>51</v>
      </c>
      <c r="M29" s="144">
        <f>CONVERT((I29-K29)/10000,"mi","ft")*IF(L29="Increasing Mileposts (1)",-1,1)</f>
        <v>194.304</v>
      </c>
      <c r="N29" s="145" t="str">
        <f>VLOOKUP(C29,'Trips&amp;Operators'!$C$1:$G$99999,5,FALSE)</f>
        <v>GEBRETEKLE DAGNEW</v>
      </c>
      <c r="O29" s="194" t="s">
        <v>483</v>
      </c>
      <c r="P29" s="146" t="s">
        <v>849</v>
      </c>
      <c r="Q29" s="30"/>
      <c r="R29" s="89" t="str">
        <f>VLOOKUP(C29,'Train Runs'!$A$13:$AE$9955,31,0)</f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S29" s="92" t="str">
        <f>VLOOKUP(C29,'Train Runs'!$A$13:$AE$9955,22,0)</f>
        <v>https://d0f6bd738d7f1b3e5a7ca70fe4ff75f0.us-east-1.aws.found.io/app/kibana#/discover/Steve-Slow-Train-Analysis-(2080s-and-2083s)?_g=(refreshInterval:(display:Off,pause:!f,section:0,value:0),time:(from:'2017-02-18T10:32:49-0700',mode:absolute,to:'2017-02-18T13:14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94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/stypes="*4015*201702181*" /stext=" 19:.+((SYSTEM_STATE.+slice.+state.+changed )|(ment ac)|(multiple cpu faults)|(system.+state.+changed )|(\[timeout)|(PRM\|1\|D)|(kpr)|(kdp)|(\|lc)|(penalty))" /e /r /s</v>
      </c>
      <c r="U29" s="9" t="str">
        <f>MID(B29,13,4)</f>
        <v>4015</v>
      </c>
      <c r="V29" s="32">
        <f>A29-utc_offset/24</f>
        <v>42784.801493055551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{"issue":{"subject":"Minor Onboard in-route failure (caused EC0206RH 28-2T 2S status to go unknown)","project_id":79,"tracker_id":40,"status_id":1,"priority_id":2,"assigned_to_id":23,"start_date":"2017-02-18","description":"","custom_fields":[{"id":1,"name":"Subdivision","value":"EC"},{"id":4,"name":"Milepost","value":"2.0632"},{"id":17,"name":"Train ID","value":"158-18"},{"id":16,"name":"Locomotive ID","value":"4015"},{"id":130,"name":"Impact","value":""},{"id":150,"name":"Time of Event (Mountain Time)","value":"12:14:09"},{"id":151,"name":"Denver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"%USERPROFILE%\AppData\Local\Temp\OnboardLogs"\RTDC4015\*4015*201702181*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"%USERPROFILE%\AppData\Local\Temp\OnboardLogs"\RTDC4015\*4015*201702181* &gt;&gt; 2017-02-18-SliceDisagreementCheck.txt</v>
      </c>
      <c r="AE29" s="157" t="str">
        <f>"start /low /b "&amp;dls3logs&amp;" --loco "&amp;U29&amp;" --day "&amp;TEXT(V29,"YYYY-MM-DD")</f>
        <v>start /low /b %USERPROFILE%\Documents\GitHub\eaglep3\Utilities\DownloadLogsFromS3.py --loco 4015 --day 2017-02-18</v>
      </c>
      <c r="AF29" s="1"/>
    </row>
    <row r="30" spans="1:32" x14ac:dyDescent="0.25">
      <c r="A30" s="32">
        <v>42784.791388888887</v>
      </c>
      <c r="B30" s="30" t="s">
        <v>222</v>
      </c>
      <c r="C30" s="30" t="s">
        <v>469</v>
      </c>
      <c r="D30" s="30" t="s">
        <v>49</v>
      </c>
      <c r="E30" s="30" t="s">
        <v>470</v>
      </c>
      <c r="F30" s="43">
        <v>0</v>
      </c>
      <c r="G30" s="43">
        <v>623</v>
      </c>
      <c r="H30" s="43">
        <v>220753</v>
      </c>
      <c r="I30" s="43">
        <v>218091</v>
      </c>
      <c r="J30" s="30" t="s">
        <v>471</v>
      </c>
      <c r="K30" s="43">
        <v>219875</v>
      </c>
      <c r="L30" s="143" t="s">
        <v>51</v>
      </c>
      <c r="M30" s="144">
        <f>CONVERT((I30-K30)/10000,"mi","ft")*IF(L30="Increasing Mileposts (1)",-1,1)</f>
        <v>-941.952</v>
      </c>
      <c r="N30" s="145" t="str">
        <f>VLOOKUP(C30,'Trips&amp;Operators'!$C$1:$G$99999,5,FALSE)</f>
        <v>BRANNON JEFFREY</v>
      </c>
      <c r="O30" s="194" t="s">
        <v>483</v>
      </c>
      <c r="P30" s="146" t="s">
        <v>850</v>
      </c>
      <c r="Q30" s="30"/>
      <c r="R30" s="89" t="str">
        <f>VLOOKUP(C30,'Train Runs'!$A$13:$AE$9955,31,0)</f>
        <v>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 &amp; aws s3 cp s3://rtdc.mdm.uploadarchive.raw/RTDC4028/ "%USERPROFILE%\AppData\Local\Temp\OnboardLogs"\RTDC4028\2017-02-19 --exclude "*" --recursive --include "*20170219*" &amp; "%USERPROFILE%\Documents\GitHub\mrs-test-scripts\Headless Mode &amp; Sideloading\WalkAndUnGZ.bat" "%USERPROFILE%\AppData\Local\Temp\OnboardLogs"\RTDC4028\2017-02-19</v>
      </c>
      <c r="S30" s="92" t="str">
        <f>VLOOKUP(C30,'Train Runs'!$A$13:$AE$9955,22,0)</f>
        <v>https://d0f6bd738d7f1b3e5a7ca70fe4ff75f0.us-east-1.aws.found.io/app/kibana#/discover/Steve-Slow-Train-Analysis-(2080s-and-2083s)?_g=(refreshInterval:(display:Off,pause:!f,section:0,value:0),time:(from:'2017-02-18T18:06:54-0700',mode:absolute,to:'2017-02-18T20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/stypes="*4028*201702190*" /stext=" 01:.+((SYSTEM_STATE.+slice.+state.+changed )|(ment ac)|(multiple cpu faults)|(system.+state.+changed )|(\[timeout)|(PRM\|1\|D)|(kpr)|(kdp)|(\|lc)|(penalty))" /e /r /s</v>
      </c>
      <c r="U30" s="9" t="str">
        <f>MID(B30,13,4)</f>
        <v>4028</v>
      </c>
      <c r="V30" s="32">
        <f>A30-utc_offset/24</f>
        <v>42785.083055555551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-02-18","description":"http://stevetu21.github.io/eaglep3/load_kml.html?kml=http://rtdc.gmaps-snips.s3.amazonaws.com/2516a719-b72d-4a55-9b5b-5bcbfb957b62.kml","custom_fields":[{"id":1,"name":"Subdivision","value":"EC"},{"id":4,"name":"Milepost","value":"21.9875"},{"id":17,"name":"Train ID","value":"216-18"},{"id":16,"name":"Locomotive ID","value":"4028"},{"id":130,"name":"Impact","value":"Enforcement"},{"id":150,"name":"Time of Event (Mountain Time)","value":"18:59:36"},{"id":151,"name":"Denver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s="20" t="s">
        <v>851</v>
      </c>
      <c r="AA30" s="48" t="s">
        <v>124</v>
      </c>
      <c r="AB30" s="48" t="s">
        <v>137</v>
      </c>
      <c r="AC30" s="127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"%USERPROFILE%\AppData\Local\Temp\OnboardLogs"\RTDC4028\*4028*201702190*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"%USERPROFILE%\AppData\Local\Temp\OnboardLogs"\RTDC4028\*4028*201702190* &gt;&gt; 2017-02-18-SliceDisagreementCheck.txt</v>
      </c>
      <c r="AE30" s="157" t="str">
        <f>"start /low /b "&amp;dls3logs&amp;" --loco "&amp;U30&amp;" --day "&amp;TEXT(V30,"YYYY-MM-DD")</f>
        <v>start /low /b %USERPROFILE%\Documents\GitHub\eaglep3\Utilities\DownloadLogsFromS3.py --loco 4028 --day 2017-02-19</v>
      </c>
      <c r="AF30" s="1"/>
    </row>
    <row r="31" spans="1:32" x14ac:dyDescent="0.25">
      <c r="A31" s="32">
        <v>42784.414375</v>
      </c>
      <c r="B31" s="30" t="s">
        <v>288</v>
      </c>
      <c r="C31" s="30" t="s">
        <v>442</v>
      </c>
      <c r="D31" s="30" t="s">
        <v>49</v>
      </c>
      <c r="E31" s="30" t="s">
        <v>188</v>
      </c>
      <c r="F31" s="43">
        <v>0</v>
      </c>
      <c r="G31" s="43">
        <v>59</v>
      </c>
      <c r="H31" s="43">
        <v>187</v>
      </c>
      <c r="I31" s="43">
        <v>138</v>
      </c>
      <c r="J31" s="30" t="s">
        <v>189</v>
      </c>
      <c r="K31" s="43">
        <v>1</v>
      </c>
      <c r="L31" s="143" t="s">
        <v>51</v>
      </c>
      <c r="M31" s="144">
        <f>CONVERT((I31-K31)/10000,"mi","ft")*IF(L31="Increasing Mileposts (1)",-1,1)</f>
        <v>72.335999999999999</v>
      </c>
      <c r="N31" s="145" t="str">
        <f>VLOOKUP(C31,'Trips&amp;Operators'!$C$1:$G$99999,5,FALSE)</f>
        <v>BRANDNER MELINDA</v>
      </c>
      <c r="O31" s="194" t="s">
        <v>185</v>
      </c>
      <c r="P31" s="146"/>
      <c r="Q31" s="30"/>
      <c r="R31" s="89" t="str">
        <f>VLOOKUP(C31,'Train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31" s="92" t="str">
        <f>VLOOKUP(C31,'Train Runs'!$A$13:$AE$9955,22,0)</f>
        <v>https://d0f6bd738d7f1b3e5a7ca70fe4ff75f0.us-east-1.aws.found.io/app/kibana#/discover/Steve-Slow-Train-Analysis-(2080s-and-2083s)?_g=(refreshInterval:(display:Off,pause:!f,section:0,value:0),time:(from:'2017-02-18T08:06:47-0700',mode:absolute,to:'2017-02-18T10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1" s="94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/stypes="*4008*201702181*" /stext=" 16:.+((SYSTEM_STATE.+slice.+state.+changed )|(ment ac)|(multiple cpu faults)|(system.+state.+changed )|(\[timeout)|(PRM\|1\|D)|(kpr)|(kdp)|(\|lc)|(penalty))" /e /r /s</v>
      </c>
      <c r="U31" s="9" t="str">
        <f>MID(B31,13,4)</f>
        <v>4008</v>
      </c>
      <c r="V31" s="32">
        <f>A31-utc_offset/24</f>
        <v>42784.706041666665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{"issue":{"subject":"","project_id":79,"tracker_id":40,"status_id":1,"priority_id":2,"assigned_to_id":23,"start_date":"2017-02-18","description":"","custom_fields":[{"id":1,"name":"Subdivision","value":"EC"},{"id":4,"name":"Milepost","value":"0.0001"},{"id":17,"name":"Train ID","value":"138-18"},{"id":16,"name":"Locomotive ID","value":"4008"},{"id":130,"name":"Impact","value":""},{"id":150,"name":"Time of Event (Mountain Time)","value":"09:56:42"},{"id":151,"name":"Denver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"%USERPROFILE%\AppData\Local\Temp\OnboardLogs"\RTDC4008\*4008*201702181*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"%USERPROFILE%\AppData\Local\Temp\OnboardLogs"\RTDC4008\*4008*201702181* &gt;&gt; 2017-02-18-SliceDisagreementCheck.txt</v>
      </c>
      <c r="AE31" s="157" t="str">
        <f>"start /low /b "&amp;dls3logs&amp;" --loco "&amp;U31&amp;" --day "&amp;TEXT(V31,"YYYY-MM-DD")</f>
        <v>start /low /b %USERPROFILE%\Documents\GitHub\eaglep3\Utilities\DownloadLogsFromS3.py --loco 4008 --day 2017-02-18</v>
      </c>
      <c r="AF31" s="1"/>
    </row>
    <row r="32" spans="1:32" x14ac:dyDescent="0.25">
      <c r="A32" s="32">
        <v>42784.461805555555</v>
      </c>
      <c r="B32" s="30" t="s">
        <v>209</v>
      </c>
      <c r="C32" s="30" t="s">
        <v>446</v>
      </c>
      <c r="D32" s="30" t="s">
        <v>49</v>
      </c>
      <c r="E32" s="30" t="s">
        <v>188</v>
      </c>
      <c r="F32" s="43">
        <v>0</v>
      </c>
      <c r="G32" s="43">
        <v>54</v>
      </c>
      <c r="H32" s="43">
        <v>189</v>
      </c>
      <c r="I32" s="43">
        <v>139</v>
      </c>
      <c r="J32" s="30" t="s">
        <v>189</v>
      </c>
      <c r="K32" s="43">
        <v>1</v>
      </c>
      <c r="L32" s="143" t="s">
        <v>51</v>
      </c>
      <c r="M32" s="144">
        <f>CONVERT((I32-K32)/10000,"mi","ft")*IF(L32="Increasing Mileposts (1)",-1,1)</f>
        <v>72.864000000000004</v>
      </c>
      <c r="N32" s="145" t="str">
        <f>VLOOKUP(C32,'Trips&amp;Operators'!$C$1:$G$99999,5,FALSE)</f>
        <v>COOLAHAN JOHN</v>
      </c>
      <c r="O32" s="194" t="s">
        <v>185</v>
      </c>
      <c r="P32" s="146"/>
      <c r="Q32" s="30"/>
      <c r="R32" s="89" t="str">
        <f>VLOOKUP(C32,'Train Runs'!$A$13:$AE$9955,31,0)</f>
        <v>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 &amp; 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</v>
      </c>
      <c r="S32" s="92" t="str">
        <f>VLOOKUP(C32,'Train Runs'!$A$13:$AE$9955,22,0)</f>
        <v>https://d0f6bd738d7f1b3e5a7ca70fe4ff75f0.us-east-1.aws.found.io/app/kibana#/discover/Steve-Slow-Train-Analysis-(2080s-and-2083s)?_g=(refreshInterval:(display:Off,pause:!f,section:0,value:0),time:(from:'2017-02-18T09:17:56-0700',mode:absolute,to:'2017-02-18T12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2" s="94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/stypes="*4030*201702181*" /stext=" 18:.+((SYSTEM_STATE.+slice.+state.+changed )|(ment ac)|(multiple cpu faults)|(system.+state.+changed )|(\[timeout)|(PRM\|1\|D)|(kpr)|(kdp)|(\|lc)|(penalty))" /e /r /s</v>
      </c>
      <c r="U32" s="9" t="str">
        <f>MID(B32,13,4)</f>
        <v>4030</v>
      </c>
      <c r="V32" s="32">
        <f>A32-utc_offset/24</f>
        <v>42784.753472222219</v>
      </c>
      <c r="W32" s="46" t="str">
        <f>IFERROR(IF(VALUE(LEFT(IF(LEN(C32)=6,"0"&amp;C32,C32),2))&lt;=2,"EC",IF(OR(VALUE(LEFT(IF(LEN(C32)=6,"0"&amp;C32,C32),2))=8,VALUE(LEFT(IF(LEN(C32)=6,"0"&amp;C32,C32),2))=18),"NW","Other")),"Other")</f>
        <v>EC</v>
      </c>
      <c r="X32" s="46" t="str">
        <f>IF(AND(E32="TRACK WARRANT AUTHORITY",G32&lt;10),"OMIT","KEEP")</f>
        <v>KEEP</v>
      </c>
      <c r="Y32" s="10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{"issue":{"subject":"","project_id":79,"tracker_id":40,"status_id":1,"priority_id":2,"assigned_to_id":23,"start_date":"2017-02-18","description":"","custom_fields":[{"id":1,"name":"Subdivision","value":"EC"},{"id":4,"name":"Milepost","value":"0.0001"},{"id":17,"name":"Train ID","value":"148-18"},{"id":16,"name":"Locomotive ID","value":"4030"},{"id":130,"name":"Impact","value":""},{"id":150,"name":"Time of Event (Mountain Time)","value":"11:05:00"},{"id":151,"name":"Denver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"%USERPROFILE%\AppData\Local\Temp\OnboardLogs"\RTDC4030\*4030*201702181*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"%USERPROFILE%\AppData\Local\Temp\OnboardLogs"\RTDC4030\*4030*201702181* &gt;&gt; 2017-02-18-SliceDisagreementCheck.txt</v>
      </c>
      <c r="AE32" s="157" t="str">
        <f>"start /low /b "&amp;dls3logs&amp;" --loco "&amp;U32&amp;" --day "&amp;TEXT(V32,"YYYY-MM-DD")</f>
        <v>start /low /b %USERPROFILE%\Documents\GitHub\eaglep3\Utilities\DownloadLogsFromS3.py --loco 4030 --day 2017-02-18</v>
      </c>
      <c r="AF32" s="1"/>
    </row>
    <row r="33" spans="1:32" x14ac:dyDescent="0.25">
      <c r="A33" s="32">
        <v>42784.587106481478</v>
      </c>
      <c r="B33" s="30" t="s">
        <v>227</v>
      </c>
      <c r="C33" s="30" t="s">
        <v>457</v>
      </c>
      <c r="D33" s="30" t="s">
        <v>49</v>
      </c>
      <c r="E33" s="30" t="s">
        <v>188</v>
      </c>
      <c r="F33" s="43">
        <v>0</v>
      </c>
      <c r="G33" s="43">
        <v>67</v>
      </c>
      <c r="H33" s="43">
        <v>211</v>
      </c>
      <c r="I33" s="43">
        <v>143</v>
      </c>
      <c r="J33" s="30" t="s">
        <v>189</v>
      </c>
      <c r="K33" s="43">
        <v>1</v>
      </c>
      <c r="L33" s="143" t="s">
        <v>51</v>
      </c>
      <c r="M33" s="144">
        <f>CONVERT((I33-K33)/10000,"mi","ft")*IF(L33="Increasing Mileposts (1)",-1,1)</f>
        <v>74.975999999999999</v>
      </c>
      <c r="N33" s="145" t="str">
        <f>VLOOKUP(C33,'Trips&amp;Operators'!$C$1:$G$99999,5,FALSE)</f>
        <v>BRANNON JEFFREY</v>
      </c>
      <c r="O33" s="194" t="s">
        <v>185</v>
      </c>
      <c r="P33" s="146"/>
      <c r="Q33" s="30"/>
      <c r="R33" s="89" t="str">
        <f>VLOOKUP(C33,'Train Runs'!$A$13:$AE$9955,31,0)</f>
        <v>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 &amp; aws s3 cp s3://rtdc.mdm.uploadarchive.raw/RTDC4015/ "%USERPROFILE%\AppData\Local\Temp\OnboardLogs"\RTDC4015\2017-02-19 --exclude "*" --recursive --include "*20170219*" &amp; "%USERPROFILE%\Documents\GitHub\mrs-test-scripts\Headless Mode &amp; Sideloading\WalkAndUnGZ.bat" "%USERPROFILE%\AppData\Local\Temp\OnboardLogs"\RTDC4015\2017-02-19</v>
      </c>
      <c r="S33" s="92" t="str">
        <f>VLOOKUP(C33,'Train Runs'!$A$13:$AE$9955,22,0)</f>
        <v>https://d0f6bd738d7f1b3e5a7ca70fe4ff75f0.us-east-1.aws.found.io/app/kibana#/discover/Steve-Slow-Train-Analysis-(2080s-and-2083s)?_g=(refreshInterval:(display:Off,pause:!f,section:0,value:0),time:(from:'2017-02-18T12:10:37-0700',mode:absolute,to:'2017-02-18T15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3" s="94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/stypes="*4015*201702182*" /stext=" 21:.+((SYSTEM_STATE.+slice.+state.+changed )|(ment ac)|(multiple cpu faults)|(system.+state.+changed )|(\[timeout)|(PRM\|1\|D)|(kpr)|(kdp)|(\|lc)|(penalty))" /e /r /s</v>
      </c>
      <c r="U33" s="9" t="str">
        <f>MID(B33,13,4)</f>
        <v>4015</v>
      </c>
      <c r="V33" s="32">
        <f>A33-utc_offset/24</f>
        <v>42784.878773148142</v>
      </c>
      <c r="W33" s="46" t="str">
        <f>IFERROR(IF(VALUE(LEFT(IF(LEN(C33)=6,"0"&amp;C33,C33),2))&lt;=2,"EC",IF(OR(VALUE(LEFT(IF(LEN(C33)=6,"0"&amp;C33,C33),2))=8,VALUE(LEFT(IF(LEN(C33)=6,"0"&amp;C33,C33),2))=18),"NW","Other")),"Other")</f>
        <v>EC</v>
      </c>
      <c r="X33" s="46" t="str">
        <f>IF(AND(E33="TRACK WARRANT AUTHORITY",G33&lt;10),"OMIT","KEEP")</f>
        <v>KEEP</v>
      </c>
      <c r="Y33" s="10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{"issue":{"subject":"","project_id":79,"tracker_id":40,"status_id":1,"priority_id":2,"assigned_to_id":23,"start_date":"2017-02-18","description":"","custom_fields":[{"id":1,"name":"Subdivision","value":"EC"},{"id":4,"name":"Milepost","value":"0.0001"},{"id":17,"name":"Train ID","value":"172-18"},{"id":16,"name":"Locomotive ID","value":"4015"},{"id":130,"name":"Impact","value":""},{"id":150,"name":"Time of Event (Mountain Time)","value":"14:05:26"},{"id":151,"name":"Denver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"%USERPROFILE%\AppData\Local\Temp\OnboardLogs"\RTDC4015\*4015*201702182*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"%USERPROFILE%\AppData\Local\Temp\OnboardLogs"\RTDC4015\*4015*201702182* &gt;&gt; 2017-02-18-SliceDisagreementCheck.txt</v>
      </c>
      <c r="AE33" s="157" t="str">
        <f>"start /low /b "&amp;dls3logs&amp;" --loco "&amp;U33&amp;" --day "&amp;TEXT(V33,"YYYY-MM-DD")</f>
        <v>start /low /b %USERPROFILE%\Documents\GitHub\eaglep3\Utilities\DownloadLogsFromS3.py --loco 4015 --day 2017-02-18</v>
      </c>
      <c r="AF33" s="1"/>
    </row>
    <row r="34" spans="1:32" x14ac:dyDescent="0.25">
      <c r="A34" s="32">
        <v>42785.045289351852</v>
      </c>
      <c r="B34" s="30" t="s">
        <v>480</v>
      </c>
      <c r="C34" s="30" t="s">
        <v>481</v>
      </c>
      <c r="D34" s="30" t="s">
        <v>49</v>
      </c>
      <c r="E34" s="30" t="s">
        <v>188</v>
      </c>
      <c r="F34" s="43">
        <v>0</v>
      </c>
      <c r="G34" s="43">
        <v>47</v>
      </c>
      <c r="H34" s="43">
        <v>176</v>
      </c>
      <c r="I34" s="43">
        <v>132</v>
      </c>
      <c r="J34" s="30" t="s">
        <v>189</v>
      </c>
      <c r="K34" s="43">
        <v>1</v>
      </c>
      <c r="L34" s="143" t="s">
        <v>51</v>
      </c>
      <c r="M34" s="144">
        <f>CONVERT((I34-K34)/10000,"mi","ft")*IF(L34="Increasing Mileposts (1)",-1,1)</f>
        <v>69.168000000000006</v>
      </c>
      <c r="N34" s="145" t="str">
        <f>VLOOKUP(C34,'Trips&amp;Operators'!$C$1:$G$99999,5,FALSE)</f>
        <v>SMITH MICHAEL</v>
      </c>
      <c r="O34" s="194" t="s">
        <v>185</v>
      </c>
      <c r="P34" s="146"/>
      <c r="Q34" s="30"/>
      <c r="R34" s="89" t="str">
        <f>VLOOKUP(C34,'Train Runs'!$A$13:$AE$9955,31,0)</f>
        <v>aws s3 cp s3://rtdc.mdm.uploadarchive.raw/RTDC4021/ "%USERPROFILE%\AppData\Local\Temp\OnboardLogs"\RTDC4021\2017-02-19 --exclude "*" --recursive --include "*20170219*" &amp; "%USERPROFILE%\Documents\GitHub\mrs-test-scripts\Headless Mode &amp; Sideloading\WalkAndUnGZ.bat" "%USERPROFILE%\AppData\Local\Temp\OnboardLogs"\RTDC4021\2017-02-19 &amp; 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</v>
      </c>
      <c r="S34" s="92" t="str">
        <f>VLOOKUP(C34,'Train Runs'!$A$13:$AE$9955,22,0)</f>
        <v>https://d0f6bd738d7f1b3e5a7ca70fe4ff75f0.us-east-1.aws.found.io/app/kibana#/discover/Steve-Slow-Train-Analysis-(2080s-and-2083s)?_g=(refreshInterval:(display:Off,pause:!f,section:0,value:0),time:(from:'2017-02-18T23:15:43-0700',mode:absolute,to:'2017-02-19T02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4" s="94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/stypes="*4021*201702190*" /stext=" 08:.+((SYSTEM_STATE.+slice.+state.+changed )|(ment ac)|(multiple cpu faults)|(system.+state.+changed )|(\[timeout)|(PRM\|1\|D)|(kpr)|(kdp)|(\|lc)|(penalty))" /e /r /s</v>
      </c>
      <c r="U34" s="9" t="str">
        <f>MID(B34,13,4)</f>
        <v>4021</v>
      </c>
      <c r="V34" s="32">
        <f>A34-utc_offset/24</f>
        <v>42785.336956018517</v>
      </c>
      <c r="W34" s="46" t="str">
        <f>IFERROR(IF(VALUE(LEFT(IF(LEN(C34)=6,"0"&amp;C34,C34),2))&lt;=2,"EC",IF(OR(VALUE(LEFT(IF(LEN(C34)=6,"0"&amp;C34,C34),2))=8,VALUE(LEFT(IF(LEN(C34)=6,"0"&amp;C34,C34),2))=18),"NW","Other")),"Other")</f>
        <v>EC</v>
      </c>
      <c r="X34" s="46" t="str">
        <f>IF(AND(E34="TRACK WARRANT AUTHORITY",G34&lt;10),"OMIT","KEEP")</f>
        <v>KEEP</v>
      </c>
      <c r="Y34" s="10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{"issue":{"subject":"","project_id":79,"tracker_id":40,"status_id":1,"priority_id":2,"assigned_to_id":23,"start_date":"2017-02-19","description":"","custom_fields":[{"id":1,"name":"Subdivision","value":"EC"},{"id":4,"name":"Milepost","value":"0.0001"},{"id":17,"name":"Train ID","value":"240-18"},{"id":16,"name":"Locomotive ID","value":"4021"},{"id":130,"name":"Impact","value":""},{"id":150,"name":"Time of Event (Mountain Time)","value":"01:05:13"},{"id":151,"name":"Denver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"%USERPROFILE%\AppData\Local\Temp\OnboardLogs"\RTDC4021\*4021*201702190*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"%USERPROFILE%\AppData\Local\Temp\OnboardLogs"\RTDC4021\*4021*201702190* &gt;&gt; 2017-02-18-SliceDisagreementCheck.txt</v>
      </c>
      <c r="AE34" s="157" t="str">
        <f>"start /low /b "&amp;dls3logs&amp;" --loco "&amp;U34&amp;" --day "&amp;TEXT(V34,"YYYY-MM-DD")</f>
        <v>start /low /b %USERPROFILE%\Documents\GitHub\eaglep3\Utilities\DownloadLogsFromS3.py --loco 4021 --day 2017-02-19</v>
      </c>
      <c r="AF34" s="1"/>
    </row>
    <row r="35" spans="1:32" x14ac:dyDescent="0.25">
      <c r="A35" s="32">
        <v>42785.065011574072</v>
      </c>
      <c r="B35" s="30" t="s">
        <v>209</v>
      </c>
      <c r="C35" s="30" t="s">
        <v>482</v>
      </c>
      <c r="D35" s="30" t="s">
        <v>49</v>
      </c>
      <c r="E35" s="30" t="s">
        <v>188</v>
      </c>
      <c r="F35" s="43">
        <v>0</v>
      </c>
      <c r="G35" s="43">
        <v>157</v>
      </c>
      <c r="H35" s="43">
        <v>622</v>
      </c>
      <c r="I35" s="43">
        <v>447</v>
      </c>
      <c r="J35" s="30" t="s">
        <v>189</v>
      </c>
      <c r="K35" s="43">
        <v>1</v>
      </c>
      <c r="L35" s="143" t="s">
        <v>51</v>
      </c>
      <c r="M35" s="144">
        <f>CONVERT((I35-K35)/10000,"mi","ft")*IF(L35="Increasing Mileposts (1)",-1,1)</f>
        <v>235.488</v>
      </c>
      <c r="N35" s="145" t="str">
        <f>VLOOKUP(C35,'Trips&amp;Operators'!$C$1:$G$99999,5,FALSE)</f>
        <v>STAMBAUGH JAMES</v>
      </c>
      <c r="O35" s="194" t="s">
        <v>185</v>
      </c>
      <c r="P35" s="146"/>
      <c r="Q35" s="30"/>
      <c r="R35" s="89" t="str">
        <f>VLOOKUP(C35,'Train Runs'!$A$13:$AE$9955,31,0)</f>
        <v>aws s3 cp s3://rtdc.mdm.uploadarchive.raw/RTDC4030/ "%USERPROFILE%\AppData\Local\Temp\OnboardLogs"\RTDC4030\2017-02-19 --exclude "*" --recursive --include "*20170219*" &amp; "%USERPROFILE%\Documents\GitHub\mrs-test-scripts\Headless Mode &amp; Sideloading\WalkAndUnGZ.bat" "%USERPROFILE%\AppData\Local\Temp\OnboardLogs"\RTDC4030\2017-02-19 &amp; 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</v>
      </c>
      <c r="S35" s="92" t="str">
        <f>VLOOKUP(C35,'Train Runs'!$A$13:$AE$9955,22,0)</f>
        <v>https://d0f6bd738d7f1b3e5a7ca70fe4ff75f0.us-east-1.aws.found.io/app/kibana#/discover/Steve-Slow-Train-Analysis-(2080s-and-2083s)?_g=(refreshInterval:(display:Off,pause:!f,section:0,value:0),time:(from:'2017-02-18T23:40:27-0700',mode:absolute,to:'2017-02-19T02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5" s="94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/stypes="*4030*201702190*" /stext=" 08:.+((SYSTEM_STATE.+slice.+state.+changed )|(ment ac)|(multiple cpu faults)|(system.+state.+changed )|(\[timeout)|(PRM\|1\|D)|(kpr)|(kdp)|(\|lc)|(penalty))" /e /r /s</v>
      </c>
      <c r="U35" s="9" t="str">
        <f>MID(B35,13,4)</f>
        <v>4030</v>
      </c>
      <c r="V35" s="32">
        <f>A35-utc_offset/24</f>
        <v>42785.356678240736</v>
      </c>
      <c r="W35" s="46" t="str">
        <f>IFERROR(IF(VALUE(LEFT(IF(LEN(C35)=6,"0"&amp;C35,C35),2))&lt;=2,"EC",IF(OR(VALUE(LEFT(IF(LEN(C35)=6,"0"&amp;C35,C35),2))=8,VALUE(LEFT(IF(LEN(C35)=6,"0"&amp;C35,C35),2))=18),"NW","Other")),"Other")</f>
        <v>EC</v>
      </c>
      <c r="X35" s="46" t="str">
        <f>IF(AND(E35="TRACK WARRANT AUTHORITY",G35&lt;10),"OMIT","KEEP")</f>
        <v>KEEP</v>
      </c>
      <c r="Y35" s="10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{"issue":{"subject":"","project_id":79,"tracker_id":40,"status_id":1,"priority_id":2,"assigned_to_id":23,"start_date":"2017-02-19","description":"","custom_fields":[{"id":1,"name":"Subdivision","value":"EC"},{"id":4,"name":"Milepost","value":"0.0001"},{"id":17,"name":"Train ID","value":"242-18"},{"id":16,"name":"Locomotive ID","value":"4030"},{"id":130,"name":"Impact","value":""},{"id":150,"name":"Time of Event (Mountain Time)","value":"01:33:37"},{"id":151,"name":"Denver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"%USERPROFILE%\AppData\Local\Temp\OnboardLogs"\RTDC4030\*4030*201702190*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"%USERPROFILE%\AppData\Local\Temp\OnboardLogs"\RTDC4030\*4030*201702190* &gt;&gt; 2017-02-18-SliceDisagreementCheck.txt</v>
      </c>
      <c r="AE35" s="157" t="str">
        <f>"start /low /b "&amp;dls3logs&amp;" --loco "&amp;U35&amp;" --day "&amp;TEXT(V35,"YYYY-MM-DD")</f>
        <v>start /low /b %USERPROFILE%\Documents\GitHub\eaglep3\Utilities\DownloadLogsFromS3.py --loco 4030 --day 2017-02-19</v>
      </c>
      <c r="AF35" s="1"/>
    </row>
    <row r="36" spans="1:32" x14ac:dyDescent="0.25">
      <c r="A36" s="32">
        <v>42784.793865740743</v>
      </c>
      <c r="B36" s="30" t="s">
        <v>244</v>
      </c>
      <c r="C36" s="30" t="s">
        <v>472</v>
      </c>
      <c r="D36" s="30" t="s">
        <v>49</v>
      </c>
      <c r="E36" s="30" t="s">
        <v>188</v>
      </c>
      <c r="F36" s="43">
        <v>0</v>
      </c>
      <c r="G36" s="43">
        <v>22</v>
      </c>
      <c r="H36" s="43">
        <v>858</v>
      </c>
      <c r="I36" s="43">
        <v>832</v>
      </c>
      <c r="J36" s="30" t="s">
        <v>189</v>
      </c>
      <c r="K36" s="43">
        <v>826</v>
      </c>
      <c r="L36" s="143" t="s">
        <v>51</v>
      </c>
      <c r="M36" s="144">
        <f>CONVERT((I36-K36)/10000,"mi","ft")*IF(L36="Increasing Mileposts (1)",-1,1)</f>
        <v>3.1680000000000001</v>
      </c>
      <c r="N36" s="145" t="str">
        <f>VLOOKUP(C36,'Trips&amp;Operators'!$C$1:$G$99999,5,FALSE)</f>
        <v>ROMERO CHAD</v>
      </c>
      <c r="O36" s="194" t="s">
        <v>185</v>
      </c>
      <c r="P36" s="146"/>
      <c r="Q36" s="30"/>
      <c r="R36" s="89" t="str">
        <f>VLOOKUP(C36,'Train Runs'!$A$13:$AE$9955,31,0)</f>
        <v>aws s3 cp s3://rtdc.mdm.uploadarchive.raw/RTDC4054/ "%USERPROFILE%\AppData\Local\Temp\OnboardLogs"\RTDC4054\2017-02-18 --exclude "*" --recursive --include "*20170218*" &amp; "%USERPROFILE%\Documents\GitHub\mrs-test-scripts\Headless Mode &amp; Sideloading\WalkAndUnGZ.bat" "%USERPROFILE%\AppData\Local\Temp\OnboardLogs"\RTDC4054\2017-02-18 &amp; aws s3 cp s3://rtdc.mdm.uploadarchive.raw/RTDC4054/ "%USERPROFILE%\AppData\Local\Temp\OnboardLogs"\RTDC4054\2017-02-19 --exclude "*" --recursive --include "*20170219*" &amp; "%USERPROFILE%\Documents\GitHub\mrs-test-scripts\Headless Mode &amp; Sideloading\WalkAndUnGZ.bat" "%USERPROFILE%\AppData\Local\Temp\OnboardLogs"\RTDC4054\2017-02-19</v>
      </c>
      <c r="S36" s="92" t="str">
        <f>VLOOKUP(C36,'Train Runs'!$A$13:$AE$9955,22,0)</f>
        <v>https://d0f6bd738d7f1b3e5a7ca70fe4ff75f0.us-east-1.aws.found.io/app/kibana#/discover/Steve-Slow-Train-Analysis-(2080s-and-2083s)?_g=(refreshInterval:(display:Off,pause:!f,section:0,value:0),time:(from:'2017-02-18T17:19:00-0700',mode:absolute,to:'2017-02-18T20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6" s="94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/stypes="*4054*201702190*" /stext=" 02:.+((SYSTEM_STATE.+slice.+state.+changed )|(ment ac)|(multiple cpu faults)|(system.+state.+changed )|(\[timeout)|(PRM\|1\|D)|(kpr)|(kdp)|(\|lc)|(penalty))" /e /r /s</v>
      </c>
      <c r="U36" s="9" t="str">
        <f>MID(B36,13,4)</f>
        <v>4054</v>
      </c>
      <c r="V36" s="32">
        <f>A36-utc_offset/24</f>
        <v>42785.085532407407</v>
      </c>
      <c r="W36" s="46" t="str">
        <f>IFERROR(IF(VALUE(LEFT(IF(LEN(C36)=6,"0"&amp;C36,C36),2))&lt;=2,"EC",IF(OR(VALUE(LEFT(IF(LEN(C36)=6,"0"&amp;C36,C36),2))=8,VALUE(LEFT(IF(LEN(C36)=6,"0"&amp;C36,C36),2))=18),"NW","Other")),"Other")</f>
        <v>EC</v>
      </c>
      <c r="X36" s="46" t="str">
        <f>IF(AND(E36="TRACK WARRANT AUTHORITY",G36&lt;10),"OMIT","KEEP")</f>
        <v>KEEP</v>
      </c>
      <c r="Y36" s="10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{"issue":{"subject":"","project_id":79,"tracker_id":40,"status_id":1,"priority_id":2,"assigned_to_id":23,"start_date":"2017-02-18","description":"","custom_fields":[{"id":1,"name":"Subdivision","value":"EC"},{"id":4,"name":"Milepost","value":"0.0826"},{"id":17,"name":"Train ID","value":"212-18"},{"id":16,"name":"Locomotive ID","value":"4054"},{"id":130,"name":"Impact","value":""},{"id":150,"name":"Time of Event (Mountain Time)","value":"19:03:10"},{"id":151,"name":"Denver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"%USERPROFILE%\AppData\Local\Temp\OnboardLogs"\RTDC4054\*4054*201702190*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"%USERPROFILE%\AppData\Local\Temp\OnboardLogs"\RTDC4054\*4054*201702190* &gt;&gt; 2017-02-18-SliceDisagreementCheck.txt</v>
      </c>
      <c r="AE36" s="157" t="str">
        <f>"start /low /b "&amp;dls3logs&amp;" --loco "&amp;U36&amp;" --day "&amp;TEXT(V36,"YYYY-MM-DD")</f>
        <v>start /low /b %USERPROFILE%\Documents\GitHub\eaglep3\Utilities\DownloadLogsFromS3.py --loco 4054 --day 2017-02-19</v>
      </c>
      <c r="AF36" s="1"/>
    </row>
    <row r="37" spans="1:32" x14ac:dyDescent="0.25">
      <c r="A37" s="32">
        <v>42784.203321759262</v>
      </c>
      <c r="B37" s="30" t="s">
        <v>437</v>
      </c>
      <c r="C37" s="30" t="s">
        <v>438</v>
      </c>
      <c r="D37" s="30" t="s">
        <v>49</v>
      </c>
      <c r="E37" s="30" t="s">
        <v>188</v>
      </c>
      <c r="F37" s="43">
        <v>0</v>
      </c>
      <c r="G37" s="43">
        <v>34</v>
      </c>
      <c r="H37" s="43">
        <v>233359</v>
      </c>
      <c r="I37" s="43">
        <v>233374</v>
      </c>
      <c r="J37" s="30" t="s">
        <v>189</v>
      </c>
      <c r="K37" s="43">
        <v>233491</v>
      </c>
      <c r="L37" s="143" t="s">
        <v>50</v>
      </c>
      <c r="M37" s="144">
        <f>CONVERT((I37-K37)/10000,"mi","ft")*IF(L37="Increasing Mileposts (1)",-1,1)</f>
        <v>61.776000000000003</v>
      </c>
      <c r="N37" s="145" t="str">
        <f>VLOOKUP(C37,'Trips&amp;Operators'!$C$1:$G$99999,5,FALSE)</f>
        <v>MAELZER KURT</v>
      </c>
      <c r="O37" s="194" t="s">
        <v>185</v>
      </c>
      <c r="P37" s="146"/>
      <c r="Q37" s="30"/>
      <c r="R37" s="89" t="str">
        <f>VLOOKUP(C37,'Train Runs'!$A$13:$AE$9955,31,0)</f>
        <v>aws s3 cp s3://rtdc.mdm.uploadarchive.raw/RTDC4022/ "%USERPROFILE%\AppData\Local\Temp\OnboardLogs"\RTDC4022\2017-02-18 --exclude "*" --recursive --include "*20170218*" &amp; "%USERPROFILE%\Documents\GitHub\mrs-test-scripts\Headless Mode &amp; Sideloading\WalkAndUnGZ.bat" "%USERPROFILE%\AppData\Local\Temp\OnboardLogs"\RTDC4022\2017-02-18 &amp; aws s3 cp s3://rtdc.mdm.uploadarchive.raw/RTDC4022/ "%USERPROFILE%\AppData\Local\Temp\OnboardLogs"\RTDC4022\2017-02-19 --exclude "*" --recursive --include "*20170219*" &amp; "%USERPROFILE%\Documents\GitHub\mrs-test-scripts\Headless Mode &amp; Sideloading\WalkAndUnGZ.bat" "%USERPROFILE%\AppData\Local\Temp\OnboardLogs"\RTDC4022\2017-02-19</v>
      </c>
      <c r="S37" s="92" t="str">
        <f>VLOOKUP(C37,'Train Runs'!$A$13:$AE$9955,22,0)</f>
        <v>https://d0f6bd738d7f1b3e5a7ca70fe4ff75f0.us-east-1.aws.found.io/app/kibana#/discover/Steve-Slow-Train-Analysis-(2080s-and-2083s)?_g=(refreshInterval:(display:Off,pause:!f,section:0,value:0),time:(from:'2017-02-18T03:05:47-0700',mode:absolute,to:'2017-02-18T05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7" s="94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/stypes="*4022*201702181*" /stext=" 11:.+((SYSTEM_STATE.+slice.+state.+changed )|(ment ac)|(multiple cpu faults)|(system.+state.+changed )|(\[timeout)|(PRM\|1\|D)|(kpr)|(kdp)|(\|lc)|(penalty))" /e /r /s</v>
      </c>
      <c r="U37" s="9" t="str">
        <f>MID(B37,13,4)</f>
        <v>4022</v>
      </c>
      <c r="V37" s="32">
        <f>A37-utc_offset/24</f>
        <v>42784.494988425926</v>
      </c>
      <c r="W37" s="46" t="str">
        <f>IFERROR(IF(VALUE(LEFT(IF(LEN(C37)=6,"0"&amp;C37,C37),2))&lt;=2,"EC",IF(OR(VALUE(LEFT(IF(LEN(C37)=6,"0"&amp;C37,C37),2))=8,VALUE(LEFT(IF(LEN(C37)=6,"0"&amp;C37,C37),2))=18),"NW","Other")),"Other")</f>
        <v>EC</v>
      </c>
      <c r="X37" s="46" t="str">
        <f>IF(AND(E37="TRACK WARRANT AUTHORITY",G37&lt;10),"OMIT","KEEP")</f>
        <v>KEEP</v>
      </c>
      <c r="Y37" s="10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ID","value":"105-18"},{"id":16,"name":"Locomotive ID","value":"4022"},{"id":130,"name":"Impact","value":""},{"id":150,"name":"Time of Event (Mountain Time)","value":"04:52:47"},{"id":151,"name":"Denver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"%USERPROFILE%\AppData\Local\Temp\OnboardLogs"\RTDC4022\*4022*201702181*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"%USERPROFILE%\AppData\Local\Temp\OnboardLogs"\RTDC4022\*4022*201702181* &gt;&gt; 2017-02-18-SliceDisagreementCheck.txt</v>
      </c>
      <c r="AE37" s="157" t="str">
        <f>"start /low /b "&amp;dls3logs&amp;" --loco "&amp;U37&amp;" --day "&amp;TEXT(V37,"YYYY-MM-DD")</f>
        <v>start /low /b %USERPROFILE%\Documents\GitHub\eaglep3\Utilities\DownloadLogsFromS3.py --loco 4022 --day 2017-02-18</v>
      </c>
      <c r="AF37" s="1"/>
    </row>
    <row r="38" spans="1:32" x14ac:dyDescent="0.25">
      <c r="A38" s="32">
        <v>42784.483773148146</v>
      </c>
      <c r="B38" s="30" t="s">
        <v>223</v>
      </c>
      <c r="C38" s="30" t="s">
        <v>447</v>
      </c>
      <c r="D38" s="30" t="s">
        <v>49</v>
      </c>
      <c r="E38" s="30" t="s">
        <v>188</v>
      </c>
      <c r="F38" s="43">
        <v>0</v>
      </c>
      <c r="G38" s="43">
        <v>117</v>
      </c>
      <c r="H38" s="43">
        <v>233185</v>
      </c>
      <c r="I38" s="43">
        <v>233314</v>
      </c>
      <c r="J38" s="30" t="s">
        <v>189</v>
      </c>
      <c r="K38" s="43">
        <v>233491</v>
      </c>
      <c r="L38" s="143" t="s">
        <v>50</v>
      </c>
      <c r="M38" s="144">
        <f>CONVERT((I38-K38)/10000,"mi","ft")*IF(L38="Increasing Mileposts (1)",-1,1)</f>
        <v>93.456000000000003</v>
      </c>
      <c r="N38" s="145" t="str">
        <f>VLOOKUP(C38,'Trips&amp;Operators'!$C$1:$G$99999,5,FALSE)</f>
        <v>STEWART MICHAEL</v>
      </c>
      <c r="O38" s="194" t="s">
        <v>185</v>
      </c>
      <c r="P38" s="146"/>
      <c r="Q38" s="30"/>
      <c r="R38" s="89" t="str">
        <f>VLOOKUP(C38,'Train Runs'!$A$13:$AE$9955,31,0)</f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S38" s="92" t="str">
        <f>VLOOKUP(C38,'Train Runs'!$A$13:$AE$9955,22,0)</f>
        <v>https://d0f6bd738d7f1b3e5a7ca70fe4ff75f0.us-east-1.aws.found.io/app/kibana#/discover/Steve-Slow-Train-Analysis-(2080s-and-2083s)?_g=(refreshInterval:(display:Off,pause:!f,section:0,value:0),time:(from:'2017-02-18T09:54:16-0700',mode:absolute,to:'2017-02-18T12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94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/stypes="*4027*201702181*" /stext=" 18:.+((SYSTEM_STATE.+slice.+state.+changed )|(ment ac)|(multiple cpu faults)|(system.+state.+changed )|(\[timeout)|(PRM\|1\|D)|(kpr)|(kdp)|(\|lc)|(penalty))" /e /r /s</v>
      </c>
      <c r="U38" s="9" t="str">
        <f>MID(B38,13,4)</f>
        <v>4027</v>
      </c>
      <c r="V38" s="32">
        <f>A38-utc_offset/24</f>
        <v>42784.77543981481</v>
      </c>
      <c r="W38" s="46" t="str">
        <f>IFERROR(IF(VALUE(LEFT(IF(LEN(C38)=6,"0"&amp;C38,C38),2))&lt;=2,"EC",IF(OR(VALUE(LEFT(IF(LEN(C38)=6,"0"&amp;C38,C38),2))=8,VALUE(LEFT(IF(LEN(C38)=6,"0"&amp;C38,C38),2))=18),"NW","Other")),"Other")</f>
        <v>EC</v>
      </c>
      <c r="X38" s="46" t="str">
        <f>IF(AND(E38="TRACK WARRANT AUTHORITY",G38&lt;10),"OMIT","KEEP")</f>
        <v>KEEP</v>
      </c>
      <c r="Y38" s="108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ID","value":"159-18"},{"id":16,"name":"Locomotive ID","value":"4027"},{"id":130,"name":"Impact","value":""},{"id":150,"name":"Time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"%USERPROFILE%\AppData\Local\Temp\OnboardLogs"\RTDC4027\*4027*201702181*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"%USERPROFILE%\AppData\Local\Temp\OnboardLogs"\RTDC4027\*4027*201702181* &gt;&gt; 2017-02-18-SliceDisagreementCheck.txt</v>
      </c>
      <c r="AE38" s="157" t="str">
        <f>"start /low /b "&amp;dls3logs&amp;" --loco "&amp;U38&amp;" --day "&amp;TEXT(V38,"YYYY-MM-DD")</f>
        <v>start /low /b %USERPROFILE%\Documents\GitHub\eaglep3\Utilities\DownloadLogsFromS3.py --loco 4027 --day 2017-02-18</v>
      </c>
      <c r="AF38" s="1"/>
    </row>
    <row r="39" spans="1:32" x14ac:dyDescent="0.25">
      <c r="A39" s="32">
        <v>42784.534895833334</v>
      </c>
      <c r="B39" s="30" t="s">
        <v>248</v>
      </c>
      <c r="C39" s="30" t="s">
        <v>453</v>
      </c>
      <c r="D39" s="30" t="s">
        <v>49</v>
      </c>
      <c r="E39" s="30" t="s">
        <v>188</v>
      </c>
      <c r="F39" s="43">
        <v>0</v>
      </c>
      <c r="G39" s="43">
        <v>23</v>
      </c>
      <c r="H39" s="43">
        <v>233441</v>
      </c>
      <c r="I39" s="43">
        <v>233455</v>
      </c>
      <c r="J39" s="30" t="s">
        <v>189</v>
      </c>
      <c r="K39" s="43">
        <v>233491</v>
      </c>
      <c r="L39" s="143" t="s">
        <v>50</v>
      </c>
      <c r="M39" s="144">
        <f>CONVERT((I39-K39)/10000,"mi","ft")*IF(L39="Increasing Mileposts (1)",-1,1)</f>
        <v>19.007999999999999</v>
      </c>
      <c r="N39" s="145" t="str">
        <f>VLOOKUP(C39,'Trips&amp;Operators'!$C$1:$G$99999,5,FALSE)</f>
        <v>ROMERO CHAD</v>
      </c>
      <c r="O39" s="194" t="s">
        <v>185</v>
      </c>
      <c r="P39" s="146"/>
      <c r="Q39" s="30"/>
      <c r="R39" s="89" t="str">
        <f>VLOOKUP(C39,'Train Runs'!$A$13:$AE$9955,31,0)</f>
        <v>aws s3 cp s3://rtdc.mdm.uploadarchive.raw/RTDC4053/ "%USERPROFILE%\AppData\Local\Temp\OnboardLogs"\RTDC4053\2017-02-18 --exclude "*" --recursive --include "*20170218*" &amp; "%USERPROFILE%\Documents\GitHub\mrs-test-scripts\Headless Mode &amp; Sideloading\WalkAndUnGZ.bat" "%USERPROFILE%\AppData\Local\Temp\OnboardLogs"\RTDC4053\2017-02-18 &amp; aws s3 cp s3://rtdc.mdm.uploadarchive.raw/RTDC4053/ "%USERPROFILE%\AppData\Local\Temp\OnboardLogs"\RTDC4053\2017-02-19 --exclude "*" --recursive --include "*20170219*" &amp; "%USERPROFILE%\Documents\GitHub\mrs-test-scripts\Headless Mode &amp; Sideloading\WalkAndUnGZ.bat" "%USERPROFILE%\AppData\Local\Temp\OnboardLogs"\RTDC4053\2017-02-19</v>
      </c>
      <c r="S39" s="92" t="str">
        <f>VLOOKUP(C39,'Train Runs'!$A$13:$AE$9955,22,0)</f>
        <v>https://d0f6bd738d7f1b3e5a7ca70fe4ff75f0.us-east-1.aws.found.io/app/kibana#/discover/Steve-Slow-Train-Analysis-(2080s-and-2083s)?_g=(refreshInterval:(display:Off,pause:!f,section:0,value:0),time:(from:'2017-02-18T11:06:52-0700',mode:absolute,to:'2017-02-18T13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9" s="94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/stypes="*4053*201702181*" /stext=" 19:.+((SYSTEM_STATE.+slice.+state.+changed )|(ment ac)|(multiple cpu faults)|(system.+state.+changed )|(\[timeout)|(PRM\|1\|D)|(kpr)|(kdp)|(\|lc)|(penalty))" /e /r /s</v>
      </c>
      <c r="U39" s="9" t="str">
        <f>MID(B39,13,4)</f>
        <v>4053</v>
      </c>
      <c r="V39" s="32">
        <f>A39-utc_offset/24</f>
        <v>42784.826562499999</v>
      </c>
      <c r="W39" s="46" t="str">
        <f>IFERROR(IF(VALUE(LEFT(IF(LEN(C39)=6,"0"&amp;C39,C39),2))&lt;=2,"EC",IF(OR(VALUE(LEFT(IF(LEN(C39)=6,"0"&amp;C39,C39),2))=8,VALUE(LEFT(IF(LEN(C39)=6,"0"&amp;C39,C39),2))=18),"NW","Other")),"Other")</f>
        <v>EC</v>
      </c>
      <c r="X39" s="46" t="str">
        <f>IF(AND(E39="TRACK WARRANT AUTHORITY",G39&lt;10),"OMIT","KEEP")</f>
        <v>KEEP</v>
      </c>
      <c r="Y39" s="108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ID","value":"169-18"},{"id":16,"name":"Locomotive ID","value":"4053"},{"id":130,"name":"Impact","value":""},{"id":150,"name":"Time of Event (Mountain Time)","value":"12:50:15"},{"id":151,"name":"Denver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"%USERPROFILE%\AppData\Local\Temp\OnboardLogs"\RTDC4053\*4053*201702181*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"%USERPROFILE%\AppData\Local\Temp\OnboardLogs"\RTDC4053\*4053*201702181* &gt;&gt; 2017-02-18-SliceDisagreementCheck.txt</v>
      </c>
      <c r="AE39" s="157" t="str">
        <f>"start /low /b "&amp;dls3logs&amp;" --loco "&amp;U39&amp;" --day "&amp;TEXT(V39,"YYYY-MM-DD")</f>
        <v>start /low /b %USERPROFILE%\Documents\GitHub\eaglep3\Utilities\DownloadLogsFromS3.py --loco 4053 --day 2017-02-18</v>
      </c>
      <c r="AF39" s="1"/>
    </row>
    <row r="40" spans="1:32" x14ac:dyDescent="0.25">
      <c r="A40" s="32">
        <v>42784.555810185186</v>
      </c>
      <c r="B40" s="30" t="s">
        <v>223</v>
      </c>
      <c r="C40" s="30" t="s">
        <v>454</v>
      </c>
      <c r="D40" s="30" t="s">
        <v>49</v>
      </c>
      <c r="E40" s="30" t="s">
        <v>188</v>
      </c>
      <c r="F40" s="43">
        <v>0</v>
      </c>
      <c r="G40" s="43">
        <v>128</v>
      </c>
      <c r="H40" s="43">
        <v>233153</v>
      </c>
      <c r="I40" s="43">
        <v>233297</v>
      </c>
      <c r="J40" s="30" t="s">
        <v>189</v>
      </c>
      <c r="K40" s="43">
        <v>233491</v>
      </c>
      <c r="L40" s="143" t="s">
        <v>50</v>
      </c>
      <c r="M40" s="144">
        <f>CONVERT((I40-K40)/10000,"mi","ft")*IF(L40="Increasing Mileposts (1)",-1,1)</f>
        <v>102.432</v>
      </c>
      <c r="N40" s="145" t="str">
        <f>VLOOKUP(C40,'Trips&amp;Operators'!$C$1:$G$99999,5,FALSE)</f>
        <v>STEWART MICHAEL</v>
      </c>
      <c r="O40" s="194" t="s">
        <v>185</v>
      </c>
      <c r="P40" s="146"/>
      <c r="Q40" s="30"/>
      <c r="R40" s="89" t="str">
        <f>VLOOKUP(C40,'Train Runs'!$A$13:$AE$9955,31,0)</f>
        <v>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 &amp; aws s3 cp s3://rtdc.mdm.uploadarchive.raw/RTDC4027/ "%USERPROFILE%\AppData\Local\Temp\OnboardLogs"\RTDC4027\2017-02-19 --exclude "*" --recursive --include "*20170219*" &amp; "%USERPROFILE%\Documents\GitHub\mrs-test-scripts\Headless Mode &amp; Sideloading\WalkAndUnGZ.bat" "%USERPROFILE%\AppData\Local\Temp\OnboardLogs"\RTDC4027\2017-02-19</v>
      </c>
      <c r="S40" s="92" t="str">
        <f>VLOOKUP(C40,'Train Runs'!$A$13:$AE$9955,22,0)</f>
        <v>https://d0f6bd738d7f1b3e5a7ca70fe4ff75f0.us-east-1.aws.found.io/app/kibana#/discover/Steve-Slow-Train-Analysis-(2080s-and-2083s)?_g=(refreshInterval:(display:Off,pause:!f,section:0,value:0),time:(from:'2017-02-18T11:37:52-0700',mode:absolute,to:'2017-02-18T14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0" s="94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/stypes="*4027*201702182*" /stext=" 20:.+((SYSTEM_STATE.+slice.+state.+changed )|(ment ac)|(multiple cpu faults)|(system.+state.+changed )|(\[timeout)|(PRM\|1\|D)|(kpr)|(kdp)|(\|lc)|(penalty))" /e /r /s</v>
      </c>
      <c r="U40" s="9" t="str">
        <f>MID(B40,13,4)</f>
        <v>4027</v>
      </c>
      <c r="V40" s="32">
        <f>A40-utc_offset/24</f>
        <v>42784.84747685185</v>
      </c>
      <c r="W40" s="46" t="str">
        <f>IFERROR(IF(VALUE(LEFT(IF(LEN(C40)=6,"0"&amp;C40,C40),2))&lt;=2,"EC",IF(OR(VALUE(LEFT(IF(LEN(C40)=6,"0"&amp;C40,C40),2))=8,VALUE(LEFT(IF(LEN(C40)=6,"0"&amp;C40,C40),2))=18),"NW","Other")),"Other")</f>
        <v>EC</v>
      </c>
      <c r="X40" s="46" t="str">
        <f>IF(AND(E40="TRACK WARRANT AUTHORITY",G40&lt;10),"OMIT","KEEP")</f>
        <v>KEEP</v>
      </c>
      <c r="Y40" s="108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ID","value":"173-18"},{"id":16,"name":"Locomotive ID","value":"4027"},{"id":130,"name":"Impact","value":""},{"id":150,"name":"Time of Event (Mountain Time)","value":"13:20:22"},{"id":151,"name":"Denver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"%USERPROFILE%\AppData\Local\Temp\OnboardLogs"\RTDC4027\*4027*201702182*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"%USERPROFILE%\AppData\Local\Temp\OnboardLogs"\RTDC4027\*4027*201702182* &gt;&gt; 2017-02-18-SliceDisagreementCheck.txt</v>
      </c>
      <c r="AE40" s="157" t="str">
        <f>"start /low /b "&amp;dls3logs&amp;" --loco "&amp;U40&amp;" --day "&amp;TEXT(V40,"YYYY-MM-DD")</f>
        <v>start /low /b %USERPROFILE%\Documents\GitHub\eaglep3\Utilities\DownloadLogsFromS3.py --loco 4027 --day 2017-02-18</v>
      </c>
      <c r="AF40" s="1"/>
    </row>
    <row r="41" spans="1:32" x14ac:dyDescent="0.25">
      <c r="A41" s="32">
        <v>42784.641099537039</v>
      </c>
      <c r="B41" s="30" t="s">
        <v>228</v>
      </c>
      <c r="C41" s="30" t="s">
        <v>460</v>
      </c>
      <c r="D41" s="30" t="s">
        <v>49</v>
      </c>
      <c r="E41" s="30" t="s">
        <v>188</v>
      </c>
      <c r="F41" s="43">
        <v>0</v>
      </c>
      <c r="G41" s="43">
        <v>96</v>
      </c>
      <c r="H41" s="43">
        <v>233090</v>
      </c>
      <c r="I41" s="43">
        <v>233195</v>
      </c>
      <c r="J41" s="30" t="s">
        <v>189</v>
      </c>
      <c r="K41" s="43">
        <v>233491</v>
      </c>
      <c r="L41" s="143" t="s">
        <v>50</v>
      </c>
      <c r="M41" s="144">
        <f>CONVERT((I41-K41)/10000,"mi","ft")*IF(L41="Increasing Mileposts (1)",-1,1)</f>
        <v>156.28800000000001</v>
      </c>
      <c r="N41" s="145" t="str">
        <f>VLOOKUP(C41,'Trips&amp;Operators'!$C$1:$G$99999,5,FALSE)</f>
        <v>DAVIS MICHAEL</v>
      </c>
      <c r="O41" s="194" t="s">
        <v>185</v>
      </c>
      <c r="P41" s="146"/>
      <c r="Q41" s="30"/>
      <c r="R41" s="89" t="str">
        <f>VLOOKUP(C41,'Train Runs'!$A$13:$AE$9955,31,0)</f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S41" s="92" t="str">
        <f>VLOOKUP(C41,'Train Runs'!$A$13:$AE$9955,22,0)</f>
        <v>https://d0f6bd738d7f1b3e5a7ca70fe4ff75f0.us-east-1.aws.found.io/app/kibana#/discover/Steve-Slow-Train-Analysis-(2080s-and-2083s)?_g=(refreshInterval:(display:Off,pause:!f,section:0,value:0),time:(from:'2017-02-18T13:42:40-0700',mode:absolute,to:'2017-02-18T16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1" s="94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/stypes="*4029*201702182*" /stext=" 22:.+((SYSTEM_STATE.+slice.+state.+changed )|(ment ac)|(multiple cpu faults)|(system.+state.+changed )|(\[timeout)|(PRM\|1\|D)|(kpr)|(kdp)|(\|lc)|(penalty))" /e /r /s</v>
      </c>
      <c r="U41" s="9" t="str">
        <f>MID(B41,13,4)</f>
        <v>4029</v>
      </c>
      <c r="V41" s="32">
        <f>A41-utc_offset/24</f>
        <v>42784.932766203703</v>
      </c>
      <c r="W41" s="46" t="str">
        <f>IFERROR(IF(VALUE(LEFT(IF(LEN(C41)=6,"0"&amp;C41,C41),2))&lt;=2,"EC",IF(OR(VALUE(LEFT(IF(LEN(C41)=6,"0"&amp;C41,C41),2))=8,VALUE(LEFT(IF(LEN(C41)=6,"0"&amp;C41,C41),2))=18),"NW","Other")),"Other")</f>
        <v>EC</v>
      </c>
      <c r="X41" s="46" t="str">
        <f>IF(AND(E41="TRACK WARRANT AUTHORITY",G41&lt;10),"OMIT","KEEP")</f>
        <v>KEEP</v>
      </c>
      <c r="Y41" s="108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ID","value":"189-18"},{"id":16,"name":"Locomotive ID","value":"4029"},{"id":130,"name":"Impact","value":""},{"id":150,"name":"Time of Event (Mountain Time)","value":"15:23:11"},{"id":151,"name":"Denver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"%USERPROFILE%\AppData\Local\Temp\OnboardLogs"\RTDC4029\*4029*201702182*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"%USERPROFILE%\AppData\Local\Temp\OnboardLogs"\RTDC4029\*4029*201702182* &gt;&gt; 2017-02-18-SliceDisagreementCheck.txt</v>
      </c>
      <c r="AE41" s="157" t="str">
        <f>"start /low /b "&amp;dls3logs&amp;" --loco "&amp;U41&amp;" --day "&amp;TEXT(V41,"YYYY-MM-DD")</f>
        <v>start /low /b %USERPROFILE%\Documents\GitHub\eaglep3\Utilities\DownloadLogsFromS3.py --loco 4029 --day 2017-02-18</v>
      </c>
      <c r="AF41" s="1"/>
    </row>
    <row r="42" spans="1:32" x14ac:dyDescent="0.25">
      <c r="A42" s="32">
        <v>42784.785266203704</v>
      </c>
      <c r="B42" s="30" t="s">
        <v>228</v>
      </c>
      <c r="C42" s="30" t="s">
        <v>468</v>
      </c>
      <c r="D42" s="30" t="s">
        <v>49</v>
      </c>
      <c r="E42" s="30" t="s">
        <v>188</v>
      </c>
      <c r="F42" s="43">
        <v>0</v>
      </c>
      <c r="G42" s="43">
        <v>48</v>
      </c>
      <c r="H42" s="43">
        <v>233330</v>
      </c>
      <c r="I42" s="43">
        <v>233380</v>
      </c>
      <c r="J42" s="30" t="s">
        <v>189</v>
      </c>
      <c r="K42" s="43">
        <v>233491</v>
      </c>
      <c r="L42" s="143" t="s">
        <v>50</v>
      </c>
      <c r="M42" s="144">
        <f>CONVERT((I42-K42)/10000,"mi","ft")*IF(L42="Increasing Mileposts (1)",-1,1)</f>
        <v>58.607999999999997</v>
      </c>
      <c r="N42" s="145" t="str">
        <f>VLOOKUP(C42,'Trips&amp;Operators'!$C$1:$G$99999,5,FALSE)</f>
        <v>STAMBAUGH JAMES</v>
      </c>
      <c r="O42" s="194" t="s">
        <v>185</v>
      </c>
      <c r="P42" s="146"/>
      <c r="Q42" s="30"/>
      <c r="R42" s="89" t="str">
        <f>VLOOKUP(C42,'Train Runs'!$A$13:$AE$9955,31,0)</f>
        <v>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 &amp; aws s3 cp s3://rtdc.mdm.uploadarchive.raw/RTDC4029/ "%USERPROFILE%\AppData\Local\Temp\OnboardLogs"\RTDC4029\2017-02-19 --exclude "*" --recursive --include "*20170219*" &amp; "%USERPROFILE%\Documents\GitHub\mrs-test-scripts\Headless Mode &amp; Sideloading\WalkAndUnGZ.bat" "%USERPROFILE%\AppData\Local\Temp\OnboardLogs"\RTDC4029\2017-02-19</v>
      </c>
      <c r="S42" s="92" t="str">
        <f>VLOOKUP(C42,'Train Runs'!$A$13:$AE$9955,22,0)</f>
        <v>https://d0f6bd738d7f1b3e5a7ca70fe4ff75f0.us-east-1.aws.found.io/app/kibana#/discover/Steve-Slow-Train-Analysis-(2080s-and-2083s)?_g=(refreshInterval:(display:Off,pause:!f,section:0,value:0),time:(from:'2017-02-18T17:09:43-0700',mode:absolute,to:'2017-02-18T19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2" s="94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/stypes="*4029*201702190*" /stext=" 01:.+((SYSTEM_STATE.+slice.+state.+changed )|(ment ac)|(multiple cpu faults)|(system.+state.+changed )|(\[timeout)|(PRM\|1\|D)|(kpr)|(kdp)|(\|lc)|(penalty))" /e /r /s</v>
      </c>
      <c r="U42" s="9" t="str">
        <f>MID(B42,13,4)</f>
        <v>4029</v>
      </c>
      <c r="V42" s="32">
        <f>A42-utc_offset/24</f>
        <v>42785.076932870368</v>
      </c>
      <c r="W42" s="46" t="str">
        <f>IFERROR(IF(VALUE(LEFT(IF(LEN(C42)=6,"0"&amp;C42,C42),2))&lt;=2,"EC",IF(OR(VALUE(LEFT(IF(LEN(C42)=6,"0"&amp;C42,C42),2))=8,VALUE(LEFT(IF(LEN(C42)=6,"0"&amp;C42,C42),2))=18),"NW","Other")),"Other")</f>
        <v>EC</v>
      </c>
      <c r="X42" s="46" t="str">
        <f>IF(AND(E42="TRACK WARRANT AUTHORITY",G42&lt;10),"OMIT","KEEP")</f>
        <v>KEEP</v>
      </c>
      <c r="Y42" s="108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{"issue":{"subject":"","project_id":79,"tracker_id":40,"status_id":1,"priority_id":2,"assigned_to_id":23,"start_date":"2017-02-18","description":"","custom_fields":[{"id":1,"name":"Subdivision","value":"EC"},{"id":4,"name":"Milepost","value":"23.3491"},{"id":17,"name":"Train ID","value":"217-18"},{"id":16,"name":"Locomotive ID","value":"4029"},{"id":130,"name":"Impact","value":""},{"id":150,"name":"Time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"%USERPROFILE%\AppData\Local\Temp\OnboardLogs"\RTDC4029\*4029*201702190*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"%USERPROFILE%\AppData\Local\Temp\OnboardLogs"\RTDC4029\*4029*201702190* &gt;&gt; 2017-02-18-SliceDisagreementCheck.txt</v>
      </c>
      <c r="AE42" s="157" t="str">
        <f>"start /low /b "&amp;dls3logs&amp;" --loco "&amp;U42&amp;" --day "&amp;TEXT(V42,"YYYY-MM-DD")</f>
        <v>start /low /b %USERPROFILE%\Documents\GitHub\eaglep3\Utilities\DownloadLogsFromS3.py --loco 4029 --day 2017-02-19</v>
      </c>
      <c r="AF42" s="1"/>
    </row>
    <row r="43" spans="1:32" x14ac:dyDescent="0.25">
      <c r="A43" s="32">
        <v>42784.705671296295</v>
      </c>
      <c r="B43" s="30" t="s">
        <v>274</v>
      </c>
      <c r="C43" s="30" t="s">
        <v>462</v>
      </c>
      <c r="D43" s="30" t="s">
        <v>49</v>
      </c>
      <c r="E43" s="30" t="s">
        <v>188</v>
      </c>
      <c r="F43" s="43">
        <v>0</v>
      </c>
      <c r="G43" s="43">
        <v>21</v>
      </c>
      <c r="H43" s="43">
        <v>684</v>
      </c>
      <c r="I43" s="43">
        <v>678</v>
      </c>
      <c r="J43" s="30" t="s">
        <v>189</v>
      </c>
      <c r="K43" s="43">
        <v>575</v>
      </c>
      <c r="L43" s="143" t="s">
        <v>51</v>
      </c>
      <c r="M43" s="144">
        <f>CONVERT((I43-K43)/10000,"mi","ft")*IF(L43="Increasing Mileposts (1)",-1,1)</f>
        <v>54.384</v>
      </c>
      <c r="N43" s="145" t="str">
        <f>VLOOKUP(C43,'Trips&amp;Operators'!$C$1:$G$99999,5,FALSE)</f>
        <v>NELSON ARIANE</v>
      </c>
      <c r="O43" s="194" t="s">
        <v>185</v>
      </c>
      <c r="P43" s="146"/>
      <c r="Q43" s="30"/>
      <c r="R43" s="89" t="str">
        <f>VLOOKUP(C43,'Train Runs'!$A$13:$AE$9955,31,0)</f>
        <v>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 &amp; aws s3 cp s3://rtdc.mdm.uploadarchive.raw/RTDC4032/ "%USERPROFILE%\AppData\Local\Temp\OnboardLogs"\RTDC4032\2017-02-19 --exclude "*" --recursive --include "*20170219*" &amp; "%USERPROFILE%\Documents\GitHub\mrs-test-scripts\Headless Mode &amp; Sideloading\WalkAndUnGZ.bat" "%USERPROFILE%\AppData\Local\Temp\OnboardLogs"\RTDC4032\2017-02-19</v>
      </c>
      <c r="S43" s="92" t="str">
        <f>VLOOKUP(C43,'Train Runs'!$A$13:$AE$9955,22,0)</f>
        <v>https://d0f6bd738d7f1b3e5a7ca70fe4ff75f0.us-east-1.aws.found.io/app/kibana#/discover/Steve-Slow-Train-Analysis-(2080s-and-2083s)?_g=(refreshInterval:(display:Off,pause:!f,section:0,value:0),time:(from:'2017-02-18T15:38:27-0700',mode:absolute,to:'2017-02-18T17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3" s="94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/stypes="*4032*201702182*" /stext=" 23:.+((SYSTEM_STATE.+slice.+state.+changed )|(ment ac)|(multiple cpu faults)|(system.+state.+changed )|(\[timeout)|(PRM\|1\|D)|(kpr)|(kdp)|(\|lc)|(penalty))" /e /r /s</v>
      </c>
      <c r="U43" s="9" t="str">
        <f>MID(B43,13,4)</f>
        <v>4032</v>
      </c>
      <c r="V43" s="32">
        <f>A43-utc_offset/24</f>
        <v>42784.997337962959</v>
      </c>
      <c r="W43" s="46" t="str">
        <f>IFERROR(IF(VALUE(LEFT(IF(LEN(C43)=6,"0"&amp;C43,C43),2))&lt;=2,"EC",IF(OR(VALUE(LEFT(IF(LEN(C43)=6,"0"&amp;C43,C43),2))=8,VALUE(LEFT(IF(LEN(C43)=6,"0"&amp;C43,C43),2))=18),"NW","Other")),"Other")</f>
        <v>NW</v>
      </c>
      <c r="X43" s="46" t="str">
        <f>IF(AND(E43="TRACK WARRANT AUTHORITY",G43&lt;10),"OMIT","KEEP")</f>
        <v>KEEP</v>
      </c>
      <c r="Y43" s="108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{"issue":{"subject":"","project_id":79,"tracker_id":40,"status_id":1,"priority_id":2,"assigned_to_id":23,"start_date":"2017-02-18","description":"","custom_fields":[{"id":1,"name":"Subdivision","value":"NW"},{"id":4,"name":"Milepost","value":"0.0575"},{"id":17,"name":"Train ID","value":"1822-18"},{"id":16,"name":"Locomotive ID","value":"4032"},{"id":130,"name":"Impact","value":""},{"id":150,"name":"Time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"%USERPROFILE%\AppData\Local\Temp\OnboardLogs"\RTDC4032\*4032*201702182*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"%USERPROFILE%\AppData\Local\Temp\OnboardLogs"\RTDC4032\*4032*201702182* &gt;&gt; 2017-02-18-SliceDisagreementCheck.txt</v>
      </c>
      <c r="AE43" s="157" t="str">
        <f>"start /low /b "&amp;dls3logs&amp;" --loco "&amp;U43&amp;" --day "&amp;TEXT(V43,"YYYY-MM-DD")</f>
        <v>start /low /b %USERPROFILE%\Documents\GitHub\eaglep3\Utilities\DownloadLogsFromS3.py --loco 4032 --day 2017-02-18</v>
      </c>
      <c r="AF43" s="1"/>
    </row>
    <row r="44" spans="1:32" x14ac:dyDescent="0.25">
      <c r="A44" s="32">
        <v>42784.524178240739</v>
      </c>
      <c r="B44" s="30" t="s">
        <v>273</v>
      </c>
      <c r="C44" s="30" t="s">
        <v>452</v>
      </c>
      <c r="D44" s="30" t="s">
        <v>49</v>
      </c>
      <c r="E44" s="30" t="s">
        <v>188</v>
      </c>
      <c r="F44" s="43">
        <v>0</v>
      </c>
      <c r="G44" s="43">
        <v>22</v>
      </c>
      <c r="H44" s="43">
        <v>59031</v>
      </c>
      <c r="I44" s="43">
        <v>59035</v>
      </c>
      <c r="J44" s="30" t="s">
        <v>189</v>
      </c>
      <c r="K44" s="43">
        <v>59048</v>
      </c>
      <c r="L44" s="143" t="s">
        <v>50</v>
      </c>
      <c r="M44" s="144">
        <f>CONVERT((I44-K44)/10000,"mi","ft")*IF(L44="Increasing Mileposts (1)",-1,1)</f>
        <v>6.8639999999999999</v>
      </c>
      <c r="N44" s="145" t="str">
        <f>VLOOKUP(C44,'Trips&amp;Operators'!$C$1:$G$99999,5,FALSE)</f>
        <v>SHOOK JOHN</v>
      </c>
      <c r="O44" s="194" t="s">
        <v>185</v>
      </c>
      <c r="P44" s="146"/>
      <c r="Q44" s="30"/>
      <c r="R44" s="89" t="str">
        <f>VLOOKUP(C44,'Train Runs'!$A$13:$AE$9955,31,0)</f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S44" s="92" t="str">
        <f>VLOOKUP(C44,'Train Runs'!$A$13:$AE$9955,22,0)</f>
        <v>https://d0f6bd738d7f1b3e5a7ca70fe4ff75f0.us-east-1.aws.found.io/app/kibana#/discover/Steve-Slow-Train-Analysis-(2080s-and-2083s)?_g=(refreshInterval:(display:Off,pause:!f,section:0,value:0),time:(from:'2017-02-18T10:37:31-0700',mode:absolute,to:'2017-02-18T13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4" s="94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/stypes="*4031*201702181*" /stext=" 19:.+((SYSTEM_STATE.+slice.+state.+changed )|(ment ac)|(multiple cpu faults)|(system.+state.+changed )|(\[timeout)|(PRM\|1\|D)|(kpr)|(kdp)|(\|lc)|(penalty))" /e /r /s</v>
      </c>
      <c r="U44" s="9" t="str">
        <f>MID(B44,13,4)</f>
        <v>4031</v>
      </c>
      <c r="V44" s="32">
        <f>A44-utc_offset/24</f>
        <v>42784.815844907404</v>
      </c>
      <c r="W44" s="46" t="str">
        <f>IFERROR(IF(VALUE(LEFT(IF(LEN(C44)=6,"0"&amp;C44,C44),2))&lt;=2,"EC",IF(OR(VALUE(LEFT(IF(LEN(C44)=6,"0"&amp;C44,C44),2))=8,VALUE(LEFT(IF(LEN(C44)=6,"0"&amp;C44,C44),2))=18),"NW","Other")),"Other")</f>
        <v>NW</v>
      </c>
      <c r="X44" s="46" t="str">
        <f>IF(AND(E44="TRACK WARRANT AUTHORITY",G44&lt;10),"OMIT","KEEP")</f>
        <v>KEEP</v>
      </c>
      <c r="Y44" s="108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{"issue":{"subject":"","project_id":79,"tracker_id":40,"status_id":1,"priority_id":2,"assigned_to_id":23,"start_date":"2017-02-18","description":"","custom_fields":[{"id":1,"name":"Subdivision","value":"NW"},{"id":4,"name":"Milepost","value":"5.9048"},{"id":17,"name":"Train ID","value":"1813-18"},{"id":16,"name":"Locomotive ID","value":"4031"},{"id":130,"name":"Impact","value":""},{"id":150,"name":"Time of Event (Mountain Time)","value":"12:34:49"},{"id":151,"name":"Denver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>"grep -hSE -A400 ""Enforcement Action"" "&amp;search_path&amp;"\RTDC"&amp;U44&amp;"\*"&amp;U44&amp;"*"&amp;TEXT(A44-utc_offset/24,"YYYYMMDD")&amp;LEFT(TEXT(A44-utc_offset/24,"HH"),1)&amp;"* | grep -SE ""((Enforcement Ac)|(PRM))"" -"</f>
        <v>grep -hSE -A400 "Enforcement Action" "%USERPROFILE%\AppData\Local\Temp\OnboardLogs"\RTDC4031\*4031*201702181*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"%USERPROFILE%\AppData\Local\Temp\OnboardLogs"\RTDC4031\*4031*201702181* &gt;&gt; 2017-02-18-SliceDisagreementCheck.txt</v>
      </c>
      <c r="AE44" s="157" t="str">
        <f>"start /low /b "&amp;dls3logs&amp;" --loco "&amp;U44&amp;" --day "&amp;TEXT(V44,"YYYY-MM-DD")</f>
        <v>start /low /b %USERPROFILE%\Documents\GitHub\eaglep3\Utilities\DownloadLogsFromS3.py --loco 4031 --day 2017-02-18</v>
      </c>
      <c r="AF44" s="1"/>
    </row>
    <row r="45" spans="1:32" x14ac:dyDescent="0.25">
      <c r="A45" s="32">
        <v>42784.691192129627</v>
      </c>
      <c r="B45" s="30" t="s">
        <v>273</v>
      </c>
      <c r="C45" s="30" t="s">
        <v>461</v>
      </c>
      <c r="D45" s="30" t="s">
        <v>49</v>
      </c>
      <c r="E45" s="30" t="s">
        <v>188</v>
      </c>
      <c r="F45" s="43">
        <v>0</v>
      </c>
      <c r="G45" s="43">
        <v>31</v>
      </c>
      <c r="H45" s="43">
        <v>58980</v>
      </c>
      <c r="I45" s="43">
        <v>58997</v>
      </c>
      <c r="J45" s="30" t="s">
        <v>189</v>
      </c>
      <c r="K45" s="43">
        <v>59048</v>
      </c>
      <c r="L45" s="143" t="s">
        <v>50</v>
      </c>
      <c r="M45" s="144">
        <f>CONVERT((I45-K45)/10000,"mi","ft")*IF(L45="Increasing Mileposts (1)",-1,1)</f>
        <v>26.928000000000001</v>
      </c>
      <c r="N45" s="145" t="str">
        <f>VLOOKUP(C45,'Trips&amp;Operators'!$C$1:$G$99999,5,FALSE)</f>
        <v>NELSON ARIANE</v>
      </c>
      <c r="O45" s="194" t="s">
        <v>185</v>
      </c>
      <c r="P45" s="146"/>
      <c r="Q45" s="30"/>
      <c r="R45" s="89" t="str">
        <f>VLOOKUP(C45,'Train Runs'!$A$13:$AE$9955,31,0)</f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S45" s="92" t="str">
        <f>VLOOKUP(C45,'Train Runs'!$A$13:$AE$9955,22,0)</f>
        <v>https://d0f6bd738d7f1b3e5a7ca70fe4ff75f0.us-east-1.aws.found.io/app/kibana#/discover/Steve-Slow-Train-Analysis-(2080s-and-2083s)?_g=(refreshInterval:(display:Off,pause:!f,section:0,value:0),time:(from:'2017-02-18T15:09:45-0700',mode:absolute,to:'2017-02-18T17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5" s="94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/stypes="*4031*201702182*" /stext=" 23:.+((SYSTEM_STATE.+slice.+state.+changed )|(ment ac)|(multiple cpu faults)|(system.+state.+changed )|(\[timeout)|(PRM\|1\|D)|(kpr)|(kdp)|(\|lc)|(penalty))" /e /r /s</v>
      </c>
      <c r="U45" s="9" t="str">
        <f>MID(B45,13,4)</f>
        <v>4031</v>
      </c>
      <c r="V45" s="32">
        <f>A45-utc_offset/24</f>
        <v>42784.982858796291</v>
      </c>
      <c r="W45" s="46" t="str">
        <f>IFERROR(IF(VALUE(LEFT(IF(LEN(C45)=6,"0"&amp;C45,C45),2))&lt;=2,"EC",IF(OR(VALUE(LEFT(IF(LEN(C45)=6,"0"&amp;C45,C45),2))=8,VALUE(LEFT(IF(LEN(C45)=6,"0"&amp;C45,C45),2))=18),"NW","Other")),"Other")</f>
        <v>NW</v>
      </c>
      <c r="X45" s="46" t="str">
        <f>IF(AND(E45="TRACK WARRANT AUTHORITY",G45&lt;10),"OMIT","KEEP")</f>
        <v>KEEP</v>
      </c>
      <c r="Y45" s="108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{"issue":{"subject":"","project_id":79,"tracker_id":40,"status_id":1,"priority_id":2,"assigned_to_id":23,"start_date":"2017-02-18","description":"","custom_fields":[{"id":1,"name":"Subdivision","value":"NW"},{"id":4,"name":"Milepost","value":"5.9048"},{"id":17,"name":"Train ID","value":"1821-18"},{"id":16,"name":"Locomotive ID","value":"4031"},{"id":130,"name":"Impact","value":""},{"id":150,"name":"Time of Event (Mountain Time)","value":"16:35:19"},{"id":151,"name":"Denver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>"grep -hSE -A400 ""Enforcement Action"" "&amp;search_path&amp;"\RTDC"&amp;U45&amp;"\*"&amp;U45&amp;"*"&amp;TEXT(A45-utc_offset/24,"YYYYMMDD")&amp;LEFT(TEXT(A45-utc_offset/24,"HH"),1)&amp;"* | grep -SE ""((Enforcement Ac)|(PRM))"" -"</f>
        <v>grep -hSE -A400 "Enforcement Action" "%USERPROFILE%\AppData\Local\Temp\OnboardLogs"\RTDC4031\*4031*201702182*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"%USERPROFILE%\AppData\Local\Temp\OnboardLogs"\RTDC4031\*4031*201702182* &gt;&gt; 2017-02-18-SliceDisagreementCheck.txt</v>
      </c>
      <c r="AE45" s="157" t="str">
        <f>"start /low /b "&amp;dls3logs&amp;" --loco "&amp;U45&amp;" --day "&amp;TEXT(V45,"YYYY-MM-DD")</f>
        <v>start /low /b %USERPROFILE%\Documents\GitHub\eaglep3\Utilities\DownloadLogsFromS3.py --loco 4031 --day 2017-02-18</v>
      </c>
      <c r="AF45" s="1"/>
    </row>
    <row r="46" spans="1:32" x14ac:dyDescent="0.25">
      <c r="A46" s="32">
        <v>42784.899189814816</v>
      </c>
      <c r="B46" s="30" t="s">
        <v>273</v>
      </c>
      <c r="C46" s="30" t="s">
        <v>479</v>
      </c>
      <c r="D46" s="30" t="s">
        <v>49</v>
      </c>
      <c r="E46" s="30" t="s">
        <v>188</v>
      </c>
      <c r="F46" s="43">
        <v>0</v>
      </c>
      <c r="G46" s="43">
        <v>27</v>
      </c>
      <c r="H46" s="43">
        <v>58971</v>
      </c>
      <c r="I46" s="43">
        <v>58984</v>
      </c>
      <c r="J46" s="30" t="s">
        <v>189</v>
      </c>
      <c r="K46" s="43">
        <v>59048</v>
      </c>
      <c r="L46" s="143" t="s">
        <v>50</v>
      </c>
      <c r="M46" s="144">
        <f>CONVERT((I46-K46)/10000,"mi","ft")*IF(L46="Increasing Mileposts (1)",-1,1)</f>
        <v>33.792000000000002</v>
      </c>
      <c r="N46" s="145" t="str">
        <f>VLOOKUP(C46,'Trips&amp;Operators'!$C$1:$G$99999,5,FALSE)</f>
        <v>HELVIE ADAM</v>
      </c>
      <c r="O46" s="194" t="s">
        <v>185</v>
      </c>
      <c r="P46" s="146"/>
      <c r="Q46" s="30"/>
      <c r="R46" s="89" t="str">
        <f>VLOOKUP(C46,'Train Runs'!$A$13:$AE$9955,31,0)</f>
        <v>aws s3 cp s3://rtdc.mdm.uploadarchive.raw/RTDC4031/ "%USERPROFILE%\AppData\Local\Temp\OnboardLogs"\RTDC4031\2017-02-18 --exclude "*" --recursive --include "*20170218*" &amp; "%USERPROFILE%\Documents\GitHub\mrs-test-scripts\Headless Mode &amp; Sideloading\WalkAndUnGZ.bat" "%USERPROFILE%\AppData\Local\Temp\OnboardLogs"\RTDC4031\2017-02-18 &amp; aws s3 cp s3://rtdc.mdm.uploadarchive.raw/RTDC4031/ "%USERPROFILE%\AppData\Local\Temp\OnboardLogs"\RTDC4031\2017-02-19 --exclude "*" --recursive --include "*20170219*" &amp; "%USERPROFILE%\Documents\GitHub\mrs-test-scripts\Headless Mode &amp; Sideloading\WalkAndUnGZ.bat" "%USERPROFILE%\AppData\Local\Temp\OnboardLogs"\RTDC4031\2017-02-19</v>
      </c>
      <c r="S46" s="92" t="str">
        <f>VLOOKUP(C46,'Train Runs'!$A$13:$AE$9955,22,0)</f>
        <v>https://d0f6bd738d7f1b3e5a7ca70fe4ff75f0.us-east-1.aws.found.io/app/kibana#/discover/Steve-Slow-Train-Analysis-(2080s-and-2083s)?_g=(refreshInterval:(display:Off,pause:!f,section:0,value:0),time:(from:'2017-02-18T20:18:34-0700',mode:absolute,to:'2017-02-18T22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6" s="94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/stypes="*4031*201702190*" /stext=" 04:.+((SYSTEM_STATE.+slice.+state.+changed )|(ment ac)|(multiple cpu faults)|(system.+state.+changed )|(\[timeout)|(PRM\|1\|D)|(kpr)|(kdp)|(\|lc)|(penalty))" /e /r /s</v>
      </c>
      <c r="U46" s="9" t="str">
        <f>MID(B46,13,4)</f>
        <v>4031</v>
      </c>
      <c r="V46" s="32">
        <f>A46-utc_offset/24</f>
        <v>42785.19085648148</v>
      </c>
      <c r="W46" s="46" t="str">
        <f>IFERROR(IF(VALUE(LEFT(IF(LEN(C46)=6,"0"&amp;C46,C46),2))&lt;=2,"EC",IF(OR(VALUE(LEFT(IF(LEN(C46)=6,"0"&amp;C46,C46),2))=8,VALUE(LEFT(IF(LEN(C46)=6,"0"&amp;C46,C46),2))=18),"NW","Other")),"Other")</f>
        <v>NW</v>
      </c>
      <c r="X46" s="46" t="str">
        <f>IF(AND(E46="TRACK WARRANT AUTHORITY",G46&lt;10),"OMIT","KEEP")</f>
        <v>KEEP</v>
      </c>
      <c r="Y46" s="108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{"issue":{"subject":"","project_id":79,"tracker_id":40,"status_id":1,"priority_id":2,"assigned_to_id":23,"start_date":"2017-02-18","description":"","custom_fields":[{"id":1,"name":"Subdivision","value":"NW"},{"id":4,"name":"Milepost","value":"5.9048"},{"id":17,"name":"Train ID","value":"1831-18"},{"id":16,"name":"Locomotive ID","value":"4031"},{"id":130,"name":"Impact","value":""},{"id":150,"name":"Time of Event (Mountain Time)","value":"21:34:50"},{"id":151,"name":"Denver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>"grep -hSE -A400 ""Enforcement Action"" "&amp;search_path&amp;"\RTDC"&amp;U46&amp;"\*"&amp;U46&amp;"*"&amp;TEXT(A46-utc_offset/24,"YYYYMMDD")&amp;LEFT(TEXT(A46-utc_offset/24,"HH"),1)&amp;"* | grep -SE ""((Enforcement Ac)|(PRM))"" -"</f>
        <v>grep -hSE -A400 "Enforcement Action" "%USERPROFILE%\AppData\Local\Temp\OnboardLogs"\RTDC4031\*4031*201702190*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"%USERPROFILE%\AppData\Local\Temp\OnboardLogs"\RTDC4031\*4031*201702190* &gt;&gt; 2017-02-18-SliceDisagreementCheck.txt</v>
      </c>
      <c r="AE46" s="157" t="str">
        <f>"start /low /b "&amp;dls3logs&amp;" --loco "&amp;U46&amp;" --day "&amp;TEXT(V46,"YYYY-MM-DD")</f>
        <v>start /low /b %USERPROFILE%\Documents\GitHub\eaglep3\Utilities\DownloadLogsFromS3.py --loco 4031 --day 2017-02-19</v>
      </c>
      <c r="AF46" s="1"/>
    </row>
    <row r="47" spans="1:32" x14ac:dyDescent="0.25">
      <c r="A47" s="32">
        <v>42784.78</v>
      </c>
      <c r="B47" s="30" t="s">
        <v>234</v>
      </c>
      <c r="C47" s="30" t="s">
        <v>467</v>
      </c>
      <c r="D47" s="30" t="s">
        <v>49</v>
      </c>
      <c r="E47" s="30" t="s">
        <v>197</v>
      </c>
      <c r="F47" s="43">
        <v>0</v>
      </c>
      <c r="G47" s="43">
        <v>356</v>
      </c>
      <c r="H47" s="43">
        <v>10409</v>
      </c>
      <c r="I47" s="43">
        <v>11259</v>
      </c>
      <c r="J47" s="30" t="s">
        <v>198</v>
      </c>
      <c r="K47" s="43">
        <v>10716</v>
      </c>
      <c r="L47" s="143" t="s">
        <v>50</v>
      </c>
      <c r="M47" s="144">
        <f>CONVERT((I47-K47)/10000,"mi","ft")*IF(L47="Increasing Mileposts (1)",-1,1)</f>
        <v>-286.70400000000001</v>
      </c>
      <c r="N47" s="145" t="str">
        <f>VLOOKUP(C47,'Trips&amp;Operators'!$C$1:$G$99999,5,FALSE)</f>
        <v>KILLION DAVID</v>
      </c>
      <c r="O47" s="194" t="s">
        <v>185</v>
      </c>
      <c r="P47" s="146"/>
      <c r="Q47" s="30"/>
      <c r="R47" s="89" t="e">
        <f>VLOOKUP(C47,'Train Runs'!$A$13:$AE$9955,31,0)</f>
        <v>#N/A</v>
      </c>
      <c r="S47" s="92" t="e">
        <f>VLOOKUP(C47,'Train Runs'!$A$13:$AE$9955,22,0)</f>
        <v>#N/A</v>
      </c>
      <c r="T47" s="94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/stypes="*4007*201702190*" /stext=" 01:.+((SYSTEM_STATE.+slice.+state.+changed )|(ment ac)|(multiple cpu faults)|(system.+state.+changed )|(\[timeout)|(PRM\|1\|D)|(kpr)|(kdp)|(\|lc)|(penalty))" /e /r /s</v>
      </c>
      <c r="U47" s="9" t="str">
        <f>MID(B47,13,4)</f>
        <v>4007</v>
      </c>
      <c r="V47" s="32">
        <f>A47-utc_offset/24</f>
        <v>42785.071666666663</v>
      </c>
      <c r="W47" s="46" t="str">
        <f>IFERROR(IF(VALUE(LEFT(IF(LEN(C47)=6,"0"&amp;C47,C47),2))&lt;=2,"EC",IF(OR(VALUE(LEFT(IF(LEN(C47)=6,"0"&amp;C47,C47),2))=8,VALUE(LEFT(IF(LEN(C47)=6,"0"&amp;C47,C47),2))=18),"NW","Other")),"Other")</f>
        <v>Other</v>
      </c>
      <c r="X47" s="46" t="str">
        <f>IF(AND(E47="TRACK WARRANT AUTHORITY",G47&lt;10),"OMIT","KEEP")</f>
        <v>KEEP</v>
      </c>
      <c r="Y47" s="108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{"issue":{"subject":"","project_id":79,"tracker_id":40,"status_id":1,"priority_id":2,"assigned_to_id":23,"start_date":"2017-02-18","description":"","custom_fields":[{"id":1,"name":"Subdivision","value":"Other"},{"id":4,"name":"Milepost","value":"1.0716"},{"id":17,"name":"Train ID","value":"303-18"},{"id":16,"name":"Locomotive ID","value":"4007"},{"id":130,"name":"Impact","value":""},{"id":150,"name":"Time of Event (Mountain Time)","value":"18:43:12"},{"id":151,"name":"Denver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>"grep -hSE -A400 ""Enforcement Action"" "&amp;search_path&amp;"\RTDC"&amp;U47&amp;"\*"&amp;U47&amp;"*"&amp;TEXT(A47-utc_offset/24,"YYYYMMDD")&amp;LEFT(TEXT(A47-utc_offset/24,"HH"),1)&amp;"* | grep -SE ""((Enforcement Ac)|(PRM))"" -"</f>
        <v>grep -hSE -A400 "Enforcement Action" "%USERPROFILE%\AppData\Local\Temp\OnboardLogs"\RTDC4007\*4007*201702190*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"%USERPROFILE%\AppData\Local\Temp\OnboardLogs"\RTDC4007\*4007*201702190* &gt;&gt; 2017-02-18-SliceDisagreementCheck.txt</v>
      </c>
      <c r="AE47" s="157" t="str">
        <f>"start /low /b "&amp;dls3logs&amp;" --loco "&amp;U47&amp;" --day "&amp;TEXT(V47,"YYYY-MM-DD")</f>
        <v>start /low /b %USERPROFILE%\Documents\GitHub\eaglep3\Utilities\DownloadLogsFromS3.py --loco 4007 --day 2017-02-19</v>
      </c>
      <c r="AF47" s="1"/>
    </row>
    <row r="48" spans="1:32" x14ac:dyDescent="0.25">
      <c r="A48" s="32">
        <v>42784.798668981479</v>
      </c>
      <c r="B48" s="30" t="s">
        <v>248</v>
      </c>
      <c r="C48" s="30" t="s">
        <v>473</v>
      </c>
      <c r="D48" s="30" t="s">
        <v>49</v>
      </c>
      <c r="E48" s="30" t="s">
        <v>197</v>
      </c>
      <c r="F48" s="43">
        <v>370</v>
      </c>
      <c r="G48" s="43">
        <v>434</v>
      </c>
      <c r="H48" s="43">
        <v>8074</v>
      </c>
      <c r="I48" s="43">
        <v>9619</v>
      </c>
      <c r="J48" s="30" t="s">
        <v>198</v>
      </c>
      <c r="K48" s="43">
        <v>10716</v>
      </c>
      <c r="L48" s="143" t="s">
        <v>50</v>
      </c>
      <c r="M48" s="144">
        <f>CONVERT((I48-K48)/10000,"mi","ft")*IF(L48="Increasing Mileposts (1)",-1,1)</f>
        <v>579.21600000000001</v>
      </c>
      <c r="N48" s="145" t="str">
        <f>VLOOKUP(C48,'Trips&amp;Operators'!$C$1:$G$99999,5,FALSE)</f>
        <v>ROMERO CHAD</v>
      </c>
      <c r="O48" s="194" t="s">
        <v>185</v>
      </c>
      <c r="P48" s="146"/>
      <c r="Q48" s="30"/>
      <c r="R48" s="89" t="str">
        <f>VLOOKUP(C48,'Train Runs'!$A$13:$AE$9955,31,0)</f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S48" s="92" t="str">
        <f>VLOOKUP(C48,'Train Runs'!$A$13:$AE$9955,22,0)</f>
        <v>https://d0f6bd738d7f1b3e5a7ca70fe4ff75f0.us-east-1.aws.found.io/app/kibana#/discover/Steve-Slow-Train-Analysis-(2080s-and-2083s)?_g=(refreshInterval:(display:Off,pause:!f,section:0,value:0),time:(from:'2017-02-18T18:05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8" s="94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/stypes="*4053*201702190*" /stext=" 02:.+((SYSTEM_STATE.+slice.+state.+changed )|(ment ac)|(multiple cpu faults)|(system.+state.+changed )|(\[timeout)|(PRM\|1\|D)|(kpr)|(kdp)|(\|lc)|(penalty))" /e /r /s</v>
      </c>
      <c r="U48" s="9" t="str">
        <f>MID(B48,13,4)</f>
        <v>4053</v>
      </c>
      <c r="V48" s="32">
        <f>A48-utc_offset/24</f>
        <v>42785.090335648143</v>
      </c>
      <c r="W48" s="46" t="str">
        <f>IFERROR(IF(VALUE(LEFT(IF(LEN(C48)=6,"0"&amp;C48,C48),2))&lt;=2,"EC",IF(OR(VALUE(LEFT(IF(LEN(C48)=6,"0"&amp;C48,C48),2))=8,VALUE(LEFT(IF(LEN(C48)=6,"0"&amp;C48,C48),2))=18),"NW","Other")),"Other")</f>
        <v>Other</v>
      </c>
      <c r="X48" s="46" t="str">
        <f>IF(AND(E48="TRACK WARRANT AUTHORITY",G48&lt;10),"OMIT","KEEP")</f>
        <v>KEEP</v>
      </c>
      <c r="Y48" s="108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{"issue":{"subject":"","project_id":79,"tracker_id":40,"status_id":1,"priority_id":2,"assigned_to_id":23,"start_date":"2017-02-18","description":"","custom_fields":[{"id":1,"name":"Subdivision","value":"Other"},{"id":4,"name":"Milepost","value":"1.0716"},{"id":17,"name":"Train ID","value":"305-18"},{"id":16,"name":"Locomotive ID","value":"4053"},{"id":130,"name":"Impact","value":""},{"id":150,"name":"Time of Event (Mountain Time)","value":"19:10:05"},{"id":151,"name":"Denver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>"grep -hSE -A400 ""Enforcement Action"" "&amp;search_path&amp;"\RTDC"&amp;U48&amp;"\*"&amp;U48&amp;"*"&amp;TEXT(A48-utc_offset/24,"YYYYMMDD")&amp;LEFT(TEXT(A48-utc_offset/24,"HH"),1)&amp;"* | grep -SE ""((Enforcement Ac)|(PRM))"" -"</f>
        <v>grep -hSE -A400 "Enforcement Action" "%USERPROFILE%\AppData\Local\Temp\OnboardLogs"\RTDC4053\*4053*201702190*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"%USERPROFILE%\AppData\Local\Temp\OnboardLogs"\RTDC4053\*4053*201702190* &gt;&gt; 2017-02-18-SliceDisagreementCheck.txt</v>
      </c>
      <c r="AE48" s="157" t="str">
        <f>"start /low /b "&amp;dls3logs&amp;" --loco "&amp;U48&amp;" --day "&amp;TEXT(V48,"YYYY-MM-DD")</f>
        <v>start /low /b %USERPROFILE%\Documents\GitHub\eaglep3\Utilities\DownloadLogsFromS3.py --loco 4053 --day 2017-02-19</v>
      </c>
      <c r="AF48" s="1"/>
    </row>
    <row r="49" spans="1:32" x14ac:dyDescent="0.25">
      <c r="A49" s="32">
        <v>42784.73710648148</v>
      </c>
      <c r="B49" s="30" t="s">
        <v>265</v>
      </c>
      <c r="C49" s="30" t="s">
        <v>464</v>
      </c>
      <c r="D49" s="30" t="s">
        <v>49</v>
      </c>
      <c r="E49" s="30" t="s">
        <v>197</v>
      </c>
      <c r="F49" s="43">
        <v>340</v>
      </c>
      <c r="G49" s="43">
        <v>395</v>
      </c>
      <c r="H49" s="43">
        <v>8320</v>
      </c>
      <c r="I49" s="43">
        <v>9356</v>
      </c>
      <c r="J49" s="30" t="s">
        <v>198</v>
      </c>
      <c r="K49" s="43">
        <v>10716</v>
      </c>
      <c r="L49" s="143" t="s">
        <v>50</v>
      </c>
      <c r="M49" s="144">
        <f>CONVERT((I49-K49)/10000,"mi","ft")*IF(L49="Increasing Mileposts (1)",-1,1)</f>
        <v>718.08</v>
      </c>
      <c r="N49" s="145" t="str">
        <f>VLOOKUP(C49,'Trips&amp;Operators'!$C$1:$G$99999,5,FALSE)</f>
        <v>HOLCOMB KAMDEN</v>
      </c>
      <c r="O49" s="194" t="s">
        <v>185</v>
      </c>
      <c r="P49" s="146"/>
      <c r="Q49" s="30"/>
      <c r="R49" s="89" t="str">
        <f>VLOOKUP(C49,'Train Runs'!$A$13:$AE$9955,31,0)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S49" s="92" t="str">
        <f>VLOOKUP(C49,'Train Runs'!$A$13:$AE$9955,22,0)</f>
        <v>https://d0f6bd738d7f1b3e5a7ca70fe4ff75f0.us-east-1.aws.found.io/app/kibana#/discover/Steve-Slow-Train-Analysis-(2080s-and-2083s)?_g=(refreshInterval:(display:Off,pause:!f,section:0,value:0),time:(from:'2017-02-18T16:07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9" s="94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/stypes="*4016*201702190*" /stext=" 00:.+((SYSTEM_STATE.+slice.+state.+changed )|(ment ac)|(multiple cpu faults)|(system.+state.+changed )|(\[timeout)|(PRM\|1\|D)|(kpr)|(kdp)|(\|lc)|(penalty))" /e /r /s</v>
      </c>
      <c r="U49" s="9" t="str">
        <f>MID(B49,13,4)</f>
        <v>4016</v>
      </c>
      <c r="V49" s="32">
        <f>A49-utc_offset/24</f>
        <v>42785.028773148144</v>
      </c>
      <c r="W49" s="46" t="str">
        <f>IFERROR(IF(VALUE(LEFT(IF(LEN(C49)=6,"0"&amp;C49,C49),2))&lt;=2,"EC",IF(OR(VALUE(LEFT(IF(LEN(C49)=6,"0"&amp;C49,C49),2))=8,VALUE(LEFT(IF(LEN(C49)=6,"0"&amp;C49,C49),2))=18),"NW","Other")),"Other")</f>
        <v>Other</v>
      </c>
      <c r="X49" s="46" t="str">
        <f>IF(AND(E49="TRACK WARRANT AUTHORITY",G49&lt;10),"OMIT","KEEP")</f>
        <v>KEEP</v>
      </c>
      <c r="Y49" s="108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{"issue":{"subject":"","project_id":79,"tracker_id":40,"status_id":1,"priority_id":2,"assigned_to_id":23,"start_date":"2017-02-18","description":"","custom_fields":[{"id":1,"name":"Subdivision","value":"Other"},{"id":4,"name":"Milepost","value":"1.0716"},{"id":17,"name":"Train ID","value":"53-18"},{"id":16,"name":"Locomotive ID","value":"4016"},{"id":130,"name":"Impact","value":""},{"id":150,"name":"Time of Event (Mountain Time)","value":"17:41:26"},{"id":151,"name":"Denver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>"grep -hSE -A400 ""Enforcement Action"" "&amp;search_path&amp;"\RTDC"&amp;U49&amp;"\*"&amp;U49&amp;"*"&amp;TEXT(A49-utc_offset/24,"YYYYMMDD")&amp;LEFT(TEXT(A49-utc_offset/24,"HH"),1)&amp;"* | grep -SE ""((Enforcement Ac)|(PRM))"" -"</f>
        <v>grep -hSE -A400 "Enforcement Action" "%USERPROFILE%\AppData\Local\Temp\OnboardLogs"\RTDC4016\*4016*201702190*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"%USERPROFILE%\AppData\Local\Temp\OnboardLogs"\RTDC4016\*4016*201702190* &gt;&gt; 2017-02-18-SliceDisagreementCheck.txt</v>
      </c>
      <c r="AE49" s="157" t="str">
        <f>"start /low /b "&amp;dls3logs&amp;" --loco "&amp;U49&amp;" --day "&amp;TEXT(V49,"YYYY-MM-DD")</f>
        <v>start /low /b %USERPROFILE%\Documents\GitHub\eaglep3\Utilities\DownloadLogsFromS3.py --loco 4016 --day 2017-02-19</v>
      </c>
      <c r="AF49" s="1"/>
    </row>
    <row r="50" spans="1:32" x14ac:dyDescent="0.25">
      <c r="A50" s="32">
        <v>42784.755439814813</v>
      </c>
      <c r="B50" s="30" t="s">
        <v>271</v>
      </c>
      <c r="C50" s="30" t="s">
        <v>465</v>
      </c>
      <c r="D50" s="30" t="s">
        <v>98</v>
      </c>
      <c r="E50" s="30" t="s">
        <v>186</v>
      </c>
      <c r="F50" s="43">
        <v>0</v>
      </c>
      <c r="G50" s="43">
        <v>134</v>
      </c>
      <c r="H50" s="43">
        <v>4776</v>
      </c>
      <c r="I50" s="43">
        <v>4582</v>
      </c>
      <c r="J50" s="30" t="s">
        <v>187</v>
      </c>
      <c r="K50" s="43">
        <v>4790</v>
      </c>
      <c r="L50" s="143" t="s">
        <v>51</v>
      </c>
      <c r="M50" s="144">
        <f>CONVERT((I50-K50)/10000,"mi","ft")*IF(L50="Increasing Mileposts (1)",-1,1)</f>
        <v>-109.824</v>
      </c>
      <c r="N50" s="145" t="str">
        <f>VLOOKUP(C50,'Trips&amp;Operators'!$C$1:$G$99999,5,FALSE)</f>
        <v>SAFIEF AEIMEN</v>
      </c>
      <c r="O50" s="194" t="s">
        <v>185</v>
      </c>
      <c r="P50" s="146"/>
      <c r="Q50" s="30"/>
      <c r="R50" s="89" t="str">
        <f>VLOOKUP(C50,'Train Runs'!$A$13:$AE$9955,31,0)</f>
        <v>aws s3 cp s3://rtdc.mdm.uploadarchive.raw/RTDC4019/ "%USERPROFILE%\AppData\Local\Temp\OnboardLogs"\RTDC4019\2017-02-18 --exclude "*" --recursive --include "*20170218*" &amp; "%USERPROFILE%\Documents\GitHub\mrs-test-scripts\Headless Mode &amp; Sideloading\WalkAndUnGZ.bat" "%USERPROFILE%\AppData\Local\Temp\OnboardLogs"\RTDC4019\2017-02-18 &amp; 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</v>
      </c>
      <c r="S50" s="92" t="str">
        <f>VLOOKUP(C50,'Train Runs'!$A$13:$AE$9955,22,0)</f>
        <v>https://d0f6bd738d7f1b3e5a7ca70fe4ff75f0.us-east-1.aws.found.io/app/kibana#/discover/Steve-Slow-Train-Analysis-(2080s-and-2083s)?_g=(refreshInterval:(display:Off,pause:!f,section:0,value:0),time:(from:'2017-02-18T16:54:39-0700',mode:absolute,to:'2017-02-18T19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0" s="94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/stypes="*4019*201702190*" /stext=" 01:.+((SYSTEM_STATE.+slice.+state.+changed )|(ment ac)|(multiple cpu faults)|(system.+state.+changed )|(\[timeout)|(PRM\|1\|D)|(kpr)|(kdp)|(\|lc)|(penalty))" /e /r /s</v>
      </c>
      <c r="U50" s="9" t="str">
        <f>MID(B50,13,4)</f>
        <v>4019</v>
      </c>
      <c r="V50" s="32">
        <f>A50-utc_offset/24</f>
        <v>42785.047106481477</v>
      </c>
      <c r="W50" s="46" t="str">
        <f>IFERROR(IF(VALUE(LEFT(IF(LEN(C50)=6,"0"&amp;C50,C50),2))&lt;=2,"EC",IF(OR(VALUE(LEFT(IF(LEN(C50)=6,"0"&amp;C50,C50),2))=8,VALUE(LEFT(IF(LEN(C50)=6,"0"&amp;C50,C50),2))=18),"NW","Other")),"Other")</f>
        <v>Other</v>
      </c>
      <c r="X50" s="46" t="str">
        <f>IF(AND(E50="TRACK WARRANT AUTHORITY",G50&lt;10),"OMIT","KEEP")</f>
        <v>KEEP</v>
      </c>
      <c r="Y50" s="108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{"issue":{"subject":"","project_id":79,"tracker_id":40,"status_id":1,"priority_id":2,"assigned_to_id":23,"start_date":"2017-02-18","description":"","custom_fields":[{"id":1,"name":"Subdivision","value":"Other"},{"id":4,"name":"Milepost","value":"0.479"},{"id":17,"name":"Train ID","value":"70-18"},{"id":16,"name":"Locomotive ID","value":"4019"},{"id":130,"name":"Impact","value":""},{"id":150,"name":"Time of Event (Mountain Time)","value":"18:07:50"},{"id":151,"name":"Denver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>"grep -hSE -A400 ""Enforcement Action"" "&amp;search_path&amp;"\RTDC"&amp;U50&amp;"\*"&amp;U50&amp;"*"&amp;TEXT(A50-utc_offset/24,"YYYYMMDD")&amp;LEFT(TEXT(A50-utc_offset/24,"HH"),1)&amp;"* | grep -SE ""((Enforcement Ac)|(PRM))"" -"</f>
        <v>grep -hSE -A400 "Enforcement Action" "%USERPROFILE%\AppData\Local\Temp\OnboardLogs"\RTDC4019\*4019*201702190*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"%USERPROFILE%\AppData\Local\Temp\OnboardLogs"\RTDC4019\*4019*201702190* &gt;&gt; 2017-02-18-SliceDisagreementCheck.txt</v>
      </c>
      <c r="AE50" s="157" t="str">
        <f>"start /low /b "&amp;dls3logs&amp;" --loco "&amp;U50&amp;" --day "&amp;TEXT(V50,"YYYY-MM-DD")</f>
        <v>start /low /b %USERPROFILE%\Documents\GitHub\eaglep3\Utilities\DownloadLogsFromS3.py --loco 4019 --day 2017-02-19</v>
      </c>
      <c r="AF50" s="1"/>
    </row>
    <row r="51" spans="1:32" x14ac:dyDescent="0.25">
      <c r="A51" s="32">
        <v>42784.186180555553</v>
      </c>
      <c r="B51" s="30" t="s">
        <v>288</v>
      </c>
      <c r="C51" s="30" t="s">
        <v>436</v>
      </c>
      <c r="D51" s="30" t="s">
        <v>49</v>
      </c>
      <c r="E51" s="30" t="s">
        <v>186</v>
      </c>
      <c r="F51" s="43">
        <v>0</v>
      </c>
      <c r="G51" s="43">
        <v>31</v>
      </c>
      <c r="H51" s="43">
        <v>19096</v>
      </c>
      <c r="I51" s="43">
        <v>19055</v>
      </c>
      <c r="J51" s="30" t="s">
        <v>187</v>
      </c>
      <c r="K51" s="43">
        <v>19000</v>
      </c>
      <c r="L51" s="143" t="s">
        <v>51</v>
      </c>
      <c r="M51" s="144">
        <f>CONVERT((I51-K51)/10000,"mi","ft")*IF(L51="Increasing Mileposts (1)",-1,1)</f>
        <v>29.04</v>
      </c>
      <c r="N51" s="145" t="str">
        <f>VLOOKUP(C51,'Trips&amp;Operators'!$C$1:$G$99999,5,FALSE)</f>
        <v>BRANDNER MELINDA</v>
      </c>
      <c r="O51" s="194" t="s">
        <v>185</v>
      </c>
      <c r="P51" s="146"/>
      <c r="Q51" s="30"/>
      <c r="R51" s="89" t="str">
        <f>VLOOKUP(C51,'Train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51" s="92" t="str">
        <f>VLOOKUP(C51,'Train Runs'!$A$13:$AE$9955,22,0)</f>
        <v>https://d0f6bd738d7f1b3e5a7ca70fe4ff75f0.us-east-1.aws.found.io/app/kibana#/discover/Steve-Slow-Train-Analysis-(2080s-and-2083s)?_g=(refreshInterval:(display:Off,pause:!f,section:0,value:0),time:(from:'2017-02-18T03:24:39-0700',mode:absolute,to:'2017-02-18T05:29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1" s="94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/stypes="*4008*201702181*" /stext=" 11:.+((SYSTEM_STATE.+slice.+state.+changed )|(ment ac)|(multiple cpu faults)|(system.+state.+changed )|(\[timeout)|(PRM\|1\|D)|(kpr)|(kdp)|(\|lc)|(penalty))" /e /r /s</v>
      </c>
      <c r="U51" s="9" t="str">
        <f>MID(B51,13,4)</f>
        <v>4008</v>
      </c>
      <c r="V51" s="32">
        <f>A51-utc_offset/24</f>
        <v>42784.477847222217</v>
      </c>
      <c r="W51" s="46" t="str">
        <f>IFERROR(IF(VALUE(LEFT(IF(LEN(C51)=6,"0"&amp;C51,C51),2))&lt;=2,"EC",IF(OR(VALUE(LEFT(IF(LEN(C51)=6,"0"&amp;C51,C51),2))=8,VALUE(LEFT(IF(LEN(C51)=6,"0"&amp;C51,C51),2))=18),"NW","Other")),"Other")</f>
        <v>Other</v>
      </c>
      <c r="X51" s="46" t="str">
        <f>IF(AND(E51="TRACK WARRANT AUTHORITY",G51&lt;10),"OMIT","KEEP")</f>
        <v>KEEP</v>
      </c>
      <c r="Y51" s="108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{"issue":{"subject":"","project_id":79,"tracker_id":40,"status_id":1,"priority_id":2,"assigned_to_id":23,"start_date":"2017-02-18","description":"","custom_fields":[{"id":1,"name":"Subdivision","value":"Other"},{"id":4,"name":"Milepost","value":"1.9"},{"id":17,"name":"Train ID","value":"310-18"},{"id":16,"name":"Locomotive ID","value":"4008"},{"id":130,"name":"Impact","value":""},{"id":150,"name":"Time of Event (Mountain Time)","value":"04:28:06"},{"id":151,"name":"Denver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>"grep -hSE -A400 ""Enforcement Action"" "&amp;search_path&amp;"\RTDC"&amp;U51&amp;"\*"&amp;U51&amp;"*"&amp;TEXT(A51-utc_offset/24,"YYYYMMDD")&amp;LEFT(TEXT(A51-utc_offset/24,"HH"),1)&amp;"* | grep -SE ""((Enforcement Ac)|(PRM))"" -"</f>
        <v>grep -hSE -A400 "Enforcement Action" "%USERPROFILE%\AppData\Local\Temp\OnboardLogs"\RTDC4008\*4008*201702181*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"%USERPROFILE%\AppData\Local\Temp\OnboardLogs"\RTDC4008\*4008*201702181* &gt;&gt; 2017-02-18-SliceDisagreementCheck.txt</v>
      </c>
      <c r="AE51" s="157" t="str">
        <f>"start /low /b "&amp;dls3logs&amp;" --loco "&amp;U51&amp;" --day "&amp;TEXT(V51,"YYYY-MM-DD")</f>
        <v>start /low /b %USERPROFILE%\Documents\GitHub\eaglep3\Utilities\DownloadLogsFromS3.py --loco 4008 --day 2017-02-18</v>
      </c>
      <c r="AF51" s="1"/>
    </row>
    <row r="52" spans="1:32" x14ac:dyDescent="0.25">
      <c r="A52" s="32">
        <v>42784.186909722222</v>
      </c>
      <c r="B52" s="30" t="s">
        <v>288</v>
      </c>
      <c r="C52" s="30" t="s">
        <v>436</v>
      </c>
      <c r="D52" s="30" t="s">
        <v>49</v>
      </c>
      <c r="E52" s="30" t="s">
        <v>186</v>
      </c>
      <c r="F52" s="43">
        <v>0</v>
      </c>
      <c r="G52" s="43">
        <v>20</v>
      </c>
      <c r="H52" s="43">
        <v>19043</v>
      </c>
      <c r="I52" s="43">
        <v>19021</v>
      </c>
      <c r="J52" s="30" t="s">
        <v>187</v>
      </c>
      <c r="K52" s="43">
        <v>19000</v>
      </c>
      <c r="L52" s="143" t="s">
        <v>51</v>
      </c>
      <c r="M52" s="144">
        <f>CONVERT((I52-K52)/10000,"mi","ft")*IF(L52="Increasing Mileposts (1)",-1,1)</f>
        <v>11.087999999999999</v>
      </c>
      <c r="N52" s="145" t="str">
        <f>VLOOKUP(C52,'Trips&amp;Operators'!$C$1:$G$99999,5,FALSE)</f>
        <v>BRANDNER MELINDA</v>
      </c>
      <c r="O52" s="194" t="s">
        <v>185</v>
      </c>
      <c r="P52" s="146"/>
      <c r="Q52" s="30"/>
      <c r="R52" s="89" t="str">
        <f>VLOOKUP(C52,'Train Runs'!$A$13:$AE$9955,31,0)</f>
        <v>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 &amp; aws s3 cp s3://rtdc.mdm.uploadarchive.raw/RTDC4008/ "%USERPROFILE%\AppData\Local\Temp\OnboardLogs"\RTDC4008\2017-02-19 --exclude "*" --recursive --include "*20170219*" &amp; "%USERPROFILE%\Documents\GitHub\mrs-test-scripts\Headless Mode &amp; Sideloading\WalkAndUnGZ.bat" "%USERPROFILE%\AppData\Local\Temp\OnboardLogs"\RTDC4008\2017-02-19</v>
      </c>
      <c r="S52" s="92" t="str">
        <f>VLOOKUP(C52,'Train Runs'!$A$13:$AE$9955,22,0)</f>
        <v>https://d0f6bd738d7f1b3e5a7ca70fe4ff75f0.us-east-1.aws.found.io/app/kibana#/discover/Steve-Slow-Train-Analysis-(2080s-and-2083s)?_g=(refreshInterval:(display:Off,pause:!f,section:0,value:0),time:(from:'2017-02-18T03:24:39-0700',mode:absolute,to:'2017-02-18T05:29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2" s="94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/stypes="*4008*201702181*" /stext=" 11:.+((SYSTEM_STATE.+slice.+state.+changed )|(ment ac)|(multiple cpu faults)|(system.+state.+changed )|(\[timeout)|(PRM\|1\|D)|(kpr)|(kdp)|(\|lc)|(penalty))" /e /r /s</v>
      </c>
      <c r="U52" s="9" t="str">
        <f>MID(B52,13,4)</f>
        <v>4008</v>
      </c>
      <c r="V52" s="32">
        <f>A52-utc_offset/24</f>
        <v>42784.478576388887</v>
      </c>
      <c r="W52" s="46" t="str">
        <f>IFERROR(IF(VALUE(LEFT(IF(LEN(C52)=6,"0"&amp;C52,C52),2))&lt;=2,"EC",IF(OR(VALUE(LEFT(IF(LEN(C52)=6,"0"&amp;C52,C52),2))=8,VALUE(LEFT(IF(LEN(C52)=6,"0"&amp;C52,C52),2))=18),"NW","Other")),"Other")</f>
        <v>Other</v>
      </c>
      <c r="X52" s="46" t="str">
        <f>IF(AND(E52="TRACK WARRANT AUTHORITY",G52&lt;10),"OMIT","KEEP")</f>
        <v>KEEP</v>
      </c>
      <c r="Y52" s="108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{"issue":{"subject":"","project_id":79,"tracker_id":40,"status_id":1,"priority_id":2,"assigned_to_id":23,"start_date":"2017-02-18","description":"","custom_fields":[{"id":1,"name":"Subdivision","value":"Other"},{"id":4,"name":"Milepost","value":"1.9"},{"id":17,"name":"Train ID","value":"310-18"},{"id":16,"name":"Locomotive ID","value":"4008"},{"id":130,"name":"Impact","value":""},{"id":150,"name":"Time of Event (Mountain Time)","value":"04:29:09"},{"id":151,"name":"Denver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>"grep -hSE -A400 ""Enforcement Action"" "&amp;search_path&amp;"\RTDC"&amp;U52&amp;"\*"&amp;U52&amp;"*"&amp;TEXT(A52-utc_offset/24,"YYYYMMDD")&amp;LEFT(TEXT(A52-utc_offset/24,"HH"),1)&amp;"* | grep -SE ""((Enforcement Ac)|(PRM))"" -"</f>
        <v>grep -hSE -A400 "Enforcement Action" "%USERPROFILE%\AppData\Local\Temp\OnboardLogs"\RTDC4008\*4008*201702181*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"%USERPROFILE%\AppData\Local\Temp\OnboardLogs"\RTDC4008\*4008*201702181* &gt;&gt; 2017-02-18-SliceDisagreementCheck.txt</v>
      </c>
      <c r="AE52" s="157" t="str">
        <f>"start /low /b "&amp;dls3logs&amp;" --loco "&amp;U52&amp;" --day "&amp;TEXT(V52,"YYYY-MM-DD")</f>
        <v>start /low /b %USERPROFILE%\Documents\GitHub\eaglep3\Utilities\DownloadLogsFromS3.py --loco 4008 --day 2017-02-18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</sheetData>
  <autoFilter ref="A6:AC52">
    <sortState ref="A7:AC52">
      <sortCondition ref="V6:V52"/>
    </sortState>
  </autoFilter>
  <sortState ref="A7:AE52">
    <sortCondition ref="W7:W52"/>
    <sortCondition ref="E7:E52"/>
    <sortCondition ref="K7:K52"/>
    <sortCondition ref="C7:C52"/>
    <sortCondition ref="F7:F52"/>
  </sortState>
  <mergeCells count="1">
    <mergeCell ref="A5:O5"/>
  </mergeCells>
  <conditionalFormatting sqref="O6:P6 R6 O57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8"/>
  <sheetViews>
    <sheetView workbookViewId="0">
      <selection activeCell="A6" sqref="A6:XFD6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2017-02-18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s="20" customFormat="1" x14ac:dyDescent="0.25">
      <c r="A3" s="186">
        <v>111</v>
      </c>
      <c r="B3" s="43" t="str">
        <f>A3&amp;"-"&amp;IF(DAY(Variables!$A$2)&lt;10,0,"")&amp;DAY(Variables!$A$2)</f>
        <v>111-18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22111-18%22)),sort:!(Time.ISO8601,asc))</v>
      </c>
      <c r="J3" s="30" t="str">
        <f>VLOOKUP(B3,'Train Runs'!$A$13:$A$99952,1,FALSE)</f>
        <v>111-18</v>
      </c>
    </row>
    <row r="4" spans="1:10" x14ac:dyDescent="0.25">
      <c r="A4" s="186">
        <v>112</v>
      </c>
      <c r="B4" s="43" t="str">
        <f>A4&amp;"-"&amp;IF(DAY(Variables!$A$2)&lt;10,0,"")&amp;DAY(Variables!$A$2)</f>
        <v>112-18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22112-18%22)),sort:!(Time.ISO8601,asc))</v>
      </c>
      <c r="J4" s="30" t="str">
        <f>VLOOKUP(B4,'Train Runs'!$A$13:$A$99952,1,FALSE)</f>
        <v>112-18</v>
      </c>
    </row>
    <row r="5" spans="1:10" x14ac:dyDescent="0.25">
      <c r="A5" s="186">
        <v>125</v>
      </c>
      <c r="B5" s="43" t="str">
        <f>A5&amp;"-"&amp;IF(DAY(Variables!$A$2)&lt;10,0,"")&amp;DAY(Variables!$A$2)</f>
        <v>125-18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22125-18%22)),sort:!(Time.ISO8601,asc))</v>
      </c>
      <c r="J5" s="30" t="str">
        <f>VLOOKUP(B5,'Train Runs'!$A$13:$A$99952,1,FALSE)</f>
        <v>125-18</v>
      </c>
    </row>
    <row r="6" spans="1:10" x14ac:dyDescent="0.25">
      <c r="A6" s="186"/>
      <c r="B6" s="43" t="str">
        <f>A6&amp;"-"&amp;IF(DAY(Variables!$A$2)&lt;10,0,"")&amp;DAY(Variables!$A$2)</f>
        <v>-18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" s="30" t="e">
        <f>VLOOKUP(B6,'Train Runs'!$A$13:$A$99952,1,FALSE)</f>
        <v>#N/A</v>
      </c>
    </row>
    <row r="7" spans="1:10" x14ac:dyDescent="0.25">
      <c r="A7" s="186"/>
      <c r="B7" s="43" t="str">
        <f>A7&amp;"-"&amp;IF(DAY(Variables!$A$2)&lt;10,0,"")&amp;DAY(Variables!$A$2)</f>
        <v>-18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" s="30" t="e">
        <f>VLOOKUP(B7,'Train Runs'!$A$13:$A$99952,1,FALSE)</f>
        <v>#N/A</v>
      </c>
    </row>
    <row r="8" spans="1:10" x14ac:dyDescent="0.25">
      <c r="A8" s="186"/>
      <c r="B8" s="43" t="str">
        <f>A8&amp;"-"&amp;IF(DAY(Variables!$A$2)&lt;10,0,"")&amp;DAY(Variables!$A$2)</f>
        <v>-18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" s="30" t="e">
        <f>VLOOKUP(B8,'Train Runs'!$A$13:$A$99952,1,FALSE)</f>
        <v>#N/A</v>
      </c>
    </row>
    <row r="9" spans="1:10" x14ac:dyDescent="0.25">
      <c r="A9" s="186"/>
      <c r="B9" s="43" t="str">
        <f>A9&amp;"-"&amp;IF(DAY(Variables!$A$2)&lt;10,0,"")&amp;DAY(Variables!$A$2)</f>
        <v>-18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" s="30" t="e">
        <f>VLOOKUP(B9,'Train Runs'!$A$13:$A$99952,1,FALSE)</f>
        <v>#N/A</v>
      </c>
    </row>
    <row r="10" spans="1:10" x14ac:dyDescent="0.25">
      <c r="A10" s="186"/>
      <c r="B10" s="43" t="str">
        <f>A10&amp;"-"&amp;IF(DAY(Variables!$A$2)&lt;10,0,"")&amp;DAY(Variables!$A$2)</f>
        <v>-18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" s="30" t="e">
        <f>VLOOKUP(B10,'Train Runs'!$A$13:$A$99952,1,FALSE)</f>
        <v>#N/A</v>
      </c>
    </row>
    <row r="11" spans="1:10" x14ac:dyDescent="0.25">
      <c r="A11" s="186"/>
      <c r="B11" s="43" t="str">
        <f>A11&amp;"-"&amp;IF(DAY(Variables!$A$2)&lt;10,0,"")&amp;DAY(Variables!$A$2)</f>
        <v>-18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" s="30" t="e">
        <f>VLOOKUP(B11,'Train Runs'!$A$13:$A$99952,1,FALSE)</f>
        <v>#N/A</v>
      </c>
    </row>
    <row r="12" spans="1:10" x14ac:dyDescent="0.25">
      <c r="A12" s="186"/>
      <c r="B12" s="43" t="str">
        <f>A12&amp;"-"&amp;IF(DAY(Variables!$A$2)&lt;10,0,"")&amp;DAY(Variables!$A$2)</f>
        <v>-18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2" s="30" t="e">
        <f>VLOOKUP(B12,'Train Runs'!$A$13:$A$99952,1,FALSE)</f>
        <v>#N/A</v>
      </c>
    </row>
    <row r="13" spans="1:10" x14ac:dyDescent="0.25">
      <c r="A13" s="186"/>
      <c r="B13" s="43" t="str">
        <f>A13&amp;"-"&amp;IF(DAY(Variables!$A$2)&lt;10,0,"")&amp;DAY(Variables!$A$2)</f>
        <v>-18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3" s="30" t="e">
        <f>VLOOKUP(B13,'Train Runs'!$A$13:$A$99952,1,FALSE)</f>
        <v>#N/A</v>
      </c>
    </row>
    <row r="14" spans="1:10" x14ac:dyDescent="0.25">
      <c r="A14" s="186"/>
      <c r="B14" s="43" t="str">
        <f>A14&amp;"-"&amp;IF(DAY(Variables!$A$2)&lt;10,0,"")&amp;DAY(Variables!$A$2)</f>
        <v>-18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4" s="30" t="e">
        <f>VLOOKUP(B14,'Train Runs'!$A$13:$A$99952,1,FALSE)</f>
        <v>#N/A</v>
      </c>
    </row>
    <row r="15" spans="1:10" x14ac:dyDescent="0.25">
      <c r="A15" s="186"/>
      <c r="B15" s="43" t="str">
        <f>A15&amp;"-"&amp;IF(DAY(Variables!$A$2)&lt;10,0,"")&amp;DAY(Variables!$A$2)</f>
        <v>-18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5" s="30" t="e">
        <f>VLOOKUP(B15,'Train Runs'!$A$13:$A$99952,1,FALSE)</f>
        <v>#N/A</v>
      </c>
    </row>
    <row r="16" spans="1:10" x14ac:dyDescent="0.25">
      <c r="A16" s="186"/>
      <c r="B16" s="43" t="str">
        <f>A16&amp;"-"&amp;IF(DAY(Variables!$A$2)&lt;10,0,"")&amp;DAY(Variables!$A$2)</f>
        <v>-18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6" s="30" t="e">
        <f>VLOOKUP(B16,'Train Runs'!$A$13:$A$99952,1,FALSE)</f>
        <v>#N/A</v>
      </c>
    </row>
    <row r="17" spans="1:10" x14ac:dyDescent="0.25">
      <c r="A17" s="186"/>
      <c r="B17" s="43" t="str">
        <f>A17&amp;"-"&amp;IF(DAY(Variables!$A$2)&lt;10,0,"")&amp;DAY(Variables!$A$2)</f>
        <v>-18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7" s="30" t="e">
        <f>VLOOKUP(B17,'Train Runs'!$A$13:$A$99952,1,FALSE)</f>
        <v>#N/A</v>
      </c>
    </row>
    <row r="18" spans="1:10" x14ac:dyDescent="0.25">
      <c r="A18" s="186"/>
      <c r="B18" s="43" t="str">
        <f>A18&amp;"-"&amp;IF(DAY(Variables!$A$2)&lt;10,0,"")&amp;DAY(Variables!$A$2)</f>
        <v>-18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8" s="30" t="e">
        <f>VLOOKUP(B18,'Train Runs'!$A$13:$A$99952,1,FALSE)</f>
        <v>#N/A</v>
      </c>
    </row>
    <row r="19" spans="1:10" x14ac:dyDescent="0.25">
      <c r="A19" s="186"/>
      <c r="B19" s="43" t="str">
        <f>A19&amp;"-"&amp;IF(DAY(Variables!$A$2)&lt;10,0,"")&amp;DAY(Variables!$A$2)</f>
        <v>-18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9" s="30" t="e">
        <f>VLOOKUP(B19,'Train Runs'!$A$13:$A$99952,1,FALSE)</f>
        <v>#N/A</v>
      </c>
    </row>
    <row r="20" spans="1:10" x14ac:dyDescent="0.25">
      <c r="A20" s="186"/>
      <c r="B20" s="43" t="str">
        <f>A20&amp;"-"&amp;IF(DAY(Variables!$A$2)&lt;10,0,"")&amp;DAY(Variables!$A$2)</f>
        <v>-18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0" s="30" t="e">
        <f>VLOOKUP(B20,'Train Runs'!$A$13:$A$99952,1,FALSE)</f>
        <v>#N/A</v>
      </c>
    </row>
    <row r="21" spans="1:10" x14ac:dyDescent="0.25">
      <c r="A21" s="186"/>
      <c r="B21" s="43" t="str">
        <f>A21&amp;"-"&amp;IF(DAY(Variables!$A$2)&lt;10,0,"")&amp;DAY(Variables!$A$2)</f>
        <v>-18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1" s="30" t="e">
        <f>VLOOKUP(B21,'Train Runs'!$A$13:$A$99952,1,FALSE)</f>
        <v>#N/A</v>
      </c>
    </row>
    <row r="22" spans="1:10" x14ac:dyDescent="0.25">
      <c r="A22" s="186"/>
      <c r="B22" s="43" t="str">
        <f>A22&amp;"-"&amp;IF(DAY(Variables!$A$2)&lt;10,0,"")&amp;DAY(Variables!$A$2)</f>
        <v>-18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2" s="30" t="e">
        <f>VLOOKUP(B22,'Train Runs'!$A$13:$A$99952,1,FALSE)</f>
        <v>#N/A</v>
      </c>
    </row>
    <row r="23" spans="1:10" x14ac:dyDescent="0.25">
      <c r="A23" s="186"/>
      <c r="B23" s="43" t="str">
        <f>A23&amp;"-"&amp;IF(DAY(Variables!$A$2)&lt;10,0,"")&amp;DAY(Variables!$A$2)</f>
        <v>-18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3" s="30" t="e">
        <f>VLOOKUP(B23,'Train Runs'!$A$13:$A$99952,1,FALSE)</f>
        <v>#N/A</v>
      </c>
    </row>
    <row r="24" spans="1:10" x14ac:dyDescent="0.25">
      <c r="A24" s="186"/>
      <c r="B24" s="43" t="str">
        <f>A24&amp;"-"&amp;IF(DAY(Variables!$A$2)&lt;10,0,"")&amp;DAY(Variables!$A$2)</f>
        <v>-18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4" s="30" t="e">
        <f>VLOOKUP(B24,'Train Runs'!$A$13:$A$99952,1,FALSE)</f>
        <v>#N/A</v>
      </c>
    </row>
    <row r="25" spans="1:10" x14ac:dyDescent="0.25">
      <c r="A25" s="186"/>
      <c r="B25" s="43" t="str">
        <f>A25&amp;"-"&amp;IF(DAY(Variables!$A$2)&lt;10,0,"")&amp;DAY(Variables!$A$2)</f>
        <v>-18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5" s="30" t="e">
        <f>VLOOKUP(B25,'Train Runs'!$A$13:$A$99952,1,FALSE)</f>
        <v>#N/A</v>
      </c>
    </row>
    <row r="26" spans="1:10" x14ac:dyDescent="0.25">
      <c r="A26" s="186"/>
      <c r="B26" s="43" t="str">
        <f>A26&amp;"-"&amp;IF(DAY(Variables!$A$2)&lt;10,0,"")&amp;DAY(Variables!$A$2)</f>
        <v>-18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6" s="30" t="e">
        <f>VLOOKUP(B26,'Train Runs'!$A$13:$A$99952,1,FALSE)</f>
        <v>#N/A</v>
      </c>
    </row>
    <row r="27" spans="1:10" x14ac:dyDescent="0.25">
      <c r="A27" s="186"/>
      <c r="B27" s="43" t="str">
        <f>A27&amp;"-"&amp;IF(DAY(Variables!$A$2)&lt;10,0,"")&amp;DAY(Variables!$A$2)</f>
        <v>-18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7" s="30" t="e">
        <f>VLOOKUP(B27,'Train Runs'!$A$13:$A$99952,1,FALSE)</f>
        <v>#N/A</v>
      </c>
    </row>
    <row r="28" spans="1:10" x14ac:dyDescent="0.25">
      <c r="A28" s="186"/>
      <c r="B28" s="43" t="str">
        <f>A28&amp;"-"&amp;IF(DAY(Variables!$A$2)&lt;10,0,"")&amp;DAY(Variables!$A$2)</f>
        <v>-18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8" s="30" t="e">
        <f>VLOOKUP(B28,'Train Runs'!$A$13:$A$99952,1,FALSE)</f>
        <v>#N/A</v>
      </c>
    </row>
    <row r="29" spans="1:10" x14ac:dyDescent="0.25">
      <c r="A29" s="186"/>
      <c r="B29" s="43" t="str">
        <f>A29&amp;"-"&amp;IF(DAY(Variables!$A$2)&lt;10,0,"")&amp;DAY(Variables!$A$2)</f>
        <v>-18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29" s="30" t="e">
        <f>VLOOKUP(B29,'Train Runs'!$A$13:$A$99952,1,FALSE)</f>
        <v>#N/A</v>
      </c>
    </row>
    <row r="30" spans="1:10" x14ac:dyDescent="0.25">
      <c r="A30" s="186"/>
      <c r="B30" s="43" t="str">
        <f>A30&amp;"-"&amp;IF(DAY(Variables!$A$2)&lt;10,0,"")&amp;DAY(Variables!$A$2)</f>
        <v>-18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0" s="30" t="e">
        <f>VLOOKUP(B30,'Train Runs'!$A$13:$A$99952,1,FALSE)</f>
        <v>#N/A</v>
      </c>
    </row>
    <row r="31" spans="1:10" x14ac:dyDescent="0.25">
      <c r="A31" s="186"/>
      <c r="B31" s="43" t="str">
        <f>A31&amp;"-"&amp;IF(DAY(Variables!$A$2)&lt;10,0,"")&amp;DAY(Variables!$A$2)</f>
        <v>-18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1" s="30" t="e">
        <f>VLOOKUP(B31,'Train Runs'!$A$13:$A$99952,1,FALSE)</f>
        <v>#N/A</v>
      </c>
    </row>
    <row r="32" spans="1:10" x14ac:dyDescent="0.25">
      <c r="A32" s="186"/>
      <c r="B32" s="43" t="str">
        <f>A32&amp;"-"&amp;IF(DAY(Variables!$A$2)&lt;10,0,"")&amp;DAY(Variables!$A$2)</f>
        <v>-18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2" s="30" t="e">
        <f>VLOOKUP(B32,'Train Runs'!$A$13:$A$99952,1,FALSE)</f>
        <v>#N/A</v>
      </c>
    </row>
    <row r="33" spans="1:10" x14ac:dyDescent="0.25">
      <c r="A33" s="186"/>
      <c r="B33" s="43" t="str">
        <f>A33&amp;"-"&amp;IF(DAY(Variables!$A$2)&lt;10,0,"")&amp;DAY(Variables!$A$2)</f>
        <v>-18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ref="I33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3" s="30" t="e">
        <f>VLOOKUP(B33,'Train Runs'!$A$13:$A$99952,1,FALSE)</f>
        <v>#N/A</v>
      </c>
    </row>
    <row r="34" spans="1:10" x14ac:dyDescent="0.25">
      <c r="A34" s="186"/>
      <c r="B34" s="43" t="str">
        <f>A34&amp;"-"&amp;IF(DAY(Variables!$A$2)&lt;10,0,"")&amp;DAY(Variables!$A$2)</f>
        <v>-18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4" s="30" t="e">
        <f>VLOOKUP(B34,'Train Runs'!$A$13:$A$99952,1,FALSE)</f>
        <v>#N/A</v>
      </c>
    </row>
    <row r="35" spans="1:10" x14ac:dyDescent="0.25">
      <c r="A35" s="186"/>
      <c r="B35" s="43" t="str">
        <f>A35&amp;"-"&amp;IF(DAY(Variables!$A$2)&lt;10,0,"")&amp;DAY(Variables!$A$2)</f>
        <v>-18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5" s="30" t="e">
        <f>VLOOKUP(B35,'Train Runs'!$A$13:$A$99952,1,FALSE)</f>
        <v>#N/A</v>
      </c>
    </row>
    <row r="36" spans="1:10" x14ac:dyDescent="0.25">
      <c r="A36" s="186"/>
      <c r="B36" s="43" t="str">
        <f>A36&amp;"-"&amp;IF(DAY(Variables!$A$2)&lt;10,0,"")&amp;DAY(Variables!$A$2)</f>
        <v>-18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6" s="30" t="e">
        <f>VLOOKUP(B36,'Train Runs'!$A$13:$A$99952,1,FALSE)</f>
        <v>#N/A</v>
      </c>
    </row>
    <row r="37" spans="1:10" x14ac:dyDescent="0.25">
      <c r="A37" s="186"/>
      <c r="B37" s="43" t="str">
        <f>A37&amp;"-"&amp;IF(DAY(Variables!$A$2)&lt;10,0,"")&amp;DAY(Variables!$A$2)</f>
        <v>-18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7" s="30" t="e">
        <f>VLOOKUP(B37,'Train Runs'!$A$13:$A$99952,1,FALSE)</f>
        <v>#N/A</v>
      </c>
    </row>
    <row r="38" spans="1:10" x14ac:dyDescent="0.25">
      <c r="A38" s="186"/>
      <c r="B38" s="43" t="str">
        <f>A38&amp;"-"&amp;IF(DAY(Variables!$A$2)&lt;10,0,"")&amp;DAY(Variables!$A$2)</f>
        <v>-18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8" s="30" t="e">
        <f>VLOOKUP(B38,'Train Runs'!$A$13:$A$99952,1,FALSE)</f>
        <v>#N/A</v>
      </c>
    </row>
    <row r="39" spans="1:10" x14ac:dyDescent="0.25">
      <c r="A39" s="186"/>
      <c r="B39" s="43" t="str">
        <f>A39&amp;"-"&amp;IF(DAY(Variables!$A$2)&lt;10,0,"")&amp;DAY(Variables!$A$2)</f>
        <v>-18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39" s="30" t="e">
        <f>VLOOKUP(B39,'Train Runs'!$A$13:$A$99952,1,FALSE)</f>
        <v>#N/A</v>
      </c>
    </row>
    <row r="40" spans="1:10" x14ac:dyDescent="0.25">
      <c r="A40" s="186"/>
      <c r="B40" s="43" t="str">
        <f>A40&amp;"-"&amp;IF(DAY(Variables!$A$2)&lt;10,0,"")&amp;DAY(Variables!$A$2)</f>
        <v>-18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0" s="30" t="e">
        <f>VLOOKUP(B40,'Train Runs'!$A$13:$A$99952,1,FALSE)</f>
        <v>#N/A</v>
      </c>
    </row>
    <row r="41" spans="1:10" x14ac:dyDescent="0.25">
      <c r="A41" s="186"/>
      <c r="B41" s="43" t="str">
        <f>A41&amp;"-"&amp;IF(DAY(Variables!$A$2)&lt;10,0,"")&amp;DAY(Variables!$A$2)</f>
        <v>-18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1" s="30" t="e">
        <f>VLOOKUP(B41,'Train Runs'!$A$13:$A$99952,1,FALSE)</f>
        <v>#N/A</v>
      </c>
    </row>
    <row r="42" spans="1:10" x14ac:dyDescent="0.25">
      <c r="A42" s="186"/>
      <c r="B42" s="43" t="str">
        <f>A42&amp;"-"&amp;IF(DAY(Variables!$A$2)&lt;10,0,"")&amp;DAY(Variables!$A$2)</f>
        <v>-18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2" s="30" t="e">
        <f>VLOOKUP(B42,'Train Runs'!$A$13:$A$99952,1,FALSE)</f>
        <v>#N/A</v>
      </c>
    </row>
    <row r="43" spans="1:10" x14ac:dyDescent="0.25">
      <c r="A43" s="186"/>
      <c r="B43" s="43" t="str">
        <f>A43&amp;"-"&amp;IF(DAY(Variables!$A$2)&lt;10,0,"")&amp;DAY(Variables!$A$2)</f>
        <v>-18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3" s="30" t="e">
        <f>VLOOKUP(B43,'Train Runs'!$A$13:$A$99952,1,FALSE)</f>
        <v>#N/A</v>
      </c>
    </row>
    <row r="44" spans="1:10" x14ac:dyDescent="0.25">
      <c r="A44" s="186"/>
      <c r="B44" s="43" t="str">
        <f>A44&amp;"-"&amp;IF(DAY(Variables!$A$2)&lt;10,0,"")&amp;DAY(Variables!$A$2)</f>
        <v>-18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4" s="30" t="e">
        <f>VLOOKUP(B44,'Train Runs'!$A$13:$A$99952,1,FALSE)</f>
        <v>#N/A</v>
      </c>
    </row>
    <row r="45" spans="1:10" x14ac:dyDescent="0.25">
      <c r="A45" s="186"/>
      <c r="B45" s="43" t="str">
        <f>A45&amp;"-"&amp;IF(DAY(Variables!$A$2)&lt;10,0,"")&amp;DAY(Variables!$A$2)</f>
        <v>-18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5" s="30" t="e">
        <f>VLOOKUP(B45,'Train Runs'!$A$13:$A$99952,1,FALSE)</f>
        <v>#N/A</v>
      </c>
    </row>
    <row r="46" spans="1:10" x14ac:dyDescent="0.25">
      <c r="A46" s="186"/>
      <c r="B46" s="43" t="str">
        <f>A46&amp;"-"&amp;IF(DAY(Variables!$A$2)&lt;10,0,"")&amp;DAY(Variables!$A$2)</f>
        <v>-18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6" s="30" t="e">
        <f>VLOOKUP(B46,'Train Runs'!$A$13:$A$99952,1,FALSE)</f>
        <v>#N/A</v>
      </c>
    </row>
    <row r="47" spans="1:10" x14ac:dyDescent="0.25">
      <c r="A47" s="186"/>
      <c r="B47" s="43" t="str">
        <f>A47&amp;"-"&amp;IF(DAY(Variables!$A$2)&lt;10,0,"")&amp;DAY(Variables!$A$2)</f>
        <v>-18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7" s="30" t="e">
        <f>VLOOKUP(B47,'Train Runs'!$A$13:$A$99952,1,FALSE)</f>
        <v>#N/A</v>
      </c>
    </row>
    <row r="48" spans="1:10" x14ac:dyDescent="0.25">
      <c r="A48" s="186"/>
      <c r="B48" s="43" t="str">
        <f>A48&amp;"-"&amp;IF(DAY(Variables!$A$2)&lt;10,0,"")&amp;DAY(Variables!$A$2)</f>
        <v>-18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8" s="30" t="e">
        <f>VLOOKUP(B48,'Train Runs'!$A$13:$A$99952,1,FALSE)</f>
        <v>#N/A</v>
      </c>
    </row>
    <row r="49" spans="1:10" x14ac:dyDescent="0.25">
      <c r="A49" s="186"/>
      <c r="B49" s="43" t="str">
        <f>A49&amp;"-"&amp;IF(DAY(Variables!$A$2)&lt;10,0,"")&amp;DAY(Variables!$A$2)</f>
        <v>-18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49" s="30" t="e">
        <f>VLOOKUP(B49,'Train Runs'!$A$13:$A$99952,1,FALSE)</f>
        <v>#N/A</v>
      </c>
    </row>
    <row r="50" spans="1:10" x14ac:dyDescent="0.25">
      <c r="A50" s="186"/>
      <c r="B50" s="43" t="str">
        <f>A50&amp;"-"&amp;IF(DAY(Variables!$A$2)&lt;10,0,"")&amp;DAY(Variables!$A$2)</f>
        <v>-18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0" s="30" t="e">
        <f>VLOOKUP(B50,'Train Runs'!$A$13:$A$99952,1,FALSE)</f>
        <v>#N/A</v>
      </c>
    </row>
    <row r="51" spans="1:10" x14ac:dyDescent="0.25">
      <c r="A51" s="186"/>
      <c r="B51" s="43" t="str">
        <f>A51&amp;"-"&amp;IF(DAY(Variables!$A$2)&lt;10,0,"")&amp;DAY(Variables!$A$2)</f>
        <v>-18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1" s="30" t="e">
        <f>VLOOKUP(B51,'Train Runs'!$A$13:$A$99952,1,FALSE)</f>
        <v>#N/A</v>
      </c>
    </row>
    <row r="52" spans="1:10" x14ac:dyDescent="0.25">
      <c r="A52" s="186"/>
      <c r="B52" s="43" t="str">
        <f>A52&amp;"-"&amp;IF(DAY(Variables!$A$2)&lt;10,0,"")&amp;DAY(Variables!$A$2)</f>
        <v>-18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2" s="30" t="e">
        <f>VLOOKUP(B52,'Train Runs'!$A$13:$A$99952,1,FALSE)</f>
        <v>#N/A</v>
      </c>
    </row>
    <row r="53" spans="1:10" x14ac:dyDescent="0.25">
      <c r="A53" s="186"/>
      <c r="B53" s="43" t="str">
        <f>A53&amp;"-"&amp;IF(DAY(Variables!$A$2)&lt;10,0,"")&amp;DAY(Variables!$A$2)</f>
        <v>-18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3" s="30" t="e">
        <f>VLOOKUP(B53,'Train Runs'!$A$13:$A$99952,1,FALSE)</f>
        <v>#N/A</v>
      </c>
    </row>
    <row r="54" spans="1:10" x14ac:dyDescent="0.25">
      <c r="A54" s="186"/>
      <c r="B54" s="43" t="str">
        <f>A54&amp;"-"&amp;IF(DAY(Variables!$A$2)&lt;10,0,"")&amp;DAY(Variables!$A$2)</f>
        <v>-18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4" s="30" t="e">
        <f>VLOOKUP(B54,'Train Runs'!$A$13:$A$99952,1,FALSE)</f>
        <v>#N/A</v>
      </c>
    </row>
    <row r="55" spans="1:10" x14ac:dyDescent="0.25">
      <c r="A55" s="186"/>
      <c r="B55" s="43" t="str">
        <f>A55&amp;"-"&amp;IF(DAY(Variables!$A$2)&lt;10,0,"")&amp;DAY(Variables!$A$2)</f>
        <v>-18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5" s="30" t="e">
        <f>VLOOKUP(B55,'Train Runs'!$A$13:$A$99952,1,FALSE)</f>
        <v>#N/A</v>
      </c>
    </row>
    <row r="56" spans="1:10" x14ac:dyDescent="0.25">
      <c r="A56" s="186"/>
      <c r="B56" s="43" t="str">
        <f>A56&amp;"-"&amp;IF(DAY(Variables!$A$2)&lt;10,0,"")&amp;DAY(Variables!$A$2)</f>
        <v>-18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6" s="30" t="e">
        <f>VLOOKUP(B56,'Train Runs'!$A$13:$A$99952,1,FALSE)</f>
        <v>#N/A</v>
      </c>
    </row>
    <row r="57" spans="1:10" x14ac:dyDescent="0.25">
      <c r="A57" s="186"/>
      <c r="B57" s="43" t="str">
        <f>A57&amp;"-"&amp;IF(DAY(Variables!$A$2)&lt;10,0,"")&amp;DAY(Variables!$A$2)</f>
        <v>-18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7" s="30" t="e">
        <f>VLOOKUP(B57,'Train Runs'!$A$13:$A$99952,1,FALSE)</f>
        <v>#N/A</v>
      </c>
    </row>
    <row r="58" spans="1:10" x14ac:dyDescent="0.25">
      <c r="A58" s="186"/>
      <c r="B58" s="43" t="str">
        <f>A58&amp;"-"&amp;IF(DAY(Variables!$A$2)&lt;10,0,"")&amp;DAY(Variables!$A$2)</f>
        <v>-18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8" s="30" t="e">
        <f>VLOOKUP(B58,'Train Runs'!$A$13:$A$99952,1,FALSE)</f>
        <v>#N/A</v>
      </c>
    </row>
    <row r="59" spans="1:10" x14ac:dyDescent="0.25">
      <c r="A59" s="186"/>
      <c r="B59" s="43" t="str">
        <f>A59&amp;"-"&amp;IF(DAY(Variables!$A$2)&lt;10,0,"")&amp;DAY(Variables!$A$2)</f>
        <v>-18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59" s="30" t="e">
        <f>VLOOKUP(B59,'Train Runs'!$A$13:$A$99952,1,FALSE)</f>
        <v>#N/A</v>
      </c>
    </row>
    <row r="60" spans="1:10" x14ac:dyDescent="0.25">
      <c r="A60" s="186"/>
      <c r="B60" s="43" t="str">
        <f>A60&amp;"-"&amp;IF(DAY(Variables!$A$2)&lt;10,0,"")&amp;DAY(Variables!$A$2)</f>
        <v>-18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0" s="30" t="e">
        <f>VLOOKUP(B60,'Train Runs'!$A$13:$A$99952,1,FALSE)</f>
        <v>#N/A</v>
      </c>
    </row>
    <row r="61" spans="1:10" x14ac:dyDescent="0.25">
      <c r="A61" s="186"/>
      <c r="B61" s="43" t="str">
        <f>A61&amp;"-"&amp;IF(DAY(Variables!$A$2)&lt;10,0,"")&amp;DAY(Variables!$A$2)</f>
        <v>-18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1" s="30" t="e">
        <f>VLOOKUP(B61,'Train Runs'!$A$13:$A$99952,1,FALSE)</f>
        <v>#N/A</v>
      </c>
    </row>
    <row r="62" spans="1:10" x14ac:dyDescent="0.25">
      <c r="A62" s="186"/>
      <c r="B62" s="43" t="str">
        <f>A62&amp;"-"&amp;IF(DAY(Variables!$A$2)&lt;10,0,"")&amp;DAY(Variables!$A$2)</f>
        <v>-18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2" s="30" t="e">
        <f>VLOOKUP(B62,'Train Runs'!$A$13:$A$99952,1,FALSE)</f>
        <v>#N/A</v>
      </c>
    </row>
    <row r="63" spans="1:10" x14ac:dyDescent="0.25">
      <c r="A63" s="186"/>
      <c r="B63" s="43" t="str">
        <f>A63&amp;"-"&amp;IF(DAY(Variables!$A$2)&lt;10,0,"")&amp;DAY(Variables!$A$2)</f>
        <v>-18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3" s="30" t="e">
        <f>VLOOKUP(B63,'Train Runs'!$A$13:$A$99952,1,FALSE)</f>
        <v>#N/A</v>
      </c>
    </row>
    <row r="64" spans="1:10" x14ac:dyDescent="0.25">
      <c r="A64" s="186"/>
      <c r="B64" s="43" t="str">
        <f>A64&amp;"-"&amp;IF(DAY(Variables!$A$2)&lt;10,0,"")&amp;DAY(Variables!$A$2)</f>
        <v>-18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4" s="30" t="e">
        <f>VLOOKUP(B64,'Train Runs'!$A$13:$A$99952,1,FALSE)</f>
        <v>#N/A</v>
      </c>
    </row>
    <row r="65" spans="1:10" x14ac:dyDescent="0.25">
      <c r="A65" s="186"/>
      <c r="B65" s="43" t="str">
        <f>A65&amp;"-"&amp;IF(DAY(Variables!$A$2)&lt;10,0,"")&amp;DAY(Variables!$A$2)</f>
        <v>-18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ref="I65:I9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5" s="30" t="e">
        <f>VLOOKUP(B65,'Train Runs'!$A$13:$A$99952,1,FALSE)</f>
        <v>#N/A</v>
      </c>
    </row>
    <row r="66" spans="1:10" x14ac:dyDescent="0.25">
      <c r="A66" s="186"/>
      <c r="B66" s="43" t="str">
        <f>A66&amp;"-"&amp;IF(DAY(Variables!$A$2)&lt;10,0,"")&amp;DAY(Variables!$A$2)</f>
        <v>-18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6" s="30" t="e">
        <f>VLOOKUP(B66,'Train Runs'!$A$13:$A$99952,1,FALSE)</f>
        <v>#N/A</v>
      </c>
    </row>
    <row r="67" spans="1:10" x14ac:dyDescent="0.25">
      <c r="A67" s="186"/>
      <c r="B67" s="43" t="str">
        <f>A67&amp;"-"&amp;IF(DAY(Variables!$A$2)&lt;10,0,"")&amp;DAY(Variables!$A$2)</f>
        <v>-18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7" s="30" t="e">
        <f>VLOOKUP(B67,'Train Runs'!$A$13:$A$99952,1,FALSE)</f>
        <v>#N/A</v>
      </c>
    </row>
    <row r="68" spans="1:10" x14ac:dyDescent="0.25">
      <c r="A68" s="186"/>
      <c r="B68" s="43" t="str">
        <f>A68&amp;"-"&amp;IF(DAY(Variables!$A$2)&lt;10,0,"")&amp;DAY(Variables!$A$2)</f>
        <v>-18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8" s="30" t="e">
        <f>VLOOKUP(B68,'Train Runs'!$A$13:$A$99952,1,FALSE)</f>
        <v>#N/A</v>
      </c>
    </row>
    <row r="69" spans="1:10" x14ac:dyDescent="0.25">
      <c r="A69" s="186"/>
      <c r="B69" s="43" t="str">
        <f>A69&amp;"-"&amp;IF(DAY(Variables!$A$2)&lt;10,0,"")&amp;DAY(Variables!$A$2)</f>
        <v>-18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69" s="30" t="e">
        <f>VLOOKUP(B69,'Train Runs'!$A$13:$A$99952,1,FALSE)</f>
        <v>#N/A</v>
      </c>
    </row>
    <row r="70" spans="1:10" x14ac:dyDescent="0.25">
      <c r="A70" s="186"/>
      <c r="B70" s="43" t="str">
        <f>A70&amp;"-"&amp;IF(DAY(Variables!$A$2)&lt;10,0,"")&amp;DAY(Variables!$A$2)</f>
        <v>-18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0" s="30" t="e">
        <f>VLOOKUP(B70,'Train Runs'!$A$13:$A$99952,1,FALSE)</f>
        <v>#N/A</v>
      </c>
    </row>
    <row r="71" spans="1:10" x14ac:dyDescent="0.25">
      <c r="A71" s="186"/>
      <c r="B71" s="43" t="str">
        <f>A71&amp;"-"&amp;IF(DAY(Variables!$A$2)&lt;10,0,"")&amp;DAY(Variables!$A$2)</f>
        <v>-18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1" s="30" t="e">
        <f>VLOOKUP(B71,'Train Runs'!$A$13:$A$99952,1,FALSE)</f>
        <v>#N/A</v>
      </c>
    </row>
    <row r="72" spans="1:10" x14ac:dyDescent="0.25">
      <c r="A72" s="186"/>
      <c r="B72" s="43" t="str">
        <f>A72&amp;"-"&amp;IF(DAY(Variables!$A$2)&lt;10,0,"")&amp;DAY(Variables!$A$2)</f>
        <v>-18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2" s="30" t="e">
        <f>VLOOKUP(B72,'Train Runs'!$A$13:$A$99952,1,FALSE)</f>
        <v>#N/A</v>
      </c>
    </row>
    <row r="73" spans="1:10" x14ac:dyDescent="0.25">
      <c r="A73" s="186"/>
      <c r="B73" s="43" t="str">
        <f>A73&amp;"-"&amp;IF(DAY(Variables!$A$2)&lt;10,0,"")&amp;DAY(Variables!$A$2)</f>
        <v>-18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3" s="30" t="e">
        <f>VLOOKUP(B73,'Train Runs'!$A$13:$A$99952,1,FALSE)</f>
        <v>#N/A</v>
      </c>
    </row>
    <row r="74" spans="1:10" x14ac:dyDescent="0.25">
      <c r="A74" s="186"/>
      <c r="B74" s="43" t="str">
        <f>A74&amp;"-"&amp;IF(DAY(Variables!$A$2)&lt;10,0,"")&amp;DAY(Variables!$A$2)</f>
        <v>-18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4" s="30" t="e">
        <f>VLOOKUP(B74,'Train Runs'!$A$13:$A$99952,1,FALSE)</f>
        <v>#N/A</v>
      </c>
    </row>
    <row r="75" spans="1:10" x14ac:dyDescent="0.25">
      <c r="A75" s="186"/>
      <c r="B75" s="43" t="str">
        <f>A75&amp;"-"&amp;IF(DAY(Variables!$A$2)&lt;10,0,"")&amp;DAY(Variables!$A$2)</f>
        <v>-18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5" s="30" t="e">
        <f>VLOOKUP(B75,'Train Runs'!$A$13:$A$99952,1,FALSE)</f>
        <v>#N/A</v>
      </c>
    </row>
    <row r="76" spans="1:10" x14ac:dyDescent="0.25">
      <c r="A76" s="186"/>
      <c r="B76" s="43" t="str">
        <f>A76&amp;"-"&amp;IF(DAY(Variables!$A$2)&lt;10,0,"")&amp;DAY(Variables!$A$2)</f>
        <v>-18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6" s="30" t="e">
        <f>VLOOKUP(B76,'Train Runs'!$A$13:$A$99952,1,FALSE)</f>
        <v>#N/A</v>
      </c>
    </row>
    <row r="77" spans="1:10" x14ac:dyDescent="0.25">
      <c r="A77" s="186"/>
      <c r="B77" s="43" t="str">
        <f>A77&amp;"-"&amp;IF(DAY(Variables!$A$2)&lt;10,0,"")&amp;DAY(Variables!$A$2)</f>
        <v>-18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7" s="30" t="e">
        <f>VLOOKUP(B77,'Train Runs'!$A$13:$A$99952,1,FALSE)</f>
        <v>#N/A</v>
      </c>
    </row>
    <row r="78" spans="1:10" x14ac:dyDescent="0.25">
      <c r="A78" s="186"/>
      <c r="B78" s="43" t="str">
        <f>A78&amp;"-"&amp;IF(DAY(Variables!$A$2)&lt;10,0,"")&amp;DAY(Variables!$A$2)</f>
        <v>-18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8" s="30" t="e">
        <f>VLOOKUP(B78,'Train Runs'!$A$13:$A$99952,1,FALSE)</f>
        <v>#N/A</v>
      </c>
    </row>
    <row r="79" spans="1:10" x14ac:dyDescent="0.25">
      <c r="A79" s="186"/>
      <c r="B79" s="43" t="str">
        <f>A79&amp;"-"&amp;IF(DAY(Variables!$A$2)&lt;10,0,"")&amp;DAY(Variables!$A$2)</f>
        <v>-18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79" s="30" t="e">
        <f>VLOOKUP(B79,'Train Runs'!$A$13:$A$99952,1,FALSE)</f>
        <v>#N/A</v>
      </c>
    </row>
    <row r="80" spans="1:10" x14ac:dyDescent="0.25">
      <c r="A80" s="186"/>
      <c r="B80" s="43" t="str">
        <f>A80&amp;"-"&amp;IF(DAY(Variables!$A$2)&lt;10,0,"")&amp;DAY(Variables!$A$2)</f>
        <v>-18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0" s="30" t="e">
        <f>VLOOKUP(B80,'Train Runs'!$A$13:$A$99952,1,FALSE)</f>
        <v>#N/A</v>
      </c>
    </row>
    <row r="81" spans="1:10" x14ac:dyDescent="0.25">
      <c r="A81" s="186"/>
      <c r="B81" s="43" t="str">
        <f>A81&amp;"-"&amp;IF(DAY(Variables!$A$2)&lt;10,0,"")&amp;DAY(Variables!$A$2)</f>
        <v>-18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1" s="30" t="e">
        <f>VLOOKUP(B81,'Train Runs'!$A$13:$A$99952,1,FALSE)</f>
        <v>#N/A</v>
      </c>
    </row>
    <row r="82" spans="1:10" x14ac:dyDescent="0.25">
      <c r="A82" s="186"/>
      <c r="B82" s="43" t="str">
        <f>A82&amp;"-"&amp;IF(DAY(Variables!$A$2)&lt;10,0,"")&amp;DAY(Variables!$A$2)</f>
        <v>-18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2" s="30" t="e">
        <f>VLOOKUP(B82,'Train Runs'!$A$13:$A$99952,1,FALSE)</f>
        <v>#N/A</v>
      </c>
    </row>
    <row r="83" spans="1:10" x14ac:dyDescent="0.25">
      <c r="A83" s="186"/>
      <c r="B83" s="43" t="str">
        <f>A83&amp;"-"&amp;IF(DAY(Variables!$A$2)&lt;10,0,"")&amp;DAY(Variables!$A$2)</f>
        <v>-18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3" s="30" t="e">
        <f>VLOOKUP(B83,'Train Runs'!$A$13:$A$99952,1,FALSE)</f>
        <v>#N/A</v>
      </c>
    </row>
    <row r="84" spans="1:10" x14ac:dyDescent="0.25">
      <c r="A84" s="186"/>
      <c r="B84" s="43" t="str">
        <f>A84&amp;"-"&amp;IF(DAY(Variables!$A$2)&lt;10,0,"")&amp;DAY(Variables!$A$2)</f>
        <v>-18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4" s="30" t="e">
        <f>VLOOKUP(B84,'Train Runs'!$A$13:$A$99952,1,FALSE)</f>
        <v>#N/A</v>
      </c>
    </row>
    <row r="85" spans="1:10" x14ac:dyDescent="0.25">
      <c r="A85" s="186"/>
      <c r="B85" s="43" t="str">
        <f>A85&amp;"-"&amp;IF(DAY(Variables!$A$2)&lt;10,0,"")&amp;DAY(Variables!$A$2)</f>
        <v>-18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5" s="30" t="e">
        <f>VLOOKUP(B85,'Train Runs'!$A$13:$A$99952,1,FALSE)</f>
        <v>#N/A</v>
      </c>
    </row>
    <row r="86" spans="1:10" x14ac:dyDescent="0.25">
      <c r="A86" s="186"/>
      <c r="B86" s="43" t="str">
        <f>A86&amp;"-"&amp;IF(DAY(Variables!$A$2)&lt;10,0,"")&amp;DAY(Variables!$A$2)</f>
        <v>-18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6" s="30" t="e">
        <f>VLOOKUP(B86,'Train Runs'!$A$13:$A$99952,1,FALSE)</f>
        <v>#N/A</v>
      </c>
    </row>
    <row r="87" spans="1:10" x14ac:dyDescent="0.25">
      <c r="A87" s="186"/>
      <c r="B87" s="43" t="str">
        <f>A87&amp;"-"&amp;IF(DAY(Variables!$A$2)&lt;10,0,"")&amp;DAY(Variables!$A$2)</f>
        <v>-18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7" s="30" t="e">
        <f>VLOOKUP(B87,'Train Runs'!$A$13:$A$99952,1,FALSE)</f>
        <v>#N/A</v>
      </c>
    </row>
    <row r="88" spans="1:10" x14ac:dyDescent="0.25">
      <c r="A88" s="186"/>
      <c r="B88" s="43" t="str">
        <f>A88&amp;"-"&amp;IF(DAY(Variables!$A$2)&lt;10,0,"")&amp;DAY(Variables!$A$2)</f>
        <v>-18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8" s="30" t="e">
        <f>VLOOKUP(B88,'Train Runs'!$A$13:$A$99952,1,FALSE)</f>
        <v>#N/A</v>
      </c>
    </row>
    <row r="89" spans="1:10" x14ac:dyDescent="0.25">
      <c r="A89" s="186"/>
      <c r="B89" s="43" t="str">
        <f>A89&amp;"-"&amp;IF(DAY(Variables!$A$2)&lt;10,0,"")&amp;DAY(Variables!$A$2)</f>
        <v>-18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89" s="30" t="e">
        <f>VLOOKUP(B89,'Train Runs'!$A$13:$A$99952,1,FALSE)</f>
        <v>#N/A</v>
      </c>
    </row>
    <row r="90" spans="1:10" x14ac:dyDescent="0.25">
      <c r="A90" s="186"/>
      <c r="B90" s="43" t="str">
        <f>A90&amp;"-"&amp;IF(DAY(Variables!$A$2)&lt;10,0,"")&amp;DAY(Variables!$A$2)</f>
        <v>-18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0" s="30" t="e">
        <f>VLOOKUP(B90,'Train Runs'!$A$13:$A$99952,1,FALSE)</f>
        <v>#N/A</v>
      </c>
    </row>
    <row r="91" spans="1:10" x14ac:dyDescent="0.25">
      <c r="A91" s="186"/>
      <c r="B91" s="43" t="str">
        <f>A91&amp;"-"&amp;IF(DAY(Variables!$A$2)&lt;10,0,"")&amp;DAY(Variables!$A$2)</f>
        <v>-18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1" s="30" t="e">
        <f>VLOOKUP(B91,'Train Runs'!$A$13:$A$99952,1,FALSE)</f>
        <v>#N/A</v>
      </c>
    </row>
    <row r="92" spans="1:10" x14ac:dyDescent="0.25">
      <c r="A92" s="186"/>
      <c r="B92" s="43" t="str">
        <f>A92&amp;"-"&amp;IF(DAY(Variables!$A$2)&lt;10,0,"")&amp;DAY(Variables!$A$2)</f>
        <v>-18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2" s="30" t="e">
        <f>VLOOKUP(B92,'Train Runs'!$A$13:$A$99952,1,FALSE)</f>
        <v>#N/A</v>
      </c>
    </row>
    <row r="93" spans="1:10" x14ac:dyDescent="0.25">
      <c r="A93" s="186"/>
      <c r="B93" s="43" t="str">
        <f>A93&amp;"-"&amp;IF(DAY(Variables!$A$2)&lt;10,0,"")&amp;DAY(Variables!$A$2)</f>
        <v>-18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3" s="30" t="e">
        <f>VLOOKUP(B93,'Train Runs'!$A$13:$A$99952,1,FALSE)</f>
        <v>#N/A</v>
      </c>
    </row>
    <row r="94" spans="1:10" x14ac:dyDescent="0.25">
      <c r="A94" s="186"/>
      <c r="B94" s="43" t="str">
        <f>A94&amp;"-"&amp;IF(DAY(Variables!$A$2)&lt;10,0,"")&amp;DAY(Variables!$A$2)</f>
        <v>-18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4" s="30" t="e">
        <f>VLOOKUP(B94,'Train Runs'!$A$13:$A$99952,1,FALSE)</f>
        <v>#N/A</v>
      </c>
    </row>
    <row r="95" spans="1:10" x14ac:dyDescent="0.25">
      <c r="A95" s="186"/>
      <c r="B95" s="43" t="str">
        <f>A95&amp;"-"&amp;IF(DAY(Variables!$A$2)&lt;10,0,"")&amp;DAY(Variables!$A$2)</f>
        <v>-18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5" s="30" t="e">
        <f>VLOOKUP(B95,'Train Runs'!$A$13:$A$99952,1,FALSE)</f>
        <v>#N/A</v>
      </c>
    </row>
    <row r="96" spans="1:10" x14ac:dyDescent="0.25">
      <c r="A96" s="186"/>
      <c r="B96" s="43" t="str">
        <f>A96&amp;"-"&amp;IF(DAY(Variables!$A$2)&lt;10,0,"")&amp;DAY(Variables!$A$2)</f>
        <v>-18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6" s="30" t="e">
        <f>VLOOKUP(B96,'Train Runs'!$A$13:$A$99952,1,FALSE)</f>
        <v>#N/A</v>
      </c>
    </row>
    <row r="97" spans="1:10" x14ac:dyDescent="0.25">
      <c r="A97" s="186"/>
      <c r="B97" s="43" t="str">
        <f>A97&amp;"-"&amp;IF(DAY(Variables!$A$2)&lt;10,0,"")&amp;DAY(Variables!$A$2)</f>
        <v>-18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ref="I97:I11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7" s="30" t="e">
        <f>VLOOKUP(B97,'Train Runs'!$A$13:$A$99952,1,FALSE)</f>
        <v>#N/A</v>
      </c>
    </row>
    <row r="98" spans="1:10" x14ac:dyDescent="0.25">
      <c r="A98" s="186"/>
      <c r="B98" s="43" t="str">
        <f>A98&amp;"-"&amp;IF(DAY(Variables!$A$2)&lt;10,0,"")&amp;DAY(Variables!$A$2)</f>
        <v>-18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8" s="30" t="e">
        <f>VLOOKUP(B98,'Train Runs'!$A$13:$A$99952,1,FALSE)</f>
        <v>#N/A</v>
      </c>
    </row>
    <row r="99" spans="1:10" x14ac:dyDescent="0.25">
      <c r="A99" s="186"/>
      <c r="B99" s="43" t="str">
        <f>A99&amp;"-"&amp;IF(DAY(Variables!$A$2)&lt;10,0,"")&amp;DAY(Variables!$A$2)</f>
        <v>-18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99" s="30" t="e">
        <f>VLOOKUP(B99,'Train Runs'!$A$13:$A$99952,1,FALSE)</f>
        <v>#N/A</v>
      </c>
    </row>
    <row r="100" spans="1:10" x14ac:dyDescent="0.25">
      <c r="A100" s="186"/>
      <c r="B100" s="43" t="str">
        <f>A100&amp;"-"&amp;IF(DAY(Variables!$A$2)&lt;10,0,"")&amp;DAY(Variables!$A$2)</f>
        <v>-18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0" s="30" t="e">
        <f>VLOOKUP(B100,'Train Runs'!$A$13:$A$99952,1,FALSE)</f>
        <v>#N/A</v>
      </c>
    </row>
    <row r="101" spans="1:10" x14ac:dyDescent="0.25">
      <c r="A101" s="186"/>
      <c r="B101" s="43" t="str">
        <f>A101&amp;"-"&amp;IF(DAY(Variables!$A$2)&lt;10,0,"")&amp;DAY(Variables!$A$2)</f>
        <v>-18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1" s="30" t="e">
        <f>VLOOKUP(B101,'Train Runs'!$A$13:$A$99952,1,FALSE)</f>
        <v>#N/A</v>
      </c>
    </row>
    <row r="102" spans="1:10" x14ac:dyDescent="0.25">
      <c r="A102" s="186"/>
      <c r="B102" s="43" t="str">
        <f>A102&amp;"-"&amp;IF(DAY(Variables!$A$2)&lt;10,0,"")&amp;DAY(Variables!$A$2)</f>
        <v>-18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2" s="30" t="e">
        <f>VLOOKUP(B102,'Train Runs'!$A$13:$A$99952,1,FALSE)</f>
        <v>#N/A</v>
      </c>
    </row>
    <row r="103" spans="1:10" x14ac:dyDescent="0.25">
      <c r="A103" s="186"/>
      <c r="B103" s="43" t="str">
        <f>A103&amp;"-"&amp;IF(DAY(Variables!$A$2)&lt;10,0,"")&amp;DAY(Variables!$A$2)</f>
        <v>-18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3" s="30" t="e">
        <f>VLOOKUP(B103,'Train Runs'!$A$13:$A$99952,1,FALSE)</f>
        <v>#N/A</v>
      </c>
    </row>
    <row r="104" spans="1:10" x14ac:dyDescent="0.25">
      <c r="A104" s="186"/>
      <c r="B104" s="43" t="str">
        <f>A104&amp;"-"&amp;IF(DAY(Variables!$A$2)&lt;10,0,"")&amp;DAY(Variables!$A$2)</f>
        <v>-18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4" s="30" t="e">
        <f>VLOOKUP(B104,'Train Runs'!$A$13:$A$99952,1,FALSE)</f>
        <v>#N/A</v>
      </c>
    </row>
    <row r="105" spans="1:10" x14ac:dyDescent="0.25">
      <c r="A105" s="186"/>
      <c r="B105" s="43" t="str">
        <f>A105&amp;"-"&amp;IF(DAY(Variables!$A$2)&lt;10,0,"")&amp;DAY(Variables!$A$2)</f>
        <v>-18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5" s="30" t="e">
        <f>VLOOKUP(B105,'Train Runs'!$A$13:$A$99952,1,FALSE)</f>
        <v>#N/A</v>
      </c>
    </row>
    <row r="106" spans="1:10" x14ac:dyDescent="0.25">
      <c r="A106" s="186"/>
      <c r="B106" s="43" t="str">
        <f>A106&amp;"-"&amp;IF(DAY(Variables!$A$2)&lt;10,0,"")&amp;DAY(Variables!$A$2)</f>
        <v>-18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6" s="30" t="e">
        <f>VLOOKUP(B106,'Train Runs'!$A$13:$A$99952,1,FALSE)</f>
        <v>#N/A</v>
      </c>
    </row>
    <row r="107" spans="1:10" x14ac:dyDescent="0.25">
      <c r="A107" s="186"/>
      <c r="B107" s="43" t="str">
        <f>A107&amp;"-"&amp;IF(DAY(Variables!$A$2)&lt;10,0,"")&amp;DAY(Variables!$A$2)</f>
        <v>-18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7" s="30" t="e">
        <f>VLOOKUP(B107,'Train Runs'!$A$13:$A$99952,1,FALSE)</f>
        <v>#N/A</v>
      </c>
    </row>
    <row r="108" spans="1:10" x14ac:dyDescent="0.25">
      <c r="A108" s="186"/>
      <c r="B108" s="43" t="str">
        <f>A108&amp;"-"&amp;IF(DAY(Variables!$A$2)&lt;10,0,"")&amp;DAY(Variables!$A$2)</f>
        <v>-18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8" s="30" t="e">
        <f>VLOOKUP(B108,'Train Runs'!$A$13:$A$99952,1,FALSE)</f>
        <v>#N/A</v>
      </c>
    </row>
    <row r="109" spans="1:10" x14ac:dyDescent="0.25">
      <c r="A109" s="186"/>
      <c r="B109" s="43" t="str">
        <f>A109&amp;"-"&amp;IF(DAY(Variables!$A$2)&lt;10,0,"")&amp;DAY(Variables!$A$2)</f>
        <v>-18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09" s="30" t="e">
        <f>VLOOKUP(B109,'Train Runs'!$A$13:$A$99952,1,FALSE)</f>
        <v>#N/A</v>
      </c>
    </row>
    <row r="110" spans="1:10" x14ac:dyDescent="0.25">
      <c r="A110" s="186"/>
      <c r="B110" s="43" t="str">
        <f>A110&amp;"-"&amp;IF(DAY(Variables!$A$2)&lt;10,0,"")&amp;DAY(Variables!$A$2)</f>
        <v>-18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0" s="30" t="e">
        <f>VLOOKUP(B110,'Train Runs'!$A$13:$A$99952,1,FALSE)</f>
        <v>#N/A</v>
      </c>
    </row>
    <row r="111" spans="1:10" x14ac:dyDescent="0.25">
      <c r="A111" s="186"/>
      <c r="B111" s="43" t="str">
        <f>A111&amp;"-"&amp;IF(DAY(Variables!$A$2)&lt;10,0,"")&amp;DAY(Variables!$A$2)</f>
        <v>-18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1" s="30" t="e">
        <f>VLOOKUP(B111,'Train Runs'!$A$13:$A$99952,1,FALSE)</f>
        <v>#N/A</v>
      </c>
    </row>
    <row r="112" spans="1:10" x14ac:dyDescent="0.25">
      <c r="A112" s="186"/>
      <c r="B112" s="43" t="str">
        <f>A112&amp;"-"&amp;IF(DAY(Variables!$A$2)&lt;10,0,"")&amp;DAY(Variables!$A$2)</f>
        <v>-18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2" s="30" t="e">
        <f>VLOOKUP(B112,'Train Runs'!$A$13:$A$99952,1,FALSE)</f>
        <v>#N/A</v>
      </c>
    </row>
    <row r="113" spans="1:10" x14ac:dyDescent="0.25">
      <c r="A113" s="186"/>
      <c r="B113" s="43" t="str">
        <f>A113&amp;"-"&amp;IF(DAY(Variables!$A$2)&lt;10,0,"")&amp;DAY(Variables!$A$2)</f>
        <v>-18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3" s="30" t="e">
        <f>VLOOKUP(B113,'Train Runs'!$A$13:$A$99952,1,FALSE)</f>
        <v>#N/A</v>
      </c>
    </row>
    <row r="114" spans="1:10" x14ac:dyDescent="0.25">
      <c r="A114" s="186"/>
      <c r="B114" s="43" t="str">
        <f>A114&amp;"-"&amp;IF(DAY(Variables!$A$2)&lt;10,0,"")&amp;DAY(Variables!$A$2)</f>
        <v>-18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4" s="30" t="e">
        <f>VLOOKUP(B114,'Train Runs'!$A$13:$A$99952,1,FALSE)</f>
        <v>#N/A</v>
      </c>
    </row>
    <row r="115" spans="1:10" x14ac:dyDescent="0.25">
      <c r="A115" s="186"/>
      <c r="B115" s="43" t="str">
        <f>A115&amp;"-"&amp;IF(DAY(Variables!$A$2)&lt;10,0,"")&amp;DAY(Variables!$A$2)</f>
        <v>-18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5" s="30" t="e">
        <f>VLOOKUP(B115,'Train Runs'!$A$13:$A$99952,1,FALSE)</f>
        <v>#N/A</v>
      </c>
    </row>
    <row r="116" spans="1:10" x14ac:dyDescent="0.25">
      <c r="A116" s="186"/>
      <c r="B116" s="43" t="str">
        <f>A116&amp;"-"&amp;IF(DAY(Variables!$A$2)&lt;10,0,"")&amp;DAY(Variables!$A$2)</f>
        <v>-18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6" s="30" t="e">
        <f>VLOOKUP(B116,'Train Runs'!$A$13:$A$99952,1,FALSE)</f>
        <v>#N/A</v>
      </c>
    </row>
    <row r="117" spans="1:10" x14ac:dyDescent="0.25">
      <c r="A117" s="186"/>
      <c r="B117" s="43" t="str">
        <f>A117&amp;"-"&amp;IF(DAY(Variables!$A$2)&lt;10,0,"")&amp;DAY(Variables!$A$2)</f>
        <v>-18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7" s="30" t="e">
        <f>VLOOKUP(B117,'Train Runs'!$A$13:$A$99952,1,FALSE)</f>
        <v>#N/A</v>
      </c>
    </row>
    <row r="118" spans="1:10" x14ac:dyDescent="0.25">
      <c r="A118" s="186"/>
      <c r="B118" s="43" t="str">
        <f>A118&amp;"-"&amp;IF(DAY(Variables!$A$2)&lt;10,0,"")&amp;DAY(Variables!$A$2)</f>
        <v>-18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-18%22)),sort:!(Time.ISO8601,asc))</v>
      </c>
      <c r="J118" s="30" t="e">
        <f>VLOOKUP(B118,'Train Runs'!$A$13:$A$99952,1,FALSE)</f>
        <v>#N/A</v>
      </c>
    </row>
  </sheetData>
  <autoFilter ref="A2:J11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2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42784.035983796297</v>
      </c>
      <c r="B2" s="20" t="s">
        <v>278</v>
      </c>
      <c r="C2" s="20" t="s">
        <v>484</v>
      </c>
      <c r="D2" s="150">
        <v>2270000</v>
      </c>
      <c r="E2" s="20" t="s">
        <v>235</v>
      </c>
      <c r="F2" s="20" t="s">
        <v>236</v>
      </c>
      <c r="G2" s="8" t="str">
        <f>E2&amp;" "&amp;F2</f>
        <v>BROWN JACOB</v>
      </c>
    </row>
    <row r="3" spans="1:7" x14ac:dyDescent="0.25">
      <c r="A3" s="8">
        <v>42784.036030092589</v>
      </c>
      <c r="B3" s="20" t="s">
        <v>271</v>
      </c>
      <c r="C3" s="20" t="s">
        <v>485</v>
      </c>
      <c r="D3" s="150">
        <v>2610000</v>
      </c>
      <c r="E3" s="20" t="s">
        <v>486</v>
      </c>
      <c r="F3" s="20" t="s">
        <v>487</v>
      </c>
      <c r="G3" s="8" t="str">
        <f t="shared" ref="G3:G66" si="0">E3&amp;" "&amp;F3</f>
        <v>MAGEE KENYA</v>
      </c>
    </row>
    <row r="4" spans="1:7" x14ac:dyDescent="0.25">
      <c r="A4" s="8">
        <v>42784.036273148151</v>
      </c>
      <c r="B4" s="20" t="s">
        <v>220</v>
      </c>
      <c r="C4" s="20" t="s">
        <v>488</v>
      </c>
      <c r="D4" s="150">
        <v>1740000</v>
      </c>
      <c r="E4" s="20" t="s">
        <v>231</v>
      </c>
      <c r="F4" s="20" t="s">
        <v>232</v>
      </c>
      <c r="G4" s="8" t="str">
        <f t="shared" si="0"/>
        <v>STORY SAMANTHA</v>
      </c>
    </row>
    <row r="5" spans="1:7" x14ac:dyDescent="0.25">
      <c r="A5" s="8">
        <v>42784.050671296296</v>
      </c>
      <c r="B5" s="20" t="s">
        <v>219</v>
      </c>
      <c r="C5" s="20" t="s">
        <v>489</v>
      </c>
      <c r="D5" s="150">
        <v>1740000</v>
      </c>
      <c r="E5" s="20" t="s">
        <v>231</v>
      </c>
      <c r="F5" s="20" t="s">
        <v>232</v>
      </c>
      <c r="G5" s="8" t="str">
        <f t="shared" si="0"/>
        <v>STORY SAMANTHA</v>
      </c>
    </row>
    <row r="6" spans="1:7" x14ac:dyDescent="0.25">
      <c r="A6" s="8">
        <v>42784.058564814812</v>
      </c>
      <c r="B6" s="20" t="s">
        <v>291</v>
      </c>
      <c r="C6" s="20" t="s">
        <v>490</v>
      </c>
      <c r="D6" s="150">
        <v>2680000</v>
      </c>
      <c r="E6" s="20" t="s">
        <v>491</v>
      </c>
      <c r="F6" s="20" t="s">
        <v>492</v>
      </c>
      <c r="G6" s="8" t="str">
        <f t="shared" si="0"/>
        <v>DUNCAN SHEILA</v>
      </c>
    </row>
    <row r="7" spans="1:7" x14ac:dyDescent="0.25">
      <c r="A7" s="8">
        <v>42784.059548611112</v>
      </c>
      <c r="B7" s="20" t="s">
        <v>291</v>
      </c>
      <c r="C7" s="20" t="s">
        <v>490</v>
      </c>
      <c r="D7" s="150">
        <v>2680000</v>
      </c>
      <c r="E7" s="20" t="s">
        <v>491</v>
      </c>
      <c r="F7" s="20" t="s">
        <v>492</v>
      </c>
      <c r="G7" s="8" t="str">
        <f t="shared" si="0"/>
        <v>DUNCAN SHEILA</v>
      </c>
    </row>
    <row r="8" spans="1:7" x14ac:dyDescent="0.25">
      <c r="A8" s="8">
        <v>42784.061099537037</v>
      </c>
      <c r="B8" s="20" t="s">
        <v>291</v>
      </c>
      <c r="C8" s="20" t="s">
        <v>490</v>
      </c>
      <c r="D8" s="150">
        <v>2680000</v>
      </c>
      <c r="E8" s="20" t="s">
        <v>491</v>
      </c>
      <c r="F8" s="20" t="s">
        <v>492</v>
      </c>
      <c r="G8" s="8" t="str">
        <f t="shared" si="0"/>
        <v>DUNCAN SHEILA</v>
      </c>
    </row>
    <row r="9" spans="1:7" ht="15.75" thickBot="1" x14ac:dyDescent="0.3">
      <c r="A9" s="24">
        <v>42784.068252314813</v>
      </c>
      <c r="B9" s="20" t="s">
        <v>277</v>
      </c>
      <c r="C9" s="20" t="s">
        <v>493</v>
      </c>
      <c r="D9" s="150">
        <v>2610000</v>
      </c>
      <c r="E9" s="20" t="s">
        <v>486</v>
      </c>
      <c r="F9" s="20" t="s">
        <v>487</v>
      </c>
      <c r="G9" s="8" t="str">
        <f t="shared" si="0"/>
        <v>MAGEE KENYA</v>
      </c>
    </row>
    <row r="10" spans="1:7" x14ac:dyDescent="0.25">
      <c r="A10" s="8">
        <v>42784.077974537038</v>
      </c>
      <c r="B10" s="20" t="s">
        <v>251</v>
      </c>
      <c r="C10" s="20" t="s">
        <v>494</v>
      </c>
      <c r="D10" s="150">
        <v>2270000</v>
      </c>
      <c r="E10" s="20" t="s">
        <v>235</v>
      </c>
      <c r="F10" s="20" t="s">
        <v>236</v>
      </c>
      <c r="G10" s="8" t="str">
        <f t="shared" si="0"/>
        <v>BROWN JACOB</v>
      </c>
    </row>
    <row r="11" spans="1:7" x14ac:dyDescent="0.25">
      <c r="A11" s="8">
        <v>42784.079618055555</v>
      </c>
      <c r="B11" s="20" t="s">
        <v>237</v>
      </c>
      <c r="C11" s="20" t="s">
        <v>495</v>
      </c>
      <c r="D11" s="150">
        <v>2220000</v>
      </c>
      <c r="E11" s="20" t="s">
        <v>217</v>
      </c>
      <c r="F11" s="20" t="s">
        <v>218</v>
      </c>
      <c r="G11" s="8" t="str">
        <f t="shared" si="0"/>
        <v>HILLS DUSTIN</v>
      </c>
    </row>
    <row r="12" spans="1:7" x14ac:dyDescent="0.25">
      <c r="A12" s="8">
        <v>42784.081759259258</v>
      </c>
      <c r="B12" s="20" t="s">
        <v>496</v>
      </c>
      <c r="C12" s="20" t="s">
        <v>497</v>
      </c>
      <c r="D12" s="150">
        <v>2630000</v>
      </c>
      <c r="E12" s="20" t="s">
        <v>498</v>
      </c>
      <c r="F12" s="20" t="s">
        <v>499</v>
      </c>
      <c r="G12" s="8" t="str">
        <f t="shared" si="0"/>
        <v>SAFIEF AEIMEN</v>
      </c>
    </row>
    <row r="13" spans="1:7" x14ac:dyDescent="0.25">
      <c r="A13" s="8">
        <v>42784.109907407408</v>
      </c>
      <c r="B13" s="20" t="s">
        <v>278</v>
      </c>
      <c r="C13" s="20" t="s">
        <v>500</v>
      </c>
      <c r="D13" s="150">
        <v>2270000</v>
      </c>
      <c r="E13" s="20" t="s">
        <v>235</v>
      </c>
      <c r="F13" s="20" t="s">
        <v>236</v>
      </c>
      <c r="G13" s="8" t="str">
        <f t="shared" si="0"/>
        <v>BROWN JACOB</v>
      </c>
    </row>
    <row r="14" spans="1:7" x14ac:dyDescent="0.25">
      <c r="A14" s="8">
        <v>42784.115833333337</v>
      </c>
      <c r="B14" s="20" t="s">
        <v>501</v>
      </c>
      <c r="C14" s="20" t="s">
        <v>502</v>
      </c>
      <c r="D14" s="150">
        <v>2630000</v>
      </c>
      <c r="E14" s="20" t="s">
        <v>498</v>
      </c>
      <c r="F14" s="20" t="s">
        <v>499</v>
      </c>
      <c r="G14" s="8" t="str">
        <f t="shared" si="0"/>
        <v>SAFIEF AEIMEN</v>
      </c>
    </row>
    <row r="15" spans="1:7" x14ac:dyDescent="0.25">
      <c r="A15" s="8">
        <v>42784.118379629632</v>
      </c>
      <c r="B15" s="20" t="s">
        <v>371</v>
      </c>
      <c r="C15" s="20" t="s">
        <v>503</v>
      </c>
      <c r="D15" s="150">
        <v>2550000</v>
      </c>
      <c r="E15" s="20" t="s">
        <v>318</v>
      </c>
      <c r="F15" s="20" t="s">
        <v>319</v>
      </c>
      <c r="G15" s="8" t="str">
        <f t="shared" si="0"/>
        <v>BADERTSCHER DIANE</v>
      </c>
    </row>
    <row r="16" spans="1:7" x14ac:dyDescent="0.25">
      <c r="A16" s="8">
        <v>42784.129537037035</v>
      </c>
      <c r="B16" s="20" t="s">
        <v>248</v>
      </c>
      <c r="C16" s="20" t="s">
        <v>504</v>
      </c>
      <c r="D16" s="150">
        <v>2550000</v>
      </c>
      <c r="E16" s="20" t="s">
        <v>318</v>
      </c>
      <c r="F16" s="20" t="s">
        <v>319</v>
      </c>
      <c r="G16" s="8" t="str">
        <f t="shared" si="0"/>
        <v>BADERTSCHER DIANE</v>
      </c>
    </row>
    <row r="17" spans="1:7" x14ac:dyDescent="0.25">
      <c r="A17" s="8">
        <v>42784.134687500002</v>
      </c>
      <c r="B17" s="20" t="s">
        <v>496</v>
      </c>
      <c r="C17" s="20" t="s">
        <v>497</v>
      </c>
      <c r="D17" s="150">
        <v>2630000</v>
      </c>
      <c r="E17" s="20" t="s">
        <v>498</v>
      </c>
      <c r="F17" s="20" t="s">
        <v>499</v>
      </c>
      <c r="G17" s="8" t="str">
        <f t="shared" si="0"/>
        <v>SAFIEF AEIMEN</v>
      </c>
    </row>
    <row r="18" spans="1:7" x14ac:dyDescent="0.25">
      <c r="A18" s="8">
        <v>42784.135891203703</v>
      </c>
      <c r="B18" s="20" t="s">
        <v>222</v>
      </c>
      <c r="C18" s="20" t="s">
        <v>505</v>
      </c>
      <c r="D18" s="150">
        <v>2140000</v>
      </c>
      <c r="E18" s="20" t="s">
        <v>368</v>
      </c>
      <c r="F18" s="20" t="s">
        <v>369</v>
      </c>
      <c r="G18" s="8" t="str">
        <f t="shared" si="0"/>
        <v>ROBINSON KADDIBA</v>
      </c>
    </row>
    <row r="19" spans="1:7" x14ac:dyDescent="0.25">
      <c r="A19" s="8">
        <v>42784.147337962961</v>
      </c>
      <c r="B19" s="20" t="s">
        <v>265</v>
      </c>
      <c r="C19" s="20" t="s">
        <v>506</v>
      </c>
      <c r="D19" s="150">
        <v>2140000</v>
      </c>
      <c r="E19" s="20" t="s">
        <v>368</v>
      </c>
      <c r="F19" s="20" t="s">
        <v>369</v>
      </c>
      <c r="G19" s="8" t="str">
        <f t="shared" si="0"/>
        <v>ROBINSON KADDIBA</v>
      </c>
    </row>
    <row r="20" spans="1:7" x14ac:dyDescent="0.25">
      <c r="A20" s="8">
        <v>42784.157824074071</v>
      </c>
      <c r="B20" s="20" t="s">
        <v>501</v>
      </c>
      <c r="C20" s="20" t="s">
        <v>502</v>
      </c>
      <c r="D20" s="150">
        <v>2630000</v>
      </c>
      <c r="E20" s="20" t="s">
        <v>498</v>
      </c>
      <c r="F20" s="20" t="s">
        <v>499</v>
      </c>
      <c r="G20" s="8" t="str">
        <f t="shared" si="0"/>
        <v>SAFIEF AEIMEN</v>
      </c>
    </row>
    <row r="21" spans="1:7" x14ac:dyDescent="0.25">
      <c r="A21" s="8">
        <v>42784.160115740742</v>
      </c>
      <c r="B21" s="20" t="s">
        <v>209</v>
      </c>
      <c r="C21" s="20" t="s">
        <v>507</v>
      </c>
      <c r="D21" s="150">
        <v>2010000</v>
      </c>
      <c r="E21" s="20" t="s">
        <v>508</v>
      </c>
      <c r="F21" s="20" t="s">
        <v>509</v>
      </c>
      <c r="G21" s="8" t="str">
        <f t="shared" si="0"/>
        <v>MAELZER KURT</v>
      </c>
    </row>
    <row r="22" spans="1:7" x14ac:dyDescent="0.25">
      <c r="A22" s="26">
        <v>42784.165810185186</v>
      </c>
      <c r="B22" s="20" t="s">
        <v>371</v>
      </c>
      <c r="C22" s="20" t="s">
        <v>510</v>
      </c>
      <c r="D22" s="150">
        <v>2550000</v>
      </c>
      <c r="E22" s="20" t="s">
        <v>318</v>
      </c>
      <c r="F22" s="20" t="s">
        <v>319</v>
      </c>
      <c r="G22" s="8" t="str">
        <f t="shared" si="0"/>
        <v>BADERTSCHER DIANE</v>
      </c>
    </row>
    <row r="23" spans="1:7" x14ac:dyDescent="0.25">
      <c r="A23" s="8">
        <v>42784.171111111114</v>
      </c>
      <c r="B23" s="20" t="s">
        <v>437</v>
      </c>
      <c r="C23" s="20" t="s">
        <v>438</v>
      </c>
      <c r="D23" s="150">
        <v>2010000</v>
      </c>
      <c r="E23" s="20" t="s">
        <v>508</v>
      </c>
      <c r="F23" s="20" t="s">
        <v>509</v>
      </c>
      <c r="G23" s="8" t="str">
        <f t="shared" si="0"/>
        <v>MAELZER KURT</v>
      </c>
    </row>
    <row r="24" spans="1:7" x14ac:dyDescent="0.25">
      <c r="A24" s="8">
        <v>42784.173090277778</v>
      </c>
      <c r="B24" s="20" t="s">
        <v>290</v>
      </c>
      <c r="C24" s="20" t="s">
        <v>511</v>
      </c>
      <c r="D24" s="150">
        <v>1780000</v>
      </c>
      <c r="E24" s="20" t="s">
        <v>512</v>
      </c>
      <c r="F24" s="20" t="s">
        <v>513</v>
      </c>
      <c r="G24" s="8" t="str">
        <f t="shared" si="0"/>
        <v>DE LA ROSA ALEX</v>
      </c>
    </row>
    <row r="25" spans="1:7" x14ac:dyDescent="0.25">
      <c r="A25" s="8">
        <v>42784.180659722224</v>
      </c>
      <c r="B25" s="20" t="s">
        <v>496</v>
      </c>
      <c r="C25" s="20" t="s">
        <v>497</v>
      </c>
      <c r="D25" s="150">
        <v>2630000</v>
      </c>
      <c r="E25" s="20" t="s">
        <v>498</v>
      </c>
      <c r="F25" s="20" t="s">
        <v>499</v>
      </c>
      <c r="G25" s="8" t="str">
        <f t="shared" si="0"/>
        <v>SAFIEF AEIMEN</v>
      </c>
    </row>
    <row r="26" spans="1:7" x14ac:dyDescent="0.25">
      <c r="A26" s="8">
        <v>42784.180821759262</v>
      </c>
      <c r="B26" s="20" t="s">
        <v>288</v>
      </c>
      <c r="C26" s="20" t="s">
        <v>436</v>
      </c>
      <c r="D26" s="150">
        <v>2360000</v>
      </c>
      <c r="E26" s="20" t="s">
        <v>376</v>
      </c>
      <c r="F26" s="20" t="s">
        <v>377</v>
      </c>
      <c r="G26" s="8" t="str">
        <f t="shared" si="0"/>
        <v>BRANDNER MELINDA</v>
      </c>
    </row>
    <row r="27" spans="1:7" x14ac:dyDescent="0.25">
      <c r="A27" s="8">
        <v>42784.183969907404</v>
      </c>
      <c r="B27" s="20" t="s">
        <v>288</v>
      </c>
      <c r="C27" s="20" t="s">
        <v>436</v>
      </c>
      <c r="D27" s="150">
        <v>2360000</v>
      </c>
      <c r="E27" s="20" t="s">
        <v>376</v>
      </c>
      <c r="F27" s="20" t="s">
        <v>377</v>
      </c>
      <c r="G27" s="8" t="str">
        <f t="shared" si="0"/>
        <v>BRANDNER MELINDA</v>
      </c>
    </row>
    <row r="28" spans="1:7" x14ac:dyDescent="0.25">
      <c r="A28" s="8">
        <v>42784.184953703705</v>
      </c>
      <c r="B28" s="20" t="s">
        <v>289</v>
      </c>
      <c r="C28" s="20" t="s">
        <v>514</v>
      </c>
      <c r="D28" s="150">
        <v>1360000</v>
      </c>
      <c r="E28" s="20" t="s">
        <v>374</v>
      </c>
      <c r="F28" s="20" t="s">
        <v>375</v>
      </c>
      <c r="G28" s="8" t="str">
        <f t="shared" si="0"/>
        <v>SANTIZO D. EDY</v>
      </c>
    </row>
    <row r="29" spans="1:7" x14ac:dyDescent="0.25">
      <c r="A29" s="8">
        <v>42784.189675925925</v>
      </c>
      <c r="B29" s="20" t="s">
        <v>222</v>
      </c>
      <c r="C29" s="20" t="s">
        <v>515</v>
      </c>
      <c r="D29" s="150">
        <v>2140000</v>
      </c>
      <c r="E29" s="20" t="s">
        <v>368</v>
      </c>
      <c r="F29" s="20" t="s">
        <v>369</v>
      </c>
      <c r="G29" s="8" t="str">
        <f t="shared" si="0"/>
        <v>ROBINSON KADDIBA</v>
      </c>
    </row>
    <row r="30" spans="1:7" x14ac:dyDescent="0.25">
      <c r="A30" s="8">
        <v>42784.195196759261</v>
      </c>
      <c r="B30" s="20" t="s">
        <v>234</v>
      </c>
      <c r="C30" s="20" t="s">
        <v>516</v>
      </c>
      <c r="D30" s="150">
        <v>2360000</v>
      </c>
      <c r="E30" s="20" t="s">
        <v>376</v>
      </c>
      <c r="F30" s="20" t="s">
        <v>377</v>
      </c>
      <c r="G30" s="8" t="str">
        <f t="shared" si="0"/>
        <v>BRANDNER MELINDA</v>
      </c>
    </row>
    <row r="31" spans="1:7" x14ac:dyDescent="0.25">
      <c r="A31" s="8">
        <v>42784.214421296296</v>
      </c>
      <c r="B31" s="20" t="s">
        <v>209</v>
      </c>
      <c r="C31" s="20" t="s">
        <v>517</v>
      </c>
      <c r="D31" s="150">
        <v>2010000</v>
      </c>
      <c r="E31" s="20" t="s">
        <v>508</v>
      </c>
      <c r="F31" s="20" t="s">
        <v>509</v>
      </c>
      <c r="G31" s="8" t="str">
        <f t="shared" si="0"/>
        <v>MAELZER KURT</v>
      </c>
    </row>
    <row r="32" spans="1:7" x14ac:dyDescent="0.25">
      <c r="A32" s="8">
        <v>42784.219965277778</v>
      </c>
      <c r="B32" s="20" t="s">
        <v>248</v>
      </c>
      <c r="C32" s="20" t="s">
        <v>518</v>
      </c>
      <c r="D32" s="150">
        <v>2550000</v>
      </c>
      <c r="E32" s="20" t="s">
        <v>318</v>
      </c>
      <c r="F32" s="20" t="s">
        <v>319</v>
      </c>
      <c r="G32" s="8" t="str">
        <f t="shared" si="0"/>
        <v>BADERTSCHER DIANE</v>
      </c>
    </row>
    <row r="33" spans="1:7" x14ac:dyDescent="0.25">
      <c r="A33" s="8">
        <v>42784.220694444448</v>
      </c>
      <c r="B33" s="20" t="s">
        <v>290</v>
      </c>
      <c r="C33" s="20" t="s">
        <v>519</v>
      </c>
      <c r="D33" s="150">
        <v>1360000</v>
      </c>
      <c r="E33" s="20" t="s">
        <v>374</v>
      </c>
      <c r="F33" s="20" t="s">
        <v>375</v>
      </c>
      <c r="G33" s="8" t="str">
        <f t="shared" si="0"/>
        <v>SANTIZO D. EDY</v>
      </c>
    </row>
    <row r="34" spans="1:7" x14ac:dyDescent="0.25">
      <c r="A34" s="8">
        <v>42784.225659722222</v>
      </c>
      <c r="B34" s="20" t="s">
        <v>265</v>
      </c>
      <c r="C34" s="20" t="s">
        <v>520</v>
      </c>
      <c r="D34" s="150">
        <v>1100000</v>
      </c>
      <c r="E34" s="20" t="s">
        <v>320</v>
      </c>
      <c r="F34" s="20" t="s">
        <v>321</v>
      </c>
      <c r="G34" s="8" t="str">
        <f t="shared" si="0"/>
        <v>GEBRETEKLE DAGNEW</v>
      </c>
    </row>
    <row r="35" spans="1:7" x14ac:dyDescent="0.25">
      <c r="A35" s="8">
        <v>42784.231354166666</v>
      </c>
      <c r="B35" s="20" t="s">
        <v>288</v>
      </c>
      <c r="C35" s="20" t="s">
        <v>521</v>
      </c>
      <c r="D35" s="150">
        <v>2360000</v>
      </c>
      <c r="E35" s="20" t="s">
        <v>376</v>
      </c>
      <c r="F35" s="20" t="s">
        <v>377</v>
      </c>
      <c r="G35" s="8" t="str">
        <f t="shared" si="0"/>
        <v>BRANDNER MELINDA</v>
      </c>
    </row>
    <row r="36" spans="1:7" x14ac:dyDescent="0.25">
      <c r="A36" s="8">
        <v>42784.231863425928</v>
      </c>
      <c r="B36" s="20" t="s">
        <v>223</v>
      </c>
      <c r="C36" s="20" t="s">
        <v>522</v>
      </c>
      <c r="D36" s="150">
        <v>2140000</v>
      </c>
      <c r="E36" s="20" t="s">
        <v>368</v>
      </c>
      <c r="F36" s="20" t="s">
        <v>369</v>
      </c>
      <c r="G36" s="8" t="str">
        <f t="shared" si="0"/>
        <v>ROBINSON KADDIBA</v>
      </c>
    </row>
    <row r="37" spans="1:7" x14ac:dyDescent="0.25">
      <c r="A37" s="8">
        <v>42784.235266203701</v>
      </c>
      <c r="B37" s="20" t="s">
        <v>274</v>
      </c>
      <c r="C37" s="20" t="s">
        <v>523</v>
      </c>
      <c r="D37" s="150">
        <v>2020000</v>
      </c>
      <c r="E37" s="20" t="s">
        <v>370</v>
      </c>
      <c r="F37" s="20" t="s">
        <v>292</v>
      </c>
      <c r="G37" s="8" t="str">
        <f t="shared" si="0"/>
        <v>SHOOK JOHN</v>
      </c>
    </row>
    <row r="38" spans="1:7" x14ac:dyDescent="0.25">
      <c r="A38" s="8">
        <v>42784.247002314813</v>
      </c>
      <c r="B38" s="20" t="s">
        <v>437</v>
      </c>
      <c r="C38" s="20" t="s">
        <v>524</v>
      </c>
      <c r="D38" s="150">
        <v>2010000</v>
      </c>
      <c r="E38" s="20" t="s">
        <v>508</v>
      </c>
      <c r="F38" s="20" t="s">
        <v>509</v>
      </c>
      <c r="G38" s="8" t="str">
        <f t="shared" si="0"/>
        <v>MAELZER KURT</v>
      </c>
    </row>
    <row r="39" spans="1:7" x14ac:dyDescent="0.25">
      <c r="A39" s="8">
        <v>42784.248923611114</v>
      </c>
      <c r="B39" s="20" t="s">
        <v>273</v>
      </c>
      <c r="C39" s="20" t="s">
        <v>525</v>
      </c>
      <c r="D39" s="150">
        <v>2020000</v>
      </c>
      <c r="E39" s="20" t="s">
        <v>370</v>
      </c>
      <c r="F39" s="20" t="s">
        <v>292</v>
      </c>
      <c r="G39" s="8" t="str">
        <f t="shared" si="0"/>
        <v>SHOOK JOHN</v>
      </c>
    </row>
    <row r="40" spans="1:7" x14ac:dyDescent="0.25">
      <c r="A40" s="8">
        <v>42784.251909722225</v>
      </c>
      <c r="B40" s="25" t="s">
        <v>244</v>
      </c>
      <c r="C40" s="20" t="s">
        <v>526</v>
      </c>
      <c r="D40" s="150">
        <v>2550000</v>
      </c>
      <c r="E40" s="20" t="s">
        <v>318</v>
      </c>
      <c r="F40" s="20" t="s">
        <v>319</v>
      </c>
      <c r="G40" s="8" t="str">
        <f t="shared" si="0"/>
        <v>BADERTSCHER DIANE</v>
      </c>
    </row>
    <row r="41" spans="1:7" x14ac:dyDescent="0.25">
      <c r="A41" s="8">
        <v>42784.257303240738</v>
      </c>
      <c r="B41" s="20" t="s">
        <v>289</v>
      </c>
      <c r="C41" s="20" t="s">
        <v>527</v>
      </c>
      <c r="D41" s="150">
        <v>1780000</v>
      </c>
      <c r="E41" s="20" t="s">
        <v>512</v>
      </c>
      <c r="F41" s="20" t="s">
        <v>513</v>
      </c>
      <c r="G41" s="8" t="str">
        <f t="shared" si="0"/>
        <v>DE LA ROSA ALEX</v>
      </c>
    </row>
    <row r="42" spans="1:7" x14ac:dyDescent="0.25">
      <c r="A42" s="8">
        <v>42784.263194444444</v>
      </c>
      <c r="B42" s="20" t="s">
        <v>227</v>
      </c>
      <c r="C42" s="20" t="s">
        <v>528</v>
      </c>
      <c r="D42" s="150">
        <v>1100000</v>
      </c>
      <c r="E42" s="20" t="s">
        <v>320</v>
      </c>
      <c r="F42" s="20" t="s">
        <v>321</v>
      </c>
      <c r="G42" s="8" t="str">
        <f t="shared" si="0"/>
        <v>GEBRETEKLE DAGNEW</v>
      </c>
    </row>
    <row r="43" spans="1:7" x14ac:dyDescent="0.25">
      <c r="A43" s="8">
        <v>42784.269930555558</v>
      </c>
      <c r="B43" s="20" t="s">
        <v>234</v>
      </c>
      <c r="C43" s="20" t="s">
        <v>529</v>
      </c>
      <c r="D43" s="150">
        <v>2360000</v>
      </c>
      <c r="E43" s="20" t="s">
        <v>376</v>
      </c>
      <c r="F43" s="20" t="s">
        <v>377</v>
      </c>
      <c r="G43" s="8" t="str">
        <f t="shared" si="0"/>
        <v>BRANDNER MELINDA</v>
      </c>
    </row>
    <row r="44" spans="1:7" x14ac:dyDescent="0.25">
      <c r="A44" s="8">
        <v>42784.273645833331</v>
      </c>
      <c r="B44" s="20" t="s">
        <v>222</v>
      </c>
      <c r="C44" s="20" t="s">
        <v>530</v>
      </c>
      <c r="D44" s="150">
        <v>2140000</v>
      </c>
      <c r="E44" s="20" t="s">
        <v>368</v>
      </c>
      <c r="F44" s="20" t="s">
        <v>369</v>
      </c>
      <c r="G44" s="8" t="str">
        <f t="shared" si="0"/>
        <v>ROBINSON KADDIBA</v>
      </c>
    </row>
    <row r="45" spans="1:7" x14ac:dyDescent="0.25">
      <c r="A45" s="8">
        <v>42784.27679398148</v>
      </c>
      <c r="B45" s="20" t="s">
        <v>274</v>
      </c>
      <c r="C45" s="20" t="s">
        <v>531</v>
      </c>
      <c r="D45" s="150">
        <v>2020000</v>
      </c>
      <c r="E45" s="20" t="s">
        <v>370</v>
      </c>
      <c r="F45" s="20" t="s">
        <v>292</v>
      </c>
      <c r="G45" s="8" t="str">
        <f t="shared" si="0"/>
        <v>SHOOK JOHN</v>
      </c>
    </row>
    <row r="46" spans="1:7" x14ac:dyDescent="0.25">
      <c r="A46" s="8">
        <v>42784.284004629626</v>
      </c>
      <c r="B46" s="20" t="s">
        <v>480</v>
      </c>
      <c r="C46" s="20" t="s">
        <v>532</v>
      </c>
      <c r="D46" s="150">
        <v>2010000</v>
      </c>
      <c r="E46" s="20" t="s">
        <v>508</v>
      </c>
      <c r="F46" s="20" t="s">
        <v>509</v>
      </c>
      <c r="G46" s="8" t="str">
        <f t="shared" si="0"/>
        <v>MAELZER KURT</v>
      </c>
    </row>
    <row r="47" spans="1:7" x14ac:dyDescent="0.25">
      <c r="A47" s="8">
        <v>42784.284675925926</v>
      </c>
      <c r="B47" s="20" t="s">
        <v>480</v>
      </c>
      <c r="C47" s="20" t="s">
        <v>532</v>
      </c>
      <c r="D47" s="150">
        <v>2010000</v>
      </c>
      <c r="E47" s="20" t="s">
        <v>508</v>
      </c>
      <c r="F47" s="20" t="s">
        <v>509</v>
      </c>
      <c r="G47" s="8" t="str">
        <f t="shared" si="0"/>
        <v>MAELZER KURT</v>
      </c>
    </row>
    <row r="48" spans="1:7" x14ac:dyDescent="0.25">
      <c r="A48" s="8">
        <v>42784.289826388886</v>
      </c>
      <c r="B48" s="20" t="s">
        <v>248</v>
      </c>
      <c r="C48" s="20" t="s">
        <v>533</v>
      </c>
      <c r="D48" s="150">
        <v>2550000</v>
      </c>
      <c r="E48" s="20" t="s">
        <v>318</v>
      </c>
      <c r="F48" s="20" t="s">
        <v>319</v>
      </c>
      <c r="G48" s="8" t="str">
        <f t="shared" si="0"/>
        <v>BADERTSCHER DIANE</v>
      </c>
    </row>
    <row r="49" spans="1:7" x14ac:dyDescent="0.25">
      <c r="A49" s="8">
        <v>42784.291446759256</v>
      </c>
      <c r="B49" s="20" t="s">
        <v>273</v>
      </c>
      <c r="C49" s="20" t="s">
        <v>534</v>
      </c>
      <c r="D49" s="150">
        <v>2020000</v>
      </c>
      <c r="E49" s="20" t="s">
        <v>370</v>
      </c>
      <c r="F49" s="20" t="s">
        <v>292</v>
      </c>
      <c r="G49" s="8" t="str">
        <f t="shared" si="0"/>
        <v>SHOOK JOHN</v>
      </c>
    </row>
    <row r="50" spans="1:7" x14ac:dyDescent="0.25">
      <c r="A50" s="8">
        <v>42784.29583333333</v>
      </c>
      <c r="B50" s="20" t="s">
        <v>290</v>
      </c>
      <c r="C50" s="20" t="s">
        <v>439</v>
      </c>
      <c r="D50" s="150">
        <v>1780000</v>
      </c>
      <c r="E50" s="20" t="s">
        <v>512</v>
      </c>
      <c r="F50" s="20" t="s">
        <v>513</v>
      </c>
      <c r="G50" s="8" t="str">
        <f t="shared" si="0"/>
        <v>DE LA ROSA ALEX</v>
      </c>
    </row>
    <row r="51" spans="1:7" x14ac:dyDescent="0.25">
      <c r="A51" s="8">
        <v>42784.297326388885</v>
      </c>
      <c r="B51" s="20" t="s">
        <v>265</v>
      </c>
      <c r="C51" s="20" t="s">
        <v>535</v>
      </c>
      <c r="D51" s="150">
        <v>1100000</v>
      </c>
      <c r="E51" s="20" t="s">
        <v>320</v>
      </c>
      <c r="F51" s="20" t="s">
        <v>321</v>
      </c>
      <c r="G51" s="8" t="str">
        <f t="shared" si="0"/>
        <v>GEBRETEKLE DAGNEW</v>
      </c>
    </row>
    <row r="52" spans="1:7" x14ac:dyDescent="0.25">
      <c r="A52" s="8">
        <v>42784.305636574078</v>
      </c>
      <c r="B52" s="20" t="s">
        <v>288</v>
      </c>
      <c r="C52" s="20" t="s">
        <v>440</v>
      </c>
      <c r="D52" s="150">
        <v>2360000</v>
      </c>
      <c r="E52" s="20" t="s">
        <v>376</v>
      </c>
      <c r="F52" s="20" t="s">
        <v>377</v>
      </c>
      <c r="G52" s="8" t="str">
        <f t="shared" si="0"/>
        <v>BRANDNER MELINDA</v>
      </c>
    </row>
    <row r="53" spans="1:7" x14ac:dyDescent="0.25">
      <c r="A53" s="8">
        <v>42784.308182870373</v>
      </c>
      <c r="B53" s="20" t="s">
        <v>223</v>
      </c>
      <c r="C53" s="20" t="s">
        <v>536</v>
      </c>
      <c r="D53" s="150">
        <v>2140000</v>
      </c>
      <c r="E53" s="20" t="s">
        <v>368</v>
      </c>
      <c r="F53" s="20" t="s">
        <v>369</v>
      </c>
      <c r="G53" s="8" t="str">
        <f t="shared" si="0"/>
        <v>ROBINSON KADDIBA</v>
      </c>
    </row>
    <row r="54" spans="1:7" x14ac:dyDescent="0.25">
      <c r="A54" s="8">
        <v>42784.318055555559</v>
      </c>
      <c r="B54" s="20" t="s">
        <v>274</v>
      </c>
      <c r="C54" s="20" t="s">
        <v>537</v>
      </c>
      <c r="D54" s="150">
        <v>2020000</v>
      </c>
      <c r="E54" s="20" t="s">
        <v>370</v>
      </c>
      <c r="F54" s="20" t="s">
        <v>292</v>
      </c>
      <c r="G54" s="8" t="str">
        <f t="shared" si="0"/>
        <v>SHOOK JOHN</v>
      </c>
    </row>
    <row r="55" spans="1:7" x14ac:dyDescent="0.25">
      <c r="A55" s="8">
        <v>42784.318993055553</v>
      </c>
      <c r="B55" s="20" t="s">
        <v>291</v>
      </c>
      <c r="C55" s="20" t="s">
        <v>538</v>
      </c>
      <c r="D55" s="150">
        <v>890000</v>
      </c>
      <c r="E55" s="20" t="s">
        <v>322</v>
      </c>
      <c r="F55" s="20" t="s">
        <v>323</v>
      </c>
      <c r="G55" s="8" t="str">
        <f t="shared" si="0"/>
        <v>LOZA FIDEL</v>
      </c>
    </row>
    <row r="56" spans="1:7" x14ac:dyDescent="0.25">
      <c r="A56" s="8">
        <v>42784.320254629631</v>
      </c>
      <c r="B56" s="20" t="s">
        <v>437</v>
      </c>
      <c r="C56" s="20" t="s">
        <v>539</v>
      </c>
      <c r="D56" s="150">
        <v>2010000</v>
      </c>
      <c r="E56" s="20" t="s">
        <v>508</v>
      </c>
      <c r="F56" s="20" t="s">
        <v>509</v>
      </c>
      <c r="G56" s="8" t="str">
        <f t="shared" si="0"/>
        <v>MAELZER KURT</v>
      </c>
    </row>
    <row r="57" spans="1:7" x14ac:dyDescent="0.25">
      <c r="A57" s="8">
        <v>42784.324641203704</v>
      </c>
      <c r="B57" s="20" t="s">
        <v>244</v>
      </c>
      <c r="C57" s="20" t="s">
        <v>540</v>
      </c>
      <c r="D57" s="150">
        <v>2550000</v>
      </c>
      <c r="E57" s="20" t="s">
        <v>318</v>
      </c>
      <c r="F57" s="20" t="s">
        <v>319</v>
      </c>
      <c r="G57" s="8" t="str">
        <f t="shared" si="0"/>
        <v>BADERTSCHER DIANE</v>
      </c>
    </row>
    <row r="58" spans="1:7" x14ac:dyDescent="0.25">
      <c r="A58" s="8">
        <v>42784.331597222219</v>
      </c>
      <c r="B58" s="20" t="s">
        <v>289</v>
      </c>
      <c r="C58" s="20" t="s">
        <v>541</v>
      </c>
      <c r="D58" s="150">
        <v>1780000</v>
      </c>
      <c r="E58" s="20" t="s">
        <v>512</v>
      </c>
      <c r="F58" s="20" t="s">
        <v>513</v>
      </c>
      <c r="G58" s="8" t="str">
        <f t="shared" si="0"/>
        <v>DE LA ROSA ALEX</v>
      </c>
    </row>
    <row r="59" spans="1:7" x14ac:dyDescent="0.25">
      <c r="A59" s="8">
        <v>42784.332141203704</v>
      </c>
      <c r="B59" s="20" t="s">
        <v>273</v>
      </c>
      <c r="C59" s="20" t="s">
        <v>542</v>
      </c>
      <c r="D59" s="150">
        <v>2020000</v>
      </c>
      <c r="E59" s="20" t="s">
        <v>370</v>
      </c>
      <c r="F59" s="20" t="s">
        <v>292</v>
      </c>
      <c r="G59" s="8" t="str">
        <f t="shared" si="0"/>
        <v>SHOOK JOHN</v>
      </c>
    </row>
    <row r="60" spans="1:7" x14ac:dyDescent="0.25">
      <c r="A60" s="8">
        <v>42784.336608796293</v>
      </c>
      <c r="B60" s="20" t="s">
        <v>227</v>
      </c>
      <c r="C60" s="20" t="s">
        <v>543</v>
      </c>
      <c r="D60" s="150">
        <v>1100000</v>
      </c>
      <c r="E60" s="20" t="s">
        <v>320</v>
      </c>
      <c r="F60" s="20" t="s">
        <v>321</v>
      </c>
      <c r="G60" s="8" t="str">
        <f t="shared" si="0"/>
        <v>GEBRETEKLE DAGNEW</v>
      </c>
    </row>
    <row r="61" spans="1:7" x14ac:dyDescent="0.25">
      <c r="A61" s="8">
        <v>42784.342847222222</v>
      </c>
      <c r="B61" s="20" t="s">
        <v>234</v>
      </c>
      <c r="C61" s="20" t="s">
        <v>544</v>
      </c>
      <c r="D61" s="150">
        <v>2360000</v>
      </c>
      <c r="E61" s="20" t="s">
        <v>376</v>
      </c>
      <c r="F61" s="20" t="s">
        <v>377</v>
      </c>
      <c r="G61" s="8" t="str">
        <f t="shared" si="0"/>
        <v>BRANDNER MELINDA</v>
      </c>
    </row>
    <row r="62" spans="1:7" x14ac:dyDescent="0.25">
      <c r="A62" s="8">
        <v>42784.348182870373</v>
      </c>
      <c r="B62" s="20" t="s">
        <v>222</v>
      </c>
      <c r="C62" s="20" t="s">
        <v>545</v>
      </c>
      <c r="D62" s="150">
        <v>2140000</v>
      </c>
      <c r="E62" s="20" t="s">
        <v>368</v>
      </c>
      <c r="F62" s="20" t="s">
        <v>369</v>
      </c>
      <c r="G62" s="8" t="str">
        <f t="shared" si="0"/>
        <v>ROBINSON KADDIBA</v>
      </c>
    </row>
    <row r="63" spans="1:7" x14ac:dyDescent="0.25">
      <c r="A63" s="8">
        <v>42784.351458333331</v>
      </c>
      <c r="B63" s="20" t="s">
        <v>192</v>
      </c>
      <c r="C63" s="20" t="s">
        <v>546</v>
      </c>
      <c r="D63" s="150">
        <v>890000</v>
      </c>
      <c r="E63" s="20" t="s">
        <v>322</v>
      </c>
      <c r="F63" s="20" t="s">
        <v>323</v>
      </c>
      <c r="G63" s="8" t="str">
        <f t="shared" si="0"/>
        <v>LOZA FIDEL</v>
      </c>
    </row>
    <row r="64" spans="1:7" x14ac:dyDescent="0.25">
      <c r="A64" s="26">
        <v>42784.356469907405</v>
      </c>
      <c r="B64" s="20" t="s">
        <v>480</v>
      </c>
      <c r="C64" s="20" t="s">
        <v>547</v>
      </c>
      <c r="D64" s="150">
        <v>2010000</v>
      </c>
      <c r="E64" s="20" t="s">
        <v>508</v>
      </c>
      <c r="F64" s="20" t="s">
        <v>509</v>
      </c>
      <c r="G64" s="8" t="str">
        <f t="shared" si="0"/>
        <v>MAELZER KURT</v>
      </c>
    </row>
    <row r="65" spans="1:7" x14ac:dyDescent="0.25">
      <c r="A65" s="8">
        <v>42784.359525462962</v>
      </c>
      <c r="B65" s="20" t="s">
        <v>274</v>
      </c>
      <c r="C65" s="20" t="s">
        <v>548</v>
      </c>
      <c r="D65" s="150">
        <v>2020000</v>
      </c>
      <c r="E65" s="20" t="s">
        <v>370</v>
      </c>
      <c r="F65" s="20" t="s">
        <v>292</v>
      </c>
      <c r="G65" s="8" t="str">
        <f t="shared" si="0"/>
        <v>SHOOK JOHN</v>
      </c>
    </row>
    <row r="66" spans="1:7" x14ac:dyDescent="0.25">
      <c r="A66" s="8">
        <v>42784.363263888888</v>
      </c>
      <c r="B66" s="20" t="s">
        <v>248</v>
      </c>
      <c r="C66" s="20" t="s">
        <v>549</v>
      </c>
      <c r="D66" s="150">
        <v>2550000</v>
      </c>
      <c r="E66" s="20" t="s">
        <v>318</v>
      </c>
      <c r="F66" s="20" t="s">
        <v>319</v>
      </c>
      <c r="G66" s="8" t="str">
        <f t="shared" si="0"/>
        <v>BADERTSCHER DIANE</v>
      </c>
    </row>
    <row r="67" spans="1:7" x14ac:dyDescent="0.25">
      <c r="A67" s="8">
        <v>42784.368692129632</v>
      </c>
      <c r="B67" s="20" t="s">
        <v>290</v>
      </c>
      <c r="C67" s="20" t="s">
        <v>550</v>
      </c>
      <c r="D67" s="150">
        <v>1780000</v>
      </c>
      <c r="E67" s="20" t="s">
        <v>512</v>
      </c>
      <c r="F67" s="20" t="s">
        <v>513</v>
      </c>
      <c r="G67" s="8" t="str">
        <f t="shared" ref="G67:G130" si="1">E67&amp;" "&amp;F67</f>
        <v>DE LA ROSA ALEX</v>
      </c>
    </row>
    <row r="68" spans="1:7" x14ac:dyDescent="0.25">
      <c r="A68" s="8">
        <v>42784.369340277779</v>
      </c>
      <c r="B68" s="20" t="s">
        <v>234</v>
      </c>
      <c r="C68" s="20" t="s">
        <v>544</v>
      </c>
      <c r="D68" s="150">
        <v>2360000</v>
      </c>
      <c r="E68" s="20" t="s">
        <v>376</v>
      </c>
      <c r="F68" s="20" t="s">
        <v>377</v>
      </c>
      <c r="G68" s="8" t="str">
        <f t="shared" si="1"/>
        <v>BRANDNER MELINDA</v>
      </c>
    </row>
    <row r="69" spans="1:7" x14ac:dyDescent="0.25">
      <c r="A69" s="8">
        <v>42784.371712962966</v>
      </c>
      <c r="B69" s="20" t="s">
        <v>265</v>
      </c>
      <c r="C69" s="20" t="s">
        <v>551</v>
      </c>
      <c r="D69" s="150">
        <v>1100000</v>
      </c>
      <c r="E69" s="20" t="s">
        <v>320</v>
      </c>
      <c r="F69" s="20" t="s">
        <v>321</v>
      </c>
      <c r="G69" s="8" t="str">
        <f t="shared" si="1"/>
        <v>GEBRETEKLE DAGNEW</v>
      </c>
    </row>
    <row r="70" spans="1:7" x14ac:dyDescent="0.25">
      <c r="A70" s="8">
        <v>42784.374085648145</v>
      </c>
      <c r="B70" s="20" t="s">
        <v>273</v>
      </c>
      <c r="C70" s="20" t="s">
        <v>552</v>
      </c>
      <c r="D70" s="150">
        <v>2020000</v>
      </c>
      <c r="E70" s="20" t="s">
        <v>370</v>
      </c>
      <c r="F70" s="20" t="s">
        <v>292</v>
      </c>
      <c r="G70" s="8" t="str">
        <f t="shared" si="1"/>
        <v>SHOOK JOHN</v>
      </c>
    </row>
    <row r="71" spans="1:7" x14ac:dyDescent="0.25">
      <c r="A71" s="8">
        <v>42784.380636574075</v>
      </c>
      <c r="B71" s="20" t="s">
        <v>288</v>
      </c>
      <c r="C71" s="20" t="s">
        <v>442</v>
      </c>
      <c r="D71" s="150">
        <v>2360000</v>
      </c>
      <c r="E71" s="20" t="s">
        <v>376</v>
      </c>
      <c r="F71" s="20" t="s">
        <v>377</v>
      </c>
      <c r="G71" s="8" t="str">
        <f t="shared" si="1"/>
        <v>BRANDNER MELINDA</v>
      </c>
    </row>
    <row r="72" spans="1:7" x14ac:dyDescent="0.25">
      <c r="A72" s="8">
        <v>42784.38590277778</v>
      </c>
      <c r="B72" s="20" t="s">
        <v>223</v>
      </c>
      <c r="C72" s="20" t="s">
        <v>441</v>
      </c>
      <c r="D72" s="150">
        <v>2140000</v>
      </c>
      <c r="E72" s="20" t="s">
        <v>368</v>
      </c>
      <c r="F72" s="20" t="s">
        <v>369</v>
      </c>
      <c r="G72" s="8" t="str">
        <f t="shared" si="1"/>
        <v>ROBINSON KADDIBA</v>
      </c>
    </row>
    <row r="73" spans="1:7" x14ac:dyDescent="0.25">
      <c r="A73" s="8">
        <v>42784.389074074075</v>
      </c>
      <c r="B73" s="20" t="s">
        <v>228</v>
      </c>
      <c r="C73" s="20" t="s">
        <v>553</v>
      </c>
      <c r="D73" s="150">
        <v>1290000</v>
      </c>
      <c r="E73" s="20" t="s">
        <v>554</v>
      </c>
      <c r="F73" s="20" t="s">
        <v>292</v>
      </c>
      <c r="G73" s="8" t="str">
        <f t="shared" si="1"/>
        <v>COOLAHAN JOHN</v>
      </c>
    </row>
    <row r="74" spans="1:7" x14ac:dyDescent="0.25">
      <c r="A74" s="8">
        <v>42784.392604166664</v>
      </c>
      <c r="B74" s="20" t="s">
        <v>291</v>
      </c>
      <c r="C74" s="20" t="s">
        <v>555</v>
      </c>
      <c r="D74" s="150">
        <v>890000</v>
      </c>
      <c r="E74" s="20" t="s">
        <v>322</v>
      </c>
      <c r="F74" s="20" t="s">
        <v>323</v>
      </c>
      <c r="G74" s="8" t="str">
        <f t="shared" si="1"/>
        <v>LOZA FIDEL</v>
      </c>
    </row>
    <row r="75" spans="1:7" x14ac:dyDescent="0.25">
      <c r="A75" s="8">
        <v>42784.3984837963</v>
      </c>
      <c r="B75" s="20" t="s">
        <v>244</v>
      </c>
      <c r="C75" s="20" t="s">
        <v>556</v>
      </c>
      <c r="D75" s="150">
        <v>2550000</v>
      </c>
      <c r="E75" s="20" t="s">
        <v>318</v>
      </c>
      <c r="F75" s="20" t="s">
        <v>319</v>
      </c>
      <c r="G75" s="8" t="str">
        <f t="shared" si="1"/>
        <v>BADERTSCHER DIANE</v>
      </c>
    </row>
    <row r="76" spans="1:7" x14ac:dyDescent="0.25">
      <c r="A76" s="8">
        <v>42784.401030092595</v>
      </c>
      <c r="B76" s="20" t="s">
        <v>274</v>
      </c>
      <c r="C76" s="20" t="s">
        <v>557</v>
      </c>
      <c r="D76" s="150">
        <v>2020000</v>
      </c>
      <c r="E76" s="20" t="s">
        <v>370</v>
      </c>
      <c r="F76" s="20" t="s">
        <v>292</v>
      </c>
      <c r="G76" s="8" t="str">
        <f t="shared" si="1"/>
        <v>SHOOK JOHN</v>
      </c>
    </row>
    <row r="77" spans="1:7" x14ac:dyDescent="0.25">
      <c r="A77" s="8">
        <v>42784.407268518517</v>
      </c>
      <c r="B77" s="20" t="s">
        <v>289</v>
      </c>
      <c r="C77" s="20" t="s">
        <v>558</v>
      </c>
      <c r="D77" s="150">
        <v>1780000</v>
      </c>
      <c r="E77" s="20" t="s">
        <v>512</v>
      </c>
      <c r="F77" s="20" t="s">
        <v>513</v>
      </c>
      <c r="G77" s="8" t="str">
        <f t="shared" si="1"/>
        <v>DE LA ROSA ALEX</v>
      </c>
    </row>
    <row r="78" spans="1:7" x14ac:dyDescent="0.25">
      <c r="A78" s="8">
        <v>42784.409629629627</v>
      </c>
      <c r="B78" s="20" t="s">
        <v>227</v>
      </c>
      <c r="C78" s="20" t="s">
        <v>559</v>
      </c>
      <c r="D78" s="150">
        <v>1100000</v>
      </c>
      <c r="E78" s="20" t="s">
        <v>320</v>
      </c>
      <c r="F78" s="20" t="s">
        <v>321</v>
      </c>
      <c r="G78" s="8" t="str">
        <f t="shared" si="1"/>
        <v>GEBRETEKLE DAGNEW</v>
      </c>
    </row>
    <row r="79" spans="1:7" x14ac:dyDescent="0.25">
      <c r="A79" s="8">
        <v>42784.415324074071</v>
      </c>
      <c r="B79" s="20" t="s">
        <v>273</v>
      </c>
      <c r="C79" s="20" t="s">
        <v>560</v>
      </c>
      <c r="D79" s="150">
        <v>2020000</v>
      </c>
      <c r="E79" s="20" t="s">
        <v>370</v>
      </c>
      <c r="F79" s="20" t="s">
        <v>292</v>
      </c>
      <c r="G79" s="8" t="str">
        <f t="shared" si="1"/>
        <v>SHOOK JOHN</v>
      </c>
    </row>
    <row r="80" spans="1:7" x14ac:dyDescent="0.25">
      <c r="A80" s="8">
        <v>42784.416770833333</v>
      </c>
      <c r="B80" s="20" t="s">
        <v>234</v>
      </c>
      <c r="C80" s="20" t="s">
        <v>561</v>
      </c>
      <c r="D80" s="150">
        <v>2360000</v>
      </c>
      <c r="E80" s="20" t="s">
        <v>376</v>
      </c>
      <c r="F80" s="20" t="s">
        <v>377</v>
      </c>
      <c r="G80" s="8" t="str">
        <f t="shared" si="1"/>
        <v>BRANDNER MELINDA</v>
      </c>
    </row>
    <row r="81" spans="1:7" x14ac:dyDescent="0.25">
      <c r="A81" s="8">
        <v>42784.417812500003</v>
      </c>
      <c r="B81" s="20" t="s">
        <v>222</v>
      </c>
      <c r="C81" s="20" t="s">
        <v>562</v>
      </c>
      <c r="D81" s="150">
        <v>2140000</v>
      </c>
      <c r="E81" s="20" t="s">
        <v>368</v>
      </c>
      <c r="F81" s="20" t="s">
        <v>369</v>
      </c>
      <c r="G81" s="8" t="str">
        <f t="shared" si="1"/>
        <v>ROBINSON KADDIBA</v>
      </c>
    </row>
    <row r="82" spans="1:7" x14ac:dyDescent="0.25">
      <c r="A82" s="8">
        <v>42784.424421296295</v>
      </c>
      <c r="B82" s="20" t="s">
        <v>192</v>
      </c>
      <c r="C82" s="20" t="s">
        <v>563</v>
      </c>
      <c r="D82" s="150">
        <v>890000</v>
      </c>
      <c r="E82" s="20" t="s">
        <v>322</v>
      </c>
      <c r="F82" s="20" t="s">
        <v>323</v>
      </c>
      <c r="G82" s="8" t="str">
        <f t="shared" si="1"/>
        <v>LOZA FIDEL</v>
      </c>
    </row>
    <row r="83" spans="1:7" x14ac:dyDescent="0.25">
      <c r="A83" s="8">
        <v>42784.429745370369</v>
      </c>
      <c r="B83" s="20" t="s">
        <v>209</v>
      </c>
      <c r="C83" s="20" t="s">
        <v>446</v>
      </c>
      <c r="D83" s="150">
        <v>1290000</v>
      </c>
      <c r="E83" s="20" t="s">
        <v>554</v>
      </c>
      <c r="F83" s="20" t="s">
        <v>292</v>
      </c>
      <c r="G83" s="8" t="str">
        <f t="shared" si="1"/>
        <v>COOLAHAN JOHN</v>
      </c>
    </row>
    <row r="84" spans="1:7" x14ac:dyDescent="0.25">
      <c r="A84" s="8">
        <v>42784.434907407405</v>
      </c>
      <c r="B84" s="20" t="s">
        <v>248</v>
      </c>
      <c r="C84" s="20" t="s">
        <v>443</v>
      </c>
      <c r="D84" s="150">
        <v>2470000</v>
      </c>
      <c r="E84" s="20" t="s">
        <v>564</v>
      </c>
      <c r="F84" s="20" t="s">
        <v>565</v>
      </c>
      <c r="G84" s="8" t="str">
        <f t="shared" si="1"/>
        <v>ROMERO CHAD</v>
      </c>
    </row>
    <row r="85" spans="1:7" x14ac:dyDescent="0.25">
      <c r="A85" s="8">
        <v>42784.442442129628</v>
      </c>
      <c r="B85" s="20" t="s">
        <v>290</v>
      </c>
      <c r="C85" s="20" t="s">
        <v>566</v>
      </c>
      <c r="D85" s="150">
        <v>1780000</v>
      </c>
      <c r="E85" s="20" t="s">
        <v>512</v>
      </c>
      <c r="F85" s="20" t="s">
        <v>513</v>
      </c>
      <c r="G85" s="8" t="str">
        <f t="shared" si="1"/>
        <v>DE LA ROSA ALEX</v>
      </c>
    </row>
    <row r="86" spans="1:7" x14ac:dyDescent="0.25">
      <c r="A86" s="8">
        <v>42784.442800925928</v>
      </c>
      <c r="B86" s="20" t="s">
        <v>274</v>
      </c>
      <c r="C86" s="20" t="s">
        <v>567</v>
      </c>
      <c r="D86" s="150">
        <v>2020000</v>
      </c>
      <c r="E86" s="20" t="s">
        <v>370</v>
      </c>
      <c r="F86" s="20" t="s">
        <v>292</v>
      </c>
      <c r="G86" s="8" t="str">
        <f t="shared" si="1"/>
        <v>SHOOK JOHN</v>
      </c>
    </row>
    <row r="87" spans="1:7" x14ac:dyDescent="0.25">
      <c r="A87" s="8">
        <v>42784.443576388891</v>
      </c>
      <c r="B87" s="20" t="s">
        <v>265</v>
      </c>
      <c r="C87" s="20" t="s">
        <v>568</v>
      </c>
      <c r="D87" s="150">
        <v>1100000</v>
      </c>
      <c r="E87" s="20" t="s">
        <v>320</v>
      </c>
      <c r="F87" s="20" t="s">
        <v>321</v>
      </c>
      <c r="G87" s="8" t="str">
        <f t="shared" si="1"/>
        <v>GEBRETEKLE DAGNEW</v>
      </c>
    </row>
    <row r="88" spans="1:7" x14ac:dyDescent="0.25">
      <c r="A88" s="8">
        <v>42784.450520833336</v>
      </c>
      <c r="B88" s="20" t="s">
        <v>288</v>
      </c>
      <c r="C88" s="20" t="s">
        <v>569</v>
      </c>
      <c r="D88" s="150">
        <v>2360000</v>
      </c>
      <c r="E88" s="20" t="s">
        <v>376</v>
      </c>
      <c r="F88" s="20" t="s">
        <v>377</v>
      </c>
      <c r="G88" s="8" t="str">
        <f t="shared" si="1"/>
        <v>BRANDNER MELINDA</v>
      </c>
    </row>
    <row r="89" spans="1:7" x14ac:dyDescent="0.25">
      <c r="A89" s="8">
        <v>42784.455254629633</v>
      </c>
      <c r="B89" s="20" t="s">
        <v>223</v>
      </c>
      <c r="C89" s="20" t="s">
        <v>447</v>
      </c>
      <c r="D89" s="150">
        <v>880000</v>
      </c>
      <c r="E89" s="20" t="s">
        <v>570</v>
      </c>
      <c r="F89" s="20" t="s">
        <v>202</v>
      </c>
      <c r="G89" s="8" t="str">
        <f t="shared" si="1"/>
        <v>STEWART MICHAEL</v>
      </c>
    </row>
    <row r="90" spans="1:7" x14ac:dyDescent="0.25">
      <c r="A90" s="8">
        <v>42784.457731481481</v>
      </c>
      <c r="B90" s="20" t="s">
        <v>273</v>
      </c>
      <c r="C90" s="20" t="s">
        <v>571</v>
      </c>
      <c r="D90" s="150">
        <v>2020000</v>
      </c>
      <c r="E90" s="20" t="s">
        <v>370</v>
      </c>
      <c r="F90" s="20" t="s">
        <v>292</v>
      </c>
      <c r="G90" s="8" t="str">
        <f t="shared" si="1"/>
        <v>SHOOK JOHN</v>
      </c>
    </row>
    <row r="91" spans="1:7" x14ac:dyDescent="0.25">
      <c r="A91" s="8">
        <v>42784.4612037037</v>
      </c>
      <c r="B91" s="20" t="s">
        <v>291</v>
      </c>
      <c r="C91" s="20" t="s">
        <v>572</v>
      </c>
      <c r="D91" s="150">
        <v>890000</v>
      </c>
      <c r="E91" s="20" t="s">
        <v>322</v>
      </c>
      <c r="F91" s="20" t="s">
        <v>323</v>
      </c>
      <c r="G91" s="8" t="str">
        <f t="shared" si="1"/>
        <v>LOZA FIDEL</v>
      </c>
    </row>
    <row r="92" spans="1:7" x14ac:dyDescent="0.25">
      <c r="A92" s="8">
        <v>42784.465520833335</v>
      </c>
      <c r="B92" s="20" t="s">
        <v>228</v>
      </c>
      <c r="C92" s="20" t="s">
        <v>573</v>
      </c>
      <c r="D92" s="150">
        <v>920000</v>
      </c>
      <c r="E92" s="20" t="s">
        <v>574</v>
      </c>
      <c r="F92" s="20" t="s">
        <v>202</v>
      </c>
      <c r="G92" s="8" t="str">
        <f t="shared" si="1"/>
        <v>DAVIS MICHAEL</v>
      </c>
    </row>
    <row r="93" spans="1:7" x14ac:dyDescent="0.25">
      <c r="A93" s="8">
        <v>42784.467303240737</v>
      </c>
      <c r="B93" s="20" t="s">
        <v>244</v>
      </c>
      <c r="C93" s="20" t="s">
        <v>575</v>
      </c>
      <c r="D93" s="150">
        <v>2470000</v>
      </c>
      <c r="E93" s="20" t="s">
        <v>564</v>
      </c>
      <c r="F93" s="20" t="s">
        <v>565</v>
      </c>
      <c r="G93" s="8" t="str">
        <f t="shared" si="1"/>
        <v>ROMERO CHAD</v>
      </c>
    </row>
    <row r="94" spans="1:7" x14ac:dyDescent="0.25">
      <c r="A94" s="8">
        <v>42784.476886574077</v>
      </c>
      <c r="B94" s="20" t="s">
        <v>289</v>
      </c>
      <c r="C94" s="20" t="s">
        <v>576</v>
      </c>
      <c r="D94" s="150">
        <v>1770000</v>
      </c>
      <c r="E94" s="20" t="s">
        <v>328</v>
      </c>
      <c r="F94" s="20" t="s">
        <v>329</v>
      </c>
      <c r="G94" s="8" t="str">
        <f t="shared" si="1"/>
        <v>BRUDER RICHARD</v>
      </c>
    </row>
    <row r="95" spans="1:7" x14ac:dyDescent="0.25">
      <c r="A95" s="8">
        <v>42784.479490740741</v>
      </c>
      <c r="B95" s="20" t="s">
        <v>577</v>
      </c>
      <c r="C95" s="20" t="s">
        <v>578</v>
      </c>
      <c r="D95" s="150">
        <v>1300000</v>
      </c>
      <c r="E95" s="20" t="s">
        <v>579</v>
      </c>
      <c r="F95" s="20" t="s">
        <v>580</v>
      </c>
      <c r="G95" s="8" t="str">
        <f t="shared" si="1"/>
        <v>LEVIN SCOTT</v>
      </c>
    </row>
    <row r="96" spans="1:7" x14ac:dyDescent="0.25">
      <c r="A96" s="8">
        <v>42784.481446759259</v>
      </c>
      <c r="B96" s="20" t="s">
        <v>227</v>
      </c>
      <c r="C96" s="20" t="s">
        <v>449</v>
      </c>
      <c r="D96" s="150">
        <v>1100000</v>
      </c>
      <c r="E96" s="20" t="s">
        <v>320</v>
      </c>
      <c r="F96" s="20" t="s">
        <v>321</v>
      </c>
      <c r="G96" s="8" t="str">
        <f t="shared" si="1"/>
        <v>GEBRETEKLE DAGNEW</v>
      </c>
    </row>
    <row r="97" spans="1:7" x14ac:dyDescent="0.25">
      <c r="A97" s="8">
        <v>42784.484756944446</v>
      </c>
      <c r="B97" s="20" t="s">
        <v>274</v>
      </c>
      <c r="C97" s="20" t="s">
        <v>581</v>
      </c>
      <c r="D97" s="150">
        <v>2020000</v>
      </c>
      <c r="E97" s="20" t="s">
        <v>370</v>
      </c>
      <c r="F97" s="20" t="s">
        <v>292</v>
      </c>
      <c r="G97" s="8" t="str">
        <f t="shared" si="1"/>
        <v>SHOOK JOHN</v>
      </c>
    </row>
    <row r="98" spans="1:7" x14ac:dyDescent="0.25">
      <c r="A98" s="8">
        <v>42784.485902777778</v>
      </c>
      <c r="B98" s="20" t="s">
        <v>234</v>
      </c>
      <c r="C98" s="20" t="s">
        <v>450</v>
      </c>
      <c r="D98" s="150">
        <v>2030000</v>
      </c>
      <c r="E98" s="20" t="s">
        <v>372</v>
      </c>
      <c r="F98" s="20" t="s">
        <v>293</v>
      </c>
      <c r="G98" s="8" t="str">
        <f t="shared" si="1"/>
        <v>KILLION DAVID</v>
      </c>
    </row>
    <row r="99" spans="1:7" x14ac:dyDescent="0.25">
      <c r="A99" s="8">
        <v>42784.494837962964</v>
      </c>
      <c r="B99" s="20" t="s">
        <v>222</v>
      </c>
      <c r="C99" s="20" t="s">
        <v>451</v>
      </c>
      <c r="D99" s="150">
        <v>880000</v>
      </c>
      <c r="E99" s="20" t="s">
        <v>570</v>
      </c>
      <c r="F99" s="20" t="s">
        <v>202</v>
      </c>
      <c r="G99" s="8" t="str">
        <f t="shared" si="1"/>
        <v>STEWART MICHAEL</v>
      </c>
    </row>
    <row r="100" spans="1:7" x14ac:dyDescent="0.25">
      <c r="A100" s="8">
        <v>42784.495451388888</v>
      </c>
      <c r="B100" s="20" t="s">
        <v>192</v>
      </c>
      <c r="C100" s="20" t="s">
        <v>448</v>
      </c>
      <c r="D100" s="150">
        <v>1300000</v>
      </c>
      <c r="E100" s="20" t="s">
        <v>579</v>
      </c>
      <c r="F100" s="20" t="s">
        <v>580</v>
      </c>
      <c r="G100" s="8" t="str">
        <f t="shared" si="1"/>
        <v>LEVIN SCOTT</v>
      </c>
    </row>
    <row r="101" spans="1:7" x14ac:dyDescent="0.25">
      <c r="A101" s="8">
        <v>42784.498576388891</v>
      </c>
      <c r="B101" s="20" t="s">
        <v>273</v>
      </c>
      <c r="C101" s="20" t="s">
        <v>452</v>
      </c>
      <c r="D101" s="150">
        <v>2020000</v>
      </c>
      <c r="E101" s="20" t="s">
        <v>370</v>
      </c>
      <c r="F101" s="20" t="s">
        <v>292</v>
      </c>
      <c r="G101" s="8" t="str">
        <f t="shared" si="1"/>
        <v>SHOOK JOHN</v>
      </c>
    </row>
    <row r="102" spans="1:7" x14ac:dyDescent="0.25">
      <c r="A102" s="8">
        <v>42784.4997337963</v>
      </c>
      <c r="B102" s="20" t="s">
        <v>378</v>
      </c>
      <c r="C102" s="20" t="s">
        <v>582</v>
      </c>
      <c r="D102" s="150">
        <v>890000</v>
      </c>
      <c r="E102" s="20" t="s">
        <v>322</v>
      </c>
      <c r="F102" s="20" t="s">
        <v>323</v>
      </c>
      <c r="G102" s="8" t="str">
        <f t="shared" si="1"/>
        <v>LOZA FIDEL</v>
      </c>
    </row>
    <row r="103" spans="1:7" x14ac:dyDescent="0.25">
      <c r="A103" s="8">
        <v>42784.505057870374</v>
      </c>
      <c r="B103" s="20" t="s">
        <v>248</v>
      </c>
      <c r="C103" s="20" t="s">
        <v>453</v>
      </c>
      <c r="D103" s="150">
        <v>2470000</v>
      </c>
      <c r="E103" s="20" t="s">
        <v>564</v>
      </c>
      <c r="F103" s="20" t="s">
        <v>565</v>
      </c>
      <c r="G103" s="8" t="str">
        <f t="shared" si="1"/>
        <v>ROMERO CHAD</v>
      </c>
    </row>
    <row r="104" spans="1:7" x14ac:dyDescent="0.25">
      <c r="A104" s="8">
        <v>42784.505706018521</v>
      </c>
      <c r="B104" s="20" t="s">
        <v>209</v>
      </c>
      <c r="C104" s="20" t="s">
        <v>583</v>
      </c>
      <c r="D104" s="150">
        <v>920000</v>
      </c>
      <c r="E104" s="20" t="s">
        <v>574</v>
      </c>
      <c r="F104" s="20" t="s">
        <v>202</v>
      </c>
      <c r="G104" s="8" t="str">
        <f t="shared" si="1"/>
        <v>DAVIS MICHAEL</v>
      </c>
    </row>
    <row r="105" spans="1:7" x14ac:dyDescent="0.25">
      <c r="A105" s="8">
        <v>42784.513981481483</v>
      </c>
      <c r="B105" s="20" t="s">
        <v>290</v>
      </c>
      <c r="C105" s="20" t="s">
        <v>584</v>
      </c>
      <c r="D105" s="150">
        <v>1770000</v>
      </c>
      <c r="E105" s="20" t="s">
        <v>328</v>
      </c>
      <c r="F105" s="20" t="s">
        <v>329</v>
      </c>
      <c r="G105" s="8" t="str">
        <f t="shared" si="1"/>
        <v>BRUDER RICHARD</v>
      </c>
    </row>
    <row r="106" spans="1:7" x14ac:dyDescent="0.25">
      <c r="A106" s="8">
        <v>42784.51766203704</v>
      </c>
      <c r="B106" s="20" t="s">
        <v>265</v>
      </c>
      <c r="C106" s="20" t="s">
        <v>585</v>
      </c>
      <c r="D106" s="150">
        <v>1190000</v>
      </c>
      <c r="E106" s="20" t="s">
        <v>326</v>
      </c>
      <c r="F106" s="20" t="s">
        <v>327</v>
      </c>
      <c r="G106" s="8" t="str">
        <f t="shared" si="1"/>
        <v>BRANNON JEFFREY</v>
      </c>
    </row>
    <row r="107" spans="1:7" x14ac:dyDescent="0.25">
      <c r="A107" s="8">
        <v>42784.5234375</v>
      </c>
      <c r="B107" s="20" t="s">
        <v>288</v>
      </c>
      <c r="C107" s="20" t="s">
        <v>586</v>
      </c>
      <c r="D107" s="150">
        <v>2030000</v>
      </c>
      <c r="E107" s="20" t="s">
        <v>372</v>
      </c>
      <c r="F107" s="20" t="s">
        <v>293</v>
      </c>
      <c r="G107" s="8" t="str">
        <f t="shared" si="1"/>
        <v>KILLION DAVID</v>
      </c>
    </row>
    <row r="108" spans="1:7" x14ac:dyDescent="0.25">
      <c r="A108" s="8">
        <v>42784.526145833333</v>
      </c>
      <c r="B108" s="20" t="s">
        <v>274</v>
      </c>
      <c r="C108" s="20" t="s">
        <v>587</v>
      </c>
      <c r="D108" s="150">
        <v>2020000</v>
      </c>
      <c r="E108" s="20" t="s">
        <v>370</v>
      </c>
      <c r="F108" s="20" t="s">
        <v>292</v>
      </c>
      <c r="G108" s="8" t="str">
        <f t="shared" si="1"/>
        <v>SHOOK JOHN</v>
      </c>
    </row>
    <row r="109" spans="1:7" x14ac:dyDescent="0.25">
      <c r="A109" s="8">
        <v>42784.526921296296</v>
      </c>
      <c r="B109" s="20" t="s">
        <v>223</v>
      </c>
      <c r="C109" s="20" t="s">
        <v>454</v>
      </c>
      <c r="D109" s="150">
        <v>880000</v>
      </c>
      <c r="E109" s="20" t="s">
        <v>570</v>
      </c>
      <c r="F109" s="20" t="s">
        <v>202</v>
      </c>
      <c r="G109" s="8" t="str">
        <f t="shared" si="1"/>
        <v>STEWART MICHAEL</v>
      </c>
    </row>
    <row r="110" spans="1:7" x14ac:dyDescent="0.25">
      <c r="A110" s="8">
        <v>42784.535567129627</v>
      </c>
      <c r="B110" s="20" t="s">
        <v>291</v>
      </c>
      <c r="C110" s="20" t="s">
        <v>455</v>
      </c>
      <c r="D110" s="150">
        <v>1300000</v>
      </c>
      <c r="E110" s="20" t="s">
        <v>579</v>
      </c>
      <c r="F110" s="20" t="s">
        <v>580</v>
      </c>
      <c r="G110" s="8" t="str">
        <f t="shared" si="1"/>
        <v>LEVIN SCOTT</v>
      </c>
    </row>
    <row r="111" spans="1:7" x14ac:dyDescent="0.25">
      <c r="A111" s="8">
        <v>42784.536736111113</v>
      </c>
      <c r="B111" s="20" t="s">
        <v>244</v>
      </c>
      <c r="C111" s="20" t="s">
        <v>588</v>
      </c>
      <c r="D111" s="150">
        <v>2470000</v>
      </c>
      <c r="E111" s="20" t="s">
        <v>564</v>
      </c>
      <c r="F111" s="20" t="s">
        <v>565</v>
      </c>
      <c r="G111" s="8" t="str">
        <f t="shared" si="1"/>
        <v>ROMERO CHAD</v>
      </c>
    </row>
    <row r="112" spans="1:7" x14ac:dyDescent="0.25">
      <c r="A112" s="8">
        <v>42784.540208333332</v>
      </c>
      <c r="B112" s="20" t="s">
        <v>273</v>
      </c>
      <c r="C112" s="20" t="s">
        <v>589</v>
      </c>
      <c r="D112" s="150">
        <v>2020000</v>
      </c>
      <c r="E112" s="20" t="s">
        <v>370</v>
      </c>
      <c r="F112" s="20" t="s">
        <v>292</v>
      </c>
      <c r="G112" s="8" t="str">
        <f t="shared" si="1"/>
        <v>SHOOK JOHN</v>
      </c>
    </row>
    <row r="113" spans="1:7" x14ac:dyDescent="0.25">
      <c r="A113" s="8">
        <v>42784.540335648147</v>
      </c>
      <c r="B113" s="20" t="s">
        <v>228</v>
      </c>
      <c r="C113" s="20" t="s">
        <v>590</v>
      </c>
      <c r="D113" s="150">
        <v>920000</v>
      </c>
      <c r="E113" s="20" t="s">
        <v>574</v>
      </c>
      <c r="F113" s="20" t="s">
        <v>202</v>
      </c>
      <c r="G113" s="8" t="str">
        <f t="shared" si="1"/>
        <v>DAVIS MICHAEL</v>
      </c>
    </row>
    <row r="114" spans="1:7" x14ac:dyDescent="0.25">
      <c r="A114" s="8">
        <v>42784.54760416667</v>
      </c>
      <c r="B114" s="20" t="s">
        <v>289</v>
      </c>
      <c r="C114" s="20" t="s">
        <v>591</v>
      </c>
      <c r="D114" s="150">
        <v>1770000</v>
      </c>
      <c r="E114" s="20" t="s">
        <v>328</v>
      </c>
      <c r="F114" s="20" t="s">
        <v>329</v>
      </c>
      <c r="G114" s="8" t="str">
        <f t="shared" si="1"/>
        <v>BRUDER RICHARD</v>
      </c>
    </row>
    <row r="115" spans="1:7" x14ac:dyDescent="0.25">
      <c r="A115" s="8">
        <v>42784.549479166664</v>
      </c>
      <c r="B115" s="20" t="s">
        <v>227</v>
      </c>
      <c r="C115" s="20" t="s">
        <v>457</v>
      </c>
      <c r="D115" s="150">
        <v>1190000</v>
      </c>
      <c r="E115" s="20" t="s">
        <v>326</v>
      </c>
      <c r="F115" s="20" t="s">
        <v>327</v>
      </c>
      <c r="G115" s="8" t="str">
        <f t="shared" si="1"/>
        <v>BRANNON JEFFREY</v>
      </c>
    </row>
    <row r="116" spans="1:7" x14ac:dyDescent="0.25">
      <c r="A116" s="8">
        <v>42784.557523148149</v>
      </c>
      <c r="B116" s="20" t="s">
        <v>234</v>
      </c>
      <c r="C116" s="20" t="s">
        <v>592</v>
      </c>
      <c r="D116" s="150">
        <v>2030000</v>
      </c>
      <c r="E116" s="20" t="s">
        <v>372</v>
      </c>
      <c r="F116" s="20" t="s">
        <v>293</v>
      </c>
      <c r="G116" s="8" t="str">
        <f t="shared" si="1"/>
        <v>KILLION DAVID</v>
      </c>
    </row>
    <row r="117" spans="1:7" x14ac:dyDescent="0.25">
      <c r="A117" s="8">
        <v>42784.566990740743</v>
      </c>
      <c r="B117" s="20" t="s">
        <v>222</v>
      </c>
      <c r="C117" s="20" t="s">
        <v>593</v>
      </c>
      <c r="D117" s="150">
        <v>880000</v>
      </c>
      <c r="E117" s="20" t="s">
        <v>570</v>
      </c>
      <c r="F117" s="20" t="s">
        <v>202</v>
      </c>
      <c r="G117" s="8" t="str">
        <f t="shared" si="1"/>
        <v>STEWART MICHAEL</v>
      </c>
    </row>
    <row r="118" spans="1:7" x14ac:dyDescent="0.25">
      <c r="A118" s="8">
        <v>42784.567777777775</v>
      </c>
      <c r="B118" s="20" t="s">
        <v>274</v>
      </c>
      <c r="C118" s="20" t="s">
        <v>594</v>
      </c>
      <c r="D118" s="150">
        <v>2020000</v>
      </c>
      <c r="E118" s="20" t="s">
        <v>370</v>
      </c>
      <c r="F118" s="20" t="s">
        <v>292</v>
      </c>
      <c r="G118" s="8" t="str">
        <f t="shared" si="1"/>
        <v>SHOOK JOHN</v>
      </c>
    </row>
    <row r="119" spans="1:7" x14ac:dyDescent="0.25">
      <c r="A119" s="8">
        <v>42784.569189814814</v>
      </c>
      <c r="B119" s="20" t="s">
        <v>192</v>
      </c>
      <c r="C119" s="20" t="s">
        <v>456</v>
      </c>
      <c r="D119" s="150">
        <v>1300000</v>
      </c>
      <c r="E119" s="20" t="s">
        <v>579</v>
      </c>
      <c r="F119" s="20" t="s">
        <v>580</v>
      </c>
      <c r="G119" s="8" t="str">
        <f t="shared" si="1"/>
        <v>LEVIN SCOTT</v>
      </c>
    </row>
    <row r="120" spans="1:7" x14ac:dyDescent="0.25">
      <c r="A120" s="8">
        <v>42784.576689814814</v>
      </c>
      <c r="B120" s="20" t="s">
        <v>248</v>
      </c>
      <c r="C120" s="20" t="s">
        <v>595</v>
      </c>
      <c r="D120" s="150">
        <v>2370000</v>
      </c>
      <c r="E120" s="20" t="s">
        <v>596</v>
      </c>
      <c r="F120" s="20" t="s">
        <v>597</v>
      </c>
      <c r="G120" s="8" t="str">
        <f t="shared" si="1"/>
        <v>DELGADO DIANAH</v>
      </c>
    </row>
    <row r="121" spans="1:7" x14ac:dyDescent="0.25">
      <c r="A121" s="8">
        <v>42784.578900462962</v>
      </c>
      <c r="B121" s="20" t="s">
        <v>290</v>
      </c>
      <c r="C121" s="20" t="s">
        <v>598</v>
      </c>
      <c r="D121" s="150">
        <v>2440000</v>
      </c>
      <c r="E121" s="20" t="s">
        <v>599</v>
      </c>
      <c r="F121" s="20" t="s">
        <v>600</v>
      </c>
      <c r="G121" s="8" t="str">
        <f t="shared" si="1"/>
        <v>LOPES KIMBERLY</v>
      </c>
    </row>
    <row r="122" spans="1:7" x14ac:dyDescent="0.25">
      <c r="A122" s="8">
        <v>42784.579236111109</v>
      </c>
      <c r="B122" s="25" t="s">
        <v>209</v>
      </c>
      <c r="C122" s="20" t="s">
        <v>458</v>
      </c>
      <c r="D122" s="150">
        <v>920000</v>
      </c>
      <c r="E122" s="20" t="s">
        <v>574</v>
      </c>
      <c r="F122" s="20" t="s">
        <v>202</v>
      </c>
      <c r="G122" s="8" t="str">
        <f t="shared" si="1"/>
        <v>DAVIS MICHAEL</v>
      </c>
    </row>
    <row r="123" spans="1:7" x14ac:dyDescent="0.25">
      <c r="A123" s="8">
        <v>42784.590185185189</v>
      </c>
      <c r="B123" s="20" t="s">
        <v>265</v>
      </c>
      <c r="C123" s="20" t="s">
        <v>601</v>
      </c>
      <c r="D123" s="150">
        <v>2530000</v>
      </c>
      <c r="E123" s="20" t="s">
        <v>602</v>
      </c>
      <c r="F123" s="20" t="s">
        <v>603</v>
      </c>
      <c r="G123" s="8" t="str">
        <f t="shared" si="1"/>
        <v>LALONDE GREGORY</v>
      </c>
    </row>
    <row r="124" spans="1:7" x14ac:dyDescent="0.25">
      <c r="A124" s="8">
        <v>42784.591608796298</v>
      </c>
      <c r="B124" s="20" t="s">
        <v>273</v>
      </c>
      <c r="C124" s="20" t="s">
        <v>604</v>
      </c>
      <c r="D124" s="150">
        <v>1540000</v>
      </c>
      <c r="E124" s="20" t="s">
        <v>324</v>
      </c>
      <c r="F124" s="20" t="s">
        <v>325</v>
      </c>
      <c r="G124" s="8" t="str">
        <f t="shared" si="1"/>
        <v>HELVIE ADAM</v>
      </c>
    </row>
    <row r="125" spans="1:7" x14ac:dyDescent="0.25">
      <c r="A125" s="8">
        <v>42784.599432870367</v>
      </c>
      <c r="B125" s="20" t="s">
        <v>288</v>
      </c>
      <c r="C125" s="20" t="s">
        <v>459</v>
      </c>
      <c r="D125" s="150">
        <v>2030000</v>
      </c>
      <c r="E125" s="20" t="s">
        <v>372</v>
      </c>
      <c r="F125" s="20" t="s">
        <v>293</v>
      </c>
      <c r="G125" s="8" t="str">
        <f t="shared" si="1"/>
        <v>KILLION DAVID</v>
      </c>
    </row>
    <row r="126" spans="1:7" x14ac:dyDescent="0.25">
      <c r="A126" s="8">
        <v>42784.600925925923</v>
      </c>
      <c r="B126" s="20" t="s">
        <v>223</v>
      </c>
      <c r="C126" s="20" t="s">
        <v>605</v>
      </c>
      <c r="D126" s="150">
        <v>880000</v>
      </c>
      <c r="E126" s="20" t="s">
        <v>570</v>
      </c>
      <c r="F126" s="20" t="s">
        <v>202</v>
      </c>
      <c r="G126" s="8" t="str">
        <f t="shared" si="1"/>
        <v>STEWART MICHAEL</v>
      </c>
    </row>
    <row r="127" spans="1:7" x14ac:dyDescent="0.25">
      <c r="A127" s="8">
        <v>42784.607349537036</v>
      </c>
      <c r="B127" s="20" t="s">
        <v>291</v>
      </c>
      <c r="C127" s="20" t="s">
        <v>606</v>
      </c>
      <c r="D127" s="150">
        <v>1300000</v>
      </c>
      <c r="E127" s="20" t="s">
        <v>579</v>
      </c>
      <c r="F127" s="20" t="s">
        <v>580</v>
      </c>
      <c r="G127" s="8" t="str">
        <f t="shared" si="1"/>
        <v>LEVIN SCOTT</v>
      </c>
    </row>
    <row r="128" spans="1:7" x14ac:dyDescent="0.25">
      <c r="A128" s="8">
        <v>42784.609166666669</v>
      </c>
      <c r="B128" s="20" t="s">
        <v>274</v>
      </c>
      <c r="C128" s="20" t="s">
        <v>607</v>
      </c>
      <c r="D128" s="150">
        <v>1540000</v>
      </c>
      <c r="E128" s="20" t="s">
        <v>324</v>
      </c>
      <c r="F128" s="20" t="s">
        <v>325</v>
      </c>
      <c r="G128" s="8" t="str">
        <f t="shared" si="1"/>
        <v>HELVIE ADAM</v>
      </c>
    </row>
    <row r="129" spans="1:7" x14ac:dyDescent="0.25">
      <c r="A129" s="8">
        <v>42784.613495370373</v>
      </c>
      <c r="B129" s="20" t="s">
        <v>228</v>
      </c>
      <c r="C129" s="20" t="s">
        <v>460</v>
      </c>
      <c r="D129" s="150">
        <v>920000</v>
      </c>
      <c r="E129" s="20" t="s">
        <v>574</v>
      </c>
      <c r="F129" s="20" t="s">
        <v>202</v>
      </c>
      <c r="G129" s="8" t="str">
        <f t="shared" si="1"/>
        <v>DAVIS MICHAEL</v>
      </c>
    </row>
    <row r="130" spans="1:7" x14ac:dyDescent="0.25">
      <c r="A130" s="8">
        <v>42784.613680555558</v>
      </c>
      <c r="B130" s="20" t="s">
        <v>244</v>
      </c>
      <c r="C130" s="20" t="s">
        <v>608</v>
      </c>
      <c r="D130" s="150">
        <v>2370000</v>
      </c>
      <c r="E130" s="20" t="s">
        <v>596</v>
      </c>
      <c r="F130" s="20" t="s">
        <v>597</v>
      </c>
      <c r="G130" s="8" t="str">
        <f t="shared" si="1"/>
        <v>DELGADO DIANAH</v>
      </c>
    </row>
    <row r="131" spans="1:7" x14ac:dyDescent="0.25">
      <c r="A131" s="8">
        <v>42784.61954861111</v>
      </c>
      <c r="B131" s="20" t="s">
        <v>289</v>
      </c>
      <c r="C131" s="20" t="s">
        <v>609</v>
      </c>
      <c r="D131" s="150">
        <v>2440000</v>
      </c>
      <c r="E131" s="20" t="s">
        <v>599</v>
      </c>
      <c r="F131" s="20" t="s">
        <v>600</v>
      </c>
      <c r="G131" s="8" t="str">
        <f t="shared" ref="G131:G194" si="2">E131&amp;" "&amp;F131</f>
        <v>LOPES KIMBERLY</v>
      </c>
    </row>
    <row r="132" spans="1:7" x14ac:dyDescent="0.25">
      <c r="A132" s="8">
        <v>42784.623310185183</v>
      </c>
      <c r="B132" s="20" t="s">
        <v>227</v>
      </c>
      <c r="C132" s="20" t="s">
        <v>610</v>
      </c>
      <c r="D132" s="150">
        <v>2530000</v>
      </c>
      <c r="E132" s="20" t="s">
        <v>602</v>
      </c>
      <c r="F132" s="20" t="s">
        <v>603</v>
      </c>
      <c r="G132" s="8" t="str">
        <f t="shared" si="2"/>
        <v>LALONDE GREGORY</v>
      </c>
    </row>
    <row r="133" spans="1:7" x14ac:dyDescent="0.25">
      <c r="A133" s="8">
        <v>42784.632708333331</v>
      </c>
      <c r="B133" s="20" t="s">
        <v>234</v>
      </c>
      <c r="C133" s="20" t="s">
        <v>611</v>
      </c>
      <c r="D133" s="150">
        <v>2030000</v>
      </c>
      <c r="E133" s="20" t="s">
        <v>372</v>
      </c>
      <c r="F133" s="20" t="s">
        <v>293</v>
      </c>
      <c r="G133" s="8" t="str">
        <f t="shared" si="2"/>
        <v>KILLION DAVID</v>
      </c>
    </row>
    <row r="134" spans="1:7" x14ac:dyDescent="0.25">
      <c r="A134" s="8">
        <v>42784.637997685182</v>
      </c>
      <c r="B134" s="20" t="s">
        <v>273</v>
      </c>
      <c r="C134" s="20" t="s">
        <v>612</v>
      </c>
      <c r="D134" s="150">
        <v>1540000</v>
      </c>
      <c r="E134" s="20" t="s">
        <v>324</v>
      </c>
      <c r="F134" s="20" t="s">
        <v>325</v>
      </c>
      <c r="G134" s="8" t="str">
        <f t="shared" si="2"/>
        <v>HELVIE ADAM</v>
      </c>
    </row>
    <row r="135" spans="1:7" x14ac:dyDescent="0.25">
      <c r="A135" s="8">
        <v>42784.641608796293</v>
      </c>
      <c r="B135" s="20" t="s">
        <v>222</v>
      </c>
      <c r="C135" s="20" t="s">
        <v>613</v>
      </c>
      <c r="D135" s="150">
        <v>880000</v>
      </c>
      <c r="E135" s="20" t="s">
        <v>570</v>
      </c>
      <c r="F135" s="20" t="s">
        <v>202</v>
      </c>
      <c r="G135" s="8" t="str">
        <f t="shared" si="2"/>
        <v>STEWART MICHAEL</v>
      </c>
    </row>
    <row r="136" spans="1:7" x14ac:dyDescent="0.25">
      <c r="A136" s="8">
        <v>42784.643321759257</v>
      </c>
      <c r="B136" s="20" t="s">
        <v>192</v>
      </c>
      <c r="C136" s="20" t="s">
        <v>614</v>
      </c>
      <c r="D136" s="150">
        <v>1300000</v>
      </c>
      <c r="E136" s="20" t="s">
        <v>579</v>
      </c>
      <c r="F136" s="20" t="s">
        <v>580</v>
      </c>
      <c r="G136" s="8" t="str">
        <f t="shared" si="2"/>
        <v>LEVIN SCOTT</v>
      </c>
    </row>
    <row r="137" spans="1:7" x14ac:dyDescent="0.25">
      <c r="A137" s="8">
        <v>42784.651064814818</v>
      </c>
      <c r="B137" s="20" t="s">
        <v>274</v>
      </c>
      <c r="C137" s="20" t="s">
        <v>615</v>
      </c>
      <c r="D137" s="150">
        <v>1540000</v>
      </c>
      <c r="E137" s="20" t="s">
        <v>324</v>
      </c>
      <c r="F137" s="20" t="s">
        <v>325</v>
      </c>
      <c r="G137" s="8" t="str">
        <f t="shared" si="2"/>
        <v>HELVIE ADAM</v>
      </c>
    </row>
    <row r="138" spans="1:7" x14ac:dyDescent="0.25">
      <c r="A138" s="8">
        <v>42784.651203703703</v>
      </c>
      <c r="B138" s="20" t="s">
        <v>209</v>
      </c>
      <c r="C138" s="20" t="s">
        <v>616</v>
      </c>
      <c r="D138" s="150">
        <v>920000</v>
      </c>
      <c r="E138" s="20" t="s">
        <v>574</v>
      </c>
      <c r="F138" s="20" t="s">
        <v>202</v>
      </c>
      <c r="G138" s="8" t="str">
        <f t="shared" si="2"/>
        <v>DAVIS MICHAEL</v>
      </c>
    </row>
    <row r="139" spans="1:7" x14ac:dyDescent="0.25">
      <c r="A139" s="8">
        <v>42784.652175925927</v>
      </c>
      <c r="B139" s="20" t="s">
        <v>248</v>
      </c>
      <c r="C139" s="20" t="s">
        <v>617</v>
      </c>
      <c r="D139" s="150">
        <v>2370000</v>
      </c>
      <c r="E139" s="20" t="s">
        <v>596</v>
      </c>
      <c r="F139" s="20" t="s">
        <v>597</v>
      </c>
      <c r="G139" s="8" t="str">
        <f t="shared" si="2"/>
        <v>DELGADO DIANAH</v>
      </c>
    </row>
    <row r="140" spans="1:7" x14ac:dyDescent="0.25">
      <c r="A140" s="8">
        <v>42784.654918981483</v>
      </c>
      <c r="B140" s="20" t="s">
        <v>290</v>
      </c>
      <c r="C140" s="20" t="s">
        <v>618</v>
      </c>
      <c r="D140" s="150">
        <v>2440000</v>
      </c>
      <c r="E140" s="20" t="s">
        <v>599</v>
      </c>
      <c r="F140" s="20" t="s">
        <v>600</v>
      </c>
      <c r="G140" s="8" t="str">
        <f t="shared" si="2"/>
        <v>LOPES KIMBERLY</v>
      </c>
    </row>
    <row r="141" spans="1:7" x14ac:dyDescent="0.25">
      <c r="A141" s="8">
        <v>42784.665717592594</v>
      </c>
      <c r="B141" s="20" t="s">
        <v>437</v>
      </c>
      <c r="C141" s="20" t="s">
        <v>619</v>
      </c>
      <c r="D141" s="150">
        <v>1190000</v>
      </c>
      <c r="E141" s="20" t="s">
        <v>326</v>
      </c>
      <c r="F141" s="20" t="s">
        <v>327</v>
      </c>
      <c r="G141" s="8" t="str">
        <f t="shared" si="2"/>
        <v>BRANNON JEFFREY</v>
      </c>
    </row>
    <row r="142" spans="1:7" x14ac:dyDescent="0.25">
      <c r="A142" s="8">
        <v>42784.667256944442</v>
      </c>
      <c r="B142" s="20" t="s">
        <v>288</v>
      </c>
      <c r="C142" s="20" t="s">
        <v>620</v>
      </c>
      <c r="D142" s="150">
        <v>2030000</v>
      </c>
      <c r="E142" s="20" t="s">
        <v>372</v>
      </c>
      <c r="F142" s="20" t="s">
        <v>293</v>
      </c>
      <c r="G142" s="8" t="str">
        <f t="shared" si="2"/>
        <v>KILLION DAVID</v>
      </c>
    </row>
    <row r="143" spans="1:7" x14ac:dyDescent="0.25">
      <c r="A143" s="8">
        <v>42784.67396990741</v>
      </c>
      <c r="B143" s="20" t="s">
        <v>273</v>
      </c>
      <c r="C143" s="20" t="s">
        <v>461</v>
      </c>
      <c r="D143" s="150">
        <v>2450000</v>
      </c>
      <c r="E143" s="20" t="s">
        <v>239</v>
      </c>
      <c r="F143" s="20" t="s">
        <v>240</v>
      </c>
      <c r="G143" s="8" t="str">
        <f t="shared" si="2"/>
        <v>NELSON ARIANE</v>
      </c>
    </row>
    <row r="144" spans="1:7" x14ac:dyDescent="0.25">
      <c r="A144" s="8">
        <v>42784.674270833333</v>
      </c>
      <c r="B144" s="20" t="s">
        <v>223</v>
      </c>
      <c r="C144" s="20" t="s">
        <v>621</v>
      </c>
      <c r="D144" s="150">
        <v>880000</v>
      </c>
      <c r="E144" s="20" t="s">
        <v>570</v>
      </c>
      <c r="F144" s="20" t="s">
        <v>202</v>
      </c>
      <c r="G144" s="8" t="str">
        <f t="shared" si="2"/>
        <v>STEWART MICHAEL</v>
      </c>
    </row>
    <row r="145" spans="1:7" x14ac:dyDescent="0.25">
      <c r="A145" s="8">
        <v>42784.679699074077</v>
      </c>
      <c r="B145" s="20" t="s">
        <v>291</v>
      </c>
      <c r="C145" s="20" t="s">
        <v>622</v>
      </c>
      <c r="D145" s="150">
        <v>1300000</v>
      </c>
      <c r="E145" s="20" t="s">
        <v>579</v>
      </c>
      <c r="F145" s="20" t="s">
        <v>580</v>
      </c>
      <c r="G145" s="8" t="str">
        <f t="shared" si="2"/>
        <v>LEVIN SCOTT</v>
      </c>
    </row>
    <row r="146" spans="1:7" x14ac:dyDescent="0.25">
      <c r="A146" s="8">
        <v>42784.683680555558</v>
      </c>
      <c r="B146" s="20" t="s">
        <v>228</v>
      </c>
      <c r="C146" s="20" t="s">
        <v>623</v>
      </c>
      <c r="D146" s="150">
        <v>920000</v>
      </c>
      <c r="E146" s="20" t="s">
        <v>574</v>
      </c>
      <c r="F146" s="20" t="s">
        <v>202</v>
      </c>
      <c r="G146" s="8" t="str">
        <f t="shared" si="2"/>
        <v>DAVIS MICHAEL</v>
      </c>
    </row>
    <row r="147" spans="1:7" x14ac:dyDescent="0.25">
      <c r="A147" s="8">
        <v>42784.685636574075</v>
      </c>
      <c r="B147" s="20" t="s">
        <v>244</v>
      </c>
      <c r="C147" s="20" t="s">
        <v>624</v>
      </c>
      <c r="D147" s="150">
        <v>2370000</v>
      </c>
      <c r="E147" s="20" t="s">
        <v>596</v>
      </c>
      <c r="F147" s="20" t="s">
        <v>597</v>
      </c>
      <c r="G147" s="8" t="str">
        <f t="shared" si="2"/>
        <v>DELGADO DIANAH</v>
      </c>
    </row>
    <row r="148" spans="1:7" x14ac:dyDescent="0.25">
      <c r="A148" s="8">
        <v>42784.692708333336</v>
      </c>
      <c r="B148" s="20" t="s">
        <v>289</v>
      </c>
      <c r="C148" s="20" t="s">
        <v>625</v>
      </c>
      <c r="D148" s="150">
        <v>1770000</v>
      </c>
      <c r="E148" s="20" t="s">
        <v>328</v>
      </c>
      <c r="F148" s="20" t="s">
        <v>329</v>
      </c>
      <c r="G148" s="8" t="str">
        <f t="shared" si="2"/>
        <v>BRUDER RICHARD</v>
      </c>
    </row>
    <row r="149" spans="1:7" x14ac:dyDescent="0.25">
      <c r="A149" s="8">
        <v>42784.693888888891</v>
      </c>
      <c r="B149" s="20" t="s">
        <v>274</v>
      </c>
      <c r="C149" s="20" t="s">
        <v>462</v>
      </c>
      <c r="D149" s="150">
        <v>2450000</v>
      </c>
      <c r="E149" s="20" t="s">
        <v>239</v>
      </c>
      <c r="F149" s="20" t="s">
        <v>240</v>
      </c>
      <c r="G149" s="8" t="str">
        <f t="shared" si="2"/>
        <v>NELSON ARIANE</v>
      </c>
    </row>
    <row r="150" spans="1:7" x14ac:dyDescent="0.25">
      <c r="A150" s="8">
        <v>42784.69809027778</v>
      </c>
      <c r="B150" s="20" t="s">
        <v>480</v>
      </c>
      <c r="C150" s="20" t="s">
        <v>626</v>
      </c>
      <c r="D150" s="150">
        <v>1190000</v>
      </c>
      <c r="E150" s="20" t="s">
        <v>326</v>
      </c>
      <c r="F150" s="20" t="s">
        <v>327</v>
      </c>
      <c r="G150" s="8" t="str">
        <f t="shared" si="2"/>
        <v>BRANNON JEFFREY</v>
      </c>
    </row>
    <row r="151" spans="1:7" x14ac:dyDescent="0.25">
      <c r="A151" s="8">
        <v>42784.703599537039</v>
      </c>
      <c r="B151" s="20" t="s">
        <v>234</v>
      </c>
      <c r="C151" s="20" t="s">
        <v>627</v>
      </c>
      <c r="D151" s="150">
        <v>2030000</v>
      </c>
      <c r="E151" s="20" t="s">
        <v>372</v>
      </c>
      <c r="F151" s="20" t="s">
        <v>293</v>
      </c>
      <c r="G151" s="8" t="str">
        <f t="shared" si="2"/>
        <v>KILLION DAVID</v>
      </c>
    </row>
    <row r="152" spans="1:7" x14ac:dyDescent="0.25">
      <c r="A152" s="8">
        <v>42784.71398148148</v>
      </c>
      <c r="B152" s="20" t="s">
        <v>265</v>
      </c>
      <c r="C152" s="20" t="s">
        <v>464</v>
      </c>
      <c r="D152" s="150">
        <v>2420000</v>
      </c>
      <c r="E152" s="20" t="s">
        <v>628</v>
      </c>
      <c r="F152" s="20" t="s">
        <v>629</v>
      </c>
      <c r="G152" s="8" t="str">
        <f t="shared" si="2"/>
        <v>HOLCOMB KAMDEN</v>
      </c>
    </row>
    <row r="153" spans="1:7" x14ac:dyDescent="0.25">
      <c r="A153" s="8">
        <v>42784.714641203704</v>
      </c>
      <c r="B153" s="20" t="s">
        <v>222</v>
      </c>
      <c r="C153" s="20" t="s">
        <v>463</v>
      </c>
      <c r="D153" s="150">
        <v>880000</v>
      </c>
      <c r="E153" s="20" t="s">
        <v>570</v>
      </c>
      <c r="F153" s="20" t="s">
        <v>202</v>
      </c>
      <c r="G153" s="8" t="str">
        <f t="shared" si="2"/>
        <v>STEWART MICHAEL</v>
      </c>
    </row>
    <row r="154" spans="1:7" x14ac:dyDescent="0.25">
      <c r="A154" s="8">
        <v>42784.714675925927</v>
      </c>
      <c r="B154" s="20" t="s">
        <v>273</v>
      </c>
      <c r="C154" s="20" t="s">
        <v>630</v>
      </c>
      <c r="D154" s="150">
        <v>1540000</v>
      </c>
      <c r="E154" s="20" t="s">
        <v>324</v>
      </c>
      <c r="F154" s="20" t="s">
        <v>325</v>
      </c>
      <c r="G154" s="8" t="str">
        <f t="shared" si="2"/>
        <v>HELVIE ADAM</v>
      </c>
    </row>
    <row r="155" spans="1:7" x14ac:dyDescent="0.25">
      <c r="A155" s="8">
        <v>42784.717604166668</v>
      </c>
      <c r="B155" s="20" t="s">
        <v>192</v>
      </c>
      <c r="C155" s="20" t="s">
        <v>631</v>
      </c>
      <c r="D155" s="150">
        <v>1300000</v>
      </c>
      <c r="E155" s="20" t="s">
        <v>579</v>
      </c>
      <c r="F155" s="20" t="s">
        <v>580</v>
      </c>
      <c r="G155" s="8" t="str">
        <f t="shared" si="2"/>
        <v>LEVIN SCOTT</v>
      </c>
    </row>
    <row r="156" spans="1:7" x14ac:dyDescent="0.25">
      <c r="A156" s="8">
        <v>42784.724537037036</v>
      </c>
      <c r="B156" s="20" t="s">
        <v>209</v>
      </c>
      <c r="C156" s="20" t="s">
        <v>632</v>
      </c>
      <c r="D156" s="150">
        <v>920000</v>
      </c>
      <c r="E156" s="20" t="s">
        <v>574</v>
      </c>
      <c r="F156" s="20" t="s">
        <v>202</v>
      </c>
      <c r="G156" s="8" t="str">
        <f t="shared" si="2"/>
        <v>DAVIS MICHAEL</v>
      </c>
    </row>
    <row r="157" spans="1:7" x14ac:dyDescent="0.25">
      <c r="A157" s="8">
        <v>42784.725543981483</v>
      </c>
      <c r="B157" s="20" t="s">
        <v>248</v>
      </c>
      <c r="C157" s="20" t="s">
        <v>633</v>
      </c>
      <c r="D157" s="150">
        <v>2470000</v>
      </c>
      <c r="E157" s="20" t="s">
        <v>564</v>
      </c>
      <c r="F157" s="20" t="s">
        <v>565</v>
      </c>
      <c r="G157" s="8" t="str">
        <f t="shared" si="2"/>
        <v>ROMERO CHAD</v>
      </c>
    </row>
    <row r="158" spans="1:7" x14ac:dyDescent="0.25">
      <c r="A158" s="8">
        <v>42784.726504629631</v>
      </c>
      <c r="B158" s="20" t="s">
        <v>248</v>
      </c>
      <c r="C158" s="20" t="s">
        <v>633</v>
      </c>
      <c r="D158" s="150">
        <v>2470000</v>
      </c>
      <c r="E158" s="20" t="s">
        <v>564</v>
      </c>
      <c r="F158" s="20" t="s">
        <v>565</v>
      </c>
      <c r="G158" s="8" t="str">
        <f t="shared" si="2"/>
        <v>ROMERO CHAD</v>
      </c>
    </row>
    <row r="159" spans="1:7" x14ac:dyDescent="0.25">
      <c r="A159" s="8">
        <v>42784.732939814814</v>
      </c>
      <c r="B159" s="20" t="s">
        <v>290</v>
      </c>
      <c r="C159" s="20" t="s">
        <v>634</v>
      </c>
      <c r="D159" s="150">
        <v>1770000</v>
      </c>
      <c r="E159" s="20" t="s">
        <v>328</v>
      </c>
      <c r="F159" s="20" t="s">
        <v>329</v>
      </c>
      <c r="G159" s="8" t="str">
        <f t="shared" si="2"/>
        <v>BRUDER RICHARD</v>
      </c>
    </row>
    <row r="160" spans="1:7" x14ac:dyDescent="0.25">
      <c r="A160" s="8">
        <v>42784.734664351854</v>
      </c>
      <c r="B160" s="20" t="s">
        <v>274</v>
      </c>
      <c r="C160" s="20" t="s">
        <v>635</v>
      </c>
      <c r="D160" s="150">
        <v>1540000</v>
      </c>
      <c r="E160" s="20" t="s">
        <v>324</v>
      </c>
      <c r="F160" s="20" t="s">
        <v>325</v>
      </c>
      <c r="G160" s="8" t="str">
        <f t="shared" si="2"/>
        <v>HELVIE ADAM</v>
      </c>
    </row>
    <row r="161" spans="1:7" x14ac:dyDescent="0.25">
      <c r="A161" s="8">
        <v>42784.73574074074</v>
      </c>
      <c r="B161" s="20" t="s">
        <v>437</v>
      </c>
      <c r="C161" s="20" t="s">
        <v>636</v>
      </c>
      <c r="D161" s="150">
        <v>2230000</v>
      </c>
      <c r="E161" s="20" t="s">
        <v>373</v>
      </c>
      <c r="F161" s="20" t="s">
        <v>202</v>
      </c>
      <c r="G161" s="8" t="str">
        <f t="shared" si="2"/>
        <v>SMITH MICHAEL</v>
      </c>
    </row>
    <row r="162" spans="1:7" x14ac:dyDescent="0.25">
      <c r="A162" s="8">
        <v>42784.736516203702</v>
      </c>
      <c r="B162" s="20" t="s">
        <v>577</v>
      </c>
      <c r="C162" s="20" t="s">
        <v>637</v>
      </c>
      <c r="D162" s="150">
        <v>2000000</v>
      </c>
      <c r="E162" s="20" t="s">
        <v>638</v>
      </c>
      <c r="F162" s="20" t="s">
        <v>199</v>
      </c>
      <c r="G162" s="8" t="str">
        <f t="shared" si="2"/>
        <v>STAMBAUGH JAMES</v>
      </c>
    </row>
    <row r="163" spans="1:7" x14ac:dyDescent="0.25">
      <c r="A163" s="8">
        <v>42784.741284722222</v>
      </c>
      <c r="B163" s="20" t="s">
        <v>288</v>
      </c>
      <c r="C163" s="20" t="s">
        <v>639</v>
      </c>
      <c r="D163" s="150">
        <v>2030000</v>
      </c>
      <c r="E163" s="20" t="s">
        <v>372</v>
      </c>
      <c r="F163" s="20" t="s">
        <v>293</v>
      </c>
      <c r="G163" s="8" t="str">
        <f t="shared" si="2"/>
        <v>KILLION DAVID</v>
      </c>
    </row>
    <row r="164" spans="1:7" x14ac:dyDescent="0.25">
      <c r="A164" s="8">
        <v>42784.746678240743</v>
      </c>
      <c r="B164" s="20" t="s">
        <v>223</v>
      </c>
      <c r="C164" s="20" t="s">
        <v>640</v>
      </c>
      <c r="D164" s="150">
        <v>1190000</v>
      </c>
      <c r="E164" s="20" t="s">
        <v>326</v>
      </c>
      <c r="F164" s="20" t="s">
        <v>327</v>
      </c>
      <c r="G164" s="8" t="str">
        <f t="shared" si="2"/>
        <v>BRANNON JEFFREY</v>
      </c>
    </row>
    <row r="165" spans="1:7" x14ac:dyDescent="0.25">
      <c r="A165" s="8">
        <v>42784.746898148151</v>
      </c>
      <c r="B165" s="20" t="s">
        <v>271</v>
      </c>
      <c r="C165" s="20" t="s">
        <v>465</v>
      </c>
      <c r="D165" s="150">
        <v>2630000</v>
      </c>
      <c r="E165" s="20" t="s">
        <v>498</v>
      </c>
      <c r="F165" s="20" t="s">
        <v>499</v>
      </c>
      <c r="G165" s="8" t="str">
        <f t="shared" si="2"/>
        <v>SAFIEF AEIMEN</v>
      </c>
    </row>
    <row r="166" spans="1:7" x14ac:dyDescent="0.25">
      <c r="A166" s="8">
        <v>42784.751076388886</v>
      </c>
      <c r="B166" s="20" t="s">
        <v>291</v>
      </c>
      <c r="C166" s="20" t="s">
        <v>466</v>
      </c>
      <c r="D166" s="150">
        <v>1300000</v>
      </c>
      <c r="E166" s="20" t="s">
        <v>579</v>
      </c>
      <c r="F166" s="20" t="s">
        <v>580</v>
      </c>
      <c r="G166" s="8" t="str">
        <f t="shared" si="2"/>
        <v>LEVIN SCOTT</v>
      </c>
    </row>
    <row r="167" spans="1:7" x14ac:dyDescent="0.25">
      <c r="A167" s="8">
        <v>42784.757592592592</v>
      </c>
      <c r="B167" s="20" t="s">
        <v>228</v>
      </c>
      <c r="C167" s="20" t="s">
        <v>468</v>
      </c>
      <c r="D167" s="150">
        <v>2000000</v>
      </c>
      <c r="E167" s="20" t="s">
        <v>638</v>
      </c>
      <c r="F167" s="20" t="s">
        <v>199</v>
      </c>
      <c r="G167" s="8" t="str">
        <f t="shared" si="2"/>
        <v>STAMBAUGH JAMES</v>
      </c>
    </row>
    <row r="168" spans="1:7" x14ac:dyDescent="0.25">
      <c r="A168" s="8">
        <v>42784.762928240743</v>
      </c>
      <c r="B168" s="20" t="s">
        <v>378</v>
      </c>
      <c r="C168" s="20" t="s">
        <v>641</v>
      </c>
      <c r="D168" s="150">
        <v>920000</v>
      </c>
      <c r="E168" s="20" t="s">
        <v>574</v>
      </c>
      <c r="F168" s="20" t="s">
        <v>202</v>
      </c>
      <c r="G168" s="8" t="str">
        <f t="shared" si="2"/>
        <v>DAVIS MICHAEL</v>
      </c>
    </row>
    <row r="169" spans="1:7" x14ac:dyDescent="0.25">
      <c r="A169" s="8">
        <v>42784.763020833336</v>
      </c>
      <c r="B169" s="20" t="s">
        <v>273</v>
      </c>
      <c r="C169" s="20" t="s">
        <v>642</v>
      </c>
      <c r="D169" s="150">
        <v>1540000</v>
      </c>
      <c r="E169" s="20" t="s">
        <v>324</v>
      </c>
      <c r="F169" s="20" t="s">
        <v>325</v>
      </c>
      <c r="G169" s="8" t="str">
        <f t="shared" si="2"/>
        <v>HELVIE ADAM</v>
      </c>
    </row>
    <row r="170" spans="1:7" x14ac:dyDescent="0.25">
      <c r="A170" s="8">
        <v>42784.763784722221</v>
      </c>
      <c r="B170" s="20" t="s">
        <v>244</v>
      </c>
      <c r="C170" s="20" t="s">
        <v>472</v>
      </c>
      <c r="D170" s="150">
        <v>2470000</v>
      </c>
      <c r="E170" s="20" t="s">
        <v>564</v>
      </c>
      <c r="F170" s="20" t="s">
        <v>565</v>
      </c>
      <c r="G170" s="8" t="str">
        <f t="shared" si="2"/>
        <v>ROMERO CHAD</v>
      </c>
    </row>
    <row r="171" spans="1:7" x14ac:dyDescent="0.25">
      <c r="A171" s="8">
        <v>42784.768101851849</v>
      </c>
      <c r="B171" s="20" t="s">
        <v>289</v>
      </c>
      <c r="C171" s="20" t="s">
        <v>643</v>
      </c>
      <c r="D171" s="150">
        <v>2610000</v>
      </c>
      <c r="E171" s="20" t="s">
        <v>486</v>
      </c>
      <c r="F171" s="20" t="s">
        <v>487</v>
      </c>
      <c r="G171" s="8" t="str">
        <f t="shared" si="2"/>
        <v>MAGEE KENYA</v>
      </c>
    </row>
    <row r="172" spans="1:7" x14ac:dyDescent="0.25">
      <c r="A172" s="8">
        <v>42784.772789351853</v>
      </c>
      <c r="B172" s="20" t="s">
        <v>480</v>
      </c>
      <c r="C172" s="20" t="s">
        <v>644</v>
      </c>
      <c r="D172" s="150">
        <v>2230000</v>
      </c>
      <c r="E172" s="20" t="s">
        <v>373</v>
      </c>
      <c r="F172" s="20" t="s">
        <v>202</v>
      </c>
      <c r="G172" s="8" t="str">
        <f t="shared" si="2"/>
        <v>SMITH MICHAEL</v>
      </c>
    </row>
    <row r="173" spans="1:7" x14ac:dyDescent="0.25">
      <c r="A173" s="8">
        <v>42784.776076388887</v>
      </c>
      <c r="B173" s="20" t="s">
        <v>274</v>
      </c>
      <c r="C173" s="20" t="s">
        <v>645</v>
      </c>
      <c r="D173" s="150">
        <v>1540000</v>
      </c>
      <c r="E173" s="20" t="s">
        <v>324</v>
      </c>
      <c r="F173" s="20" t="s">
        <v>325</v>
      </c>
      <c r="G173" s="8" t="str">
        <f t="shared" si="2"/>
        <v>HELVIE ADAM</v>
      </c>
    </row>
    <row r="174" spans="1:7" x14ac:dyDescent="0.25">
      <c r="A174" s="8">
        <v>42784.776712962965</v>
      </c>
      <c r="B174" s="20" t="s">
        <v>234</v>
      </c>
      <c r="C174" s="20" t="s">
        <v>467</v>
      </c>
      <c r="D174" s="150">
        <v>2030000</v>
      </c>
      <c r="E174" s="20" t="s">
        <v>372</v>
      </c>
      <c r="F174" s="20" t="s">
        <v>293</v>
      </c>
      <c r="G174" s="8" t="str">
        <f t="shared" si="2"/>
        <v>KILLION DAVID</v>
      </c>
    </row>
    <row r="175" spans="1:7" x14ac:dyDescent="0.25">
      <c r="A175" s="8">
        <v>42784.786932870367</v>
      </c>
      <c r="B175" s="20" t="s">
        <v>222</v>
      </c>
      <c r="C175" s="20" t="s">
        <v>469</v>
      </c>
      <c r="D175" s="150">
        <v>1190000</v>
      </c>
      <c r="E175" s="20" t="s">
        <v>326</v>
      </c>
      <c r="F175" s="20" t="s">
        <v>327</v>
      </c>
      <c r="G175" s="8" t="str">
        <f t="shared" si="2"/>
        <v>BRANNON JEFFREY</v>
      </c>
    </row>
    <row r="176" spans="1:7" x14ac:dyDescent="0.25">
      <c r="A176" s="8">
        <v>42784.788680555554</v>
      </c>
      <c r="B176" s="20" t="s">
        <v>192</v>
      </c>
      <c r="C176" s="20" t="s">
        <v>646</v>
      </c>
      <c r="D176" s="150">
        <v>2680000</v>
      </c>
      <c r="E176" s="20" t="s">
        <v>491</v>
      </c>
      <c r="F176" s="20" t="s">
        <v>492</v>
      </c>
      <c r="G176" s="8" t="str">
        <f t="shared" si="2"/>
        <v>DUNCAN SHEILA</v>
      </c>
    </row>
    <row r="177" spans="1:7" x14ac:dyDescent="0.25">
      <c r="A177" s="8">
        <v>42784.790347222224</v>
      </c>
      <c r="B177" s="20" t="s">
        <v>209</v>
      </c>
      <c r="C177" s="20" t="s">
        <v>647</v>
      </c>
      <c r="D177" s="150">
        <v>2000000</v>
      </c>
      <c r="E177" s="20" t="s">
        <v>638</v>
      </c>
      <c r="F177" s="20" t="s">
        <v>199</v>
      </c>
      <c r="G177" s="8" t="str">
        <f t="shared" si="2"/>
        <v>STAMBAUGH JAMES</v>
      </c>
    </row>
    <row r="178" spans="1:7" x14ac:dyDescent="0.25">
      <c r="A178" s="8">
        <v>42784.795740740738</v>
      </c>
      <c r="B178" s="20" t="s">
        <v>248</v>
      </c>
      <c r="C178" s="20" t="s">
        <v>473</v>
      </c>
      <c r="D178" s="150">
        <v>2470000</v>
      </c>
      <c r="E178" s="20" t="s">
        <v>564</v>
      </c>
      <c r="F178" s="20" t="s">
        <v>565</v>
      </c>
      <c r="G178" s="8" t="str">
        <f t="shared" si="2"/>
        <v>ROMERO CHAD</v>
      </c>
    </row>
    <row r="179" spans="1:7" x14ac:dyDescent="0.25">
      <c r="A179" s="8">
        <v>42784.796631944446</v>
      </c>
      <c r="B179" s="20" t="s">
        <v>222</v>
      </c>
      <c r="C179" s="20" t="s">
        <v>469</v>
      </c>
      <c r="D179" s="150">
        <v>1190000</v>
      </c>
      <c r="E179" s="20" t="s">
        <v>326</v>
      </c>
      <c r="F179" s="20" t="s">
        <v>327</v>
      </c>
      <c r="G179" s="8" t="str">
        <f t="shared" si="2"/>
        <v>BRANNON JEFFREY</v>
      </c>
    </row>
    <row r="180" spans="1:7" x14ac:dyDescent="0.25">
      <c r="A180" s="8">
        <v>42784.804201388892</v>
      </c>
      <c r="B180" s="20" t="s">
        <v>273</v>
      </c>
      <c r="C180" s="20" t="s">
        <v>648</v>
      </c>
      <c r="D180" s="150">
        <v>1540000</v>
      </c>
      <c r="E180" s="20" t="s">
        <v>324</v>
      </c>
      <c r="F180" s="20" t="s">
        <v>325</v>
      </c>
      <c r="G180" s="8" t="str">
        <f t="shared" si="2"/>
        <v>HELVIE ADAM</v>
      </c>
    </row>
    <row r="181" spans="1:7" x14ac:dyDescent="0.25">
      <c r="A181" s="8">
        <v>42784.807164351849</v>
      </c>
      <c r="B181" s="20" t="s">
        <v>290</v>
      </c>
      <c r="C181" s="20" t="s">
        <v>474</v>
      </c>
      <c r="D181" s="150">
        <v>2610000</v>
      </c>
      <c r="E181" s="20" t="s">
        <v>486</v>
      </c>
      <c r="F181" s="20" t="s">
        <v>487</v>
      </c>
      <c r="G181" s="8" t="str">
        <f t="shared" si="2"/>
        <v>MAGEE KENYA</v>
      </c>
    </row>
    <row r="182" spans="1:7" x14ac:dyDescent="0.25">
      <c r="A182" s="8">
        <v>42784.80810185185</v>
      </c>
      <c r="B182" s="20" t="s">
        <v>437</v>
      </c>
      <c r="C182" s="20" t="s">
        <v>649</v>
      </c>
      <c r="D182" s="150">
        <v>2230000</v>
      </c>
      <c r="E182" s="20" t="s">
        <v>373</v>
      </c>
      <c r="F182" s="20" t="s">
        <v>202</v>
      </c>
      <c r="G182" s="8" t="str">
        <f t="shared" si="2"/>
        <v>SMITH MICHAEL</v>
      </c>
    </row>
    <row r="183" spans="1:7" x14ac:dyDescent="0.25">
      <c r="A183" s="8">
        <v>42784.818252314813</v>
      </c>
      <c r="B183" s="20" t="s">
        <v>223</v>
      </c>
      <c r="C183" s="20" t="s">
        <v>650</v>
      </c>
      <c r="D183" s="150">
        <v>1190000</v>
      </c>
      <c r="E183" s="20" t="s">
        <v>326</v>
      </c>
      <c r="F183" s="20" t="s">
        <v>327</v>
      </c>
      <c r="G183" s="8" t="str">
        <f t="shared" si="2"/>
        <v>BRANNON JEFFREY</v>
      </c>
    </row>
    <row r="184" spans="1:7" x14ac:dyDescent="0.25">
      <c r="A184" s="8">
        <v>42784.820185185185</v>
      </c>
      <c r="B184" s="20" t="s">
        <v>274</v>
      </c>
      <c r="C184" s="20" t="s">
        <v>651</v>
      </c>
      <c r="D184" s="150">
        <v>1540000</v>
      </c>
      <c r="E184" s="20" t="s">
        <v>324</v>
      </c>
      <c r="F184" s="20" t="s">
        <v>325</v>
      </c>
      <c r="G184" s="8" t="str">
        <f t="shared" si="2"/>
        <v>HELVIE ADAM</v>
      </c>
    </row>
    <row r="185" spans="1:7" x14ac:dyDescent="0.25">
      <c r="A185" s="8">
        <v>42784.826053240744</v>
      </c>
      <c r="B185" s="20" t="s">
        <v>291</v>
      </c>
      <c r="C185" s="20" t="s">
        <v>652</v>
      </c>
      <c r="D185" s="150">
        <v>2680000</v>
      </c>
      <c r="E185" s="20" t="s">
        <v>491</v>
      </c>
      <c r="F185" s="20" t="s">
        <v>492</v>
      </c>
      <c r="G185" s="8" t="str">
        <f t="shared" si="2"/>
        <v>DUNCAN SHEILA</v>
      </c>
    </row>
    <row r="186" spans="1:7" x14ac:dyDescent="0.25">
      <c r="A186" s="8">
        <v>42784.828310185185</v>
      </c>
      <c r="B186" s="20" t="s">
        <v>228</v>
      </c>
      <c r="C186" s="20" t="s">
        <v>475</v>
      </c>
      <c r="D186" s="150">
        <v>2000000</v>
      </c>
      <c r="E186" s="20" t="s">
        <v>638</v>
      </c>
      <c r="F186" s="20" t="s">
        <v>199</v>
      </c>
      <c r="G186" s="8" t="str">
        <f t="shared" si="2"/>
        <v>STAMBAUGH JAMES</v>
      </c>
    </row>
    <row r="187" spans="1:7" x14ac:dyDescent="0.25">
      <c r="A187" s="8">
        <v>42784.838148148148</v>
      </c>
      <c r="B187" s="20" t="s">
        <v>496</v>
      </c>
      <c r="C187" s="20" t="s">
        <v>653</v>
      </c>
      <c r="D187" s="150">
        <v>2670000</v>
      </c>
      <c r="E187" s="20" t="s">
        <v>246</v>
      </c>
      <c r="F187" s="20" t="s">
        <v>247</v>
      </c>
      <c r="G187" s="8" t="str">
        <f t="shared" si="2"/>
        <v>COMELLA JUSTIN</v>
      </c>
    </row>
    <row r="188" spans="1:7" x14ac:dyDescent="0.25">
      <c r="A188" s="8">
        <v>42784.843657407408</v>
      </c>
      <c r="B188" s="20" t="s">
        <v>480</v>
      </c>
      <c r="C188" s="20" t="s">
        <v>654</v>
      </c>
      <c r="D188" s="150">
        <v>2600000</v>
      </c>
      <c r="E188" s="20" t="s">
        <v>655</v>
      </c>
      <c r="F188" s="20" t="s">
        <v>293</v>
      </c>
      <c r="G188" s="8" t="str">
        <f t="shared" si="2"/>
        <v>DAVIDSON DAVID</v>
      </c>
    </row>
    <row r="189" spans="1:7" x14ac:dyDescent="0.25">
      <c r="A189" s="8">
        <v>42784.846365740741</v>
      </c>
      <c r="B189" s="20" t="s">
        <v>273</v>
      </c>
      <c r="C189" s="20" t="s">
        <v>656</v>
      </c>
      <c r="D189" s="150">
        <v>1540000</v>
      </c>
      <c r="E189" s="20" t="s">
        <v>324</v>
      </c>
      <c r="F189" s="20" t="s">
        <v>325</v>
      </c>
      <c r="G189" s="8" t="str">
        <f t="shared" si="2"/>
        <v>HELVIE ADAM</v>
      </c>
    </row>
    <row r="190" spans="1:7" x14ac:dyDescent="0.25">
      <c r="A190" s="8">
        <v>42784.849907407406</v>
      </c>
      <c r="B190" s="20" t="s">
        <v>289</v>
      </c>
      <c r="C190" s="20" t="s">
        <v>476</v>
      </c>
      <c r="D190" s="150">
        <v>2610000</v>
      </c>
      <c r="E190" s="20" t="s">
        <v>486</v>
      </c>
      <c r="F190" s="20" t="s">
        <v>487</v>
      </c>
      <c r="G190" s="8" t="str">
        <f t="shared" si="2"/>
        <v>MAGEE KENYA</v>
      </c>
    </row>
    <row r="191" spans="1:7" x14ac:dyDescent="0.25">
      <c r="A191" s="8">
        <v>42784.859050925923</v>
      </c>
      <c r="B191" s="20" t="s">
        <v>274</v>
      </c>
      <c r="C191" s="20" t="s">
        <v>657</v>
      </c>
      <c r="D191" s="150">
        <v>1540000</v>
      </c>
      <c r="E191" s="20" t="s">
        <v>324</v>
      </c>
      <c r="F191" s="20" t="s">
        <v>325</v>
      </c>
      <c r="G191" s="8" t="str">
        <f t="shared" si="2"/>
        <v>HELVIE ADAM</v>
      </c>
    </row>
    <row r="192" spans="1:7" x14ac:dyDescent="0.25">
      <c r="A192" s="8">
        <v>42784.866157407407</v>
      </c>
      <c r="B192" s="20" t="s">
        <v>192</v>
      </c>
      <c r="C192" s="20" t="s">
        <v>478</v>
      </c>
      <c r="D192" s="150">
        <v>2680000</v>
      </c>
      <c r="E192" s="20" t="s">
        <v>491</v>
      </c>
      <c r="F192" s="20" t="s">
        <v>492</v>
      </c>
      <c r="G192" s="8" t="str">
        <f t="shared" si="2"/>
        <v>DUNCAN SHEILA</v>
      </c>
    </row>
    <row r="193" spans="1:7" x14ac:dyDescent="0.25">
      <c r="A193" s="8">
        <v>42784.867569444446</v>
      </c>
      <c r="B193" s="20" t="s">
        <v>209</v>
      </c>
      <c r="C193" s="20" t="s">
        <v>477</v>
      </c>
      <c r="D193" s="150">
        <v>2560000</v>
      </c>
      <c r="E193" s="20" t="s">
        <v>381</v>
      </c>
      <c r="F193" s="20" t="s">
        <v>382</v>
      </c>
      <c r="G193" s="8" t="str">
        <f t="shared" si="2"/>
        <v>MACDONALD THOMAS</v>
      </c>
    </row>
    <row r="194" spans="1:7" x14ac:dyDescent="0.25">
      <c r="A194" s="8">
        <v>42784.885335648149</v>
      </c>
      <c r="B194" s="20" t="s">
        <v>437</v>
      </c>
      <c r="C194" s="20" t="s">
        <v>658</v>
      </c>
      <c r="D194" s="150">
        <v>2230000</v>
      </c>
      <c r="E194" s="20" t="s">
        <v>373</v>
      </c>
      <c r="F194" s="20" t="s">
        <v>202</v>
      </c>
      <c r="G194" s="8" t="str">
        <f t="shared" si="2"/>
        <v>SMITH MICHAEL</v>
      </c>
    </row>
    <row r="195" spans="1:7" x14ac:dyDescent="0.25">
      <c r="A195" s="8">
        <v>42784.888171296298</v>
      </c>
      <c r="B195" s="20" t="s">
        <v>273</v>
      </c>
      <c r="C195" s="20" t="s">
        <v>479</v>
      </c>
      <c r="D195" s="150">
        <v>1540000</v>
      </c>
      <c r="E195" s="20" t="s">
        <v>324</v>
      </c>
      <c r="F195" s="20" t="s">
        <v>325</v>
      </c>
      <c r="G195" s="8" t="str">
        <f t="shared" ref="G195:G258" si="3">E195&amp;" "&amp;F195</f>
        <v>HELVIE ADAM</v>
      </c>
    </row>
    <row r="196" spans="1:7" x14ac:dyDescent="0.25">
      <c r="A196" s="8">
        <v>42784.891793981478</v>
      </c>
      <c r="B196" s="20" t="s">
        <v>290</v>
      </c>
      <c r="C196" s="20" t="s">
        <v>659</v>
      </c>
      <c r="D196" s="150">
        <v>2610000</v>
      </c>
      <c r="E196" s="20" t="s">
        <v>486</v>
      </c>
      <c r="F196" s="20" t="s">
        <v>487</v>
      </c>
      <c r="G196" s="8" t="str">
        <f t="shared" si="3"/>
        <v>MAGEE KENYA</v>
      </c>
    </row>
    <row r="197" spans="1:7" x14ac:dyDescent="0.25">
      <c r="A197" s="8">
        <v>42784.900671296295</v>
      </c>
      <c r="B197" s="20" t="s">
        <v>274</v>
      </c>
      <c r="C197" s="20" t="s">
        <v>660</v>
      </c>
      <c r="D197" s="150">
        <v>1540000</v>
      </c>
      <c r="E197" s="20" t="s">
        <v>324</v>
      </c>
      <c r="F197" s="20" t="s">
        <v>325</v>
      </c>
      <c r="G197" s="8" t="str">
        <f t="shared" si="3"/>
        <v>HELVIE ADAM</v>
      </c>
    </row>
    <row r="198" spans="1:7" x14ac:dyDescent="0.25">
      <c r="A198" s="8">
        <v>42784.90284722222</v>
      </c>
      <c r="B198" s="20" t="s">
        <v>228</v>
      </c>
      <c r="C198" s="20" t="s">
        <v>661</v>
      </c>
      <c r="D198" s="150">
        <v>2000000</v>
      </c>
      <c r="E198" s="20" t="s">
        <v>638</v>
      </c>
      <c r="F198" s="20" t="s">
        <v>199</v>
      </c>
      <c r="G198" s="8" t="str">
        <f t="shared" si="3"/>
        <v>STAMBAUGH JAMES</v>
      </c>
    </row>
    <row r="199" spans="1:7" x14ac:dyDescent="0.25">
      <c r="A199" s="8">
        <v>42784.906840277778</v>
      </c>
      <c r="B199" s="20" t="s">
        <v>291</v>
      </c>
      <c r="C199" s="20" t="s">
        <v>662</v>
      </c>
      <c r="D199" s="150">
        <v>2680000</v>
      </c>
      <c r="E199" s="20" t="s">
        <v>491</v>
      </c>
      <c r="F199" s="20" t="s">
        <v>492</v>
      </c>
      <c r="G199" s="8" t="str">
        <f t="shared" si="3"/>
        <v>DUNCAN SHEILA</v>
      </c>
    </row>
    <row r="200" spans="1:7" x14ac:dyDescent="0.25">
      <c r="A200" s="8">
        <v>42784.928298611114</v>
      </c>
      <c r="B200" s="20" t="s">
        <v>273</v>
      </c>
      <c r="C200" s="20" t="s">
        <v>663</v>
      </c>
      <c r="D200" s="150">
        <v>1540000</v>
      </c>
      <c r="E200" s="20" t="s">
        <v>324</v>
      </c>
      <c r="F200" s="20" t="s">
        <v>325</v>
      </c>
      <c r="G200" s="8" t="str">
        <f t="shared" si="3"/>
        <v>HELVIE ADAM</v>
      </c>
    </row>
    <row r="201" spans="1:7" x14ac:dyDescent="0.25">
      <c r="A201" s="8">
        <v>42784.9296875</v>
      </c>
      <c r="B201" s="20" t="s">
        <v>480</v>
      </c>
      <c r="C201" s="20" t="s">
        <v>664</v>
      </c>
      <c r="D201" s="150">
        <v>2230000</v>
      </c>
      <c r="E201" s="20" t="s">
        <v>373</v>
      </c>
      <c r="F201" s="20" t="s">
        <v>202</v>
      </c>
      <c r="G201" s="8" t="str">
        <f t="shared" si="3"/>
        <v>SMITH MICHAEL</v>
      </c>
    </row>
    <row r="202" spans="1:7" x14ac:dyDescent="0.25">
      <c r="A202" s="26">
        <v>42784.934363425928</v>
      </c>
      <c r="B202" s="20" t="s">
        <v>289</v>
      </c>
      <c r="C202" s="20" t="s">
        <v>665</v>
      </c>
      <c r="D202" s="150">
        <v>2630000</v>
      </c>
      <c r="E202" s="20" t="s">
        <v>498</v>
      </c>
      <c r="F202" s="20" t="s">
        <v>499</v>
      </c>
      <c r="G202" s="8" t="str">
        <f t="shared" si="3"/>
        <v>SAFIEF AEIMEN</v>
      </c>
    </row>
    <row r="203" spans="1:7" x14ac:dyDescent="0.25">
      <c r="A203" s="8">
        <v>42784.94189814815</v>
      </c>
      <c r="B203" s="20" t="s">
        <v>274</v>
      </c>
      <c r="C203" s="20" t="s">
        <v>666</v>
      </c>
      <c r="D203" s="150">
        <v>1540000</v>
      </c>
      <c r="E203" s="20" t="s">
        <v>324</v>
      </c>
      <c r="F203" s="20" t="s">
        <v>325</v>
      </c>
      <c r="G203" s="8" t="str">
        <f t="shared" si="3"/>
        <v>HELVIE ADAM</v>
      </c>
    </row>
    <row r="204" spans="1:7" x14ac:dyDescent="0.25">
      <c r="A204" s="8">
        <v>42784.953333333331</v>
      </c>
      <c r="B204" s="20" t="s">
        <v>192</v>
      </c>
      <c r="C204" s="20" t="s">
        <v>667</v>
      </c>
      <c r="D204" s="150">
        <v>2680000</v>
      </c>
      <c r="E204" s="20" t="s">
        <v>491</v>
      </c>
      <c r="F204" s="20" t="s">
        <v>492</v>
      </c>
      <c r="G204" s="8" t="str">
        <f t="shared" si="3"/>
        <v>DUNCAN SHEILA</v>
      </c>
    </row>
    <row r="205" spans="1:7" x14ac:dyDescent="0.25">
      <c r="A205" s="8">
        <v>42784.954629629632</v>
      </c>
      <c r="B205" s="20" t="s">
        <v>209</v>
      </c>
      <c r="C205" s="20" t="s">
        <v>668</v>
      </c>
      <c r="D205" s="150">
        <v>2000000</v>
      </c>
      <c r="E205" s="20" t="s">
        <v>638</v>
      </c>
      <c r="F205" s="20" t="s">
        <v>199</v>
      </c>
      <c r="G205" s="8" t="str">
        <f t="shared" si="3"/>
        <v>STAMBAUGH JAMES</v>
      </c>
    </row>
    <row r="206" spans="1:7" x14ac:dyDescent="0.25">
      <c r="A206" s="8">
        <v>42784.966747685183</v>
      </c>
      <c r="B206" s="20" t="s">
        <v>290</v>
      </c>
      <c r="C206" s="20" t="s">
        <v>669</v>
      </c>
      <c r="D206" s="150">
        <v>2630000</v>
      </c>
      <c r="E206" s="20" t="s">
        <v>498</v>
      </c>
      <c r="F206" s="20" t="s">
        <v>499</v>
      </c>
      <c r="G206" s="8" t="str">
        <f t="shared" si="3"/>
        <v>SAFIEF AEIMEN</v>
      </c>
    </row>
    <row r="207" spans="1:7" x14ac:dyDescent="0.25">
      <c r="A207" s="8">
        <v>42784.970995370371</v>
      </c>
      <c r="B207" s="20" t="s">
        <v>437</v>
      </c>
      <c r="C207" s="20" t="s">
        <v>670</v>
      </c>
      <c r="D207" s="150">
        <v>2230000</v>
      </c>
      <c r="E207" s="20" t="s">
        <v>373</v>
      </c>
      <c r="F207" s="20" t="s">
        <v>202</v>
      </c>
      <c r="G207" s="8" t="str">
        <f t="shared" si="3"/>
        <v>SMITH MICHAEL</v>
      </c>
    </row>
    <row r="208" spans="1:7" x14ac:dyDescent="0.25">
      <c r="A208" s="8">
        <v>42784.983784722222</v>
      </c>
      <c r="B208" s="20" t="s">
        <v>228</v>
      </c>
      <c r="C208" s="20" t="s">
        <v>671</v>
      </c>
      <c r="D208" s="150">
        <v>2000000</v>
      </c>
      <c r="E208" s="20" t="s">
        <v>638</v>
      </c>
      <c r="F208" s="20" t="s">
        <v>199</v>
      </c>
      <c r="G208" s="8" t="str">
        <f t="shared" si="3"/>
        <v>STAMBAUGH JAMES</v>
      </c>
    </row>
    <row r="209" spans="1:7" x14ac:dyDescent="0.25">
      <c r="A209" s="8">
        <v>42784.992615740739</v>
      </c>
      <c r="B209" s="20" t="s">
        <v>291</v>
      </c>
      <c r="C209" s="20" t="s">
        <v>672</v>
      </c>
      <c r="D209" s="150">
        <v>2680000</v>
      </c>
      <c r="E209" s="20" t="s">
        <v>491</v>
      </c>
      <c r="F209" s="20" t="s">
        <v>492</v>
      </c>
      <c r="G209" s="8" t="str">
        <f t="shared" si="3"/>
        <v>DUNCAN SHEILA</v>
      </c>
    </row>
    <row r="210" spans="1:7" x14ac:dyDescent="0.25">
      <c r="A210" s="8">
        <v>42785.011435185188</v>
      </c>
      <c r="B210" s="20" t="s">
        <v>480</v>
      </c>
      <c r="C210" s="20" t="s">
        <v>481</v>
      </c>
      <c r="D210" s="150">
        <v>2230000</v>
      </c>
      <c r="E210" s="20" t="s">
        <v>373</v>
      </c>
      <c r="F210" s="20" t="s">
        <v>202</v>
      </c>
      <c r="G210" s="8" t="str">
        <f t="shared" si="3"/>
        <v>SMITH MICHAEL</v>
      </c>
    </row>
    <row r="211" spans="1:7" x14ac:dyDescent="0.25">
      <c r="A211" s="8">
        <v>42785.013738425929</v>
      </c>
      <c r="B211" s="20" t="s">
        <v>289</v>
      </c>
      <c r="C211" s="20" t="s">
        <v>673</v>
      </c>
      <c r="D211" s="150">
        <v>2610000</v>
      </c>
      <c r="E211" s="20" t="s">
        <v>486</v>
      </c>
      <c r="F211" s="20" t="s">
        <v>487</v>
      </c>
      <c r="G211" s="8" t="str">
        <f t="shared" si="3"/>
        <v>MAGEE KENYA</v>
      </c>
    </row>
    <row r="212" spans="1:7" x14ac:dyDescent="0.25">
      <c r="A212" s="8">
        <v>42785.028460648151</v>
      </c>
      <c r="B212" s="20" t="s">
        <v>209</v>
      </c>
      <c r="C212" s="20" t="s">
        <v>482</v>
      </c>
      <c r="D212" s="150">
        <v>2000000</v>
      </c>
      <c r="E212" s="20" t="s">
        <v>638</v>
      </c>
      <c r="F212" s="20" t="s">
        <v>199</v>
      </c>
      <c r="G212" s="8" t="str">
        <f t="shared" si="3"/>
        <v>STAMBAUGH JAMES</v>
      </c>
    </row>
    <row r="213" spans="1:7" x14ac:dyDescent="0.25">
      <c r="A213" s="8">
        <v>42785.032222222224</v>
      </c>
      <c r="B213" s="20" t="s">
        <v>192</v>
      </c>
      <c r="C213" s="20" t="s">
        <v>674</v>
      </c>
      <c r="D213" s="150">
        <v>2680000</v>
      </c>
      <c r="E213" s="20" t="s">
        <v>491</v>
      </c>
      <c r="F213" s="20" t="s">
        <v>492</v>
      </c>
      <c r="G213" s="8" t="str">
        <f t="shared" si="3"/>
        <v>DUNCAN SHEILA</v>
      </c>
    </row>
    <row r="214" spans="1:7" x14ac:dyDescent="0.25">
      <c r="A214" s="8">
        <v>42785.04892361111</v>
      </c>
      <c r="B214" s="20" t="s">
        <v>437</v>
      </c>
      <c r="C214" s="20" t="s">
        <v>675</v>
      </c>
      <c r="D214" s="150">
        <v>2230000</v>
      </c>
      <c r="E214" s="20" t="s">
        <v>373</v>
      </c>
      <c r="F214" s="20" t="s">
        <v>202</v>
      </c>
      <c r="G214" s="8" t="str">
        <f t="shared" si="3"/>
        <v>SMITH MICHAEL</v>
      </c>
    </row>
    <row r="215" spans="1:7" x14ac:dyDescent="0.25">
      <c r="A215" s="8">
        <v>42785.053391203706</v>
      </c>
      <c r="B215" s="20" t="s">
        <v>290</v>
      </c>
      <c r="C215" s="20" t="s">
        <v>676</v>
      </c>
      <c r="D215" s="150">
        <v>2610000</v>
      </c>
      <c r="E215" s="20" t="s">
        <v>486</v>
      </c>
      <c r="F215" s="20" t="s">
        <v>487</v>
      </c>
      <c r="G215" s="8" t="str">
        <f t="shared" si="3"/>
        <v>MAGEE KENYA</v>
      </c>
    </row>
    <row r="216" spans="1:7" x14ac:dyDescent="0.25">
      <c r="A216" s="8">
        <v>42785.066759259258</v>
      </c>
      <c r="B216" s="20" t="s">
        <v>228</v>
      </c>
      <c r="C216" s="20" t="s">
        <v>677</v>
      </c>
      <c r="D216" s="150">
        <v>2000000</v>
      </c>
      <c r="E216" s="20" t="s">
        <v>638</v>
      </c>
      <c r="F216" s="20" t="s">
        <v>199</v>
      </c>
      <c r="G216" s="8" t="str">
        <f t="shared" si="3"/>
        <v>STAMBAUGH JAMES</v>
      </c>
    </row>
    <row r="217" spans="1:7" x14ac:dyDescent="0.25">
      <c r="A217" s="8">
        <v>42785.077615740738</v>
      </c>
      <c r="B217" s="20" t="s">
        <v>291</v>
      </c>
      <c r="C217" s="20" t="s">
        <v>678</v>
      </c>
      <c r="D217" s="150">
        <v>2680000</v>
      </c>
      <c r="E217" s="20" t="s">
        <v>491</v>
      </c>
      <c r="F217" s="20" t="s">
        <v>492</v>
      </c>
      <c r="G217" s="8" t="str">
        <f t="shared" si="3"/>
        <v>DUNCAN SHEILA</v>
      </c>
    </row>
    <row r="218" spans="1:7" x14ac:dyDescent="0.25">
      <c r="A218" s="8">
        <v>42785.088761574072</v>
      </c>
      <c r="B218" s="20" t="s">
        <v>289</v>
      </c>
      <c r="C218" s="20" t="s">
        <v>249</v>
      </c>
      <c r="D218" s="150">
        <v>2610000</v>
      </c>
      <c r="E218" s="20" t="s">
        <v>486</v>
      </c>
      <c r="F218" s="20" t="s">
        <v>487</v>
      </c>
      <c r="G218" s="8" t="str">
        <f t="shared" si="3"/>
        <v>MAGEE KENYA</v>
      </c>
    </row>
    <row r="219" spans="1:7" x14ac:dyDescent="0.25">
      <c r="A219" s="8">
        <v>42785.110277777778</v>
      </c>
      <c r="B219" s="20" t="s">
        <v>192</v>
      </c>
      <c r="C219" s="20" t="s">
        <v>250</v>
      </c>
      <c r="D219" s="150">
        <v>2680000</v>
      </c>
      <c r="E219" s="20" t="s">
        <v>491</v>
      </c>
      <c r="F219" s="20" t="s">
        <v>492</v>
      </c>
      <c r="G219" s="8" t="str">
        <f t="shared" si="3"/>
        <v>DUNCAN SHEILA</v>
      </c>
    </row>
    <row r="220" spans="1:7" x14ac:dyDescent="0.25">
      <c r="A220" s="8">
        <v>42785.111863425926</v>
      </c>
      <c r="B220" s="20" t="s">
        <v>192</v>
      </c>
      <c r="C220" s="20" t="s">
        <v>250</v>
      </c>
      <c r="D220" s="150">
        <v>2680000</v>
      </c>
      <c r="E220" s="20" t="s">
        <v>491</v>
      </c>
      <c r="F220" s="20" t="s">
        <v>492</v>
      </c>
      <c r="G220" s="8" t="str">
        <f t="shared" si="3"/>
        <v>DUNCAN SHEILA</v>
      </c>
    </row>
    <row r="221" spans="1:7" x14ac:dyDescent="0.25">
      <c r="A221" s="8">
        <v>42782.90111111111</v>
      </c>
      <c r="B221" s="20" t="s">
        <v>364</v>
      </c>
      <c r="C221" s="20" t="s">
        <v>379</v>
      </c>
      <c r="D221" s="150">
        <v>1740000</v>
      </c>
      <c r="E221" s="20" t="s">
        <v>231</v>
      </c>
      <c r="F221" s="20" t="s">
        <v>232</v>
      </c>
      <c r="G221" s="8" t="str">
        <f t="shared" si="3"/>
        <v>STORY SAMANTHA</v>
      </c>
    </row>
    <row r="222" spans="1:7" x14ac:dyDescent="0.25">
      <c r="A222" s="8">
        <v>42782.909583333334</v>
      </c>
      <c r="B222" s="20" t="s">
        <v>256</v>
      </c>
      <c r="C222" s="20" t="s">
        <v>380</v>
      </c>
      <c r="D222" s="150">
        <v>2560000</v>
      </c>
      <c r="E222" s="20" t="s">
        <v>381</v>
      </c>
      <c r="F222" s="20" t="s">
        <v>382</v>
      </c>
      <c r="G222" s="8" t="str">
        <f t="shared" si="3"/>
        <v>MACDONALD THOMAS</v>
      </c>
    </row>
    <row r="223" spans="1:7" x14ac:dyDescent="0.25">
      <c r="A223" s="8">
        <v>42782.912997685184</v>
      </c>
      <c r="B223" s="20" t="s">
        <v>215</v>
      </c>
      <c r="C223" s="20" t="s">
        <v>383</v>
      </c>
      <c r="D223" s="150">
        <v>1800000</v>
      </c>
      <c r="E223" s="20" t="s">
        <v>258</v>
      </c>
      <c r="F223" s="20" t="s">
        <v>259</v>
      </c>
      <c r="G223" s="8" t="str">
        <f t="shared" si="3"/>
        <v>CHANDLER KELVIN</v>
      </c>
    </row>
    <row r="224" spans="1:7" x14ac:dyDescent="0.25">
      <c r="A224" s="8">
        <v>42782.921875</v>
      </c>
      <c r="B224" t="s">
        <v>192</v>
      </c>
      <c r="C224" t="s">
        <v>367</v>
      </c>
      <c r="D224" s="150">
        <v>2220000</v>
      </c>
      <c r="E224" t="s">
        <v>217</v>
      </c>
      <c r="F224" s="20" t="s">
        <v>218</v>
      </c>
      <c r="G224" s="8" t="str">
        <f t="shared" si="3"/>
        <v>HILLS DUSTIN</v>
      </c>
    </row>
    <row r="225" spans="1:7" x14ac:dyDescent="0.25">
      <c r="A225" s="8">
        <v>42782.922569444447</v>
      </c>
      <c r="B225" t="s">
        <v>192</v>
      </c>
      <c r="C225" t="s">
        <v>367</v>
      </c>
      <c r="D225" s="150">
        <v>2220000</v>
      </c>
      <c r="E225" t="s">
        <v>217</v>
      </c>
      <c r="F225" s="20" t="s">
        <v>218</v>
      </c>
      <c r="G225" s="8" t="str">
        <f t="shared" si="3"/>
        <v>HILLS DUSTIN</v>
      </c>
    </row>
    <row r="226" spans="1:7" x14ac:dyDescent="0.25">
      <c r="A226" s="8">
        <v>42782.92396990741</v>
      </c>
      <c r="B226" t="s">
        <v>365</v>
      </c>
      <c r="C226" t="s">
        <v>366</v>
      </c>
      <c r="D226" s="150">
        <v>1740000</v>
      </c>
      <c r="E226" t="s">
        <v>231</v>
      </c>
      <c r="F226" s="20" t="s">
        <v>232</v>
      </c>
      <c r="G226" s="8" t="str">
        <f t="shared" si="3"/>
        <v>STORY SAMANTHA</v>
      </c>
    </row>
    <row r="227" spans="1:7" x14ac:dyDescent="0.25">
      <c r="A227" s="8">
        <v>42782.928368055553</v>
      </c>
      <c r="B227" t="s">
        <v>227</v>
      </c>
      <c r="C227" t="s">
        <v>384</v>
      </c>
      <c r="D227" s="150">
        <v>2540000</v>
      </c>
      <c r="E227" t="s">
        <v>224</v>
      </c>
      <c r="F227" s="20" t="s">
        <v>225</v>
      </c>
      <c r="G227" s="8" t="str">
        <f t="shared" si="3"/>
        <v>MCREYNOLDS KYLE</v>
      </c>
    </row>
    <row r="228" spans="1:7" x14ac:dyDescent="0.25">
      <c r="A228" s="8">
        <v>42782.942939814813</v>
      </c>
      <c r="B228" t="s">
        <v>364</v>
      </c>
      <c r="C228" t="s">
        <v>385</v>
      </c>
      <c r="D228" s="150">
        <v>1740000</v>
      </c>
      <c r="E228" t="s">
        <v>231</v>
      </c>
      <c r="F228" s="20" t="s">
        <v>232</v>
      </c>
      <c r="G228" s="8" t="str">
        <f t="shared" si="3"/>
        <v>STORY SAMANTHA</v>
      </c>
    </row>
    <row r="229" spans="1:7" x14ac:dyDescent="0.25">
      <c r="A229" s="8">
        <v>42782.949953703705</v>
      </c>
      <c r="B229" t="s">
        <v>365</v>
      </c>
      <c r="C229" t="s">
        <v>385</v>
      </c>
      <c r="D229" s="150">
        <v>1740000</v>
      </c>
      <c r="E229" t="s">
        <v>231</v>
      </c>
      <c r="F229" s="20" t="s">
        <v>232</v>
      </c>
      <c r="G229" s="8" t="str">
        <f t="shared" si="3"/>
        <v>STORY SAMANTHA</v>
      </c>
    </row>
    <row r="230" spans="1:7" x14ac:dyDescent="0.25">
      <c r="A230" s="8">
        <v>42782.951296296298</v>
      </c>
      <c r="B230" t="s">
        <v>257</v>
      </c>
      <c r="C230" t="s">
        <v>386</v>
      </c>
      <c r="D230" s="150">
        <v>2560000</v>
      </c>
      <c r="E230" t="s">
        <v>381</v>
      </c>
      <c r="F230" s="20" t="s">
        <v>382</v>
      </c>
      <c r="G230" s="8" t="str">
        <f t="shared" si="3"/>
        <v>MACDONALD THOMAS</v>
      </c>
    </row>
    <row r="231" spans="1:7" x14ac:dyDescent="0.25">
      <c r="A231" s="8">
        <v>42782.95684027778</v>
      </c>
      <c r="B231" t="s">
        <v>237</v>
      </c>
      <c r="C231" t="s">
        <v>387</v>
      </c>
      <c r="D231" s="150">
        <v>1800000</v>
      </c>
      <c r="E231" t="s">
        <v>258</v>
      </c>
      <c r="F231" s="20" t="s">
        <v>259</v>
      </c>
      <c r="G231" s="8" t="str">
        <f t="shared" si="3"/>
        <v>CHANDLER KELVIN</v>
      </c>
    </row>
    <row r="232" spans="1:7" x14ac:dyDescent="0.25">
      <c r="A232" s="8">
        <v>42782.964155092595</v>
      </c>
      <c r="B232" t="s">
        <v>291</v>
      </c>
      <c r="C232" t="s">
        <v>388</v>
      </c>
      <c r="D232" s="150">
        <v>2220000</v>
      </c>
      <c r="E232" t="s">
        <v>217</v>
      </c>
      <c r="F232" s="20" t="s">
        <v>218</v>
      </c>
      <c r="G232" s="8" t="str">
        <f t="shared" si="3"/>
        <v>HILLS DUSTIN</v>
      </c>
    </row>
    <row r="233" spans="1:7" x14ac:dyDescent="0.25">
      <c r="A233" s="8">
        <v>42782.9687962963</v>
      </c>
      <c r="B233" t="s">
        <v>265</v>
      </c>
      <c r="C233" t="s">
        <v>389</v>
      </c>
      <c r="D233" s="150">
        <v>2540000</v>
      </c>
      <c r="E233" t="s">
        <v>224</v>
      </c>
      <c r="F233" s="20" t="s">
        <v>225</v>
      </c>
      <c r="G233" s="8" t="str">
        <f t="shared" si="3"/>
        <v>MCREYNOLDS KYLE</v>
      </c>
    </row>
    <row r="234" spans="1:7" x14ac:dyDescent="0.25">
      <c r="A234" s="8">
        <v>42782.990868055553</v>
      </c>
      <c r="B234" t="s">
        <v>256</v>
      </c>
      <c r="C234" t="s">
        <v>390</v>
      </c>
      <c r="D234" s="150">
        <v>2270000</v>
      </c>
      <c r="E234" t="s">
        <v>235</v>
      </c>
      <c r="F234" s="20" t="s">
        <v>236</v>
      </c>
      <c r="G234" s="8" t="str">
        <f t="shared" si="3"/>
        <v>BROWN JACOB</v>
      </c>
    </row>
    <row r="235" spans="1:7" x14ac:dyDescent="0.25">
      <c r="A235" s="8">
        <v>42782.996261574073</v>
      </c>
      <c r="B235" t="s">
        <v>215</v>
      </c>
      <c r="C235" t="s">
        <v>391</v>
      </c>
      <c r="D235" s="150">
        <v>1800000</v>
      </c>
      <c r="E235" t="s">
        <v>258</v>
      </c>
      <c r="F235" s="20" t="s">
        <v>259</v>
      </c>
      <c r="G235" s="8" t="str">
        <f t="shared" si="3"/>
        <v>CHANDLER KELVIN</v>
      </c>
    </row>
    <row r="236" spans="1:7" x14ac:dyDescent="0.25">
      <c r="A236" s="8">
        <v>42783.001770833333</v>
      </c>
      <c r="B236" t="s">
        <v>256</v>
      </c>
      <c r="C236" t="s">
        <v>390</v>
      </c>
      <c r="D236" s="150">
        <v>2270000</v>
      </c>
      <c r="E236" t="s">
        <v>235</v>
      </c>
      <c r="F236" s="20" t="s">
        <v>236</v>
      </c>
      <c r="G236" s="8" t="str">
        <f t="shared" si="3"/>
        <v>BROWN JACOB</v>
      </c>
    </row>
    <row r="237" spans="1:7" x14ac:dyDescent="0.25">
      <c r="A237" s="8">
        <v>42783.006655092591</v>
      </c>
      <c r="B237" t="s">
        <v>192</v>
      </c>
      <c r="C237" t="s">
        <v>392</v>
      </c>
      <c r="D237" s="150">
        <v>2220000</v>
      </c>
      <c r="E237" t="s">
        <v>217</v>
      </c>
      <c r="F237" s="20" t="s">
        <v>218</v>
      </c>
      <c r="G237" s="8" t="str">
        <f t="shared" si="3"/>
        <v>HILLS DUSTIN</v>
      </c>
    </row>
    <row r="238" spans="1:7" x14ac:dyDescent="0.25">
      <c r="A238" s="8">
        <v>42783.010775462964</v>
      </c>
      <c r="B238" t="s">
        <v>227</v>
      </c>
      <c r="C238" t="s">
        <v>393</v>
      </c>
      <c r="D238" s="150">
        <v>2540000</v>
      </c>
      <c r="E238" t="s">
        <v>224</v>
      </c>
      <c r="F238" s="20" t="s">
        <v>225</v>
      </c>
      <c r="G238" s="8" t="str">
        <f t="shared" si="3"/>
        <v>MCREYNOLDS KYLE</v>
      </c>
    </row>
    <row r="239" spans="1:7" x14ac:dyDescent="0.25">
      <c r="A239" s="8">
        <v>42783.028078703705</v>
      </c>
      <c r="B239" t="s">
        <v>237</v>
      </c>
      <c r="C239" t="s">
        <v>394</v>
      </c>
      <c r="D239" s="150">
        <v>1800000</v>
      </c>
      <c r="E239" t="s">
        <v>258</v>
      </c>
      <c r="F239" s="20" t="s">
        <v>259</v>
      </c>
      <c r="G239" s="8" t="str">
        <f t="shared" si="3"/>
        <v>CHANDLER KELVIN</v>
      </c>
    </row>
    <row r="240" spans="1:7" x14ac:dyDescent="0.25">
      <c r="A240" s="8">
        <v>42783.036631944444</v>
      </c>
      <c r="B240" t="s">
        <v>257</v>
      </c>
      <c r="C240" t="s">
        <v>395</v>
      </c>
      <c r="D240" s="150">
        <v>2270000</v>
      </c>
      <c r="E240" t="s">
        <v>235</v>
      </c>
      <c r="F240" s="20" t="s">
        <v>236</v>
      </c>
      <c r="G240" s="8" t="str">
        <f t="shared" si="3"/>
        <v>BROWN JACOB</v>
      </c>
    </row>
    <row r="241" spans="1:7" x14ac:dyDescent="0.25">
      <c r="A241" s="8">
        <v>42783.046157407407</v>
      </c>
      <c r="B241" t="s">
        <v>291</v>
      </c>
      <c r="C241" t="s">
        <v>396</v>
      </c>
      <c r="D241" s="150">
        <v>2220000</v>
      </c>
      <c r="E241" t="s">
        <v>217</v>
      </c>
      <c r="F241" s="20" t="s">
        <v>218</v>
      </c>
      <c r="G241" s="8" t="str">
        <f t="shared" si="3"/>
        <v>HILLS DUSTIN</v>
      </c>
    </row>
    <row r="242" spans="1:7" x14ac:dyDescent="0.25">
      <c r="A242" s="8">
        <v>42783.050011574072</v>
      </c>
      <c r="B242" t="s">
        <v>265</v>
      </c>
      <c r="C242" t="s">
        <v>397</v>
      </c>
      <c r="D242" s="150">
        <v>2540000</v>
      </c>
      <c r="E242" t="s">
        <v>224</v>
      </c>
      <c r="F242" s="20" t="s">
        <v>225</v>
      </c>
      <c r="G242" s="8" t="str">
        <f t="shared" si="3"/>
        <v>MCREYNOLDS KYLE</v>
      </c>
    </row>
    <row r="243" spans="1:7" x14ac:dyDescent="0.25">
      <c r="A243" s="8">
        <v>42783.071111111109</v>
      </c>
      <c r="B243" t="s">
        <v>256</v>
      </c>
      <c r="C243" t="s">
        <v>398</v>
      </c>
      <c r="D243" s="150">
        <v>2270000</v>
      </c>
      <c r="E243" t="s">
        <v>235</v>
      </c>
      <c r="F243" s="20" t="s">
        <v>236</v>
      </c>
      <c r="G243" s="8" t="str">
        <f t="shared" si="3"/>
        <v>BROWN JACOB</v>
      </c>
    </row>
    <row r="244" spans="1:7" x14ac:dyDescent="0.25">
      <c r="A244" s="8">
        <v>42783.084085648145</v>
      </c>
      <c r="B244" t="s">
        <v>277</v>
      </c>
      <c r="C244" t="s">
        <v>399</v>
      </c>
      <c r="D244" s="150">
        <v>2670000</v>
      </c>
      <c r="E244" t="s">
        <v>246</v>
      </c>
      <c r="F244" s="20" t="s">
        <v>247</v>
      </c>
      <c r="G244" s="8" t="str">
        <f t="shared" si="3"/>
        <v>COMELLA JUSTIN</v>
      </c>
    </row>
    <row r="245" spans="1:7" x14ac:dyDescent="0.25">
      <c r="A245" s="8">
        <v>42783.08935185185</v>
      </c>
      <c r="B245" t="s">
        <v>192</v>
      </c>
      <c r="C245" t="s">
        <v>400</v>
      </c>
      <c r="D245" s="150">
        <v>2220000</v>
      </c>
      <c r="E245" t="s">
        <v>217</v>
      </c>
      <c r="F245" s="20" t="s">
        <v>218</v>
      </c>
      <c r="G245" s="8" t="str">
        <f t="shared" si="3"/>
        <v>HILLS DUSTIN</v>
      </c>
    </row>
    <row r="246" spans="1:7" x14ac:dyDescent="0.25">
      <c r="A246" s="8">
        <v>42781.902129629627</v>
      </c>
      <c r="B246" t="s">
        <v>290</v>
      </c>
      <c r="C246" t="s">
        <v>330</v>
      </c>
      <c r="D246" s="150">
        <v>2220000</v>
      </c>
      <c r="E246" t="s">
        <v>217</v>
      </c>
      <c r="F246" s="20" t="s">
        <v>218</v>
      </c>
      <c r="G246" s="8" t="str">
        <f t="shared" si="3"/>
        <v>HILLS DUSTIN</v>
      </c>
    </row>
    <row r="247" spans="1:7" x14ac:dyDescent="0.25">
      <c r="A247" s="8">
        <v>42781.904374999998</v>
      </c>
      <c r="B247" t="s">
        <v>291</v>
      </c>
      <c r="C247" t="s">
        <v>331</v>
      </c>
      <c r="D247" s="150">
        <v>1800000</v>
      </c>
      <c r="E247" t="s">
        <v>258</v>
      </c>
      <c r="F247" s="20" t="s">
        <v>259</v>
      </c>
      <c r="G247" s="8" t="str">
        <f t="shared" si="3"/>
        <v>CHANDLER KELVIN</v>
      </c>
    </row>
    <row r="248" spans="1:7" x14ac:dyDescent="0.25">
      <c r="A248" s="8">
        <v>42781.912268518521</v>
      </c>
      <c r="B248" t="s">
        <v>277</v>
      </c>
      <c r="C248" t="s">
        <v>332</v>
      </c>
      <c r="D248" s="150">
        <v>2270000</v>
      </c>
      <c r="E248" t="s">
        <v>235</v>
      </c>
      <c r="F248" s="20" t="s">
        <v>236</v>
      </c>
      <c r="G248" s="8" t="str">
        <f t="shared" si="3"/>
        <v>BROWN JACOB</v>
      </c>
    </row>
    <row r="249" spans="1:7" x14ac:dyDescent="0.25">
      <c r="A249" s="8">
        <v>42781.927060185182</v>
      </c>
      <c r="B249" t="s">
        <v>278</v>
      </c>
      <c r="C249" t="s">
        <v>333</v>
      </c>
      <c r="D249" s="150">
        <v>2540000</v>
      </c>
      <c r="E249" t="s">
        <v>224</v>
      </c>
      <c r="F249" s="20" t="s">
        <v>225</v>
      </c>
      <c r="G249" s="8" t="str">
        <f t="shared" si="3"/>
        <v>MCREYNOLDS KYLE</v>
      </c>
    </row>
    <row r="250" spans="1:7" x14ac:dyDescent="0.25">
      <c r="A250" s="8">
        <v>42781.927256944444</v>
      </c>
      <c r="B250" t="s">
        <v>192</v>
      </c>
      <c r="C250" t="s">
        <v>334</v>
      </c>
      <c r="D250" s="150">
        <v>1800000</v>
      </c>
      <c r="E250" t="s">
        <v>258</v>
      </c>
      <c r="F250" s="20" t="s">
        <v>259</v>
      </c>
      <c r="G250" s="8" t="str">
        <f t="shared" si="3"/>
        <v>CHANDLER KELVIN</v>
      </c>
    </row>
    <row r="251" spans="1:7" x14ac:dyDescent="0.25">
      <c r="A251" s="8">
        <v>42781.930393518516</v>
      </c>
      <c r="B251" t="s">
        <v>244</v>
      </c>
      <c r="C251" t="s">
        <v>335</v>
      </c>
      <c r="D251" s="150">
        <v>1740000</v>
      </c>
      <c r="E251" t="s">
        <v>231</v>
      </c>
      <c r="F251" s="20" t="s">
        <v>232</v>
      </c>
      <c r="G251" s="8" t="str">
        <f t="shared" si="3"/>
        <v>STORY SAMANTHA</v>
      </c>
    </row>
    <row r="252" spans="1:7" x14ac:dyDescent="0.25">
      <c r="A252" s="8">
        <v>42781.94394675926</v>
      </c>
      <c r="B252" t="s">
        <v>291</v>
      </c>
      <c r="C252" t="s">
        <v>336</v>
      </c>
      <c r="D252" s="150">
        <v>1800000</v>
      </c>
      <c r="E252" t="s">
        <v>258</v>
      </c>
      <c r="F252" s="20" t="s">
        <v>259</v>
      </c>
      <c r="G252" s="8" t="str">
        <f t="shared" si="3"/>
        <v>CHANDLER KELVIN</v>
      </c>
    </row>
    <row r="253" spans="1:7" x14ac:dyDescent="0.25">
      <c r="A253" s="8">
        <v>42781.948125000003</v>
      </c>
      <c r="B253" t="s">
        <v>271</v>
      </c>
      <c r="C253" t="s">
        <v>337</v>
      </c>
      <c r="D253" s="150">
        <v>2270000</v>
      </c>
      <c r="E253" t="s">
        <v>235</v>
      </c>
      <c r="F253" s="20" t="s">
        <v>236</v>
      </c>
      <c r="G253" s="8" t="str">
        <f t="shared" si="3"/>
        <v>BROWN JACOB</v>
      </c>
    </row>
    <row r="254" spans="1:7" x14ac:dyDescent="0.25">
      <c r="A254" s="8">
        <v>42781.950277777774</v>
      </c>
      <c r="B254" t="s">
        <v>289</v>
      </c>
      <c r="C254" t="s">
        <v>338</v>
      </c>
      <c r="D254" s="150">
        <v>970000</v>
      </c>
      <c r="E254" t="s">
        <v>339</v>
      </c>
      <c r="F254" s="20" t="s">
        <v>340</v>
      </c>
      <c r="G254" s="8" t="str">
        <f t="shared" si="3"/>
        <v>JACKSON WILLIAM</v>
      </c>
    </row>
    <row r="255" spans="1:7" x14ac:dyDescent="0.25">
      <c r="A255" s="8">
        <v>42781.971203703702</v>
      </c>
      <c r="B255" t="s">
        <v>248</v>
      </c>
      <c r="C255" t="s">
        <v>341</v>
      </c>
      <c r="D255" s="150">
        <v>1740000</v>
      </c>
      <c r="E255" t="s">
        <v>231</v>
      </c>
      <c r="F255" s="20" t="s">
        <v>232</v>
      </c>
      <c r="G255" s="8" t="str">
        <f t="shared" si="3"/>
        <v>STORY SAMANTHA</v>
      </c>
    </row>
    <row r="256" spans="1:7" x14ac:dyDescent="0.25">
      <c r="A256" s="8">
        <v>42781.974733796298</v>
      </c>
      <c r="B256" t="s">
        <v>251</v>
      </c>
      <c r="C256" t="s">
        <v>316</v>
      </c>
      <c r="D256" s="150">
        <v>2540000</v>
      </c>
      <c r="E256" t="s">
        <v>224</v>
      </c>
      <c r="F256" s="20" t="s">
        <v>225</v>
      </c>
      <c r="G256" s="8" t="str">
        <f t="shared" si="3"/>
        <v>MCREYNOLDS KYLE</v>
      </c>
    </row>
    <row r="257" spans="1:7" x14ac:dyDescent="0.25">
      <c r="A257" s="8">
        <v>42781.995208333334</v>
      </c>
      <c r="B257" t="s">
        <v>277</v>
      </c>
      <c r="C257" t="s">
        <v>342</v>
      </c>
      <c r="D257" s="150">
        <v>2270000</v>
      </c>
      <c r="E257" t="s">
        <v>235</v>
      </c>
      <c r="F257" s="20" t="s">
        <v>236</v>
      </c>
      <c r="G257" s="8" t="str">
        <f t="shared" si="3"/>
        <v>BROWN JACOB</v>
      </c>
    </row>
    <row r="258" spans="1:7" x14ac:dyDescent="0.25">
      <c r="A258" s="8">
        <v>42781.995740740742</v>
      </c>
      <c r="B258" t="s">
        <v>290</v>
      </c>
      <c r="C258" t="s">
        <v>343</v>
      </c>
      <c r="D258" s="150">
        <v>970000</v>
      </c>
      <c r="E258" t="s">
        <v>339</v>
      </c>
      <c r="F258" s="20" t="s">
        <v>340</v>
      </c>
      <c r="G258" s="8" t="str">
        <f t="shared" si="3"/>
        <v>JACKSON WILLIAM</v>
      </c>
    </row>
    <row r="259" spans="1:7" x14ac:dyDescent="0.25">
      <c r="A259" s="8">
        <v>42782.01158564815</v>
      </c>
      <c r="B259" t="s">
        <v>244</v>
      </c>
      <c r="C259" t="s">
        <v>317</v>
      </c>
      <c r="D259" s="150">
        <v>1740000</v>
      </c>
      <c r="E259" t="s">
        <v>231</v>
      </c>
      <c r="F259" s="20" t="s">
        <v>232</v>
      </c>
      <c r="G259" s="8" t="str">
        <f t="shared" ref="G259:G322" si="4">E259&amp;" "&amp;F259</f>
        <v>STORY SAMANTHA</v>
      </c>
    </row>
    <row r="260" spans="1:7" x14ac:dyDescent="0.25">
      <c r="A260" s="8">
        <v>42782.018333333333</v>
      </c>
      <c r="B260" t="s">
        <v>278</v>
      </c>
      <c r="C260" t="s">
        <v>344</v>
      </c>
      <c r="D260" s="150">
        <v>2540000</v>
      </c>
      <c r="E260" t="s">
        <v>224</v>
      </c>
      <c r="F260" s="20" t="s">
        <v>225</v>
      </c>
      <c r="G260" s="8" t="str">
        <f t="shared" si="4"/>
        <v>MCREYNOLDS KYLE</v>
      </c>
    </row>
    <row r="261" spans="1:7" x14ac:dyDescent="0.25">
      <c r="A261" s="8">
        <v>42782.034189814818</v>
      </c>
      <c r="B261" t="s">
        <v>271</v>
      </c>
      <c r="C261" t="s">
        <v>345</v>
      </c>
      <c r="D261" s="150">
        <v>2270000</v>
      </c>
      <c r="E261" t="s">
        <v>235</v>
      </c>
      <c r="F261" s="20" t="s">
        <v>236</v>
      </c>
      <c r="G261" s="8" t="str">
        <f t="shared" si="4"/>
        <v>BROWN JACOB</v>
      </c>
    </row>
    <row r="262" spans="1:7" x14ac:dyDescent="0.25">
      <c r="A262" s="8">
        <v>42782.034398148149</v>
      </c>
      <c r="B262" t="s">
        <v>289</v>
      </c>
      <c r="C262" t="s">
        <v>346</v>
      </c>
      <c r="D262" s="150">
        <v>970000</v>
      </c>
      <c r="E262" t="s">
        <v>339</v>
      </c>
      <c r="F262" s="20" t="s">
        <v>340</v>
      </c>
      <c r="G262" s="8" t="str">
        <f t="shared" si="4"/>
        <v>JACKSON WILLIAM</v>
      </c>
    </row>
    <row r="263" spans="1:7" x14ac:dyDescent="0.25">
      <c r="A263" s="8">
        <v>42782.051817129628</v>
      </c>
      <c r="B263" t="s">
        <v>248</v>
      </c>
      <c r="C263" t="s">
        <v>347</v>
      </c>
      <c r="D263" s="150">
        <v>1740000</v>
      </c>
      <c r="E263" t="s">
        <v>231</v>
      </c>
      <c r="F263" s="20" t="s">
        <v>232</v>
      </c>
      <c r="G263" s="8" t="str">
        <f t="shared" si="4"/>
        <v>STORY SAMANTHA</v>
      </c>
    </row>
    <row r="264" spans="1:7" x14ac:dyDescent="0.25">
      <c r="A264" s="8">
        <v>42782.05678240741</v>
      </c>
      <c r="B264" t="s">
        <v>251</v>
      </c>
      <c r="C264" t="s">
        <v>348</v>
      </c>
      <c r="D264" s="150">
        <v>2540000</v>
      </c>
      <c r="E264" t="s">
        <v>224</v>
      </c>
      <c r="F264" s="20" t="s">
        <v>225</v>
      </c>
      <c r="G264" s="8" t="str">
        <f t="shared" si="4"/>
        <v>MCREYNOLDS KYLE</v>
      </c>
    </row>
    <row r="265" spans="1:7" x14ac:dyDescent="0.25">
      <c r="A265" s="8">
        <v>42782.074502314812</v>
      </c>
      <c r="B265" t="s">
        <v>277</v>
      </c>
      <c r="C265" t="s">
        <v>349</v>
      </c>
      <c r="D265" s="150">
        <v>2270000</v>
      </c>
      <c r="E265" t="s">
        <v>235</v>
      </c>
      <c r="F265" s="20" t="s">
        <v>236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220</v>
      </c>
      <c r="C266" t="s">
        <v>241</v>
      </c>
      <c r="D266" s="150">
        <v>2540000</v>
      </c>
      <c r="E266" t="s">
        <v>224</v>
      </c>
      <c r="F266" s="20" t="s">
        <v>225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237</v>
      </c>
      <c r="C267" t="s">
        <v>243</v>
      </c>
      <c r="D267" s="150">
        <v>2450000</v>
      </c>
      <c r="E267" t="s">
        <v>239</v>
      </c>
      <c r="F267" s="20" t="s">
        <v>240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234</v>
      </c>
      <c r="C268" t="s">
        <v>249</v>
      </c>
      <c r="D268" s="150">
        <v>2270000</v>
      </c>
      <c r="E268" t="s">
        <v>235</v>
      </c>
      <c r="F268" s="20" t="s">
        <v>236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219</v>
      </c>
      <c r="C269" t="s">
        <v>242</v>
      </c>
      <c r="D269" s="150">
        <v>2540000</v>
      </c>
      <c r="E269" t="s">
        <v>224</v>
      </c>
      <c r="F269" s="20" t="s">
        <v>225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223</v>
      </c>
      <c r="C270" t="s">
        <v>250</v>
      </c>
      <c r="D270" s="150">
        <v>1810000</v>
      </c>
      <c r="E270" t="s">
        <v>205</v>
      </c>
      <c r="F270" s="20" t="s">
        <v>199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248</v>
      </c>
      <c r="C271" t="s">
        <v>245</v>
      </c>
      <c r="D271" s="150">
        <v>2670000</v>
      </c>
      <c r="E271" t="s">
        <v>246</v>
      </c>
      <c r="F271" s="20" t="s">
        <v>247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215</v>
      </c>
      <c r="C272" t="s">
        <v>238</v>
      </c>
      <c r="D272" s="150">
        <v>2450000</v>
      </c>
      <c r="E272" t="s">
        <v>239</v>
      </c>
      <c r="F272" s="20" t="s">
        <v>240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220</v>
      </c>
      <c r="C273" t="s">
        <v>241</v>
      </c>
      <c r="D273" s="150">
        <v>2540000</v>
      </c>
      <c r="E273" t="s">
        <v>224</v>
      </c>
      <c r="F273" s="20" t="s">
        <v>225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40.630000000000003</v>
      </c>
      <c r="B2" s="167">
        <v>0.46</v>
      </c>
      <c r="C2" s="167">
        <v>16.3</v>
      </c>
      <c r="D2" s="8">
        <v>42784</v>
      </c>
      <c r="E2" s="167">
        <v>0.37</v>
      </c>
      <c r="F2" s="167" t="s">
        <v>252</v>
      </c>
      <c r="G2" s="167">
        <v>288.94</v>
      </c>
      <c r="H2" s="167">
        <v>0</v>
      </c>
      <c r="I2" s="167">
        <v>0</v>
      </c>
      <c r="J2" s="167">
        <v>1007.37</v>
      </c>
      <c r="K2" s="167" t="s">
        <v>254</v>
      </c>
      <c r="L2" s="167">
        <v>40.630000000000003</v>
      </c>
      <c r="M2" s="167">
        <v>1487401200</v>
      </c>
      <c r="N2" s="167">
        <v>4.12</v>
      </c>
      <c r="O2" s="167">
        <v>202</v>
      </c>
      <c r="P2" s="167">
        <v>1.1100000000000001</v>
      </c>
      <c r="Q2"/>
      <c r="R2"/>
    </row>
    <row r="3" spans="1:18" x14ac:dyDescent="0.25">
      <c r="A3" s="167">
        <v>39.92</v>
      </c>
      <c r="B3" s="167">
        <v>0.36</v>
      </c>
      <c r="C3" s="167">
        <v>16.809999999999999</v>
      </c>
      <c r="D3" s="8">
        <v>42784.041666666664</v>
      </c>
      <c r="E3" s="167">
        <v>0.39</v>
      </c>
      <c r="F3" s="167" t="s">
        <v>252</v>
      </c>
      <c r="G3" s="167">
        <v>288.92</v>
      </c>
      <c r="H3" s="167">
        <v>0</v>
      </c>
      <c r="I3" s="167">
        <v>0</v>
      </c>
      <c r="J3" s="167">
        <v>1007.54</v>
      </c>
      <c r="K3" s="167" t="s">
        <v>254</v>
      </c>
      <c r="L3" s="167">
        <v>39.92</v>
      </c>
      <c r="M3" s="167">
        <v>1487404800</v>
      </c>
      <c r="N3" s="167">
        <v>4.0999999999999996</v>
      </c>
      <c r="O3" s="167">
        <v>215</v>
      </c>
      <c r="P3" s="167">
        <v>2.15</v>
      </c>
      <c r="Q3"/>
      <c r="R3"/>
    </row>
    <row r="4" spans="1:18" x14ac:dyDescent="0.25">
      <c r="A4" s="167">
        <v>39.26</v>
      </c>
      <c r="B4" s="167">
        <v>0.25</v>
      </c>
      <c r="C4" s="167">
        <v>17.04</v>
      </c>
      <c r="D4" s="8">
        <v>42784.083333333336</v>
      </c>
      <c r="E4" s="167">
        <v>0.4</v>
      </c>
      <c r="F4" s="167" t="s">
        <v>252</v>
      </c>
      <c r="G4" s="167">
        <v>288.89999999999998</v>
      </c>
      <c r="H4" s="167">
        <v>0</v>
      </c>
      <c r="I4" s="167">
        <v>0</v>
      </c>
      <c r="J4" s="167">
        <v>1007.73</v>
      </c>
      <c r="K4" s="167" t="s">
        <v>254</v>
      </c>
      <c r="L4" s="167">
        <v>39.26</v>
      </c>
      <c r="M4" s="167">
        <v>1487408400</v>
      </c>
      <c r="N4" s="167">
        <v>3.54</v>
      </c>
      <c r="O4" s="167">
        <v>223</v>
      </c>
      <c r="P4" s="167">
        <v>1.59</v>
      </c>
      <c r="Q4"/>
      <c r="R4"/>
    </row>
    <row r="5" spans="1:18" x14ac:dyDescent="0.25">
      <c r="A5" s="167">
        <v>37.53</v>
      </c>
      <c r="B5" s="167">
        <v>0.39</v>
      </c>
      <c r="C5" s="167">
        <v>16.760000000000002</v>
      </c>
      <c r="D5" s="8">
        <v>42784.125</v>
      </c>
      <c r="E5" s="167">
        <v>0.42</v>
      </c>
      <c r="F5" s="167" t="s">
        <v>252</v>
      </c>
      <c r="G5" s="167">
        <v>288.05</v>
      </c>
      <c r="H5" s="167">
        <v>0</v>
      </c>
      <c r="I5" s="167">
        <v>0</v>
      </c>
      <c r="J5" s="167">
        <v>1007.91</v>
      </c>
      <c r="K5" s="167" t="s">
        <v>254</v>
      </c>
      <c r="L5" s="167">
        <v>37.53</v>
      </c>
      <c r="M5" s="167">
        <v>1487412000</v>
      </c>
      <c r="N5" s="167">
        <v>3.43</v>
      </c>
      <c r="O5" s="167">
        <v>248</v>
      </c>
      <c r="P5" s="167">
        <v>1.62</v>
      </c>
      <c r="Q5"/>
      <c r="R5"/>
    </row>
    <row r="6" spans="1:18" x14ac:dyDescent="0.25">
      <c r="A6" s="167">
        <v>37.130000000000003</v>
      </c>
      <c r="B6" s="167">
        <v>0.61</v>
      </c>
      <c r="C6" s="167">
        <v>17.079999999999998</v>
      </c>
      <c r="D6" s="8">
        <v>42784.166666666664</v>
      </c>
      <c r="E6" s="167">
        <v>0.44</v>
      </c>
      <c r="F6" s="167" t="s">
        <v>252</v>
      </c>
      <c r="G6" s="167">
        <v>286.87</v>
      </c>
      <c r="H6" s="167">
        <v>0</v>
      </c>
      <c r="I6" s="167">
        <v>0</v>
      </c>
      <c r="J6" s="167">
        <v>1008.08</v>
      </c>
      <c r="K6" s="167" t="s">
        <v>679</v>
      </c>
      <c r="L6" s="167">
        <v>37.130000000000003</v>
      </c>
      <c r="M6" s="167">
        <v>1487415600</v>
      </c>
      <c r="N6" s="167">
        <v>3.62</v>
      </c>
      <c r="O6" s="167">
        <v>281</v>
      </c>
      <c r="P6" s="167">
        <v>1.23</v>
      </c>
      <c r="Q6"/>
      <c r="R6"/>
    </row>
    <row r="7" spans="1:18" x14ac:dyDescent="0.25">
      <c r="A7" s="167">
        <v>37.369999999999997</v>
      </c>
      <c r="B7" s="167">
        <v>0.73</v>
      </c>
      <c r="C7" s="167">
        <v>19.63</v>
      </c>
      <c r="D7" s="8">
        <v>42784.208333333336</v>
      </c>
      <c r="E7" s="167">
        <v>0.48</v>
      </c>
      <c r="F7" s="167" t="s">
        <v>252</v>
      </c>
      <c r="G7" s="167">
        <v>285.86</v>
      </c>
      <c r="H7" s="167">
        <v>0</v>
      </c>
      <c r="I7" s="167">
        <v>0</v>
      </c>
      <c r="J7" s="167">
        <v>1008.15</v>
      </c>
      <c r="K7" s="167" t="s">
        <v>679</v>
      </c>
      <c r="L7" s="167">
        <v>37.369999999999997</v>
      </c>
      <c r="M7" s="167">
        <v>1487419200</v>
      </c>
      <c r="N7" s="167">
        <v>4.8099999999999996</v>
      </c>
      <c r="O7" s="167">
        <v>243</v>
      </c>
      <c r="P7" s="167">
        <v>1.1200000000000001</v>
      </c>
      <c r="Q7"/>
      <c r="R7"/>
    </row>
    <row r="8" spans="1:18" x14ac:dyDescent="0.25">
      <c r="A8" s="167">
        <v>38.11</v>
      </c>
      <c r="B8" s="167">
        <v>0.68</v>
      </c>
      <c r="C8" s="167">
        <v>21.26</v>
      </c>
      <c r="D8" s="8">
        <v>42784.25</v>
      </c>
      <c r="E8" s="167">
        <v>0.5</v>
      </c>
      <c r="F8" s="167" t="s">
        <v>252</v>
      </c>
      <c r="G8" s="167">
        <v>285.33999999999997</v>
      </c>
      <c r="H8" s="167">
        <v>0</v>
      </c>
      <c r="I8" s="167">
        <v>0</v>
      </c>
      <c r="J8" s="167">
        <v>1008.15</v>
      </c>
      <c r="K8" s="167" t="s">
        <v>679</v>
      </c>
      <c r="L8" s="167">
        <v>38.11</v>
      </c>
      <c r="M8" s="167">
        <v>1487422800</v>
      </c>
      <c r="N8" s="167">
        <v>4.83</v>
      </c>
      <c r="O8" s="167">
        <v>238</v>
      </c>
      <c r="P8" s="167">
        <v>1.32</v>
      </c>
      <c r="Q8"/>
      <c r="R8"/>
    </row>
    <row r="9" spans="1:18" x14ac:dyDescent="0.25">
      <c r="A9" s="167">
        <v>37.93</v>
      </c>
      <c r="B9" s="167">
        <v>0.67</v>
      </c>
      <c r="C9" s="167">
        <v>19.59</v>
      </c>
      <c r="D9" s="8">
        <v>42784.291666666664</v>
      </c>
      <c r="E9" s="167">
        <v>0.47</v>
      </c>
      <c r="F9" s="167" t="s">
        <v>253</v>
      </c>
      <c r="G9" s="167">
        <v>284.99</v>
      </c>
      <c r="H9" s="167">
        <v>0</v>
      </c>
      <c r="I9" s="167">
        <v>0</v>
      </c>
      <c r="J9" s="167">
        <v>1008.03</v>
      </c>
      <c r="K9" s="167" t="s">
        <v>679</v>
      </c>
      <c r="L9" s="167">
        <v>37.93</v>
      </c>
      <c r="M9" s="167">
        <v>1487426400</v>
      </c>
      <c r="N9" s="167">
        <v>3.96</v>
      </c>
      <c r="O9" s="167">
        <v>238</v>
      </c>
      <c r="P9" s="167">
        <v>0.83</v>
      </c>
      <c r="Q9"/>
      <c r="R9"/>
    </row>
    <row r="10" spans="1:18" x14ac:dyDescent="0.25">
      <c r="A10" s="167">
        <v>39.04</v>
      </c>
      <c r="B10" s="167">
        <v>0.66</v>
      </c>
      <c r="C10" s="167">
        <v>20.83</v>
      </c>
      <c r="D10" s="8">
        <v>42784.333333333336</v>
      </c>
      <c r="E10" s="167">
        <v>0.48</v>
      </c>
      <c r="F10" s="167" t="s">
        <v>253</v>
      </c>
      <c r="G10" s="167">
        <v>284.41000000000003</v>
      </c>
      <c r="H10" s="167">
        <v>0</v>
      </c>
      <c r="I10" s="167">
        <v>0</v>
      </c>
      <c r="J10" s="167">
        <v>1007.6</v>
      </c>
      <c r="K10" s="167" t="s">
        <v>679</v>
      </c>
      <c r="L10" s="167">
        <v>39.04</v>
      </c>
      <c r="M10" s="167">
        <v>1487430000</v>
      </c>
      <c r="N10" s="167">
        <v>3.56</v>
      </c>
      <c r="O10" s="167">
        <v>259</v>
      </c>
      <c r="P10" s="167">
        <v>1.72</v>
      </c>
      <c r="Q10"/>
      <c r="R10"/>
    </row>
    <row r="11" spans="1:18" x14ac:dyDescent="0.25">
      <c r="A11" s="167">
        <v>42.58</v>
      </c>
      <c r="B11" s="167">
        <v>0.77</v>
      </c>
      <c r="C11" s="167">
        <v>22.81</v>
      </c>
      <c r="D11" s="8">
        <v>42784.375</v>
      </c>
      <c r="E11" s="167">
        <v>0.45</v>
      </c>
      <c r="F11" s="167" t="s">
        <v>253</v>
      </c>
      <c r="G11" s="167">
        <v>283.32</v>
      </c>
      <c r="H11" s="167">
        <v>0</v>
      </c>
      <c r="I11" s="167">
        <v>0</v>
      </c>
      <c r="J11" s="167">
        <v>1006.62</v>
      </c>
      <c r="K11" s="167" t="s">
        <v>679</v>
      </c>
      <c r="L11" s="167">
        <v>42.58</v>
      </c>
      <c r="M11" s="167">
        <v>1487433600</v>
      </c>
      <c r="N11" s="167">
        <v>3.46</v>
      </c>
      <c r="O11" s="167">
        <v>247</v>
      </c>
      <c r="P11" s="167">
        <v>1.98</v>
      </c>
      <c r="Q11"/>
      <c r="R11"/>
    </row>
    <row r="12" spans="1:18" x14ac:dyDescent="0.25">
      <c r="A12" s="167">
        <v>47.2</v>
      </c>
      <c r="B12" s="167">
        <v>0.82</v>
      </c>
      <c r="C12" s="167">
        <v>24.09</v>
      </c>
      <c r="D12" s="8">
        <v>42784.416666666664</v>
      </c>
      <c r="E12" s="167">
        <v>0.4</v>
      </c>
      <c r="F12" s="167" t="s">
        <v>253</v>
      </c>
      <c r="G12" s="167">
        <v>281.99</v>
      </c>
      <c r="H12" s="167">
        <v>0</v>
      </c>
      <c r="I12" s="167">
        <v>0</v>
      </c>
      <c r="J12" s="167">
        <v>1005.38</v>
      </c>
      <c r="K12" s="167" t="s">
        <v>679</v>
      </c>
      <c r="L12" s="167">
        <v>47.2</v>
      </c>
      <c r="M12" s="167">
        <v>1487437200</v>
      </c>
      <c r="N12" s="167">
        <v>3.03</v>
      </c>
      <c r="O12" s="167">
        <v>203</v>
      </c>
      <c r="P12" s="167">
        <v>1.72</v>
      </c>
      <c r="Q12"/>
      <c r="R12"/>
    </row>
    <row r="13" spans="1:18" x14ac:dyDescent="0.25">
      <c r="A13" s="167">
        <v>53.17</v>
      </c>
      <c r="B13" s="167">
        <v>0.92</v>
      </c>
      <c r="C13" s="167">
        <v>24.9</v>
      </c>
      <c r="D13" s="8">
        <v>42784.458333333336</v>
      </c>
      <c r="E13" s="167">
        <v>0.33</v>
      </c>
      <c r="F13" s="167" t="s">
        <v>253</v>
      </c>
      <c r="G13" s="167">
        <v>280.87</v>
      </c>
      <c r="H13" s="167">
        <v>0</v>
      </c>
      <c r="I13" s="167">
        <v>0</v>
      </c>
      <c r="J13" s="167">
        <v>1004.31</v>
      </c>
      <c r="K13" s="167" t="s">
        <v>679</v>
      </c>
      <c r="L13" s="167">
        <v>53.17</v>
      </c>
      <c r="M13" s="167">
        <v>1487440800</v>
      </c>
      <c r="N13" s="167">
        <v>3.03</v>
      </c>
      <c r="O13" s="167">
        <v>159</v>
      </c>
      <c r="P13" s="167">
        <v>0.48</v>
      </c>
      <c r="Q13"/>
      <c r="R13"/>
    </row>
    <row r="14" spans="1:18" x14ac:dyDescent="0.25">
      <c r="A14" s="167">
        <v>58.28</v>
      </c>
      <c r="B14" s="167">
        <v>0.87</v>
      </c>
      <c r="C14" s="167">
        <v>25.35</v>
      </c>
      <c r="D14" s="8">
        <v>42784.5</v>
      </c>
      <c r="E14" s="167">
        <v>0.28000000000000003</v>
      </c>
      <c r="F14" s="167" t="s">
        <v>253</v>
      </c>
      <c r="G14" s="167">
        <v>280.19</v>
      </c>
      <c r="H14" s="167">
        <v>0</v>
      </c>
      <c r="I14" s="167">
        <v>0</v>
      </c>
      <c r="J14" s="167">
        <v>1003.39</v>
      </c>
      <c r="K14" s="167" t="s">
        <v>679</v>
      </c>
      <c r="L14" s="167">
        <v>58.28</v>
      </c>
      <c r="M14" s="167">
        <v>1487444400</v>
      </c>
      <c r="N14" s="167">
        <v>3.03</v>
      </c>
      <c r="O14" s="167">
        <v>116</v>
      </c>
      <c r="P14" s="167">
        <v>0.61</v>
      </c>
      <c r="Q14"/>
      <c r="R14"/>
    </row>
    <row r="15" spans="1:18" x14ac:dyDescent="0.25">
      <c r="A15" s="167">
        <v>61.3</v>
      </c>
      <c r="B15" s="167">
        <v>0.82</v>
      </c>
      <c r="C15" s="167">
        <v>25.66</v>
      </c>
      <c r="D15" s="8">
        <v>42784.541666666664</v>
      </c>
      <c r="E15" s="167">
        <v>0.25</v>
      </c>
      <c r="F15" s="167" t="s">
        <v>253</v>
      </c>
      <c r="G15" s="167">
        <v>279.70999999999998</v>
      </c>
      <c r="H15" s="167">
        <v>0</v>
      </c>
      <c r="I15" s="167">
        <v>0</v>
      </c>
      <c r="J15" s="167">
        <v>1002.46</v>
      </c>
      <c r="K15" s="167" t="s">
        <v>679</v>
      </c>
      <c r="L15" s="167">
        <v>61.3</v>
      </c>
      <c r="M15" s="167">
        <v>1487448000</v>
      </c>
      <c r="N15" s="167">
        <v>3.17</v>
      </c>
      <c r="O15" s="167">
        <v>80</v>
      </c>
      <c r="P15" s="167">
        <v>1.98</v>
      </c>
      <c r="Q15"/>
      <c r="R15"/>
    </row>
    <row r="16" spans="1:18" x14ac:dyDescent="0.25">
      <c r="A16" s="167">
        <v>64.760000000000005</v>
      </c>
      <c r="B16" s="167">
        <v>0.75</v>
      </c>
      <c r="C16" s="167">
        <v>27.15</v>
      </c>
      <c r="D16" s="8">
        <v>42784.583333333336</v>
      </c>
      <c r="E16" s="167">
        <v>0.24</v>
      </c>
      <c r="F16" s="167" t="s">
        <v>253</v>
      </c>
      <c r="G16" s="167">
        <v>279.12</v>
      </c>
      <c r="H16" s="167">
        <v>0</v>
      </c>
      <c r="I16" s="167">
        <v>0</v>
      </c>
      <c r="J16" s="167">
        <v>1001.66</v>
      </c>
      <c r="K16" s="167" t="s">
        <v>679</v>
      </c>
      <c r="L16" s="167">
        <v>64.760000000000005</v>
      </c>
      <c r="M16" s="167">
        <v>1487451600</v>
      </c>
      <c r="N16" s="167">
        <v>3.03</v>
      </c>
      <c r="O16" s="167">
        <v>157</v>
      </c>
      <c r="P16" s="167">
        <v>0.76</v>
      </c>
      <c r="Q16"/>
      <c r="R16"/>
    </row>
    <row r="17" spans="1:18" x14ac:dyDescent="0.25">
      <c r="A17" s="167">
        <v>65.540000000000006</v>
      </c>
      <c r="B17" s="167">
        <v>0.66</v>
      </c>
      <c r="C17" s="167">
        <v>27.29</v>
      </c>
      <c r="D17" s="8">
        <v>42784.625</v>
      </c>
      <c r="E17" s="167">
        <v>0.24</v>
      </c>
      <c r="F17" s="167" t="s">
        <v>253</v>
      </c>
      <c r="G17" s="167">
        <v>278.17</v>
      </c>
      <c r="H17" s="167">
        <v>0</v>
      </c>
      <c r="I17" s="167">
        <v>0</v>
      </c>
      <c r="J17" s="167">
        <v>1001.04</v>
      </c>
      <c r="K17" s="167" t="s">
        <v>679</v>
      </c>
      <c r="L17" s="167">
        <v>65.540000000000006</v>
      </c>
      <c r="M17" s="167">
        <v>1487455200</v>
      </c>
      <c r="N17" s="167">
        <v>3.08</v>
      </c>
      <c r="O17" s="167">
        <v>146</v>
      </c>
      <c r="P17" s="167">
        <v>2.72</v>
      </c>
      <c r="Q17"/>
      <c r="R17"/>
    </row>
    <row r="18" spans="1:18" x14ac:dyDescent="0.25">
      <c r="A18" s="167">
        <v>64.06</v>
      </c>
      <c r="B18" s="167">
        <v>0.63</v>
      </c>
      <c r="C18" s="167">
        <v>24.94</v>
      </c>
      <c r="D18" s="8">
        <v>42784.666666666664</v>
      </c>
      <c r="E18" s="167">
        <v>0.22</v>
      </c>
      <c r="F18" s="167" t="s">
        <v>253</v>
      </c>
      <c r="G18" s="167">
        <v>277.12</v>
      </c>
      <c r="H18" s="167">
        <v>0</v>
      </c>
      <c r="I18" s="167">
        <v>0</v>
      </c>
      <c r="J18" s="167">
        <v>1000.65</v>
      </c>
      <c r="K18" s="167" t="s">
        <v>679</v>
      </c>
      <c r="L18" s="167">
        <v>64.06</v>
      </c>
      <c r="M18" s="167">
        <v>1487458800</v>
      </c>
      <c r="N18" s="167">
        <v>5.51</v>
      </c>
      <c r="O18" s="167">
        <v>117</v>
      </c>
      <c r="P18" s="167">
        <v>2.36</v>
      </c>
      <c r="Q18"/>
      <c r="R18"/>
    </row>
    <row r="19" spans="1:18" x14ac:dyDescent="0.25">
      <c r="A19" s="167">
        <v>61.75</v>
      </c>
      <c r="B19" s="167">
        <v>0.47</v>
      </c>
      <c r="C19" s="167">
        <v>24.85</v>
      </c>
      <c r="D19" s="8">
        <v>42784.708333333336</v>
      </c>
      <c r="E19" s="167">
        <v>0.24</v>
      </c>
      <c r="F19" s="167" t="s">
        <v>253</v>
      </c>
      <c r="G19" s="167">
        <v>276.42</v>
      </c>
      <c r="H19" s="167">
        <v>0</v>
      </c>
      <c r="I19" s="167">
        <v>0</v>
      </c>
      <c r="J19" s="167">
        <v>1000.63</v>
      </c>
      <c r="K19" s="167" t="s">
        <v>254</v>
      </c>
      <c r="L19" s="167">
        <v>61.75</v>
      </c>
      <c r="M19" s="167">
        <v>1487462400</v>
      </c>
      <c r="N19" s="167">
        <v>5.93</v>
      </c>
      <c r="O19" s="167">
        <v>177</v>
      </c>
      <c r="P19" s="167">
        <v>2.44</v>
      </c>
      <c r="Q19"/>
      <c r="R19"/>
    </row>
    <row r="20" spans="1:18" x14ac:dyDescent="0.25">
      <c r="A20" s="167">
        <v>58.44</v>
      </c>
      <c r="B20" s="167">
        <v>0.47</v>
      </c>
      <c r="C20" s="167">
        <v>24.71</v>
      </c>
      <c r="D20" s="8">
        <v>42784.75</v>
      </c>
      <c r="E20" s="167">
        <v>0.27</v>
      </c>
      <c r="F20" s="167" t="s">
        <v>252</v>
      </c>
      <c r="G20" s="167">
        <v>276.32</v>
      </c>
      <c r="H20" s="167">
        <v>0</v>
      </c>
      <c r="I20" s="167">
        <v>0</v>
      </c>
      <c r="J20" s="167">
        <v>1000.8</v>
      </c>
      <c r="K20" s="167" t="s">
        <v>254</v>
      </c>
      <c r="L20" s="167">
        <v>58.44</v>
      </c>
      <c r="M20" s="167">
        <v>1487466000</v>
      </c>
      <c r="N20" s="167">
        <v>6.68</v>
      </c>
      <c r="O20" s="167">
        <v>189</v>
      </c>
      <c r="P20" s="167">
        <v>2.2200000000000002</v>
      </c>
      <c r="Q20"/>
      <c r="R20"/>
    </row>
    <row r="21" spans="1:18" x14ac:dyDescent="0.25">
      <c r="A21" s="167">
        <v>55.16</v>
      </c>
      <c r="B21" s="167">
        <v>0.41</v>
      </c>
      <c r="C21" s="167">
        <v>24.62</v>
      </c>
      <c r="D21" s="8">
        <v>42784.791666666664</v>
      </c>
      <c r="E21" s="167">
        <v>0.3</v>
      </c>
      <c r="F21" s="167" t="s">
        <v>252</v>
      </c>
      <c r="G21" s="167">
        <v>276.57</v>
      </c>
      <c r="H21" s="167">
        <v>0</v>
      </c>
      <c r="I21" s="167">
        <v>0</v>
      </c>
      <c r="J21" s="167">
        <v>1001.62</v>
      </c>
      <c r="K21" s="167" t="s">
        <v>254</v>
      </c>
      <c r="L21" s="167">
        <v>55.16</v>
      </c>
      <c r="M21" s="167">
        <v>1487469600</v>
      </c>
      <c r="N21" s="167">
        <v>7.5</v>
      </c>
      <c r="O21" s="167">
        <v>238</v>
      </c>
      <c r="P21" s="167">
        <v>1.61</v>
      </c>
      <c r="Q21"/>
      <c r="R21"/>
    </row>
    <row r="22" spans="1:18" x14ac:dyDescent="0.25">
      <c r="A22" s="167">
        <v>50.9</v>
      </c>
      <c r="B22" s="167">
        <v>0.39</v>
      </c>
      <c r="C22" s="167">
        <v>24.54</v>
      </c>
      <c r="D22" s="8">
        <v>42784.833333333336</v>
      </c>
      <c r="E22" s="167">
        <v>0.35</v>
      </c>
      <c r="F22" s="167" t="s">
        <v>252</v>
      </c>
      <c r="G22" s="167">
        <v>276.92</v>
      </c>
      <c r="H22" s="167">
        <v>0</v>
      </c>
      <c r="I22" s="167">
        <v>0</v>
      </c>
      <c r="J22" s="167">
        <v>1002.41</v>
      </c>
      <c r="K22" s="167" t="s">
        <v>254</v>
      </c>
      <c r="L22" s="167">
        <v>50.9</v>
      </c>
      <c r="M22" s="167">
        <v>1487473200</v>
      </c>
      <c r="N22" s="167">
        <v>6.32</v>
      </c>
      <c r="O22" s="167">
        <v>225</v>
      </c>
      <c r="P22" s="167">
        <v>1.93</v>
      </c>
      <c r="Q22"/>
      <c r="R22"/>
    </row>
    <row r="23" spans="1:18" x14ac:dyDescent="0.25">
      <c r="A23" s="167">
        <v>49.09</v>
      </c>
      <c r="B23" s="167">
        <v>0.49</v>
      </c>
      <c r="C23" s="167">
        <v>23.97</v>
      </c>
      <c r="D23" s="8">
        <v>42784.875</v>
      </c>
      <c r="E23" s="167">
        <v>0.37</v>
      </c>
      <c r="F23" s="167" t="s">
        <v>252</v>
      </c>
      <c r="G23" s="167">
        <v>277.05</v>
      </c>
      <c r="H23" s="167">
        <v>0</v>
      </c>
      <c r="I23" s="167">
        <v>0</v>
      </c>
      <c r="J23" s="167">
        <v>1002.82</v>
      </c>
      <c r="K23" s="167" t="s">
        <v>254</v>
      </c>
      <c r="L23" s="167">
        <v>49.09</v>
      </c>
      <c r="M23" s="167">
        <v>1487476800</v>
      </c>
      <c r="N23" s="167">
        <v>5.45</v>
      </c>
      <c r="O23" s="167">
        <v>253</v>
      </c>
      <c r="P23" s="167">
        <v>0.9</v>
      </c>
      <c r="Q23"/>
      <c r="R23"/>
    </row>
    <row r="24" spans="1:18" x14ac:dyDescent="0.25">
      <c r="A24" s="167">
        <v>46.53</v>
      </c>
      <c r="B24" s="167">
        <v>0.6</v>
      </c>
      <c r="C24" s="167">
        <v>22.03</v>
      </c>
      <c r="D24" s="8">
        <v>42784.916666666664</v>
      </c>
      <c r="E24" s="167">
        <v>0.38</v>
      </c>
      <c r="F24" s="167" t="s">
        <v>252</v>
      </c>
      <c r="G24" s="167">
        <v>277.27999999999997</v>
      </c>
      <c r="H24" s="167">
        <v>0</v>
      </c>
      <c r="I24" s="167">
        <v>0</v>
      </c>
      <c r="J24" s="167">
        <v>1003.07</v>
      </c>
      <c r="K24" s="167" t="s">
        <v>679</v>
      </c>
      <c r="L24" s="167">
        <v>46.53</v>
      </c>
      <c r="M24" s="167">
        <v>1487480400</v>
      </c>
      <c r="N24" s="167">
        <v>5.36</v>
      </c>
      <c r="O24" s="167">
        <v>205</v>
      </c>
      <c r="P24" s="167">
        <v>1.44</v>
      </c>
      <c r="Q24"/>
      <c r="R24"/>
    </row>
    <row r="25" spans="1:18" x14ac:dyDescent="0.25">
      <c r="A25" s="167">
        <v>43.92</v>
      </c>
      <c r="B25" s="167">
        <v>0.67</v>
      </c>
      <c r="C25" s="167">
        <v>24.01</v>
      </c>
      <c r="D25" s="8">
        <v>42784.958333333336</v>
      </c>
      <c r="E25" s="167">
        <v>0.43</v>
      </c>
      <c r="F25" s="167" t="s">
        <v>252</v>
      </c>
      <c r="G25" s="167">
        <v>278.22000000000003</v>
      </c>
      <c r="H25" s="167">
        <v>0</v>
      </c>
      <c r="I25" s="167">
        <v>0</v>
      </c>
      <c r="J25" s="167">
        <v>1003.36</v>
      </c>
      <c r="K25" s="167" t="s">
        <v>679</v>
      </c>
      <c r="L25" s="167">
        <v>45.13</v>
      </c>
      <c r="M25" s="167">
        <v>1487484000</v>
      </c>
      <c r="N25" s="167">
        <v>10</v>
      </c>
      <c r="O25" s="167">
        <v>203</v>
      </c>
      <c r="P25" s="167">
        <v>3.24</v>
      </c>
      <c r="Q25"/>
      <c r="R25"/>
    </row>
    <row r="26" spans="1:18" x14ac:dyDescent="0.25">
      <c r="A26" s="167">
        <v>42.03</v>
      </c>
      <c r="B26" s="167">
        <v>0.56999999999999995</v>
      </c>
      <c r="C26" s="167">
        <v>24.09</v>
      </c>
      <c r="D26" s="8">
        <v>42785</v>
      </c>
      <c r="E26" s="167">
        <v>0.45</v>
      </c>
      <c r="F26" s="167" t="s">
        <v>252</v>
      </c>
      <c r="G26" s="167">
        <v>280.8</v>
      </c>
      <c r="H26" s="167">
        <v>0</v>
      </c>
      <c r="I26" s="167">
        <v>0</v>
      </c>
      <c r="J26" s="167">
        <v>1003.83</v>
      </c>
      <c r="K26" s="167" t="s">
        <v>254</v>
      </c>
      <c r="L26" s="167">
        <v>44.04</v>
      </c>
      <c r="M26" s="167">
        <v>1487487600</v>
      </c>
      <c r="N26" s="167">
        <v>10</v>
      </c>
      <c r="O26" s="167">
        <v>216</v>
      </c>
      <c r="P26" s="167">
        <v>3.95</v>
      </c>
      <c r="Q26"/>
      <c r="R26"/>
    </row>
    <row r="27" spans="1:18" x14ac:dyDescent="0.25">
      <c r="A27" s="167">
        <v>42.88</v>
      </c>
      <c r="B27" s="167">
        <v>0.57999999999999996</v>
      </c>
      <c r="C27" s="167">
        <v>24.5</v>
      </c>
      <c r="D27" s="8">
        <v>42785.041666666664</v>
      </c>
      <c r="E27" s="167">
        <v>0.48</v>
      </c>
      <c r="F27" s="167" t="s">
        <v>252</v>
      </c>
      <c r="G27" s="167">
        <v>283.38</v>
      </c>
      <c r="H27" s="167">
        <v>0</v>
      </c>
      <c r="I27" s="167">
        <v>0</v>
      </c>
      <c r="J27" s="167">
        <v>1004.26</v>
      </c>
      <c r="K27" s="167" t="s">
        <v>254</v>
      </c>
      <c r="L27" s="167">
        <v>42.88</v>
      </c>
      <c r="M27" s="167">
        <v>1487491200</v>
      </c>
      <c r="N27" s="167">
        <v>5.61</v>
      </c>
      <c r="O27" s="167">
        <v>214</v>
      </c>
      <c r="P27" s="167">
        <v>2.06</v>
      </c>
      <c r="Q27"/>
      <c r="R27"/>
    </row>
    <row r="28" spans="1:18" x14ac:dyDescent="0.25">
      <c r="A28" s="167">
        <v>42.02</v>
      </c>
      <c r="B28" s="167">
        <v>0.4</v>
      </c>
      <c r="C28" s="167">
        <v>24.65</v>
      </c>
      <c r="D28" s="8">
        <v>42785.083333333336</v>
      </c>
      <c r="E28" s="167">
        <v>0.5</v>
      </c>
      <c r="F28" s="167" t="s">
        <v>252</v>
      </c>
      <c r="G28" s="167">
        <v>285.95999999999998</v>
      </c>
      <c r="H28" s="167">
        <v>0</v>
      </c>
      <c r="I28" s="167">
        <v>0</v>
      </c>
      <c r="J28" s="167">
        <v>1004.67</v>
      </c>
      <c r="K28" s="167" t="s">
        <v>254</v>
      </c>
      <c r="L28" s="167">
        <v>42.02</v>
      </c>
      <c r="M28" s="167">
        <v>1487494800</v>
      </c>
      <c r="N28" s="167">
        <v>3.91</v>
      </c>
      <c r="O28" s="167">
        <v>229</v>
      </c>
      <c r="P28" s="167">
        <v>2.37</v>
      </c>
      <c r="Q28"/>
      <c r="R28"/>
    </row>
    <row r="29" spans="1:18" x14ac:dyDescent="0.25">
      <c r="A29" s="167">
        <v>35.24</v>
      </c>
      <c r="B29" s="167">
        <v>0.4</v>
      </c>
      <c r="C29" s="167">
        <v>21.63</v>
      </c>
      <c r="D29" s="8">
        <v>42785.125</v>
      </c>
      <c r="E29" s="167">
        <v>0.5</v>
      </c>
      <c r="F29" s="167" t="s">
        <v>252</v>
      </c>
      <c r="G29" s="167">
        <v>287.89999999999998</v>
      </c>
      <c r="H29" s="167">
        <v>0</v>
      </c>
      <c r="I29" s="167">
        <v>0</v>
      </c>
      <c r="J29" s="167">
        <v>1005.12</v>
      </c>
      <c r="K29" s="167" t="s">
        <v>254</v>
      </c>
      <c r="L29" s="167">
        <v>38.54</v>
      </c>
      <c r="M29" s="167">
        <v>1487498400</v>
      </c>
      <c r="N29" s="167">
        <v>6.52</v>
      </c>
      <c r="O29" s="167">
        <v>214</v>
      </c>
      <c r="P29" s="167">
        <v>4.43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42784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824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825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826</v>
      </c>
      <c r="J20" s="152" t="s">
        <v>87</v>
      </c>
      <c r="M20" s="152" t="s">
        <v>213</v>
      </c>
    </row>
    <row r="21" spans="3:13" x14ac:dyDescent="0.25">
      <c r="C21" t="s">
        <v>827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828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829</v>
      </c>
      <c r="J23" s="162" t="s">
        <v>95</v>
      </c>
      <c r="M23" s="152" t="str">
        <f>"-07"</f>
        <v>-07</v>
      </c>
    </row>
    <row r="24" spans="3:13" x14ac:dyDescent="0.25">
      <c r="C24" t="s">
        <v>830</v>
      </c>
      <c r="J24" s="152" t="s">
        <v>108</v>
      </c>
      <c r="M24" s="152" t="s">
        <v>110</v>
      </c>
    </row>
    <row r="25" spans="3:13" x14ac:dyDescent="0.25">
      <c r="C25" t="s">
        <v>831</v>
      </c>
      <c r="J25" s="152" t="s">
        <v>150</v>
      </c>
      <c r="M25" s="152" t="b">
        <v>1</v>
      </c>
    </row>
    <row r="26" spans="3:13" x14ac:dyDescent="0.25">
      <c r="C26" t="s">
        <v>832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C:\Users\stu\Documents\GitHub\eaglep3-reporting\EC\2017-02-18-refined-times.txt</v>
      </c>
    </row>
    <row r="27" spans="3:13" x14ac:dyDescent="0.25">
      <c r="C27" t="s">
        <v>833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C:\Users\stu\Documents\GitHub\eaglep3-reporting\EC\2017-02-18-Enforcements.txt</v>
      </c>
    </row>
    <row r="28" spans="3:13" x14ac:dyDescent="0.25">
      <c r="C28" t="s">
        <v>834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C:\Users\stu\Documents\GitHub\eaglep3-reporting\EC\2017-02-18-Runs-refined.txt</v>
      </c>
    </row>
    <row r="29" spans="3:13" x14ac:dyDescent="0.25">
      <c r="C29" t="s">
        <v>835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C:\Users\stu\Documents\GitHub\eaglep3-reporting\EC\2017-02-18-Trips.txt</v>
      </c>
    </row>
    <row r="30" spans="3:13" x14ac:dyDescent="0.25">
      <c r="C30" t="s">
        <v>836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C:\Users\stu\Documents\GitHub\eaglep3-reporting\EC\2017-02-18-Weather.txt</v>
      </c>
    </row>
    <row r="31" spans="3:13" x14ac:dyDescent="0.25">
      <c r="C31" t="s">
        <v>837</v>
      </c>
      <c r="J31" s="152" t="s">
        <v>211</v>
      </c>
      <c r="M31" s="152" t="s">
        <v>212</v>
      </c>
    </row>
    <row r="32" spans="3:13" x14ac:dyDescent="0.25">
      <c r="C32" t="s">
        <v>838</v>
      </c>
    </row>
    <row r="33" spans="3:3" x14ac:dyDescent="0.25">
      <c r="C33" t="s">
        <v>839</v>
      </c>
    </row>
    <row r="34" spans="3:3" x14ac:dyDescent="0.25">
      <c r="C34" t="s">
        <v>840</v>
      </c>
    </row>
    <row r="35" spans="3:3" x14ac:dyDescent="0.25">
      <c r="C35" t="s">
        <v>841</v>
      </c>
    </row>
    <row r="36" spans="3:3" x14ac:dyDescent="0.25">
      <c r="C36" t="s">
        <v>842</v>
      </c>
    </row>
    <row r="37" spans="3:3" x14ac:dyDescent="0.25">
      <c r="C37" t="s">
        <v>843</v>
      </c>
    </row>
    <row r="38" spans="3:3" x14ac:dyDescent="0.25">
      <c r="C38" t="s">
        <v>844</v>
      </c>
    </row>
    <row r="39" spans="3:3" x14ac:dyDescent="0.25">
      <c r="C39" t="s">
        <v>845</v>
      </c>
    </row>
    <row r="40" spans="3:3" x14ac:dyDescent="0.25">
      <c r="C40" t="s">
        <v>846</v>
      </c>
    </row>
    <row r="41" spans="3:3" x14ac:dyDescent="0.25">
      <c r="C41" t="s">
        <v>847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3" workbookViewId="0">
      <selection activeCell="C66" sqref="C66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857</v>
      </c>
      <c r="B1" t="str">
        <f t="shared" ref="B1:B30" si="0">MID(A1,6,23)</f>
        <v>2017/02/18 11:27:59.055</v>
      </c>
      <c r="C1" t="e">
        <f>ABS(B1-#REF!)</f>
        <v>#REF!</v>
      </c>
    </row>
    <row r="2" spans="1:3" x14ac:dyDescent="0.25">
      <c r="A2" t="s">
        <v>858</v>
      </c>
      <c r="B2" s="20" t="str">
        <f t="shared" si="0"/>
        <v>2017/02/18 11:27:59.168</v>
      </c>
      <c r="C2">
        <f>ABS(B2-B1)</f>
        <v>1.3078752090223134E-6</v>
      </c>
    </row>
    <row r="3" spans="1:3" x14ac:dyDescent="0.25">
      <c r="A3" t="s">
        <v>859</v>
      </c>
      <c r="B3" s="20" t="str">
        <f t="shared" si="0"/>
        <v>2017/02/18 11:27:59.235</v>
      </c>
      <c r="C3" s="20">
        <f t="shared" ref="C3:C30" si="1">ABS(B3-B2)</f>
        <v>7.7546428656205535E-7</v>
      </c>
    </row>
    <row r="4" spans="1:3" x14ac:dyDescent="0.25">
      <c r="A4" t="s">
        <v>860</v>
      </c>
      <c r="B4" s="20" t="str">
        <f t="shared" si="0"/>
        <v>2017/02/18 11:29:03.060</v>
      </c>
      <c r="C4" s="20">
        <f t="shared" si="1"/>
        <v>7.3871527274604887E-4</v>
      </c>
    </row>
    <row r="5" spans="1:3" x14ac:dyDescent="0.25">
      <c r="A5" t="s">
        <v>861</v>
      </c>
      <c r="B5" s="20" t="str">
        <f t="shared" si="0"/>
        <v>2017/02/18 11:29:03.176</v>
      </c>
      <c r="C5" s="20">
        <f t="shared" si="1"/>
        <v>1.3425960787571967E-6</v>
      </c>
    </row>
    <row r="6" spans="1:3" x14ac:dyDescent="0.25">
      <c r="A6" t="s">
        <v>862</v>
      </c>
      <c r="B6" s="20" t="str">
        <f t="shared" si="0"/>
        <v>2017/02/18 11:29:03.238</v>
      </c>
      <c r="C6" s="20">
        <f t="shared" si="1"/>
        <v>7.1759131969884038E-7</v>
      </c>
    </row>
    <row r="7" spans="1:3" x14ac:dyDescent="0.25">
      <c r="A7" t="s">
        <v>863</v>
      </c>
      <c r="B7" s="20" t="str">
        <f t="shared" si="0"/>
        <v>2017/02/18 14:28:34.912</v>
      </c>
      <c r="C7" s="20">
        <f t="shared" si="1"/>
        <v>0.12467215277865762</v>
      </c>
    </row>
    <row r="8" spans="1:3" x14ac:dyDescent="0.25">
      <c r="A8" t="s">
        <v>864</v>
      </c>
      <c r="B8" s="20" t="str">
        <f t="shared" si="0"/>
        <v>2017/02/18 14:28:36.075</v>
      </c>
      <c r="C8" s="20">
        <f t="shared" si="1"/>
        <v>1.3460645277518779E-5</v>
      </c>
    </row>
    <row r="9" spans="1:3" x14ac:dyDescent="0.25">
      <c r="A9" t="s">
        <v>865</v>
      </c>
      <c r="B9" s="20" t="str">
        <f t="shared" si="0"/>
        <v>2017/02/18 14:28:36.128</v>
      </c>
      <c r="C9" s="20">
        <f t="shared" si="1"/>
        <v>6.1342871049419045E-7</v>
      </c>
    </row>
    <row r="10" spans="1:3" x14ac:dyDescent="0.25">
      <c r="A10" t="s">
        <v>866</v>
      </c>
      <c r="B10" s="20" t="str">
        <f t="shared" si="0"/>
        <v>2017/02/18 14:57:15.176</v>
      </c>
      <c r="C10" s="20">
        <f t="shared" si="1"/>
        <v>1.9896388890629169E-2</v>
      </c>
    </row>
    <row r="11" spans="1:3" x14ac:dyDescent="0.25">
      <c r="A11" t="s">
        <v>867</v>
      </c>
      <c r="B11" s="20" t="str">
        <f t="shared" si="0"/>
        <v>2017/02/18 14:57:15.240</v>
      </c>
      <c r="C11" s="20">
        <f t="shared" si="1"/>
        <v>7.4073614086955786E-7</v>
      </c>
    </row>
    <row r="12" spans="1:3" x14ac:dyDescent="0.25">
      <c r="A12" t="s">
        <v>868</v>
      </c>
      <c r="B12" s="20" t="str">
        <f t="shared" si="0"/>
        <v>2017/02/18 14:57:16.065</v>
      </c>
      <c r="C12" s="20">
        <f t="shared" si="1"/>
        <v>9.5486102509312332E-6</v>
      </c>
    </row>
    <row r="13" spans="1:3" x14ac:dyDescent="0.25">
      <c r="A13" t="s">
        <v>869</v>
      </c>
      <c r="B13" s="20" t="str">
        <f t="shared" si="0"/>
        <v>2017/02/18 16:23:59.944</v>
      </c>
      <c r="C13" s="20">
        <f t="shared" si="1"/>
        <v>6.0230081020563375E-2</v>
      </c>
    </row>
    <row r="14" spans="1:3" x14ac:dyDescent="0.25">
      <c r="A14" t="s">
        <v>870</v>
      </c>
      <c r="B14" s="20" t="str">
        <f t="shared" si="0"/>
        <v>2017/02/18 16:24:00.546</v>
      </c>
      <c r="C14" s="20">
        <f t="shared" si="1"/>
        <v>6.9675952545367181E-6</v>
      </c>
    </row>
    <row r="15" spans="1:3" x14ac:dyDescent="0.25">
      <c r="A15" t="s">
        <v>871</v>
      </c>
      <c r="B15" s="20" t="str">
        <f t="shared" si="0"/>
        <v>2017/02/18 16:24:00.595</v>
      </c>
      <c r="C15" s="20">
        <f t="shared" si="1"/>
        <v>5.6712451623752713E-7</v>
      </c>
    </row>
    <row r="16" spans="1:3" x14ac:dyDescent="0.25">
      <c r="A16" t="s">
        <v>872</v>
      </c>
      <c r="B16" s="20" t="str">
        <f t="shared" si="0"/>
        <v>2017/02/18 16:56:35.169</v>
      </c>
      <c r="C16" s="20">
        <f t="shared" si="1"/>
        <v>2.2622384261921979E-2</v>
      </c>
    </row>
    <row r="17" spans="1:3" x14ac:dyDescent="0.25">
      <c r="A17" t="s">
        <v>873</v>
      </c>
      <c r="B17" s="20" t="str">
        <f t="shared" si="0"/>
        <v>2017/02/18 16:56:36.220</v>
      </c>
      <c r="C17" s="20">
        <f t="shared" si="1"/>
        <v>1.2164353393018246E-5</v>
      </c>
    </row>
    <row r="18" spans="1:3" x14ac:dyDescent="0.25">
      <c r="A18" t="s">
        <v>874</v>
      </c>
      <c r="B18" s="20" t="str">
        <f t="shared" si="0"/>
        <v>2017/02/18 17:50:39.934</v>
      </c>
      <c r="C18" s="20">
        <f t="shared" si="1"/>
        <v>3.7542986108746845E-2</v>
      </c>
    </row>
    <row r="19" spans="1:3" x14ac:dyDescent="0.25">
      <c r="A19" t="s">
        <v>875</v>
      </c>
      <c r="B19" s="20" t="str">
        <f t="shared" si="0"/>
        <v>2017/02/18 17:50:40.343</v>
      </c>
      <c r="C19" s="20">
        <f t="shared" si="1"/>
        <v>4.7337962314486504E-6</v>
      </c>
    </row>
    <row r="20" spans="1:3" x14ac:dyDescent="0.25">
      <c r="A20" t="s">
        <v>876</v>
      </c>
      <c r="B20" s="20" t="str">
        <f t="shared" si="0"/>
        <v>2017/02/18 17:50:40.484</v>
      </c>
      <c r="C20" s="20">
        <f t="shared" si="1"/>
        <v>1.6319463611580431E-6</v>
      </c>
    </row>
    <row r="21" spans="1:3" x14ac:dyDescent="0.25">
      <c r="A21" t="s">
        <v>877</v>
      </c>
      <c r="B21" s="20" t="str">
        <f t="shared" si="0"/>
        <v>2017/02/18 18:04:53.628</v>
      </c>
      <c r="C21" s="20">
        <f t="shared" si="1"/>
        <v>9.8743518537958153E-3</v>
      </c>
    </row>
    <row r="22" spans="1:3" x14ac:dyDescent="0.25">
      <c r="A22" t="s">
        <v>878</v>
      </c>
      <c r="B22" s="20" t="str">
        <f t="shared" si="0"/>
        <v>2017/02/18 18:04:53.824</v>
      </c>
      <c r="C22" s="20">
        <f t="shared" si="1"/>
        <v>2.2685126168653369E-6</v>
      </c>
    </row>
    <row r="23" spans="1:3" x14ac:dyDescent="0.25">
      <c r="A23" t="s">
        <v>879</v>
      </c>
      <c r="B23" s="20" t="str">
        <f t="shared" si="0"/>
        <v>2017/02/18 18:04:53.841</v>
      </c>
      <c r="C23" s="20">
        <f t="shared" si="1"/>
        <v>1.9676372176036239E-7</v>
      </c>
    </row>
    <row r="24" spans="1:3" x14ac:dyDescent="0.25">
      <c r="A24" t="s">
        <v>880</v>
      </c>
      <c r="B24" s="20" t="str">
        <f t="shared" si="0"/>
        <v>2017/02/18 18:06:52.603</v>
      </c>
      <c r="C24" s="20">
        <f t="shared" si="1"/>
        <v>1.3745601827395149E-3</v>
      </c>
    </row>
    <row r="25" spans="1:3" x14ac:dyDescent="0.25">
      <c r="A25" t="s">
        <v>881</v>
      </c>
      <c r="B25" s="20" t="str">
        <f t="shared" si="0"/>
        <v>2017/02/18 18:06:52.949</v>
      </c>
      <c r="C25" s="20">
        <f t="shared" si="1"/>
        <v>4.0046288631856441E-6</v>
      </c>
    </row>
    <row r="26" spans="1:3" x14ac:dyDescent="0.25">
      <c r="A26" t="s">
        <v>882</v>
      </c>
      <c r="B26" s="20" t="str">
        <f t="shared" si="0"/>
        <v>2017/02/18 18:06:53.558</v>
      </c>
      <c r="C26" s="20">
        <f t="shared" si="1"/>
        <v>7.0486130425706506E-6</v>
      </c>
    </row>
    <row r="27" spans="1:3" x14ac:dyDescent="0.25">
      <c r="A27" t="s">
        <v>883</v>
      </c>
      <c r="B27" s="20" t="str">
        <f t="shared" si="0"/>
        <v>2017/02/18 18:36:29.933</v>
      </c>
      <c r="C27" s="20">
        <f t="shared" si="1"/>
        <v>2.0559895834594499E-2</v>
      </c>
    </row>
    <row r="28" spans="1:3" x14ac:dyDescent="0.25">
      <c r="A28" t="s">
        <v>884</v>
      </c>
      <c r="B28" s="20" t="str">
        <f t="shared" si="0"/>
        <v>2017/02/18 18:36:30.583</v>
      </c>
      <c r="C28" s="20">
        <f t="shared" si="1"/>
        <v>7.5231437222100794E-6</v>
      </c>
    </row>
    <row r="29" spans="1:3" x14ac:dyDescent="0.25">
      <c r="A29" t="s">
        <v>885</v>
      </c>
      <c r="B29" s="20" t="str">
        <f t="shared" si="0"/>
        <v>2017/02/18 19:07:48.373</v>
      </c>
      <c r="C29" s="20">
        <f t="shared" si="1"/>
        <v>2.1733680558099877E-2</v>
      </c>
    </row>
    <row r="30" spans="1:3" x14ac:dyDescent="0.25">
      <c r="A30" t="s">
        <v>886</v>
      </c>
      <c r="B30" s="20" t="str">
        <f t="shared" si="0"/>
        <v>2017/02/18 19:07:48.959</v>
      </c>
      <c r="C30" s="20">
        <f t="shared" si="1"/>
        <v>6.7824075813405216E-6</v>
      </c>
    </row>
    <row r="31" spans="1:3" x14ac:dyDescent="0.25">
      <c r="A31" t="s">
        <v>887</v>
      </c>
      <c r="B31" s="20" t="str">
        <f t="shared" ref="B31:B32" si="2">MID(A31,6,23)</f>
        <v>2017/02/18 19:07:49.225</v>
      </c>
      <c r="C31" s="20">
        <f t="shared" ref="C31:C32" si="3">ABS(B31-B30)</f>
        <v>3.0787050491198897E-6</v>
      </c>
    </row>
    <row r="32" spans="1:3" x14ac:dyDescent="0.25">
      <c r="A32" t="s">
        <v>888</v>
      </c>
      <c r="B32" s="20" t="str">
        <f t="shared" si="2"/>
        <v>2017/02/18 19:11:56.954</v>
      </c>
      <c r="C32" s="20">
        <f t="shared" si="3"/>
        <v>2.8672337939497083E-3</v>
      </c>
    </row>
    <row r="33" spans="1:3" x14ac:dyDescent="0.25">
      <c r="A33" t="s">
        <v>889</v>
      </c>
      <c r="B33" s="20" t="str">
        <f t="shared" ref="B33:B49" si="4">MID(A33,6,23)</f>
        <v>2017/02/18 19:11:57.232</v>
      </c>
      <c r="C33" s="20">
        <f t="shared" ref="C33:C49" si="5">ABS(B33-B32)</f>
        <v>3.2175958040170372E-6</v>
      </c>
    </row>
    <row r="34" spans="1:3" x14ac:dyDescent="0.25">
      <c r="A34" t="s">
        <v>890</v>
      </c>
      <c r="B34" s="20" t="str">
        <f t="shared" si="4"/>
        <v>2017/02/18 19:11:57.378</v>
      </c>
      <c r="C34" s="20">
        <f t="shared" si="5"/>
        <v>1.6898120520636439E-6</v>
      </c>
    </row>
    <row r="35" spans="1:3" x14ac:dyDescent="0.25">
      <c r="A35" t="s">
        <v>891</v>
      </c>
      <c r="B35" s="20" t="str">
        <f t="shared" si="4"/>
        <v>2017/02/18 19:13:59.387</v>
      </c>
      <c r="C35" s="20">
        <f t="shared" si="5"/>
        <v>1.4121412023087032E-3</v>
      </c>
    </row>
    <row r="36" spans="1:3" x14ac:dyDescent="0.25">
      <c r="A36" t="s">
        <v>892</v>
      </c>
      <c r="B36" s="20" t="str">
        <f t="shared" si="4"/>
        <v>2017/02/18 19:13:59.478</v>
      </c>
      <c r="C36" s="20">
        <f t="shared" si="5"/>
        <v>1.0532457963563502E-6</v>
      </c>
    </row>
    <row r="37" spans="1:3" x14ac:dyDescent="0.25">
      <c r="A37" t="s">
        <v>893</v>
      </c>
      <c r="B37" s="20" t="str">
        <f t="shared" si="4"/>
        <v>2017/02/18 19:13:59.514</v>
      </c>
      <c r="C37" s="20">
        <f t="shared" si="5"/>
        <v>4.1666498873382807E-7</v>
      </c>
    </row>
    <row r="38" spans="1:3" x14ac:dyDescent="0.25">
      <c r="A38" t="s">
        <v>894</v>
      </c>
      <c r="B38" s="20" t="str">
        <f t="shared" si="4"/>
        <v>2017/02/18 19:16:59.021</v>
      </c>
      <c r="C38" s="20">
        <f t="shared" si="5"/>
        <v>2.077627315884456E-3</v>
      </c>
    </row>
    <row r="39" spans="1:3" x14ac:dyDescent="0.25">
      <c r="A39" t="s">
        <v>895</v>
      </c>
      <c r="B39" s="20" t="str">
        <f t="shared" si="4"/>
        <v>2017/02/18 19:16:59.080</v>
      </c>
      <c r="C39" s="20">
        <f t="shared" si="5"/>
        <v>6.8287044996395707E-7</v>
      </c>
    </row>
    <row r="40" spans="1:3" x14ac:dyDescent="0.25">
      <c r="A40" t="s">
        <v>896</v>
      </c>
      <c r="B40" s="20" t="str">
        <f t="shared" si="4"/>
        <v>2017/02/18 19:16:59.107</v>
      </c>
      <c r="C40" s="20">
        <f t="shared" si="5"/>
        <v>3.1249510357156396E-7</v>
      </c>
    </row>
    <row r="41" spans="1:3" x14ac:dyDescent="0.25">
      <c r="A41" t="s">
        <v>897</v>
      </c>
      <c r="B41" s="20" t="str">
        <f t="shared" si="4"/>
        <v>2017/02/18 19:24:24.172</v>
      </c>
      <c r="C41" s="20">
        <f t="shared" si="5"/>
        <v>5.1512152786017396E-3</v>
      </c>
    </row>
    <row r="42" spans="1:3" x14ac:dyDescent="0.25">
      <c r="A42" t="s">
        <v>898</v>
      </c>
      <c r="B42" s="20" t="str">
        <f t="shared" si="4"/>
        <v>2017/02/18 19:24:24.219</v>
      </c>
      <c r="C42" s="20">
        <f t="shared" si="5"/>
        <v>5.4398697102442384E-7</v>
      </c>
    </row>
    <row r="43" spans="1:3" x14ac:dyDescent="0.25">
      <c r="A43" t="s">
        <v>899</v>
      </c>
      <c r="B43" s="20" t="str">
        <f t="shared" si="4"/>
        <v>2017/02/18 19:24:24.429</v>
      </c>
      <c r="C43" s="20">
        <f t="shared" si="5"/>
        <v>2.430555468890816E-6</v>
      </c>
    </row>
    <row r="44" spans="1:3" x14ac:dyDescent="0.25">
      <c r="A44" t="s">
        <v>900</v>
      </c>
      <c r="B44" s="20" t="str">
        <f t="shared" si="4"/>
        <v>2017/02/18 19:50:09.905</v>
      </c>
      <c r="C44" s="20">
        <f t="shared" si="5"/>
        <v>1.788745370140532E-2</v>
      </c>
    </row>
    <row r="45" spans="1:3" x14ac:dyDescent="0.25">
      <c r="A45" t="s">
        <v>901</v>
      </c>
      <c r="B45" s="20" t="str">
        <f t="shared" si="4"/>
        <v>2017/02/18 20:21:40.617</v>
      </c>
      <c r="C45" s="20">
        <f t="shared" si="5"/>
        <v>2.1883240740862675E-2</v>
      </c>
    </row>
    <row r="46" spans="1:3" x14ac:dyDescent="0.25">
      <c r="A46" t="s">
        <v>902</v>
      </c>
      <c r="B46" s="20" t="str">
        <f t="shared" si="4"/>
        <v>2017/02/18 20:21:46.817</v>
      </c>
      <c r="C46" s="20">
        <f t="shared" si="5"/>
        <v>7.1759255661163479E-5</v>
      </c>
    </row>
    <row r="47" spans="1:3" x14ac:dyDescent="0.25">
      <c r="A47" t="s">
        <v>903</v>
      </c>
      <c r="B47" s="20" t="str">
        <f t="shared" si="4"/>
        <v>2017/02/18 20:55:07.370</v>
      </c>
      <c r="C47" s="20">
        <f t="shared" si="5"/>
        <v>2.3154548616730608E-2</v>
      </c>
    </row>
    <row r="48" spans="1:3" x14ac:dyDescent="0.25">
      <c r="A48" t="s">
        <v>904</v>
      </c>
      <c r="B48" s="20" t="str">
        <f t="shared" si="4"/>
        <v>2017/02/18 20:55:07.959</v>
      </c>
      <c r="C48" s="20">
        <f t="shared" si="5"/>
        <v>6.8171284510754049E-6</v>
      </c>
    </row>
    <row r="49" spans="1:3" x14ac:dyDescent="0.25">
      <c r="A49" t="s">
        <v>905</v>
      </c>
      <c r="B49" s="20" t="str">
        <f t="shared" si="4"/>
        <v>2017/02/18 20:55:08.219</v>
      </c>
      <c r="C49" s="20">
        <f t="shared" si="5"/>
        <v>3.0092560336925089E-6</v>
      </c>
    </row>
    <row r="50" spans="1:3" x14ac:dyDescent="0.25">
      <c r="A50" t="s">
        <v>906</v>
      </c>
      <c r="B50" s="20" t="str">
        <f t="shared" ref="B50:B54" si="6">MID(A50,6,23)</f>
        <v>2017/02/18 20:55:29.421</v>
      </c>
      <c r="C50" s="20">
        <f t="shared" ref="C50:C54" si="7">ABS(B50-B49)</f>
        <v>2.4539352307328954E-4</v>
      </c>
    </row>
    <row r="51" spans="1:3" x14ac:dyDescent="0.25">
      <c r="A51" t="s">
        <v>907</v>
      </c>
      <c r="B51" s="20" t="str">
        <f t="shared" si="6"/>
        <v>2017/02/18 20:55:29.516</v>
      </c>
      <c r="C51" s="20">
        <f t="shared" si="7"/>
        <v>1.0995354386977851E-6</v>
      </c>
    </row>
    <row r="52" spans="1:3" x14ac:dyDescent="0.25">
      <c r="A52" t="s">
        <v>908</v>
      </c>
      <c r="B52" s="20" t="str">
        <f t="shared" si="6"/>
        <v>2017/02/18 20:55:29.557</v>
      </c>
      <c r="C52" s="20">
        <f t="shared" si="7"/>
        <v>4.7453795559704304E-7</v>
      </c>
    </row>
    <row r="53" spans="1:3" x14ac:dyDescent="0.25">
      <c r="A53" t="s">
        <v>909</v>
      </c>
      <c r="B53" s="20" t="str">
        <f t="shared" si="6"/>
        <v>2017/02/18 21:05:13.510</v>
      </c>
      <c r="C53" s="20">
        <f t="shared" si="7"/>
        <v>6.7587152734631673E-3</v>
      </c>
    </row>
    <row r="54" spans="1:3" x14ac:dyDescent="0.25">
      <c r="A54" t="s">
        <v>910</v>
      </c>
      <c r="B54" s="20" t="str">
        <f t="shared" si="6"/>
        <v>2017/02/18 21:05:19.400</v>
      </c>
      <c r="C54" s="20">
        <f t="shared" si="7"/>
        <v>6.8171299062669277E-5</v>
      </c>
    </row>
    <row r="55" spans="1:3" x14ac:dyDescent="0.25">
      <c r="A55" t="s">
        <v>911</v>
      </c>
      <c r="B55" s="20" t="str">
        <f t="shared" ref="B55:B62" si="8">MID(A55,6,23)</f>
        <v>2017/02/18 21:05:19.492</v>
      </c>
      <c r="C55" s="20">
        <f t="shared" ref="C55:C62" si="9">ABS(B55-B54)</f>
        <v>1.0648145689629018E-6</v>
      </c>
    </row>
    <row r="56" spans="1:3" x14ac:dyDescent="0.25">
      <c r="A56" t="s">
        <v>912</v>
      </c>
      <c r="B56" s="20" t="str">
        <f t="shared" si="8"/>
        <v>2017/02/18 21:28:26.829</v>
      </c>
      <c r="C56" s="20">
        <f t="shared" si="9"/>
        <v>1.6057141205237713E-2</v>
      </c>
    </row>
    <row r="57" spans="1:3" x14ac:dyDescent="0.25">
      <c r="A57" t="s">
        <v>913</v>
      </c>
      <c r="B57" s="20" t="str">
        <f t="shared" si="8"/>
        <v>2017/02/18 21:28:26.860</v>
      </c>
      <c r="C57" s="20">
        <f t="shared" si="9"/>
        <v>3.587920218706131E-7</v>
      </c>
    </row>
    <row r="58" spans="1:3" x14ac:dyDescent="0.25">
      <c r="A58" t="s">
        <v>914</v>
      </c>
      <c r="B58" s="20" t="str">
        <f t="shared" si="8"/>
        <v>2017/02/18 21:42:00.183</v>
      </c>
      <c r="C58" s="20">
        <f t="shared" si="9"/>
        <v>9.4134606479201466E-3</v>
      </c>
    </row>
    <row r="59" spans="1:3" x14ac:dyDescent="0.25">
      <c r="A59" t="s">
        <v>915</v>
      </c>
      <c r="B59" s="20" t="str">
        <f t="shared" si="8"/>
        <v>2017/02/18 21:42:00.244</v>
      </c>
      <c r="C59" s="20">
        <f t="shared" si="9"/>
        <v>7.0602254709228873E-7</v>
      </c>
    </row>
    <row r="60" spans="1:3" x14ac:dyDescent="0.25">
      <c r="A60" t="s">
        <v>916</v>
      </c>
      <c r="B60" s="20" t="str">
        <f t="shared" si="8"/>
        <v>2017/02/19 00:17:53.431</v>
      </c>
      <c r="C60" s="20">
        <f t="shared" si="9"/>
        <v>0.10825447916431585</v>
      </c>
    </row>
    <row r="61" spans="1:3" x14ac:dyDescent="0.25">
      <c r="A61" t="s">
        <v>917</v>
      </c>
      <c r="B61" s="20" t="str">
        <f t="shared" si="8"/>
        <v>2017/02/19 00:17:54.172</v>
      </c>
      <c r="C61" s="20">
        <f t="shared" si="9"/>
        <v>8.5763895185664296E-6</v>
      </c>
    </row>
    <row r="62" spans="1:3" x14ac:dyDescent="0.25">
      <c r="A62" t="s">
        <v>918</v>
      </c>
      <c r="B62" s="20" t="str">
        <f t="shared" si="8"/>
        <v>2017/02/19 00:17:54.222</v>
      </c>
      <c r="C62" s="20">
        <f t="shared" si="9"/>
        <v>5.7870056480169296E-7</v>
      </c>
    </row>
    <row r="63" spans="1:3" x14ac:dyDescent="0.25">
      <c r="A63" t="s">
        <v>919</v>
      </c>
      <c r="B63" s="20" t="str">
        <f t="shared" ref="B63:B89" si="10">MID(A63,6,23)</f>
        <v>2017/02/19 01:42:00.593</v>
      </c>
      <c r="C63" s="20">
        <f t="shared" ref="C63:C89" si="11">ABS(B63-B62)</f>
        <v>5.8407071759575047E-2</v>
      </c>
    </row>
    <row r="64" spans="1:3" x14ac:dyDescent="0.25">
      <c r="A64" t="s">
        <v>920</v>
      </c>
      <c r="B64" s="20" t="str">
        <f t="shared" si="10"/>
        <v>2017/02/19 01:42:00.806</v>
      </c>
      <c r="C64" s="20">
        <f t="shared" si="11"/>
        <v>2.4652836145833135E-6</v>
      </c>
    </row>
    <row r="65" spans="1:3" x14ac:dyDescent="0.25">
      <c r="A65" t="s">
        <v>921</v>
      </c>
      <c r="B65" s="20" t="str">
        <f t="shared" si="10"/>
        <v>2017/02/19 01:50:40.958</v>
      </c>
      <c r="C65" s="20">
        <f t="shared" si="11"/>
        <v>6.0202777749509551E-3</v>
      </c>
    </row>
    <row r="66" spans="1:3" x14ac:dyDescent="0.25">
      <c r="A66" t="s">
        <v>922</v>
      </c>
      <c r="B66" s="20" t="str">
        <f t="shared" si="10"/>
        <v>2017/02/19 01:50:41.472</v>
      </c>
      <c r="C66" s="20">
        <f t="shared" si="11"/>
        <v>5.9490703279152513E-6</v>
      </c>
    </row>
    <row r="67" spans="1:3" x14ac:dyDescent="0.25">
      <c r="A67" t="s">
        <v>923</v>
      </c>
      <c r="B67" s="20" t="str">
        <f t="shared" si="10"/>
        <v>2017/02/19 01:50:41.490</v>
      </c>
      <c r="C67" s="20">
        <f t="shared" si="11"/>
        <v>2.0833977032452822E-7</v>
      </c>
    </row>
    <row r="68" spans="1:3" x14ac:dyDescent="0.25">
      <c r="A68" t="s">
        <v>924</v>
      </c>
      <c r="B68" s="20" t="str">
        <f t="shared" si="10"/>
        <v>2017/02/19 01:59:07.438</v>
      </c>
      <c r="C68" s="20">
        <f t="shared" si="11"/>
        <v>5.8558796299621463E-3</v>
      </c>
    </row>
    <row r="69" spans="1:3" x14ac:dyDescent="0.25">
      <c r="A69" t="s">
        <v>925</v>
      </c>
      <c r="B69" s="20" t="str">
        <f t="shared" si="10"/>
        <v>2017/02/19 01:59:07.447</v>
      </c>
      <c r="C69" s="20">
        <f t="shared" si="11"/>
        <v>1.0416260920464993E-7</v>
      </c>
    </row>
    <row r="70" spans="1:3" x14ac:dyDescent="0.25">
      <c r="A70" t="s">
        <v>926</v>
      </c>
      <c r="B70" s="20" t="str">
        <f t="shared" si="10"/>
        <v>2017/02/19 01:59:08.177</v>
      </c>
      <c r="C70" s="20">
        <f t="shared" si="11"/>
        <v>8.449074812233448E-6</v>
      </c>
    </row>
    <row r="71" spans="1:3" x14ac:dyDescent="0.25">
      <c r="A71" t="s">
        <v>927</v>
      </c>
      <c r="B71" s="20" t="str">
        <f t="shared" si="10"/>
        <v>2017/02/19 01:59:08.185</v>
      </c>
      <c r="C71" s="20">
        <f t="shared" si="11"/>
        <v>9.2593836598098278E-8</v>
      </c>
    </row>
    <row r="72" spans="1:3" x14ac:dyDescent="0.25">
      <c r="A72" t="s">
        <v>928</v>
      </c>
      <c r="B72" s="20" t="str">
        <f t="shared" si="10"/>
        <v>2017/02/19 01:59:08.223</v>
      </c>
      <c r="C72" s="20">
        <f t="shared" si="11"/>
        <v>4.3980980990454555E-7</v>
      </c>
    </row>
    <row r="73" spans="1:3" x14ac:dyDescent="0.25">
      <c r="A73" t="s">
        <v>929</v>
      </c>
      <c r="B73" s="20" t="str">
        <f t="shared" si="10"/>
        <v>2017/02/19 01:59:08.231</v>
      </c>
      <c r="C73" s="20">
        <f t="shared" si="11"/>
        <v>9.2593836598098278E-8</v>
      </c>
    </row>
    <row r="74" spans="1:3" x14ac:dyDescent="0.25">
      <c r="A74" t="s">
        <v>930</v>
      </c>
      <c r="B74" s="20" t="str">
        <f t="shared" si="10"/>
        <v>2017/02/19 02:33:45.923</v>
      </c>
      <c r="C74" s="20">
        <f t="shared" si="11"/>
        <v>2.4047361112025101E-2</v>
      </c>
    </row>
    <row r="75" spans="1:3" x14ac:dyDescent="0.25">
      <c r="A75" t="s">
        <v>931</v>
      </c>
      <c r="B75" s="20" t="str">
        <f t="shared" si="10"/>
        <v>2017/02/19 02:33:46.070</v>
      </c>
      <c r="C75" s="20">
        <f t="shared" si="11"/>
        <v>1.7013881006278098E-6</v>
      </c>
    </row>
    <row r="76" spans="1:3" x14ac:dyDescent="0.25">
      <c r="A76" t="s">
        <v>932</v>
      </c>
      <c r="B76" s="20" t="str">
        <f t="shared" si="10"/>
        <v>2017/02/19 02:33:46.127</v>
      </c>
      <c r="C76" s="20">
        <f t="shared" si="11"/>
        <v>6.5972562879323959E-7</v>
      </c>
    </row>
    <row r="77" spans="1:3" x14ac:dyDescent="0.25">
      <c r="A77" t="s">
        <v>933</v>
      </c>
      <c r="B77" s="20" t="str">
        <f t="shared" si="10"/>
        <v>2017/02/19 03:08:08.973</v>
      </c>
      <c r="C77" s="20">
        <f t="shared" si="11"/>
        <v>2.3875532402598765E-2</v>
      </c>
    </row>
    <row r="78" spans="1:3" x14ac:dyDescent="0.25">
      <c r="A78" t="s">
        <v>934</v>
      </c>
      <c r="B78" s="20" t="str">
        <f t="shared" si="10"/>
        <v>2017/02/19 03:08:09.481</v>
      </c>
      <c r="C78" s="20">
        <f t="shared" si="11"/>
        <v>5.8796358644030988E-6</v>
      </c>
    </row>
    <row r="79" spans="1:3" x14ac:dyDescent="0.25">
      <c r="A79" t="s">
        <v>935</v>
      </c>
      <c r="B79" s="20" t="str">
        <f t="shared" si="10"/>
        <v>2017/02/19 03:08:10.509</v>
      </c>
      <c r="C79" s="20">
        <f t="shared" si="11"/>
        <v>1.1898147931788117E-5</v>
      </c>
    </row>
    <row r="80" spans="1:3" x14ac:dyDescent="0.25">
      <c r="A80" t="s">
        <v>936</v>
      </c>
      <c r="B80" s="20" t="str">
        <f t="shared" si="10"/>
        <v>2017/02/19 03:46:33.430</v>
      </c>
      <c r="C80" s="20">
        <f t="shared" si="11"/>
        <v>2.665417824027827E-2</v>
      </c>
    </row>
    <row r="81" spans="1:3" x14ac:dyDescent="0.25">
      <c r="A81" t="s">
        <v>937</v>
      </c>
      <c r="B81" s="20" t="str">
        <f t="shared" si="10"/>
        <v>2017/02/19 03:46:33.845</v>
      </c>
      <c r="C81" s="20">
        <f t="shared" si="11"/>
        <v>4.803237970918417E-6</v>
      </c>
    </row>
    <row r="82" spans="1:3" x14ac:dyDescent="0.25">
      <c r="A82" t="s">
        <v>938</v>
      </c>
      <c r="B82" s="20" t="str">
        <f t="shared" si="10"/>
        <v>2017/02/19 03:46:34.336</v>
      </c>
      <c r="C82" s="20">
        <f t="shared" si="11"/>
        <v>5.6828721426427364E-6</v>
      </c>
    </row>
    <row r="83" spans="1:3" x14ac:dyDescent="0.25">
      <c r="A83" t="s">
        <v>939</v>
      </c>
      <c r="B83" s="20" t="str">
        <f t="shared" si="10"/>
        <v>2017/02/19 04:18:54.846</v>
      </c>
      <c r="C83" s="20">
        <f t="shared" si="11"/>
        <v>2.2459606479969807E-2</v>
      </c>
    </row>
    <row r="84" spans="1:3" x14ac:dyDescent="0.25">
      <c r="A84" t="s">
        <v>940</v>
      </c>
      <c r="B84" s="20" t="str">
        <f t="shared" si="10"/>
        <v>2017/02/19 04:18:54.862</v>
      </c>
      <c r="C84" s="20">
        <f t="shared" si="11"/>
        <v>1.8518767319619656E-7</v>
      </c>
    </row>
    <row r="85" spans="1:3" x14ac:dyDescent="0.25">
      <c r="A85" t="s">
        <v>941</v>
      </c>
      <c r="B85" s="20" t="str">
        <f t="shared" si="10"/>
        <v>2017/02/19 04:22:36.965</v>
      </c>
      <c r="C85" s="20">
        <f t="shared" si="11"/>
        <v>2.5706365704536438E-3</v>
      </c>
    </row>
    <row r="86" spans="1:3" x14ac:dyDescent="0.25">
      <c r="A86" t="s">
        <v>942</v>
      </c>
      <c r="B86" s="20" t="str">
        <f t="shared" si="10"/>
        <v>2017/02/19 04:22:37.226</v>
      </c>
      <c r="C86" s="20">
        <f t="shared" si="11"/>
        <v>3.0208320822566748E-6</v>
      </c>
    </row>
    <row r="87" spans="1:3" x14ac:dyDescent="0.25">
      <c r="A87" t="s">
        <v>943</v>
      </c>
      <c r="B87" s="20" t="str">
        <f t="shared" si="10"/>
        <v>2017/02/19 04:22:37.367</v>
      </c>
      <c r="C87" s="20">
        <f t="shared" si="11"/>
        <v>1.6319463611580431E-6</v>
      </c>
    </row>
    <row r="88" spans="1:3" x14ac:dyDescent="0.25">
      <c r="A88" t="s">
        <v>944</v>
      </c>
      <c r="B88" s="20" t="str">
        <f t="shared" si="10"/>
        <v>2017/02/19 08:33:28.822</v>
      </c>
      <c r="C88" s="20">
        <f t="shared" si="11"/>
        <v>0.17420665509416722</v>
      </c>
    </row>
    <row r="89" spans="1:3" x14ac:dyDescent="0.25">
      <c r="A89" t="s">
        <v>945</v>
      </c>
      <c r="B89" s="20" t="str">
        <f t="shared" si="10"/>
        <v>2017/02/19 08:33:28.843</v>
      </c>
      <c r="C89" s="20">
        <f t="shared" si="11"/>
        <v>2.4305336410179734E-7</v>
      </c>
    </row>
    <row r="90" spans="1:3" x14ac:dyDescent="0.25">
      <c r="B90" s="20"/>
      <c r="C90" s="20"/>
    </row>
    <row r="91" spans="1:3" x14ac:dyDescent="0.25">
      <c r="B91" s="20"/>
      <c r="C91" s="20"/>
    </row>
    <row r="92" spans="1:3" x14ac:dyDescent="0.25">
      <c r="B92" s="20"/>
      <c r="C92" s="20"/>
    </row>
    <row r="93" spans="1:3" x14ac:dyDescent="0.25">
      <c r="B93" s="20"/>
      <c r="C93" s="20"/>
    </row>
    <row r="94" spans="1:3" x14ac:dyDescent="0.25">
      <c r="B94" s="20"/>
      <c r="C94" s="20"/>
    </row>
    <row r="95" spans="1:3" x14ac:dyDescent="0.25">
      <c r="B95" s="20"/>
      <c r="C95" s="20"/>
    </row>
    <row r="96" spans="1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2017-02-21T18:53:58Z</dcterms:modified>
</cp:coreProperties>
</file>