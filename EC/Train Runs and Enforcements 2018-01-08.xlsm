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X206" i="1" l="1"/>
  <c r="K205" i="1"/>
  <c r="L205" i="1"/>
  <c r="M205" i="1"/>
  <c r="N205" i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204" i="1"/>
  <c r="K156" i="1"/>
  <c r="L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48" i="1"/>
  <c r="L148" i="1"/>
  <c r="M148" i="1"/>
  <c r="N148" i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K139" i="1"/>
  <c r="L139" i="1"/>
  <c r="M139" i="1"/>
  <c r="N139" i="1" s="1"/>
  <c r="V139" i="1"/>
  <c r="S10" i="3" s="1"/>
  <c r="AA139" i="1"/>
  <c r="AB139" i="1"/>
  <c r="AC139" i="1"/>
  <c r="AD139" i="1"/>
  <c r="T139" i="1" s="1"/>
  <c r="AE139" i="1"/>
  <c r="R10" i="3" s="1"/>
  <c r="AF139" i="1"/>
  <c r="AH139" i="1"/>
  <c r="AM139" i="1"/>
  <c r="AN139" i="1"/>
  <c r="AO13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14" i="3" s="1"/>
  <c r="Y51" i="1"/>
  <c r="Z51" i="1"/>
  <c r="AB51" i="1"/>
  <c r="AC51" i="1"/>
  <c r="AD51" i="1"/>
  <c r="AE51" i="1"/>
  <c r="R14" i="3" s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R7" i="3" s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/>
  <c r="V76" i="1"/>
  <c r="S13" i="3" s="1"/>
  <c r="Y76" i="1"/>
  <c r="Z76" i="1"/>
  <c r="AB76" i="1"/>
  <c r="AC76" i="1"/>
  <c r="AD76" i="1"/>
  <c r="AE76" i="1"/>
  <c r="R13" i="3" s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P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AA105" i="1" s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S15" i="3" s="1"/>
  <c r="Y130" i="1"/>
  <c r="Z130" i="1"/>
  <c r="AB130" i="1"/>
  <c r="AC130" i="1"/>
  <c r="AD130" i="1"/>
  <c r="AE130" i="1"/>
  <c r="R8" i="3" s="1"/>
  <c r="AF130" i="1"/>
  <c r="AH130" i="1"/>
  <c r="AM130" i="1"/>
  <c r="AN130" i="1"/>
  <c r="AO130" i="1"/>
  <c r="K131" i="1"/>
  <c r="L131" i="1"/>
  <c r="M131" i="1"/>
  <c r="N131" i="1" s="1"/>
  <c r="V131" i="1"/>
  <c r="Y131" i="1"/>
  <c r="AA131" i="1" s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P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/>
  <c r="V135" i="1"/>
  <c r="Y135" i="1"/>
  <c r="Z135" i="1"/>
  <c r="AA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/>
  <c r="V142" i="1"/>
  <c r="S9" i="3" s="1"/>
  <c r="Y142" i="1"/>
  <c r="Z142" i="1"/>
  <c r="AB142" i="1"/>
  <c r="AC142" i="1"/>
  <c r="AD142" i="1"/>
  <c r="X142" i="1" s="1"/>
  <c r="AE142" i="1"/>
  <c r="R9" i="3" s="1"/>
  <c r="AF142" i="1"/>
  <c r="AH142" i="1"/>
  <c r="AM142" i="1"/>
  <c r="AN142" i="1"/>
  <c r="AO142" i="1"/>
  <c r="K143" i="1"/>
  <c r="L143" i="1"/>
  <c r="M143" i="1"/>
  <c r="N143" i="1" s="1"/>
  <c r="T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9" i="1"/>
  <c r="L149" i="1"/>
  <c r="M149" i="1"/>
  <c r="N149" i="1" s="1"/>
  <c r="V149" i="1"/>
  <c r="Y149" i="1"/>
  <c r="Z149" i="1"/>
  <c r="AA149" i="1"/>
  <c r="AB149" i="1"/>
  <c r="AC149" i="1"/>
  <c r="AD149" i="1"/>
  <c r="X149" i="1" s="1"/>
  <c r="AE149" i="1"/>
  <c r="AF149" i="1"/>
  <c r="AH149" i="1"/>
  <c r="AM149" i="1"/>
  <c r="AN149" i="1"/>
  <c r="AO149" i="1"/>
  <c r="K150" i="1"/>
  <c r="L150" i="1"/>
  <c r="M150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AO151" i="1"/>
  <c r="K152" i="1"/>
  <c r="L152" i="1"/>
  <c r="M152" i="1"/>
  <c r="N152" i="1" s="1"/>
  <c r="T152" i="1"/>
  <c r="V152" i="1"/>
  <c r="Y152" i="1"/>
  <c r="Z152" i="1"/>
  <c r="AA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X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207" i="1"/>
  <c r="L207" i="1"/>
  <c r="M207" i="1"/>
  <c r="N207" i="1"/>
  <c r="T207" i="1"/>
  <c r="V207" i="1"/>
  <c r="Y207" i="1"/>
  <c r="Z207" i="1"/>
  <c r="AA207" i="1" s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R27" i="3" s="1"/>
  <c r="AF212" i="1"/>
  <c r="AH163" i="1"/>
  <c r="AM163" i="1"/>
  <c r="AN163" i="1"/>
  <c r="AO163" i="1"/>
  <c r="K213" i="1"/>
  <c r="L213" i="1"/>
  <c r="M213" i="1"/>
  <c r="N213" i="1" s="1"/>
  <c r="V213" i="1"/>
  <c r="X213" i="1"/>
  <c r="Y213" i="1"/>
  <c r="Z213" i="1"/>
  <c r="AA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AA215" i="1" s="1"/>
  <c r="Z215" i="1"/>
  <c r="AB215" i="1"/>
  <c r="AC215" i="1"/>
  <c r="AD215" i="1"/>
  <c r="X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AO16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0" i="1"/>
  <c r="AM170" i="1"/>
  <c r="AN170" i="1"/>
  <c r="AO17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1" i="1"/>
  <c r="AM171" i="1"/>
  <c r="AN171" i="1"/>
  <c r="AO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AO172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173" i="1"/>
  <c r="AM173" i="1"/>
  <c r="AN173" i="1"/>
  <c r="AO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4" i="1"/>
  <c r="AM174" i="1"/>
  <c r="AN174" i="1"/>
  <c r="AO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AO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AO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AO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AO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R31" i="3" s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AO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AO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AO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AO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AO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AO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R28" i="3" s="1"/>
  <c r="AF240" i="1"/>
  <c r="AH186" i="1"/>
  <c r="AM186" i="1"/>
  <c r="AN186" i="1"/>
  <c r="AO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AO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AO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AO18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0" i="1"/>
  <c r="AM190" i="1"/>
  <c r="AN190" i="1"/>
  <c r="AO19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1" i="1"/>
  <c r="AM191" i="1"/>
  <c r="AN191" i="1"/>
  <c r="AO191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2" i="1"/>
  <c r="AM192" i="1"/>
  <c r="AN192" i="1"/>
  <c r="AO192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3" i="1"/>
  <c r="AM193" i="1"/>
  <c r="AN193" i="1"/>
  <c r="AO193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4" i="1"/>
  <c r="AM194" i="1"/>
  <c r="AN194" i="1"/>
  <c r="AO194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5" i="1"/>
  <c r="AM195" i="1"/>
  <c r="AN195" i="1"/>
  <c r="AO195" i="1"/>
  <c r="K250" i="1"/>
  <c r="L250" i="1"/>
  <c r="M250" i="1"/>
  <c r="N250" i="1" s="1"/>
  <c r="V250" i="1"/>
  <c r="S30" i="3" s="1"/>
  <c r="Y250" i="1"/>
  <c r="Z250" i="1"/>
  <c r="AB250" i="1"/>
  <c r="AC250" i="1"/>
  <c r="AD250" i="1"/>
  <c r="T250" i="1" s="1"/>
  <c r="AE250" i="1"/>
  <c r="R30" i="3" s="1"/>
  <c r="AF250" i="1"/>
  <c r="AH196" i="1"/>
  <c r="AM196" i="1"/>
  <c r="AN196" i="1"/>
  <c r="AO196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7" i="1"/>
  <c r="AM197" i="1"/>
  <c r="AN197" i="1"/>
  <c r="AO197" i="1"/>
  <c r="K159" i="1"/>
  <c r="L159" i="1"/>
  <c r="M159" i="1"/>
  <c r="N159" i="1" s="1"/>
  <c r="V159" i="1"/>
  <c r="S20" i="3" s="1"/>
  <c r="Y159" i="1"/>
  <c r="Z159" i="1"/>
  <c r="AB159" i="1"/>
  <c r="AC159" i="1"/>
  <c r="AD159" i="1"/>
  <c r="T159" i="1" s="1"/>
  <c r="AE159" i="1"/>
  <c r="R20" i="3" s="1"/>
  <c r="AF159" i="1"/>
  <c r="AH198" i="1"/>
  <c r="AM198" i="1"/>
  <c r="AN198" i="1"/>
  <c r="AO19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9" i="1"/>
  <c r="AM199" i="1"/>
  <c r="AN199" i="1"/>
  <c r="AO19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0" i="1"/>
  <c r="AM200" i="1"/>
  <c r="AN200" i="1"/>
  <c r="AO20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1" i="1"/>
  <c r="AM201" i="1"/>
  <c r="AN201" i="1"/>
  <c r="AO20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2" i="1"/>
  <c r="AM202" i="1"/>
  <c r="AN202" i="1"/>
  <c r="AO20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3" i="1"/>
  <c r="AM203" i="1"/>
  <c r="AN203" i="1"/>
  <c r="AO203" i="1"/>
  <c r="K165" i="1"/>
  <c r="L165" i="1"/>
  <c r="M165" i="1"/>
  <c r="N165" i="1" s="1"/>
  <c r="V165" i="1"/>
  <c r="S21" i="3" s="1"/>
  <c r="Y165" i="1"/>
  <c r="Z165" i="1"/>
  <c r="AB165" i="1"/>
  <c r="AC165" i="1"/>
  <c r="AD165" i="1"/>
  <c r="AE165" i="1"/>
  <c r="R21" i="3" s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4" i="1"/>
  <c r="AM204" i="1"/>
  <c r="AN204" i="1"/>
  <c r="AO20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6" i="1"/>
  <c r="AM206" i="1"/>
  <c r="AN206" i="1"/>
  <c r="AO206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7" i="1"/>
  <c r="AM207" i="1"/>
  <c r="AN207" i="1"/>
  <c r="AO207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8" i="1"/>
  <c r="AM208" i="1"/>
  <c r="AN208" i="1"/>
  <c r="AO208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9" i="1"/>
  <c r="AM209" i="1"/>
  <c r="AN209" i="1"/>
  <c r="AO20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10" i="1"/>
  <c r="AM210" i="1"/>
  <c r="AN210" i="1"/>
  <c r="AO210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1" i="1"/>
  <c r="AM211" i="1"/>
  <c r="AN211" i="1"/>
  <c r="AO21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2" i="1"/>
  <c r="AM212" i="1"/>
  <c r="AN212" i="1"/>
  <c r="AO212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3" i="1"/>
  <c r="AM213" i="1"/>
  <c r="AN213" i="1"/>
  <c r="AO21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4" i="1"/>
  <c r="AM214" i="1"/>
  <c r="AN214" i="1"/>
  <c r="AO21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5" i="1"/>
  <c r="AM215" i="1"/>
  <c r="AN215" i="1"/>
  <c r="AO21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6" i="1"/>
  <c r="AM216" i="1"/>
  <c r="AN216" i="1"/>
  <c r="AO216" i="1"/>
  <c r="K178" i="1"/>
  <c r="L178" i="1"/>
  <c r="M178" i="1"/>
  <c r="N178" i="1" s="1"/>
  <c r="V178" i="1"/>
  <c r="S17" i="3" s="1"/>
  <c r="Y178" i="1"/>
  <c r="Z178" i="1"/>
  <c r="AB178" i="1"/>
  <c r="AC178" i="1"/>
  <c r="AD178" i="1"/>
  <c r="AE178" i="1"/>
  <c r="R17" i="3" s="1"/>
  <c r="AF178" i="1"/>
  <c r="AH217" i="1"/>
  <c r="AM217" i="1"/>
  <c r="AN217" i="1"/>
  <c r="AO21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8" i="1"/>
  <c r="AM218" i="1"/>
  <c r="AN218" i="1"/>
  <c r="AO21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9" i="1"/>
  <c r="AM219" i="1"/>
  <c r="AN219" i="1"/>
  <c r="AO21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0" i="1"/>
  <c r="AM220" i="1"/>
  <c r="AN220" i="1"/>
  <c r="AO220" i="1"/>
  <c r="K182" i="1"/>
  <c r="L182" i="1"/>
  <c r="M182" i="1"/>
  <c r="N182" i="1" s="1"/>
  <c r="V182" i="1"/>
  <c r="S18" i="3" s="1"/>
  <c r="Y182" i="1"/>
  <c r="Z182" i="1"/>
  <c r="AB182" i="1"/>
  <c r="AC182" i="1"/>
  <c r="AD182" i="1"/>
  <c r="AE182" i="1"/>
  <c r="R18" i="3" s="1"/>
  <c r="AF182" i="1"/>
  <c r="AH221" i="1"/>
  <c r="AM221" i="1"/>
  <c r="AN221" i="1"/>
  <c r="AO22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2" i="1"/>
  <c r="AM222" i="1"/>
  <c r="AN222" i="1"/>
  <c r="AO222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23" i="1"/>
  <c r="AM223" i="1"/>
  <c r="AN223" i="1"/>
  <c r="AO22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4" i="1"/>
  <c r="AM224" i="1"/>
  <c r="AN224" i="1"/>
  <c r="AO22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5" i="1"/>
  <c r="AM225" i="1"/>
  <c r="AN225" i="1"/>
  <c r="AO22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6" i="1"/>
  <c r="AM226" i="1"/>
  <c r="AN226" i="1"/>
  <c r="AO22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7" i="1"/>
  <c r="AM227" i="1"/>
  <c r="AN227" i="1"/>
  <c r="AO227" i="1"/>
  <c r="K189" i="1"/>
  <c r="L189" i="1"/>
  <c r="M189" i="1"/>
  <c r="N189" i="1"/>
  <c r="V189" i="1"/>
  <c r="S16" i="3" s="1"/>
  <c r="Y189" i="1"/>
  <c r="Z189" i="1"/>
  <c r="AB189" i="1"/>
  <c r="AC189" i="1"/>
  <c r="AD189" i="1"/>
  <c r="AE189" i="1"/>
  <c r="R16" i="3" s="1"/>
  <c r="AF189" i="1"/>
  <c r="AH228" i="1"/>
  <c r="AM228" i="1"/>
  <c r="AN228" i="1"/>
  <c r="AO2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9" i="1"/>
  <c r="AM229" i="1"/>
  <c r="AN229" i="1"/>
  <c r="AO229" i="1"/>
  <c r="K191" i="1"/>
  <c r="L191" i="1"/>
  <c r="M191" i="1"/>
  <c r="N191" i="1" s="1"/>
  <c r="V191" i="1"/>
  <c r="Y191" i="1"/>
  <c r="AA191" i="1" s="1"/>
  <c r="Z191" i="1"/>
  <c r="AB191" i="1"/>
  <c r="AC191" i="1"/>
  <c r="AD191" i="1"/>
  <c r="AE191" i="1"/>
  <c r="AF191" i="1"/>
  <c r="AH230" i="1"/>
  <c r="AM230" i="1"/>
  <c r="AN230" i="1"/>
  <c r="AO230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231" i="1"/>
  <c r="AM231" i="1"/>
  <c r="AN231" i="1"/>
  <c r="AO231" i="1"/>
  <c r="K193" i="1"/>
  <c r="L193" i="1"/>
  <c r="M193" i="1"/>
  <c r="N193" i="1" s="1"/>
  <c r="V193" i="1"/>
  <c r="S23" i="3" s="1"/>
  <c r="Y193" i="1"/>
  <c r="Z193" i="1"/>
  <c r="AA193" i="1" s="1"/>
  <c r="AB193" i="1"/>
  <c r="AC193" i="1"/>
  <c r="AD193" i="1"/>
  <c r="AE193" i="1"/>
  <c r="R24" i="3" s="1"/>
  <c r="AF193" i="1"/>
  <c r="AH232" i="1"/>
  <c r="AM232" i="1"/>
  <c r="AN232" i="1"/>
  <c r="AO23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3" i="1"/>
  <c r="AM233" i="1"/>
  <c r="AN233" i="1"/>
  <c r="AO233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34" i="1"/>
  <c r="AM234" i="1"/>
  <c r="AN234" i="1"/>
  <c r="AO234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5" i="1"/>
  <c r="AM235" i="1"/>
  <c r="AN235" i="1"/>
  <c r="AO235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36" i="1"/>
  <c r="AM236" i="1"/>
  <c r="AN236" i="1"/>
  <c r="AO236" i="1"/>
  <c r="K198" i="1"/>
  <c r="L198" i="1"/>
  <c r="M198" i="1"/>
  <c r="N198" i="1" s="1"/>
  <c r="V198" i="1"/>
  <c r="S22" i="3" s="1"/>
  <c r="Y198" i="1"/>
  <c r="Z198" i="1"/>
  <c r="AB198" i="1"/>
  <c r="AC198" i="1"/>
  <c r="AD198" i="1"/>
  <c r="AE198" i="1"/>
  <c r="R22" i="3" s="1"/>
  <c r="AF198" i="1"/>
  <c r="AH237" i="1"/>
  <c r="AM237" i="1"/>
  <c r="AN237" i="1"/>
  <c r="AO23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8" i="1"/>
  <c r="AM238" i="1"/>
  <c r="AN238" i="1"/>
  <c r="AO23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9" i="1"/>
  <c r="AM239" i="1"/>
  <c r="AN239" i="1"/>
  <c r="AO239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40" i="1"/>
  <c r="AM240" i="1"/>
  <c r="AN240" i="1"/>
  <c r="AO240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41" i="1"/>
  <c r="AM241" i="1"/>
  <c r="AN241" i="1"/>
  <c r="AO241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2" i="1"/>
  <c r="AM242" i="1"/>
  <c r="AN242" i="1"/>
  <c r="AO242" i="1"/>
  <c r="AH243" i="1"/>
  <c r="AM243" i="1"/>
  <c r="AN243" i="1"/>
  <c r="AO24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4" i="1"/>
  <c r="AM244" i="1"/>
  <c r="AN244" i="1"/>
  <c r="AO244" i="1"/>
  <c r="K206" i="1"/>
  <c r="L206" i="1"/>
  <c r="M206" i="1"/>
  <c r="N206" i="1" s="1"/>
  <c r="V206" i="1"/>
  <c r="S25" i="3" s="1"/>
  <c r="Y206" i="1"/>
  <c r="Z206" i="1"/>
  <c r="AB206" i="1"/>
  <c r="AC206" i="1"/>
  <c r="AD206" i="1"/>
  <c r="AE206" i="1"/>
  <c r="R19" i="3" s="1"/>
  <c r="AF206" i="1"/>
  <c r="AH245" i="1"/>
  <c r="AM245" i="1"/>
  <c r="AN245" i="1"/>
  <c r="AO245" i="1"/>
  <c r="K219" i="1"/>
  <c r="L219" i="1"/>
  <c r="M219" i="1"/>
  <c r="N219" i="1"/>
  <c r="V219" i="1"/>
  <c r="Y219" i="1"/>
  <c r="Z219" i="1"/>
  <c r="AB219" i="1"/>
  <c r="AC219" i="1"/>
  <c r="AD219" i="1"/>
  <c r="AE219" i="1"/>
  <c r="AF219" i="1"/>
  <c r="AH246" i="1"/>
  <c r="AM246" i="1"/>
  <c r="AN246" i="1"/>
  <c r="AO24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7" i="1"/>
  <c r="AM247" i="1"/>
  <c r="AN247" i="1"/>
  <c r="AO24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8" i="1"/>
  <c r="AM248" i="1"/>
  <c r="AN248" i="1"/>
  <c r="AO248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249" i="1"/>
  <c r="AM249" i="1"/>
  <c r="AN249" i="1"/>
  <c r="AO249" i="1"/>
  <c r="K223" i="1"/>
  <c r="L223" i="1"/>
  <c r="M223" i="1"/>
  <c r="N223" i="1" s="1"/>
  <c r="V223" i="1"/>
  <c r="S26" i="3" s="1"/>
  <c r="Y223" i="1"/>
  <c r="Z223" i="1"/>
  <c r="AB223" i="1"/>
  <c r="AC223" i="1"/>
  <c r="AD223" i="1"/>
  <c r="T223" i="1" s="1"/>
  <c r="AE223" i="1"/>
  <c r="R26" i="3" s="1"/>
  <c r="AF223" i="1"/>
  <c r="AH250" i="1"/>
  <c r="AM250" i="1"/>
  <c r="AN250" i="1"/>
  <c r="AO250" i="1"/>
  <c r="M20" i="3"/>
  <c r="U20" i="3"/>
  <c r="T20" i="3" s="1"/>
  <c r="V20" i="3"/>
  <c r="X20" i="3"/>
  <c r="M21" i="3"/>
  <c r="U21" i="3"/>
  <c r="AD21" i="3" s="1"/>
  <c r="V21" i="3"/>
  <c r="X21" i="3"/>
  <c r="M11" i="3"/>
  <c r="S11" i="3"/>
  <c r="U11" i="3"/>
  <c r="T11" i="3" s="1"/>
  <c r="V11" i="3"/>
  <c r="X11" i="3"/>
  <c r="M14" i="3"/>
  <c r="U14" i="3"/>
  <c r="V14" i="3"/>
  <c r="X14" i="3"/>
  <c r="M7" i="3"/>
  <c r="S7" i="3"/>
  <c r="U7" i="3"/>
  <c r="AC7" i="3" s="1"/>
  <c r="V7" i="3"/>
  <c r="X7" i="3"/>
  <c r="M31" i="3"/>
  <c r="U31" i="3"/>
  <c r="T31" i="3" s="1"/>
  <c r="V31" i="3"/>
  <c r="X31" i="3"/>
  <c r="M28" i="3"/>
  <c r="S28" i="3"/>
  <c r="U28" i="3"/>
  <c r="V28" i="3"/>
  <c r="X28" i="3"/>
  <c r="M17" i="3"/>
  <c r="U17" i="3"/>
  <c r="T17" i="3" s="1"/>
  <c r="V17" i="3"/>
  <c r="X17" i="3"/>
  <c r="M13" i="3"/>
  <c r="U13" i="3"/>
  <c r="T13" i="3" s="1"/>
  <c r="V13" i="3"/>
  <c r="X13" i="3"/>
  <c r="M29" i="3"/>
  <c r="U29" i="3"/>
  <c r="AC29" i="3" s="1"/>
  <c r="V29" i="3"/>
  <c r="X29" i="3"/>
  <c r="M18" i="3"/>
  <c r="U18" i="3"/>
  <c r="T18" i="3" s="1"/>
  <c r="V18" i="3"/>
  <c r="X18" i="3"/>
  <c r="M16" i="3"/>
  <c r="U16" i="3"/>
  <c r="AC16" i="3" s="1"/>
  <c r="V16" i="3"/>
  <c r="X16" i="3"/>
  <c r="M24" i="3"/>
  <c r="U24" i="3"/>
  <c r="T24" i="3" s="1"/>
  <c r="V24" i="3"/>
  <c r="X24" i="3"/>
  <c r="M23" i="3"/>
  <c r="U23" i="3"/>
  <c r="T23" i="3" s="1"/>
  <c r="V23" i="3"/>
  <c r="X23" i="3"/>
  <c r="M30" i="3"/>
  <c r="U30" i="3"/>
  <c r="T30" i="3" s="1"/>
  <c r="V30" i="3"/>
  <c r="X30" i="3"/>
  <c r="M15" i="3"/>
  <c r="U15" i="3"/>
  <c r="AC15" i="3" s="1"/>
  <c r="V15" i="3"/>
  <c r="X15" i="3"/>
  <c r="M8" i="3"/>
  <c r="U8" i="3"/>
  <c r="T8" i="3" s="1"/>
  <c r="V8" i="3"/>
  <c r="X8" i="3"/>
  <c r="M27" i="3"/>
  <c r="U27" i="3"/>
  <c r="T27" i="3" s="1"/>
  <c r="V27" i="3"/>
  <c r="X27" i="3"/>
  <c r="M22" i="3"/>
  <c r="U22" i="3"/>
  <c r="V22" i="3"/>
  <c r="X22" i="3"/>
  <c r="M10" i="3"/>
  <c r="U10" i="3"/>
  <c r="AC10" i="3" s="1"/>
  <c r="V10" i="3"/>
  <c r="X10" i="3"/>
  <c r="M12" i="3"/>
  <c r="S12" i="3"/>
  <c r="U12" i="3"/>
  <c r="T12" i="3" s="1"/>
  <c r="V12" i="3"/>
  <c r="X12" i="3"/>
  <c r="M9" i="3"/>
  <c r="U9" i="3"/>
  <c r="T9" i="3" s="1"/>
  <c r="V9" i="3"/>
  <c r="X9" i="3"/>
  <c r="M19" i="3"/>
  <c r="U19" i="3"/>
  <c r="V19" i="3"/>
  <c r="X19" i="3"/>
  <c r="M25" i="3"/>
  <c r="U25" i="3"/>
  <c r="AC25" i="3" s="1"/>
  <c r="V25" i="3"/>
  <c r="X25" i="3"/>
  <c r="M26" i="3"/>
  <c r="U26" i="3"/>
  <c r="T26" i="3" s="1"/>
  <c r="V26" i="3"/>
  <c r="X26" i="3"/>
  <c r="AG205" i="1"/>
  <c r="AG156" i="1"/>
  <c r="AG148" i="1"/>
  <c r="AG139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72" i="1"/>
  <c r="AG81" i="1"/>
  <c r="AG89" i="1"/>
  <c r="AG97" i="1"/>
  <c r="AG69" i="1"/>
  <c r="AG74" i="1"/>
  <c r="AG82" i="1"/>
  <c r="AG90" i="1"/>
  <c r="AG98" i="1"/>
  <c r="AG71" i="1"/>
  <c r="AG107" i="1"/>
  <c r="AG110" i="1"/>
  <c r="AG118" i="1"/>
  <c r="AG122" i="1"/>
  <c r="AG126" i="1"/>
  <c r="AG130" i="1"/>
  <c r="AG134" i="1"/>
  <c r="AG138" i="1"/>
  <c r="AG143" i="1"/>
  <c r="AG147" i="1"/>
  <c r="AG152" i="1"/>
  <c r="AG109" i="1"/>
  <c r="AG157" i="1"/>
  <c r="AG210" i="1"/>
  <c r="AG214" i="1"/>
  <c r="AG218" i="1"/>
  <c r="AG227" i="1"/>
  <c r="AG231" i="1"/>
  <c r="AG235" i="1"/>
  <c r="AG239" i="1"/>
  <c r="AG243" i="1"/>
  <c r="AG247" i="1"/>
  <c r="AG158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22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77" i="1"/>
  <c r="AG85" i="1"/>
  <c r="AG93" i="1"/>
  <c r="AG101" i="1"/>
  <c r="AG66" i="1"/>
  <c r="AG78" i="1"/>
  <c r="AG86" i="1"/>
  <c r="AG94" i="1"/>
  <c r="AG102" i="1"/>
  <c r="AG108" i="1"/>
  <c r="AG113" i="1"/>
  <c r="AG116" i="1"/>
  <c r="AG120" i="1"/>
  <c r="AG124" i="1"/>
  <c r="AG128" i="1"/>
  <c r="AG132" i="1"/>
  <c r="AG136" i="1"/>
  <c r="AG141" i="1"/>
  <c r="AG145" i="1"/>
  <c r="AG150" i="1"/>
  <c r="AG154" i="1"/>
  <c r="AG114" i="1"/>
  <c r="AG21" i="1"/>
  <c r="AG29" i="1"/>
  <c r="AG37" i="1"/>
  <c r="AG45" i="1"/>
  <c r="AG53" i="1"/>
  <c r="AG61" i="1"/>
  <c r="AG79" i="1"/>
  <c r="AG95" i="1"/>
  <c r="AG70" i="1"/>
  <c r="AG88" i="1"/>
  <c r="AG67" i="1"/>
  <c r="AG106" i="1"/>
  <c r="AG121" i="1"/>
  <c r="AG129" i="1"/>
  <c r="AG137" i="1"/>
  <c r="AG146" i="1"/>
  <c r="AG105" i="1"/>
  <c r="AG208" i="1"/>
  <c r="AG213" i="1"/>
  <c r="AG224" i="1"/>
  <c r="AG229" i="1"/>
  <c r="AG234" i="1"/>
  <c r="AG240" i="1"/>
  <c r="AG245" i="1"/>
  <c r="AG250" i="1"/>
  <c r="AG163" i="1"/>
  <c r="AG168" i="1"/>
  <c r="AG173" i="1"/>
  <c r="AG179" i="1"/>
  <c r="AG184" i="1"/>
  <c r="AG189" i="1"/>
  <c r="AG195" i="1"/>
  <c r="AG200" i="1"/>
  <c r="AG204" i="1"/>
  <c r="AG223" i="1"/>
  <c r="AG216" i="1"/>
  <c r="AG242" i="1"/>
  <c r="AG165" i="1"/>
  <c r="AG181" i="1"/>
  <c r="AG197" i="1"/>
  <c r="AG144" i="1"/>
  <c r="AG228" i="1"/>
  <c r="AG238" i="1"/>
  <c r="AG249" i="1"/>
  <c r="AG167" i="1"/>
  <c r="AG183" i="1"/>
  <c r="AG188" i="1"/>
  <c r="AG199" i="1"/>
  <c r="AG221" i="1"/>
  <c r="AG15" i="1"/>
  <c r="AG23" i="1"/>
  <c r="AG31" i="1"/>
  <c r="AG39" i="1"/>
  <c r="AG47" i="1"/>
  <c r="AG55" i="1"/>
  <c r="AG63" i="1"/>
  <c r="AG83" i="1"/>
  <c r="AG99" i="1"/>
  <c r="AG76" i="1"/>
  <c r="AG92" i="1"/>
  <c r="AG104" i="1"/>
  <c r="AG115" i="1"/>
  <c r="AG123" i="1"/>
  <c r="AG131" i="1"/>
  <c r="AG140" i="1"/>
  <c r="AG149" i="1"/>
  <c r="AG112" i="1"/>
  <c r="AG209" i="1"/>
  <c r="AG215" i="1"/>
  <c r="AG225" i="1"/>
  <c r="AG230" i="1"/>
  <c r="AG236" i="1"/>
  <c r="AG241" i="1"/>
  <c r="AG246" i="1"/>
  <c r="AG159" i="1"/>
  <c r="AG164" i="1"/>
  <c r="AG169" i="1"/>
  <c r="AG175" i="1"/>
  <c r="AG180" i="1"/>
  <c r="AG185" i="1"/>
  <c r="AG191" i="1"/>
  <c r="AG196" i="1"/>
  <c r="AG201" i="1"/>
  <c r="AG219" i="1"/>
  <c r="AG17" i="1"/>
  <c r="AG25" i="1"/>
  <c r="AG33" i="1"/>
  <c r="AG41" i="1"/>
  <c r="AG49" i="1"/>
  <c r="AG57" i="1"/>
  <c r="AG68" i="1"/>
  <c r="AG87" i="1"/>
  <c r="AG65" i="1"/>
  <c r="AG80" i="1"/>
  <c r="AG96" i="1"/>
  <c r="AG103" i="1"/>
  <c r="AG117" i="1"/>
  <c r="AG125" i="1"/>
  <c r="AG133" i="1"/>
  <c r="AG142" i="1"/>
  <c r="AG151" i="1"/>
  <c r="AG211" i="1"/>
  <c r="AG226" i="1"/>
  <c r="AG232" i="1"/>
  <c r="AG237" i="1"/>
  <c r="AG248" i="1"/>
  <c r="AG171" i="1"/>
  <c r="AG187" i="1"/>
  <c r="AG203" i="1"/>
  <c r="AG155" i="1"/>
  <c r="AG160" i="1"/>
  <c r="AG176" i="1"/>
  <c r="AG192" i="1"/>
  <c r="AG220" i="1"/>
  <c r="AG19" i="1"/>
  <c r="AG27" i="1"/>
  <c r="AG35" i="1"/>
  <c r="AG43" i="1"/>
  <c r="AG51" i="1"/>
  <c r="AG59" i="1"/>
  <c r="AG75" i="1"/>
  <c r="AG91" i="1"/>
  <c r="AG73" i="1"/>
  <c r="AG84" i="1"/>
  <c r="AG100" i="1"/>
  <c r="AG111" i="1"/>
  <c r="AG119" i="1"/>
  <c r="AG127" i="1"/>
  <c r="AG135" i="1"/>
  <c r="AG153" i="1"/>
  <c r="AG207" i="1"/>
  <c r="AG212" i="1"/>
  <c r="AG217" i="1"/>
  <c r="AG233" i="1"/>
  <c r="AG244" i="1"/>
  <c r="AG161" i="1"/>
  <c r="AG172" i="1"/>
  <c r="AG177" i="1"/>
  <c r="AG193" i="1"/>
  <c r="W14" i="3"/>
  <c r="W30" i="3"/>
  <c r="W7" i="3"/>
  <c r="W24" i="3"/>
  <c r="W20" i="3"/>
  <c r="W18" i="3"/>
  <c r="W16" i="3"/>
  <c r="W13" i="3"/>
  <c r="W19" i="3"/>
  <c r="W29" i="3"/>
  <c r="W12" i="3"/>
  <c r="W27" i="3"/>
  <c r="W25" i="3"/>
  <c r="W21" i="3"/>
  <c r="W15" i="3"/>
  <c r="W26" i="3"/>
  <c r="W17" i="3"/>
  <c r="W9" i="3"/>
  <c r="W28" i="3"/>
  <c r="W22" i="3"/>
  <c r="W31" i="3"/>
  <c r="W8" i="3"/>
  <c r="W11" i="3"/>
  <c r="W23" i="3"/>
  <c r="W10" i="3"/>
  <c r="AI205" i="1" l="1"/>
  <c r="U205" i="1"/>
  <c r="S205" i="1" s="1"/>
  <c r="W205" i="1"/>
  <c r="X205" i="1"/>
  <c r="R23" i="3"/>
  <c r="AA51" i="1"/>
  <c r="AA140" i="1"/>
  <c r="S24" i="3"/>
  <c r="AA221" i="1"/>
  <c r="AA194" i="1"/>
  <c r="AA229" i="1"/>
  <c r="X228" i="1"/>
  <c r="AA225" i="1"/>
  <c r="AA214" i="1"/>
  <c r="AA208" i="1"/>
  <c r="AA154" i="1"/>
  <c r="AA143" i="1"/>
  <c r="AA134" i="1"/>
  <c r="AA112" i="1"/>
  <c r="AA108" i="1"/>
  <c r="AA100" i="1"/>
  <c r="AA96" i="1"/>
  <c r="AA92" i="1"/>
  <c r="AA88" i="1"/>
  <c r="AA84" i="1"/>
  <c r="AA80" i="1"/>
  <c r="AA39" i="1"/>
  <c r="AA35" i="1"/>
  <c r="AA230" i="1"/>
  <c r="AA217" i="1"/>
  <c r="AA146" i="1"/>
  <c r="AA137" i="1"/>
  <c r="AA50" i="1"/>
  <c r="AA36" i="1"/>
  <c r="S8" i="3"/>
  <c r="R11" i="3"/>
  <c r="AA204" i="1"/>
  <c r="AA220" i="1"/>
  <c r="AA219" i="1"/>
  <c r="AA189" i="1"/>
  <c r="AA185" i="1"/>
  <c r="AA181" i="1"/>
  <c r="AA177" i="1"/>
  <c r="AA173" i="1"/>
  <c r="AA169" i="1"/>
  <c r="AA165" i="1"/>
  <c r="AA161" i="1"/>
  <c r="AA250" i="1"/>
  <c r="AA246" i="1"/>
  <c r="AA242" i="1"/>
  <c r="AA238" i="1"/>
  <c r="AA234" i="1"/>
  <c r="AA228" i="1"/>
  <c r="X227" i="1"/>
  <c r="X226" i="1"/>
  <c r="AA218" i="1"/>
  <c r="X212" i="1"/>
  <c r="AA209" i="1"/>
  <c r="AA145" i="1"/>
  <c r="AA138" i="1"/>
  <c r="AA130" i="1"/>
  <c r="AA34" i="1"/>
  <c r="AA30" i="1"/>
  <c r="AA26" i="1"/>
  <c r="AA22" i="1"/>
  <c r="AA18" i="1"/>
  <c r="AA203" i="1"/>
  <c r="AA199" i="1"/>
  <c r="W199" i="1" s="1"/>
  <c r="X147" i="1"/>
  <c r="AA55" i="1"/>
  <c r="AA45" i="1"/>
  <c r="AA41" i="1"/>
  <c r="X225" i="1"/>
  <c r="AA107" i="1"/>
  <c r="X157" i="1"/>
  <c r="S29" i="3"/>
  <c r="S27" i="3"/>
  <c r="U156" i="1"/>
  <c r="S156" i="1" s="1"/>
  <c r="AI156" i="1"/>
  <c r="W156" i="1"/>
  <c r="X156" i="1"/>
  <c r="R12" i="3"/>
  <c r="R15" i="3"/>
  <c r="U148" i="1"/>
  <c r="S148" i="1" s="1"/>
  <c r="AI148" i="1"/>
  <c r="W148" i="1"/>
  <c r="X148" i="1"/>
  <c r="R25" i="3"/>
  <c r="R29" i="3"/>
  <c r="AE20" i="3"/>
  <c r="AI139" i="1"/>
  <c r="U139" i="1"/>
  <c r="S139" i="1" s="1"/>
  <c r="W139" i="1"/>
  <c r="X139" i="1"/>
  <c r="S31" i="3"/>
  <c r="AA202" i="1"/>
  <c r="AA200" i="1"/>
  <c r="AA187" i="1"/>
  <c r="AA183" i="1"/>
  <c r="AA179" i="1"/>
  <c r="AA175" i="1"/>
  <c r="AA171" i="1"/>
  <c r="AA167" i="1"/>
  <c r="AA163" i="1"/>
  <c r="AA159" i="1"/>
  <c r="AA248" i="1"/>
  <c r="AA244" i="1"/>
  <c r="AA240" i="1"/>
  <c r="AA236" i="1"/>
  <c r="AA232" i="1"/>
  <c r="T225" i="1"/>
  <c r="X154" i="1"/>
  <c r="X145" i="1"/>
  <c r="AA115" i="1"/>
  <c r="AA114" i="1"/>
  <c r="AA113" i="1"/>
  <c r="AA76" i="1"/>
  <c r="AA75" i="1"/>
  <c r="AA71" i="1"/>
  <c r="AA67" i="1"/>
  <c r="X60" i="1"/>
  <c r="AA44" i="1"/>
  <c r="AA42" i="1"/>
  <c r="AA32" i="1"/>
  <c r="AA28" i="1"/>
  <c r="AA24" i="1"/>
  <c r="AA20" i="1"/>
  <c r="AA16" i="1"/>
  <c r="AA223" i="1"/>
  <c r="AA206" i="1"/>
  <c r="AA190" i="1"/>
  <c r="AA188" i="1"/>
  <c r="AA184" i="1"/>
  <c r="AA180" i="1"/>
  <c r="AA176" i="1"/>
  <c r="AA172" i="1"/>
  <c r="AA168" i="1"/>
  <c r="AA164" i="1"/>
  <c r="AA160" i="1"/>
  <c r="AA249" i="1"/>
  <c r="AA245" i="1"/>
  <c r="AA241" i="1"/>
  <c r="AA237" i="1"/>
  <c r="AA226" i="1"/>
  <c r="AA153" i="1"/>
  <c r="X146" i="1"/>
  <c r="AA144" i="1"/>
  <c r="AA48" i="1"/>
  <c r="AA46" i="1"/>
  <c r="AA33" i="1"/>
  <c r="AA29" i="1"/>
  <c r="AA25" i="1"/>
  <c r="AA21" i="1"/>
  <c r="AA17" i="1"/>
  <c r="AA110" i="1"/>
  <c r="AA102" i="1"/>
  <c r="AA98" i="1"/>
  <c r="AA94" i="1"/>
  <c r="AA90" i="1"/>
  <c r="AA86" i="1"/>
  <c r="AA82" i="1"/>
  <c r="AA78" i="1"/>
  <c r="X223" i="1"/>
  <c r="AA198" i="1"/>
  <c r="AA196" i="1"/>
  <c r="AA195" i="1"/>
  <c r="AA186" i="1"/>
  <c r="AA182" i="1"/>
  <c r="AA178" i="1"/>
  <c r="AA174" i="1"/>
  <c r="AA170" i="1"/>
  <c r="AA166" i="1"/>
  <c r="AA162" i="1"/>
  <c r="AA158" i="1"/>
  <c r="AA247" i="1"/>
  <c r="AA243" i="1"/>
  <c r="AA239" i="1"/>
  <c r="AA235" i="1"/>
  <c r="X230" i="1"/>
  <c r="T227" i="1"/>
  <c r="X217" i="1"/>
  <c r="AA216" i="1"/>
  <c r="AA212" i="1"/>
  <c r="T154" i="1"/>
  <c r="X153" i="1"/>
  <c r="AA151" i="1"/>
  <c r="AA150" i="1"/>
  <c r="T145" i="1"/>
  <c r="X144" i="1"/>
  <c r="AA142" i="1"/>
  <c r="AA141" i="1"/>
  <c r="AA136" i="1"/>
  <c r="AA132" i="1"/>
  <c r="AA103" i="1"/>
  <c r="AA99" i="1"/>
  <c r="AA95" i="1"/>
  <c r="AA91" i="1"/>
  <c r="AA87" i="1"/>
  <c r="AA83" i="1"/>
  <c r="AA79" i="1"/>
  <c r="AA74" i="1"/>
  <c r="AA73" i="1"/>
  <c r="AA70" i="1"/>
  <c r="AA69" i="1"/>
  <c r="AA66" i="1"/>
  <c r="AA65" i="1"/>
  <c r="AA61" i="1"/>
  <c r="AA54" i="1"/>
  <c r="AA53" i="1"/>
  <c r="AA40" i="1"/>
  <c r="AA38" i="1"/>
  <c r="AA37" i="1"/>
  <c r="AA31" i="1"/>
  <c r="AA27" i="1"/>
  <c r="AA23" i="1"/>
  <c r="AA19" i="1"/>
  <c r="AA15" i="1"/>
  <c r="AA224" i="1"/>
  <c r="AA233" i="1"/>
  <c r="X229" i="1"/>
  <c r="T229" i="1"/>
  <c r="T228" i="1"/>
  <c r="X224" i="1"/>
  <c r="AA231" i="1"/>
  <c r="X214" i="1"/>
  <c r="T214" i="1"/>
  <c r="T151" i="1"/>
  <c r="T142" i="1"/>
  <c r="AA109" i="1"/>
  <c r="AA104" i="1"/>
  <c r="AA97" i="1"/>
  <c r="AA89" i="1"/>
  <c r="AA81" i="1"/>
  <c r="AA68" i="1"/>
  <c r="AA63" i="1"/>
  <c r="AA62" i="1"/>
  <c r="X56" i="1"/>
  <c r="T215" i="1"/>
  <c r="T149" i="1"/>
  <c r="X115" i="1"/>
  <c r="AA14" i="1"/>
  <c r="X218" i="1"/>
  <c r="X211" i="1"/>
  <c r="AA157" i="1"/>
  <c r="AA155" i="1"/>
  <c r="X152" i="1"/>
  <c r="X143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1" i="1"/>
  <c r="AA106" i="1"/>
  <c r="AA101" i="1"/>
  <c r="AA93" i="1"/>
  <c r="AA85" i="1"/>
  <c r="AA77" i="1"/>
  <c r="AA72" i="1"/>
  <c r="AA64" i="1"/>
  <c r="X62" i="1"/>
  <c r="AA59" i="1"/>
  <c r="AA58" i="1"/>
  <c r="AA57" i="1"/>
  <c r="AA56" i="1"/>
  <c r="X216" i="1"/>
  <c r="X150" i="1"/>
  <c r="T147" i="1"/>
  <c r="X141" i="1"/>
  <c r="X58" i="1"/>
  <c r="U223" i="1"/>
  <c r="S223" i="1" s="1"/>
  <c r="AI250" i="1"/>
  <c r="AI249" i="1"/>
  <c r="AI248" i="1"/>
  <c r="AI247" i="1"/>
  <c r="AI246" i="1"/>
  <c r="AI245" i="1"/>
  <c r="AI244" i="1"/>
  <c r="AI243" i="1"/>
  <c r="AI242" i="1"/>
  <c r="AI241" i="1"/>
  <c r="AI240" i="1"/>
  <c r="W200" i="1"/>
  <c r="AI239" i="1"/>
  <c r="AI238" i="1"/>
  <c r="W198" i="1"/>
  <c r="AI237" i="1"/>
  <c r="W197" i="1"/>
  <c r="AI236" i="1"/>
  <c r="W196" i="1"/>
  <c r="AI235" i="1"/>
  <c r="W195" i="1"/>
  <c r="AI234" i="1"/>
  <c r="W194" i="1"/>
  <c r="AI233" i="1"/>
  <c r="W193" i="1"/>
  <c r="AI232" i="1"/>
  <c r="W192" i="1"/>
  <c r="AI231" i="1"/>
  <c r="W191" i="1"/>
  <c r="AI230" i="1"/>
  <c r="W190" i="1"/>
  <c r="AI229" i="1"/>
  <c r="W189" i="1"/>
  <c r="AI228" i="1"/>
  <c r="W18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4" i="1"/>
  <c r="AI203" i="1"/>
  <c r="U164" i="1"/>
  <c r="S164" i="1" s="1"/>
  <c r="AI202" i="1"/>
  <c r="U163" i="1"/>
  <c r="S163" i="1" s="1"/>
  <c r="AI201" i="1"/>
  <c r="U162" i="1"/>
  <c r="S162" i="1" s="1"/>
  <c r="AI200" i="1"/>
  <c r="U161" i="1"/>
  <c r="S161" i="1" s="1"/>
  <c r="AI199" i="1"/>
  <c r="U160" i="1"/>
  <c r="S160" i="1" s="1"/>
  <c r="AI198" i="1"/>
  <c r="U159" i="1"/>
  <c r="S159" i="1" s="1"/>
  <c r="AI197" i="1"/>
  <c r="U158" i="1"/>
  <c r="S158" i="1" s="1"/>
  <c r="AI196" i="1"/>
  <c r="U250" i="1"/>
  <c r="S250" i="1" s="1"/>
  <c r="AI195" i="1"/>
  <c r="U249" i="1"/>
  <c r="S249" i="1" s="1"/>
  <c r="AI194" i="1"/>
  <c r="U248" i="1"/>
  <c r="S248" i="1" s="1"/>
  <c r="AI193" i="1"/>
  <c r="U247" i="1"/>
  <c r="S247" i="1" s="1"/>
  <c r="AI192" i="1"/>
  <c r="U246" i="1"/>
  <c r="S246" i="1" s="1"/>
  <c r="AI191" i="1"/>
  <c r="U245" i="1"/>
  <c r="S245" i="1" s="1"/>
  <c r="AI190" i="1"/>
  <c r="U244" i="1"/>
  <c r="S244" i="1" s="1"/>
  <c r="AI189" i="1"/>
  <c r="U243" i="1"/>
  <c r="S243" i="1" s="1"/>
  <c r="AI188" i="1"/>
  <c r="U242" i="1"/>
  <c r="S242" i="1" s="1"/>
  <c r="AI187" i="1"/>
  <c r="U241" i="1"/>
  <c r="S241" i="1" s="1"/>
  <c r="AI186" i="1"/>
  <c r="U240" i="1"/>
  <c r="S240" i="1" s="1"/>
  <c r="AI185" i="1"/>
  <c r="U239" i="1"/>
  <c r="S239" i="1" s="1"/>
  <c r="AI184" i="1"/>
  <c r="U238" i="1"/>
  <c r="S238" i="1" s="1"/>
  <c r="AI183" i="1"/>
  <c r="U237" i="1"/>
  <c r="S237" i="1" s="1"/>
  <c r="AI182" i="1"/>
  <c r="U236" i="1"/>
  <c r="S236" i="1" s="1"/>
  <c r="AI181" i="1"/>
  <c r="U235" i="1"/>
  <c r="S235" i="1" s="1"/>
  <c r="AI180" i="1"/>
  <c r="U234" i="1"/>
  <c r="S234" i="1" s="1"/>
  <c r="AI179" i="1"/>
  <c r="U233" i="1"/>
  <c r="S233" i="1" s="1"/>
  <c r="AI178" i="1"/>
  <c r="U232" i="1"/>
  <c r="S232" i="1" s="1"/>
  <c r="AI177" i="1"/>
  <c r="U231" i="1"/>
  <c r="S231" i="1" s="1"/>
  <c r="U230" i="1"/>
  <c r="S230" i="1" s="1"/>
  <c r="AI176" i="1"/>
  <c r="U229" i="1"/>
  <c r="S229" i="1" s="1"/>
  <c r="AI175" i="1"/>
  <c r="U228" i="1"/>
  <c r="S228" i="1" s="1"/>
  <c r="AI174" i="1"/>
  <c r="U227" i="1"/>
  <c r="S227" i="1" s="1"/>
  <c r="AI173" i="1"/>
  <c r="U226" i="1"/>
  <c r="S226" i="1" s="1"/>
  <c r="AI172" i="1"/>
  <c r="U225" i="1"/>
  <c r="S225" i="1" s="1"/>
  <c r="AI171" i="1"/>
  <c r="U224" i="1"/>
  <c r="S224" i="1" s="1"/>
  <c r="AI170" i="1"/>
  <c r="U218" i="1"/>
  <c r="S218" i="1" s="1"/>
  <c r="AI169" i="1"/>
  <c r="U217" i="1"/>
  <c r="S217" i="1" s="1"/>
  <c r="AI168" i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AI163" i="1"/>
  <c r="U211" i="1"/>
  <c r="S211" i="1" s="1"/>
  <c r="AI162" i="1"/>
  <c r="U210" i="1"/>
  <c r="S210" i="1" s="1"/>
  <c r="AI161" i="1"/>
  <c r="U209" i="1"/>
  <c r="S209" i="1" s="1"/>
  <c r="AI160" i="1"/>
  <c r="U208" i="1"/>
  <c r="S208" i="1" s="1"/>
  <c r="AI159" i="1"/>
  <c r="U207" i="1"/>
  <c r="S207" i="1" s="1"/>
  <c r="AI158" i="1"/>
  <c r="U157" i="1"/>
  <c r="S157" i="1" s="1"/>
  <c r="AI157" i="1"/>
  <c r="U155" i="1"/>
  <c r="S155" i="1" s="1"/>
  <c r="AI155" i="1"/>
  <c r="AI114" i="1"/>
  <c r="AI112" i="1"/>
  <c r="AI109" i="1"/>
  <c r="AI105" i="1"/>
  <c r="U154" i="1"/>
  <c r="S154" i="1" s="1"/>
  <c r="AI154" i="1"/>
  <c r="U153" i="1"/>
  <c r="S153" i="1" s="1"/>
  <c r="AI153" i="1"/>
  <c r="U152" i="1"/>
  <c r="S152" i="1" s="1"/>
  <c r="AI152" i="1"/>
  <c r="W152" i="1"/>
  <c r="U151" i="1"/>
  <c r="S151" i="1" s="1"/>
  <c r="AI151" i="1"/>
  <c r="U150" i="1"/>
  <c r="AI150" i="1"/>
  <c r="W150" i="1"/>
  <c r="U149" i="1"/>
  <c r="S149" i="1" s="1"/>
  <c r="AI149" i="1"/>
  <c r="U147" i="1"/>
  <c r="S147" i="1" s="1"/>
  <c r="AI147" i="1"/>
  <c r="W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W143" i="1"/>
  <c r="U142" i="1"/>
  <c r="S142" i="1" s="1"/>
  <c r="AI142" i="1"/>
  <c r="U141" i="1"/>
  <c r="S141" i="1" s="1"/>
  <c r="AI141" i="1"/>
  <c r="W141" i="1"/>
  <c r="AI140" i="1"/>
  <c r="AI138" i="1"/>
  <c r="AI137" i="1"/>
  <c r="AI136" i="1"/>
  <c r="AI135" i="1"/>
  <c r="AI134" i="1"/>
  <c r="AI133" i="1"/>
  <c r="AI132" i="1"/>
  <c r="AI131" i="1"/>
  <c r="AI130" i="1"/>
  <c r="W130" i="1"/>
  <c r="AI129" i="1"/>
  <c r="AI128" i="1"/>
  <c r="AI127" i="1"/>
  <c r="AI126" i="1"/>
  <c r="AI125" i="1"/>
  <c r="AI124" i="1"/>
  <c r="AI123" i="1"/>
  <c r="AI122" i="1"/>
  <c r="AI121" i="1"/>
  <c r="U121" i="1"/>
  <c r="S121" i="1" s="1"/>
  <c r="AI120" i="1"/>
  <c r="U120" i="1"/>
  <c r="S120" i="1" s="1"/>
  <c r="AI119" i="1"/>
  <c r="U119" i="1"/>
  <c r="S119" i="1" s="1"/>
  <c r="AI118" i="1"/>
  <c r="U118" i="1"/>
  <c r="S118" i="1" s="1"/>
  <c r="AI117" i="1"/>
  <c r="U117" i="1"/>
  <c r="S117" i="1" s="1"/>
  <c r="AI116" i="1"/>
  <c r="U116" i="1"/>
  <c r="S116" i="1" s="1"/>
  <c r="AI115" i="1"/>
  <c r="U115" i="1"/>
  <c r="S115" i="1" s="1"/>
  <c r="AI110" i="1"/>
  <c r="AI106" i="1"/>
  <c r="AI113" i="1"/>
  <c r="AI111" i="1"/>
  <c r="AI107" i="1"/>
  <c r="AI103" i="1"/>
  <c r="AI108" i="1"/>
  <c r="AI104" i="1"/>
  <c r="U71" i="1"/>
  <c r="S71" i="1" s="1"/>
  <c r="AI71" i="1"/>
  <c r="W71" i="1"/>
  <c r="U67" i="1"/>
  <c r="S67" i="1" s="1"/>
  <c r="AI67" i="1"/>
  <c r="W67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0" i="1"/>
  <c r="U70" i="1"/>
  <c r="S70" i="1" s="1"/>
  <c r="AI66" i="1"/>
  <c r="W66" i="1"/>
  <c r="U66" i="1"/>
  <c r="S66" i="1" s="1"/>
  <c r="U73" i="1"/>
  <c r="S73" i="1" s="1"/>
  <c r="AI73" i="1"/>
  <c r="U69" i="1"/>
  <c r="S69" i="1" s="1"/>
  <c r="AI69" i="1"/>
  <c r="U65" i="1"/>
  <c r="S65" i="1" s="1"/>
  <c r="AI65" i="1"/>
  <c r="AI101" i="1"/>
  <c r="AI99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U72" i="1"/>
  <c r="S72" i="1" s="1"/>
  <c r="AI72" i="1"/>
  <c r="U68" i="1"/>
  <c r="S68" i="1" s="1"/>
  <c r="AI68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2" i="1"/>
  <c r="W206" i="1"/>
  <c r="W202" i="1"/>
  <c r="W223" i="1"/>
  <c r="W219" i="1"/>
  <c r="W221" i="1"/>
  <c r="W204" i="1"/>
  <c r="W201" i="1"/>
  <c r="W220" i="1"/>
  <c r="W203" i="1"/>
  <c r="S19" i="3"/>
  <c r="T222" i="1"/>
  <c r="U222" i="1" s="1"/>
  <c r="S222" i="1" s="1"/>
  <c r="X222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06" i="1"/>
  <c r="U206" i="1" s="1"/>
  <c r="S206" i="1" s="1"/>
  <c r="T204" i="1"/>
  <c r="U204" i="1" s="1"/>
  <c r="S204" i="1" s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W228" i="1"/>
  <c r="W225" i="1"/>
  <c r="W215" i="1"/>
  <c r="W212" i="1"/>
  <c r="W211" i="1"/>
  <c r="W154" i="1"/>
  <c r="W149" i="1"/>
  <c r="W145" i="1"/>
  <c r="W226" i="1"/>
  <c r="W218" i="1"/>
  <c r="W213" i="1"/>
  <c r="W146" i="1"/>
  <c r="W229" i="1"/>
  <c r="W224" i="1"/>
  <c r="W216" i="1"/>
  <c r="W153" i="1"/>
  <c r="W144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7" i="1"/>
  <c r="W217" i="1"/>
  <c r="W214" i="1"/>
  <c r="W151" i="1"/>
  <c r="W142" i="1"/>
  <c r="W140" i="1"/>
  <c r="W135" i="1"/>
  <c r="W131" i="1"/>
  <c r="X164" i="1"/>
  <c r="X163" i="1"/>
  <c r="X162" i="1"/>
  <c r="X161" i="1"/>
  <c r="X160" i="1"/>
  <c r="X159" i="1"/>
  <c r="X158" i="1"/>
  <c r="X250" i="1"/>
  <c r="X249" i="1"/>
  <c r="X248" i="1"/>
  <c r="X247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T212" i="1"/>
  <c r="U212" i="1" s="1"/>
  <c r="S212" i="1" s="1"/>
  <c r="X210" i="1"/>
  <c r="W209" i="1"/>
  <c r="X208" i="1"/>
  <c r="W207" i="1"/>
  <c r="W155" i="1"/>
  <c r="W138" i="1"/>
  <c r="W134" i="1"/>
  <c r="W137" i="1"/>
  <c r="W133" i="1"/>
  <c r="W129" i="1"/>
  <c r="W210" i="1"/>
  <c r="X209" i="1"/>
  <c r="W208" i="1"/>
  <c r="X207" i="1"/>
  <c r="W157" i="1"/>
  <c r="W136" i="1"/>
  <c r="W132" i="1"/>
  <c r="W114" i="1"/>
  <c r="W112" i="1"/>
  <c r="W109" i="1"/>
  <c r="W104" i="1"/>
  <c r="W113" i="1"/>
  <c r="W110" i="1"/>
  <c r="W105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1" i="1"/>
  <c r="W106" i="1"/>
  <c r="T140" i="1"/>
  <c r="U140" i="1" s="1"/>
  <c r="S140" i="1" s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W107" i="1"/>
  <c r="W100" i="1"/>
  <c r="W97" i="1"/>
  <c r="W92" i="1"/>
  <c r="W89" i="1"/>
  <c r="W84" i="1"/>
  <c r="W81" i="1"/>
  <c r="W70" i="1"/>
  <c r="W68" i="1"/>
  <c r="T113" i="1"/>
  <c r="U113" i="1" s="1"/>
  <c r="S113" i="1" s="1"/>
  <c r="X113" i="1"/>
  <c r="W108" i="1"/>
  <c r="W103" i="1"/>
  <c r="W102" i="1"/>
  <c r="W99" i="1"/>
  <c r="W94" i="1"/>
  <c r="W91" i="1"/>
  <c r="W86" i="1"/>
  <c r="W83" i="1"/>
  <c r="W78" i="1"/>
  <c r="W76" i="1"/>
  <c r="W69" i="1"/>
  <c r="X121" i="1"/>
  <c r="X120" i="1"/>
  <c r="X119" i="1"/>
  <c r="X118" i="1"/>
  <c r="X117" i="1"/>
  <c r="X116" i="1"/>
  <c r="W101" i="1"/>
  <c r="W96" i="1"/>
  <c r="W93" i="1"/>
  <c r="W88" i="1"/>
  <c r="W85" i="1"/>
  <c r="W80" i="1"/>
  <c r="W77" i="1"/>
  <c r="W74" i="1"/>
  <c r="W72" i="1"/>
  <c r="W64" i="1"/>
  <c r="T114" i="1"/>
  <c r="U114" i="1" s="1"/>
  <c r="S114" i="1" s="1"/>
  <c r="X114" i="1"/>
  <c r="T112" i="1"/>
  <c r="U112" i="1" s="1"/>
  <c r="S112" i="1" s="1"/>
  <c r="X112" i="1"/>
  <c r="W98" i="1"/>
  <c r="W95" i="1"/>
  <c r="W90" i="1"/>
  <c r="W87" i="1"/>
  <c r="W82" i="1"/>
  <c r="W79" i="1"/>
  <c r="W75" i="1"/>
  <c r="W73" i="1"/>
  <c r="W65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1" i="1"/>
  <c r="W60" i="1"/>
  <c r="X59" i="1"/>
  <c r="T59" i="1"/>
  <c r="U59" i="1" s="1"/>
  <c r="S59" i="1" s="1"/>
  <c r="W54" i="1"/>
  <c r="W50" i="1"/>
  <c r="W46" i="1"/>
  <c r="W42" i="1"/>
  <c r="W38" i="1"/>
  <c r="W63" i="1"/>
  <c r="W62" i="1"/>
  <c r="X61" i="1"/>
  <c r="T61" i="1"/>
  <c r="U61" i="1" s="1"/>
  <c r="S61" i="1" s="1"/>
  <c r="W53" i="1"/>
  <c r="W49" i="1"/>
  <c r="W45" i="1"/>
  <c r="W41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X63" i="1"/>
  <c r="T63" i="1"/>
  <c r="U63" i="1" s="1"/>
  <c r="S63" i="1" s="1"/>
  <c r="W57" i="1"/>
  <c r="W56" i="1"/>
  <c r="W52" i="1"/>
  <c r="W48" i="1"/>
  <c r="W44" i="1"/>
  <c r="W40" i="1"/>
  <c r="W59" i="1"/>
  <c r="W58" i="1"/>
  <c r="X57" i="1"/>
  <c r="T57" i="1"/>
  <c r="U57" i="1" s="1"/>
  <c r="S57" i="1" s="1"/>
  <c r="W55" i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X73" i="1"/>
  <c r="X72" i="1"/>
  <c r="X71" i="1"/>
  <c r="X70" i="1"/>
  <c r="X69" i="1"/>
  <c r="X68" i="1"/>
  <c r="X67" i="1"/>
  <c r="X66" i="1"/>
  <c r="X65" i="1"/>
  <c r="X6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17" i="3"/>
  <c r="AD23" i="3"/>
  <c r="AD31" i="3"/>
  <c r="AD29" i="3"/>
  <c r="AE28" i="3"/>
  <c r="AC31" i="3"/>
  <c r="AC12" i="3"/>
  <c r="AE16" i="3"/>
  <c r="AC8" i="3"/>
  <c r="AD25" i="3"/>
  <c r="AD13" i="3"/>
  <c r="AE27" i="3"/>
  <c r="AE24" i="3"/>
  <c r="AE15" i="3"/>
  <c r="AD9" i="3"/>
  <c r="T10" i="3"/>
  <c r="AC27" i="3"/>
  <c r="AD27" i="3"/>
  <c r="AE23" i="3"/>
  <c r="T28" i="3"/>
  <c r="AD15" i="3"/>
  <c r="AE19" i="3"/>
  <c r="AC24" i="3"/>
  <c r="AD19" i="3"/>
  <c r="AD14" i="3"/>
  <c r="AE13" i="3"/>
  <c r="T14" i="3"/>
  <c r="AD11" i="3"/>
  <c r="AD10" i="3"/>
  <c r="AE9" i="3"/>
  <c r="T21" i="3"/>
  <c r="T25" i="3"/>
  <c r="AC9" i="3"/>
  <c r="AE11" i="3"/>
  <c r="AC26" i="3"/>
  <c r="AE29" i="3"/>
  <c r="AD28" i="3"/>
  <c r="T15" i="3"/>
  <c r="AE25" i="3"/>
  <c r="AD24" i="3"/>
  <c r="T16" i="3"/>
  <c r="AE21" i="3"/>
  <c r="AD20" i="3"/>
  <c r="T29" i="3"/>
  <c r="AE17" i="3"/>
  <c r="AD16" i="3"/>
  <c r="Y25" i="3"/>
  <c r="Y10" i="3"/>
  <c r="Y16" i="3"/>
  <c r="Y9" i="3"/>
  <c r="Y27" i="3"/>
  <c r="Y23" i="3"/>
  <c r="Y18" i="3"/>
  <c r="Y17" i="3"/>
  <c r="Y11" i="3"/>
  <c r="Y20" i="3"/>
  <c r="Y26" i="3"/>
  <c r="Y12" i="3"/>
  <c r="Y8" i="3"/>
  <c r="Y24" i="3"/>
  <c r="Y31" i="3"/>
  <c r="Y15" i="3"/>
  <c r="Y29" i="3"/>
  <c r="Y7" i="3"/>
  <c r="Y19" i="3"/>
  <c r="Y22" i="3"/>
  <c r="Y30" i="3"/>
  <c r="Y13" i="3"/>
  <c r="Y28" i="3"/>
  <c r="Y14" i="3"/>
  <c r="Y21" i="3"/>
  <c r="AC19" i="3"/>
  <c r="AC22" i="3"/>
  <c r="AD30" i="3"/>
  <c r="AC30" i="3"/>
  <c r="AD26" i="3"/>
  <c r="AD22" i="3"/>
  <c r="AC13" i="3"/>
  <c r="AD18" i="3"/>
  <c r="AC28" i="3"/>
  <c r="AC14" i="3"/>
  <c r="AD12" i="3"/>
  <c r="AC21" i="3"/>
  <c r="AD8" i="3"/>
  <c r="AC23" i="3"/>
  <c r="AC18" i="3"/>
  <c r="AC17" i="3"/>
  <c r="AE14" i="3"/>
  <c r="T7" i="3"/>
  <c r="AC11" i="3"/>
  <c r="AE10" i="3"/>
  <c r="AC20" i="3"/>
  <c r="T19" i="3"/>
  <c r="AE31" i="3"/>
  <c r="T22" i="3"/>
  <c r="AE30" i="3"/>
  <c r="AE26" i="3"/>
  <c r="AE22" i="3"/>
  <c r="AE18" i="3"/>
  <c r="AE12" i="3"/>
  <c r="AE8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D4" i="6" s="1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N26" i="3" s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N1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9" i="3" l="1"/>
  <c r="N12" i="3"/>
  <c r="N25" i="3"/>
  <c r="N19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20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21" i="3" s="1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28" i="3" s="1"/>
  <c r="G71" i="4"/>
  <c r="G72" i="4"/>
  <c r="G73" i="4"/>
  <c r="G74" i="4"/>
  <c r="G75" i="4"/>
  <c r="G76" i="4"/>
  <c r="G77" i="4"/>
  <c r="G78" i="4"/>
  <c r="G79" i="4"/>
  <c r="G80" i="4"/>
  <c r="G81" i="4"/>
  <c r="G82" i="4"/>
  <c r="N7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N13" i="3" s="1"/>
  <c r="G123" i="4"/>
  <c r="N17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N18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16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30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N22" i="3" s="1"/>
  <c r="G218" i="4"/>
  <c r="G219" i="4"/>
  <c r="N27" i="3" s="1"/>
  <c r="G220" i="4"/>
  <c r="G221" i="4"/>
  <c r="G222" i="4"/>
  <c r="G223" i="4"/>
  <c r="G2" i="4"/>
  <c r="N14" i="3" l="1"/>
  <c r="N11" i="3"/>
  <c r="N8" i="3"/>
  <c r="N15" i="3"/>
  <c r="N31" i="3"/>
  <c r="N29" i="3"/>
  <c r="N23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<sst xmlns="http://schemas.openxmlformats.org/spreadsheetml/2006/main" count="2842" uniqueCount="1089">
  <si>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</si>
  <si>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</si>
  <si>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</si>
  <si>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</si>
  <si>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</si>
  <si>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</si>
  <si>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</si>
  <si>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</si>
  <si>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</si>
  <si>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</si>
  <si>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</si>
  <si>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</si>
  <si>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</si>
  <si>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</si>
  <si>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</si>
  <si>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</si>
  <si>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</si>
  <si>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</si>
  <si>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</si>
  <si>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</si>
  <si>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</si>
  <si>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</si>
  <si>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</si>
  <si>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</si>
  <si>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</si>
  <si>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</si>
  <si>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</si>
  <si>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</si>
  <si>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</si>
  <si>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</si>
  <si>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</si>
  <si>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</si>
  <si>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</si>
  <si>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</si>
  <si>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</si>
  <si>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</si>
  <si>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</si>
  <si>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</si>
  <si>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</si>
  <si>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</si>
  <si>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</si>
  <si>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</si>
  <si>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</si>
  <si>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</si>
  <si>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</si>
  <si>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</si>
  <si>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</si>
  <si>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</si>
  <si>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</si>
  <si>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</si>
  <si>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</si>
  <si>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</si>
  <si>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</si>
  <si>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</si>
  <si>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</si>
  <si>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</si>
  <si>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</si>
  <si>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</si>
  <si>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</si>
  <si>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</si>
  <si>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</si>
  <si>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</si>
  <si>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</si>
  <si>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</si>
  <si>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</si>
  <si>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</si>
  <si>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</si>
  <si>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</si>
  <si>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</si>
  <si>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</si>
  <si>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</si>
  <si>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</si>
  <si>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</si>
  <si>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</si>
  <si>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</si>
  <si>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</si>
  <si>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</si>
  <si>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</si>
  <si>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</si>
  <si>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</si>
  <si>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</si>
  <si>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</si>
  <si>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</si>
  <si>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</si>
  <si>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</si>
  <si>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</si>
  <si>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</si>
  <si>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</si>
  <si>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</si>
  <si>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</si>
  <si>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</si>
  <si>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</si>
  <si>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</si>
  <si>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</si>
  <si>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</si>
  <si>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</si>
  <si>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</si>
  <si>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</si>
  <si>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</si>
  <si>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</si>
  <si>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</si>
  <si>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</si>
  <si>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</si>
  <si>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</si>
  <si>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</si>
  <si>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</si>
  <si>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</si>
  <si>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</si>
  <si>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</si>
  <si>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</si>
  <si>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</si>
  <si>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</si>
  <si>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</si>
  <si>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</si>
  <si>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</si>
  <si>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</si>
  <si>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</si>
  <si>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</si>
  <si>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</si>
  <si>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</si>
  <si>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</si>
  <si>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</si>
  <si>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</si>
  <si>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</si>
  <si>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</si>
  <si>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</si>
  <si>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</si>
  <si>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</si>
  <si>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</si>
  <si>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</si>
  <si>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</si>
  <si>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</si>
  <si>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</si>
  <si>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</si>
  <si>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</si>
  <si>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</si>
  <si>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</si>
  <si>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</si>
  <si>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</si>
  <si>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</si>
  <si>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</si>
  <si>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</si>
  <si>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</si>
  <si>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</si>
  <si>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</si>
  <si>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</si>
  <si>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</si>
  <si>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</si>
  <si>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</si>
  <si>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</si>
  <si>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</si>
  <si>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</si>
  <si>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</si>
  <si>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</si>
  <si>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</si>
  <si>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</si>
  <si>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</si>
  <si>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</si>
  <si>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</si>
  <si>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</si>
  <si>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</si>
  <si>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</si>
  <si>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</si>
  <si>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</si>
  <si>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</si>
  <si>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</si>
  <si>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</si>
  <si>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</si>
  <si>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</si>
  <si>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</si>
  <si>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</si>
  <si>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</si>
  <si>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</si>
  <si>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</si>
  <si>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</si>
  <si>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</si>
  <si>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</si>
  <si>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</si>
  <si>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</si>
  <si>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</si>
  <si>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</si>
  <si>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</si>
  <si>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</si>
  <si>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</si>
  <si>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</si>
  <si>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</si>
  <si>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</si>
  <si>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</si>
  <si>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</si>
  <si>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</si>
  <si>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</si>
  <si>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</si>
  <si>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</si>
  <si>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</si>
  <si>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</si>
  <si>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</si>
  <si>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</si>
  <si>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</si>
  <si>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</si>
  <si>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</si>
  <si>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</si>
  <si>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</si>
  <si>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</si>
  <si>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</si>
  <si>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</si>
  <si>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</si>
  <si>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</si>
  <si>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</si>
  <si>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</si>
  <si>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</si>
  <si>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</si>
  <si>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</si>
  <si>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</si>
  <si>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</si>
  <si>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</si>
  <si>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</si>
  <si>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</si>
  <si>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</si>
  <si>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</si>
  <si>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</si>
  <si>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</si>
  <si>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</si>
  <si>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</si>
  <si>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</si>
  <si>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</si>
  <si>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</si>
  <si>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</si>
  <si>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</si>
  <si>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</si>
  <si>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</si>
  <si>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</si>
  <si>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</si>
  <si>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</si>
  <si>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</si>
  <si>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</si>
  <si>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</si>
  <si>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</si>
  <si>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</si>
  <si>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</si>
  <si>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</si>
  <si>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</si>
  <si>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</si>
  <si>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</si>
  <si>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</si>
  <si>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</si>
  <si>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</si>
  <si>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</si>
  <si>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</si>
  <si>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</si>
  <si>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</si>
  <si>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</si>
  <si>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</si>
  <si>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</si>
  <si>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</si>
  <si>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</si>
  <si>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</si>
  <si>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</si>
  <si>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</si>
  <si>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</si>
  <si>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</si>
  <si>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</si>
  <si>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</si>
  <si>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</si>
  <si>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</si>
  <si>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</si>
  <si>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</si>
  <si>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</si>
  <si>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</si>
  <si>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</si>
  <si>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</si>
  <si>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</si>
  <si>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</si>
  <si>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</si>
  <si>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</si>
  <si>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</si>
  <si>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</si>
  <si>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</si>
  <si>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</si>
  <si>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</si>
  <si>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</si>
  <si>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</si>
  <si>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</si>
  <si>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</si>
  <si>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</si>
  <si>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</si>
  <si>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</si>
  <si>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</si>
  <si>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</si>
  <si>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</si>
  <si>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</si>
  <si>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</si>
  <si>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</si>
  <si>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</si>
  <si>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</si>
  <si>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</si>
  <si>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</si>
  <si>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</si>
  <si>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</si>
  <si>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</si>
  <si>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</si>
  <si>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</si>
  <si>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</si>
  <si>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</si>
  <si>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</si>
  <si>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</si>
  <si>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</si>
  <si>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</si>
  <si>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</si>
  <si>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</si>
  <si>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</si>
  <si>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</si>
  <si>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</si>
  <si>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</si>
  <si>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</si>
  <si>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</si>
  <si>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</si>
  <si>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</si>
  <si>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</si>
  <si>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</si>
  <si>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</si>
  <si>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</si>
  <si>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</si>
  <si>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</si>
  <si>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</si>
  <si>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</si>
  <si>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</si>
  <si>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</si>
  <si>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</si>
  <si>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</si>
  <si>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</si>
  <si>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</si>
  <si>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</si>
  <si>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</si>
  <si>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</si>
  <si>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</si>
  <si>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</si>
  <si>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</si>
  <si>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</si>
  <si>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</si>
  <si>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</si>
  <si>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</si>
  <si>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</si>
  <si>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</si>
  <si>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</si>
  <si>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</si>
  <si>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</si>
  <si>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</si>
  <si>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</si>
  <si>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</si>
  <si>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</si>
  <si>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</si>
  <si>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</si>
  <si>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</si>
  <si>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</si>
  <si>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</si>
  <si>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</si>
  <si>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</si>
  <si>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</si>
  <si>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</si>
  <si>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</si>
  <si>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</si>
  <si>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</si>
  <si>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</si>
  <si>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</si>
  <si>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</si>
  <si>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</si>
  <si>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</si>
  <si>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</si>
  <si>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</si>
  <si>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</si>
  <si>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</si>
  <si>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</si>
  <si>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</si>
  <si>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</si>
  <si>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</si>
  <si>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</si>
  <si>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</si>
  <si>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</si>
  <si>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</si>
  <si>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</si>
  <si>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</si>
  <si>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</si>
  <si>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</si>
  <si>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</si>
  <si>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</si>
  <si>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</si>
  <si>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</si>
  <si>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</si>
  <si>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</si>
  <si>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</si>
  <si>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</si>
  <si>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</si>
  <si>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</si>
  <si>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</si>
  <si>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</si>
  <si>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</si>
  <si>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</si>
  <si>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</si>
  <si>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</si>
  <si>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</si>
  <si>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</si>
  <si>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</si>
  <si>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</si>
  <si>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</si>
  <si>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</si>
  <si>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</si>
  <si>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</si>
  <si>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</si>
  <si>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</si>
  <si>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</si>
  <si>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</si>
  <si>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</si>
  <si>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</si>
  <si>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</si>
  <si>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</si>
  <si>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</si>
  <si>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</si>
  <si>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</si>
  <si>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</si>
  <si>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</si>
  <si>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</si>
  <si>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</si>
  <si>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</si>
  <si>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</si>
  <si>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</si>
  <si>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</si>
  <si>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</si>
  <si>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</si>
  <si>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</si>
  <si>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</si>
  <si>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</si>
  <si>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</si>
  <si>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</si>
  <si>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</si>
  <si>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</si>
  <si>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</si>
  <si>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</si>
  <si>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</si>
  <si>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</si>
  <si>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</si>
  <si>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</si>
  <si>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</si>
  <si>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</si>
  <si>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</si>
  <si>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</si>
  <si>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</si>
  <si>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</si>
  <si>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</si>
  <si>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</si>
  <si>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</si>
  <si>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</si>
  <si>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</si>
  <si>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</si>
  <si>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</si>
  <si>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</si>
  <si>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</si>
  <si>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</si>
  <si>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</si>
  <si>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HAMMOND</t>
  </si>
  <si>
    <t>JUSTYNN</t>
  </si>
  <si>
    <t>rtdc.l.rtdc.4009:itc</t>
  </si>
  <si>
    <t>204:201</t>
  </si>
  <si>
    <t>rtdc.l.rtdc.4044:itc</t>
  </si>
  <si>
    <t>204:205</t>
  </si>
  <si>
    <t>204:517</t>
  </si>
  <si>
    <t>204:156</t>
  </si>
  <si>
    <t>DAVID</t>
  </si>
  <si>
    <t>204:522</t>
  </si>
  <si>
    <t>204:200</t>
  </si>
  <si>
    <t>rtdc.l.rtdc.4019:itc</t>
  </si>
  <si>
    <t>rtdc.l.rtdc.4020:itc</t>
  </si>
  <si>
    <t>204:489</t>
  </si>
  <si>
    <t>204:214</t>
  </si>
  <si>
    <t>204:500</t>
  </si>
  <si>
    <t>204:535</t>
  </si>
  <si>
    <t>rtdc.l.rtdc.4033:itc</t>
  </si>
  <si>
    <t>rtdc.l.rtdc.4064:itc</t>
  </si>
  <si>
    <t>204:515</t>
  </si>
  <si>
    <t>204:167</t>
  </si>
  <si>
    <t>204:233299</t>
  </si>
  <si>
    <t>204:498</t>
  </si>
  <si>
    <t>204:172</t>
  </si>
  <si>
    <t>204:211</t>
  </si>
  <si>
    <t>204:469</t>
  </si>
  <si>
    <t>204:218</t>
  </si>
  <si>
    <t>rtdc.l.rtdc.4063:itc</t>
  </si>
  <si>
    <t>clear-day</t>
  </si>
  <si>
    <t>Clear</t>
  </si>
  <si>
    <t>clear-night</t>
  </si>
  <si>
    <t>204:444</t>
  </si>
  <si>
    <t>204:216</t>
  </si>
  <si>
    <t>rtdc.l.rtdc.4002:itc</t>
  </si>
  <si>
    <t>rtdc.l.rtdc.4034:itc</t>
  </si>
  <si>
    <t>204:152</t>
  </si>
  <si>
    <t>204:233251</t>
  </si>
  <si>
    <t>204:504</t>
  </si>
  <si>
    <t>204:437</t>
  </si>
  <si>
    <t>204:482</t>
  </si>
  <si>
    <t>204:233286</t>
  </si>
  <si>
    <t>rtdc.l.rtdc.4043:itc</t>
  </si>
  <si>
    <t>rtdc.l.rtdc.4056:itc</t>
  </si>
  <si>
    <t>DONTE</t>
  </si>
  <si>
    <t>BADERTSCHER</t>
  </si>
  <si>
    <t>DIANE</t>
  </si>
  <si>
    <t>204:191</t>
  </si>
  <si>
    <t>204:149</t>
  </si>
  <si>
    <t>204:233297</t>
  </si>
  <si>
    <t>204:232980</t>
  </si>
  <si>
    <t>204:233305</t>
  </si>
  <si>
    <t>204:198</t>
  </si>
  <si>
    <t>204:187</t>
  </si>
  <si>
    <t>204:455</t>
  </si>
  <si>
    <t>204:509</t>
  </si>
  <si>
    <t>204:233336</t>
  </si>
  <si>
    <t>204:233317</t>
  </si>
  <si>
    <t>204:212</t>
  </si>
  <si>
    <t>204:185</t>
  </si>
  <si>
    <t>204:240</t>
  </si>
  <si>
    <t>204:460</t>
  </si>
  <si>
    <t>LESTER</t>
  </si>
  <si>
    <t>DELGADO</t>
  </si>
  <si>
    <t>DIANAH</t>
  </si>
  <si>
    <t>MACDONALD</t>
  </si>
  <si>
    <t>THOMAS</t>
  </si>
  <si>
    <t>DAVIS</t>
  </si>
  <si>
    <t>GONZALEZ</t>
  </si>
  <si>
    <t>ARMANDO</t>
  </si>
  <si>
    <t>ROMERO</t>
  </si>
  <si>
    <t>CHAD</t>
  </si>
  <si>
    <t>BIRENBAUM</t>
  </si>
  <si>
    <t>Partly Cloudy</t>
  </si>
  <si>
    <t>partly-cloudy-night</t>
  </si>
  <si>
    <t>204:232932</t>
  </si>
  <si>
    <t>204:232967</t>
  </si>
  <si>
    <t>204:233287</t>
  </si>
  <si>
    <t>204:232940</t>
  </si>
  <si>
    <t>204:154</t>
  </si>
  <si>
    <t>204:232963</t>
  </si>
  <si>
    <t>204:440</t>
  </si>
  <si>
    <t>204:233000</t>
  </si>
  <si>
    <t>204:232992</t>
  </si>
  <si>
    <t>204:529</t>
  </si>
  <si>
    <t>204:233311</t>
  </si>
  <si>
    <t>204:175</t>
  </si>
  <si>
    <t>204:178</t>
  </si>
  <si>
    <t>204:495</t>
  </si>
  <si>
    <t>204:502</t>
  </si>
  <si>
    <t>204:471</t>
  </si>
  <si>
    <t>204:478</t>
  </si>
  <si>
    <t>204:232953</t>
  </si>
  <si>
    <t>204:232989</t>
  </si>
  <si>
    <t>300:23308</t>
  </si>
  <si>
    <t>300:23346</t>
  </si>
  <si>
    <t>Poor GPS under Wewatta St. overpass</t>
  </si>
  <si>
    <t>rtdc.l.rtdc.4025:itc</t>
  </si>
  <si>
    <t>TRACK WARRANT AUTHORITY</t>
  </si>
  <si>
    <t>Form based authority (4)</t>
  </si>
  <si>
    <t>rtdc.l.rtdc.4013:itc</t>
  </si>
  <si>
    <t>TEMPORARY SPEED RESTRICTION</t>
  </si>
  <si>
    <t>rtdc.l.rtdc.4026:itc</t>
  </si>
  <si>
    <t>rtdc.l.rtdc.4001:itc</t>
  </si>
  <si>
    <t>KILLION</t>
  </si>
  <si>
    <t>307-07</t>
  </si>
  <si>
    <t>244-07</t>
  </si>
  <si>
    <t>309-07</t>
  </si>
  <si>
    <t>311-07</t>
  </si>
  <si>
    <t>rtdc.l.rtdc.4021:itc</t>
  </si>
  <si>
    <t>51-08</t>
  </si>
  <si>
    <t>SPECTOR</t>
  </si>
  <si>
    <t>204:233274</t>
  </si>
  <si>
    <t>204:221</t>
  </si>
  <si>
    <t>204:519</t>
  </si>
  <si>
    <t>204:232982</t>
  </si>
  <si>
    <t>204:233283</t>
  </si>
  <si>
    <t>204:170</t>
  </si>
  <si>
    <t>204:458</t>
  </si>
  <si>
    <t>204:233312</t>
  </si>
  <si>
    <t>204:233322</t>
  </si>
  <si>
    <t>204:233347</t>
  </si>
  <si>
    <t>204:233300</t>
  </si>
  <si>
    <t>204:477</t>
  </si>
  <si>
    <t>204:233293</t>
  </si>
  <si>
    <t>204:232971</t>
  </si>
  <si>
    <t>204:233309</t>
  </si>
  <si>
    <t>204:145</t>
  </si>
  <si>
    <t>204:180</t>
  </si>
  <si>
    <t>204:233259</t>
  </si>
  <si>
    <t>204:233308</t>
  </si>
  <si>
    <t>204:223</t>
  </si>
  <si>
    <t>204:486</t>
  </si>
  <si>
    <t>204:183</t>
  </si>
  <si>
    <t>204:491</t>
  </si>
  <si>
    <t>204:158</t>
  </si>
  <si>
    <t>204:537</t>
  </si>
  <si>
    <t>204:233306</t>
  </si>
  <si>
    <t>204:473</t>
  </si>
  <si>
    <t>300:58914</t>
  </si>
  <si>
    <t>300:58611</t>
  </si>
  <si>
    <t>204:153</t>
  </si>
  <si>
    <t>204:450</t>
  </si>
  <si>
    <t>300:58600</t>
  </si>
  <si>
    <t>204:232978</t>
  </si>
  <si>
    <t>204:506</t>
  </si>
  <si>
    <t>204:232957</t>
  </si>
  <si>
    <t>204:466</t>
  </si>
  <si>
    <t>204:526</t>
  </si>
  <si>
    <t>204:232979</t>
  </si>
  <si>
    <t>204:232969</t>
  </si>
  <si>
    <t>204:233064</t>
  </si>
  <si>
    <t>204:232964</t>
  </si>
  <si>
    <t>204:232930</t>
  </si>
  <si>
    <t>204:265</t>
  </si>
  <si>
    <t>204:192</t>
  </si>
  <si>
    <t>204:233257</t>
  </si>
  <si>
    <t>204:562</t>
  </si>
  <si>
    <t>204:553</t>
  </si>
  <si>
    <t>204:128</t>
  </si>
  <si>
    <t>204:430</t>
  </si>
  <si>
    <t>start /low /b %USERPROFILE%\Documents\GitHub\eaglep3\Utilities\DownloadLogsFromS3.py --loco 4017 --day 2018-01-08</t>
  </si>
  <si>
    <t>52-08</t>
  </si>
  <si>
    <t>801-08</t>
  </si>
  <si>
    <t>807-08</t>
  </si>
  <si>
    <t>125-08</t>
  </si>
  <si>
    <t>65-08</t>
  </si>
  <si>
    <t>139-08</t>
  </si>
  <si>
    <t>GRADE CROSSING</t>
  </si>
  <si>
    <t>147-08</t>
  </si>
  <si>
    <t>66-08</t>
  </si>
  <si>
    <t>820-08</t>
  </si>
  <si>
    <t>164-08</t>
  </si>
  <si>
    <t>824-08</t>
  </si>
  <si>
    <t>191-08</t>
  </si>
  <si>
    <t>831-08</t>
  </si>
  <si>
    <t>835-08</t>
  </si>
  <si>
    <t>72-08</t>
  </si>
  <si>
    <t>218-08</t>
  </si>
  <si>
    <t>rtdc.l.rtdc.4054:itc</t>
  </si>
  <si>
    <t>305-08</t>
  </si>
  <si>
    <t>840-08</t>
  </si>
  <si>
    <t>227-08</t>
  </si>
  <si>
    <t>230-08</t>
  </si>
  <si>
    <t>849-08</t>
  </si>
  <si>
    <t>908-08</t>
  </si>
  <si>
    <t>Early Arrival</t>
  </si>
  <si>
    <t>300-08</t>
  </si>
  <si>
    <t>101-08</t>
  </si>
  <si>
    <t>302-08</t>
  </si>
  <si>
    <t>ROCHA</t>
  </si>
  <si>
    <t>YAOTL</t>
  </si>
  <si>
    <t>103-08</t>
  </si>
  <si>
    <t>304-08</t>
  </si>
  <si>
    <t>BEAM</t>
  </si>
  <si>
    <t>ROSS</t>
  </si>
  <si>
    <t>105-08</t>
  </si>
  <si>
    <t>306-08</t>
  </si>
  <si>
    <t>102-08</t>
  </si>
  <si>
    <t>308-08</t>
  </si>
  <si>
    <t>MAELZER</t>
  </si>
  <si>
    <t>KURT</t>
  </si>
  <si>
    <t>107-08</t>
  </si>
  <si>
    <t>109-08</t>
  </si>
  <si>
    <t>104-08</t>
  </si>
  <si>
    <t>310-08</t>
  </si>
  <si>
    <t>DAVIDSON</t>
  </si>
  <si>
    <t>901-08</t>
  </si>
  <si>
    <t>106-08</t>
  </si>
  <si>
    <t>111-08</t>
  </si>
  <si>
    <t>113-08</t>
  </si>
  <si>
    <t>800-08</t>
  </si>
  <si>
    <t>108-08</t>
  </si>
  <si>
    <t>rtdc.l.rtdc.4053:itc</t>
  </si>
  <si>
    <t>312-08</t>
  </si>
  <si>
    <t>115-08</t>
  </si>
  <si>
    <t>110-08</t>
  </si>
  <si>
    <t>117-08</t>
  </si>
  <si>
    <t>902-08</t>
  </si>
  <si>
    <t>119-08</t>
  </si>
  <si>
    <t>114-08</t>
  </si>
  <si>
    <t>112-08</t>
  </si>
  <si>
    <t>802-08</t>
  </si>
  <si>
    <t>121-08</t>
  </si>
  <si>
    <t>803-08</t>
  </si>
  <si>
    <t>118-08</t>
  </si>
  <si>
    <t>116-08</t>
  </si>
  <si>
    <t>123-08</t>
  </si>
  <si>
    <t>804-08</t>
  </si>
  <si>
    <t>120-08</t>
  </si>
  <si>
    <t>805-08</t>
  </si>
  <si>
    <t>122-08</t>
  </si>
  <si>
    <t>127-08</t>
  </si>
  <si>
    <t>806-08</t>
  </si>
  <si>
    <t>129-08</t>
  </si>
  <si>
    <t>124-08</t>
  </si>
  <si>
    <t>131-08</t>
  </si>
  <si>
    <t>808-08</t>
  </si>
  <si>
    <t>133-08</t>
  </si>
  <si>
    <t>809-08</t>
  </si>
  <si>
    <t>126-08</t>
  </si>
  <si>
    <t>128-08</t>
  </si>
  <si>
    <t>BROWN</t>
  </si>
  <si>
    <t>JACOB</t>
  </si>
  <si>
    <t>135-08</t>
  </si>
  <si>
    <t>810-08</t>
  </si>
  <si>
    <t>811-08</t>
  </si>
  <si>
    <t>132-08</t>
  </si>
  <si>
    <t>137-08</t>
  </si>
  <si>
    <t>130-08</t>
  </si>
  <si>
    <t>134-08</t>
  </si>
  <si>
    <t>812-08</t>
  </si>
  <si>
    <t>903-08</t>
  </si>
  <si>
    <t>141-08</t>
  </si>
  <si>
    <t>136-08</t>
  </si>
  <si>
    <t>143-08</t>
  </si>
  <si>
    <t>813-08</t>
  </si>
  <si>
    <t>138-08</t>
  </si>
  <si>
    <t>145-08</t>
  </si>
  <si>
    <t>142-08</t>
  </si>
  <si>
    <t>814-08</t>
  </si>
  <si>
    <t>140-08</t>
  </si>
  <si>
    <t>144-08</t>
  </si>
  <si>
    <t>149-08</t>
  </si>
  <si>
    <t>146-08</t>
  </si>
  <si>
    <t>55-08</t>
  </si>
  <si>
    <t>LANGERAK</t>
  </si>
  <si>
    <t>WILLIAM</t>
  </si>
  <si>
    <t>151-08</t>
  </si>
  <si>
    <t>815-08</t>
  </si>
  <si>
    <t>148-08</t>
  </si>
  <si>
    <t>56-08</t>
  </si>
  <si>
    <t>153-08</t>
  </si>
  <si>
    <t>155-08</t>
  </si>
  <si>
    <t>150-08</t>
  </si>
  <si>
    <t>816-08</t>
  </si>
  <si>
    <t>157-08</t>
  </si>
  <si>
    <t>152-08</t>
  </si>
  <si>
    <t>159-08</t>
  </si>
  <si>
    <t>817-08</t>
  </si>
  <si>
    <t>ROBINSON</t>
  </si>
  <si>
    <t>KADDIBA</t>
  </si>
  <si>
    <t>161-08</t>
  </si>
  <si>
    <t>156-08</t>
  </si>
  <si>
    <t>154-08</t>
  </si>
  <si>
    <t>70-08</t>
  </si>
  <si>
    <t>163-08</t>
  </si>
  <si>
    <t>STEWART</t>
  </si>
  <si>
    <t>818-08</t>
  </si>
  <si>
    <t>158-08</t>
  </si>
  <si>
    <t>160-08</t>
  </si>
  <si>
    <t>165-08</t>
  </si>
  <si>
    <t>LONG</t>
  </si>
  <si>
    <t>FULLER</t>
  </si>
  <si>
    <t>167-08</t>
  </si>
  <si>
    <t>819-08</t>
  </si>
  <si>
    <t>162-08</t>
  </si>
  <si>
    <t>169-08</t>
  </si>
  <si>
    <t>171-08</t>
  </si>
  <si>
    <t>166-08</t>
  </si>
  <si>
    <t>173-08</t>
  </si>
  <si>
    <t>168-08</t>
  </si>
  <si>
    <t>170-08</t>
  </si>
  <si>
    <t>175-08</t>
  </si>
  <si>
    <t>821-08</t>
  </si>
  <si>
    <t>177-08</t>
  </si>
  <si>
    <t>172-08</t>
  </si>
  <si>
    <t>179-08</t>
  </si>
  <si>
    <t>822-08</t>
  </si>
  <si>
    <t>174-08</t>
  </si>
  <si>
    <t>181-08</t>
  </si>
  <si>
    <t>183-08</t>
  </si>
  <si>
    <t>823-08</t>
  </si>
  <si>
    <t>178-08</t>
  </si>
  <si>
    <t>185-08</t>
  </si>
  <si>
    <t>180-08</t>
  </si>
  <si>
    <t>176-08</t>
  </si>
  <si>
    <t>187-08</t>
  </si>
  <si>
    <t>182-08</t>
  </si>
  <si>
    <t>189-08</t>
  </si>
  <si>
    <t>184-08</t>
  </si>
  <si>
    <t>825-08</t>
  </si>
  <si>
    <t>186-08</t>
  </si>
  <si>
    <t>193-08</t>
  </si>
  <si>
    <t>904-08</t>
  </si>
  <si>
    <t>188-08</t>
  </si>
  <si>
    <t>LORI</t>
  </si>
  <si>
    <t>SANTOS</t>
  </si>
  <si>
    <t>826-08</t>
  </si>
  <si>
    <t>195-08</t>
  </si>
  <si>
    <t>827-08</t>
  </si>
  <si>
    <t>190-08</t>
  </si>
  <si>
    <t>197-08</t>
  </si>
  <si>
    <t>192-08</t>
  </si>
  <si>
    <t>828-08</t>
  </si>
  <si>
    <t>199-08</t>
  </si>
  <si>
    <t>829-08</t>
  </si>
  <si>
    <t>194-08</t>
  </si>
  <si>
    <t>201-08</t>
  </si>
  <si>
    <t>196-08</t>
  </si>
  <si>
    <t>57-08</t>
  </si>
  <si>
    <t>STRICKLAND</t>
  </si>
  <si>
    <t>EVAN</t>
  </si>
  <si>
    <t>830-08</t>
  </si>
  <si>
    <t>203-08</t>
  </si>
  <si>
    <t>198-08</t>
  </si>
  <si>
    <t>205-08</t>
  </si>
  <si>
    <t>200-08</t>
  </si>
  <si>
    <t>207-08</t>
  </si>
  <si>
    <t>832-08</t>
  </si>
  <si>
    <t>833-08</t>
  </si>
  <si>
    <t>202-08</t>
  </si>
  <si>
    <t>209-08</t>
  </si>
  <si>
    <t>71-08</t>
  </si>
  <si>
    <t>204-08</t>
  </si>
  <si>
    <t>211-08</t>
  </si>
  <si>
    <t>834-08</t>
  </si>
  <si>
    <t>206-08</t>
  </si>
  <si>
    <t>213-08</t>
  </si>
  <si>
    <t>208-08</t>
  </si>
  <si>
    <t>215-08</t>
  </si>
  <si>
    <t>210-08</t>
  </si>
  <si>
    <t>836-08</t>
  </si>
  <si>
    <t>837-08</t>
  </si>
  <si>
    <t>217-08</t>
  </si>
  <si>
    <t>212-08</t>
  </si>
  <si>
    <t>219-08</t>
  </si>
  <si>
    <t>838-08</t>
  </si>
  <si>
    <t>839-08</t>
  </si>
  <si>
    <t>214-08</t>
  </si>
  <si>
    <t>301-08</t>
  </si>
  <si>
    <t>216-08</t>
  </si>
  <si>
    <t>906-08</t>
  </si>
  <si>
    <t>221-08</t>
  </si>
  <si>
    <t>841-08</t>
  </si>
  <si>
    <t>303-08</t>
  </si>
  <si>
    <t>220-08</t>
  </si>
  <si>
    <t>223-08</t>
  </si>
  <si>
    <t>222-08</t>
  </si>
  <si>
    <t>225-08</t>
  </si>
  <si>
    <t>843-08</t>
  </si>
  <si>
    <t>60-08</t>
  </si>
  <si>
    <t>224-08</t>
  </si>
  <si>
    <t>842-08</t>
  </si>
  <si>
    <t>229-08</t>
  </si>
  <si>
    <t>226-08</t>
  </si>
  <si>
    <t>845-08</t>
  </si>
  <si>
    <t>231-08</t>
  </si>
  <si>
    <t>228-08</t>
  </si>
  <si>
    <t>844-08</t>
  </si>
  <si>
    <t>233-08</t>
  </si>
  <si>
    <t>847-08</t>
  </si>
  <si>
    <t>235-08</t>
  </si>
  <si>
    <t>232-08</t>
  </si>
  <si>
    <t>846-08</t>
  </si>
  <si>
    <t>237-08</t>
  </si>
  <si>
    <t>234-08</t>
  </si>
  <si>
    <t>239-08</t>
  </si>
  <si>
    <t>236-08</t>
  </si>
  <si>
    <t>241-08</t>
  </si>
  <si>
    <t>238-08</t>
  </si>
  <si>
    <t>300-09</t>
  </si>
  <si>
    <t>204:233368</t>
  </si>
  <si>
    <t>204:233055</t>
  </si>
  <si>
    <t>204:125</t>
  </si>
  <si>
    <t>204:233295</t>
  </si>
  <si>
    <t>204:232977</t>
  </si>
  <si>
    <t>204:174</t>
  </si>
  <si>
    <t>204:493</t>
  </si>
  <si>
    <t>204:232970</t>
  </si>
  <si>
    <t>204:238</t>
  </si>
  <si>
    <t>204:233291</t>
  </si>
  <si>
    <t>204:233383</t>
  </si>
  <si>
    <t>204:233062</t>
  </si>
  <si>
    <t>204:147</t>
  </si>
  <si>
    <t>204:233284</t>
  </si>
  <si>
    <t>204:232984</t>
  </si>
  <si>
    <t>204:176</t>
  </si>
  <si>
    <t>204:233210</t>
  </si>
  <si>
    <t>204:232889</t>
  </si>
  <si>
    <t>204:233261</t>
  </si>
  <si>
    <t>204:232950</t>
  </si>
  <si>
    <t>204:233351</t>
  </si>
  <si>
    <t>204:233049</t>
  </si>
  <si>
    <t>204:528</t>
  </si>
  <si>
    <t>204:233069</t>
  </si>
  <si>
    <t>204:232985</t>
  </si>
  <si>
    <t>204:451</t>
  </si>
  <si>
    <t>204:233315</t>
  </si>
  <si>
    <t>204:233263</t>
  </si>
  <si>
    <t>204:232952</t>
  </si>
  <si>
    <t>204:520</t>
  </si>
  <si>
    <t>204:233276</t>
  </si>
  <si>
    <t>204:232955</t>
  </si>
  <si>
    <t>204:1171</t>
  </si>
  <si>
    <t>204:233042</t>
  </si>
  <si>
    <t>204:139</t>
  </si>
  <si>
    <t>204:233359</t>
  </si>
  <si>
    <t>204:233327</t>
  </si>
  <si>
    <t>204:233036</t>
  </si>
  <si>
    <t>204:233272</t>
  </si>
  <si>
    <t>204:232945</t>
  </si>
  <si>
    <t>204:232944</t>
  </si>
  <si>
    <t>204:438</t>
  </si>
  <si>
    <t>204:232943</t>
  </si>
  <si>
    <t>204:189</t>
  </si>
  <si>
    <t>204:233002</t>
  </si>
  <si>
    <t>204:467</t>
  </si>
  <si>
    <t>204:233032</t>
  </si>
  <si>
    <t>204:233344</t>
  </si>
  <si>
    <t>204:233013</t>
  </si>
  <si>
    <t>204:233268</t>
  </si>
  <si>
    <t>204:232947</t>
  </si>
  <si>
    <t>204:127877</t>
  </si>
  <si>
    <t>204:1158</t>
  </si>
  <si>
    <t>204:233334</t>
  </si>
  <si>
    <t>204:233316</t>
  </si>
  <si>
    <t>204:232988</t>
  </si>
  <si>
    <t>204:229</t>
  </si>
  <si>
    <t>204:278</t>
  </si>
  <si>
    <t>204:203</t>
  </si>
  <si>
    <t>204:161</t>
  </si>
  <si>
    <t>204:571</t>
  </si>
  <si>
    <t>204:233021</t>
  </si>
  <si>
    <t>204:233349</t>
  </si>
  <si>
    <t>204:233318</t>
  </si>
  <si>
    <t>204:232966</t>
  </si>
  <si>
    <t>204:232968</t>
  </si>
  <si>
    <t>204:207</t>
  </si>
  <si>
    <t>204:233361</t>
  </si>
  <si>
    <t>204:233043</t>
  </si>
  <si>
    <t>204:233324</t>
  </si>
  <si>
    <t>204:233228</t>
  </si>
  <si>
    <t>204:232948</t>
  </si>
  <si>
    <t>204:227</t>
  </si>
  <si>
    <t>204:233249</t>
  </si>
  <si>
    <t>204:254</t>
  </si>
  <si>
    <t>204:232925</t>
  </si>
  <si>
    <t>204:221532</t>
  </si>
  <si>
    <t>204:544</t>
  </si>
  <si>
    <t>204:232974</t>
  </si>
  <si>
    <t>204:232</t>
  </si>
  <si>
    <t>204:233278</t>
  </si>
  <si>
    <t>204:568</t>
  </si>
  <si>
    <t>204:262</t>
  </si>
  <si>
    <t>204:497</t>
  </si>
  <si>
    <t>204:233230</t>
  </si>
  <si>
    <t>204:283</t>
  </si>
  <si>
    <t>204:560</t>
  </si>
  <si>
    <t>204:233255</t>
  </si>
  <si>
    <t>204:549</t>
  </si>
  <si>
    <t>204:577</t>
  </si>
  <si>
    <t>204:233325</t>
  </si>
  <si>
    <t>204:582</t>
  </si>
  <si>
    <t>204:1757</t>
  </si>
  <si>
    <t>300:23605</t>
  </si>
  <si>
    <t>300:23173</t>
  </si>
  <si>
    <t>204:150</t>
  </si>
  <si>
    <t>300:23297</t>
  </si>
  <si>
    <t>300:23292</t>
  </si>
  <si>
    <t>300:23171</t>
  </si>
  <si>
    <t>204:143</t>
  </si>
  <si>
    <t>300:23302</t>
  </si>
  <si>
    <t>300:19635</t>
  </si>
  <si>
    <t>204:591</t>
  </si>
  <si>
    <t>300:23110</t>
  </si>
  <si>
    <t>300:23896</t>
  </si>
  <si>
    <t>204:1456</t>
  </si>
  <si>
    <t>300:6269</t>
  </si>
  <si>
    <t>300:5643</t>
  </si>
  <si>
    <t>204:911</t>
  </si>
  <si>
    <t>204:1509</t>
  </si>
  <si>
    <t>204:3707</t>
  </si>
  <si>
    <t>204:1484</t>
  </si>
  <si>
    <t>300:23316</t>
  </si>
  <si>
    <t>204:3406</t>
  </si>
  <si>
    <t>204:1498</t>
  </si>
  <si>
    <t>204:3434</t>
  </si>
  <si>
    <t>204:3132</t>
  </si>
  <si>
    <t>204:1910</t>
  </si>
  <si>
    <t>300:29434</t>
  </si>
  <si>
    <t>300:33006</t>
  </si>
  <si>
    <t>300:37888</t>
  </si>
  <si>
    <t>300:112513</t>
  </si>
  <si>
    <t>204:1160</t>
  </si>
  <si>
    <t>300:112578</t>
  </si>
  <si>
    <t>300:39545</t>
  </si>
  <si>
    <t>300:112551</t>
  </si>
  <si>
    <t>300:39518</t>
  </si>
  <si>
    <t>300:112491</t>
  </si>
  <si>
    <t>300:39568</t>
  </si>
  <si>
    <t>300:112494</t>
  </si>
  <si>
    <t>204:1162</t>
  </si>
  <si>
    <t>204:3427</t>
  </si>
  <si>
    <t>300:112258</t>
  </si>
  <si>
    <t>300:37659</t>
  </si>
  <si>
    <t>300:112197</t>
  </si>
  <si>
    <t>300:28791</t>
  </si>
  <si>
    <t>300:112202</t>
  </si>
  <si>
    <t>300:37566</t>
  </si>
  <si>
    <t>300:112165</t>
  </si>
  <si>
    <t>300:102498</t>
  </si>
  <si>
    <t>300:98051</t>
  </si>
  <si>
    <t>300:39189</t>
  </si>
  <si>
    <t>300:112159</t>
  </si>
  <si>
    <t>300:39231</t>
  </si>
  <si>
    <t>300:22709</t>
  </si>
  <si>
    <t>300:19190</t>
  </si>
  <si>
    <t>204:3324</t>
  </si>
  <si>
    <t>204:165</t>
  </si>
  <si>
    <t>204:1477</t>
  </si>
  <si>
    <t>204:3646</t>
  </si>
  <si>
    <t>204:1165</t>
  </si>
  <si>
    <t>300:23853</t>
  </si>
  <si>
    <t>204:4569</t>
  </si>
  <si>
    <t>300:58598</t>
  </si>
  <si>
    <t>204:470</t>
  </si>
  <si>
    <t>300:58924</t>
  </si>
  <si>
    <t>204:182</t>
  </si>
  <si>
    <t>204:446</t>
  </si>
  <si>
    <t>300:58922</t>
  </si>
  <si>
    <t>300:58623</t>
  </si>
  <si>
    <t>204:146</t>
  </si>
  <si>
    <t>204:468</t>
  </si>
  <si>
    <t>300:58905</t>
  </si>
  <si>
    <t>204:151</t>
  </si>
  <si>
    <t>204:484</t>
  </si>
  <si>
    <t>204:432</t>
  </si>
  <si>
    <t>300:58935</t>
  </si>
  <si>
    <t>300:58619</t>
  </si>
  <si>
    <t>204:137</t>
  </si>
  <si>
    <t>300:58928</t>
  </si>
  <si>
    <t>300:58606</t>
  </si>
  <si>
    <t>204:144</t>
  </si>
  <si>
    <t>204:448</t>
  </si>
  <si>
    <t>300:58929</t>
  </si>
  <si>
    <t>300:58621</t>
  </si>
  <si>
    <t>300:58926</t>
  </si>
  <si>
    <t>300:58608</t>
  </si>
  <si>
    <t>300:58609</t>
  </si>
  <si>
    <t>204:412</t>
  </si>
  <si>
    <t>300:58944</t>
  </si>
  <si>
    <t>300:58632</t>
  </si>
  <si>
    <t>204:131</t>
  </si>
  <si>
    <t>204:433</t>
  </si>
  <si>
    <t>300:58937</t>
  </si>
  <si>
    <t>204:119</t>
  </si>
  <si>
    <t>300:58941</t>
  </si>
  <si>
    <t>300:58624</t>
  </si>
  <si>
    <t>204:124</t>
  </si>
  <si>
    <t>204:133</t>
  </si>
  <si>
    <t>204:428</t>
  </si>
  <si>
    <t>300:58943</t>
  </si>
  <si>
    <t>300:58630</t>
  </si>
  <si>
    <t>300:58948</t>
  </si>
  <si>
    <t>204:426</t>
  </si>
  <si>
    <t>204:97</t>
  </si>
  <si>
    <t>204:442</t>
  </si>
  <si>
    <t>300:58617</t>
  </si>
  <si>
    <t>204:142</t>
  </si>
  <si>
    <t>204:395</t>
  </si>
  <si>
    <t>300:58613</t>
  </si>
  <si>
    <t>300:58933</t>
  </si>
  <si>
    <t>204:4535</t>
  </si>
  <si>
    <t>204:421</t>
  </si>
  <si>
    <t>204:140</t>
  </si>
  <si>
    <t>204:423</t>
  </si>
  <si>
    <t>204:157</t>
  </si>
  <si>
    <t>300:58931</t>
  </si>
  <si>
    <t>300:30180</t>
  </si>
  <si>
    <t>300:24258</t>
  </si>
  <si>
    <t>300:23669</t>
  </si>
  <si>
    <t>204:126</t>
  </si>
  <si>
    <t>300:28755</t>
  </si>
  <si>
    <t>300:28782</t>
  </si>
  <si>
    <t>start /low /b %USERPROFILE%\Documents\GitHub\eaglep3\Utilities\DownloadLogsFromS3.py --loco 4051 --day 2018-01-08</t>
  </si>
  <si>
    <t>start /low /b %USERPROFILE%\Documents\GitHub\eaglep3\Utilities\DownloadLogsFromS3.py --loco 4060 --day 2018-01-08</t>
  </si>
  <si>
    <t>start /low /b %USERPROFILE%\Documents\GitHub\eaglep3\Utilities\DownloadLogsFromS3.py --loco 4063 --day 2018-01-08</t>
  </si>
  <si>
    <t>start /low /b %USERPROFILE%\Documents\GitHub\eaglep3\Utilities\DownloadLogsFromS3.py --loco 4052 --day 2018-01-08</t>
  </si>
  <si>
    <t>start /low /b %USERPROFILE%\Documents\GitHub\eaglep3\Utilities\DownloadLogsFromS3.py --loco 4025 --day 2018-01-09</t>
  </si>
  <si>
    <t>start /low /b %USERPROFILE%\Documents\GitHub\eaglep3\Utilities\DownloadLogsFromS3.py --loco 4059 --day 2018-01-09</t>
  </si>
  <si>
    <t>start /low /b %USERPROFILE%\Documents\GitHub\eaglep3\Utilities\DownloadLogsFromS3.py --loco 4020 --day 2018-01-09</t>
  </si>
  <si>
    <t>start /low /b %USERPROFILE%\Documents\GitHub\eaglep3\Utilities\DownloadLogsFromS3.py --loco 4030 --day 2018-01-08</t>
  </si>
  <si>
    <t>start /low /b %USERPROFILE%\Documents\GitHub\eaglep3\Utilities\DownloadLogsFromS3.py --loco 4064 --day 2018-01-09</t>
  </si>
  <si>
    <t>start /low /b %USERPROFILE%\Documents\GitHub\eaglep3\Utilities\DownloadLogsFromS3.py --loco 4064 --day 2018-01-08</t>
  </si>
  <si>
    <t>start /low /b %USERPROFILE%\Documents\GitHub\eaglep3\Utilities\DownloadLogsFromS3.py --loco 4063 --day 2018-01-09</t>
  </si>
  <si>
    <t>start /low /b %USERPROFILE%\Documents\GitHub\eaglep3\Utilities\DownloadLogsFromS3.py --loco 4030 --day 2018-01-09</t>
  </si>
  <si>
    <t>CCROC deleted by Gold Line Dispatcher (59483)</t>
  </si>
  <si>
    <t>Onboard en route failure during init at DIA</t>
  </si>
  <si>
    <t>Operator observed unhealthy xing banners for Ulster and Havana due to Wi-MAX data drop</t>
  </si>
  <si>
    <t>Operator observed signal status unknown due to minor onboard en route failure</t>
  </si>
  <si>
    <t>Restricted aspect due to Pecos 4N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</si>
</sst>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80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43108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43108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COUNTIFS($N$13:$N$9623,"&gt;0",$AG$13:$AG$9623,I1)</f>
        <v>142</v>
      </c>
      <c r="K5" s="39"/>
      <c r="L5" s="171"/>
      <c r="M5" s="40">
        <f>AVERAGEIFS($N$13:$N$9623,$AG$13:$AG$9623,I1)</f>
        <v>36.929812207030999</v>
      </c>
      <c r="N5" s="38">
        <f t="array" ref="N5">MIN(IF($AG$13:$AG$9623=I1,IF(ISNUMBER($N$13:$N$9623),IF($N$13:$N$9623&gt;0,$N$13:$N$9623))))</f>
        <v>32.933333331020549</v>
      </c>
      <c r="O5" s="3">
        <f t="array" ref="O5">MAX(IF($AG$13:$AG$9623=I1,IF(ISNUMBER($N$13:$N$9623),IF($N$13:$N$9623&gt;0,$N$13:$N$9623))))</f>
        <v>44.949999998789281</v>
      </c>
      <c r="P5" s="2"/>
      <c r="R5" s="162" t="s">
        <v>17</v>
      </c>
      <c r="S5" s="206">
        <f>COUNTIFS($N$13:$N$9623,"&gt;0",$AG$13:$AG$9623,R1)</f>
        <v>49</v>
      </c>
      <c r="T5" s="171"/>
      <c r="U5" s="194"/>
      <c r="V5" s="210">
        <f>AVERAGEIFS($N$13:$N$9623,$AG$13:$AG$9623,R1)</f>
        <v>13.145578231790806</v>
      </c>
      <c r="W5" s="211">
        <f t="array" ref="W5">MIN(IF($AG$13:$AG$9623=R1,IF(ISNUMBER($N$13:$N$9623),IF($N$13:$N$9623&gt;0,$N$13:$N$9623))))</f>
        <v>10.866666671354324</v>
      </c>
      <c r="X5" s="199">
        <f t="array" ref="X5">MAX(IF($AG$13:$AG$9623=R1,IF(ISNUMBER($N$13:$N$9623),IF($N$13:$N$9623&gt;0,$N$13:$N$9623))))</f>
        <v>15.533333328785375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COUNT($O$13:$O$381)</f>
        <v>0</v>
      </c>
      <c r="K6" s="39"/>
      <c r="L6" s="171"/>
      <c r="M6" s="40">
        <f>IFERROR(AVERAGE($O$13:$O$381),0)</f>
        <v>0</v>
      </c>
      <c r="N6" s="38">
        <f>MIN($O$13:$O$381)</f>
        <v>0</v>
      </c>
      <c r="O6" s="3">
        <f>MAX($O$13:$O$381)</f>
        <v>0</v>
      </c>
      <c r="P6" s="2"/>
      <c r="R6" s="163" t="s">
        <v>43</v>
      </c>
      <c r="S6" s="206">
        <f>COUNT($O$13:$O$381)</f>
        <v>0</v>
      </c>
      <c r="T6" s="171"/>
      <c r="U6" s="194"/>
      <c r="V6" s="210">
        <f>IFERROR(AVERAGE($O$13:$O$381),0)</f>
        <v>0</v>
      </c>
      <c r="W6" s="211">
        <f>MIN($O$13:$O$381)</f>
        <v>0</v>
      </c>
      <c r="X6" s="199">
        <f>MAX($O$13:$O$381)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COUNTIFS($P$13:$P$9623,"&gt;0",$AG$13:$AG$9623,I1)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COUNTIFS($P$13:$P$9623,"&gt;0",$AG$13:$AG$9623,R1)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1"/>
      <c r="M8" s="40">
        <f>M5</f>
        <v>36.929812207030999</v>
      </c>
      <c r="N8" s="38">
        <f>N5</f>
        <v>32.933333331020549</v>
      </c>
      <c r="O8" s="3">
        <f>O5</f>
        <v>44.949999998789281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13.145578231790806</v>
      </c>
      <c r="W8" s="211">
        <f>W5</f>
        <v>10.866666671354324</v>
      </c>
      <c r="X8" s="199">
        <f>X5</f>
        <v>15.533333328785375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- 2018-01-08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AVERAGE(S13:S137)</f>
        <v>0.99199999999999999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645</v>
      </c>
      <c r="B13" s="7">
        <v>4060</v>
      </c>
      <c r="C13" s="21" t="s">
        <v>191</v>
      </c>
      <c r="D13" s="21" t="s">
        <v>545</v>
      </c>
      <c r="E13" s="13">
        <v>43108.133425925924</v>
      </c>
      <c r="F13" s="13">
        <v>43108.135752314818</v>
      </c>
      <c r="G13" s="7">
        <v>108</v>
      </c>
      <c r="H13" s="21" t="s">
        <v>581</v>
      </c>
      <c r="I13" s="13">
        <v>43108.160925925928</v>
      </c>
      <c r="J13" s="7">
        <v>0</v>
      </c>
      <c r="K13" s="89" t="str">
        <f t="shared" ref="K13:K76" si="0">IF(ISEVEN(B13),(B13-1)&amp;"/"&amp;B13,B13&amp;"/"&amp;(B13+1))</f>
        <v>4059/4060</v>
      </c>
      <c r="L13" s="184" t="str">
        <f>VLOOKUP(A13,'Trips&amp;Operators'!$C$1:$G$99911,5,FALSE)</f>
        <v>THOMPSON LESTER</v>
      </c>
      <c r="M13" s="6">
        <f t="shared" ref="M13:M76" si="1">I13-F13</f>
        <v>2.5173611109494232E-2</v>
      </c>
      <c r="N13" s="7">
        <f t="shared" ref="N13:N44" si="2">24*60*SUM($M13:$M13)</f>
        <v>36.249999997671694</v>
      </c>
      <c r="O13" s="7"/>
      <c r="P13" s="225"/>
      <c r="Q13" s="22"/>
      <c r="R13" s="166"/>
      <c r="S13" s="249">
        <f t="shared" ref="S13:S44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-08T02:12:08-0700',mode:absolute,to:'2018-01-08T04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3" t="str">
        <f>IF(AA13&lt;VLOOKUP(AG13,Variables!$AC$3:$AD$8,2,FALSE),"Y","N")</f>
        <v>N</v>
      </c>
      <c r="X13" s="203" t="e">
        <f t="shared" ref="X13:X76" si="6">VALUE(LEFT(AD13,4))-VALUE(LEFT(AD12,4))</f>
        <v>#VALUE!</v>
      </c>
      <c r="Y13" s="203">
        <f t="shared" ref="Y13:Y44" si="7">RIGHT(D13,LEN(D13)-4)/10000</f>
        <v>4.9500000000000002E-2</v>
      </c>
      <c r="Z13" s="203">
        <f t="shared" ref="Z13:Z44" si="8">RIGHT(H13,LEN(H13)-4)/10000</f>
        <v>23.3293</v>
      </c>
      <c r="AA13" s="203">
        <f t="shared" ref="AA13:AA76" si="9">ABS(Z13-Y13)</f>
        <v>23.279800000000002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/stypes="app*4060*20180108*"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4060 --swversion DE.1.0.9.0 --startMP 204:495 --initTime 2018-01-08T03:12:08 --startdatetime 2018-01-08T03:15:29 --delay 108 --endMP 204:233293 --enddatetime 2018-01-08T03:51:44 --enforcementcount 0 &gt;&gt;%USERPROFILE%\Documents\GitHub\eaglep3-reporting\EC\2018-01-08-refined-times.txt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{"issue":{"subject":"","project_id":79,"tracker_id":40,"status_id":1,"priority_id":2,"assigned_to_id":338,"start_date":"2018-01-08","description":"","custom_fields":[{"id":1,"name":"Subdivision","value":"EC"},{"id":4,"name":"Milepost","value":"23.3293"},{"id":17,"name":"Train ID","value":"101-08"},{"id":16,"name":"Locomotive ID","value":"4060"},{"id":130,"name":"Impact","value":""},{"id":150,"name":"Time of Event (Mountain Time)","value":"03:51:44"},{"id":151,"name":"Denver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4060 --day 2018-01-08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-08T02:12:08-0700',mode:absolute,to:'2018-01-08T04:51:44-0700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655</v>
      </c>
      <c r="B14" s="225">
        <v>4059</v>
      </c>
      <c r="C14" s="227" t="s">
        <v>191</v>
      </c>
      <c r="D14" s="227" t="s">
        <v>537</v>
      </c>
      <c r="E14" s="226">
        <v>43108.173564814817</v>
      </c>
      <c r="F14" s="226">
        <v>43108.175266203703</v>
      </c>
      <c r="G14" s="225">
        <v>69</v>
      </c>
      <c r="H14" s="227" t="s">
        <v>465</v>
      </c>
      <c r="I14" s="226">
        <v>43108.20207175926</v>
      </c>
      <c r="J14" s="225">
        <v>0</v>
      </c>
      <c r="K14" s="237" t="str">
        <f t="shared" si="0"/>
        <v>4059/4060</v>
      </c>
      <c r="L14" s="245" t="str">
        <f>VLOOKUP(A14,'Trips&amp;Operators'!$C$1:$G$99911,5,FALSE)</f>
        <v>THOMPSON LESTER</v>
      </c>
      <c r="M14" s="224">
        <f t="shared" si="1"/>
        <v>2.6805555557075422E-2</v>
      </c>
      <c r="N14" s="225">
        <f t="shared" si="2"/>
        <v>38.600000002188608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2018-01-08T03:09:56-0700',mode:absolute,to:'2018-01-08T05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23.296299999999999</v>
      </c>
      <c r="Z14" s="247">
        <f t="shared" si="8"/>
        <v>1.5599999999999999E-2</v>
      </c>
      <c r="AA14" s="247">
        <f t="shared" si="9"/>
        <v>23.2807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4" s="234" t="str">
        <f t="shared" si="12"/>
        <v>"C:\Program Files (x86)\AstroGrep\AstroGrep.exe" /e /r /s /spath="%USERPROFILE%\AppData\Local\Temp\OnboardLogs" /stypes="app*4059*20180108*"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4059 --swversion DE.1.0.9.0 --startMP 204:232963 --initTime 2018-01-08T04:09:56 --startdatetime 2018-01-08T04:12:23 --delay 69 --endMP 204:156 --enddatetime 2018-01-08T04:50:59 --enforcementcount 0 &gt;&gt;%USERPROFILE%\Documents\GitHub\eaglep3-reporting\EC\2018-01-08-refined-times.txt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{"issue":{"subject":"","project_id":79,"tracker_id":40,"status_id":1,"priority_id":2,"assigned_to_id":338,"start_date":"2018-01-08","description":"","custom_fields":[{"id":1,"name":"Subdivision","value":"EC"},{"id":4,"name":"Milepost","value":"0.0156"},{"id":17,"name":"Train ID","value":"102-08"},{"id":16,"name":"Locomotive ID","value":"4059"},{"id":130,"name":"Impact","value":""},{"id":150,"name":"Time of Event (Mountain Time)","value":"04:50:59"},{"id":151,"name":"Denver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4059 --day 2018-01-08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-08T03:09:56-0700',mode:absolute,to:'2018-01-08T05:50:59-0700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649</v>
      </c>
      <c r="B15" s="225">
        <v>4044</v>
      </c>
      <c r="C15" s="227" t="s">
        <v>191</v>
      </c>
      <c r="D15" s="227" t="s">
        <v>538</v>
      </c>
      <c r="E15" s="226">
        <v>43108.154699074075</v>
      </c>
      <c r="F15" s="226">
        <v>43108.156412037039</v>
      </c>
      <c r="G15" s="225">
        <v>64</v>
      </c>
      <c r="H15" s="227" t="s">
        <v>859</v>
      </c>
      <c r="I15" s="226">
        <v>43108.181111111109</v>
      </c>
      <c r="J15" s="225">
        <v>0</v>
      </c>
      <c r="K15" s="237" t="str">
        <f t="shared" si="0"/>
        <v>4043/4044</v>
      </c>
      <c r="L15" s="245" t="str">
        <f>VLOOKUP(A15,'Trips&amp;Operators'!$C$1:$G$99911,5,FALSE)</f>
        <v>ROCHA YAOTL</v>
      </c>
      <c r="M15" s="224">
        <f t="shared" si="1"/>
        <v>2.4699074070667848E-2</v>
      </c>
      <c r="N15" s="225">
        <f t="shared" si="2"/>
        <v>35.566666661761701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2018-01-08T02:42:46-0700',mode:absolute,to:'2018-01-08T05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4.3999999999999997E-2</v>
      </c>
      <c r="Z15" s="247">
        <f t="shared" si="8"/>
        <v>23.3368</v>
      </c>
      <c r="AA15" s="247">
        <f t="shared" si="9"/>
        <v>23.2928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5" s="234" t="str">
        <f t="shared" si="12"/>
        <v>"C:\Program Files (x86)\AstroGrep\AstroGrep.exe" /e /r /s /spath="%USERPROFILE%\AppData\Local\Temp\OnboardLogs" /stypes="app*4044*20180108*"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103-08 --locoid 4044 --swversion DE.1.0.9.0 --startMP 204:440 --initTime 2018-01-08T03:42:46 --startdatetime 2018-01-08T03:45:14 --delay 64 --endMP 204:233368 --enddatetime 2018-01-08T04:20:48 --enforcementcount 0 &gt;&gt;%USERPROFILE%\Documents\GitHub\eaglep3-reporting\EC\2018-01-08-refined-times.txt</v>
      </c>
      <c r="AI1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{"issue":{"subject":"","project_id":79,"tracker_id":40,"status_id":1,"priority_id":2,"assigned_to_id":338,"start_date":"2018-01-08","description":"","custom_fields":[{"id":1,"name":"Subdivision","value":"EC"},{"id":4,"name":"Milepost","value":"23.3368"},{"id":17,"name":"Train ID","value":"103-08"},{"id":16,"name":"Locomotive ID","value":"4044"},{"id":130,"name":"Impact","value":""},{"id":150,"name":"Time of Event (Mountain Time)","value":"04:20:48"},{"id":151,"name":"Denver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4044 --day 2018-01-08</v>
      </c>
      <c r="AN1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2018-01-08T02:42:46-0700',mode:absolute,to:'2018-01-08T05:20:48-0700'))&amp;_a=(columns:!('Message%20ID',Summary),filters:!(),index:'emp_*',interval:auto,query:(query_string:(analyze_wildcard:!t,query:'%22rtdc.l.rtdc.4044%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661</v>
      </c>
      <c r="B16" s="225">
        <v>4043</v>
      </c>
      <c r="C16" s="227" t="s">
        <v>191</v>
      </c>
      <c r="D16" s="227" t="s">
        <v>860</v>
      </c>
      <c r="E16" s="226">
        <v>43108.194537037038</v>
      </c>
      <c r="F16" s="226">
        <v>43108.196967592594</v>
      </c>
      <c r="G16" s="225">
        <v>48</v>
      </c>
      <c r="H16" s="227" t="s">
        <v>861</v>
      </c>
      <c r="I16" s="226">
        <v>43108.22216435185</v>
      </c>
      <c r="J16" s="225">
        <v>0</v>
      </c>
      <c r="K16" s="237" t="str">
        <f t="shared" si="0"/>
        <v>4043/4044</v>
      </c>
      <c r="L16" s="245" t="str">
        <f>VLOOKUP(A16,'Trips&amp;Operators'!$C$1:$G$99911,5,FALSE)</f>
        <v>ROCHA YAOTL</v>
      </c>
      <c r="M16" s="224">
        <f t="shared" si="1"/>
        <v>2.5196759255777579E-2</v>
      </c>
      <c r="N16" s="225">
        <f t="shared" si="2"/>
        <v>36.283333328319713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2018-01-08T03:40:08-0700',mode:absolute,to:'2018-01-08T06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23.305499999999999</v>
      </c>
      <c r="Z16" s="247">
        <f t="shared" si="8"/>
        <v>1.2500000000000001E-2</v>
      </c>
      <c r="AA16" s="247">
        <f t="shared" si="9"/>
        <v>23.292999999999999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6" s="234" t="str">
        <f t="shared" si="12"/>
        <v>"C:\Program Files (x86)\AstroGrep\AstroGrep.exe" /e /r /s /spath="%USERPROFILE%\AppData\Local\Temp\OnboardLogs" /stypes="app*4043*20180108*"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104-08 --locoid 4043 --swversion DE.1.0.9.0 --startMP 204:233055 --initTime 2018-01-08T04:40:08 --startdatetime 2018-01-08T04:43:38 --delay 48 --endMP 204:125 --enddatetime 2018-01-08T05:19:55 --enforcementcount 0 &gt;&gt;%USERPROFILE%\Documents\GitHub\eaglep3-reporting\EC\2018-01-08-refined-times.txt</v>
      </c>
      <c r="AI1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{"issue":{"subject":"","project_id":79,"tracker_id":40,"status_id":1,"priority_id":2,"assigned_to_id":338,"start_date":"2018-01-08","description":"","custom_fields":[{"id":1,"name":"Subdivision","value":"EC"},{"id":4,"name":"Milepost","value":"0.0125"},{"id":17,"name":"Train ID","value":"104-08"},{"id":16,"name":"Locomotive ID","value":"4043"},{"id":130,"name":"Impact","value":""},{"id":150,"name":"Time of Event (Mountain Time)","value":"05:19:55"},{"id":151,"name":"Denver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4043 --day 2018-01-08</v>
      </c>
      <c r="AN1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2018-01-08T03:40:08-0700',mode:absolute,to:'2018-01-08T06:19:55-0700'))&amp;_a=(columns:!('Message%20ID',Summary),filters:!(),index:'emp_*',interval:auto,query:(query_string:(analyze_wildcard:!t,query:'%22rtdc.l.rtdc.4043%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653</v>
      </c>
      <c r="B17" s="225">
        <v>4052</v>
      </c>
      <c r="C17" s="227" t="s">
        <v>191</v>
      </c>
      <c r="D17" s="227" t="s">
        <v>464</v>
      </c>
      <c r="E17" s="226">
        <v>43108.168703703705</v>
      </c>
      <c r="F17" s="226">
        <v>43108.177303240744</v>
      </c>
      <c r="G17" s="225">
        <v>71</v>
      </c>
      <c r="H17" s="227" t="s">
        <v>862</v>
      </c>
      <c r="I17" s="226">
        <v>43108.20207175926</v>
      </c>
      <c r="J17" s="225">
        <v>0</v>
      </c>
      <c r="K17" s="237" t="str">
        <f t="shared" si="0"/>
        <v>4051/4052</v>
      </c>
      <c r="L17" s="245" t="str">
        <f>VLOOKUP(A17,'Trips&amp;Operators'!$C$1:$G$99911,5,FALSE)</f>
        <v>BEAM ROSS</v>
      </c>
      <c r="M17" s="224">
        <f t="shared" si="1"/>
        <v>2.4768518516793847E-2</v>
      </c>
      <c r="N17" s="225">
        <f t="shared" si="2"/>
        <v>35.66666666418314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2018-01-08T03:02:56-0700',mode:absolute,to:'2018-01-08T05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5.1700000000000003E-2</v>
      </c>
      <c r="Z17" s="247">
        <f t="shared" si="8"/>
        <v>23.329499999999999</v>
      </c>
      <c r="AA17" s="247">
        <f t="shared" si="9"/>
        <v>23.277799999999999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17" s="234" t="str">
        <f t="shared" si="12"/>
        <v>"C:\Program Files (x86)\AstroGrep\AstroGrep.exe" /e /r /s /spath="%USERPROFILE%\AppData\Local\Temp\OnboardLogs" /stypes="app*4052*20180108*"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105-08 --locoid 4052 --swversion DE.1.0.9.0 --startMP 204:517 --initTime 2018-01-08T04:02:56 --startdatetime 2018-01-08T04:15:19 --delay 71 --endMP 204:233295 --enddatetime 2018-01-08T04:50:59 --enforcementcount 0 &gt;&gt;%USERPROFILE%\Documents\GitHub\eaglep3-reporting\EC\2018-01-08-refined-times.txt</v>
      </c>
      <c r="AI1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{"issue":{"subject":"","project_id":79,"tracker_id":40,"status_id":1,"priority_id":2,"assigned_to_id":338,"start_date":"2018-01-08","description":"","custom_fields":[{"id":1,"name":"Subdivision","value":"EC"},{"id":4,"name":"Milepost","value":"23.3295"},{"id":17,"name":"Train ID","value":"105-08"},{"id":16,"name":"Locomotive ID","value":"4052"},{"id":130,"name":"Impact","value":""},{"id":150,"name":"Time of Event (Mountain Time)","value":"04:50:59"},{"id":151,"name":"Denver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4052 --day 2018-01-08</v>
      </c>
      <c r="AN1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2018-01-08T03:02:56-0700',mode:absolute,to:'2018-01-08T05:50:59-0700'))&amp;_a=(columns:!('Message%20ID',Summary),filters:!(),index:'emp_*',interval:auto,query:(query_string:(analyze_wildcard:!t,query:'%22rtdc.l.rtdc.4052%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665</v>
      </c>
      <c r="B18" s="225">
        <v>4051</v>
      </c>
      <c r="C18" s="227" t="s">
        <v>191</v>
      </c>
      <c r="D18" s="227" t="s">
        <v>606</v>
      </c>
      <c r="E18" s="226">
        <v>43108.203067129631</v>
      </c>
      <c r="F18" s="226">
        <v>43108.216840277775</v>
      </c>
      <c r="G18" s="225">
        <v>48</v>
      </c>
      <c r="H18" s="227" t="s">
        <v>463</v>
      </c>
      <c r="I18" s="226">
        <v>43108.242581018516</v>
      </c>
      <c r="J18" s="225">
        <v>0</v>
      </c>
      <c r="K18" s="237" t="str">
        <f t="shared" si="0"/>
        <v>4051/4052</v>
      </c>
      <c r="L18" s="245" t="str">
        <f>VLOOKUP(A18,'Trips&amp;Operators'!$C$1:$G$99911,5,FALSE)</f>
        <v>BEAM ROSS</v>
      </c>
      <c r="M18" s="224">
        <f t="shared" si="1"/>
        <v>2.5740740740729962E-2</v>
      </c>
      <c r="N18" s="225">
        <f t="shared" si="2"/>
        <v>37.066666666651145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2018-01-08T03:52:25-0700',mode:absolute,to:'2018-01-08T06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23.297899999999998</v>
      </c>
      <c r="Z18" s="247">
        <f t="shared" si="8"/>
        <v>2.0500000000000001E-2</v>
      </c>
      <c r="AA18" s="247">
        <f t="shared" si="9"/>
        <v>23.2774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18" s="234" t="str">
        <f t="shared" si="12"/>
        <v>"C:\Program Files (x86)\AstroGrep\AstroGrep.exe" /e /r /s /spath="%USERPROFILE%\AppData\Local\Temp\OnboardLogs" /stypes="app*4051*20180108*"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106-08 --locoid 4051 --swversion DE.1.0.9.0 --startMP 204:232979 --initTime 2018-01-08T04:52:25 --startdatetime 2018-01-08T05:12:15 --delay 48 --endMP 204:205 --enddatetime 2018-01-08T05:49:19 --enforcementcount 0 &gt;&gt;%USERPROFILE%\Documents\GitHub\eaglep3-reporting\EC\2018-01-08-refined-times.txt</v>
      </c>
      <c r="AI1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ID","value":"106-08"},{"id":16,"name":"Locomotive ID","value":"4051"},{"id":130,"name":"Impact","value":""},{"id":150,"name":"Time of Event (Mountain Time)","value":"05:49:19"},{"id":151,"name":"Denver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4051 --day 2018-01-08</v>
      </c>
      <c r="AN1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2018-01-08T03:52:25-0700',mode:absolute,to:'2018-01-08T06:49:19-0700'))&amp;_a=(columns:!('Message%20ID',Summary),filters:!(),index:'emp_*',interval:auto,query:(query_string:(analyze_wildcard:!t,query:'%22rtdc.l.rtdc.4051%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659</v>
      </c>
      <c r="B19" s="225">
        <v>4018</v>
      </c>
      <c r="C19" s="227" t="s">
        <v>191</v>
      </c>
      <c r="D19" s="227" t="s">
        <v>518</v>
      </c>
      <c r="E19" s="226">
        <v>43108.182384259257</v>
      </c>
      <c r="F19" s="226">
        <v>43108.188518518517</v>
      </c>
      <c r="G19" s="225">
        <v>146</v>
      </c>
      <c r="H19" s="227" t="s">
        <v>498</v>
      </c>
      <c r="I19" s="226">
        <v>43108.211388888885</v>
      </c>
      <c r="J19" s="225">
        <v>0</v>
      </c>
      <c r="K19" s="237" t="str">
        <f t="shared" si="0"/>
        <v>4017/4018</v>
      </c>
      <c r="L19" s="245" t="str">
        <f>VLOOKUP(A19,'Trips&amp;Operators'!$C$1:$G$99911,5,FALSE)</f>
        <v>DELGADO DIANAH</v>
      </c>
      <c r="M19" s="224">
        <f t="shared" si="1"/>
        <v>2.287037036876427E-2</v>
      </c>
      <c r="N19" s="225">
        <f t="shared" si="2"/>
        <v>32.933333331020549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2018-01-08T03:22:38-0700',mode:absolute,to:'2018-01-08T06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4.5999999999999999E-2</v>
      </c>
      <c r="Z19" s="247">
        <f t="shared" si="8"/>
        <v>23.328600000000002</v>
      </c>
      <c r="AA19" s="247">
        <f t="shared" si="9"/>
        <v>23.282600000000002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19" s="234" t="str">
        <f t="shared" si="12"/>
        <v>"C:\Program Files (x86)\AstroGrep\AstroGrep.exe" /e /r /s /spath="%USERPROFILE%\AppData\Local\Temp\OnboardLogs" /stypes="app*4018*20180108*"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107-08 --locoid 4018 --swversion DE.1.0.9.0 --startMP 204:460 --initTime 2018-01-08T04:22:38 --startdatetime 2018-01-08T04:31:28 --delay 146 --endMP 204:233286 --enddatetime 2018-01-08T05:04:24 --enforcementcount 0 &gt;&gt;%USERPROFILE%\Documents\GitHub\eaglep3-reporting\EC\2018-01-08-refined-times.txt</v>
      </c>
      <c r="AI1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{"issue":{"subject":"","project_id":79,"tracker_id":40,"status_id":1,"priority_id":2,"assigned_to_id":338,"start_date":"2018-01-08","description":"","custom_fields":[{"id":1,"name":"Subdivision","value":"EC"},{"id":4,"name":"Milepost","value":"23.3286"},{"id":17,"name":"Train ID","value":"107-08"},{"id":16,"name":"Locomotive ID","value":"4018"},{"id":130,"name":"Impact","value":""},{"id":150,"name":"Time of Event (Mountain Time)","value":"05:04:24"},{"id":151,"name":"Denver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4018 --day 2018-01-08</v>
      </c>
      <c r="AN1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2018-01-08T03:22:38-0700',mode:absolute,to:'2018-01-08T06:04:24-0700'))&amp;_a=(columns:!('Message%20ID',Summary),filters:!(),index:'emp_*',interval:auto,query:(query_string:(analyze_wildcard:!t,query:'%22rtdc.l.rtdc.4018%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669</v>
      </c>
      <c r="B20" s="225">
        <v>4017</v>
      </c>
      <c r="C20" s="227" t="s">
        <v>191</v>
      </c>
      <c r="D20" s="227" t="s">
        <v>863</v>
      </c>
      <c r="E20" s="226">
        <v>43108.212696759256</v>
      </c>
      <c r="F20" s="226">
        <v>43108.22724537037</v>
      </c>
      <c r="G20" s="225">
        <v>1096</v>
      </c>
      <c r="H20" s="227" t="s">
        <v>864</v>
      </c>
      <c r="I20" s="226">
        <v>43108.253194444442</v>
      </c>
      <c r="J20" s="225">
        <v>0</v>
      </c>
      <c r="K20" s="237" t="str">
        <f t="shared" si="0"/>
        <v>4017/4018</v>
      </c>
      <c r="L20" s="245" t="str">
        <f>VLOOKUP(A20,'Trips&amp;Operators'!$C$1:$G$99911,5,FALSE)</f>
        <v>DELGADO DIANAH</v>
      </c>
      <c r="M20" s="224">
        <f t="shared" si="1"/>
        <v>2.5949074071832001E-2</v>
      </c>
      <c r="N20" s="225">
        <f t="shared" si="2"/>
        <v>37.366666663438082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2018-01-08T04:06:17-0700',mode:absolute,to:'2018-01-08T07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23.297699999999999</v>
      </c>
      <c r="Z20" s="247">
        <f t="shared" si="8"/>
        <v>1.7399999999999999E-2</v>
      </c>
      <c r="AA20" s="247">
        <f t="shared" si="9"/>
        <v>23.2803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20" s="234" t="str">
        <f t="shared" si="12"/>
        <v>"C:\Program Files (x86)\AstroGrep\AstroGrep.exe" /e /r /s /spath="%USERPROFILE%\AppData\Local\Temp\OnboardLogs" /stypes="app*4017*20180108*"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108-08 --locoid 4017 --swversion DE.1.0.9.0 --startMP 204:232977 --initTime 2018-01-08T05:06:17 --startdatetime 2018-01-08T05:27:14 --delay 1096 --endMP 204:174 --enddatetime 2018-01-08T06:04:36 --enforcementcount 0 &gt;&gt;%USERPROFILE%\Documents\GitHub\eaglep3-reporting\EC\2018-01-08-refined-times.txt</v>
      </c>
      <c r="AI2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{"issue":{"subject":"","project_id":79,"tracker_id":40,"status_id":1,"priority_id":2,"assigned_to_id":338,"start_date":"2018-01-08","description":"","custom_fields":[{"id":1,"name":"Subdivision","value":"EC"},{"id":4,"name":"Milepost","value":"0.0174"},{"id":17,"name":"Train ID","value":"108-08"},{"id":16,"name":"Locomotive ID","value":"4017"},{"id":130,"name":"Impact","value":""},{"id":150,"name":"Time of Event (Mountain Time)","value":"06:04:36"},{"id":151,"name":"Denver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4017 --day 2018-01-08</v>
      </c>
      <c r="AN2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2018-01-08T04:06:17-0700',mode:absolute,to:'2018-01-08T07:04:36-0700'))&amp;_a=(columns:!('Message%20ID',Summary),filters:!(),index:'emp_*',interval:auto,query:(query_string:(analyze_wildcard:!t,query:'%22rtdc.l.rtdc.4017%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660</v>
      </c>
      <c r="B21" s="225">
        <v>4034</v>
      </c>
      <c r="C21" s="227" t="s">
        <v>191</v>
      </c>
      <c r="D21" s="227" t="s">
        <v>865</v>
      </c>
      <c r="E21" s="226">
        <v>43108.192696759259</v>
      </c>
      <c r="F21" s="226">
        <v>43108.198078703703</v>
      </c>
      <c r="G21" s="225">
        <v>52</v>
      </c>
      <c r="H21" s="227" t="s">
        <v>506</v>
      </c>
      <c r="I21" s="226">
        <v>43108.22278935185</v>
      </c>
      <c r="J21" s="225">
        <v>0</v>
      </c>
      <c r="K21" s="237" t="str">
        <f t="shared" si="0"/>
        <v>4033/4034</v>
      </c>
      <c r="L21" s="245" t="str">
        <f>VLOOKUP(A21,'Trips&amp;Operators'!$C$1:$G$99911,5,FALSE)</f>
        <v>MAELZER KURT</v>
      </c>
      <c r="M21" s="224">
        <f t="shared" si="1"/>
        <v>2.47106481474475E-2</v>
      </c>
      <c r="N21" s="225">
        <f t="shared" si="2"/>
        <v>35.583333332324401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2018-01-08T03:37:29-0700',mode:absolute,to:'2018-01-08T06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4.9299999999999997E-2</v>
      </c>
      <c r="Z21" s="247">
        <f t="shared" si="8"/>
        <v>23.329699999999999</v>
      </c>
      <c r="AA21" s="247">
        <f t="shared" si="9"/>
        <v>23.2804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21" s="234" t="str">
        <f t="shared" si="12"/>
        <v>"C:\Program Files (x86)\AstroGrep\AstroGrep.exe" /e /r /s /spath="%USERPROFILE%\AppData\Local\Temp\OnboardLogs" /stypes="app*4034*20180108*"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109-08 --locoid 4034 --swversion DE.1.0.9.0 --startMP 204:493 --initTime 2018-01-08T04:37:29 --startdatetime 2018-01-08T04:45:14 --delay 52 --endMP 204:233297 --enddatetime 2018-01-08T05:20:49 --enforcementcount 0 &gt;&gt;%USERPROFILE%\Documents\GitHub\eaglep3-reporting\EC\2018-01-08-refined-times.txt</v>
      </c>
      <c r="AI2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{"issue":{"subject":"","project_id":79,"tracker_id":40,"status_id":1,"priority_id":2,"assigned_to_id":338,"start_date":"2018-01-08","description":"","custom_fields":[{"id":1,"name":"Subdivision","value":"EC"},{"id":4,"name":"Milepost","value":"23.3297"},{"id":17,"name":"Train ID","value":"109-08"},{"id":16,"name":"Locomotive ID","value":"4034"},{"id":130,"name":"Impact","value":""},{"id":150,"name":"Time of Event (Mountain Time)","value":"05:20:49"},{"id":151,"name":"Denver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4034 --day 2018-01-08</v>
      </c>
      <c r="AN2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2018-01-08T03:37:29-0700',mode:absolute,to:'2018-01-08T06:20:49-0700'))&amp;_a=(columns:!('Message%20ID',Summary),filters:!(),index:'emp_*',interval:auto,query:(query_string:(analyze_wildcard:!t,query:'%22rtdc.l.rtdc.4034%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673</v>
      </c>
      <c r="B22" s="225">
        <v>4033</v>
      </c>
      <c r="C22" s="227" t="s">
        <v>191</v>
      </c>
      <c r="D22" s="227" t="s">
        <v>550</v>
      </c>
      <c r="E22" s="226">
        <v>43108.231365740743</v>
      </c>
      <c r="F22" s="226">
        <v>43108.23773148148</v>
      </c>
      <c r="G22" s="225">
        <v>44</v>
      </c>
      <c r="H22" s="227" t="s">
        <v>585</v>
      </c>
      <c r="I22" s="226">
        <v>43108.263645833336</v>
      </c>
      <c r="J22" s="225">
        <v>0</v>
      </c>
      <c r="K22" s="237" t="str">
        <f t="shared" si="0"/>
        <v>4033/4034</v>
      </c>
      <c r="L22" s="245" t="str">
        <f>VLOOKUP(A22,'Trips&amp;Operators'!$C$1:$G$99911,5,FALSE)</f>
        <v>MAELZER KURT</v>
      </c>
      <c r="M22" s="224">
        <f t="shared" si="1"/>
        <v>2.5914351856044959E-2</v>
      </c>
      <c r="N22" s="225">
        <f t="shared" si="2"/>
        <v>37.316666672704741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2018-01-08T04:33:10-0700',mode:absolute,to:'2018-01-08T07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23.2989</v>
      </c>
      <c r="Z22" s="247">
        <f t="shared" si="8"/>
        <v>1.7999999999999999E-2</v>
      </c>
      <c r="AA22" s="247">
        <f t="shared" si="9"/>
        <v>23.280899999999999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22" s="234" t="str">
        <f t="shared" si="12"/>
        <v>"C:\Program Files (x86)\AstroGrep\AstroGrep.exe" /e /r /s /spath="%USERPROFILE%\AppData\Local\Temp\OnboardLogs" /stypes="app*4033*20180108*"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110-08 --locoid 4033 --swversion DE.1.0.9.0 --startMP 204:232989 --initTime 2018-01-08T05:33:10 --startdatetime 2018-01-08T05:42:20 --delay 44 --endMP 204:180 --enddatetime 2018-01-08T06:19:39 --enforcementcount 0 &gt;&gt;%USERPROFILE%\Documents\GitHub\eaglep3-reporting\EC\2018-01-08-refined-times.txt</v>
      </c>
      <c r="AI2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{"issue":{"subject":"","project_id":79,"tracker_id":40,"status_id":1,"priority_id":2,"assigned_to_id":338,"start_date":"2018-01-08","description":"","custom_fields":[{"id":1,"name":"Subdivision","value":"EC"},{"id":4,"name":"Milepost","value":"0.018"},{"id":17,"name":"Train ID","value":"110-08"},{"id":16,"name":"Locomotive ID","value":"4033"},{"id":130,"name":"Impact","value":""},{"id":150,"name":"Time of Event (Mountain Time)","value":"06:19:39"},{"id":151,"name":"Denver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4033 --day 2018-01-08</v>
      </c>
      <c r="AN2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2018-01-08T04:33:10-0700',mode:absolute,to:'2018-01-08T07:19:39-0700'))&amp;_a=(columns:!('Message%20ID',Summary),filters:!(),index:'emp_*',interval:auto,query:(query_string:(analyze_wildcard:!t,query:'%22rtdc.l.rtdc.4033%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666</v>
      </c>
      <c r="B23" s="225">
        <v>4060</v>
      </c>
      <c r="C23" s="227" t="s">
        <v>191</v>
      </c>
      <c r="D23" s="227" t="s">
        <v>548</v>
      </c>
      <c r="E23" s="226">
        <v>43108.206585648149</v>
      </c>
      <c r="F23" s="226">
        <v>43108.208506944444</v>
      </c>
      <c r="G23" s="225">
        <v>61</v>
      </c>
      <c r="H23" s="227" t="s">
        <v>581</v>
      </c>
      <c r="I23" s="226">
        <v>43108.235208333332</v>
      </c>
      <c r="J23" s="225">
        <v>0</v>
      </c>
      <c r="K23" s="237" t="str">
        <f t="shared" si="0"/>
        <v>4059/4060</v>
      </c>
      <c r="L23" s="245" t="str">
        <f>VLOOKUP(A23,'Trips&amp;Operators'!$C$1:$G$99911,5,FALSE)</f>
        <v>THOMPSON LESTER</v>
      </c>
      <c r="M23" s="224">
        <f t="shared" si="1"/>
        <v>2.6701388887886424E-2</v>
      </c>
      <c r="N23" s="225">
        <f t="shared" si="2"/>
        <v>38.44999999855645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2018-01-08T03:57:29-0700',mode:absolute,to:'2018-01-08T06:38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4.7800000000000002E-2</v>
      </c>
      <c r="Z23" s="247">
        <f t="shared" si="8"/>
        <v>23.3293</v>
      </c>
      <c r="AA23" s="247">
        <f t="shared" si="9"/>
        <v>23.281500000000001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23" s="234" t="str">
        <f t="shared" si="12"/>
        <v>"C:\Program Files (x86)\AstroGrep\AstroGrep.exe" /e /r /s /spath="%USERPROFILE%\AppData\Local\Temp\OnboardLogs" /stypes="app*4060*20180108*"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111-08 --locoid 4060 --swversion DE.1.0.9.0 --startMP 204:478 --initTime 2018-01-08T04:57:29 --startdatetime 2018-01-08T05:00:15 --delay 61 --endMP 204:233293 --enddatetime 2018-01-08T05:38:42 --enforcementcount 0 &gt;&gt;%USERPROFILE%\Documents\GitHub\eaglep3-reporting\EC\2018-01-08-refined-times.txt</v>
      </c>
      <c r="AI2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{"issue":{"subject":"","project_id":79,"tracker_id":40,"status_id":1,"priority_id":2,"assigned_to_id":338,"start_date":"2018-01-08","description":"","custom_fields":[{"id":1,"name":"Subdivision","value":"EC"},{"id":4,"name":"Milepost","value":"23.3293"},{"id":17,"name":"Train ID","value":"111-08"},{"id":16,"name":"Locomotive ID","value":"4060"},{"id":130,"name":"Impact","value":""},{"id":150,"name":"Time of Event (Mountain Time)","value":"05:38:42"},{"id":151,"name":"Denver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4060 --day 2018-01-08</v>
      </c>
      <c r="AN2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2018-01-08T03:57:29-0700',mode:absolute,to:'2018-01-08T06:38:42-0700'))&amp;_a=(columns:!('Message%20ID',Summary),filters:!(),index:'emp_*',interval:auto,query:(query_string:(analyze_wildcard:!t,query:'%22rtdc.l.rtdc.4060%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678</v>
      </c>
      <c r="B24" s="225">
        <v>4059</v>
      </c>
      <c r="C24" s="227" t="s">
        <v>191</v>
      </c>
      <c r="D24" s="227" t="s">
        <v>572</v>
      </c>
      <c r="E24" s="226">
        <v>43108.246932870374</v>
      </c>
      <c r="F24" s="226">
        <v>43108.248217592591</v>
      </c>
      <c r="G24" s="225">
        <v>49</v>
      </c>
      <c r="H24" s="227" t="s">
        <v>590</v>
      </c>
      <c r="I24" s="226">
        <v>43108.274884259263</v>
      </c>
      <c r="J24" s="225">
        <v>0</v>
      </c>
      <c r="K24" s="237" t="str">
        <f t="shared" si="0"/>
        <v>4059/4060</v>
      </c>
      <c r="L24" s="245" t="str">
        <f>VLOOKUP(A24,'Trips&amp;Operators'!$C$1:$G$99911,5,FALSE)</f>
        <v>THOMPSON LESTER</v>
      </c>
      <c r="M24" s="224">
        <f t="shared" si="1"/>
        <v>2.6666666672099382E-2</v>
      </c>
      <c r="N24" s="225">
        <f t="shared" si="2"/>
        <v>38.40000000782311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2018-01-08T04:55:35-0700',mode:absolute,to:'2018-01-08T07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23.298200000000001</v>
      </c>
      <c r="Z24" s="247">
        <f t="shared" si="8"/>
        <v>1.83E-2</v>
      </c>
      <c r="AA24" s="247">
        <f t="shared" si="9"/>
        <v>23.279900000000001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24" s="234" t="str">
        <f t="shared" si="12"/>
        <v>"C:\Program Files (x86)\AstroGrep\AstroGrep.exe" /e /r /s /spath="%USERPROFILE%\AppData\Local\Temp\OnboardLogs" /stypes="app*4059*20180108*"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112-08 --locoid 4059 --swversion DE.1.0.9.0 --startMP 204:232982 --initTime 2018-01-08T05:55:35 --startdatetime 2018-01-08T05:57:26 --delay 49 --endMP 204:183 --enddatetime 2018-01-08T06:35:50 --enforcementcount 0 &gt;&gt;%USERPROFILE%\Documents\GitHub\eaglep3-reporting\EC\2018-01-08-refined-times.txt</v>
      </c>
      <c r="AI2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{"issue":{"subject":"","project_id":79,"tracker_id":40,"status_id":1,"priority_id":2,"assigned_to_id":338,"start_date":"2018-01-08","description":"","custom_fields":[{"id":1,"name":"Subdivision","value":"EC"},{"id":4,"name":"Milepost","value":"0.0183"},{"id":17,"name":"Train ID","value":"112-08"},{"id":16,"name":"Locomotive ID","value":"4059"},{"id":130,"name":"Impact","value":""},{"id":150,"name":"Time of Event (Mountain Time)","value":"06:35:50"},{"id":151,"name":"Denver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4059 --day 2018-01-08</v>
      </c>
      <c r="AN2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2018-01-08T04:55:35-0700',mode:absolute,to:'2018-01-08T07:35:50-0700'))&amp;_a=(columns:!('Message%20ID',Summary),filters:!(),index:'emp_*',interval:auto,query:(query_string:(analyze_wildcard:!t,query:'%22rtdc.l.rtdc.4059%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667</v>
      </c>
      <c r="B25" s="225">
        <v>4012</v>
      </c>
      <c r="C25" s="227" t="s">
        <v>191</v>
      </c>
      <c r="D25" s="227" t="s">
        <v>589</v>
      </c>
      <c r="E25" s="226">
        <v>43108.209722222222</v>
      </c>
      <c r="F25" s="226">
        <v>43108.218958333331</v>
      </c>
      <c r="G25" s="225">
        <v>75</v>
      </c>
      <c r="H25" s="227" t="s">
        <v>573</v>
      </c>
      <c r="I25" s="226">
        <v>43108.244525462964</v>
      </c>
      <c r="J25" s="225">
        <v>0</v>
      </c>
      <c r="K25" s="237" t="str">
        <f t="shared" si="0"/>
        <v>4011/4012</v>
      </c>
      <c r="L25" s="245" t="str">
        <f>VLOOKUP(A25,'Trips&amp;Operators'!$C$1:$G$99911,5,FALSE)</f>
        <v>DAVIDSON DAVID</v>
      </c>
      <c r="M25" s="224">
        <f t="shared" si="1"/>
        <v>2.5567129632690921E-2</v>
      </c>
      <c r="N25" s="225">
        <f t="shared" si="2"/>
        <v>36.816666671074927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2018-01-08T04:02:00-0700',mode:absolute,to:'2018-01-08T06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4.8599999999999997E-2</v>
      </c>
      <c r="Z25" s="247">
        <f t="shared" si="8"/>
        <v>23.328299999999999</v>
      </c>
      <c r="AA25" s="247">
        <f t="shared" si="9"/>
        <v>23.279699999999998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 &amp; aws s3 cp s3://rtdc.mdm.uploadarchive.raw/RTDC4012/ "%USERPROFILE%\AppData\Local\Temp\OnboardLogs"\RTDC4012\2018-01-09 --exclude "*" --recursive --include "*20180109*" &amp; "%USERPROFILE%\Documents\GitHub\mrs-test-scripts\Headless Mode &amp; Sideloading\WalkAndUnGZ.bat" "%USERPROFILE%\AppData\Local\Temp\OnboardLogs"\RTDC4012\2018-01-09</v>
      </c>
      <c r="AF25" s="234" t="str">
        <f t="shared" si="12"/>
        <v>"C:\Program Files (x86)\AstroGrep\AstroGrep.exe" /e /r /s /spath="%USERPROFILE%\AppData\Local\Temp\OnboardLogs" /stypes="app*4012*20180108*"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113-08 --locoid 4012 --swversion DE.1.0.9.0 --startMP 204:486 --initTime 2018-01-08T05:02:00 --startdatetime 2018-01-08T05:15:18 --delay 75 --endMP 204:233283 --enddatetime 2018-01-08T05:52:07 --enforcementcount 0 &gt;&gt;%USERPROFILE%\Documents\GitHub\eaglep3-reporting\EC\2018-01-08-refined-times.txt</v>
      </c>
      <c r="AI2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{"issue":{"subject":"","project_id":79,"tracker_id":40,"status_id":1,"priority_id":2,"assigned_to_id":338,"start_date":"2018-01-08","description":"","custom_fields":[{"id":1,"name":"Subdivision","value":"EC"},{"id":4,"name":"Milepost","value":"23.3283"},{"id":17,"name":"Train ID","value":"113-08"},{"id":16,"name":"Locomotive ID","value":"4012"},{"id":130,"name":"Impact","value":""},{"id":150,"name":"Time of Event (Mountain Time)","value":"05:52:07"},{"id":151,"name":"Denver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4012 --day 2018-01-08</v>
      </c>
      <c r="AN2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2018-01-08T04:02:00-0700',mode:absolute,to:'2018-01-08T06:52:07-0700'))&amp;_a=(columns:!('Message%20ID',Summary),filters:!(),index:'emp_*',interval:auto,query:(query_string:(analyze_wildcard:!t,query:'%22rtdc.l.rtdc.4012%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677</v>
      </c>
      <c r="B26" s="225">
        <v>4011</v>
      </c>
      <c r="C26" s="227" t="s">
        <v>191</v>
      </c>
      <c r="D26" s="227" t="s">
        <v>866</v>
      </c>
      <c r="E26" s="226">
        <v>43108.246319444443</v>
      </c>
      <c r="F26" s="226">
        <v>43108.258553240739</v>
      </c>
      <c r="G26" s="225">
        <v>52</v>
      </c>
      <c r="H26" s="227" t="s">
        <v>867</v>
      </c>
      <c r="I26" s="226">
        <v>43108.285601851851</v>
      </c>
      <c r="J26" s="225">
        <v>0</v>
      </c>
      <c r="K26" s="237" t="str">
        <f t="shared" si="0"/>
        <v>4011/4012</v>
      </c>
      <c r="L26" s="245" t="str">
        <f>VLOOKUP(A26,'Trips&amp;Operators'!$C$1:$G$99911,5,FALSE)</f>
        <v>DAVIDSON DAVID</v>
      </c>
      <c r="M26" s="224">
        <f t="shared" si="1"/>
        <v>2.7048611111240461E-2</v>
      </c>
      <c r="N26" s="225">
        <f t="shared" si="2"/>
        <v>38.950000000186265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2018-01-08T04:54:42-0700',mode:absolute,to:'2018-01-08T07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23.297000000000001</v>
      </c>
      <c r="Z26" s="247">
        <f t="shared" si="8"/>
        <v>2.3800000000000002E-2</v>
      </c>
      <c r="AA26" s="247">
        <f t="shared" si="9"/>
        <v>23.273199999999999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s3://rtdc.mdm.uploadarchive.raw/RTDC4011/ "%USERPROFILE%\AppData\Local\Temp\OnboardLogs"\RTDC4011\2018-01-08 --exclude "*" --recursive --include "*20180108*" &amp; "%USERPROFILE%\Documents\GitHub\mrs-test-scripts\Headless Mode &amp; Sideloading\WalkAndUnGZ.bat" "%USERPROFILE%\AppData\Local\Temp\OnboardLogs"\RTDC4011\2018-01-08 &amp; aws s3 cp s3://rtdc.mdm.uploadarchive.raw/RTDC4011/ "%USERPROFILE%\AppData\Local\Temp\OnboardLogs"\RTDC4011\2018-01-09 --exclude "*" --recursive --include "*20180109*" &amp; "%USERPROFILE%\Documents\GitHub\mrs-test-scripts\Headless Mode &amp; Sideloading\WalkAndUnGZ.bat" "%USERPROFILE%\AppData\Local\Temp\OnboardLogs"\RTDC4011\2018-01-09</v>
      </c>
      <c r="AF26" s="234" t="str">
        <f t="shared" si="12"/>
        <v>"C:\Program Files (x86)\AstroGrep\AstroGrep.exe" /e /r /s /spath="%USERPROFILE%\AppData\Local\Temp\OnboardLogs" /stypes="app*4011*20180108*"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114-08 --locoid 4011 --swversion DE.1.0.9.0 --startMP 204:232970 --initTime 2018-01-08T05:54:42 --startdatetime 2018-01-08T06:12:19 --delay 52 --endMP 204:238 --enddatetime 2018-01-08T06:51:16 --enforcementcount 0 &gt;&gt;%USERPROFILE%\Documents\GitHub\eaglep3-reporting\EC\2018-01-08-refined-times.txt</v>
      </c>
      <c r="AI2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{"issue":{"subject":"","project_id":79,"tracker_id":40,"status_id":1,"priority_id":2,"assigned_to_id":338,"start_date":"2018-01-08","description":"","custom_fields":[{"id":1,"name":"Subdivision","value":"EC"},{"id":4,"name":"Milepost","value":"0.0238"},{"id":17,"name":"Train ID","value":"114-08"},{"id":16,"name":"Locomotive ID","value":"4011"},{"id":130,"name":"Impact","value":""},{"id":150,"name":"Time of Event (Mountain Time)","value":"06:51:16"},{"id":151,"name":"Denver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4011 --day 2018-01-08</v>
      </c>
      <c r="AN2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2018-01-08T04:54:42-0700',mode:absolute,to:'2018-01-08T07:51:16-0700'))&amp;_a=(columns:!('Message%20ID',Summary),filters:!(),index:'emp_*',interval:auto,query:(query_string:(analyze_wildcard:!t,query:'%22rtdc.l.rtdc.4011%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672</v>
      </c>
      <c r="B27" s="225">
        <v>4044</v>
      </c>
      <c r="C27" s="227" t="s">
        <v>191</v>
      </c>
      <c r="D27" s="227" t="s">
        <v>496</v>
      </c>
      <c r="E27" s="226">
        <v>43108.22415509259</v>
      </c>
      <c r="F27" s="226">
        <v>43108.229386574072</v>
      </c>
      <c r="G27" s="225">
        <v>68</v>
      </c>
      <c r="H27" s="227" t="s">
        <v>868</v>
      </c>
      <c r="I27" s="226">
        <v>43108.254270833335</v>
      </c>
      <c r="J27" s="225">
        <v>0</v>
      </c>
      <c r="K27" s="237" t="str">
        <f t="shared" si="0"/>
        <v>4043/4044</v>
      </c>
      <c r="L27" s="245" t="str">
        <f>VLOOKUP(A27,'Trips&amp;Operators'!$C$1:$G$99911,5,FALSE)</f>
        <v>ROCHA YAOTL</v>
      </c>
      <c r="M27" s="224">
        <f t="shared" si="1"/>
        <v>2.4884259262762498E-2</v>
      </c>
      <c r="N27" s="225">
        <f t="shared" si="2"/>
        <v>35.833333338377997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2018-01-08T04:22:47-0700',mode:absolute,to:'2018-01-08T07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4.3700000000000003E-2</v>
      </c>
      <c r="Z27" s="247">
        <f t="shared" si="8"/>
        <v>23.3291</v>
      </c>
      <c r="AA27" s="247">
        <f t="shared" si="9"/>
        <v>23.285399999999999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27" s="234" t="str">
        <f t="shared" si="12"/>
        <v>"C:\Program Files (x86)\AstroGrep\AstroGrep.exe" /e /r /s /spath="%USERPROFILE%\AppData\Local\Temp\OnboardLogs" /stypes="app*4044*20180108*"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115-08 --locoid 4044 --swversion DE.1.0.9.0 --startMP 204:437 --initTime 2018-01-08T05:22:47 --startdatetime 2018-01-08T05:30:19 --delay 68 --endMP 204:233291 --enddatetime 2018-01-08T06:06:09 --enforcementcount 0 &gt;&gt;%USERPROFILE%\Documents\GitHub\eaglep3-reporting\EC\2018-01-08-refined-times.txt</v>
      </c>
      <c r="AI2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{"issue":{"subject":"","project_id":79,"tracker_id":40,"status_id":1,"priority_id":2,"assigned_to_id":338,"start_date":"2018-01-08","description":"","custom_fields":[{"id":1,"name":"Subdivision","value":"EC"},{"id":4,"name":"Milepost","value":"23.3291"},{"id":17,"name":"Train ID","value":"115-08"},{"id":16,"name":"Locomotive ID","value":"4044"},{"id":130,"name":"Impact","value":""},{"id":150,"name":"Time of Event (Mountain Time)","value":"06:06:09"},{"id":151,"name":"Denver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4044 --day 2018-01-08</v>
      </c>
      <c r="AN2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2018-01-08T04:22:47-0700',mode:absolute,to:'2018-01-08T07:06:09-0700'))&amp;_a=(columns:!('Message%20ID',Summary),filters:!(),index:'emp_*',interval:auto,query:(query_string:(analyze_wildcard:!t,query:'%22rtdc.l.rtdc.4044%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683</v>
      </c>
      <c r="B28" s="225">
        <v>4043</v>
      </c>
      <c r="C28" s="227" t="s">
        <v>191</v>
      </c>
      <c r="D28" s="227" t="s">
        <v>533</v>
      </c>
      <c r="E28" s="226">
        <v>43108.266180555554</v>
      </c>
      <c r="F28" s="226">
        <v>43108.268946759257</v>
      </c>
      <c r="G28" s="225">
        <v>61</v>
      </c>
      <c r="H28" s="227" t="s">
        <v>493</v>
      </c>
      <c r="I28" s="226">
        <v>43108.29515046296</v>
      </c>
      <c r="J28" s="225">
        <v>0</v>
      </c>
      <c r="K28" s="237" t="str">
        <f t="shared" si="0"/>
        <v>4043/4044</v>
      </c>
      <c r="L28" s="245" t="str">
        <f>VLOOKUP(A28,'Trips&amp;Operators'!$C$1:$G$99911,5,FALSE)</f>
        <v>ROCHA YAOTL</v>
      </c>
      <c r="M28" s="224">
        <f t="shared" si="1"/>
        <v>2.6203703702776693E-2</v>
      </c>
      <c r="N28" s="225">
        <f t="shared" si="2"/>
        <v>37.733333331998438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2018-01-08T05:23:18-0700',mode:absolute,to:'2018-01-08T08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23.296700000000001</v>
      </c>
      <c r="Z28" s="247">
        <f t="shared" si="8"/>
        <v>1.52E-2</v>
      </c>
      <c r="AA28" s="247">
        <f t="shared" si="9"/>
        <v>23.281500000000001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28" s="234" t="str">
        <f t="shared" si="12"/>
        <v>"C:\Program Files (x86)\AstroGrep\AstroGrep.exe" /e /r /s /spath="%USERPROFILE%\AppData\Local\Temp\OnboardLogs" /stypes="app*4043*20180108*"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116-08 --locoid 4043 --swversion DE.1.0.9.0 --startMP 204:232967 --initTime 2018-01-08T06:23:18 --startdatetime 2018-01-08T06:27:17 --delay 61 --endMP 204:152 --enddatetime 2018-01-08T07:05:01 --enforcementcount 0 &gt;&gt;%USERPROFILE%\Documents\GitHub\eaglep3-reporting\EC\2018-01-08-refined-times.txt</v>
      </c>
      <c r="AI2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{"issue":{"subject":"","project_id":79,"tracker_id":40,"status_id":1,"priority_id":2,"assigned_to_id":338,"start_date":"2018-01-08","description":"","custom_fields":[{"id":1,"name":"Subdivision","value":"EC"},{"id":4,"name":"Milepost","value":"0.0152"},{"id":17,"name":"Train ID","value":"116-08"},{"id":16,"name":"Locomotive ID","value":"4043"},{"id":130,"name":"Impact","value":""},{"id":150,"name":"Time of Event (Mountain Time)","value":"07:05:01"},{"id":151,"name":"Denver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4043 --day 2018-01-08</v>
      </c>
      <c r="AN2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2018-01-08T05:23:18-0700',mode:absolute,to:'2018-01-08T08:05:01-0700'))&amp;_a=(columns:!('Message%20ID',Summary),filters:!(),index:'emp_*',interval:auto,query:(query_string:(analyze_wildcard:!t,query:'%22rtdc.l.rtdc.4043%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674</v>
      </c>
      <c r="B29" s="225">
        <v>4054</v>
      </c>
      <c r="C29" s="227" t="s">
        <v>191</v>
      </c>
      <c r="D29" s="227" t="s">
        <v>602</v>
      </c>
      <c r="E29" s="226">
        <v>43108.234155092592</v>
      </c>
      <c r="F29" s="226">
        <v>43108.239930555559</v>
      </c>
      <c r="G29" s="225">
        <v>69</v>
      </c>
      <c r="H29" s="227" t="s">
        <v>869</v>
      </c>
      <c r="I29" s="226">
        <v>43108.264305555553</v>
      </c>
      <c r="J29" s="225">
        <v>0</v>
      </c>
      <c r="K29" s="237" t="str">
        <f t="shared" si="0"/>
        <v>4053/4054</v>
      </c>
      <c r="L29" s="245" t="str">
        <f>VLOOKUP(A29,'Trips&amp;Operators'!$C$1:$G$99911,5,FALSE)</f>
        <v>ROMERO CHAD</v>
      </c>
      <c r="M29" s="224">
        <f t="shared" si="1"/>
        <v>2.4374999993597157E-2</v>
      </c>
      <c r="N29" s="225">
        <f t="shared" si="2"/>
        <v>35.099999990779907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2018-01-08T04:37:11-0700',mode:absolute,to:'2018-01-08T07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5.0599999999999999E-2</v>
      </c>
      <c r="Z29" s="247">
        <f t="shared" si="8"/>
        <v>23.3383</v>
      </c>
      <c r="AA29" s="247">
        <f t="shared" si="9"/>
        <v>23.287700000000001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29" s="234" t="str">
        <f t="shared" si="12"/>
        <v>"C:\Program Files (x86)\AstroGrep\AstroGrep.exe" /e /r /s /spath="%USERPROFILE%\AppData\Local\Temp\OnboardLogs" /stypes="app*4054*20180108*"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117-08 --locoid 4054 --swversion DE.1.0.9.0 --startMP 204:506 --initTime 2018-01-08T05:37:11 --startdatetime 2018-01-08T05:45:30 --delay 69 --endMP 204:233383 --enddatetime 2018-01-08T06:20:36 --enforcementcount 0 &gt;&gt;%USERPROFILE%\Documents\GitHub\eaglep3-reporting\EC\2018-01-08-refined-times.txt</v>
      </c>
      <c r="AI2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{"issue":{"subject":"","project_id":79,"tracker_id":40,"status_id":1,"priority_id":2,"assigned_to_id":338,"start_date":"2018-01-08","description":"","custom_fields":[{"id":1,"name":"Subdivision","value":"EC"},{"id":4,"name":"Milepost","value":"23.3383"},{"id":17,"name":"Train ID","value":"117-08"},{"id":16,"name":"Locomotive ID","value":"4054"},{"id":130,"name":"Impact","value":""},{"id":150,"name":"Time of Event (Mountain Time)","value":"06:20:36"},{"id":151,"name":"Denver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4054 --day 2018-01-08</v>
      </c>
      <c r="AN2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2018-01-08T04:37:11-0700',mode:absolute,to:'2018-01-08T07:20:36-0700'))&amp;_a=(columns:!('Message%20ID',Summary),filters:!(),index:'emp_*',interval:auto,query:(query_string:(analyze_wildcard:!t,query:'%22rtdc.l.rtdc.4054%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682</v>
      </c>
      <c r="B30" s="225">
        <v>4053</v>
      </c>
      <c r="C30" s="227" t="s">
        <v>191</v>
      </c>
      <c r="D30" s="227" t="s">
        <v>870</v>
      </c>
      <c r="E30" s="226">
        <v>43108.265717592592</v>
      </c>
      <c r="F30" s="226">
        <v>43108.279328703706</v>
      </c>
      <c r="G30" s="225">
        <v>50</v>
      </c>
      <c r="H30" s="227" t="s">
        <v>585</v>
      </c>
      <c r="I30" s="226">
        <v>43108.30431712963</v>
      </c>
      <c r="J30" s="225">
        <v>0</v>
      </c>
      <c r="K30" s="237" t="str">
        <f t="shared" si="0"/>
        <v>4053/4054</v>
      </c>
      <c r="L30" s="245" t="str">
        <f>VLOOKUP(A30,'Trips&amp;Operators'!$C$1:$G$99911,5,FALSE)</f>
        <v>ROMERO CHAD</v>
      </c>
      <c r="M30" s="224">
        <f t="shared" si="1"/>
        <v>2.4988425924675539E-2</v>
      </c>
      <c r="N30" s="225">
        <f t="shared" si="2"/>
        <v>35.983333331532776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2018-01-08T05:22:38-0700',mode:absolute,to:'2018-01-08T08:18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23.3062</v>
      </c>
      <c r="Z30" s="247">
        <f t="shared" si="8"/>
        <v>1.7999999999999999E-2</v>
      </c>
      <c r="AA30" s="247">
        <f t="shared" si="9"/>
        <v>23.2882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30" s="234" t="str">
        <f t="shared" si="12"/>
        <v>"C:\Program Files (x86)\AstroGrep\AstroGrep.exe" /e /r /s /spath="%USERPROFILE%\AppData\Local\Temp\OnboardLogs" /stypes="app*4053*20180108*"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118-08 --locoid 4053 --swversion DE.1.0.9.0 --startMP 204:233062 --initTime 2018-01-08T06:22:38 --startdatetime 2018-01-08T06:42:14 --delay 50 --endMP 204:180 --enddatetime 2018-01-08T07:18:13 --enforcementcount 0 &gt;&gt;%USERPROFILE%\Documents\GitHub\eaglep3-reporting\EC\2018-01-08-refined-times.txt</v>
      </c>
      <c r="AI3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{"issue":{"subject":"","project_id":79,"tracker_id":40,"status_id":1,"priority_id":2,"assigned_to_id":338,"start_date":"2018-01-08","description":"","custom_fields":[{"id":1,"name":"Subdivision","value":"EC"},{"id":4,"name":"Milepost","value":"0.018"},{"id":17,"name":"Train ID","value":"118-08"},{"id":16,"name":"Locomotive ID","value":"4053"},{"id":130,"name":"Impact","value":""},{"id":150,"name":"Time of Event (Mountain Time)","value":"07:18:13"},{"id":151,"name":"Denver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4053 --day 2018-01-08</v>
      </c>
      <c r="AN3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14:18:13"},{"id":29,"name":"Sharepoint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2018-01-08T05:22:38-0700',mode:absolute,to:'2018-01-08T08:18:13-0700'))&amp;_a=(columns:!('Message%20ID',Summary),filters:!(),index:'emp_*',interval:auto,query:(query_string:(analyze_wildcard:!t,query:'%22rtdc.l.rtdc.4053%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676</v>
      </c>
      <c r="B31" s="225">
        <v>4052</v>
      </c>
      <c r="C31" s="227" t="s">
        <v>191</v>
      </c>
      <c r="D31" s="227" t="s">
        <v>546</v>
      </c>
      <c r="E31" s="226">
        <v>43108.243761574071</v>
      </c>
      <c r="F31" s="226">
        <v>43108.250162037039</v>
      </c>
      <c r="G31" s="225">
        <v>56</v>
      </c>
      <c r="H31" s="227" t="s">
        <v>583</v>
      </c>
      <c r="I31" s="226">
        <v>43108.274016203701</v>
      </c>
      <c r="J31" s="225">
        <v>0</v>
      </c>
      <c r="K31" s="237" t="str">
        <f t="shared" si="0"/>
        <v>4051/4052</v>
      </c>
      <c r="L31" s="245" t="str">
        <f>VLOOKUP(A31,'Trips&amp;Operators'!$C$1:$G$99911,5,FALSE)</f>
        <v>BEAM ROSS</v>
      </c>
      <c r="M31" s="224">
        <f t="shared" si="1"/>
        <v>2.3854166662204079E-2</v>
      </c>
      <c r="N31" s="225">
        <f t="shared" si="2"/>
        <v>34.349999993573874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2018-01-08T04:51:01-0700',mode:absolute,to:'2018-01-08T07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5.0200000000000002E-2</v>
      </c>
      <c r="Z31" s="247">
        <f t="shared" si="8"/>
        <v>23.3309</v>
      </c>
      <c r="AA31" s="247">
        <f t="shared" si="9"/>
        <v>23.2807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31" s="234" t="str">
        <f t="shared" si="12"/>
        <v>"C:\Program Files (x86)\AstroGrep\AstroGrep.exe" /e /r /s /spath="%USERPROFILE%\AppData\Local\Temp\OnboardLogs" /stypes="app*4052*20180108*"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119-08 --locoid 4052 --swversion DE.1.0.9.0 --startMP 204:502 --initTime 2018-01-08T05:51:01 --startdatetime 2018-01-08T06:00:14 --delay 56 --endMP 204:233309 --enddatetime 2018-01-08T06:34:35 --enforcementcount 0 &gt;&gt;%USERPROFILE%\Documents\GitHub\eaglep3-reporting\EC\2018-01-08-refined-times.txt</v>
      </c>
      <c r="AI3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{"issue":{"subject":"","project_id":79,"tracker_id":40,"status_id":1,"priority_id":2,"assigned_to_id":338,"start_date":"2018-01-08","description":"","custom_fields":[{"id":1,"name":"Subdivision","value":"EC"},{"id":4,"name":"Milepost","value":"23.3309"},{"id":17,"name":"Train ID","value":"119-08"},{"id":16,"name":"Locomotive ID","value":"4052"},{"id":130,"name":"Impact","value":""},{"id":150,"name":"Time of Event (Mountain Time)","value":"06:34:35"},{"id":151,"name":"Denver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4052 --day 2018-01-08</v>
      </c>
      <c r="AN3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2018-01-08T04:51:01-0700',mode:absolute,to:'2018-01-08T07:34:35-0700'))&amp;_a=(columns:!('Message%20ID',Summary),filters:!(),index:'emp_*',interval:auto,query:(query_string:(analyze_wildcard:!t,query:'%22rtdc.l.rtdc.4052%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686</v>
      </c>
      <c r="B32" s="225">
        <v>4051</v>
      </c>
      <c r="C32" s="227" t="s">
        <v>191</v>
      </c>
      <c r="D32" s="227" t="s">
        <v>507</v>
      </c>
      <c r="E32" s="226">
        <v>43108.274976851855</v>
      </c>
      <c r="F32" s="226">
        <v>43108.289756944447</v>
      </c>
      <c r="G32" s="225">
        <v>51</v>
      </c>
      <c r="H32" s="227" t="s">
        <v>472</v>
      </c>
      <c r="I32" s="226">
        <v>43108.315289351849</v>
      </c>
      <c r="J32" s="225">
        <v>0</v>
      </c>
      <c r="K32" s="237" t="str">
        <f t="shared" si="0"/>
        <v>4051/4052</v>
      </c>
      <c r="L32" s="245" t="str">
        <f>VLOOKUP(A32,'Trips&amp;Operators'!$C$1:$G$99911,5,FALSE)</f>
        <v>BEAM ROSS</v>
      </c>
      <c r="M32" s="224">
        <f t="shared" si="1"/>
        <v>2.5532407402351964E-2</v>
      </c>
      <c r="N32" s="225">
        <f t="shared" si="2"/>
        <v>36.766666659386829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2018-01-08T05:35:58-0700',mode:absolute,to:'2018-01-08T08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23.297999999999998</v>
      </c>
      <c r="Z32" s="247">
        <f t="shared" si="8"/>
        <v>2.1399999999999999E-2</v>
      </c>
      <c r="AA32" s="247">
        <f t="shared" si="9"/>
        <v>23.276599999999998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32" s="234" t="str">
        <f t="shared" si="12"/>
        <v>"C:\Program Files (x86)\AstroGrep\AstroGrep.exe" /e /r /s /spath="%USERPROFILE%\AppData\Local\Temp\OnboardLogs" /stypes="app*4051*20180108*"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120-08 --locoid 4051 --swversion DE.1.0.9.0 --startMP 204:232980 --initTime 2018-01-08T06:35:58 --startdatetime 2018-01-08T06:57:15 --delay 51 --endMP 204:214 --enddatetime 2018-01-08T07:34:01 --enforcementcount 0 &gt;&gt;%USERPROFILE%\Documents\GitHub\eaglep3-reporting\EC\2018-01-08-refined-times.txt</v>
      </c>
      <c r="AI3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ID","value":"120-08"},{"id":16,"name":"Locomotive ID","value":"4051"},{"id":130,"name":"Impact","value":""},{"id":150,"name":"Time of Event (Mountain Time)","value":"07:34:01"},{"id":151,"name":"Denver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4051 --day 2018-01-08</v>
      </c>
      <c r="AN3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2018-01-08T05:35:58-0700',mode:absolute,to:'2018-01-08T08:34:01-0700'))&amp;_a=(columns:!('Message%20ID',Summary),filters:!(),index:'emp_*',interval:auto,query:(query_string:(analyze_wildcard:!t,query:'%22rtdc.l.rtdc.4051%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680</v>
      </c>
      <c r="B33" s="225">
        <v>4018</v>
      </c>
      <c r="C33" s="227" t="s">
        <v>191</v>
      </c>
      <c r="D33" s="227" t="s">
        <v>580</v>
      </c>
      <c r="E33" s="226">
        <v>43108.254537037035</v>
      </c>
      <c r="F33" s="226">
        <v>43108.260694444441</v>
      </c>
      <c r="G33" s="225">
        <v>44</v>
      </c>
      <c r="H33" s="227" t="s">
        <v>587</v>
      </c>
      <c r="I33" s="226">
        <v>43108.285266203704</v>
      </c>
      <c r="J33" s="225">
        <v>0</v>
      </c>
      <c r="K33" s="237" t="str">
        <f t="shared" si="0"/>
        <v>4017/4018</v>
      </c>
      <c r="L33" s="245" t="str">
        <f>VLOOKUP(A33,'Trips&amp;Operators'!$C$1:$G$99911,5,FALSE)</f>
        <v>DELGADO DIANAH</v>
      </c>
      <c r="M33" s="224">
        <f t="shared" si="1"/>
        <v>2.457175926247146E-2</v>
      </c>
      <c r="N33" s="225">
        <f t="shared" si="2"/>
        <v>35.383333337958902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2018-01-08T05:06:32-0700',mode:absolute,to:'2018-01-08T07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4.7699999999999999E-2</v>
      </c>
      <c r="Z33" s="247">
        <f t="shared" si="8"/>
        <v>23.3308</v>
      </c>
      <c r="AA33" s="247">
        <f t="shared" si="9"/>
        <v>23.283100000000001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33" s="234" t="str">
        <f t="shared" si="12"/>
        <v>"C:\Program Files (x86)\AstroGrep\AstroGrep.exe" /e /r /s /spath="%USERPROFILE%\AppData\Local\Temp\OnboardLogs" /stypes="app*4018*20180108*"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121-08 --locoid 4018 --swversion DE.1.0.9.0 --startMP 204:477 --initTime 2018-01-08T06:06:32 --startdatetime 2018-01-08T06:15:24 --delay 44 --endMP 204:233308 --enddatetime 2018-01-08T06:50:47 --enforcementcount 0 &gt;&gt;%USERPROFILE%\Documents\GitHub\eaglep3-reporting\EC\2018-01-08-refined-times.txt</v>
      </c>
      <c r="AI3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{"issue":{"subject":"","project_id":79,"tracker_id":40,"status_id":1,"priority_id":2,"assigned_to_id":338,"start_date":"2018-01-08","description":"","custom_fields":[{"id":1,"name":"Subdivision","value":"EC"},{"id":4,"name":"Milepost","value":"23.3308"},{"id":17,"name":"Train ID","value":"121-08"},{"id":16,"name":"Locomotive ID","value":"4018"},{"id":130,"name":"Impact","value":""},{"id":150,"name":"Time of Event (Mountain Time)","value":"06:50:47"},{"id":151,"name":"Denver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4018 --day 2018-01-08</v>
      </c>
      <c r="AN3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2018-01-08T05:06:32-0700',mode:absolute,to:'2018-01-08T07:50:47-0700'))&amp;_a=(columns:!('Message%20ID',Summary),filters:!(),index:'emp_*',interval:auto,query:(query_string:(analyze_wildcard:!t,query:'%22rtdc.l.rtdc.4018%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688</v>
      </c>
      <c r="B34" s="225">
        <v>4017</v>
      </c>
      <c r="C34" s="227" t="s">
        <v>191</v>
      </c>
      <c r="D34" s="227" t="s">
        <v>539</v>
      </c>
      <c r="E34" s="226">
        <v>43108.286736111113</v>
      </c>
      <c r="F34" s="226">
        <v>43108.300173611111</v>
      </c>
      <c r="G34" s="225">
        <v>881</v>
      </c>
      <c r="H34" s="227" t="s">
        <v>871</v>
      </c>
      <c r="I34" s="226">
        <v>43108.325740740744</v>
      </c>
      <c r="J34" s="225">
        <v>0</v>
      </c>
      <c r="K34" s="237" t="str">
        <f t="shared" si="0"/>
        <v>4017/4018</v>
      </c>
      <c r="L34" s="245" t="str">
        <f>VLOOKUP(A34,'Trips&amp;Operators'!$C$1:$G$99911,5,FALSE)</f>
        <v>DELGADO DIANAH</v>
      </c>
      <c r="M34" s="224">
        <f t="shared" si="1"/>
        <v>2.5567129632690921E-2</v>
      </c>
      <c r="N34" s="225">
        <f t="shared" si="2"/>
        <v>36.816666671074927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2018-01-08T05:52:54-0700',mode:absolute,to:'2018-01-08T08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23.3</v>
      </c>
      <c r="Z34" s="247">
        <f t="shared" si="8"/>
        <v>1.47E-2</v>
      </c>
      <c r="AA34" s="247">
        <f t="shared" si="9"/>
        <v>23.285299999999999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34" s="234" t="str">
        <f t="shared" si="12"/>
        <v>"C:\Program Files (x86)\AstroGrep\AstroGrep.exe" /e /r /s /spath="%USERPROFILE%\AppData\Local\Temp\OnboardLogs" /stypes="app*4017*20180108*"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122-08 --locoid 4017 --swversion DE.1.0.9.0 --startMP 204:233000 --initTime 2018-01-08T06:52:54 --startdatetime 2018-01-08T07:12:15 --delay 881 --endMP 204:147 --enddatetime 2018-01-08T07:49:04 --enforcementcount 0 &gt;&gt;%USERPROFILE%\Documents\GitHub\eaglep3-reporting\EC\2018-01-08-refined-times.txt</v>
      </c>
      <c r="AI3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{"issue":{"subject":"","project_id":79,"tracker_id":40,"status_id":1,"priority_id":2,"assigned_to_id":338,"start_date":"2018-01-08","description":"","custom_fields":[{"id":1,"name":"Subdivision","value":"EC"},{"id":4,"name":"Milepost","value":"0.0147"},{"id":17,"name":"Train ID","value":"122-08"},{"id":16,"name":"Locomotive ID","value":"4017"},{"id":130,"name":"Impact","value":""},{"id":150,"name":"Time of Event (Mountain Time)","value":"07:49:04"},{"id":151,"name":"Denver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4017 --day 2018-01-08</v>
      </c>
      <c r="AN3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2018-01-08T05:52:54-0700',mode:absolute,to:'2018-01-08T08:49:04-0700'))&amp;_a=(columns:!('Message%20ID',Summary),filters:!(),index:'emp_*',interval:auto,query:(query_string:(analyze_wildcard:!t,query:'%22rtdc.l.rtdc.4017%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684</v>
      </c>
      <c r="B35" s="225">
        <v>4034</v>
      </c>
      <c r="C35" s="227" t="s">
        <v>191</v>
      </c>
      <c r="D35" s="227" t="s">
        <v>480</v>
      </c>
      <c r="E35" s="226">
        <v>43108.26730324074</v>
      </c>
      <c r="F35" s="226">
        <v>43108.270983796298</v>
      </c>
      <c r="G35" s="225">
        <v>52</v>
      </c>
      <c r="H35" s="227" t="s">
        <v>872</v>
      </c>
      <c r="I35" s="226">
        <v>43108.295543981483</v>
      </c>
      <c r="J35" s="225">
        <v>0</v>
      </c>
      <c r="K35" s="237" t="str">
        <f t="shared" si="0"/>
        <v>4033/4034</v>
      </c>
      <c r="L35" s="245" t="str">
        <f>VLOOKUP(A35,'Trips&amp;Operators'!$C$1:$G$99911,5,FALSE)</f>
        <v>MAELZER KURT</v>
      </c>
      <c r="M35" s="224">
        <f t="shared" si="1"/>
        <v>2.4560185185691807E-2</v>
      </c>
      <c r="N35" s="225">
        <f t="shared" si="2"/>
        <v>35.366666667396203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2018-01-08T05:24:55-0700',mode:absolute,to:'2018-01-08T08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4.9799999999999997E-2</v>
      </c>
      <c r="Z35" s="247">
        <f t="shared" si="8"/>
        <v>23.328399999999998</v>
      </c>
      <c r="AA35" s="247">
        <f t="shared" si="9"/>
        <v>23.278599999999997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35" s="234" t="str">
        <f t="shared" si="12"/>
        <v>"C:\Program Files (x86)\AstroGrep\AstroGrep.exe" /e /r /s /spath="%USERPROFILE%\AppData\Local\Temp\OnboardLogs" /stypes="app*4034*20180108*"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123-08 --locoid 4034 --swversion DE.1.0.9.0 --startMP 204:498 --initTime 2018-01-08T06:24:55 --startdatetime 2018-01-08T06:30:13 --delay 52 --endMP 204:233284 --enddatetime 2018-01-08T07:05:35 --enforcementcount 0 &gt;&gt;%USERPROFILE%\Documents\GitHub\eaglep3-reporting\EC\2018-01-08-refined-times.txt</v>
      </c>
      <c r="AI3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{"issue":{"subject":"","project_id":79,"tracker_id":40,"status_id":1,"priority_id":2,"assigned_to_id":338,"start_date":"2018-01-08","description":"","custom_fields":[{"id":1,"name":"Subdivision","value":"EC"},{"id":4,"name":"Milepost","value":"23.3284"},{"id":17,"name":"Train ID","value":"123-08"},{"id":16,"name":"Locomotive ID","value":"4034"},{"id":130,"name":"Impact","value":""},{"id":150,"name":"Time of Event (Mountain Time)","value":"07:05:35"},{"id":151,"name":"Denver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4034 --day 2018-01-08</v>
      </c>
      <c r="AN3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2018-01-08T05:24:55-0700',mode:absolute,to:'2018-01-08T08:05:35-0700'))&amp;_a=(columns:!('Message%20ID',Summary),filters:!(),index:'emp_*',interval:auto,query:(query_string:(analyze_wildcard:!t,query:'%22rtdc.l.rtdc.4034%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692</v>
      </c>
      <c r="B36" s="225">
        <v>4033</v>
      </c>
      <c r="C36" s="227" t="s">
        <v>191</v>
      </c>
      <c r="D36" s="227" t="s">
        <v>873</v>
      </c>
      <c r="E36" s="226">
        <v>43108.303310185183</v>
      </c>
      <c r="F36" s="226">
        <v>43108.310578703706</v>
      </c>
      <c r="G36" s="225">
        <v>44</v>
      </c>
      <c r="H36" s="227" t="s">
        <v>874</v>
      </c>
      <c r="I36" s="226">
        <v>43108.337071759262</v>
      </c>
      <c r="J36" s="225">
        <v>0</v>
      </c>
      <c r="K36" s="237" t="str">
        <f t="shared" si="0"/>
        <v>4033/4034</v>
      </c>
      <c r="L36" s="245" t="str">
        <f>VLOOKUP(A36,'Trips&amp;Operators'!$C$1:$G$99911,5,FALSE)</f>
        <v>MAELZER KURT</v>
      </c>
      <c r="M36" s="224">
        <f t="shared" si="1"/>
        <v>2.6493055556784384E-2</v>
      </c>
      <c r="N36" s="225">
        <f t="shared" si="2"/>
        <v>38.150000001769513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2018-01-08T06:16:46-0700',mode:absolute,to:'2018-01-08T09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23.298400000000001</v>
      </c>
      <c r="Z36" s="247">
        <f t="shared" si="8"/>
        <v>1.7600000000000001E-2</v>
      </c>
      <c r="AA36" s="247">
        <f t="shared" si="9"/>
        <v>23.280799999999999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36" s="234" t="str">
        <f t="shared" si="12"/>
        <v>"C:\Program Files (x86)\AstroGrep\AstroGrep.exe" /e /r /s /spath="%USERPROFILE%\AppData\Local\Temp\OnboardLogs" /stypes="app*4033*20180108*"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124-08 --locoid 4033 --swversion DE.1.0.9.0 --startMP 204:232984 --initTime 2018-01-08T07:16:46 --startdatetime 2018-01-08T07:27:14 --delay 44 --endMP 204:176 --enddatetime 2018-01-08T08:05:23 --enforcementcount 0 &gt;&gt;%USERPROFILE%\Documents\GitHub\eaglep3-reporting\EC\2018-01-08-refined-times.txt</v>
      </c>
      <c r="AI3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{"issue":{"subject":"","project_id":79,"tracker_id":40,"status_id":1,"priority_id":2,"assigned_to_id":338,"start_date":"2018-01-08","description":"","custom_fields":[{"id":1,"name":"Subdivision","value":"EC"},{"id":4,"name":"Milepost","value":"0.0176"},{"id":17,"name":"Train ID","value":"124-08"},{"id":16,"name":"Locomotive ID","value":"4033"},{"id":130,"name":"Impact","value":""},{"id":150,"name":"Time of Event (Mountain Time)","value":"08:05:23"},{"id":151,"name":"Denver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4033 --day 2018-01-08</v>
      </c>
      <c r="AN3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2018-01-08T06:16:46-0700',mode:absolute,to:'2018-01-08T09:05:23-0700'))&amp;_a=(columns:!('Message%20ID',Summary),filters:!(),index:'emp_*',interval:auto,query:(query_string:(analyze_wildcard:!t,query:'%22rtdc.l.rtdc.4033%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622</v>
      </c>
      <c r="B37" s="225">
        <v>4060</v>
      </c>
      <c r="C37" s="227" t="s">
        <v>191</v>
      </c>
      <c r="D37" s="227" t="s">
        <v>497</v>
      </c>
      <c r="E37" s="226">
        <v>43108.279305555552</v>
      </c>
      <c r="F37" s="226">
        <v>43108.2815162037</v>
      </c>
      <c r="G37" s="225">
        <v>66</v>
      </c>
      <c r="H37" s="227" t="s">
        <v>875</v>
      </c>
      <c r="I37" s="226">
        <v>43108.306712962964</v>
      </c>
      <c r="J37" s="225">
        <v>0</v>
      </c>
      <c r="K37" s="237" t="str">
        <f t="shared" si="0"/>
        <v>4059/4060</v>
      </c>
      <c r="L37" s="245" t="str">
        <f>VLOOKUP(A37,'Trips&amp;Operators'!$C$1:$G$99911,5,FALSE)</f>
        <v>THOMPSON LESTER</v>
      </c>
      <c r="M37" s="224">
        <f t="shared" si="1"/>
        <v>2.5196759263053536E-2</v>
      </c>
      <c r="N37" s="225">
        <f t="shared" si="2"/>
        <v>36.283333338797092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2018-01-08T05:42:12-0700',mode:absolute,to:'2018-01-08T08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4.82E-2</v>
      </c>
      <c r="Z37" s="247">
        <f t="shared" si="8"/>
        <v>23.321000000000002</v>
      </c>
      <c r="AA37" s="247">
        <f t="shared" si="9"/>
        <v>23.2728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37" s="234" t="str">
        <f t="shared" si="12"/>
        <v>"C:\Program Files (x86)\AstroGrep\AstroGrep.exe" /e /r /s /spath="%USERPROFILE%\AppData\Local\Temp\OnboardLogs" /stypes="app*4060*20180108*"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125-08 --locoid 4060 --swversion DE.1.0.9.0 --startMP 204:482 --initTime 2018-01-08T06:42:12 --startdatetime 2018-01-08T06:45:23 --delay 66 --endMP 204:233210 --enddatetime 2018-01-08T07:21:40 --enforcementcount 0 &gt;&gt;%USERPROFILE%\Documents\GitHub\eaglep3-reporting\EC\2018-01-08-refined-times.txt</v>
      </c>
      <c r="AI3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{"issue":{"subject":"","project_id":79,"tracker_id":40,"status_id":1,"priority_id":2,"assigned_to_id":338,"start_date":"2018-01-08","description":"","custom_fields":[{"id":1,"name":"Subdivision","value":"EC"},{"id":4,"name":"Milepost","value":"23.321"},{"id":17,"name":"Train ID","value":"125-08"},{"id":16,"name":"Locomotive ID","value":"4060"},{"id":130,"name":"Impact","value":""},{"id":150,"name":"Time of Event (Mountain Time)","value":"07:21:40"},{"id":151,"name":"Denver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4060 --day 2018-01-08</v>
      </c>
      <c r="AN3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2018-01-08T05:42:12-0700',mode:absolute,to:'2018-01-08T08:21:40-0700'))&amp;_a=(columns:!('Message%20ID',Summary),filters:!(),index:'emp_*',interval:auto,query:(query_string:(analyze_wildcard:!t,query:'%22rtdc.l.rtdc.4060%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697</v>
      </c>
      <c r="B38" s="225">
        <v>4059</v>
      </c>
      <c r="C38" s="227" t="s">
        <v>191</v>
      </c>
      <c r="D38" s="227" t="s">
        <v>876</v>
      </c>
      <c r="E38" s="226">
        <v>43108.319803240738</v>
      </c>
      <c r="F38" s="226">
        <v>43108.321122685185</v>
      </c>
      <c r="G38" s="225">
        <v>50</v>
      </c>
      <c r="H38" s="227" t="s">
        <v>478</v>
      </c>
      <c r="I38" s="226">
        <v>43108.347662037035</v>
      </c>
      <c r="J38" s="225">
        <v>0</v>
      </c>
      <c r="K38" s="237" t="str">
        <f t="shared" si="0"/>
        <v>4059/4060</v>
      </c>
      <c r="L38" s="245" t="str">
        <f>VLOOKUP(A38,'Trips&amp;Operators'!$C$1:$G$99911,5,FALSE)</f>
        <v>THOMPSON LESTER</v>
      </c>
      <c r="M38" s="224">
        <f t="shared" si="1"/>
        <v>2.6539351849351078E-2</v>
      </c>
      <c r="N38" s="225">
        <f t="shared" si="2"/>
        <v>38.216666663065553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2018-01-08T06:40:31-0700',mode:absolute,to:'2018-01-08T09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23.288900000000002</v>
      </c>
      <c r="Z38" s="247">
        <f t="shared" si="8"/>
        <v>1.67E-2</v>
      </c>
      <c r="AA38" s="247">
        <f t="shared" si="9"/>
        <v>23.272200000000002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38" s="234" t="str">
        <f t="shared" si="12"/>
        <v>"C:\Program Files (x86)\AstroGrep\AstroGrep.exe" /e /r /s /spath="%USERPROFILE%\AppData\Local\Temp\OnboardLogs" /stypes="app*4059*20180108*"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126-08 --locoid 4059 --swversion DE.1.0.9.0 --startMP 204:232889 --initTime 2018-01-08T07:40:31 --startdatetime 2018-01-08T07:42:25 --delay 50 --endMP 204:167 --enddatetime 2018-01-08T08:20:38 --enforcementcount 0 &gt;&gt;%USERPROFILE%\Documents\GitHub\eaglep3-reporting\EC\2018-01-08-refined-times.txt</v>
      </c>
      <c r="AI3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{"issue":{"subject":"","project_id":79,"tracker_id":40,"status_id":1,"priority_id":2,"assigned_to_id":338,"start_date":"2018-01-08","description":"","custom_fields":[{"id":1,"name":"Subdivision","value":"EC"},{"id":4,"name":"Milepost","value":"0.0167"},{"id":17,"name":"Train ID","value":"126-08"},{"id":16,"name":"Locomotive ID","value":"4059"},{"id":130,"name":"Impact","value":""},{"id":150,"name":"Time of Event (Mountain Time)","value":"08:20:38"},{"id":151,"name":"Denver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4059 --day 2018-01-08</v>
      </c>
      <c r="AN3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2018-01-08T06:40:31-0700',mode:absolute,to:'2018-01-08T09:20:38-0700'))&amp;_a=(columns:!('Message%20ID',Summary),filters:!(),index:'emp_*',interval:auto,query:(query_string:(analyze_wildcard:!t,query:'%22rtdc.l.rtdc.4059%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689</v>
      </c>
      <c r="B39" s="225">
        <v>4012</v>
      </c>
      <c r="C39" s="227" t="s">
        <v>191</v>
      </c>
      <c r="D39" s="227" t="s">
        <v>541</v>
      </c>
      <c r="E39" s="226">
        <v>43108.287187499998</v>
      </c>
      <c r="F39" s="226">
        <v>43108.291979166665</v>
      </c>
      <c r="G39" s="225">
        <v>69</v>
      </c>
      <c r="H39" s="227" t="s">
        <v>877</v>
      </c>
      <c r="I39" s="226">
        <v>43108.317013888889</v>
      </c>
      <c r="J39" s="225">
        <v>0</v>
      </c>
      <c r="K39" s="237" t="str">
        <f t="shared" si="0"/>
        <v>4011/4012</v>
      </c>
      <c r="L39" s="245" t="str">
        <f>VLOOKUP(A39,'Trips&amp;Operators'!$C$1:$G$99911,5,FALSE)</f>
        <v>DAVIDSON DAVID</v>
      </c>
      <c r="M39" s="224">
        <f t="shared" si="1"/>
        <v>2.5034722224518191E-2</v>
      </c>
      <c r="N39" s="225">
        <f t="shared" si="2"/>
        <v>36.050000003306195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2018-01-08T05:53:33-0700',mode:absolute,to:'2018-01-08T08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5.2900000000000003E-2</v>
      </c>
      <c r="Z39" s="247">
        <f t="shared" si="8"/>
        <v>23.3261</v>
      </c>
      <c r="AA39" s="247">
        <f t="shared" si="9"/>
        <v>23.273199999999999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 &amp; aws s3 cp s3://rtdc.mdm.uploadarchive.raw/RTDC4012/ "%USERPROFILE%\AppData\Local\Temp\OnboardLogs"\RTDC4012\2018-01-09 --exclude "*" --recursive --include "*20180109*" &amp; "%USERPROFILE%\Documents\GitHub\mrs-test-scripts\Headless Mode &amp; Sideloading\WalkAndUnGZ.bat" "%USERPROFILE%\AppData\Local\Temp\OnboardLogs"\RTDC4012\2018-01-09</v>
      </c>
      <c r="AF39" s="234" t="str">
        <f t="shared" si="12"/>
        <v>"C:\Program Files (x86)\AstroGrep\AstroGrep.exe" /e /r /s /spath="%USERPROFILE%\AppData\Local\Temp\OnboardLogs" /stypes="app*4012*20180108*"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127-08 --locoid 4012 --swversion DE.1.0.9.0 --startMP 204:529 --initTime 2018-01-08T06:53:33 --startdatetime 2018-01-08T07:00:27 --delay 69 --endMP 204:233261 --enddatetime 2018-01-08T07:36:30 --enforcementcount 0 &gt;&gt;%USERPROFILE%\Documents\GitHub\eaglep3-reporting\EC\2018-01-08-refined-times.txt</v>
      </c>
      <c r="AI3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{"issue":{"subject":"","project_id":79,"tracker_id":40,"status_id":1,"priority_id":2,"assigned_to_id":338,"start_date":"2018-01-08","description":"","custom_fields":[{"id":1,"name":"Subdivision","value":"EC"},{"id":4,"name":"Milepost","value":"23.3261"},{"id":17,"name":"Train ID","value":"127-08"},{"id":16,"name":"Locomotive ID","value":"4012"},{"id":130,"name":"Impact","value":""},{"id":150,"name":"Time of Event (Mountain Time)","value":"07:36:30"},{"id":151,"name":"Denver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4012 --day 2018-01-08</v>
      </c>
      <c r="AN3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2018-01-08T05:53:33-0700',mode:absolute,to:'2018-01-08T08:36:30-0700'))&amp;_a=(columns:!('Message%20ID',Summary),filters:!(),index:'emp_*',interval:auto,query:(query_string:(analyze_wildcard:!t,query:'%22rtdc.l.rtdc.4012%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698</v>
      </c>
      <c r="B40" s="225">
        <v>4011</v>
      </c>
      <c r="C40" s="227" t="s">
        <v>191</v>
      </c>
      <c r="D40" s="227" t="s">
        <v>878</v>
      </c>
      <c r="E40" s="226">
        <v>43108.325219907405</v>
      </c>
      <c r="F40" s="226">
        <v>43108.331469907411</v>
      </c>
      <c r="G40" s="225">
        <v>97</v>
      </c>
      <c r="H40" s="227" t="s">
        <v>463</v>
      </c>
      <c r="I40" s="226">
        <v>43108.35833333333</v>
      </c>
      <c r="J40" s="225">
        <v>0</v>
      </c>
      <c r="K40" s="237" t="str">
        <f t="shared" si="0"/>
        <v>4011/4012</v>
      </c>
      <c r="L40" s="245" t="str">
        <f>VLOOKUP(A40,'Trips&amp;Operators'!$C$1:$G$99911,5,FALSE)</f>
        <v>DAVIDSON DAVID</v>
      </c>
      <c r="M40" s="224">
        <f t="shared" si="1"/>
        <v>2.6863425919145811E-2</v>
      </c>
      <c r="N40" s="225">
        <f t="shared" si="2"/>
        <v>38.683333323569968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2018-01-08T06:48:19-0700',mode:absolute,to:'2018-01-08T09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23.295000000000002</v>
      </c>
      <c r="Z40" s="247">
        <f t="shared" si="8"/>
        <v>2.0500000000000001E-2</v>
      </c>
      <c r="AA40" s="247">
        <f t="shared" si="9"/>
        <v>23.274500000000003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s3://rtdc.mdm.uploadarchive.raw/RTDC4011/ "%USERPROFILE%\AppData\Local\Temp\OnboardLogs"\RTDC4011\2018-01-08 --exclude "*" --recursive --include "*20180108*" &amp; "%USERPROFILE%\Documents\GitHub\mrs-test-scripts\Headless Mode &amp; Sideloading\WalkAndUnGZ.bat" "%USERPROFILE%\AppData\Local\Temp\OnboardLogs"\RTDC4011\2018-01-08 &amp; aws s3 cp s3://rtdc.mdm.uploadarchive.raw/RTDC4011/ "%USERPROFILE%\AppData\Local\Temp\OnboardLogs"\RTDC4011\2018-01-09 --exclude "*" --recursive --include "*20180109*" &amp; "%USERPROFILE%\Documents\GitHub\mrs-test-scripts\Headless Mode &amp; Sideloading\WalkAndUnGZ.bat" "%USERPROFILE%\AppData\Local\Temp\OnboardLogs"\RTDC4011\2018-01-09</v>
      </c>
      <c r="AF40" s="234" t="str">
        <f t="shared" si="12"/>
        <v>"C:\Program Files (x86)\AstroGrep\AstroGrep.exe" /e /r /s /spath="%USERPROFILE%\AppData\Local\Temp\OnboardLogs" /stypes="app*4011*20180108*"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128-08 --locoid 4011 --swversion DE.1.0.9.0 --startMP 204:232950 --initTime 2018-01-08T07:48:19 --startdatetime 2018-01-08T07:57:19 --delay 97 --endMP 204:205 --enddatetime 2018-01-08T08:36:00 --enforcementcount 0 &gt;&gt;%USERPROFILE%\Documents\GitHub\eaglep3-reporting\EC\2018-01-08-refined-times.txt</v>
      </c>
      <c r="AI4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ID","value":"128-08"},{"id":16,"name":"Locomotive ID","value":"4011"},{"id":130,"name":"Impact","value":""},{"id":150,"name":"Time of Event (Mountain Time)","value":"08:36:00"},{"id":151,"name":"Denver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4011 --day 2018-01-08</v>
      </c>
      <c r="AN4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2018-01-08T06:48:19-0700',mode:absolute,to:'2018-01-08T09:36:00-0700'))&amp;_a=(columns:!('Message%20ID',Summary),filters:!(),index:'emp_*',interval:auto,query:(query_string:(analyze_wildcard:!t,query:'%22rtdc.l.rtdc.4011%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691</v>
      </c>
      <c r="B41" s="225">
        <v>4044</v>
      </c>
      <c r="C41" s="227" t="s">
        <v>191</v>
      </c>
      <c r="D41" s="227" t="s">
        <v>497</v>
      </c>
      <c r="E41" s="226">
        <v>43108.301030092596</v>
      </c>
      <c r="F41" s="226">
        <v>43108.30228009259</v>
      </c>
      <c r="G41" s="225">
        <v>47</v>
      </c>
      <c r="H41" s="227" t="s">
        <v>879</v>
      </c>
      <c r="I41" s="226">
        <v>43108.326944444445</v>
      </c>
      <c r="J41" s="225">
        <v>0</v>
      </c>
      <c r="K41" s="237" t="str">
        <f t="shared" si="0"/>
        <v>4043/4044</v>
      </c>
      <c r="L41" s="245" t="str">
        <f>VLOOKUP(A41,'Trips&amp;Operators'!$C$1:$G$99911,5,FALSE)</f>
        <v>ROCHA YAOTL</v>
      </c>
      <c r="M41" s="224">
        <f t="shared" si="1"/>
        <v>2.4664351854880806E-2</v>
      </c>
      <c r="N41" s="225">
        <f t="shared" si="2"/>
        <v>35.516666671028361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2018-01-08T06:13:29-0700',mode:absolute,to:'2018-01-08T08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4.82E-2</v>
      </c>
      <c r="Z41" s="247">
        <f t="shared" si="8"/>
        <v>23.335100000000001</v>
      </c>
      <c r="AA41" s="247">
        <f t="shared" si="9"/>
        <v>23.286899999999999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41" s="234" t="str">
        <f t="shared" si="12"/>
        <v>"C:\Program Files (x86)\AstroGrep\AstroGrep.exe" /e /r /s /spath="%USERPROFILE%\AppData\Local\Temp\OnboardLogs" /stypes="app*4044*20180108*"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129-08 --locoid 4044 --swversion DE.1.0.9.0 --startMP 204:482 --initTime 2018-01-08T07:13:29 --startdatetime 2018-01-08T07:15:17 --delay 47 --endMP 204:233351 --enddatetime 2018-01-08T07:50:48 --enforcementcount 0 &gt;&gt;%USERPROFILE%\Documents\GitHub\eaglep3-reporting\EC\2018-01-08-refined-times.txt</v>
      </c>
      <c r="AI4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{"issue":{"subject":"","project_id":79,"tracker_id":40,"status_id":1,"priority_id":2,"assigned_to_id":338,"start_date":"2018-01-08","description":"","custom_fields":[{"id":1,"name":"Subdivision","value":"EC"},{"id":4,"name":"Milepost","value":"23.3351"},{"id":17,"name":"Train ID","value":"129-08"},{"id":16,"name":"Locomotive ID","value":"4044"},{"id":130,"name":"Impact","value":""},{"id":150,"name":"Time of Event (Mountain Time)","value":"07:50:48"},{"id":151,"name":"Denver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4044 --day 2018-01-08</v>
      </c>
      <c r="AN4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2018-01-08T06:13:29-0700',mode:absolute,to:'2018-01-08T08:50:48-0700'))&amp;_a=(columns:!('Message%20ID',Summary),filters:!(),index:'emp_*',interval:auto,query:(query_string:(analyze_wildcard:!t,query:'%22rtdc.l.rtdc.4044%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706</v>
      </c>
      <c r="B42" s="225">
        <v>4043</v>
      </c>
      <c r="C42" s="227" t="s">
        <v>191</v>
      </c>
      <c r="D42" s="227" t="s">
        <v>880</v>
      </c>
      <c r="E42" s="226">
        <v>43108.340092592596</v>
      </c>
      <c r="F42" s="226">
        <v>43108.341898148145</v>
      </c>
      <c r="G42" s="225">
        <v>74</v>
      </c>
      <c r="H42" s="227" t="s">
        <v>584</v>
      </c>
      <c r="I42" s="226">
        <v>43108.366944444446</v>
      </c>
      <c r="J42" s="225">
        <v>0</v>
      </c>
      <c r="K42" s="237" t="str">
        <f t="shared" si="0"/>
        <v>4043/4044</v>
      </c>
      <c r="L42" s="245" t="str">
        <f>VLOOKUP(A42,'Trips&amp;Operators'!$C$1:$G$99911,5,FALSE)</f>
        <v>ROCHA YAOTL</v>
      </c>
      <c r="M42" s="224">
        <f t="shared" si="1"/>
        <v>2.5046296301297843E-2</v>
      </c>
      <c r="N42" s="225">
        <f t="shared" si="2"/>
        <v>36.066666673868895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2018-01-08T07:09:44-0700',mode:absolute,to:'2018-01-08T09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23.3049</v>
      </c>
      <c r="Z42" s="247">
        <f t="shared" si="8"/>
        <v>1.4500000000000001E-2</v>
      </c>
      <c r="AA42" s="247">
        <f t="shared" si="9"/>
        <v>23.290399999999998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42" s="234" t="str">
        <f t="shared" si="12"/>
        <v>"C:\Program Files (x86)\AstroGrep\AstroGrep.exe" /e /r /s /spath="%USERPROFILE%\AppData\Local\Temp\OnboardLogs" /stypes="app*4043*20180108*"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130-08 --locoid 4043 --swversion DE.1.0.9.0 --startMP 204:233049 --initTime 2018-01-08T08:09:44 --startdatetime 2018-01-08T08:12:20 --delay 74 --endMP 204:145 --enddatetime 2018-01-08T08:48:24 --enforcementcount 0 &gt;&gt;%USERPROFILE%\Documents\GitHub\eaglep3-reporting\EC\2018-01-08-refined-times.txt</v>
      </c>
      <c r="AI4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{"issue":{"subject":"","project_id":79,"tracker_id":40,"status_id":1,"priority_id":2,"assigned_to_id":338,"start_date":"2018-01-08","description":"","custom_fields":[{"id":1,"name":"Subdivision","value":"EC"},{"id":4,"name":"Milepost","value":"0.0145"},{"id":17,"name":"Train ID","value":"130-08"},{"id":16,"name":"Locomotive ID","value":"4043"},{"id":130,"name":"Impact","value":""},{"id":150,"name":"Time of Event (Mountain Time)","value":"08:48:24"},{"id":151,"name":"Denver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4043 --day 2018-01-08</v>
      </c>
      <c r="AN4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2018-01-08T07:09:44-0700',mode:absolute,to:'2018-01-08T09:48:24-0700'))&amp;_a=(columns:!('Message%20ID',Summary),filters:!(),index:'emp_*',interval:auto,query:(query_string:(analyze_wildcard:!t,query:'%22rtdc.l.rtdc.4043%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693</v>
      </c>
      <c r="B43" s="225">
        <v>4054</v>
      </c>
      <c r="C43" s="227" t="s">
        <v>191</v>
      </c>
      <c r="D43" s="227" t="s">
        <v>881</v>
      </c>
      <c r="E43" s="226">
        <v>43108.30605324074</v>
      </c>
      <c r="F43" s="226">
        <v>43108.312708333331</v>
      </c>
      <c r="G43" s="225">
        <v>62</v>
      </c>
      <c r="H43" s="227" t="s">
        <v>879</v>
      </c>
      <c r="I43" s="226">
        <v>43108.336574074077</v>
      </c>
      <c r="J43" s="225">
        <v>0</v>
      </c>
      <c r="K43" s="237" t="str">
        <f t="shared" si="0"/>
        <v>4053/4054</v>
      </c>
      <c r="L43" s="245" t="str">
        <f>VLOOKUP(A43,'Trips&amp;Operators'!$C$1:$G$99911,5,FALSE)</f>
        <v>ROMERO CHAD</v>
      </c>
      <c r="M43" s="224">
        <f t="shared" si="1"/>
        <v>2.3865740746259689E-2</v>
      </c>
      <c r="N43" s="225">
        <f t="shared" si="2"/>
        <v>34.366666674613953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2018-01-08T06:20:43-0700',mode:absolute,to:'2018-01-08T09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5.28E-2</v>
      </c>
      <c r="Z43" s="247">
        <f t="shared" si="8"/>
        <v>23.335100000000001</v>
      </c>
      <c r="AA43" s="247">
        <f t="shared" si="9"/>
        <v>23.282299999999999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43" s="234" t="str">
        <f t="shared" si="12"/>
        <v>"C:\Program Files (x86)\AstroGrep\AstroGrep.exe" /e /r /s /spath="%USERPROFILE%\AppData\Local\Temp\OnboardLogs" /stypes="app*4054*20180108*"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131-08 --locoid 4054 --swversion DE.1.0.9.0 --startMP 204:528 --initTime 2018-01-08T07:20:43 --startdatetime 2018-01-08T07:30:18 --delay 62 --endMP 204:233351 --enddatetime 2018-01-08T08:04:40 --enforcementcount 0 &gt;&gt;%USERPROFILE%\Documents\GitHub\eaglep3-reporting\EC\2018-01-08-refined-times.txt</v>
      </c>
      <c r="AI4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{"issue":{"subject":"","project_id":79,"tracker_id":40,"status_id":1,"priority_id":2,"assigned_to_id":338,"start_date":"2018-01-08","description":"","custom_fields":[{"id":1,"name":"Subdivision","value":"EC"},{"id":4,"name":"Milepost","value":"23.3351"},{"id":17,"name":"Train ID","value":"131-08"},{"id":16,"name":"Locomotive ID","value":"4054"},{"id":130,"name":"Impact","value":""},{"id":150,"name":"Time of Event (Mountain Time)","value":"08:04:40"},{"id":151,"name":"Denver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4054 --day 2018-01-08</v>
      </c>
      <c r="AN4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2018-01-08T06:20:43-0700',mode:absolute,to:'2018-01-08T09:04:40-0700'))&amp;_a=(columns:!('Message%20ID',Summary),filters:!(),index:'emp_*',interval:auto,query:(query_string:(analyze_wildcard:!t,query:'%22rtdc.l.rtdc.4054%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704</v>
      </c>
      <c r="B44" s="225">
        <v>4053</v>
      </c>
      <c r="C44" s="227" t="s">
        <v>191</v>
      </c>
      <c r="D44" s="227" t="s">
        <v>882</v>
      </c>
      <c r="E44" s="226">
        <v>43108.337708333333</v>
      </c>
      <c r="F44" s="226">
        <v>43108.35224537037</v>
      </c>
      <c r="G44" s="225">
        <v>55</v>
      </c>
      <c r="H44" s="227" t="s">
        <v>510</v>
      </c>
      <c r="I44" s="226">
        <v>43108.377581018518</v>
      </c>
      <c r="J44" s="225">
        <v>0</v>
      </c>
      <c r="K44" s="237" t="str">
        <f t="shared" si="0"/>
        <v>4053/4054</v>
      </c>
      <c r="L44" s="245" t="str">
        <f>VLOOKUP(A44,'Trips&amp;Operators'!$C$1:$G$99911,5,FALSE)</f>
        <v>ROMERO CHAD</v>
      </c>
      <c r="M44" s="224">
        <f t="shared" si="1"/>
        <v>2.5335648148029577E-2</v>
      </c>
      <c r="N44" s="225">
        <f t="shared" si="2"/>
        <v>36.483333333162591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2018-01-08T07:06:18-0700',mode:absolute,to:'2018-01-08T10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23.306899999999999</v>
      </c>
      <c r="Z44" s="247">
        <f t="shared" si="8"/>
        <v>1.8700000000000001E-2</v>
      </c>
      <c r="AA44" s="247">
        <f t="shared" si="9"/>
        <v>23.2882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44" s="234" t="str">
        <f t="shared" si="12"/>
        <v>"C:\Program Files (x86)\AstroGrep\AstroGrep.exe" /e /r /s /spath="%USERPROFILE%\AppData\Local\Temp\OnboardLogs" /stypes="app*4053*20180108*"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132-08 --locoid 4053 --swversion DE.1.0.9.0 --startMP 204:233069 --initTime 2018-01-08T08:06:18 --startdatetime 2018-01-08T08:27:14 --delay 55 --endMP 204:187 --enddatetime 2018-01-08T09:03:43 --enforcementcount 0 &gt;&gt;%USERPROFILE%\Documents\GitHub\eaglep3-reporting\EC\2018-01-08-refined-times.txt</v>
      </c>
      <c r="AI4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{"issue":{"subject":"","project_id":79,"tracker_id":40,"status_id":1,"priority_id":2,"assigned_to_id":338,"start_date":"2018-01-08","description":"","custom_fields":[{"id":1,"name":"Subdivision","value":"EC"},{"id":4,"name":"Milepost","value":"0.0187"},{"id":17,"name":"Train ID","value":"132-08"},{"id":16,"name":"Locomotive ID","value":"4053"},{"id":130,"name":"Impact","value":""},{"id":150,"name":"Time of Event (Mountain Time)","value":"09:03:43"},{"id":151,"name":"Denver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4053 --day 2018-01-08</v>
      </c>
      <c r="AN4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2018-01-08T07:06:18-0700',mode:absolute,to:'2018-01-08T10:03:43-0700'))&amp;_a=(columns:!('Message%20ID',Summary),filters:!(),index:'emp_*',interval:auto,query:(query_string:(analyze_wildcard:!t,query:'%22rtdc.l.rtdc.4053%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695</v>
      </c>
      <c r="B45" s="225">
        <v>4052</v>
      </c>
      <c r="C45" s="227" t="s">
        <v>191</v>
      </c>
      <c r="D45" s="227" t="s">
        <v>473</v>
      </c>
      <c r="E45" s="226">
        <v>43108.316643518519</v>
      </c>
      <c r="F45" s="226">
        <v>43108.32309027778</v>
      </c>
      <c r="G45" s="225">
        <v>53</v>
      </c>
      <c r="H45" s="227" t="s">
        <v>579</v>
      </c>
      <c r="I45" s="226">
        <v>43108.347453703704</v>
      </c>
      <c r="J45" s="225">
        <v>0</v>
      </c>
      <c r="K45" s="237" t="str">
        <f t="shared" si="0"/>
        <v>4051/4052</v>
      </c>
      <c r="L45" s="245" t="str">
        <f>VLOOKUP(A45,'Trips&amp;Operators'!$C$1:$G$99911,5,FALSE)</f>
        <v>BEAM ROSS</v>
      </c>
      <c r="M45" s="224">
        <f t="shared" si="1"/>
        <v>2.4363425924093463E-2</v>
      </c>
      <c r="N45" s="225">
        <f t="shared" ref="N45:N76" si="24">24*60*SUM($M45:$M45)</f>
        <v>35.083333330694586</v>
      </c>
      <c r="O45" s="225"/>
      <c r="P45" s="225"/>
      <c r="Q45" s="228"/>
      <c r="R45" s="242"/>
      <c r="S45" s="249">
        <f t="shared" ref="S45:S76" si="25">1/IF(AG45="EC",12,1)*SUM(U45:U45)</f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2018-01-08T06:35:58-0700',mode:absolute,to:'2018-01-08T09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247" t="str">
        <f>IF(AA45&lt;VLOOKUP(AG45,Variables!$AC$3:$AD$8,2,FALSE),"Y","N")</f>
        <v>N</v>
      </c>
      <c r="X45" s="247">
        <f t="shared" si="6"/>
        <v>1</v>
      </c>
      <c r="Y45" s="247">
        <f t="shared" ref="Y45:Y76" si="26">RIGHT(D45,LEN(D45)-4)/10000</f>
        <v>0.05</v>
      </c>
      <c r="Z45" s="247">
        <f t="shared" ref="Z45:Z76" si="27">RIGHT(H45,LEN(H45)-4)/10000</f>
        <v>23.33</v>
      </c>
      <c r="AA45" s="247">
        <f t="shared" si="9"/>
        <v>23.279999999999998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45" s="234" t="str">
        <f t="shared" si="12"/>
        <v>"C:\Program Files (x86)\AstroGrep\AstroGrep.exe" /e /r /s /spath="%USERPROFILE%\AppData\Local\Temp\OnboardLogs" /stypes="app*4052*20180108*"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133-08 --locoid 4052 --swversion DE.1.0.9.0 --startMP 204:500 --initTime 2018-01-08T07:35:58 --startdatetime 2018-01-08T07:45:15 --delay 53 --endMP 204:233300 --enddatetime 2018-01-08T08:20:20 --enforcementcount 0 &gt;&gt;%USERPROFILE%\Documents\GitHub\eaglep3-reporting\EC\2018-01-08-refined-times.txt</v>
      </c>
      <c r="AI4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{"issue":{"subject":"","project_id":79,"tracker_id":40,"status_id":1,"priority_id":2,"assigned_to_id":338,"start_date":"2018-01-08","description":"","custom_fields":[{"id":1,"name":"Subdivision","value":"EC"},{"id":4,"name":"Milepost","value":"23.33"},{"id":17,"name":"Train ID","value":"133-08"},{"id":16,"name":"Locomotive ID","value":"4052"},{"id":130,"name":"Impact","value":""},{"id":150,"name":"Time of Event (Mountain Time)","value":"08:20:20"},{"id":151,"name":"Denver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4052 --day 2018-01-08</v>
      </c>
      <c r="AN4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2018-01-08T06:35:58-0700',mode:absolute,to:'2018-01-08T09:20:20-0700'))&amp;_a=(columns:!('Message%20ID',Summary),filters:!(),index:'emp_*',interval:auto,query:(query_string:(analyze_wildcard:!t,query:'%22rtdc.l.rtdc.4052%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707</v>
      </c>
      <c r="B46" s="225">
        <v>4051</v>
      </c>
      <c r="C46" s="227" t="s">
        <v>191</v>
      </c>
      <c r="D46" s="227" t="s">
        <v>883</v>
      </c>
      <c r="E46" s="226">
        <v>43108.350069444445</v>
      </c>
      <c r="F46" s="226">
        <v>43108.362673611111</v>
      </c>
      <c r="G46" s="225">
        <v>46</v>
      </c>
      <c r="H46" s="227" t="s">
        <v>472</v>
      </c>
      <c r="I46" s="226">
        <v>43108.388009259259</v>
      </c>
      <c r="J46" s="225">
        <v>0</v>
      </c>
      <c r="K46" s="237" t="str">
        <f t="shared" si="0"/>
        <v>4051/4052</v>
      </c>
      <c r="L46" s="245" t="str">
        <f>VLOOKUP(A46,'Trips&amp;Operators'!$C$1:$G$99911,5,FALSE)</f>
        <v>BEAM ROSS</v>
      </c>
      <c r="M46" s="224">
        <f t="shared" si="1"/>
        <v>2.5335648148029577E-2</v>
      </c>
      <c r="N46" s="225">
        <f t="shared" si="24"/>
        <v>36.483333333162591</v>
      </c>
      <c r="O46" s="225"/>
      <c r="P46" s="225"/>
      <c r="Q46" s="228"/>
      <c r="R46" s="242"/>
      <c r="S46" s="249">
        <f t="shared" si="25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2018-01-08T07:24:06-0700',mode:absolute,to:'2018-01-08T10:18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6" s="247" t="str">
        <f>IF(AA46&lt;VLOOKUP(AG46,Variables!$AC$3:$AD$8,2,FALSE),"Y","N")</f>
        <v>N</v>
      </c>
      <c r="X46" s="247">
        <f t="shared" si="6"/>
        <v>1</v>
      </c>
      <c r="Y46" s="247">
        <f t="shared" si="26"/>
        <v>23.298500000000001</v>
      </c>
      <c r="Z46" s="247">
        <f t="shared" si="27"/>
        <v>2.1399999999999999E-2</v>
      </c>
      <c r="AA46" s="247">
        <f t="shared" si="9"/>
        <v>23.277100000000001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46" s="234" t="str">
        <f t="shared" si="12"/>
        <v>"C:\Program Files (x86)\AstroGrep\AstroGrep.exe" /e /r /s /spath="%USERPROFILE%\AppData\Local\Temp\OnboardLogs" /stypes="app*4051*20180108*"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134-08 --locoid 4051 --swversion DE.1.0.9.0 --startMP 204:232985 --initTime 2018-01-08T08:24:06 --startdatetime 2018-01-08T08:42:15 --delay 46 --endMP 204:214 --enddatetime 2018-01-08T09:18:44 --enforcementcount 0 &gt;&gt;%USERPROFILE%\Documents\GitHub\eaglep3-reporting\EC\2018-01-08-refined-times.txt</v>
      </c>
      <c r="AI4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ID","value":"134-08"},{"id":16,"name":"Locomotive ID","value":"4051"},{"id":130,"name":"Impact","value":""},{"id":150,"name":"Time of Event (Mountain Time)","value":"09:18:44"},{"id":151,"name":"Denver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4051 --day 2018-01-08</v>
      </c>
      <c r="AN4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2018-01-08T07:24:06-0700',mode:absolute,to:'2018-01-08T10:18:44-0700'))&amp;_a=(columns:!('Message%20ID',Summary),filters:!(),index:'emp_*',interval:auto,query:(query_string:(analyze_wildcard:!t,query:'%22rtdc.l.rtdc.4051%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701</v>
      </c>
      <c r="B47" s="225">
        <v>4018</v>
      </c>
      <c r="C47" s="227" t="s">
        <v>191</v>
      </c>
      <c r="D47" s="227" t="s">
        <v>884</v>
      </c>
      <c r="E47" s="226">
        <v>43108.328460648147</v>
      </c>
      <c r="F47" s="226">
        <v>43108.333506944444</v>
      </c>
      <c r="G47" s="225">
        <v>88</v>
      </c>
      <c r="H47" s="227" t="s">
        <v>498</v>
      </c>
      <c r="I47" s="226">
        <v>43108.357210648152</v>
      </c>
      <c r="J47" s="225">
        <v>0</v>
      </c>
      <c r="K47" s="237" t="str">
        <f t="shared" si="0"/>
        <v>4017/4018</v>
      </c>
      <c r="L47" s="245" t="str">
        <f>VLOOKUP(A47,'Trips&amp;Operators'!$C$1:$G$99911,5,FALSE)</f>
        <v>DELGADO DIANAH</v>
      </c>
      <c r="M47" s="224">
        <f t="shared" si="1"/>
        <v>2.3703703707724344E-2</v>
      </c>
      <c r="N47" s="225">
        <f t="shared" si="24"/>
        <v>34.133333339123055</v>
      </c>
      <c r="O47" s="225"/>
      <c r="P47" s="225"/>
      <c r="Q47" s="228"/>
      <c r="R47" s="242"/>
      <c r="S47" s="249">
        <f t="shared" si="25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2018-01-08T06:52:59-0700',mode:absolute,to:'2018-01-08T09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247" t="str">
        <f>IF(AA47&lt;VLOOKUP(AG47,Variables!$AC$3:$AD$8,2,FALSE),"Y","N")</f>
        <v>N</v>
      </c>
      <c r="X47" s="247">
        <f t="shared" si="6"/>
        <v>1</v>
      </c>
      <c r="Y47" s="247">
        <f t="shared" si="26"/>
        <v>4.5100000000000001E-2</v>
      </c>
      <c r="Z47" s="247">
        <f t="shared" si="27"/>
        <v>23.328600000000002</v>
      </c>
      <c r="AA47" s="247">
        <f t="shared" si="9"/>
        <v>23.2835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47" s="234" t="str">
        <f t="shared" si="12"/>
        <v>"C:\Program Files (x86)\AstroGrep\AstroGrep.exe" /e /r /s /spath="%USERPROFILE%\AppData\Local\Temp\OnboardLogs" /stypes="app*4018*20180108*"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135-08 --locoid 4018 --swversion DE.1.0.9.0 --startMP 204:451 --initTime 2018-01-08T07:52:59 --startdatetime 2018-01-08T08:00:15 --delay 88 --endMP 204:233286 --enddatetime 2018-01-08T08:34:23 --enforcementcount 0 &gt;&gt;%USERPROFILE%\Documents\GitHub\eaglep3-reporting\EC\2018-01-08-refined-times.txt</v>
      </c>
      <c r="AI4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{"issue":{"subject":"","project_id":79,"tracker_id":40,"status_id":1,"priority_id":2,"assigned_to_id":338,"start_date":"2018-01-08","description":"","custom_fields":[{"id":1,"name":"Subdivision","value":"EC"},{"id":4,"name":"Milepost","value":"23.3286"},{"id":17,"name":"Train ID","value":"135-08"},{"id":16,"name":"Locomotive ID","value":"4018"},{"id":130,"name":"Impact","value":""},{"id":150,"name":"Time of Event (Mountain Time)","value":"08:34:23"},{"id":151,"name":"Denver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4018 --day 2018-01-08</v>
      </c>
      <c r="AN4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2018-01-08T06:52:59-0700',mode:absolute,to:'2018-01-08T09:34:23-0700'))&amp;_a=(columns:!('Message%20ID',Summary),filters:!(),index:'emp_*',interval:auto,query:(query_string:(analyze_wildcard:!t,query:'%22rtdc.l.rtdc.4018%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711</v>
      </c>
      <c r="B48" s="225">
        <v>4017</v>
      </c>
      <c r="C48" s="227" t="s">
        <v>191</v>
      </c>
      <c r="D48" s="227" t="s">
        <v>582</v>
      </c>
      <c r="E48" s="226">
        <v>43108.367349537039</v>
      </c>
      <c r="F48" s="226">
        <v>43108.373101851852</v>
      </c>
      <c r="G48" s="225">
        <v>66</v>
      </c>
      <c r="H48" s="227" t="s">
        <v>592</v>
      </c>
      <c r="I48" s="226">
        <v>43108.399004629631</v>
      </c>
      <c r="J48" s="225">
        <v>0</v>
      </c>
      <c r="K48" s="237" t="str">
        <f t="shared" si="0"/>
        <v>4017/4018</v>
      </c>
      <c r="L48" s="245" t="str">
        <f>VLOOKUP(A48,'Trips&amp;Operators'!$C$1:$G$99911,5,FALSE)</f>
        <v>DELGADO DIANAH</v>
      </c>
      <c r="M48" s="224">
        <f t="shared" si="1"/>
        <v>2.5902777779265307E-2</v>
      </c>
      <c r="N48" s="225">
        <f t="shared" si="24"/>
        <v>37.300000002142042</v>
      </c>
      <c r="O48" s="225"/>
      <c r="P48" s="225"/>
      <c r="Q48" s="228"/>
      <c r="R48" s="242"/>
      <c r="S48" s="249">
        <f t="shared" si="25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2018-01-08T07:48:59-0700',mode:absolute,to:'2018-01-08T10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247" t="str">
        <f>IF(AA48&lt;VLOOKUP(AG48,Variables!$AC$3:$AD$8,2,FALSE),"Y","N")</f>
        <v>N</v>
      </c>
      <c r="X48" s="247">
        <f t="shared" si="6"/>
        <v>1</v>
      </c>
      <c r="Y48" s="247">
        <f t="shared" si="26"/>
        <v>23.2971</v>
      </c>
      <c r="Z48" s="247">
        <f t="shared" si="27"/>
        <v>1.5800000000000002E-2</v>
      </c>
      <c r="AA48" s="247">
        <f t="shared" si="9"/>
        <v>23.281300000000002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48" s="234" t="str">
        <f t="shared" si="12"/>
        <v>"C:\Program Files (x86)\AstroGrep\AstroGrep.exe" /e /r /s /spath="%USERPROFILE%\AppData\Local\Temp\OnboardLogs" /stypes="app*4017*20180108*"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136-08 --locoid 4017 --swversion DE.1.0.9.0 --startMP 204:232971 --initTime 2018-01-08T08:48:59 --startdatetime 2018-01-08T08:57:16 --delay 66 --endMP 204:158 --enddatetime 2018-01-08T09:34:34 --enforcementcount 0 &gt;&gt;%USERPROFILE%\Documents\GitHub\eaglep3-reporting\EC\2018-01-08-refined-times.txt</v>
      </c>
      <c r="AI4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{"issue":{"subject":"","project_id":79,"tracker_id":40,"status_id":1,"priority_id":2,"assigned_to_id":338,"start_date":"2018-01-08","description":"","custom_fields":[{"id":1,"name":"Subdivision","value":"EC"},{"id":4,"name":"Milepost","value":"0.0158"},{"id":17,"name":"Train ID","value":"136-08"},{"id":16,"name":"Locomotive ID","value":"4017"},{"id":130,"name":"Impact","value":""},{"id":150,"name":"Time of Event (Mountain Time)","value":"09:34:34"},{"id":151,"name":"Denver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4017 --day 2018-01-08</v>
      </c>
      <c r="AN4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2018-01-08T07:48:59-0700',mode:absolute,to:'2018-01-08T10:34:34-0700'))&amp;_a=(columns:!('Message%20ID',Summary),filters:!(),index:'emp_*',interval:auto,query:(query_string:(analyze_wildcard:!t,query:'%22rtdc.l.rtdc.4017%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705</v>
      </c>
      <c r="B49" s="225">
        <v>4034</v>
      </c>
      <c r="C49" s="227" t="s">
        <v>191</v>
      </c>
      <c r="D49" s="227" t="s">
        <v>547</v>
      </c>
      <c r="E49" s="226">
        <v>43108.339155092595</v>
      </c>
      <c r="F49" s="226">
        <v>43108.343981481485</v>
      </c>
      <c r="G49" s="225">
        <v>47</v>
      </c>
      <c r="H49" s="227" t="s">
        <v>885</v>
      </c>
      <c r="I49" s="226">
        <v>43108.368796296294</v>
      </c>
      <c r="J49" s="225">
        <v>0</v>
      </c>
      <c r="K49" s="237" t="str">
        <f t="shared" si="0"/>
        <v>4033/4034</v>
      </c>
      <c r="L49" s="245" t="str">
        <f>VLOOKUP(A49,'Trips&amp;Operators'!$C$1:$G$99911,5,FALSE)</f>
        <v>MAELZER KURT</v>
      </c>
      <c r="M49" s="224">
        <f t="shared" si="1"/>
        <v>2.4814814809360541E-2</v>
      </c>
      <c r="N49" s="225">
        <f t="shared" si="24"/>
        <v>35.73333332547918</v>
      </c>
      <c r="O49" s="225"/>
      <c r="P49" s="225"/>
      <c r="Q49" s="228"/>
      <c r="R49" s="242"/>
      <c r="S49" s="249">
        <f t="shared" si="25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2018-01-08T07:08:23-0700',mode:absolute,to:'2018-01-08T09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247" t="str">
        <f>IF(AA49&lt;VLOOKUP(AG49,Variables!$AC$3:$AD$8,2,FALSE),"Y","N")</f>
        <v>N</v>
      </c>
      <c r="X49" s="247">
        <f t="shared" si="6"/>
        <v>1</v>
      </c>
      <c r="Y49" s="247">
        <f t="shared" si="26"/>
        <v>4.7100000000000003E-2</v>
      </c>
      <c r="Z49" s="247">
        <f t="shared" si="27"/>
        <v>23.331499999999998</v>
      </c>
      <c r="AA49" s="247">
        <f t="shared" si="9"/>
        <v>23.284399999999998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49" s="234" t="str">
        <f t="shared" si="12"/>
        <v>"C:\Program Files (x86)\AstroGrep\AstroGrep.exe" /e /r /s /spath="%USERPROFILE%\AppData\Local\Temp\OnboardLogs" /stypes="app*4034*20180108*"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137-08 --locoid 4034 --swversion DE.1.0.9.0 --startMP 204:471 --initTime 2018-01-08T08:08:23 --startdatetime 2018-01-08T08:15:20 --delay 47 --endMP 204:233315 --enddatetime 2018-01-08T08:51:04 --enforcementcount 0 &gt;&gt;%USERPROFILE%\Documents\GitHub\eaglep3-reporting\EC\2018-01-08-refined-times.txt</v>
      </c>
      <c r="AI4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{"issue":{"subject":"","project_id":79,"tracker_id":40,"status_id":1,"priority_id":2,"assigned_to_id":338,"start_date":"2018-01-08","description":"","custom_fields":[{"id":1,"name":"Subdivision","value":"EC"},{"id":4,"name":"Milepost","value":"23.3315"},{"id":17,"name":"Train ID","value":"137-08"},{"id":16,"name":"Locomotive ID","value":"4034"},{"id":130,"name":"Impact","value":""},{"id":150,"name":"Time of Event (Mountain Time)","value":"08:51:04"},{"id":151,"name":"Denver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4034 --day 2018-01-08</v>
      </c>
      <c r="AN4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2018-01-08T07:08:23-0700',mode:absolute,to:'2018-01-08T09:51:04-0700'))&amp;_a=(columns:!('Message%20ID',Summary),filters:!(),index:'emp_*',interval:auto,query:(query_string:(analyze_wildcard:!t,query:'%22rtdc.l.rtdc.4034%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714</v>
      </c>
      <c r="B50" s="225">
        <v>4033</v>
      </c>
      <c r="C50" s="227" t="s">
        <v>191</v>
      </c>
      <c r="D50" s="227" t="s">
        <v>883</v>
      </c>
      <c r="E50" s="226">
        <v>43108.373877314814</v>
      </c>
      <c r="F50" s="226">
        <v>43108.383553240739</v>
      </c>
      <c r="G50" s="225">
        <v>51</v>
      </c>
      <c r="H50" s="227" t="s">
        <v>874</v>
      </c>
      <c r="I50" s="226">
        <v>43108.411643518521</v>
      </c>
      <c r="J50" s="225">
        <v>0</v>
      </c>
      <c r="K50" s="237" t="str">
        <f t="shared" si="0"/>
        <v>4033/4034</v>
      </c>
      <c r="L50" s="245" t="str">
        <f>VLOOKUP(A50,'Trips&amp;Operators'!$C$1:$G$99911,5,FALSE)</f>
        <v>MAELZER KURT</v>
      </c>
      <c r="M50" s="224">
        <f t="shared" si="1"/>
        <v>2.8090277781302575E-2</v>
      </c>
      <c r="N50" s="225">
        <f t="shared" si="24"/>
        <v>40.450000005075708</v>
      </c>
      <c r="O50" s="225"/>
      <c r="P50" s="225"/>
      <c r="Q50" s="228"/>
      <c r="R50" s="242" t="s">
        <v>1087</v>
      </c>
      <c r="S50" s="249">
        <f t="shared" si="25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2018-01-08T07:58:23-0700',mode:absolute,to:'2018-01-08T10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0" s="247" t="str">
        <f>IF(AA50&lt;VLOOKUP(AG50,Variables!$AC$3:$AD$8,2,FALSE),"Y","N")</f>
        <v>N</v>
      </c>
      <c r="X50" s="247">
        <f t="shared" si="6"/>
        <v>1</v>
      </c>
      <c r="Y50" s="247">
        <f t="shared" si="26"/>
        <v>23.298500000000001</v>
      </c>
      <c r="Z50" s="247">
        <f t="shared" si="27"/>
        <v>1.7600000000000001E-2</v>
      </c>
      <c r="AA50" s="247">
        <f t="shared" si="9"/>
        <v>23.280899999999999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50" s="234" t="str">
        <f t="shared" si="12"/>
        <v>"C:\Program Files (x86)\AstroGrep\AstroGrep.exe" /e /r /s /spath="%USERPROFILE%\AppData\Local\Temp\OnboardLogs" /stypes="app*4033*20180108*"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138-08 --locoid 4033 --swversion DE.1.0.9.0 --startMP 204:232985 --initTime 2018-01-08T08:58:23 --startdatetime 2018-01-08T09:12:19 --delay 51 --endMP 204:176 --enddatetime 2018-01-08T09:52:46 --enforcementcount 0 &gt;&gt;%USERPROFILE%\Documents\GitHub\eaglep3-reporting\EC\2018-01-08-refined-times.txt</v>
      </c>
      <c r="AI50" s="238" t="str">
        <f t="shared" si="20"/>
        <v>echo {"issue":{"subject":"Operator observed signal status unknown due to minor onboard en route failure","project_id":79,"tracker_id":40,"status_id":1,"priority_id":2,"assigned_to_id":338,"start_date":"2018-01-08","description":"","custom_fields":[{"id":1,"name":"Subdivision","value":"EC"},{"id":4,"name":"Milepost","value":"0.0176"},{"id":17,"name":"Train ID","value":"138-08"},{"id":16,"name":"Locomotive ID","value":"4033"},{"id":130,"name":"Impact","value":""},{"id":150,"name":"Time of Event (Mountain Time)","value":"09:52:46"},{"id":151,"name":"Denver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4033 --day 2018-01-08</v>
      </c>
      <c r="AN50" s="241" t="str">
        <f t="shared" si="22"/>
        <v>echo {"issue":{"subject":"Operator observed signal status unknown due to minor onboard en route failure","project_id":30,"tracker_id":4,"status_id":1,"priority_id":1,"assigned_to_id":10,"start_date":"2018-01-08","description":"","custom_fields":[{"id":30,"name":"Category","value":"Issue"},{"id":3,"name":"Functional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2018-01-08T07:58:23-0700',mode:absolute,to:'2018-01-08T10:52:46-0700'))&amp;_a=(columns:!('Message%20ID',Summary),filters:!(),index:'emp_*',interval:auto,query:(query_string:(analyze_wildcard:!t,query:'%22rtdc.l.rtdc.4033%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624</v>
      </c>
      <c r="B51" s="225">
        <v>4060</v>
      </c>
      <c r="C51" s="227" t="s">
        <v>191</v>
      </c>
      <c r="D51" s="227" t="s">
        <v>483</v>
      </c>
      <c r="E51" s="226">
        <v>43108.352372685185</v>
      </c>
      <c r="F51" s="226">
        <v>43108.354560185187</v>
      </c>
      <c r="G51" s="225">
        <v>62</v>
      </c>
      <c r="H51" s="227" t="s">
        <v>886</v>
      </c>
      <c r="I51" s="226">
        <v>43108.380555555559</v>
      </c>
      <c r="J51" s="225">
        <v>0</v>
      </c>
      <c r="K51" s="237" t="str">
        <f t="shared" si="0"/>
        <v>4059/4060</v>
      </c>
      <c r="L51" s="245" t="str">
        <f>VLOOKUP(A51,'Trips&amp;Operators'!$C$1:$G$99911,5,FALSE)</f>
        <v>THOMPSON LESTER</v>
      </c>
      <c r="M51" s="224">
        <f t="shared" si="1"/>
        <v>2.5995370371674653E-2</v>
      </c>
      <c r="N51" s="225">
        <f t="shared" si="24"/>
        <v>37.433333335211501</v>
      </c>
      <c r="O51" s="225"/>
      <c r="P51" s="225"/>
      <c r="Q51" s="228"/>
      <c r="R51" s="242" t="s">
        <v>1086</v>
      </c>
      <c r="S51" s="249">
        <f t="shared" si="25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2018-01-08T07:27:25-0700',mode:absolute,to:'2018-01-08T10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47" t="str">
        <f>IF(AA51&lt;VLOOKUP(AG51,Variables!$AC$3:$AD$8,2,FALSE),"Y","N")</f>
        <v>N</v>
      </c>
      <c r="X51" s="247">
        <f t="shared" si="6"/>
        <v>1</v>
      </c>
      <c r="Y51" s="247">
        <f t="shared" si="26"/>
        <v>4.6899999999999997E-2</v>
      </c>
      <c r="Z51" s="247">
        <f t="shared" si="27"/>
        <v>23.3263</v>
      </c>
      <c r="AA51" s="247">
        <f t="shared" si="9"/>
        <v>23.279399999999999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51" s="234" t="str">
        <f t="shared" si="12"/>
        <v>"C:\Program Files (x86)\AstroGrep\AstroGrep.exe" /e /r /s /spath="%USERPROFILE%\AppData\Local\Temp\OnboardLogs" /stypes="app*4060*20180108*"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139-08 --locoid 4060 --swversion DE.1.0.9.0 --startMP 204:469 --initTime 2018-01-08T08:27:25 --startdatetime 2018-01-08T08:30:34 --delay 62 --endMP 204:233263 --enddatetime 2018-01-08T09:08:00 --enforcementcount 0 &gt;&gt;%USERPROFILE%\Documents\GitHub\eaglep3-reporting\EC\2018-01-08-refined-times.txt</v>
      </c>
      <c r="AI51" s="238" t="str">
        <f t="shared" si="20"/>
        <v>echo {"issue":{"subject":"Operator observed unhealthy xing banners for Ulster and Havana due to Wi-MAX data drop","project_id":79,"tracker_id":40,"status_id":1,"priority_id":2,"assigned_to_id":338,"start_date":"2018-01-08","description":"","custom_fields":[{"id":1,"name":"Subdivision","value":"EC"},{"id":4,"name":"Milepost","value":"23.3263"},{"id":17,"name":"Train ID","value":"139-08"},{"id":16,"name":"Locomotive ID","value":"4060"},{"id":130,"name":"Impact","value":""},{"id":150,"name":"Time of Event (Mountain Time)","value":"09:08:00"},{"id":151,"name":"Denver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4060 --day 2018-01-08</v>
      </c>
      <c r="AN51" s="241" t="str">
        <f t="shared" si="22"/>
        <v>echo {"issue":{"subject":"Operator observed unhealthy xing banners for Ulster and Havana due to Wi-MAX data drop","project_id":30,"tracker_id":4,"status_id":1,"priority_id":1,"assigned_to_id":10,"start_date":"2018-01-08","description":"","custom_fields":[{"id":30,"name":"Category","value":"Issue"},{"id":3,"name":"Functional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2018-01-08T07:27:25-0700',mode:absolute,to:'2018-01-08T10:08:00-0700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718</v>
      </c>
      <c r="B52" s="225">
        <v>4059</v>
      </c>
      <c r="C52" s="227" t="s">
        <v>191</v>
      </c>
      <c r="D52" s="227" t="s">
        <v>887</v>
      </c>
      <c r="E52" s="226">
        <v>43108.392847222225</v>
      </c>
      <c r="F52" s="226">
        <v>43108.394282407404</v>
      </c>
      <c r="G52" s="225">
        <v>51</v>
      </c>
      <c r="H52" s="227" t="s">
        <v>493</v>
      </c>
      <c r="I52" s="226">
        <v>43108.420972222222</v>
      </c>
      <c r="J52" s="225">
        <v>0</v>
      </c>
      <c r="K52" s="237" t="str">
        <f t="shared" si="0"/>
        <v>4059/4060</v>
      </c>
      <c r="L52" s="245" t="str">
        <f>VLOOKUP(A52,'Trips&amp;Operators'!$C$1:$G$99911,5,FALSE)</f>
        <v>THOMPSON LESTER</v>
      </c>
      <c r="M52" s="224">
        <f t="shared" si="1"/>
        <v>2.6689814818382729E-2</v>
      </c>
      <c r="N52" s="225">
        <f t="shared" si="24"/>
        <v>38.43333333847113</v>
      </c>
      <c r="O52" s="225"/>
      <c r="P52" s="225"/>
      <c r="Q52" s="228"/>
      <c r="R52" s="242"/>
      <c r="S52" s="249">
        <f t="shared" si="25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2018-01-08T08:25:42-0700',mode:absolute,to:'2018-01-08T11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47" t="str">
        <f>IF(AA52&lt;VLOOKUP(AG52,Variables!$AC$3:$AD$8,2,FALSE),"Y","N")</f>
        <v>N</v>
      </c>
      <c r="X52" s="247">
        <f t="shared" si="6"/>
        <v>1</v>
      </c>
      <c r="Y52" s="247">
        <f t="shared" si="26"/>
        <v>23.295200000000001</v>
      </c>
      <c r="Z52" s="247">
        <f t="shared" si="27"/>
        <v>1.52E-2</v>
      </c>
      <c r="AA52" s="247">
        <f t="shared" si="9"/>
        <v>23.28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52" s="234" t="str">
        <f t="shared" si="12"/>
        <v>"C:\Program Files (x86)\AstroGrep\AstroGrep.exe" /e /r /s /spath="%USERPROFILE%\AppData\Local\Temp\OnboardLogs" /stypes="app*4059*20180108*"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140-08 --locoid 4059 --swversion DE.1.0.9.0 --startMP 204:232952 --initTime 2018-01-08T09:25:42 --startdatetime 2018-01-08T09:27:46 --delay 51 --endMP 204:152 --enddatetime 2018-01-08T10:06:12 --enforcementcount 0 &gt;&gt;%USERPROFILE%\Documents\GitHub\eaglep3-reporting\EC\2018-01-08-refined-times.txt</v>
      </c>
      <c r="AI5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{"issue":{"subject":"","project_id":79,"tracker_id":40,"status_id":1,"priority_id":2,"assigned_to_id":338,"start_date":"2018-01-08","description":"","custom_fields":[{"id":1,"name":"Subdivision","value":"EC"},{"id":4,"name":"Milepost","value":"0.0152"},{"id":17,"name":"Train ID","value":"140-08"},{"id":16,"name":"Locomotive ID","value":"4059"},{"id":130,"name":"Impact","value":""},{"id":150,"name":"Time of Event (Mountain Time)","value":"10:06:12"},{"id":151,"name":"Denver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4059 --day 2018-01-08</v>
      </c>
      <c r="AN5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2018-01-08T08:25:42-0700',mode:absolute,to:'2018-01-08T11:06:12-0700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710</v>
      </c>
      <c r="B53" s="225">
        <v>4012</v>
      </c>
      <c r="C53" s="227" t="s">
        <v>191</v>
      </c>
      <c r="D53" s="227" t="s">
        <v>888</v>
      </c>
      <c r="E53" s="226">
        <v>43108.360648148147</v>
      </c>
      <c r="F53" s="226">
        <v>43108.364884259259</v>
      </c>
      <c r="G53" s="225">
        <v>64</v>
      </c>
      <c r="H53" s="227" t="s">
        <v>889</v>
      </c>
      <c r="I53" s="226">
        <v>43108.389745370368</v>
      </c>
      <c r="J53" s="225">
        <v>0</v>
      </c>
      <c r="K53" s="237" t="str">
        <f t="shared" si="0"/>
        <v>4011/4012</v>
      </c>
      <c r="L53" s="245" t="str">
        <f>VLOOKUP(A53,'Trips&amp;Operators'!$C$1:$G$99911,5,FALSE)</f>
        <v>DAVIDSON DAVID</v>
      </c>
      <c r="M53" s="224">
        <f t="shared" si="1"/>
        <v>2.4861111109203193E-2</v>
      </c>
      <c r="N53" s="225">
        <f t="shared" si="24"/>
        <v>35.799999997252598</v>
      </c>
      <c r="O53" s="225"/>
      <c r="P53" s="225"/>
      <c r="Q53" s="228"/>
      <c r="R53" s="242"/>
      <c r="S53" s="249">
        <f t="shared" si="25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2018-01-08T07:39:20-0700',mode:absolute,to:'2018-01-08T10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247" t="str">
        <f>IF(AA53&lt;VLOOKUP(AG53,Variables!$AC$3:$AD$8,2,FALSE),"Y","N")</f>
        <v>N</v>
      </c>
      <c r="X53" s="247">
        <f t="shared" si="6"/>
        <v>1</v>
      </c>
      <c r="Y53" s="247">
        <f t="shared" si="26"/>
        <v>5.1999999999999998E-2</v>
      </c>
      <c r="Z53" s="247">
        <f t="shared" si="27"/>
        <v>23.3276</v>
      </c>
      <c r="AA53" s="247">
        <f t="shared" si="9"/>
        <v>23.275600000000001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 &amp; aws s3 cp s3://rtdc.mdm.uploadarchive.raw/RTDC4012/ "%USERPROFILE%\AppData\Local\Temp\OnboardLogs"\RTDC4012\2018-01-09 --exclude "*" --recursive --include "*20180109*" &amp; "%USERPROFILE%\Documents\GitHub\mrs-test-scripts\Headless Mode &amp; Sideloading\WalkAndUnGZ.bat" "%USERPROFILE%\AppData\Local\Temp\OnboardLogs"\RTDC4012\2018-01-09</v>
      </c>
      <c r="AF53" s="234" t="str">
        <f t="shared" si="12"/>
        <v>"C:\Program Files (x86)\AstroGrep\AstroGrep.exe" /e /r /s /spath="%USERPROFILE%\AppData\Local\Temp\OnboardLogs" /stypes="app*4012*20180108*"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141-08 --locoid 4012 --swversion DE.1.0.9.0 --startMP 204:520 --initTime 2018-01-08T08:39:20 --startdatetime 2018-01-08T08:45:26 --delay 64 --endMP 204:233276 --enddatetime 2018-01-08T09:21:14 --enforcementcount 0 &gt;&gt;%USERPROFILE%\Documents\GitHub\eaglep3-reporting\EC\2018-01-08-refined-times.txt</v>
      </c>
      <c r="AI5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{"issue":{"subject":"","project_id":79,"tracker_id":40,"status_id":1,"priority_id":2,"assigned_to_id":338,"start_date":"2018-01-08","description":"","custom_fields":[{"id":1,"name":"Subdivision","value":"EC"},{"id":4,"name":"Milepost","value":"23.3276"},{"id":17,"name":"Train ID","value":"141-08"},{"id":16,"name":"Locomotive ID","value":"4012"},{"id":130,"name":"Impact","value":""},{"id":150,"name":"Time of Event (Mountain Time)","value":"09:21:14"},{"id":151,"name":"Denver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4012 --day 2018-01-08</v>
      </c>
      <c r="AN5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2018-01-08T07:39:20-0700',mode:absolute,to:'2018-01-08T10:21:14-0700'))&amp;_a=(columns:!('Message%20ID',Summary),filters:!(),index:'emp_*',interval:auto,query:(query_string:(analyze_wildcard:!t,query:'%22rtdc.l.rtdc.4012%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716</v>
      </c>
      <c r="B54" s="225">
        <v>4011</v>
      </c>
      <c r="C54" s="227" t="s">
        <v>191</v>
      </c>
      <c r="D54" s="227" t="s">
        <v>890</v>
      </c>
      <c r="E54" s="226">
        <v>43108.39099537037</v>
      </c>
      <c r="F54" s="226">
        <v>43108.404409722221</v>
      </c>
      <c r="G54" s="225">
        <v>60</v>
      </c>
      <c r="H54" s="227" t="s">
        <v>891</v>
      </c>
      <c r="I54" s="226">
        <v>43108.431493055556</v>
      </c>
      <c r="J54" s="225">
        <v>0</v>
      </c>
      <c r="K54" s="237" t="str">
        <f t="shared" si="0"/>
        <v>4011/4012</v>
      </c>
      <c r="L54" s="245" t="str">
        <f>VLOOKUP(A54,'Trips&amp;Operators'!$C$1:$G$99911,5,FALSE)</f>
        <v>DAVIDSON DAVID</v>
      </c>
      <c r="M54" s="224">
        <f t="shared" si="1"/>
        <v>2.7083333334303461E-2</v>
      </c>
      <c r="N54" s="225">
        <f t="shared" si="24"/>
        <v>39.000000001396984</v>
      </c>
      <c r="O54" s="225"/>
      <c r="P54" s="225"/>
      <c r="Q54" s="228"/>
      <c r="R54" s="242"/>
      <c r="S54" s="249">
        <f t="shared" si="25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2018-01-08T08:23:02-0700',mode:absolute,to:'2018-01-08T11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247" t="str">
        <f>IF(AA54&lt;VLOOKUP(AG54,Variables!$AC$3:$AD$8,2,FALSE),"Y","N")</f>
        <v>N</v>
      </c>
      <c r="X54" s="247">
        <f t="shared" si="6"/>
        <v>1</v>
      </c>
      <c r="Y54" s="247">
        <f t="shared" si="26"/>
        <v>23.295500000000001</v>
      </c>
      <c r="Z54" s="247">
        <f t="shared" si="27"/>
        <v>0.1171</v>
      </c>
      <c r="AA54" s="247">
        <f t="shared" si="9"/>
        <v>23.1784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s3://rtdc.mdm.uploadarchive.raw/RTDC4011/ "%USERPROFILE%\AppData\Local\Temp\OnboardLogs"\RTDC4011\2018-01-08 --exclude "*" --recursive --include "*20180108*" &amp; "%USERPROFILE%\Documents\GitHub\mrs-test-scripts\Headless Mode &amp; Sideloading\WalkAndUnGZ.bat" "%USERPROFILE%\AppData\Local\Temp\OnboardLogs"\RTDC4011\2018-01-08 &amp; aws s3 cp s3://rtdc.mdm.uploadarchive.raw/RTDC4011/ "%USERPROFILE%\AppData\Local\Temp\OnboardLogs"\RTDC4011\2018-01-09 --exclude "*" --recursive --include "*20180109*" &amp; "%USERPROFILE%\Documents\GitHub\mrs-test-scripts\Headless Mode &amp; Sideloading\WalkAndUnGZ.bat" "%USERPROFILE%\AppData\Local\Temp\OnboardLogs"\RTDC4011\2018-01-09</v>
      </c>
      <c r="AF54" s="234" t="str">
        <f t="shared" si="12"/>
        <v>"C:\Program Files (x86)\AstroGrep\AstroGrep.exe" /e /r /s /spath="%USERPROFILE%\AppData\Local\Temp\OnboardLogs" /stypes="app*4011*20180108*"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142-08 --locoid 4011 --swversion DE.1.0.9.0 --startMP 204:232955 --initTime 2018-01-08T09:23:02 --startdatetime 2018-01-08T09:42:21 --delay 60 --endMP 204:1171 --enddatetime 2018-01-08T10:21:21 --enforcementcount 0 &gt;&gt;%USERPROFILE%\Documents\GitHub\eaglep3-reporting\EC\2018-01-08-refined-times.txt</v>
      </c>
      <c r="AI5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{"issue":{"subject":"","project_id":79,"tracker_id":40,"status_id":1,"priority_id":2,"assigned_to_id":338,"start_date":"2018-01-08","description":"","custom_fields":[{"id":1,"name":"Subdivision","value":"EC"},{"id":4,"name":"Milepost","value":"0.1171"},{"id":17,"name":"Train ID","value":"142-08"},{"id":16,"name":"Locomotive ID","value":"4011"},{"id":130,"name":"Impact","value":""},{"id":150,"name":"Time of Event (Mountain Time)","value":"10:21:21"},{"id":151,"name":"Denver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4011 --day 2018-01-08</v>
      </c>
      <c r="AN5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2018-01-08T08:23:02-0700',mode:absolute,to:'2018-01-08T11:21:21-0700'))&amp;_a=(columns:!('Message%20ID',Summary),filters:!(),index:'emp_*',interval:auto,query:(query_string:(analyze_wildcard:!t,query:'%22rtdc.l.rtdc.4011%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712</v>
      </c>
      <c r="B55" s="225">
        <v>4044</v>
      </c>
      <c r="C55" s="227" t="s">
        <v>191</v>
      </c>
      <c r="D55" s="227" t="s">
        <v>538</v>
      </c>
      <c r="E55" s="226">
        <v>43108.368032407408</v>
      </c>
      <c r="F55" s="226">
        <v>43108.375173611108</v>
      </c>
      <c r="G55" s="225">
        <v>51</v>
      </c>
      <c r="H55" s="227" t="s">
        <v>578</v>
      </c>
      <c r="I55" s="226">
        <v>43108.398993055554</v>
      </c>
      <c r="J55" s="225">
        <v>0</v>
      </c>
      <c r="K55" s="237" t="str">
        <f t="shared" si="0"/>
        <v>4043/4044</v>
      </c>
      <c r="L55" s="245" t="str">
        <f>VLOOKUP(A55,'Trips&amp;Operators'!$C$1:$G$99911,5,FALSE)</f>
        <v>ROCHA YAOTL</v>
      </c>
      <c r="M55" s="224">
        <f t="shared" si="1"/>
        <v>2.3819444446417037E-2</v>
      </c>
      <c r="N55" s="225">
        <f t="shared" si="24"/>
        <v>34.300000002840534</v>
      </c>
      <c r="O55" s="225"/>
      <c r="P55" s="225"/>
      <c r="Q55" s="228"/>
      <c r="R55" s="242"/>
      <c r="S55" s="249">
        <f t="shared" si="25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2018-01-08T07:49:58-0700',mode:absolute,to:'2018-01-08T10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247" t="str">
        <f>IF(AA55&lt;VLOOKUP(AG55,Variables!$AC$3:$AD$8,2,FALSE),"Y","N")</f>
        <v>N</v>
      </c>
      <c r="X55" s="247">
        <f t="shared" si="6"/>
        <v>1</v>
      </c>
      <c r="Y55" s="247">
        <f t="shared" si="26"/>
        <v>4.3999999999999997E-2</v>
      </c>
      <c r="Z55" s="247">
        <f t="shared" si="27"/>
        <v>23.334700000000002</v>
      </c>
      <c r="AA55" s="247">
        <f t="shared" si="9"/>
        <v>23.290700000000001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55" s="234" t="str">
        <f t="shared" si="12"/>
        <v>"C:\Program Files (x86)\AstroGrep\AstroGrep.exe" /e /r /s /spath="%USERPROFILE%\AppData\Local\Temp\OnboardLogs" /stypes="app*4044*20180108*"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143-08 --locoid 4044 --swversion DE.1.0.9.0 --startMP 204:440 --initTime 2018-01-08T08:49:58 --startdatetime 2018-01-08T09:00:15 --delay 51 --endMP 204:233347 --enddatetime 2018-01-08T09:34:33 --enforcementcount 0 &gt;&gt;%USERPROFILE%\Documents\GitHub\eaglep3-reporting\EC\2018-01-08-refined-times.txt</v>
      </c>
      <c r="AI5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{"issue":{"subject":"","project_id":79,"tracker_id":40,"status_id":1,"priority_id":2,"assigned_to_id":338,"start_date":"2018-01-08","description":"","custom_fields":[{"id":1,"name":"Subdivision","value":"EC"},{"id":4,"name":"Milepost","value":"23.3347"},{"id":17,"name":"Train ID","value":"143-08"},{"id":16,"name":"Locomotive ID","value":"4044"},{"id":130,"name":"Impact","value":""},{"id":150,"name":"Time of Event (Mountain Time)","value":"09:34:33"},{"id":151,"name":"Denver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4044 --day 2018-01-08</v>
      </c>
      <c r="AN5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2018-01-08T07:49:58-0700',mode:absolute,to:'2018-01-08T10:34:33-0700'))&amp;_a=(columns:!('Message%20ID',Summary),filters:!(),index:'emp_*',interval:auto,query:(query_string:(analyze_wildcard:!t,query:'%22rtdc.l.rtdc.4044%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719</v>
      </c>
      <c r="B56" s="225">
        <v>4043</v>
      </c>
      <c r="C56" s="227" t="s">
        <v>191</v>
      </c>
      <c r="D56" s="227" t="s">
        <v>892</v>
      </c>
      <c r="E56" s="226">
        <v>43108.400613425925</v>
      </c>
      <c r="F56" s="226">
        <v>43108.414768518516</v>
      </c>
      <c r="G56" s="225">
        <v>46</v>
      </c>
      <c r="H56" s="227" t="s">
        <v>893</v>
      </c>
      <c r="I56" s="226">
        <v>43108.441446759258</v>
      </c>
      <c r="J56" s="225">
        <v>0</v>
      </c>
      <c r="K56" s="237" t="str">
        <f t="shared" si="0"/>
        <v>4043/4044</v>
      </c>
      <c r="L56" s="245" t="str">
        <f>VLOOKUP(A56,'Trips&amp;Operators'!$C$1:$G$99911,5,FALSE)</f>
        <v>ROCHA YAOTL</v>
      </c>
      <c r="M56" s="224">
        <f t="shared" si="1"/>
        <v>2.6678240741603076E-2</v>
      </c>
      <c r="N56" s="225">
        <f t="shared" si="24"/>
        <v>38.41666666790843</v>
      </c>
      <c r="O56" s="225"/>
      <c r="P56" s="225"/>
      <c r="Q56" s="228"/>
      <c r="R56" s="242"/>
      <c r="S56" s="249">
        <f t="shared" si="25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2018-01-08T08:36:53-0700',mode:absolute,to:'2018-01-08T11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247" t="str">
        <f>IF(AA56&lt;VLOOKUP(AG56,Variables!$AC$3:$AD$8,2,FALSE),"Y","N")</f>
        <v>N</v>
      </c>
      <c r="X56" s="247">
        <f t="shared" si="6"/>
        <v>1</v>
      </c>
      <c r="Y56" s="247">
        <f t="shared" si="26"/>
        <v>23.304200000000002</v>
      </c>
      <c r="Z56" s="247">
        <f t="shared" si="27"/>
        <v>1.3899999999999999E-2</v>
      </c>
      <c r="AA56" s="247">
        <f t="shared" si="9"/>
        <v>23.290300000000002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56" s="234" t="str">
        <f t="shared" si="12"/>
        <v>"C:\Program Files (x86)\AstroGrep\AstroGrep.exe" /e /r /s /spath="%USERPROFILE%\AppData\Local\Temp\OnboardLogs" /stypes="app*4043*20180108*"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144-08 --locoid 4043 --swversion DE.1.0.9.0 --startMP 204:233042 --initTime 2018-01-08T09:36:53 --startdatetime 2018-01-08T09:57:16 --delay 46 --endMP 204:139 --enddatetime 2018-01-08T10:35:41 --enforcementcount 0 &gt;&gt;%USERPROFILE%\Documents\GitHub\eaglep3-reporting\EC\2018-01-08-refined-times.txt</v>
      </c>
      <c r="AI5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{"issue":{"subject":"","project_id":79,"tracker_id":40,"status_id":1,"priority_id":2,"assigned_to_id":338,"start_date":"2018-01-08","description":"","custom_fields":[{"id":1,"name":"Subdivision","value":"EC"},{"id":4,"name":"Milepost","value":"0.0139"},{"id":17,"name":"Train ID","value":"144-08"},{"id":16,"name":"Locomotive ID","value":"4043"},{"id":130,"name":"Impact","value":""},{"id":150,"name":"Time of Event (Mountain Time)","value":"10:35:41"},{"id":151,"name":"Denver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4043 --day 2018-01-08</v>
      </c>
      <c r="AN5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2018-01-08T08:36:53-0700',mode:absolute,to:'2018-01-08T11:35:41-0700'))&amp;_a=(columns:!('Message%20ID',Summary),filters:!(),index:'emp_*',interval:auto,query:(query_string:(analyze_wildcard:!t,query:'%22rtdc.l.rtdc.4043%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715</v>
      </c>
      <c r="B57" s="225">
        <v>4054</v>
      </c>
      <c r="C57" s="227" t="s">
        <v>191</v>
      </c>
      <c r="D57" s="227" t="s">
        <v>497</v>
      </c>
      <c r="E57" s="226">
        <v>43108.379502314812</v>
      </c>
      <c r="F57" s="226">
        <v>43108.385567129626</v>
      </c>
      <c r="G57" s="225">
        <v>91</v>
      </c>
      <c r="H57" s="227" t="s">
        <v>894</v>
      </c>
      <c r="I57" s="226">
        <v>43108.410127314812</v>
      </c>
      <c r="J57" s="225">
        <v>0</v>
      </c>
      <c r="K57" s="237" t="str">
        <f t="shared" si="0"/>
        <v>4053/4054</v>
      </c>
      <c r="L57" s="245" t="str">
        <f>VLOOKUP(A57,'Trips&amp;Operators'!$C$1:$G$99911,5,FALSE)</f>
        <v>ROMERO CHAD</v>
      </c>
      <c r="M57" s="224">
        <f t="shared" si="1"/>
        <v>2.4560185185691807E-2</v>
      </c>
      <c r="N57" s="225">
        <f t="shared" si="24"/>
        <v>35.366666667396203</v>
      </c>
      <c r="O57" s="225"/>
      <c r="P57" s="225"/>
      <c r="Q57" s="228"/>
      <c r="R57" s="242"/>
      <c r="S57" s="249">
        <f t="shared" si="25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2018-01-08T08:06:29-0700',mode:absolute,to:'2018-01-08T10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7" s="247" t="str">
        <f>IF(AA57&lt;VLOOKUP(AG57,Variables!$AC$3:$AD$8,2,FALSE),"Y","N")</f>
        <v>N</v>
      </c>
      <c r="X57" s="247">
        <f t="shared" si="6"/>
        <v>1</v>
      </c>
      <c r="Y57" s="247">
        <f t="shared" si="26"/>
        <v>4.82E-2</v>
      </c>
      <c r="Z57" s="247">
        <f t="shared" si="27"/>
        <v>23.335899999999999</v>
      </c>
      <c r="AA57" s="247">
        <f t="shared" si="9"/>
        <v>23.287699999999997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57" s="234" t="str">
        <f t="shared" si="12"/>
        <v>"C:\Program Files (x86)\AstroGrep\AstroGrep.exe" /e /r /s /spath="%USERPROFILE%\AppData\Local\Temp\OnboardLogs" /stypes="app*4054*20180108*"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145-08 --locoid 4054 --swversion DE.1.0.9.0 --startMP 204:482 --initTime 2018-01-08T09:06:29 --startdatetime 2018-01-08T09:15:13 --delay 91 --endMP 204:233359 --enddatetime 2018-01-08T09:50:35 --enforcementcount 0 &gt;&gt;%USERPROFILE%\Documents\GitHub\eaglep3-reporting\EC\2018-01-08-refined-times.txt</v>
      </c>
      <c r="AI5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{"issue":{"subject":"","project_id":79,"tracker_id":40,"status_id":1,"priority_id":2,"assigned_to_id":338,"start_date":"2018-01-08","description":"","custom_fields":[{"id":1,"name":"Subdivision","value":"EC"},{"id":4,"name":"Milepost","value":"23.3359"},{"id":17,"name":"Train ID","value":"145-08"},{"id":16,"name":"Locomotive ID","value":"4054"},{"id":130,"name":"Impact","value":""},{"id":150,"name":"Time of Event (Mountain Time)","value":"09:50:35"},{"id":151,"name":"Denver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4054 --day 2018-01-08</v>
      </c>
      <c r="AN5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2018-01-08T08:06:29-0700',mode:absolute,to:'2018-01-08T10:50:35-0700'))&amp;_a=(columns:!('Message%20ID',Summary),filters:!(),index:'emp_*',interval:auto,query:(query_string:(analyze_wildcard:!t,query:'%22rtdc.l.rtdc.4054%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721</v>
      </c>
      <c r="B58" s="225">
        <v>4053</v>
      </c>
      <c r="C58" s="227" t="s">
        <v>191</v>
      </c>
      <c r="D58" s="227" t="s">
        <v>608</v>
      </c>
      <c r="E58" s="226">
        <v>43108.411435185182</v>
      </c>
      <c r="F58" s="226">
        <v>43108.425162037034</v>
      </c>
      <c r="G58" s="225">
        <v>52</v>
      </c>
      <c r="H58" s="227" t="s">
        <v>457</v>
      </c>
      <c r="I58" s="226">
        <v>43108.449884259258</v>
      </c>
      <c r="J58" s="225">
        <v>0</v>
      </c>
      <c r="K58" s="237" t="str">
        <f t="shared" si="0"/>
        <v>4053/4054</v>
      </c>
      <c r="L58" s="245" t="str">
        <f>VLOOKUP(A58,'Trips&amp;Operators'!$C$1:$G$99911,5,FALSE)</f>
        <v>ROMERO CHAD</v>
      </c>
      <c r="M58" s="224">
        <f t="shared" si="1"/>
        <v>2.4722222224227153E-2</v>
      </c>
      <c r="N58" s="225">
        <f t="shared" si="24"/>
        <v>35.6000000028871</v>
      </c>
      <c r="O58" s="225"/>
      <c r="P58" s="225"/>
      <c r="Q58" s="228"/>
      <c r="R58" s="242"/>
      <c r="S58" s="249">
        <f t="shared" si="25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2018-01-08T08:52:28-0700',mode:absolute,to:'2018-01-08T11:47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8" s="247" t="str">
        <f>IF(AA58&lt;VLOOKUP(AG58,Variables!$AC$3:$AD$8,2,FALSE),"Y","N")</f>
        <v>N</v>
      </c>
      <c r="X58" s="247">
        <f t="shared" si="6"/>
        <v>1</v>
      </c>
      <c r="Y58" s="247">
        <f t="shared" si="26"/>
        <v>23.3064</v>
      </c>
      <c r="Z58" s="247">
        <f t="shared" si="27"/>
        <v>1.9599999999999999E-2</v>
      </c>
      <c r="AA58" s="247">
        <f t="shared" si="9"/>
        <v>23.286799999999999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58" s="234" t="str">
        <f t="shared" si="12"/>
        <v>"C:\Program Files (x86)\AstroGrep\AstroGrep.exe" /e /r /s /spath="%USERPROFILE%\AppData\Local\Temp\OnboardLogs" /stypes="app*4053*20180108*"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146-08 --locoid 4053 --swversion DE.1.0.9.0 --startMP 204:233064 --initTime 2018-01-08T09:52:28 --startdatetime 2018-01-08T10:12:14 --delay 52 --endMP 204:196 --enddatetime 2018-01-08T10:47:50 --enforcementcount 0 &gt;&gt;%USERPROFILE%\Documents\GitHub\eaglep3-reporting\EC\2018-01-08-refined-times.txt</v>
      </c>
      <c r="AI5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{"issue":{"subject":"","project_id":79,"tracker_id":40,"status_id":1,"priority_id":2,"assigned_to_id":338,"start_date":"2018-01-08","description":"","custom_fields":[{"id":1,"name":"Subdivision","value":"EC"},{"id":4,"name":"Milepost","value":"0.0196"},{"id":17,"name":"Train ID","value":"146-08"},{"id":16,"name":"Locomotive ID","value":"4053"},{"id":130,"name":"Impact","value":""},{"id":150,"name":"Time of Event (Mountain Time)","value":"10:47:50"},{"id":151,"name":"Denver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4053 --day 2018-01-08</v>
      </c>
      <c r="AN5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17:47:50"},{"id":29,"name":"Sharepoint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2018-01-08T08:52:28-0700',mode:absolute,to:'2018-01-08T11:47:50-0700'))&amp;_a=(columns:!('Message%20ID',Summary),filters:!(),index:'emp_*',interval:auto,query:(query_string:(analyze_wildcard:!t,query:'%22rtdc.l.rtdc.4053%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626</v>
      </c>
      <c r="B59" s="225">
        <v>4052</v>
      </c>
      <c r="C59" s="227" t="s">
        <v>191</v>
      </c>
      <c r="D59" s="227" t="s">
        <v>541</v>
      </c>
      <c r="E59" s="226">
        <v>43108.391342592593</v>
      </c>
      <c r="F59" s="226">
        <v>43108.39603009259</v>
      </c>
      <c r="G59" s="225">
        <v>49</v>
      </c>
      <c r="H59" s="227" t="s">
        <v>862</v>
      </c>
      <c r="I59" s="226">
        <v>43108.419930555552</v>
      </c>
      <c r="J59" s="225">
        <v>0</v>
      </c>
      <c r="K59" s="237" t="str">
        <f t="shared" si="0"/>
        <v>4051/4052</v>
      </c>
      <c r="L59" s="245" t="str">
        <f>VLOOKUP(A59,'Trips&amp;Operators'!$C$1:$G$99911,5,FALSE)</f>
        <v>BEAM ROSS</v>
      </c>
      <c r="M59" s="224">
        <f t="shared" si="1"/>
        <v>2.3900462962046731E-2</v>
      </c>
      <c r="N59" s="225">
        <f t="shared" si="24"/>
        <v>34.416666665347293</v>
      </c>
      <c r="O59" s="225"/>
      <c r="P59" s="225"/>
      <c r="Q59" s="228"/>
      <c r="R59" s="242"/>
      <c r="S59" s="249">
        <f t="shared" si="25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2018-01-08T08:23:32-0700',mode:absolute,to:'2018-01-08T11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9" s="247" t="str">
        <f>IF(AA59&lt;VLOOKUP(AG59,Variables!$AC$3:$AD$8,2,FALSE),"Y","N")</f>
        <v>N</v>
      </c>
      <c r="X59" s="247">
        <f t="shared" si="6"/>
        <v>1</v>
      </c>
      <c r="Y59" s="247">
        <f t="shared" si="26"/>
        <v>5.2900000000000003E-2</v>
      </c>
      <c r="Z59" s="247">
        <f t="shared" si="27"/>
        <v>23.329499999999999</v>
      </c>
      <c r="AA59" s="247">
        <f t="shared" si="9"/>
        <v>23.276599999999998</v>
      </c>
      <c r="AB59" s="233" t="str">
        <f>VLOOKUP(A59,Enforcements!$C$7:$K$9,8,0)</f>
        <v>Bulletin (2)</v>
      </c>
      <c r="AC59" s="232" t="str">
        <f>VLOOKUP(A59,Enforcements!$C$7:$E$9,3,0)</f>
        <v>GRADE CROSSING</v>
      </c>
      <c r="AD59" s="243">
        <f t="shared" si="10"/>
        <v>147</v>
      </c>
      <c r="AE59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59" s="234" t="str">
        <f t="shared" si="12"/>
        <v>"C:\Program Files (x86)\AstroGrep\AstroGrep.exe" /e /r /s /spath="%USERPROFILE%\AppData\Local\Temp\OnboardLogs" /stypes="app*4052*20180108*"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147-08 --locoid 4052 --swversion DE.1.0.9.0 --startMP 204:529 --initTime 2018-01-08T09:23:32 --startdatetime 2018-01-08T09:30:17 --delay 49 --endMP 204:233295 --enddatetime 2018-01-08T10:04:42 --enforcementcount 0 &gt;&gt;%USERPROFILE%\Documents\GitHub\eaglep3-reporting\EC\2018-01-08-refined-times.txt</v>
      </c>
      <c r="AI5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{"issue":{"subject":"","project_id":79,"tracker_id":40,"status_id":1,"priority_id":2,"assigned_to_id":338,"start_date":"2018-01-08","description":"","custom_fields":[{"id":1,"name":"Subdivision","value":"EC"},{"id":4,"name":"Milepost","value":"23.3295"},{"id":17,"name":"Train ID","value":"147-08"},{"id":16,"name":"Locomotive ID","value":"4052"},{"id":130,"name":"Impact","value":""},{"id":150,"name":"Time of Event (Mountain Time)","value":"10:04:42"},{"id":151,"name":"Denver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4052 --day 2018-01-08</v>
      </c>
      <c r="AN5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2018-01-08T08:23:32-0700',mode:absolute,to:'2018-01-08T11:04:42-0700'))&amp;_a=(columns:!('Message%20ID',Summary),filters:!(),index:'emp_*',interval:auto,query:(query_string:(analyze_wildcard:!t,query:'%22rtdc.l.rtdc.4052%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727</v>
      </c>
      <c r="B60" s="225">
        <v>4051</v>
      </c>
      <c r="C60" s="227" t="s">
        <v>191</v>
      </c>
      <c r="D60" s="227" t="s">
        <v>582</v>
      </c>
      <c r="E60" s="226">
        <v>43108.42082175926</v>
      </c>
      <c r="F60" s="226">
        <v>43108.435590277775</v>
      </c>
      <c r="G60" s="225">
        <v>51</v>
      </c>
      <c r="H60" s="227" t="s">
        <v>544</v>
      </c>
      <c r="I60" s="226">
        <v>43108.4609837963</v>
      </c>
      <c r="J60" s="225">
        <v>0</v>
      </c>
      <c r="K60" s="237" t="str">
        <f t="shared" si="0"/>
        <v>4051/4052</v>
      </c>
      <c r="L60" s="245" t="str">
        <f>VLOOKUP(A60,'Trips&amp;Operators'!$C$1:$G$99911,5,FALSE)</f>
        <v>BEAM ROSS</v>
      </c>
      <c r="M60" s="224">
        <f t="shared" si="1"/>
        <v>2.5393518524651881E-2</v>
      </c>
      <c r="N60" s="225">
        <f t="shared" si="24"/>
        <v>36.566666675498709</v>
      </c>
      <c r="O60" s="225"/>
      <c r="P60" s="225"/>
      <c r="Q60" s="228"/>
      <c r="R60" s="242"/>
      <c r="S60" s="249">
        <f t="shared" si="25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2018-01-08T09:05:59-0700',mode:absolute,to:'2018-01-08T12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0" s="247" t="str">
        <f>IF(AA60&lt;VLOOKUP(AG60,Variables!$AC$3:$AD$8,2,FALSE),"Y","N")</f>
        <v>N</v>
      </c>
      <c r="X60" s="247">
        <f t="shared" si="6"/>
        <v>1</v>
      </c>
      <c r="Y60" s="247">
        <f t="shared" si="26"/>
        <v>23.2971</v>
      </c>
      <c r="Z60" s="247">
        <f t="shared" si="27"/>
        <v>1.78E-2</v>
      </c>
      <c r="AA60" s="247">
        <f t="shared" si="9"/>
        <v>23.279299999999999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60" s="234" t="str">
        <f t="shared" si="12"/>
        <v>"C:\Program Files (x86)\AstroGrep\AstroGrep.exe" /e /r /s /spath="%USERPROFILE%\AppData\Local\Temp\OnboardLogs" /stypes="app*4051*20180108*"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148-08 --locoid 4051 --swversion DE.1.0.9.0 --startMP 204:232971 --initTime 2018-01-08T10:05:59 --startdatetime 2018-01-08T10:27:15 --delay 51 --endMP 204:178 --enddatetime 2018-01-08T11:03:49 --enforcementcount 0 &gt;&gt;%USERPROFILE%\Documents\GitHub\eaglep3-reporting\EC\2018-01-08-refined-times.txt</v>
      </c>
      <c r="AI6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{"issue":{"subject":"","project_id":79,"tracker_id":40,"status_id":1,"priority_id":2,"assigned_to_id":338,"start_date":"2018-01-08","description":"","custom_fields":[{"id":1,"name":"Subdivision","value":"EC"},{"id":4,"name":"Milepost","value":"0.0178"},{"id":17,"name":"Train ID","value":"148-08"},{"id":16,"name":"Locomotive ID","value":"4051"},{"id":130,"name":"Impact","value":""},{"id":150,"name":"Time of Event (Mountain Time)","value":"11:03:49"},{"id":151,"name":"Denver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4051 --day 2018-01-08</v>
      </c>
      <c r="AN6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2018-01-08T09:05:59-0700',mode:absolute,to:'2018-01-08T12:03:49-0700'))&amp;_a=(columns:!('Message%20ID',Summary),filters:!(),index:'emp_*',interval:auto,query:(query_string:(analyze_wildcard:!t,query:'%22rtdc.l.rtdc.4051%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720</v>
      </c>
      <c r="B61" s="225">
        <v>4018</v>
      </c>
      <c r="C61" s="227" t="s">
        <v>191</v>
      </c>
      <c r="D61" s="227" t="s">
        <v>497</v>
      </c>
      <c r="E61" s="226">
        <v>43108.40152777778</v>
      </c>
      <c r="F61" s="226">
        <v>43108.406423611108</v>
      </c>
      <c r="G61" s="225">
        <v>95</v>
      </c>
      <c r="H61" s="227" t="s">
        <v>895</v>
      </c>
      <c r="I61" s="226">
        <v>43108.430671296293</v>
      </c>
      <c r="J61" s="225">
        <v>0</v>
      </c>
      <c r="K61" s="237" t="str">
        <f t="shared" si="0"/>
        <v>4017/4018</v>
      </c>
      <c r="L61" s="245" t="str">
        <f>VLOOKUP(A61,'Trips&amp;Operators'!$C$1:$G$99911,5,FALSE)</f>
        <v>DELGADO DIANAH</v>
      </c>
      <c r="M61" s="224">
        <f t="shared" si="1"/>
        <v>2.4247685185400769E-2</v>
      </c>
      <c r="N61" s="225">
        <f t="shared" si="24"/>
        <v>34.916666666977108</v>
      </c>
      <c r="O61" s="225"/>
      <c r="P61" s="225"/>
      <c r="Q61" s="228"/>
      <c r="R61" s="242"/>
      <c r="S61" s="249">
        <f t="shared" si="25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2018-01-08T08:38:12-0700',mode:absolute,to:'2018-01-08T11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247" t="str">
        <f>IF(AA61&lt;VLOOKUP(AG61,Variables!$AC$3:$AD$8,2,FALSE),"Y","N")</f>
        <v>N</v>
      </c>
      <c r="X61" s="247">
        <f t="shared" si="6"/>
        <v>1</v>
      </c>
      <c r="Y61" s="247">
        <f t="shared" si="26"/>
        <v>4.82E-2</v>
      </c>
      <c r="Z61" s="247">
        <f t="shared" si="27"/>
        <v>23.332699999999999</v>
      </c>
      <c r="AA61" s="247">
        <f t="shared" si="9"/>
        <v>23.284499999999998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61" s="234" t="str">
        <f t="shared" si="12"/>
        <v>"C:\Program Files (x86)\AstroGrep\AstroGrep.exe" /e /r /s /spath="%USERPROFILE%\AppData\Local\Temp\OnboardLogs" /stypes="app*4018*20180108*"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149-08 --locoid 4018 --swversion DE.1.0.9.0 --startMP 204:482 --initTime 2018-01-08T09:38:12 --startdatetime 2018-01-08T09:45:15 --delay 95 --endMP 204:233327 --enddatetime 2018-01-08T10:20:10 --enforcementcount 0 &gt;&gt;%USERPROFILE%\Documents\GitHub\eaglep3-reporting\EC\2018-01-08-refined-times.txt</v>
      </c>
      <c r="AI6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{"issue":{"subject":"","project_id":79,"tracker_id":40,"status_id":1,"priority_id":2,"assigned_to_id":338,"start_date":"2018-01-08","description":"","custom_fields":[{"id":1,"name":"Subdivision","value":"EC"},{"id":4,"name":"Milepost","value":"23.3327"},{"id":17,"name":"Train ID","value":"149-08"},{"id":16,"name":"Locomotive ID","value":"4018"},{"id":130,"name":"Impact","value":""},{"id":150,"name":"Time of Event (Mountain Time)","value":"10:20:10"},{"id":151,"name":"Denver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4018 --day 2018-01-08</v>
      </c>
      <c r="AN6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2018-01-08T08:38:12-0700',mode:absolute,to:'2018-01-08T11:20:10-0700'))&amp;_a=(columns:!('Message%20ID',Summary),filters:!(),index:'emp_*',interval:auto,query:(query_string:(analyze_wildcard:!t,query:'%22rtdc.l.rtdc.4018%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731</v>
      </c>
      <c r="B62" s="225">
        <v>4017</v>
      </c>
      <c r="C62" s="227" t="s">
        <v>191</v>
      </c>
      <c r="D62" s="227" t="s">
        <v>896</v>
      </c>
      <c r="E62" s="226">
        <v>43108.432557870372</v>
      </c>
      <c r="F62" s="226">
        <v>43108.44599537037</v>
      </c>
      <c r="G62" s="225">
        <v>61</v>
      </c>
      <c r="H62" s="227" t="s">
        <v>536</v>
      </c>
      <c r="I62" s="226">
        <v>43108.470810185187</v>
      </c>
      <c r="J62" s="225">
        <v>0</v>
      </c>
      <c r="K62" s="237" t="str">
        <f t="shared" si="0"/>
        <v>4017/4018</v>
      </c>
      <c r="L62" s="245" t="str">
        <f>VLOOKUP(A62,'Trips&amp;Operators'!$C$1:$G$99911,5,FALSE)</f>
        <v>DELGADO DIANAH</v>
      </c>
      <c r="M62" s="224">
        <f t="shared" si="1"/>
        <v>2.4814814816636499E-2</v>
      </c>
      <c r="N62" s="225">
        <f t="shared" si="24"/>
        <v>35.733333335956559</v>
      </c>
      <c r="O62" s="225"/>
      <c r="P62" s="225"/>
      <c r="Q62" s="228"/>
      <c r="R62" s="242"/>
      <c r="S62" s="249">
        <f t="shared" si="25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2018-01-08T09:22:53-0700',mode:absolute,to:'2018-01-08T12:17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247" t="str">
        <f>IF(AA62&lt;VLOOKUP(AG62,Variables!$AC$3:$AD$8,2,FALSE),"Y","N")</f>
        <v>N</v>
      </c>
      <c r="X62" s="247">
        <f t="shared" si="6"/>
        <v>1</v>
      </c>
      <c r="Y62" s="247">
        <f t="shared" si="26"/>
        <v>23.303599999999999</v>
      </c>
      <c r="Z62" s="247">
        <f t="shared" si="27"/>
        <v>1.54E-2</v>
      </c>
      <c r="AA62" s="247">
        <f t="shared" si="9"/>
        <v>23.2882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62" s="234" t="str">
        <f t="shared" si="12"/>
        <v>"C:\Program Files (x86)\AstroGrep\AstroGrep.exe" /e /r /s /spath="%USERPROFILE%\AppData\Local\Temp\OnboardLogs" /stypes="app*4017*20180108*"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150-08 --locoid 4017 --swversion DE.1.0.9.0 --startMP 204:233036 --initTime 2018-01-08T10:22:53 --startdatetime 2018-01-08T10:42:14 --delay 61 --endMP 204:154 --enddatetime 2018-01-08T11:17:58 --enforcementcount 0 &gt;&gt;%USERPROFILE%\Documents\GitHub\eaglep3-reporting\EC\2018-01-08-refined-times.txt</v>
      </c>
      <c r="AI6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{"issue":{"subject":"","project_id":79,"tracker_id":40,"status_id":1,"priority_id":2,"assigned_to_id":338,"start_date":"2018-01-08","description":"","custom_fields":[{"id":1,"name":"Subdivision","value":"EC"},{"id":4,"name":"Milepost","value":"0.0154"},{"id":17,"name":"Train ID","value":"150-08"},{"id":16,"name":"Locomotive ID","value":"4017"},{"id":130,"name":"Impact","value":""},{"id":150,"name":"Time of Event (Mountain Time)","value":"11:17:58"},{"id":151,"name":"Denver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4017 --day 2018-01-08</v>
      </c>
      <c r="AN6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18:17:58"},{"id":29,"name":"Sharepoint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2018-01-08T09:22:53-0700',mode:absolute,to:'2018-01-08T12:17:58-0700'))&amp;_a=(columns:!('Message%20ID',Summary),filters:!(),index:'emp_*',interval:auto,query:(query_string:(analyze_wildcard:!t,query:'%22rtdc.l.rtdc.4017%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725</v>
      </c>
      <c r="B63" s="225">
        <v>4034</v>
      </c>
      <c r="C63" s="227" t="s">
        <v>191</v>
      </c>
      <c r="D63" s="227" t="s">
        <v>602</v>
      </c>
      <c r="E63" s="226">
        <v>43108.413275462961</v>
      </c>
      <c r="F63" s="226">
        <v>43108.416875000003</v>
      </c>
      <c r="G63" s="225">
        <v>50</v>
      </c>
      <c r="H63" s="227" t="s">
        <v>576</v>
      </c>
      <c r="I63" s="226">
        <v>43108.441446759258</v>
      </c>
      <c r="J63" s="225">
        <v>0</v>
      </c>
      <c r="K63" s="237" t="str">
        <f t="shared" si="0"/>
        <v>4033/4034</v>
      </c>
      <c r="L63" s="245" t="str">
        <f>VLOOKUP(A63,'Trips&amp;Operators'!$C$1:$G$99911,5,FALSE)</f>
        <v>MAELZER KURT</v>
      </c>
      <c r="M63" s="224">
        <f t="shared" si="1"/>
        <v>2.4571759255195502E-2</v>
      </c>
      <c r="N63" s="225">
        <f t="shared" si="24"/>
        <v>35.383333327481523</v>
      </c>
      <c r="O63" s="225"/>
      <c r="P63" s="225"/>
      <c r="Q63" s="228"/>
      <c r="R63" s="242"/>
      <c r="S63" s="249">
        <f t="shared" si="25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2018-01-08T08:55:07-0700',mode:absolute,to:'2018-01-08T11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3" s="247" t="str">
        <f>IF(AA63&lt;VLOOKUP(AG63,Variables!$AC$3:$AD$8,2,FALSE),"Y","N")</f>
        <v>N</v>
      </c>
      <c r="X63" s="247">
        <f t="shared" si="6"/>
        <v>1</v>
      </c>
      <c r="Y63" s="247">
        <f t="shared" si="26"/>
        <v>5.0599999999999999E-2</v>
      </c>
      <c r="Z63" s="247">
        <f t="shared" si="27"/>
        <v>23.331199999999999</v>
      </c>
      <c r="AA63" s="247">
        <f t="shared" si="9"/>
        <v>23.2806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63" s="234" t="str">
        <f t="shared" si="12"/>
        <v>"C:\Program Files (x86)\AstroGrep\AstroGrep.exe" /e /r /s /spath="%USERPROFILE%\AppData\Local\Temp\OnboardLogs" /stypes="app*4034*20180108*"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151-08 --locoid 4034 --swversion DE.1.0.9.0 --startMP 204:506 --initTime 2018-01-08T09:55:07 --startdatetime 2018-01-08T10:00:18 --delay 50 --endMP 204:233312 --enddatetime 2018-01-08T10:35:41 --enforcementcount 0 &gt;&gt;%USERPROFILE%\Documents\GitHub\eaglep3-reporting\EC\2018-01-08-refined-times.txt</v>
      </c>
      <c r="AI6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{"issue":{"subject":"","project_id":79,"tracker_id":40,"status_id":1,"priority_id":2,"assigned_to_id":338,"start_date":"2018-01-08","description":"","custom_fields":[{"id":1,"name":"Subdivision","value":"EC"},{"id":4,"name":"Milepost","value":"23.3312"},{"id":17,"name":"Train ID","value":"151-08"},{"id":16,"name":"Locomotive ID","value":"4034"},{"id":130,"name":"Impact","value":""},{"id":150,"name":"Time of Event (Mountain Time)","value":"10:35:41"},{"id":151,"name":"Denver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4034 --day 2018-01-08</v>
      </c>
      <c r="AN6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2018-01-08T08:55:07-0700',mode:absolute,to:'2018-01-08T11:35:41-0700'))&amp;_a=(columns:!('Message%20ID',Summary),filters:!(),index:'emp_*',interval:auto,query:(query_string:(analyze_wildcard:!t,query:'%22rtdc.l.rtdc.4034%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734</v>
      </c>
      <c r="B64" s="225">
        <v>4033</v>
      </c>
      <c r="C64" s="227" t="s">
        <v>191</v>
      </c>
      <c r="D64" s="227" t="s">
        <v>540</v>
      </c>
      <c r="E64" s="226">
        <v>43108.446967592594</v>
      </c>
      <c r="F64" s="226">
        <v>43108.456423611111</v>
      </c>
      <c r="G64" s="225">
        <v>80</v>
      </c>
      <c r="H64" s="227" t="s">
        <v>516</v>
      </c>
      <c r="I64" s="226">
        <v>43108.48232638889</v>
      </c>
      <c r="J64" s="225">
        <v>0</v>
      </c>
      <c r="K64" s="237" t="str">
        <f t="shared" si="0"/>
        <v>4033/4034</v>
      </c>
      <c r="L64" s="245" t="str">
        <f>VLOOKUP(A64,'Trips&amp;Operators'!$C$1:$G$99911,5,FALSE)</f>
        <v>MAELZER KURT</v>
      </c>
      <c r="M64" s="224">
        <f t="shared" si="1"/>
        <v>2.5902777779265307E-2</v>
      </c>
      <c r="N64" s="225">
        <f t="shared" si="24"/>
        <v>37.300000002142042</v>
      </c>
      <c r="O64" s="225"/>
      <c r="P64" s="225"/>
      <c r="Q64" s="228"/>
      <c r="R64" s="242"/>
      <c r="S64" s="249">
        <f t="shared" si="25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2018-01-08T09:43:38-0700',mode:absolute,to:'2018-01-08T12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4" s="247" t="str">
        <f>IF(AA64&lt;VLOOKUP(AG64,Variables!$AC$3:$AD$8,2,FALSE),"Y","N")</f>
        <v>N</v>
      </c>
      <c r="X64" s="247">
        <f t="shared" si="6"/>
        <v>1</v>
      </c>
      <c r="Y64" s="247">
        <f t="shared" si="26"/>
        <v>23.299199999999999</v>
      </c>
      <c r="Z64" s="247">
        <f t="shared" si="27"/>
        <v>1.8499999999999999E-2</v>
      </c>
      <c r="AA64" s="247">
        <f t="shared" si="9"/>
        <v>23.2807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64" s="234" t="str">
        <f t="shared" si="12"/>
        <v>"C:\Program Files (x86)\AstroGrep\AstroGrep.exe" /e /r /s /spath="%USERPROFILE%\AppData\Local\Temp\OnboardLogs" /stypes="app*4033*20180108*"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152-08 --locoid 4033 --swversion DE.1.0.9.0 --startMP 204:232992 --initTime 2018-01-08T10:43:38 --startdatetime 2018-01-08T10:57:15 --delay 80 --endMP 204:185 --enddatetime 2018-01-08T11:34:33 --enforcementcount 0 &gt;&gt;%USERPROFILE%\Documents\GitHub\eaglep3-reporting\EC\2018-01-08-refined-times.txt</v>
      </c>
      <c r="AI6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{"issue":{"subject":"","project_id":79,"tracker_id":40,"status_id":1,"priority_id":2,"assigned_to_id":338,"start_date":"2018-01-08","description":"","custom_fields":[{"id":1,"name":"Subdivision","value":"EC"},{"id":4,"name":"Milepost","value":"0.0185"},{"id":17,"name":"Train ID","value":"152-08"},{"id":16,"name":"Locomotive ID","value":"4033"},{"id":130,"name":"Impact","value":""},{"id":150,"name":"Time of Event (Mountain Time)","value":"11:34:33"},{"id":151,"name":"Denver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4033 --day 2018-01-08</v>
      </c>
      <c r="AN6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2018-01-08T09:43:38-0700',mode:absolute,to:'2018-01-08T12:34:33-0700'))&amp;_a=(columns:!('Message%20ID',Summary),filters:!(),index:'emp_*',interval:auto,query:(query_string:(analyze_wildcard:!t,query:'%22rtdc.l.rtdc.4033%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729</v>
      </c>
      <c r="B65" s="225">
        <v>4060</v>
      </c>
      <c r="C65" s="227" t="s">
        <v>191</v>
      </c>
      <c r="D65" s="227" t="s">
        <v>511</v>
      </c>
      <c r="E65" s="226">
        <v>43108.423067129632</v>
      </c>
      <c r="F65" s="226">
        <v>43108.42732638889</v>
      </c>
      <c r="G65" s="225">
        <v>77</v>
      </c>
      <c r="H65" s="227" t="s">
        <v>897</v>
      </c>
      <c r="I65" s="226">
        <v>43108.451956018522</v>
      </c>
      <c r="J65" s="225">
        <v>0</v>
      </c>
      <c r="K65" s="237" t="str">
        <f t="shared" si="0"/>
        <v>4059/4060</v>
      </c>
      <c r="L65" s="245" t="str">
        <f>VLOOKUP(A65,'Trips&amp;Operators'!$C$1:$G$99911,5,FALSE)</f>
        <v>MACDONALD THOMAS</v>
      </c>
      <c r="M65" s="224">
        <f t="shared" si="1"/>
        <v>2.4629629631817807E-2</v>
      </c>
      <c r="N65" s="225">
        <f t="shared" si="24"/>
        <v>35.466666669817641</v>
      </c>
      <c r="O65" s="225"/>
      <c r="P65" s="225"/>
      <c r="Q65" s="228"/>
      <c r="R65" s="242"/>
      <c r="S65" s="249">
        <f t="shared" si="25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2018-01-08T09:09:13-0700',mode:absolute,to:'2018-01-08T11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5" s="247" t="str">
        <f>IF(AA65&lt;VLOOKUP(AG65,Variables!$AC$3:$AD$8,2,FALSE),"Y","N")</f>
        <v>N</v>
      </c>
      <c r="X65" s="247">
        <f t="shared" si="6"/>
        <v>1</v>
      </c>
      <c r="Y65" s="247">
        <f t="shared" si="26"/>
        <v>4.5499999999999999E-2</v>
      </c>
      <c r="Z65" s="247">
        <f t="shared" si="27"/>
        <v>23.327200000000001</v>
      </c>
      <c r="AA65" s="247">
        <f t="shared" si="9"/>
        <v>23.281700000000001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65" s="234" t="str">
        <f t="shared" si="12"/>
        <v>"C:\Program Files (x86)\AstroGrep\AstroGrep.exe" /e /r /s /spath="%USERPROFILE%\AppData\Local\Temp\OnboardLogs" /stypes="app*4060*20180108*"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153-08 --locoid 4060 --swversion DE.1.0.9.0 --startMP 204:455 --initTime 2018-01-08T10:09:13 --startdatetime 2018-01-08T10:15:21 --delay 77 --endMP 204:233272 --enddatetime 2018-01-08T10:50:49 --enforcementcount 0 &gt;&gt;%USERPROFILE%\Documents\GitHub\eaglep3-reporting\EC\2018-01-08-refined-times.txt</v>
      </c>
      <c r="AI6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{"issue":{"subject":"","project_id":79,"tracker_id":40,"status_id":1,"priority_id":2,"assigned_to_id":338,"start_date":"2018-01-08","description":"","custom_fields":[{"id":1,"name":"Subdivision","value":"EC"},{"id":4,"name":"Milepost","value":"23.3272"},{"id":17,"name":"Train ID","value":"153-08"},{"id":16,"name":"Locomotive ID","value":"4060"},{"id":130,"name":"Impact","value":""},{"id":150,"name":"Time of Event (Mountain Time)","value":"10:50:49"},{"id":151,"name":"Denver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4060 --day 2018-01-08</v>
      </c>
      <c r="AN6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2018-01-08T09:09:13-0700',mode:absolute,to:'2018-01-08T11:50:49-0700'))&amp;_a=(columns:!('Message%20ID',Summary),filters:!(),index:'emp_*',interval:auto,query:(query_string:(analyze_wildcard:!t,query:'%22rtdc.l.rtdc.4060%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741</v>
      </c>
      <c r="B66" s="225">
        <v>4059</v>
      </c>
      <c r="C66" s="227" t="s">
        <v>191</v>
      </c>
      <c r="D66" s="227" t="s">
        <v>898</v>
      </c>
      <c r="E66" s="226">
        <v>43108.460335648146</v>
      </c>
      <c r="F66" s="226">
        <v>43108.468090277776</v>
      </c>
      <c r="G66" s="225">
        <v>628</v>
      </c>
      <c r="H66" s="227" t="s">
        <v>516</v>
      </c>
      <c r="I66" s="226">
        <v>43108.493310185186</v>
      </c>
      <c r="J66" s="225">
        <v>0</v>
      </c>
      <c r="K66" s="237" t="str">
        <f t="shared" si="0"/>
        <v>4059/4060</v>
      </c>
      <c r="L66" s="245" t="str">
        <f>VLOOKUP(A66,'Trips&amp;Operators'!$C$1:$G$99911,5,FALSE)</f>
        <v>MACDONALD THOMAS</v>
      </c>
      <c r="M66" s="224">
        <f t="shared" si="1"/>
        <v>2.5219907409336884E-2</v>
      </c>
      <c r="N66" s="225">
        <f t="shared" si="24"/>
        <v>36.316666669445112</v>
      </c>
      <c r="O66" s="225"/>
      <c r="P66" s="225"/>
      <c r="Q66" s="228"/>
      <c r="R66" s="242"/>
      <c r="S66" s="249">
        <f t="shared" si="25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2018-01-08T10:02:53-0700',mode:absolute,to:'2018-01-08T12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6" s="247" t="str">
        <f>IF(AA66&lt;VLOOKUP(AG66,Variables!$AC$3:$AD$8,2,FALSE),"Y","N")</f>
        <v>N</v>
      </c>
      <c r="X66" s="247">
        <f t="shared" si="6"/>
        <v>1</v>
      </c>
      <c r="Y66" s="247">
        <f t="shared" si="26"/>
        <v>23.294499999999999</v>
      </c>
      <c r="Z66" s="247">
        <f t="shared" si="27"/>
        <v>1.8499999999999999E-2</v>
      </c>
      <c r="AA66" s="247">
        <f t="shared" si="9"/>
        <v>23.276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66" s="234" t="str">
        <f t="shared" si="12"/>
        <v>"C:\Program Files (x86)\AstroGrep\AstroGrep.exe" /e /r /s /spath="%USERPROFILE%\AppData\Local\Temp\OnboardLogs" /stypes="app*4059*20180108*"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154-08 --locoid 4059 --swversion DE.1.0.9.0 --startMP 204:232945 --initTime 2018-01-08T11:02:53 --startdatetime 2018-01-08T11:14:03 --delay 628 --endMP 204:185 --enddatetime 2018-01-08T11:50:22 --enforcementcount 0 &gt;&gt;%USERPROFILE%\Documents\GitHub\eaglep3-reporting\EC\2018-01-08-refined-times.txt</v>
      </c>
      <c r="AI6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{"issue":{"subject":"","project_id":79,"tracker_id":40,"status_id":1,"priority_id":2,"assigned_to_id":338,"start_date":"2018-01-08","description":"","custom_fields":[{"id":1,"name":"Subdivision","value":"EC"},{"id":4,"name":"Milepost","value":"0.0185"},{"id":17,"name":"Train ID","value":"154-08"},{"id":16,"name":"Locomotive ID","value":"4059"},{"id":130,"name":"Impact","value":""},{"id":150,"name":"Time of Event (Mountain Time)","value":"11:50:22"},{"id":151,"name":"Denver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4059 --day 2018-01-08</v>
      </c>
      <c r="AN6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2018-01-08T10:02:53-0700',mode:absolute,to:'2018-01-08T12:50:22-0700'))&amp;_a=(columns:!('Message%20ID',Summary),filters:!(),index:'emp_*',interval:auto,query:(query_string:(analyze_wildcard:!t,query:'%22rtdc.l.rtdc.4059%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730</v>
      </c>
      <c r="B67" s="225">
        <v>4022</v>
      </c>
      <c r="C67" s="227" t="s">
        <v>191</v>
      </c>
      <c r="D67" s="227" t="s">
        <v>580</v>
      </c>
      <c r="E67" s="226">
        <v>43108.429918981485</v>
      </c>
      <c r="F67" s="226">
        <v>43108.437708333331</v>
      </c>
      <c r="G67" s="225">
        <v>99</v>
      </c>
      <c r="H67" s="227" t="s">
        <v>897</v>
      </c>
      <c r="I67" s="226">
        <v>43108.462743055556</v>
      </c>
      <c r="J67" s="225">
        <v>0</v>
      </c>
      <c r="K67" s="237" t="str">
        <f t="shared" si="0"/>
        <v>4021/4022</v>
      </c>
      <c r="L67" s="245" t="str">
        <f>VLOOKUP(A67,'Trips&amp;Operators'!$C$1:$G$99911,5,FALSE)</f>
        <v>DAVIDSON DAVID</v>
      </c>
      <c r="M67" s="224">
        <f t="shared" si="1"/>
        <v>2.5034722224518191E-2</v>
      </c>
      <c r="N67" s="225">
        <f t="shared" si="24"/>
        <v>36.050000003306195</v>
      </c>
      <c r="O67" s="225"/>
      <c r="P67" s="225"/>
      <c r="Q67" s="228"/>
      <c r="R67" s="242"/>
      <c r="S67" s="249">
        <f t="shared" si="25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2018-01-08T09:19:05-0700',mode:absolute,to:'2018-01-08T12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247" t="str">
        <f>IF(AA67&lt;VLOOKUP(AG67,Variables!$AC$3:$AD$8,2,FALSE),"Y","N")</f>
        <v>N</v>
      </c>
      <c r="X67" s="247">
        <f t="shared" si="6"/>
        <v>1</v>
      </c>
      <c r="Y67" s="247">
        <f t="shared" si="26"/>
        <v>4.7699999999999999E-2</v>
      </c>
      <c r="Z67" s="247">
        <f t="shared" si="27"/>
        <v>23.327200000000001</v>
      </c>
      <c r="AA67" s="247">
        <f t="shared" si="9"/>
        <v>23.279500000000002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67" s="234" t="str">
        <f t="shared" si="12"/>
        <v>"C:\Program Files (x86)\AstroGrep\AstroGrep.exe" /e /r /s /spath="%USERPROFILE%\AppData\Local\Temp\OnboardLogs" /stypes="app*4022*20180108*"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155-08 --locoid 4022 --swversion DE.1.0.9.0 --startMP 204:477 --initTime 2018-01-08T10:19:05 --startdatetime 2018-01-08T10:30:18 --delay 99 --endMP 204:233272 --enddatetime 2018-01-08T11:06:21 --enforcementcount 0 &gt;&gt;%USERPROFILE%\Documents\GitHub\eaglep3-reporting\EC\2018-01-08-refined-times.txt</v>
      </c>
      <c r="AI6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{"issue":{"subject":"","project_id":79,"tracker_id":40,"status_id":1,"priority_id":2,"assigned_to_id":338,"start_date":"2018-01-08","description":"","custom_fields":[{"id":1,"name":"Subdivision","value":"EC"},{"id":4,"name":"Milepost","value":"23.3272"},{"id":17,"name":"Train ID","value":"155-08"},{"id":16,"name":"Locomotive ID","value":"4022"},{"id":130,"name":"Impact","value":""},{"id":150,"name":"Time of Event (Mountain Time)","value":"11:06:21"},{"id":151,"name":"Denver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4022 --day 2018-01-08</v>
      </c>
      <c r="AN6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2018-01-08T09:19:05-0700',mode:absolute,to:'2018-01-08T12:06:21-0700'))&amp;_a=(columns:!('Message%20ID',Summary),filters:!(),index:'emp_*',interval:auto,query:(query_string:(analyze_wildcard:!t,query:'%22rtdc.l.rtdc.4022%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740</v>
      </c>
      <c r="B68" s="225">
        <v>4021</v>
      </c>
      <c r="C68" s="227" t="s">
        <v>191</v>
      </c>
      <c r="D68" s="227" t="s">
        <v>899</v>
      </c>
      <c r="E68" s="226">
        <v>43108.464618055557</v>
      </c>
      <c r="F68" s="226">
        <v>43108.47729166667</v>
      </c>
      <c r="G68" s="225">
        <v>71</v>
      </c>
      <c r="H68" s="227" t="s">
        <v>463</v>
      </c>
      <c r="I68" s="226">
        <v>43108.503923611112</v>
      </c>
      <c r="J68" s="225">
        <v>0</v>
      </c>
      <c r="K68" s="237" t="str">
        <f t="shared" si="0"/>
        <v>4021/4022</v>
      </c>
      <c r="L68" s="245" t="str">
        <f>VLOOKUP(A68,'Trips&amp;Operators'!$C$1:$G$99911,5,FALSE)</f>
        <v>DAVIDSON DAVID</v>
      </c>
      <c r="M68" s="224">
        <f t="shared" si="1"/>
        <v>2.6631944441760425E-2</v>
      </c>
      <c r="N68" s="225">
        <f t="shared" si="24"/>
        <v>38.349999996135011</v>
      </c>
      <c r="O68" s="225"/>
      <c r="P68" s="225"/>
      <c r="Q68" s="228"/>
      <c r="R68" s="242"/>
      <c r="S68" s="249">
        <f t="shared" si="25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2018-01-08T10:09:03-0700',mode:absolute,to:'2018-01-08T13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247" t="str">
        <f>IF(AA68&lt;VLOOKUP(AG68,Variables!$AC$3:$AD$8,2,FALSE),"Y","N")</f>
        <v>N</v>
      </c>
      <c r="X68" s="247">
        <f t="shared" si="6"/>
        <v>1</v>
      </c>
      <c r="Y68" s="247">
        <f t="shared" si="26"/>
        <v>23.2944</v>
      </c>
      <c r="Z68" s="247">
        <f t="shared" si="27"/>
        <v>2.0500000000000001E-2</v>
      </c>
      <c r="AA68" s="247">
        <f t="shared" si="9"/>
        <v>23.273900000000001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68" s="234" t="str">
        <f t="shared" si="12"/>
        <v>"C:\Program Files (x86)\AstroGrep\AstroGrep.exe" /e /r /s /spath="%USERPROFILE%\AppData\Local\Temp\OnboardLogs" /stypes="app*4021*20180108*" /stext=" 19:.+((SYSTEM_STATE.+slice.+state.+changed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156-08 --locoid 4021 --swversion DE.1.0.9.0 --startMP 204:232944 --initTime 2018-01-08T11:09:03 --startdatetime 2018-01-08T11:27:18 --delay 71 --endMP 204:205 --enddatetime 2018-01-08T12:05:39 --enforcementcount 0 &gt;&gt;%USERPROFILE%\Documents\GitHub\eaglep3-reporting\EC\2018-01-08-refined-times.txt</v>
      </c>
      <c r="AI6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ID","value":"156-08"},{"id":16,"name":"Locomotive ID","value":"4021"},{"id":130,"name":"Impact","value":""},{"id":150,"name":"Time of Event (Mountain Time)","value":"12:05:39"},{"id":151,"name":"Denver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4021 --day 2018-01-08</v>
      </c>
      <c r="AN6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2018-01-08T10:09:03-0700',mode:absolute,to:'2018-01-08T13:05:39-0700'))&amp;_a=(columns:!('Message%20ID',Summary),filters:!(),index:'emp_*',interval:auto,query:(query_string:(analyze_wildcard:!t,query:'%22rtdc.l.rtdc.4021%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733</v>
      </c>
      <c r="B69" s="225">
        <v>4044</v>
      </c>
      <c r="C69" s="227" t="s">
        <v>191</v>
      </c>
      <c r="D69" s="227" t="s">
        <v>900</v>
      </c>
      <c r="E69" s="226">
        <v>43108.444768518515</v>
      </c>
      <c r="F69" s="226">
        <v>43108.448078703703</v>
      </c>
      <c r="G69" s="225">
        <v>83</v>
      </c>
      <c r="H69" s="227" t="s">
        <v>494</v>
      </c>
      <c r="I69" s="226">
        <v>43108.473865740743</v>
      </c>
      <c r="J69" s="225">
        <v>0</v>
      </c>
      <c r="K69" s="237" t="str">
        <f t="shared" si="0"/>
        <v>4043/4044</v>
      </c>
      <c r="L69" s="245" t="str">
        <f>VLOOKUP(A69,'Trips&amp;Operators'!$C$1:$G$99911,5,FALSE)</f>
        <v>BADERTSCHER DIANE</v>
      </c>
      <c r="M69" s="224">
        <f t="shared" si="1"/>
        <v>2.5787037040572613E-2</v>
      </c>
      <c r="N69" s="225">
        <f t="shared" si="24"/>
        <v>37.133333338424563</v>
      </c>
      <c r="O69" s="225"/>
      <c r="P69" s="225"/>
      <c r="Q69" s="228"/>
      <c r="R69" s="242"/>
      <c r="S69" s="249">
        <f t="shared" si="25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2018-01-08T09:40:28-0700',mode:absolute,to:'2018-01-08T12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247" t="str">
        <f>IF(AA69&lt;VLOOKUP(AG69,Variables!$AC$3:$AD$8,2,FALSE),"Y","N")</f>
        <v>N</v>
      </c>
      <c r="X69" s="247">
        <f t="shared" si="6"/>
        <v>1</v>
      </c>
      <c r="Y69" s="247">
        <f t="shared" si="26"/>
        <v>4.3799999999999999E-2</v>
      </c>
      <c r="Z69" s="247">
        <f t="shared" si="27"/>
        <v>23.325099999999999</v>
      </c>
      <c r="AA69" s="247">
        <f t="shared" si="9"/>
        <v>23.281299999999998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69" s="234" t="str">
        <f t="shared" si="12"/>
        <v>"C:\Program Files (x86)\AstroGrep\AstroGrep.exe" /e /r /s /spath="%USERPROFILE%\AppData\Local\Temp\OnboardLogs" /stypes="app*4044*20180108*"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157-08 --locoid 4044 --swversion DE.1.0.9.0 --startMP 204:438 --initTime 2018-01-08T10:40:28 --startdatetime 2018-01-08T10:45:14 --delay 83 --endMP 204:233251 --enddatetime 2018-01-08T11:22:22 --enforcementcount 0 &gt;&gt;%USERPROFILE%\Documents\GitHub\eaglep3-reporting\EC\2018-01-08-refined-times.txt</v>
      </c>
      <c r="AI6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{"issue":{"subject":"","project_id":79,"tracker_id":40,"status_id":1,"priority_id":2,"assigned_to_id":338,"start_date":"2018-01-08","description":"","custom_fields":[{"id":1,"name":"Subdivision","value":"EC"},{"id":4,"name":"Milepost","value":"23.3251"},{"id":17,"name":"Train ID","value":"157-08"},{"id":16,"name":"Locomotive ID","value":"4044"},{"id":130,"name":"Impact","value":""},{"id":150,"name":"Time of Event (Mountain Time)","value":"11:22:22"},{"id":151,"name":"Denver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4044 --day 2018-01-08</v>
      </c>
      <c r="AN6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2018-01-08T09:40:28-0700',mode:absolute,to:'2018-01-08T12:22:22-0700'))&amp;_a=(columns:!('Message%20ID',Summary),filters:!(),index:'emp_*',interval:auto,query:(query_string:(analyze_wildcard:!t,query:'%22rtdc.l.rtdc.4044%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746</v>
      </c>
      <c r="B70" s="225">
        <v>4043</v>
      </c>
      <c r="C70" s="227" t="s">
        <v>191</v>
      </c>
      <c r="D70" s="227" t="s">
        <v>901</v>
      </c>
      <c r="E70" s="226">
        <v>43108.482442129629</v>
      </c>
      <c r="F70" s="226">
        <v>43108.487812500003</v>
      </c>
      <c r="G70" s="225">
        <v>84</v>
      </c>
      <c r="H70" s="227" t="s">
        <v>515</v>
      </c>
      <c r="I70" s="226">
        <v>43108.515138888892</v>
      </c>
      <c r="J70" s="225">
        <v>0</v>
      </c>
      <c r="K70" s="237" t="str">
        <f t="shared" si="0"/>
        <v>4043/4044</v>
      </c>
      <c r="L70" s="245" t="str">
        <f>VLOOKUP(A70,'Trips&amp;Operators'!$C$1:$G$99911,5,FALSE)</f>
        <v>BADERTSCHER DIANE</v>
      </c>
      <c r="M70" s="224">
        <f t="shared" si="1"/>
        <v>2.73263888884685E-2</v>
      </c>
      <c r="N70" s="225">
        <f t="shared" si="24"/>
        <v>39.34999999939464</v>
      </c>
      <c r="O70" s="225"/>
      <c r="P70" s="225"/>
      <c r="Q70" s="228"/>
      <c r="R70" s="242"/>
      <c r="S70" s="249">
        <f t="shared" si="25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2018-01-08T10:34:43-0700',mode:absolute,to:'2018-01-08T13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247" t="str">
        <f>IF(AA70&lt;VLOOKUP(AG70,Variables!$AC$3:$AD$8,2,FALSE),"Y","N")</f>
        <v>N</v>
      </c>
      <c r="X70" s="247">
        <f t="shared" si="6"/>
        <v>1</v>
      </c>
      <c r="Y70" s="247">
        <f t="shared" si="26"/>
        <v>23.2943</v>
      </c>
      <c r="Z70" s="247">
        <f t="shared" si="27"/>
        <v>2.12E-2</v>
      </c>
      <c r="AA70" s="247">
        <f t="shared" si="9"/>
        <v>23.273099999999999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70" s="234" t="str">
        <f t="shared" si="12"/>
        <v>"C:\Program Files (x86)\AstroGrep\AstroGrep.exe" /e /r /s /spath="%USERPROFILE%\AppData\Local\Temp\OnboardLogs" /stypes="app*4043*20180108*"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158-08 --locoid 4043 --swversion DE.1.0.9.0 --startMP 204:232943 --initTime 2018-01-08T11:34:43 --startdatetime 2018-01-08T11:42:27 --delay 84 --endMP 204:212 --enddatetime 2018-01-08T12:21:48 --enforcementcount 0 &gt;&gt;%USERPROFILE%\Documents\GitHub\eaglep3-reporting\EC\2018-01-08-refined-times.txt</v>
      </c>
      <c r="AI7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{"issue":{"subject":"","project_id":79,"tracker_id":40,"status_id":1,"priority_id":2,"assigned_to_id":338,"start_date":"2018-01-08","description":"","custom_fields":[{"id":1,"name":"Subdivision","value":"EC"},{"id":4,"name":"Milepost","value":"0.0212"},{"id":17,"name":"Train ID","value":"158-08"},{"id":16,"name":"Locomotive ID","value":"4043"},{"id":130,"name":"Impact","value":""},{"id":150,"name":"Time of Event (Mountain Time)","value":"12:21:48"},{"id":151,"name":"Denver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4043 --day 2018-01-08</v>
      </c>
      <c r="AN7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2018-01-08T10:34:43-0700',mode:absolute,to:'2018-01-08T13:21:48-0700'))&amp;_a=(columns:!('Message%20ID',Summary),filters:!(),index:'emp_*',interval:auto,query:(query_string:(analyze_wildcard:!t,query:'%22rtdc.l.rtdc.4043%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735</v>
      </c>
      <c r="B71" s="225">
        <v>4054</v>
      </c>
      <c r="C71" s="227" t="s">
        <v>191</v>
      </c>
      <c r="D71" s="227" t="s">
        <v>464</v>
      </c>
      <c r="E71" s="226">
        <v>43108.452280092592</v>
      </c>
      <c r="F71" s="226">
        <v>43108.458495370367</v>
      </c>
      <c r="G71" s="225">
        <v>69</v>
      </c>
      <c r="H71" s="227" t="s">
        <v>542</v>
      </c>
      <c r="I71" s="226">
        <v>43108.482002314813</v>
      </c>
      <c r="J71" s="225">
        <v>0</v>
      </c>
      <c r="K71" s="237" t="str">
        <f t="shared" si="0"/>
        <v>4053/4054</v>
      </c>
      <c r="L71" s="245" t="str">
        <f>VLOOKUP(A71,'Trips&amp;Operators'!$C$1:$G$99911,5,FALSE)</f>
        <v>ROMERO CHAD</v>
      </c>
      <c r="M71" s="224">
        <f t="shared" si="1"/>
        <v>2.3506944446125999E-2</v>
      </c>
      <c r="N71" s="225">
        <f t="shared" si="24"/>
        <v>33.850000002421439</v>
      </c>
      <c r="O71" s="225"/>
      <c r="P71" s="225"/>
      <c r="Q71" s="228"/>
      <c r="R71" s="242"/>
      <c r="S71" s="249">
        <f t="shared" si="25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2018-01-08T09:51:17-0700',mode:absolute,to:'2018-01-08T12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1" s="247" t="str">
        <f>IF(AA71&lt;VLOOKUP(AG71,Variables!$AC$3:$AD$8,2,FALSE),"Y","N")</f>
        <v>N</v>
      </c>
      <c r="X71" s="247">
        <f t="shared" si="6"/>
        <v>1</v>
      </c>
      <c r="Y71" s="247">
        <f t="shared" si="26"/>
        <v>5.1700000000000003E-2</v>
      </c>
      <c r="Z71" s="247">
        <f t="shared" si="27"/>
        <v>23.331099999999999</v>
      </c>
      <c r="AA71" s="247">
        <f t="shared" si="9"/>
        <v>23.279399999999999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71" s="234" t="str">
        <f t="shared" si="12"/>
        <v>"C:\Program Files (x86)\AstroGrep\AstroGrep.exe" /e /r /s /spath="%USERPROFILE%\AppData\Local\Temp\OnboardLogs" /stypes="app*4054*20180108*"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159-08 --locoid 4054 --swversion DE.1.0.9.0 --startMP 204:517 --initTime 2018-01-08T10:51:17 --startdatetime 2018-01-08T11:00:14 --delay 69 --endMP 204:233311 --enddatetime 2018-01-08T11:34:05 --enforcementcount 0 &gt;&gt;%USERPROFILE%\Documents\GitHub\eaglep3-reporting\EC\2018-01-08-refined-times.txt</v>
      </c>
      <c r="AI7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{"issue":{"subject":"","project_id":79,"tracker_id":40,"status_id":1,"priority_id":2,"assigned_to_id":338,"start_date":"2018-01-08","description":"","custom_fields":[{"id":1,"name":"Subdivision","value":"EC"},{"id":4,"name":"Milepost","value":"23.3311"},{"id":17,"name":"Train ID","value":"159-08"},{"id":16,"name":"Locomotive ID","value":"4054"},{"id":130,"name":"Impact","value":""},{"id":150,"name":"Time of Event (Mountain Time)","value":"11:34:05"},{"id":151,"name":"Denver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4054 --day 2018-01-08</v>
      </c>
      <c r="AN7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2018-01-08T09:51:17-0700',mode:absolute,to:'2018-01-08T12:34:05-0700'))&amp;_a=(columns:!('Message%20ID',Summary),filters:!(),index:'emp_*',interval:auto,query:(query_string:(analyze_wildcard:!t,query:'%22rtdc.l.rtdc.4054%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747</v>
      </c>
      <c r="B72" s="225">
        <v>4053</v>
      </c>
      <c r="C72" s="227" t="s">
        <v>191</v>
      </c>
      <c r="D72" s="227" t="s">
        <v>873</v>
      </c>
      <c r="E72" s="226">
        <v>43108.483344907407</v>
      </c>
      <c r="F72" s="226">
        <v>43108.498333333337</v>
      </c>
      <c r="G72" s="225">
        <v>89</v>
      </c>
      <c r="H72" s="227" t="s">
        <v>902</v>
      </c>
      <c r="I72" s="226">
        <v>43108.523263888892</v>
      </c>
      <c r="J72" s="225">
        <v>0</v>
      </c>
      <c r="K72" s="237" t="str">
        <f t="shared" si="0"/>
        <v>4053/4054</v>
      </c>
      <c r="L72" s="245" t="str">
        <f>VLOOKUP(A72,'Trips&amp;Operators'!$C$1:$G$99911,5,FALSE)</f>
        <v>ROMERO CHAD</v>
      </c>
      <c r="M72" s="224">
        <f t="shared" si="1"/>
        <v>2.4930555555329192E-2</v>
      </c>
      <c r="N72" s="225">
        <f t="shared" si="24"/>
        <v>35.899999999674037</v>
      </c>
      <c r="O72" s="225"/>
      <c r="P72" s="225"/>
      <c r="Q72" s="228"/>
      <c r="R72" s="242"/>
      <c r="S72" s="249">
        <f t="shared" si="25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2018-01-08T10:36:01-0700',mode:absolute,to:'2018-01-08T13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247" t="str">
        <f>IF(AA72&lt;VLOOKUP(AG72,Variables!$AC$3:$AD$8,2,FALSE),"Y","N")</f>
        <v>N</v>
      </c>
      <c r="X72" s="247">
        <f t="shared" si="6"/>
        <v>1</v>
      </c>
      <c r="Y72" s="247">
        <f t="shared" si="26"/>
        <v>23.298400000000001</v>
      </c>
      <c r="Z72" s="247">
        <f t="shared" si="27"/>
        <v>1.89E-2</v>
      </c>
      <c r="AA72" s="247">
        <f t="shared" si="9"/>
        <v>23.279500000000002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72" s="234" t="str">
        <f t="shared" si="12"/>
        <v>"C:\Program Files (x86)\AstroGrep\AstroGrep.exe" /e /r /s /spath="%USERPROFILE%\AppData\Local\Temp\OnboardLogs" /stypes="app*4053*20180108*"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160-08 --locoid 4053 --swversion DE.1.0.9.0 --startMP 204:232984 --initTime 2018-01-08T11:36:01 --startdatetime 2018-01-08T11:57:36 --delay 89 --endMP 204:189 --enddatetime 2018-01-08T12:33:30 --enforcementcount 0 &gt;&gt;%USERPROFILE%\Documents\GitHub\eaglep3-reporting\EC\2018-01-08-refined-times.txt</v>
      </c>
      <c r="AI7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{"issue":{"subject":"","project_id":79,"tracker_id":40,"status_id":1,"priority_id":2,"assigned_to_id":338,"start_date":"2018-01-08","description":"","custom_fields":[{"id":1,"name":"Subdivision","value":"EC"},{"id":4,"name":"Milepost","value":"0.0189"},{"id":17,"name":"Train ID","value":"160-08"},{"id":16,"name":"Locomotive ID","value":"4053"},{"id":130,"name":"Impact","value":""},{"id":150,"name":"Time of Event (Mountain Time)","value":"12:33:30"},{"id":151,"name":"Denver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4053 --day 2018-01-08</v>
      </c>
      <c r="AN7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2018-01-08T10:36:01-0700',mode:absolute,to:'2018-01-08T13:33:30-0700'))&amp;_a=(columns:!('Message%20ID',Summary),filters:!(),index:'emp_*',interval:auto,query:(query_string:(analyze_wildcard:!t,query:'%22rtdc.l.rtdc.4053%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739</v>
      </c>
      <c r="B73" s="225">
        <v>4052</v>
      </c>
      <c r="C73" s="227" t="s">
        <v>191</v>
      </c>
      <c r="D73" s="227" t="s">
        <v>483</v>
      </c>
      <c r="E73" s="226">
        <v>43108.463865740741</v>
      </c>
      <c r="F73" s="226">
        <v>43108.4690162037</v>
      </c>
      <c r="G73" s="225">
        <v>105</v>
      </c>
      <c r="H73" s="227" t="s">
        <v>514</v>
      </c>
      <c r="I73" s="226">
        <v>43108.494479166664</v>
      </c>
      <c r="J73" s="225">
        <v>0</v>
      </c>
      <c r="K73" s="237" t="str">
        <f t="shared" si="0"/>
        <v>4051/4052</v>
      </c>
      <c r="L73" s="245" t="str">
        <f>VLOOKUP(A73,'Trips&amp;Operators'!$C$1:$G$99911,5,FALSE)</f>
        <v>DAVIS MICHAEL</v>
      </c>
      <c r="M73" s="224">
        <f t="shared" si="1"/>
        <v>2.5462962963501923E-2</v>
      </c>
      <c r="N73" s="225">
        <f t="shared" si="24"/>
        <v>36.666666667442769</v>
      </c>
      <c r="O73" s="225"/>
      <c r="P73" s="225"/>
      <c r="Q73" s="228"/>
      <c r="R73" s="242"/>
      <c r="S73" s="249">
        <f t="shared" si="25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2018-01-08T10:07:58-0700',mode:absolute,to:'2018-01-08T12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3" s="247" t="str">
        <f>IF(AA73&lt;VLOOKUP(AG73,Variables!$AC$3:$AD$8,2,FALSE),"Y","N")</f>
        <v>N</v>
      </c>
      <c r="X73" s="247">
        <f t="shared" si="6"/>
        <v>1</v>
      </c>
      <c r="Y73" s="247">
        <f t="shared" si="26"/>
        <v>4.6899999999999997E-2</v>
      </c>
      <c r="Z73" s="247">
        <f t="shared" si="27"/>
        <v>23.331700000000001</v>
      </c>
      <c r="AA73" s="247">
        <f t="shared" si="9"/>
        <v>23.284800000000001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73" s="234" t="str">
        <f t="shared" si="12"/>
        <v>"C:\Program Files (x86)\AstroGrep\AstroGrep.exe" /e /r /s /spath="%USERPROFILE%\AppData\Local\Temp\OnboardLogs" /stypes="app*4052*20180108*"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161-08 --locoid 4052 --swversion DE.1.0.9.0 --startMP 204:469 --initTime 2018-01-08T11:07:58 --startdatetime 2018-01-08T11:15:23 --delay 105 --endMP 204:233317 --enddatetime 2018-01-08T11:52:03 --enforcementcount 0 &gt;&gt;%USERPROFILE%\Documents\GitHub\eaglep3-reporting\EC\2018-01-08-refined-times.txt</v>
      </c>
      <c r="AI7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{"issue":{"subject":"","project_id":79,"tracker_id":40,"status_id":1,"priority_id":2,"assigned_to_id":338,"start_date":"2018-01-08","description":"","custom_fields":[{"id":1,"name":"Subdivision","value":"EC"},{"id":4,"name":"Milepost","value":"23.3317"},{"id":17,"name":"Train ID","value":"161-08"},{"id":16,"name":"Locomotive ID","value":"4052"},{"id":130,"name":"Impact","value":""},{"id":150,"name":"Time of Event (Mountain Time)","value":"11:52:03"},{"id":151,"name":"Denver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4052 --day 2018-01-08</v>
      </c>
      <c r="AN7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2018-01-08T10:07:58-0700',mode:absolute,to:'2018-01-08T12:52:03-0700'))&amp;_a=(columns:!('Message%20ID',Summary),filters:!(),index:'emp_*',interval:auto,query:(query_string:(analyze_wildcard:!t,query:'%22rtdc.l.rtdc.4052%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753</v>
      </c>
      <c r="B74" s="225">
        <v>4051</v>
      </c>
      <c r="C74" s="227" t="s">
        <v>191</v>
      </c>
      <c r="D74" s="227" t="s">
        <v>903</v>
      </c>
      <c r="E74" s="226">
        <v>43108.505393518521</v>
      </c>
      <c r="F74" s="226">
        <v>43108.508622685185</v>
      </c>
      <c r="G74" s="225">
        <v>77</v>
      </c>
      <c r="H74" s="227" t="s">
        <v>472</v>
      </c>
      <c r="I74" s="226">
        <v>43108.53564814815</v>
      </c>
      <c r="J74" s="225">
        <v>0</v>
      </c>
      <c r="K74" s="237" t="str">
        <f t="shared" si="0"/>
        <v>4051/4052</v>
      </c>
      <c r="L74" s="245" t="str">
        <f>VLOOKUP(A74,'Trips&amp;Operators'!$C$1:$G$99911,5,FALSE)</f>
        <v>DAVIS MICHAEL</v>
      </c>
      <c r="M74" s="224">
        <f t="shared" si="1"/>
        <v>2.7025462964957114E-2</v>
      </c>
      <c r="N74" s="225">
        <f t="shared" si="24"/>
        <v>38.916666669538245</v>
      </c>
      <c r="O74" s="225"/>
      <c r="P74" s="225"/>
      <c r="Q74" s="228"/>
      <c r="R74" s="242"/>
      <c r="S74" s="249">
        <f t="shared" si="25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2018-01-08T11:07:46-0700',mode:absolute,to:'2018-01-08T13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4" s="247" t="str">
        <f>IF(AA74&lt;VLOOKUP(AG74,Variables!$AC$3:$AD$8,2,FALSE),"Y","N")</f>
        <v>N</v>
      </c>
      <c r="X74" s="247">
        <f t="shared" si="6"/>
        <v>1</v>
      </c>
      <c r="Y74" s="247">
        <f t="shared" si="26"/>
        <v>23.3002</v>
      </c>
      <c r="Z74" s="247">
        <f t="shared" si="27"/>
        <v>2.1399999999999999E-2</v>
      </c>
      <c r="AA74" s="247">
        <f t="shared" si="9"/>
        <v>23.2788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74" s="234" t="str">
        <f t="shared" si="12"/>
        <v>"C:\Program Files (x86)\AstroGrep\AstroGrep.exe" /e /r /s /spath="%USERPROFILE%\AppData\Local\Temp\OnboardLogs" /stypes="app*4051*20180108*"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162-08 --locoid 4051 --swversion DE.1.0.9.0 --startMP 204:233002 --initTime 2018-01-08T12:07:46 --startdatetime 2018-01-08T12:12:25 --delay 77 --endMP 204:214 --enddatetime 2018-01-08T12:51:20 --enforcementcount 0 &gt;&gt;%USERPROFILE%\Documents\GitHub\eaglep3-reporting\EC\2018-01-08-refined-times.txt</v>
      </c>
      <c r="AI7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ID","value":"162-08"},{"id":16,"name":"Locomotive ID","value":"4051"},{"id":130,"name":"Impact","value":""},{"id":150,"name":"Time of Event (Mountain Time)","value":"12:51:20"},{"id":151,"name":"Denver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4051 --day 2018-01-08</v>
      </c>
      <c r="AN7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2018-01-08T11:07:46-0700',mode:absolute,to:'2018-01-08T13:51:20-0700'))&amp;_a=(columns:!('Message%20ID',Summary),filters:!(),index:'emp_*',interval:auto,query:(query_string:(analyze_wildcard:!t,query:'%22rtdc.l.rtdc.4051%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743</v>
      </c>
      <c r="B75" s="225">
        <v>4018</v>
      </c>
      <c r="C75" s="227" t="s">
        <v>191</v>
      </c>
      <c r="D75" s="227" t="s">
        <v>904</v>
      </c>
      <c r="E75" s="226">
        <v>43108.47378472222</v>
      </c>
      <c r="F75" s="226">
        <v>43108.479398148149</v>
      </c>
      <c r="G75" s="225">
        <v>108</v>
      </c>
      <c r="H75" s="227" t="s">
        <v>542</v>
      </c>
      <c r="I75" s="226">
        <v>43108.503819444442</v>
      </c>
      <c r="J75" s="225">
        <v>0</v>
      </c>
      <c r="K75" s="237" t="str">
        <f t="shared" si="0"/>
        <v>4017/4018</v>
      </c>
      <c r="L75" s="245" t="str">
        <f>VLOOKUP(A75,'Trips&amp;Operators'!$C$1:$G$99911,5,FALSE)</f>
        <v>STEWART MICHAEL</v>
      </c>
      <c r="M75" s="224">
        <f t="shared" si="1"/>
        <v>2.4421296293439809E-2</v>
      </c>
      <c r="N75" s="225">
        <f t="shared" si="24"/>
        <v>35.166666662553325</v>
      </c>
      <c r="O75" s="225"/>
      <c r="P75" s="225"/>
      <c r="Q75" s="228"/>
      <c r="R75" s="242"/>
      <c r="S75" s="249">
        <f t="shared" si="25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2018-01-08T10:22:15-0700',mode:absolute,to:'2018-01-08T13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47" t="str">
        <f>IF(AA75&lt;VLOOKUP(AG75,Variables!$AC$3:$AD$8,2,FALSE),"Y","N")</f>
        <v>N</v>
      </c>
      <c r="X75" s="247">
        <f t="shared" si="6"/>
        <v>1</v>
      </c>
      <c r="Y75" s="247">
        <f t="shared" si="26"/>
        <v>4.6699999999999998E-2</v>
      </c>
      <c r="Z75" s="247">
        <f t="shared" si="27"/>
        <v>23.331099999999999</v>
      </c>
      <c r="AA75" s="247">
        <f t="shared" si="9"/>
        <v>23.284399999999998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75" s="234" t="str">
        <f t="shared" si="12"/>
        <v>"C:\Program Files (x86)\AstroGrep\AstroGrep.exe" /e /r /s /spath="%USERPROFILE%\AppData\Local\Temp\OnboardLogs" /stypes="app*4018*20180108*"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163-08 --locoid 4018 --swversion DE.1.0.9.0 --startMP 204:467 --initTime 2018-01-08T11:22:15 --startdatetime 2018-01-08T11:30:20 --delay 108 --endMP 204:233311 --enddatetime 2018-01-08T12:05:30 --enforcementcount 0 &gt;&gt;%USERPROFILE%\Documents\GitHub\eaglep3-reporting\EC\2018-01-08-refined-times.txt</v>
      </c>
      <c r="AI7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{"issue":{"subject":"","project_id":79,"tracker_id":40,"status_id":1,"priority_id":2,"assigned_to_id":338,"start_date":"2018-01-08","description":"","custom_fields":[{"id":1,"name":"Subdivision","value":"EC"},{"id":4,"name":"Milepost","value":"23.3311"},{"id":17,"name":"Train ID","value":"163-08"},{"id":16,"name":"Locomotive ID","value":"4018"},{"id":130,"name":"Impact","value":""},{"id":150,"name":"Time of Event (Mountain Time)","value":"12:05:30"},{"id":151,"name":"Denver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4018 --day 2018-01-08</v>
      </c>
      <c r="AN7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2018-01-08T10:22:15-0700',mode:absolute,to:'2018-01-08T13:05:30-0700'))&amp;_a=(columns:!('Message%20ID',Summary),filters:!(),index:'emp_*',interval:auto,query:(query_string:(analyze_wildcard:!t,query:'%22rtdc.l.rtdc.4018%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629</v>
      </c>
      <c r="B76" s="225">
        <v>4017</v>
      </c>
      <c r="C76" s="227" t="s">
        <v>191</v>
      </c>
      <c r="D76" s="227" t="s">
        <v>601</v>
      </c>
      <c r="E76" s="226">
        <v>43108.515949074077</v>
      </c>
      <c r="F76" s="226">
        <v>43108.518958333334</v>
      </c>
      <c r="G76" s="225">
        <v>74</v>
      </c>
      <c r="H76" s="227" t="s">
        <v>481</v>
      </c>
      <c r="I76" s="226">
        <v>43108.545659722222</v>
      </c>
      <c r="J76" s="225">
        <v>0</v>
      </c>
      <c r="K76" s="237" t="str">
        <f t="shared" si="0"/>
        <v>4017/4018</v>
      </c>
      <c r="L76" s="245" t="str">
        <f>VLOOKUP(A76,'Trips&amp;Operators'!$C$1:$G$99911,5,FALSE)</f>
        <v>STEWART MICHAEL</v>
      </c>
      <c r="M76" s="224">
        <f t="shared" si="1"/>
        <v>2.6701388887886424E-2</v>
      </c>
      <c r="N76" s="225">
        <f t="shared" si="24"/>
        <v>38.44999999855645</v>
      </c>
      <c r="O76" s="225"/>
      <c r="P76" s="225"/>
      <c r="Q76" s="228"/>
      <c r="R76" s="242"/>
      <c r="S76" s="249">
        <f t="shared" si="25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2018-01-08T11:22:58-0700',mode:absolute,to:'2018-01-08T14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47" t="str">
        <f>IF(AA76&lt;VLOOKUP(AG76,Variables!$AC$3:$AD$8,2,FALSE),"Y","N")</f>
        <v>N</v>
      </c>
      <c r="X76" s="247">
        <f t="shared" si="6"/>
        <v>1</v>
      </c>
      <c r="Y76" s="247">
        <f t="shared" si="26"/>
        <v>23.297799999999999</v>
      </c>
      <c r="Z76" s="247">
        <f t="shared" si="27"/>
        <v>1.72E-2</v>
      </c>
      <c r="AA76" s="247">
        <f t="shared" si="9"/>
        <v>23.2806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164</v>
      </c>
      <c r="AE76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76" s="234" t="str">
        <f t="shared" si="12"/>
        <v>"C:\Program Files (x86)\AstroGrep\AstroGrep.exe" /e /r /s /spath="%USERPROFILE%\AppData\Local\Temp\OnboardLogs" /stypes="app*4017*20180108*" /stext=" 20:.+((SYSTEM_STATE.+slice.+state.+changed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164-08 --locoid 4017 --swversion DE.1.0.9.0 --startMP 204:232978 --initTime 2018-01-08T12:22:58 --startdatetime 2018-01-08T12:27:18 --delay 74 --endMP 204:172 --enddatetime 2018-01-08T13:05:45 --enforcementcount 0 &gt;&gt;%USERPROFILE%\Documents\GitHub\eaglep3-reporting\EC\2018-01-08-refined-times.txt</v>
      </c>
      <c r="AI7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{"issue":{"subject":"","project_id":79,"tracker_id":40,"status_id":1,"priority_id":2,"assigned_to_id":338,"start_date":"2018-01-08","description":"","custom_fields":[{"id":1,"name":"Subdivision","value":"EC"},{"id":4,"name":"Milepost","value":"0.0172"},{"id":17,"name":"Train ID","value":"164-08"},{"id":16,"name":"Locomotive ID","value":"4017"},{"id":130,"name":"Impact","value":""},{"id":150,"name":"Time of Event (Mountain Time)","value":"13:05:45"},{"id":151,"name":"Denver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4017 --day 2018-01-08</v>
      </c>
      <c r="AN7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2018-01-08T11:22:58-0700',mode:absolute,to:'2018-01-08T14:05:45-0700'))&amp;_a=(columns:!('Message%20ID',Summary),filters:!(),index:'emp_*',interval:auto,query:(query_string:(analyze_wildcard:!t,query:'%22rtdc.l.rtdc.4017%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748</v>
      </c>
      <c r="B77" s="225">
        <v>4034</v>
      </c>
      <c r="C77" s="227" t="s">
        <v>191</v>
      </c>
      <c r="D77" s="227" t="s">
        <v>545</v>
      </c>
      <c r="E77" s="226">
        <v>43108.484444444446</v>
      </c>
      <c r="F77" s="226">
        <v>43108.489837962959</v>
      </c>
      <c r="G77" s="225">
        <v>111</v>
      </c>
      <c r="H77" s="227" t="s">
        <v>534</v>
      </c>
      <c r="I77" s="226">
        <v>43108.515787037039</v>
      </c>
      <c r="J77" s="225">
        <v>0</v>
      </c>
      <c r="K77" s="237" t="str">
        <f t="shared" ref="K77:K140" si="28">IF(ISEVEN(B77),(B77-1)&amp;"/"&amp;B77,B77&amp;"/"&amp;(B77+1))</f>
        <v>4033/4034</v>
      </c>
      <c r="L77" s="245" t="str">
        <f>VLOOKUP(A77,'Trips&amp;Operators'!$C$1:$G$99911,5,FALSE)</f>
        <v>LONG FULLER</v>
      </c>
      <c r="M77" s="224">
        <f t="shared" ref="M77:M140" si="29">I77-F77</f>
        <v>2.5949074079107959E-2</v>
      </c>
      <c r="N77" s="225">
        <f t="shared" ref="N77:N87" si="30">24*60*SUM($M77:$M77)</f>
        <v>37.366666673915461</v>
      </c>
      <c r="O77" s="225"/>
      <c r="P77" s="225"/>
      <c r="Q77" s="228"/>
      <c r="R77" s="242"/>
      <c r="S77" s="249">
        <f t="shared" ref="S77:S108" si="31">1/IF(AG77="EC",12,1)*SUM(U77:U77)</f>
        <v>1</v>
      </c>
      <c r="T77" s="242" t="str">
        <f t="shared" ref="T77:T140" si="32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-08T10:37:36-0700',mode:absolute,to:'2018-01-08T13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7" s="247" t="str">
        <f>IF(AA77&lt;VLOOKUP(AG77,Variables!$AC$3:$AD$8,2,FALSE),"Y","N")</f>
        <v>N</v>
      </c>
      <c r="X77" s="247">
        <f t="shared" ref="X77:X140" si="34">VALUE(LEFT(AD77,4))-VALUE(LEFT(AD76,4))</f>
        <v>1</v>
      </c>
      <c r="Y77" s="247">
        <f t="shared" ref="Y77:Y108" si="35">RIGHT(D77,LEN(D77)-4)/10000</f>
        <v>4.9500000000000002E-2</v>
      </c>
      <c r="Z77" s="247">
        <f t="shared" ref="Z77:Z108" si="36">RIGHT(H77,LEN(H77)-4)/10000</f>
        <v>23.328700000000001</v>
      </c>
      <c r="AA77" s="247">
        <f t="shared" ref="AA77:AA140" si="37">ABS(Z77-Y77)</f>
        <v>23.279200000000003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8">VALUE(LEFT(A77,LEN(A77)-3))</f>
        <v>165</v>
      </c>
      <c r="AE77" s="23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77" s="23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/stypes="app*4034*20180108*"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41">DetSubdiv(A77)</f>
        <v>EC</v>
      </c>
      <c r="AH77" s="236" t="str">
        <f t="shared" si="19"/>
        <v>"%USERPROFILE%\Documents\GitHub\eaglep3\Utilities\RefineRTDCRunTimes.py" --tripid 165-08 --locoid 4034 --swversion DE.1.0.9.0 --startMP 204:495 --initTime 2018-01-08T11:37:36 --startdatetime 2018-01-08T11:45:22 --delay 111 --endMP 204:233287 --enddatetime 2018-01-08T12:22:44 --enforcementcount 0 &gt;&gt;%USERPROFILE%\Documents\GitHub\eaglep3-reporting\EC\2018-01-08-refined-times.txt</v>
      </c>
      <c r="AI7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{"issue":{"subject":"","project_id":79,"tracker_id":40,"status_id":1,"priority_id":2,"assigned_to_id":338,"start_date":"2018-01-08","description":"","custom_fields":[{"id":1,"name":"Subdivision","value":"EC"},{"id":4,"name":"Milepost","value":"23.3287"},{"id":17,"name":"Train ID","value":"165-08"},{"id":16,"name":"Locomotive ID","value":"4034"},{"id":130,"name":"Impact","value":""},{"id":150,"name":"Time of Event (Mountain Time)","value":"12:22:44"},{"id":151,"name":"Denver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4034 --day 2018-01-08</v>
      </c>
      <c r="AN7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2018-01-08T10:37:36-0700',mode:absolute,to:'2018-01-08T13:22:44-0700'))&amp;_a=(columns:!('Message%20ID',Summary),filters:!(),index:'emp_*',interval:auto,query:(query_string:(analyze_wildcard:!t,query:'%22rtdc.l.rtdc.4034%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756</v>
      </c>
      <c r="B78" s="225">
        <v>4033</v>
      </c>
      <c r="C78" s="227" t="s">
        <v>191</v>
      </c>
      <c r="D78" s="227" t="s">
        <v>606</v>
      </c>
      <c r="E78" s="226">
        <v>43108.524814814817</v>
      </c>
      <c r="F78" s="226">
        <v>43108.529340277775</v>
      </c>
      <c r="G78" s="225">
        <v>89</v>
      </c>
      <c r="H78" s="227" t="s">
        <v>516</v>
      </c>
      <c r="I78" s="226">
        <v>43108.556875000002</v>
      </c>
      <c r="J78" s="225">
        <v>0</v>
      </c>
      <c r="K78" s="237" t="str">
        <f t="shared" si="28"/>
        <v>4033/4034</v>
      </c>
      <c r="L78" s="245" t="str">
        <f>VLOOKUP(A78,'Trips&amp;Operators'!$C$1:$G$99911,5,FALSE)</f>
        <v>LONG FULLER</v>
      </c>
      <c r="M78" s="224">
        <f t="shared" si="29"/>
        <v>2.7534722226846498E-2</v>
      </c>
      <c r="N78" s="225">
        <f t="shared" si="30"/>
        <v>39.650000006658956</v>
      </c>
      <c r="O78" s="225"/>
      <c r="P78" s="225"/>
      <c r="Q78" s="228"/>
      <c r="R78" s="242"/>
      <c r="S78" s="249">
        <f t="shared" si="31"/>
        <v>1</v>
      </c>
      <c r="T78" s="242" t="str">
        <f t="shared" si="32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3"/>
        <v>https://d0f6bd738d7f1b3e5a7ca70fe4ff75f0.us-east-1.aws.found.io/app/kibana#/discover/Steve-Slow-Train-Analysis-(2080s-and-2083s)?_g=(refreshInterval:(display:Off,pause:!f,section:0,value:0),time:(from:'2018-01-08T11:35:44-0700',mode:absolute,to:'2018-01-08T14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8" s="247" t="str">
        <f>IF(AA78&lt;VLOOKUP(AG78,Variables!$AC$3:$AD$8,2,FALSE),"Y","N")</f>
        <v>N</v>
      </c>
      <c r="X78" s="247">
        <f t="shared" si="34"/>
        <v>1</v>
      </c>
      <c r="Y78" s="247">
        <f t="shared" si="35"/>
        <v>23.297899999999998</v>
      </c>
      <c r="Z78" s="247">
        <f t="shared" si="36"/>
        <v>1.8499999999999999E-2</v>
      </c>
      <c r="AA78" s="247">
        <f t="shared" si="37"/>
        <v>23.279399999999999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8"/>
        <v>166</v>
      </c>
      <c r="AE78" s="235" t="str">
        <f t="shared" si="39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78" s="234" t="str">
        <f t="shared" si="40"/>
        <v>"C:\Program Files (x86)\AstroGrep\AstroGrep.exe" /e /r /s /spath="%USERPROFILE%\AppData\Local\Temp\OnboardLogs" /stypes="app*4033*20180108*" /stext=" 20:.+((SYSTEM_STATE.+slice.+state.+changed )|(ment ac)|(multiple cpu faults)|(system.+state.+changed )|(\[timeout)|(PRM\|1\|D)|(kpr)|(kdp)|(train st.+moving)|(\|lc)|(penalty))"</v>
      </c>
      <c r="AG78" s="244" t="str">
        <f t="shared" si="41"/>
        <v>EC</v>
      </c>
      <c r="AH78" s="236" t="str">
        <f t="shared" ref="AH78:AH142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166-08 --locoid 4033 --swversion DE.1.0.9.0 --startMP 204:232979 --initTime 2018-01-08T12:35:44 --startdatetime 2018-01-08T12:42:15 --delay 89 --endMP 204:185 --enddatetime 2018-01-08T13:21:54 --enforcementcount 0 &gt;&gt;%USERPROFILE%\Documents\GitHub\eaglep3-reporting\EC\2018-01-08-refined-times.txt</v>
      </c>
      <c r="AI78" s="238" t="str">
        <f t="shared" ref="AI78:AI142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{"issue":{"subject":"","project_id":79,"tracker_id":40,"status_id":1,"priority_id":2,"assigned_to_id":338,"start_date":"2018-01-08","description":"","custom_fields":[{"id":1,"name":"Subdivision","value":"EC"},{"id":4,"name":"Milepost","value":"0.0185"},{"id":17,"name":"Train ID","value":"166-08"},{"id":16,"name":"Locomotive ID","value":"4033"},{"id":130,"name":"Impact","value":""},{"id":150,"name":"Time of Event (Mountain Time)","value":"13:21:54"},{"id":151,"name":"Denver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2" si="44">"start /low /b "&amp;dls3logs&amp;" --loco "&amp;B78&amp;" --day "&amp;TEXT(F78,"YYYY-MM-DD")</f>
        <v>start /low /b %USERPROFILE%\Documents\GitHub\eaglep3\Utilities\DownloadLogsFromS3.py --loco 4033 --day 2018-01-08</v>
      </c>
      <c r="AN78" s="241" t="str">
        <f t="shared" ref="AN78:AN142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2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-08T11:35:44-0700',mode:absolute,to:'2018-01-08T14:21:54-0700'))&amp;_a=(columns:!('Message%20ID',Summary),filters:!(),index:'emp_*',interval:auto,query:(query_string:(analyze_wildcard:!t,query:'%22rtdc.l.rtdc.4033%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751</v>
      </c>
      <c r="B79" s="225">
        <v>4060</v>
      </c>
      <c r="C79" s="227" t="s">
        <v>191</v>
      </c>
      <c r="D79" s="227" t="s">
        <v>865</v>
      </c>
      <c r="E79" s="226">
        <v>43108.495173611111</v>
      </c>
      <c r="F79" s="226">
        <v>43108.500185185185</v>
      </c>
      <c r="G79" s="225">
        <v>83</v>
      </c>
      <c r="H79" s="227" t="s">
        <v>577</v>
      </c>
      <c r="I79" s="226">
        <v>43108.524618055555</v>
      </c>
      <c r="J79" s="225">
        <v>0</v>
      </c>
      <c r="K79" s="237" t="str">
        <f t="shared" si="28"/>
        <v>4059/4060</v>
      </c>
      <c r="L79" s="245" t="str">
        <f>VLOOKUP(A79,'Trips&amp;Operators'!$C$1:$G$99911,5,FALSE)</f>
        <v>GUZMAN DANNY</v>
      </c>
      <c r="M79" s="224">
        <f t="shared" si="29"/>
        <v>2.4432870370219462E-2</v>
      </c>
      <c r="N79" s="225">
        <f t="shared" si="30"/>
        <v>35.183333333116025</v>
      </c>
      <c r="O79" s="225"/>
      <c r="P79" s="225"/>
      <c r="Q79" s="228"/>
      <c r="R79" s="242"/>
      <c r="S79" s="249">
        <f t="shared" si="31"/>
        <v>1</v>
      </c>
      <c r="T79" s="242" t="str">
        <f t="shared" si="32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3"/>
        <v>https://d0f6bd738d7f1b3e5a7ca70fe4ff75f0.us-east-1.aws.found.io/app/kibana#/discover/Steve-Slow-Train-Analysis-(2080s-and-2083s)?_g=(refreshInterval:(display:Off,pause:!f,section:0,value:0),time:(from:'2018-01-08T10:53:03-0700',mode:absolute,to:'2018-01-08T13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9" s="247" t="str">
        <f>IF(AA79&lt;VLOOKUP(AG79,Variables!$AC$3:$AD$8,2,FALSE),"Y","N")</f>
        <v>N</v>
      </c>
      <c r="X79" s="247">
        <f t="shared" si="34"/>
        <v>1</v>
      </c>
      <c r="Y79" s="247">
        <f t="shared" si="35"/>
        <v>4.9299999999999997E-2</v>
      </c>
      <c r="Z79" s="247">
        <f t="shared" si="36"/>
        <v>23.3322</v>
      </c>
      <c r="AA79" s="247">
        <f t="shared" si="37"/>
        <v>23.282900000000001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8"/>
        <v>167</v>
      </c>
      <c r="AE79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79" s="234" t="str">
        <f t="shared" si="40"/>
        <v>"C:\Program Files (x86)\AstroGrep\AstroGrep.exe" /e /r /s /spath="%USERPROFILE%\AppData\Local\Temp\OnboardLogs" /stypes="app*4060*20180108*" /stext=" 19:.+((SYSTEM_STATE.+slice.+state.+changed )|(ment ac)|(multiple cpu faults)|(system.+state.+changed )|(\[timeout)|(PRM\|1\|D)|(kpr)|(kdp)|(train st.+moving)|(\|lc)|(penalty))"</v>
      </c>
      <c r="AG79" s="244" t="str">
        <f t="shared" si="41"/>
        <v>EC</v>
      </c>
      <c r="AH79" s="236" t="str">
        <f t="shared" si="42"/>
        <v>"%USERPROFILE%\Documents\GitHub\eaglep3\Utilities\RefineRTDCRunTimes.py" --tripid 167-08 --locoid 4060 --swversion DE.1.0.9.0 --startMP 204:493 --initTime 2018-01-08T11:53:03 --startdatetime 2018-01-08T12:00:16 --delay 83 --endMP 204:233322 --enddatetime 2018-01-08T12:35:27 --enforcementcount 0 &gt;&gt;%USERPROFILE%\Documents\GitHub\eaglep3-reporting\EC\2018-01-08-refined-times.txt</v>
      </c>
      <c r="AI7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{"issue":{"subject":"","project_id":79,"tracker_id":40,"status_id":1,"priority_id":2,"assigned_to_id":338,"start_date":"2018-01-08","description":"","custom_fields":[{"id":1,"name":"Subdivision","value":"EC"},{"id":4,"name":"Milepost","value":"23.3322"},{"id":17,"name":"Train ID","value":"167-08"},{"id":16,"name":"Locomotive ID","value":"4060"},{"id":130,"name":"Impact","value":""},{"id":150,"name":"Time of Event (Mountain Time)","value":"12:35:27"},{"id":151,"name":"Denver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4"/>
        <v>start /low /b %USERPROFILE%\Documents\GitHub\eaglep3\Utilities\DownloadLogsFromS3.py --loco 4060 --day 2018-01-08</v>
      </c>
      <c r="AN79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6"/>
        <v>https://d0f6bd738d7f1b3e5a7ca70fe4ff75f0.us-east-1.aws.found.io/app/kibana#/discover/Steve-Slow-Train-Analysis-(2080s-and-2083s)?_g=(refreshInterval:(display:Off,pause:!f,section:0,value:0),time:(from:'2018-01-08T10:53:03-0700',mode:absolute,to:'2018-01-08T13:35:27-0700'))&amp;_a=(columns:!('Message%20ID',Summary),filters:!(),index:'emp_*',interval:auto,query:(query_string:(analyze_wildcard:!t,query:'%22rtdc.l.rtdc.4060%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758</v>
      </c>
      <c r="B80" s="225">
        <v>4059</v>
      </c>
      <c r="C80" s="227" t="s">
        <v>191</v>
      </c>
      <c r="D80" s="227" t="s">
        <v>905</v>
      </c>
      <c r="E80" s="226">
        <v>43108.531967592593</v>
      </c>
      <c r="F80" s="226">
        <v>43108.539756944447</v>
      </c>
      <c r="G80" s="225">
        <v>67</v>
      </c>
      <c r="H80" s="227" t="s">
        <v>481</v>
      </c>
      <c r="I80" s="226">
        <v>43108.565798611111</v>
      </c>
      <c r="J80" s="225">
        <v>0</v>
      </c>
      <c r="K80" s="237" t="str">
        <f t="shared" si="28"/>
        <v>4059/4060</v>
      </c>
      <c r="L80" s="245" t="str">
        <f>VLOOKUP(A80,'Trips&amp;Operators'!$C$1:$G$99911,5,FALSE)</f>
        <v>GUZMAN DANNY</v>
      </c>
      <c r="M80" s="224">
        <f t="shared" si="29"/>
        <v>2.6041666664241347E-2</v>
      </c>
      <c r="N80" s="225">
        <f t="shared" si="30"/>
        <v>37.49999999650754</v>
      </c>
      <c r="O80" s="225"/>
      <c r="P80" s="225"/>
      <c r="Q80" s="228"/>
      <c r="R80" s="242"/>
      <c r="S80" s="249">
        <f t="shared" si="31"/>
        <v>1</v>
      </c>
      <c r="T80" s="242" t="str">
        <f t="shared" si="32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3"/>
        <v>https://d0f6bd738d7f1b3e5a7ca70fe4ff75f0.us-east-1.aws.found.io/app/kibana#/discover/Steve-Slow-Train-Analysis-(2080s-and-2083s)?_g=(refreshInterval:(display:Off,pause:!f,section:0,value:0),time:(from:'2018-01-08T11:46:02-0700',mode:absolute,to:'2018-01-08T14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0" s="247" t="str">
        <f>IF(AA80&lt;VLOOKUP(AG80,Variables!$AC$3:$AD$8,2,FALSE),"Y","N")</f>
        <v>N</v>
      </c>
      <c r="X80" s="247">
        <f t="shared" si="34"/>
        <v>1</v>
      </c>
      <c r="Y80" s="247">
        <f t="shared" si="35"/>
        <v>23.3032</v>
      </c>
      <c r="Z80" s="247">
        <f t="shared" si="36"/>
        <v>1.72E-2</v>
      </c>
      <c r="AA80" s="247">
        <f t="shared" si="37"/>
        <v>23.286000000000001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8"/>
        <v>168</v>
      </c>
      <c r="AE80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80" s="234" t="str">
        <f t="shared" si="40"/>
        <v>"C:\Program Files (x86)\AstroGrep\AstroGrep.exe" /e /r /s /spath="%USERPROFILE%\AppData\Local\Temp\OnboardLogs" /stypes="app*4059*20180108*" /stext=" 20:.+((SYSTEM_STATE.+slice.+state.+changed )|(ment ac)|(multiple cpu faults)|(system.+state.+changed )|(\[timeout)|(PRM\|1\|D)|(kpr)|(kdp)|(train st.+moving)|(\|lc)|(penalty))"</v>
      </c>
      <c r="AG80" s="244" t="str">
        <f t="shared" si="41"/>
        <v>EC</v>
      </c>
      <c r="AH80" s="236" t="str">
        <f t="shared" si="42"/>
        <v>"%USERPROFILE%\Documents\GitHub\eaglep3\Utilities\RefineRTDCRunTimes.py" --tripid 168-08 --locoid 4059 --swversion DE.1.0.9.0 --startMP 204:233032 --initTime 2018-01-08T12:46:02 --startdatetime 2018-01-08T12:57:15 --delay 67 --endMP 204:172 --enddatetime 2018-01-08T13:34:45 --enforcementcount 0 &gt;&gt;%USERPROFILE%\Documents\GitHub\eaglep3-reporting\EC\2018-01-08-refined-times.txt</v>
      </c>
      <c r="AI8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{"issue":{"subject":"","project_id":79,"tracker_id":40,"status_id":1,"priority_id":2,"assigned_to_id":338,"start_date":"2018-01-08","description":"","custom_fields":[{"id":1,"name":"Subdivision","value":"EC"},{"id":4,"name":"Milepost","value":"0.0172"},{"id":17,"name":"Train ID","value":"168-08"},{"id":16,"name":"Locomotive ID","value":"4059"},{"id":130,"name":"Impact","value":""},{"id":150,"name":"Time of Event (Mountain Time)","value":"13:34:45"},{"id":151,"name":"Denver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4"/>
        <v>start /low /b %USERPROFILE%\Documents\GitHub\eaglep3\Utilities\DownloadLogsFromS3.py --loco 4059 --day 2018-01-08</v>
      </c>
      <c r="AN80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6"/>
        <v>https://d0f6bd738d7f1b3e5a7ca70fe4ff75f0.us-east-1.aws.found.io/app/kibana#/discover/Steve-Slow-Train-Analysis-(2080s-and-2083s)?_g=(refreshInterval:(display:Off,pause:!f,section:0,value:0),time:(from:'2018-01-08T11:46:02-0700',mode:absolute,to:'2018-01-08T14:34:45-0700'))&amp;_a=(columns:!('Message%20ID',Summary),filters:!(),index:'emp_*',interval:auto,query:(query_string:(analyze_wildcard:!t,query:'%22rtdc.l.rtdc.4059%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754</v>
      </c>
      <c r="B81" s="225">
        <v>4022</v>
      </c>
      <c r="C81" s="227" t="s">
        <v>191</v>
      </c>
      <c r="D81" s="227" t="s">
        <v>881</v>
      </c>
      <c r="E81" s="226">
        <v>43108.508032407408</v>
      </c>
      <c r="F81" s="226">
        <v>43108.510671296295</v>
      </c>
      <c r="G81" s="225">
        <v>99</v>
      </c>
      <c r="H81" s="227" t="s">
        <v>906</v>
      </c>
      <c r="I81" s="226">
        <v>43108.535671296297</v>
      </c>
      <c r="J81" s="225">
        <v>0</v>
      </c>
      <c r="K81" s="237" t="str">
        <f t="shared" si="28"/>
        <v>4021/4022</v>
      </c>
      <c r="L81" s="245" t="str">
        <f>VLOOKUP(A81,'Trips&amp;Operators'!$C$1:$G$99911,5,FALSE)</f>
        <v>SAFIEF AEIMEN</v>
      </c>
      <c r="M81" s="224">
        <f t="shared" si="29"/>
        <v>2.5000000001455192E-2</v>
      </c>
      <c r="N81" s="225">
        <f t="shared" si="30"/>
        <v>36.000000002095476</v>
      </c>
      <c r="O81" s="225"/>
      <c r="P81" s="225"/>
      <c r="Q81" s="228"/>
      <c r="R81" s="242"/>
      <c r="S81" s="249">
        <f t="shared" si="31"/>
        <v>1</v>
      </c>
      <c r="T81" s="242" t="str">
        <f t="shared" si="32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3"/>
        <v>https://d0f6bd738d7f1b3e5a7ca70fe4ff75f0.us-east-1.aws.found.io/app/kibana#/discover/Steve-Slow-Train-Analysis-(2080s-and-2083s)?_g=(refreshInterval:(display:Off,pause:!f,section:0,value:0),time:(from:'2018-01-08T11:11:34-0700',mode:absolute,to:'2018-01-08T13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247" t="str">
        <f>IF(AA81&lt;VLOOKUP(AG81,Variables!$AC$3:$AD$8,2,FALSE),"Y","N")</f>
        <v>N</v>
      </c>
      <c r="X81" s="247">
        <f t="shared" si="34"/>
        <v>1</v>
      </c>
      <c r="Y81" s="247">
        <f t="shared" si="35"/>
        <v>5.28E-2</v>
      </c>
      <c r="Z81" s="247">
        <f t="shared" si="36"/>
        <v>23.334399999999999</v>
      </c>
      <c r="AA81" s="247">
        <f t="shared" si="37"/>
        <v>23.281599999999997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8"/>
        <v>169</v>
      </c>
      <c r="AE81" s="235" t="str">
        <f t="shared" si="39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81" s="234" t="str">
        <f t="shared" si="40"/>
        <v>"C:\Program Files (x86)\AstroGrep\AstroGrep.exe" /e /r /s /spath="%USERPROFILE%\AppData\Local\Temp\OnboardLogs" /stypes="app*4022*20180108*" /stext=" 19:.+((SYSTEM_STATE.+slice.+state.+changed )|(ment ac)|(multiple cpu faults)|(system.+state.+changed )|(\[timeout)|(PRM\|1\|D)|(kpr)|(kdp)|(train st.+moving)|(\|lc)|(penalty))"</v>
      </c>
      <c r="AG81" s="244" t="str">
        <f t="shared" si="41"/>
        <v>EC</v>
      </c>
      <c r="AH81" s="236" t="str">
        <f t="shared" si="42"/>
        <v>"%USERPROFILE%\Documents\GitHub\eaglep3\Utilities\RefineRTDCRunTimes.py" --tripid 169-08 --locoid 4022 --swversion DE.1.0.9.0 --startMP 204:528 --initTime 2018-01-08T12:11:34 --startdatetime 2018-01-08T12:15:22 --delay 99 --endMP 204:233344 --enddatetime 2018-01-08T12:51:22 --enforcementcount 0 &gt;&gt;%USERPROFILE%\Documents\GitHub\eaglep3-reporting\EC\2018-01-08-refined-times.txt</v>
      </c>
      <c r="AI8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{"issue":{"subject":"","project_id":79,"tracker_id":40,"status_id":1,"priority_id":2,"assigned_to_id":338,"start_date":"2018-01-08","description":"","custom_fields":[{"id":1,"name":"Subdivision","value":"EC"},{"id":4,"name":"Milepost","value":"23.3344"},{"id":17,"name":"Train ID","value":"169-08"},{"id":16,"name":"Locomotive ID","value":"4022"},{"id":130,"name":"Impact","value":""},{"id":150,"name":"Time of Event (Mountain Time)","value":"12:51:22"},{"id":151,"name":"Denver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4"/>
        <v>start /low /b %USERPROFILE%\Documents\GitHub\eaglep3\Utilities\DownloadLogsFromS3.py --loco 4022 --day 2018-01-08</v>
      </c>
      <c r="AN81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6"/>
        <v>https://d0f6bd738d7f1b3e5a7ca70fe4ff75f0.us-east-1.aws.found.io/app/kibana#/discover/Steve-Slow-Train-Analysis-(2080s-and-2083s)?_g=(refreshInterval:(display:Off,pause:!f,section:0,value:0),time:(from:'2018-01-08T11:11:34-0700',mode:absolute,to:'2018-01-08T13:51:22-0700'))&amp;_a=(columns:!('Message%20ID',Summary),filters:!(),index:'emp_*',interval:auto,query:(query_string:(analyze_wildcard:!t,query:'%22rtdc.l.rtdc.4022%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759</v>
      </c>
      <c r="B82" s="225">
        <v>4021</v>
      </c>
      <c r="C82" s="227" t="s">
        <v>191</v>
      </c>
      <c r="D82" s="227" t="s">
        <v>907</v>
      </c>
      <c r="E82" s="226">
        <v>43108.537557870368</v>
      </c>
      <c r="F82" s="226">
        <v>43108.550254629627</v>
      </c>
      <c r="G82" s="225">
        <v>89</v>
      </c>
      <c r="H82" s="227" t="s">
        <v>544</v>
      </c>
      <c r="I82" s="226">
        <v>43108.576273148145</v>
      </c>
      <c r="J82" s="225">
        <v>0</v>
      </c>
      <c r="K82" s="237" t="str">
        <f t="shared" si="28"/>
        <v>4021/4022</v>
      </c>
      <c r="L82" s="245" t="str">
        <f>VLOOKUP(A82,'Trips&amp;Operators'!$C$1:$G$99911,5,FALSE)</f>
        <v>SAFIEF AEIMEN</v>
      </c>
      <c r="M82" s="224">
        <f t="shared" si="29"/>
        <v>2.6018518517958E-2</v>
      </c>
      <c r="N82" s="225">
        <f t="shared" si="30"/>
        <v>37.46666666585952</v>
      </c>
      <c r="O82" s="225"/>
      <c r="P82" s="225"/>
      <c r="Q82" s="228"/>
      <c r="R82" s="242"/>
      <c r="S82" s="249">
        <f t="shared" si="31"/>
        <v>1</v>
      </c>
      <c r="T82" s="242" t="str">
        <f t="shared" si="32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3"/>
        <v>https://d0f6bd738d7f1b3e5a7ca70fe4ff75f0.us-east-1.aws.found.io/app/kibana#/discover/Steve-Slow-Train-Analysis-(2080s-and-2083s)?_g=(refreshInterval:(display:Off,pause:!f,section:0,value:0),time:(from:'2018-01-08T11:54:05-0700',mode:absolute,to:'2018-01-08T14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247" t="str">
        <f>IF(AA82&lt;VLOOKUP(AG82,Variables!$AC$3:$AD$8,2,FALSE),"Y","N")</f>
        <v>N</v>
      </c>
      <c r="X82" s="247">
        <f t="shared" si="34"/>
        <v>1</v>
      </c>
      <c r="Y82" s="247">
        <f t="shared" si="35"/>
        <v>23.301300000000001</v>
      </c>
      <c r="Z82" s="247">
        <f t="shared" si="36"/>
        <v>1.78E-2</v>
      </c>
      <c r="AA82" s="247">
        <f t="shared" si="37"/>
        <v>23.2835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8"/>
        <v>170</v>
      </c>
      <c r="AE82" s="235" t="str">
        <f t="shared" si="39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82" s="234" t="str">
        <f t="shared" si="40"/>
        <v>"C:\Program Files (x86)\AstroGrep\AstroGrep.exe" /e /r /s /spath="%USERPROFILE%\AppData\Local\Temp\OnboardLogs" /stypes="app*4021*20180108*" /stext=" 20:.+((SYSTEM_STATE.+slice.+state.+changed )|(ment ac)|(multiple cpu faults)|(system.+state.+changed )|(\[timeout)|(PRM\|1\|D)|(kpr)|(kdp)|(train st.+moving)|(\|lc)|(penalty))"</v>
      </c>
      <c r="AG82" s="244" t="str">
        <f t="shared" si="41"/>
        <v>EC</v>
      </c>
      <c r="AH82" s="236" t="str">
        <f t="shared" si="42"/>
        <v>"%USERPROFILE%\Documents\GitHub\eaglep3\Utilities\RefineRTDCRunTimes.py" --tripid 170-08 --locoid 4021 --swversion DE.1.0.9.0 --startMP 204:233013 --initTime 2018-01-08T12:54:05 --startdatetime 2018-01-08T13:12:22 --delay 89 --endMP 204:178 --enddatetime 2018-01-08T13:49:50 --enforcementcount 0 &gt;&gt;%USERPROFILE%\Documents\GitHub\eaglep3-reporting\EC\2018-01-08-refined-times.txt</v>
      </c>
      <c r="AI8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{"issue":{"subject":"","project_id":79,"tracker_id":40,"status_id":1,"priority_id":2,"assigned_to_id":338,"start_date":"2018-01-08","description":"","custom_fields":[{"id":1,"name":"Subdivision","value":"EC"},{"id":4,"name":"Milepost","value":"0.0178"},{"id":17,"name":"Train ID","value":"170-08"},{"id":16,"name":"Locomotive ID","value":"4021"},{"id":130,"name":"Impact","value":""},{"id":150,"name":"Time of Event (Mountain Time)","value":"13:49:50"},{"id":151,"name":"Denver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4"/>
        <v>start /low /b %USERPROFILE%\Documents\GitHub\eaglep3\Utilities\DownloadLogsFromS3.py --loco 4021 --day 2018-01-08</v>
      </c>
      <c r="AN82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6"/>
        <v>https://d0f6bd738d7f1b3e5a7ca70fe4ff75f0.us-east-1.aws.found.io/app/kibana#/discover/Steve-Slow-Train-Analysis-(2080s-and-2083s)?_g=(refreshInterval:(display:Off,pause:!f,section:0,value:0),time:(from:'2018-01-08T11:54:05-0700',mode:absolute,to:'2018-01-08T14:49:50-0700'))&amp;_a=(columns:!('Message%20ID',Summary),filters:!(),index:'emp_*',interval:auto,query:(query_string:(analyze_wildcard:!t,query:'%22rtdc.l.rtdc.4021%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755</v>
      </c>
      <c r="B83" s="225">
        <v>4044</v>
      </c>
      <c r="C83" s="227" t="s">
        <v>191</v>
      </c>
      <c r="D83" s="227" t="s">
        <v>473</v>
      </c>
      <c r="E83" s="226">
        <v>43108.517013888886</v>
      </c>
      <c r="F83" s="226">
        <v>43108.521018518521</v>
      </c>
      <c r="G83" s="225">
        <v>64</v>
      </c>
      <c r="H83" s="227" t="s">
        <v>908</v>
      </c>
      <c r="I83" s="226">
        <v>43108.546539351853</v>
      </c>
      <c r="J83" s="225">
        <v>0</v>
      </c>
      <c r="K83" s="237" t="str">
        <f t="shared" si="28"/>
        <v>4043/4044</v>
      </c>
      <c r="L83" s="245" t="str">
        <f>VLOOKUP(A83,'Trips&amp;Operators'!$C$1:$G$99911,5,FALSE)</f>
        <v>BADERTSCHER DIANE</v>
      </c>
      <c r="M83" s="224">
        <f t="shared" si="29"/>
        <v>2.5520833332848269E-2</v>
      </c>
      <c r="N83" s="225">
        <f t="shared" si="30"/>
        <v>36.749999999301508</v>
      </c>
      <c r="O83" s="225"/>
      <c r="P83" s="225"/>
      <c r="Q83" s="228"/>
      <c r="R83" s="242"/>
      <c r="S83" s="249">
        <f t="shared" si="31"/>
        <v>1</v>
      </c>
      <c r="T83" s="242" t="str">
        <f t="shared" si="32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3"/>
        <v>https://d0f6bd738d7f1b3e5a7ca70fe4ff75f0.us-east-1.aws.found.io/app/kibana#/discover/Steve-Slow-Train-Analysis-(2080s-and-2083s)?_g=(refreshInterval:(display:Off,pause:!f,section:0,value:0),time:(from:'2018-01-08T11:24:30-0700',mode:absolute,to:'2018-01-08T14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247" t="str">
        <f>IF(AA83&lt;VLOOKUP(AG83,Variables!$AC$3:$AD$8,2,FALSE),"Y","N")</f>
        <v>N</v>
      </c>
      <c r="X83" s="247">
        <f t="shared" si="34"/>
        <v>1</v>
      </c>
      <c r="Y83" s="247">
        <f t="shared" si="35"/>
        <v>0.05</v>
      </c>
      <c r="Z83" s="247">
        <f t="shared" si="36"/>
        <v>23.326799999999999</v>
      </c>
      <c r="AA83" s="247">
        <f t="shared" si="37"/>
        <v>23.276799999999998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8"/>
        <v>171</v>
      </c>
      <c r="AE83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83" s="234" t="str">
        <f t="shared" si="40"/>
        <v>"C:\Program Files (x86)\AstroGrep\AstroGrep.exe" /e /r /s /spath="%USERPROFILE%\AppData\Local\Temp\OnboardLogs" /stypes="app*4044*20180108*" /stext=" 20:.+((SYSTEM_STATE.+slice.+state.+changed )|(ment ac)|(multiple cpu faults)|(system.+state.+changed )|(\[timeout)|(PRM\|1\|D)|(kpr)|(kdp)|(train st.+moving)|(\|lc)|(penalty))"</v>
      </c>
      <c r="AG83" s="244" t="str">
        <f t="shared" si="41"/>
        <v>EC</v>
      </c>
      <c r="AH83" s="236" t="str">
        <f t="shared" si="42"/>
        <v>"%USERPROFILE%\Documents\GitHub\eaglep3\Utilities\RefineRTDCRunTimes.py" --tripid 171-08 --locoid 4044 --swversion DE.1.0.9.0 --startMP 204:500 --initTime 2018-01-08T12:24:30 --startdatetime 2018-01-08T12:30:16 --delay 64 --endMP 204:233268 --enddatetime 2018-01-08T13:07:01 --enforcementcount 0 &gt;&gt;%USERPROFILE%\Documents\GitHub\eaglep3-reporting\EC\2018-01-08-refined-times.txt</v>
      </c>
      <c r="AI8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{"issue":{"subject":"","project_id":79,"tracker_id":40,"status_id":1,"priority_id":2,"assigned_to_id":338,"start_date":"2018-01-08","description":"","custom_fields":[{"id":1,"name":"Subdivision","value":"EC"},{"id":4,"name":"Milepost","value":"23.3268"},{"id":17,"name":"Train ID","value":"171-08"},{"id":16,"name":"Locomotive ID","value":"4044"},{"id":130,"name":"Impact","value":""},{"id":150,"name":"Time of Event (Mountain Time)","value":"13:07:01"},{"id":151,"name":"Denver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4"/>
        <v>start /low /b %USERPROFILE%\Documents\GitHub\eaglep3\Utilities\DownloadLogsFromS3.py --loco 4044 --day 2018-01-08</v>
      </c>
      <c r="AN83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6"/>
        <v>https://d0f6bd738d7f1b3e5a7ca70fe4ff75f0.us-east-1.aws.found.io/app/kibana#/discover/Steve-Slow-Train-Analysis-(2080s-and-2083s)?_g=(refreshInterval:(display:Off,pause:!f,section:0,value:0),time:(from:'2018-01-08T11:24:30-0700',mode:absolute,to:'2018-01-08T14:07:01-0700'))&amp;_a=(columns:!('Message%20ID',Summary),filters:!(),index:'emp_*',interval:auto,query:(query_string:(analyze_wildcard:!t,query:'%22rtdc.l.rtdc.4044%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763</v>
      </c>
      <c r="B84" s="225">
        <v>4043</v>
      </c>
      <c r="C84" s="227" t="s">
        <v>191</v>
      </c>
      <c r="D84" s="227" t="s">
        <v>549</v>
      </c>
      <c r="E84" s="226">
        <v>43108.558587962965</v>
      </c>
      <c r="F84" s="226">
        <v>43108.560590277775</v>
      </c>
      <c r="G84" s="225">
        <v>52</v>
      </c>
      <c r="H84" s="227" t="s">
        <v>472</v>
      </c>
      <c r="I84" s="226">
        <v>43108.588090277779</v>
      </c>
      <c r="J84" s="225">
        <v>0</v>
      </c>
      <c r="K84" s="237" t="str">
        <f t="shared" si="28"/>
        <v>4043/4044</v>
      </c>
      <c r="L84" s="245" t="str">
        <f>VLOOKUP(A84,'Trips&amp;Operators'!$C$1:$G$99911,5,FALSE)</f>
        <v>BADERTSCHER DIANE</v>
      </c>
      <c r="M84" s="224">
        <f t="shared" si="29"/>
        <v>2.7500000003783498E-2</v>
      </c>
      <c r="N84" s="225">
        <f t="shared" si="30"/>
        <v>39.600000005448237</v>
      </c>
      <c r="O84" s="225"/>
      <c r="P84" s="225"/>
      <c r="Q84" s="228"/>
      <c r="R84" s="242"/>
      <c r="S84" s="249">
        <f t="shared" si="31"/>
        <v>1</v>
      </c>
      <c r="T84" s="242" t="str">
        <f t="shared" si="32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3"/>
        <v>https://d0f6bd738d7f1b3e5a7ca70fe4ff75f0.us-east-1.aws.found.io/app/kibana#/discover/Steve-Slow-Train-Analysis-(2080s-and-2083s)?_g=(refreshInterval:(display:Off,pause:!f,section:0,value:0),time:(from:'2018-01-08T12:24:22-0700',mode:absolute,to:'2018-01-08T15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247" t="str">
        <f>IF(AA84&lt;VLOOKUP(AG84,Variables!$AC$3:$AD$8,2,FALSE),"Y","N")</f>
        <v>N</v>
      </c>
      <c r="X84" s="247">
        <f t="shared" si="34"/>
        <v>1</v>
      </c>
      <c r="Y84" s="247">
        <f t="shared" si="35"/>
        <v>23.295300000000001</v>
      </c>
      <c r="Z84" s="247">
        <f t="shared" si="36"/>
        <v>2.1399999999999999E-2</v>
      </c>
      <c r="AA84" s="247">
        <f t="shared" si="37"/>
        <v>23.273900000000001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8"/>
        <v>172</v>
      </c>
      <c r="AE84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84" s="234" t="str">
        <f t="shared" si="40"/>
        <v>"C:\Program Files (x86)\AstroGrep\AstroGrep.exe" /e /r /s /spath="%USERPROFILE%\AppData\Local\Temp\OnboardLogs" /stypes="app*4043*20180108*" /stext=" 21:.+((SYSTEM_STATE.+slice.+state.+changed )|(ment ac)|(multiple cpu faults)|(system.+state.+changed )|(\[timeout)|(PRM\|1\|D)|(kpr)|(kdp)|(train st.+moving)|(\|lc)|(penalty))"</v>
      </c>
      <c r="AG84" s="244" t="str">
        <f t="shared" si="41"/>
        <v>EC</v>
      </c>
      <c r="AH84" s="236" t="str">
        <f t="shared" si="42"/>
        <v>"%USERPROFILE%\Documents\GitHub\eaglep3\Utilities\RefineRTDCRunTimes.py" --tripid 172-08 --locoid 4043 --swversion DE.1.0.9.0 --startMP 204:232953 --initTime 2018-01-08T13:24:22 --startdatetime 2018-01-08T13:27:15 --delay 52 --endMP 204:214 --enddatetime 2018-01-08T14:06:51 --enforcementcount 0 &gt;&gt;%USERPROFILE%\Documents\GitHub\eaglep3-reporting\EC\2018-01-08-refined-times.txt</v>
      </c>
      <c r="AI8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ID","value":"172-08"},{"id":16,"name":"Locomotive ID","value":"4043"},{"id":130,"name":"Impact","value":""},{"id":150,"name":"Time of Event (Mountain Time)","value":"14:06:51"},{"id":151,"name":"Denver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4"/>
        <v>start /low /b %USERPROFILE%\Documents\GitHub\eaglep3\Utilities\DownloadLogsFromS3.py --loco 4043 --day 2018-01-08</v>
      </c>
      <c r="AN84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6"/>
        <v>https://d0f6bd738d7f1b3e5a7ca70fe4ff75f0.us-east-1.aws.found.io/app/kibana#/discover/Steve-Slow-Train-Analysis-(2080s-and-2083s)?_g=(refreshInterval:(display:Off,pause:!f,section:0,value:0),time:(from:'2018-01-08T12:24:22-0700',mode:absolute,to:'2018-01-08T15:06:51-0700'))&amp;_a=(columns:!('Message%20ID',Summary),filters:!(),index:'emp_*',interval:auto,query:(query_string:(analyze_wildcard:!t,query:'%22rtdc.l.rtdc.4043%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757</v>
      </c>
      <c r="B85" s="225">
        <v>4054</v>
      </c>
      <c r="C85" s="227" t="s">
        <v>191</v>
      </c>
      <c r="D85" s="227" t="s">
        <v>495</v>
      </c>
      <c r="E85" s="226">
        <v>43108.524664351855</v>
      </c>
      <c r="F85" s="226">
        <v>43108.531481481485</v>
      </c>
      <c r="G85" s="225">
        <v>106</v>
      </c>
      <c r="H85" s="227" t="s">
        <v>586</v>
      </c>
      <c r="I85" s="226">
        <v>43108.556307870371</v>
      </c>
      <c r="J85" s="225">
        <v>0</v>
      </c>
      <c r="K85" s="237" t="str">
        <f t="shared" si="28"/>
        <v>4053/4054</v>
      </c>
      <c r="L85" s="245" t="str">
        <f>VLOOKUP(A85,'Trips&amp;Operators'!$C$1:$G$99911,5,FALSE)</f>
        <v>KILLION DAVID</v>
      </c>
      <c r="M85" s="224">
        <f t="shared" si="29"/>
        <v>2.4826388886140194E-2</v>
      </c>
      <c r="N85" s="225">
        <f t="shared" si="30"/>
        <v>35.749999996041879</v>
      </c>
      <c r="O85" s="225"/>
      <c r="P85" s="225"/>
      <c r="Q85" s="228"/>
      <c r="R85" s="242"/>
      <c r="S85" s="249">
        <f t="shared" si="31"/>
        <v>1</v>
      </c>
      <c r="T85" s="242" t="str">
        <f t="shared" si="32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3"/>
        <v>https://d0f6bd738d7f1b3e5a7ca70fe4ff75f0.us-east-1.aws.found.io/app/kibana#/discover/Steve-Slow-Train-Analysis-(2080s-and-2083s)?_g=(refreshInterval:(display:Off,pause:!f,section:0,value:0),time:(from:'2018-01-08T11:35:31-0700',mode:absolute,to:'2018-01-08T14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5" s="247" t="str">
        <f>IF(AA85&lt;VLOOKUP(AG85,Variables!$AC$3:$AD$8,2,FALSE),"Y","N")</f>
        <v>N</v>
      </c>
      <c r="X85" s="247">
        <f t="shared" si="34"/>
        <v>1</v>
      </c>
      <c r="Y85" s="247">
        <f t="shared" si="35"/>
        <v>5.04E-2</v>
      </c>
      <c r="Z85" s="247">
        <f t="shared" si="36"/>
        <v>23.325900000000001</v>
      </c>
      <c r="AA85" s="247">
        <f t="shared" si="37"/>
        <v>23.275500000000001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8"/>
        <v>173</v>
      </c>
      <c r="AE85" s="235" t="str">
        <f t="shared" si="39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85" s="234" t="str">
        <f t="shared" si="40"/>
        <v>"C:\Program Files (x86)\AstroGrep\AstroGrep.exe" /e /r /s /spath="%USERPROFILE%\AppData\Local\Temp\OnboardLogs" /stypes="app*4054*20180108*" /stext=" 20:.+((SYSTEM_STATE.+slice.+state.+changed )|(ment ac)|(multiple cpu faults)|(system.+state.+changed )|(\[timeout)|(PRM\|1\|D)|(kpr)|(kdp)|(train st.+moving)|(\|lc)|(penalty))"</v>
      </c>
      <c r="AG85" s="244" t="str">
        <f t="shared" si="41"/>
        <v>EC</v>
      </c>
      <c r="AH85" s="236" t="str">
        <f t="shared" si="42"/>
        <v>"%USERPROFILE%\Documents\GitHub\eaglep3\Utilities\RefineRTDCRunTimes.py" --tripid 173-08 --locoid 4054 --swversion DE.1.0.9.0 --startMP 204:504 --initTime 2018-01-08T12:35:31 --startdatetime 2018-01-08T12:45:20 --delay 106 --endMP 204:233259 --enddatetime 2018-01-08T13:21:05 --enforcementcount 0 &gt;&gt;%USERPROFILE%\Documents\GitHub\eaglep3-reporting\EC\2018-01-08-refined-times.txt</v>
      </c>
      <c r="AI8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{"issue":{"subject":"","project_id":79,"tracker_id":40,"status_id":1,"priority_id":2,"assigned_to_id":338,"start_date":"2018-01-08","description":"","custom_fields":[{"id":1,"name":"Subdivision","value":"EC"},{"id":4,"name":"Milepost","value":"23.3259"},{"id":17,"name":"Train ID","value":"173-08"},{"id":16,"name":"Locomotive ID","value":"4054"},{"id":130,"name":"Impact","value":""},{"id":150,"name":"Time of Event (Mountain Time)","value":"13:21:05"},{"id":151,"name":"Denver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4"/>
        <v>start /low /b %USERPROFILE%\Documents\GitHub\eaglep3\Utilities\DownloadLogsFromS3.py --loco 4054 --day 2018-01-08</v>
      </c>
      <c r="AN85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6"/>
        <v>https://d0f6bd738d7f1b3e5a7ca70fe4ff75f0.us-east-1.aws.found.io/app/kibana#/discover/Steve-Slow-Train-Analysis-(2080s-and-2083s)?_g=(refreshInterval:(display:Off,pause:!f,section:0,value:0),time:(from:'2018-01-08T11:35:31-0700',mode:absolute,to:'2018-01-08T14:21:05-0700'))&amp;_a=(columns:!('Message%20ID',Summary),filters:!(),index:'emp_*',interval:auto,query:(query_string:(analyze_wildcard:!t,query:'%22rtdc.l.rtdc.4054%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766</v>
      </c>
      <c r="B86" s="225">
        <v>4053</v>
      </c>
      <c r="C86" s="227" t="s">
        <v>191</v>
      </c>
      <c r="D86" s="227" t="s">
        <v>909</v>
      </c>
      <c r="E86" s="226">
        <v>43108.561562499999</v>
      </c>
      <c r="F86" s="226">
        <v>43108.571006944447</v>
      </c>
      <c r="G86" s="225">
        <v>67</v>
      </c>
      <c r="H86" s="227" t="s">
        <v>874</v>
      </c>
      <c r="I86" s="226">
        <v>43108.597118055557</v>
      </c>
      <c r="J86" s="225">
        <v>0</v>
      </c>
      <c r="K86" s="237" t="str">
        <f t="shared" si="28"/>
        <v>4053/4054</v>
      </c>
      <c r="L86" s="245" t="str">
        <f>VLOOKUP(A86,'Trips&amp;Operators'!$C$1:$G$99911,5,FALSE)</f>
        <v>KILLION DAVID</v>
      </c>
      <c r="M86" s="224">
        <f t="shared" si="29"/>
        <v>2.6111111110367347E-2</v>
      </c>
      <c r="N86" s="225">
        <f t="shared" si="30"/>
        <v>37.599999998928979</v>
      </c>
      <c r="O86" s="225"/>
      <c r="P86" s="225"/>
      <c r="Q86" s="228"/>
      <c r="R86" s="242"/>
      <c r="S86" s="249">
        <f t="shared" si="31"/>
        <v>1</v>
      </c>
      <c r="T86" s="242" t="str">
        <f t="shared" si="32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3"/>
        <v>https://d0f6bd738d7f1b3e5a7ca70fe4ff75f0.us-east-1.aws.found.io/app/kibana#/discover/Steve-Slow-Train-Analysis-(2080s-and-2083s)?_g=(refreshInterval:(display:Off,pause:!f,section:0,value:0),time:(from:'2018-01-08T12:28:39-0700',mode:absolute,to:'2018-01-08T15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247" t="str">
        <f>IF(AA86&lt;VLOOKUP(AG86,Variables!$AC$3:$AD$8,2,FALSE),"Y","N")</f>
        <v>N</v>
      </c>
      <c r="X86" s="247">
        <f t="shared" si="34"/>
        <v>1</v>
      </c>
      <c r="Y86" s="247">
        <f t="shared" si="35"/>
        <v>23.294699999999999</v>
      </c>
      <c r="Z86" s="247">
        <f t="shared" si="36"/>
        <v>1.7600000000000001E-2</v>
      </c>
      <c r="AA86" s="247">
        <f t="shared" si="37"/>
        <v>23.277099999999997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8"/>
        <v>174</v>
      </c>
      <c r="AE86" s="235" t="str">
        <f t="shared" si="39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86" s="234" t="str">
        <f t="shared" si="40"/>
        <v>"C:\Program Files (x86)\AstroGrep\AstroGrep.exe" /e /r /s /spath="%USERPROFILE%\AppData\Local\Temp\OnboardLogs" /stypes="app*4053*20180108*" /stext=" 21:.+((SYSTEM_STATE.+slice.+state.+changed )|(ment ac)|(multiple cpu faults)|(system.+state.+changed )|(\[timeout)|(PRM\|1\|D)|(kpr)|(kdp)|(train st.+moving)|(\|lc)|(penalty))"</v>
      </c>
      <c r="AG86" s="244" t="str">
        <f t="shared" si="41"/>
        <v>EC</v>
      </c>
      <c r="AH86" s="236" t="str">
        <f t="shared" si="42"/>
        <v>"%USERPROFILE%\Documents\GitHub\eaglep3\Utilities\RefineRTDCRunTimes.py" --tripid 174-08 --locoid 4053 --swversion DE.1.0.9.0 --startMP 204:232947 --initTime 2018-01-08T13:28:39 --startdatetime 2018-01-08T13:42:15 --delay 67 --endMP 204:176 --enddatetime 2018-01-08T14:19:51 --enforcementcount 0 &gt;&gt;%USERPROFILE%\Documents\GitHub\eaglep3-reporting\EC\2018-01-08-refined-times.txt</v>
      </c>
      <c r="AI8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{"issue":{"subject":"","project_id":79,"tracker_id":40,"status_id":1,"priority_id":2,"assigned_to_id":338,"start_date":"2018-01-08","description":"","custom_fields":[{"id":1,"name":"Subdivision","value":"EC"},{"id":4,"name":"Milepost","value":"0.0176"},{"id":17,"name":"Train ID","value":"174-08"},{"id":16,"name":"Locomotive ID","value":"4053"},{"id":130,"name":"Impact","value":""},{"id":150,"name":"Time of Event (Mountain Time)","value":"14:19:51"},{"id":151,"name":"Denver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4"/>
        <v>start /low /b %USERPROFILE%\Documents\GitHub\eaglep3\Utilities\DownloadLogsFromS3.py --loco 4053 --day 2018-01-08</v>
      </c>
      <c r="AN86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6"/>
        <v>https://d0f6bd738d7f1b3e5a7ca70fe4ff75f0.us-east-1.aws.found.io/app/kibana#/discover/Steve-Slow-Train-Analysis-(2080s-and-2083s)?_g=(refreshInterval:(display:Off,pause:!f,section:0,value:0),time:(from:'2018-01-08T12:28:39-0700',mode:absolute,to:'2018-01-08T15:19:51-0700'))&amp;_a=(columns:!('Message%20ID',Summary),filters:!(),index:'emp_*',interval:auto,query:(query_string:(analyze_wildcard:!t,query:'%22rtdc.l.rtdc.4053%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760</v>
      </c>
      <c r="B87" s="225">
        <v>4052</v>
      </c>
      <c r="C87" s="227" t="s">
        <v>191</v>
      </c>
      <c r="D87" s="227" t="s">
        <v>467</v>
      </c>
      <c r="E87" s="226">
        <v>43108.538969907408</v>
      </c>
      <c r="F87" s="226">
        <v>43108.541990740741</v>
      </c>
      <c r="G87" s="225">
        <v>58</v>
      </c>
      <c r="H87" s="227" t="s">
        <v>508</v>
      </c>
      <c r="I87" s="226">
        <v>43108.56753472222</v>
      </c>
      <c r="J87" s="225">
        <v>0</v>
      </c>
      <c r="K87" s="237" t="str">
        <f t="shared" si="28"/>
        <v>4051/4052</v>
      </c>
      <c r="L87" s="245" t="str">
        <f>VLOOKUP(A87,'Trips&amp;Operators'!$C$1:$G$99911,5,FALSE)</f>
        <v>DAVIS MICHAEL</v>
      </c>
      <c r="M87" s="224">
        <f t="shared" si="29"/>
        <v>2.5543981479131617E-2</v>
      </c>
      <c r="N87" s="225">
        <f t="shared" si="30"/>
        <v>36.783333329949528</v>
      </c>
      <c r="O87" s="225"/>
      <c r="P87" s="225"/>
      <c r="Q87" s="228"/>
      <c r="R87" s="242"/>
      <c r="S87" s="249">
        <f t="shared" si="31"/>
        <v>1</v>
      </c>
      <c r="T87" s="242" t="str">
        <f t="shared" si="32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3"/>
        <v>https://d0f6bd738d7f1b3e5a7ca70fe4ff75f0.us-east-1.aws.found.io/app/kibana#/discover/Steve-Slow-Train-Analysis-(2080s-and-2083s)?_g=(refreshInterval:(display:Off,pause:!f,section:0,value:0),time:(from:'2018-01-08T11:56:07-0700',mode:absolute,to:'2018-01-08T14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7" s="247" t="str">
        <f>IF(AA87&lt;VLOOKUP(AG87,Variables!$AC$3:$AD$8,2,FALSE),"Y","N")</f>
        <v>N</v>
      </c>
      <c r="X87" s="247">
        <f t="shared" si="34"/>
        <v>1</v>
      </c>
      <c r="Y87" s="247">
        <f t="shared" si="35"/>
        <v>5.2200000000000003E-2</v>
      </c>
      <c r="Z87" s="247">
        <f t="shared" si="36"/>
        <v>23.330500000000001</v>
      </c>
      <c r="AA87" s="247">
        <f t="shared" si="37"/>
        <v>23.278300000000002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8"/>
        <v>175</v>
      </c>
      <c r="AE87" s="235" t="str">
        <f t="shared" si="39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87" s="234" t="str">
        <f t="shared" si="40"/>
        <v>"C:\Program Files (x86)\AstroGrep\AstroGrep.exe" /e /r /s /spath="%USERPROFILE%\AppData\Local\Temp\OnboardLogs" /stypes="app*4052*20180108*" /stext=" 20:.+((SYSTEM_STATE.+slice.+state.+changed )|(ment ac)|(multiple cpu faults)|(system.+state.+changed )|(\[timeout)|(PRM\|1\|D)|(kpr)|(kdp)|(train st.+moving)|(\|lc)|(penalty))"</v>
      </c>
      <c r="AG87" s="244" t="str">
        <f t="shared" si="41"/>
        <v>EC</v>
      </c>
      <c r="AH87" s="236" t="str">
        <f t="shared" si="42"/>
        <v>"%USERPROFILE%\Documents\GitHub\eaglep3\Utilities\RefineRTDCRunTimes.py" --tripid 175-08 --locoid 4052 --swversion DE.1.0.9.0 --startMP 204:522 --initTime 2018-01-08T12:56:07 --startdatetime 2018-01-08T13:00:28 --delay 58 --endMP 204:233305 --enddatetime 2018-01-08T13:37:15 --enforcementcount 0 &gt;&gt;%USERPROFILE%\Documents\GitHub\eaglep3-reporting\EC\2018-01-08-refined-times.txt</v>
      </c>
      <c r="AI8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{"issue":{"subject":"","project_id":79,"tracker_id":40,"status_id":1,"priority_id":2,"assigned_to_id":338,"start_date":"2018-01-08","description":"","custom_fields":[{"id":1,"name":"Subdivision","value":"EC"},{"id":4,"name":"Milepost","value":"23.3305"},{"id":17,"name":"Train ID","value":"175-08"},{"id":16,"name":"Locomotive ID","value":"4052"},{"id":130,"name":"Impact","value":""},{"id":150,"name":"Time of Event (Mountain Time)","value":"13:37:15"},{"id":151,"name":"Denver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4"/>
        <v>start /low /b %USERPROFILE%\Documents\GitHub\eaglep3\Utilities\DownloadLogsFromS3.py --loco 4052 --day 2018-01-08</v>
      </c>
      <c r="AN87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6"/>
        <v>https://d0f6bd738d7f1b3e5a7ca70fe4ff75f0.us-east-1.aws.found.io/app/kibana#/discover/Steve-Slow-Train-Analysis-(2080s-and-2083s)?_g=(refreshInterval:(display:Off,pause:!f,section:0,value:0),time:(from:'2018-01-08T11:56:07-0700',mode:absolute,to:'2018-01-08T14:37:15-0700'))&amp;_a=(columns:!('Message%20ID',Summary),filters:!(),index:'emp_*',interval:auto,query:(query_string:(analyze_wildcard:!t,query:'%22rtdc.l.rtdc.4052%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773</v>
      </c>
      <c r="B88" s="225">
        <v>4051</v>
      </c>
      <c r="C88" s="227" t="s">
        <v>191</v>
      </c>
      <c r="D88" s="227" t="s">
        <v>910</v>
      </c>
      <c r="E88" s="226">
        <v>43108.594733796293</v>
      </c>
      <c r="F88" s="226">
        <v>43108.596516203703</v>
      </c>
      <c r="G88" s="225">
        <v>77</v>
      </c>
      <c r="H88" s="227" t="s">
        <v>911</v>
      </c>
      <c r="I88" s="226">
        <v>43108.615879629629</v>
      </c>
      <c r="J88" s="225">
        <v>0</v>
      </c>
      <c r="K88" s="237" t="str">
        <f t="shared" si="28"/>
        <v>4051/4052</v>
      </c>
      <c r="L88" s="245" t="str">
        <f>VLOOKUP(A88,'Trips&amp;Operators'!$C$1:$G$99911,5,FALSE)</f>
        <v>DAVIS MICHAEL</v>
      </c>
      <c r="M88" s="224">
        <f t="shared" si="29"/>
        <v>1.9363425926712807E-2</v>
      </c>
      <c r="N88" s="225"/>
      <c r="O88" s="225"/>
      <c r="P88" s="225">
        <f>24*60*SUM($M88:$M88)</f>
        <v>27.883333334466442</v>
      </c>
      <c r="Q88" s="228"/>
      <c r="R88" s="242" t="s">
        <v>1084</v>
      </c>
      <c r="S88" s="249">
        <f t="shared" si="31"/>
        <v>1</v>
      </c>
      <c r="T88" s="242" t="str">
        <f t="shared" si="32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3"/>
        <v>https://d0f6bd738d7f1b3e5a7ca70fe4ff75f0.us-east-1.aws.found.io/app/kibana#/discover/Steve-Slow-Train-Analysis-(2080s-and-2083s)?_g=(refreshInterval:(display:Off,pause:!f,section:0,value:0),time:(from:'2018-01-08T13:16:25-0700',mode:absolute,to:'2018-01-08T15:46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8" s="247" t="str">
        <f>IF(AA88&lt;VLOOKUP(AG88,Variables!$AC$3:$AD$8,2,FALSE),"Y","N")</f>
        <v>Y</v>
      </c>
      <c r="X88" s="247">
        <f t="shared" si="34"/>
        <v>1</v>
      </c>
      <c r="Y88" s="247">
        <f t="shared" si="35"/>
        <v>12.787699999999999</v>
      </c>
      <c r="Z88" s="247">
        <f t="shared" si="36"/>
        <v>0.1158</v>
      </c>
      <c r="AA88" s="247">
        <f t="shared" si="37"/>
        <v>12.671899999999999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8"/>
        <v>176</v>
      </c>
      <c r="AE88" s="235" t="str">
        <f t="shared" si="39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88" s="234" t="str">
        <f t="shared" si="40"/>
        <v>"C:\Program Files (x86)\AstroGrep\AstroGrep.exe" /e /r /s /spath="%USERPROFILE%\AppData\Local\Temp\OnboardLogs" /stypes="app*4051*20180108*" /stext=" 21:.+((SYSTEM_STATE.+slice.+state.+changed )|(ment ac)|(multiple cpu faults)|(system.+state.+changed )|(\[timeout)|(PRM\|1\|D)|(kpr)|(kdp)|(train st.+moving)|(\|lc)|(penalty))"</v>
      </c>
      <c r="AG88" s="244" t="str">
        <f t="shared" si="41"/>
        <v>EC</v>
      </c>
      <c r="AH88" s="236" t="str">
        <f t="shared" si="42"/>
        <v>"%USERPROFILE%\Documents\GitHub\eaglep3\Utilities\RefineRTDCRunTimes.py" --tripid 176-08 --locoid 4051 --swversion DE.1.0.9.0 --startMP 204:127877 --initTime 2018-01-08T14:16:25 --startdatetime 2018-01-08T14:18:59 --delay 77 --endMP 204:1158 --enddatetime 2018-01-08T14:46:52 --enforcementcount 0 &gt;&gt;%USERPROFILE%\Documents\GitHub\eaglep3-reporting\EC\2018-01-08-refined-times.txt</v>
      </c>
      <c r="AI88" s="238" t="str">
        <f t="shared" si="43"/>
        <v>echo {"issue":{"subject":"CCROC deleted by Gold Line Dispatcher (59483)","project_id":79,"tracker_id":40,"status_id":1,"priority_id":2,"assigned_to_id":338,"start_date":"2018-01-08","description":"","custom_fields":[{"id":1,"name":"Subdivision","value":"EC"},{"id":4,"name":"Milepost","value":"0.1158"},{"id":17,"name":"Train ID","value":"176-08"},{"id":16,"name":"Locomotive ID","value":"4051"},{"id":130,"name":"Impact","value":""},{"id":150,"name":"Time of Event (Mountain Time)","value":"14:46:52"},{"id":151,"name":"Denver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4"/>
        <v>start /low /b %USERPROFILE%\Documents\GitHub\eaglep3\Utilities\DownloadLogsFromS3.py --loco 4051 --day 2018-01-08</v>
      </c>
      <c r="AN88" s="241" t="str">
        <f t="shared" si="45"/>
        <v>echo {"issue":{"subject":"CCROC deleted by Gold Line Dispatcher (59483)","project_id":30,"tracker_id":4,"status_id":1,"priority_id":1,"assigned_to_id":10,"start_date":"2018-01-08","description":"","custom_fields":[{"id":30,"name":"Category","value":"Issue"},{"id":3,"name":"Functional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21:46:52"},{"id":29,"name":"Sharepoint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6"/>
        <v>https://d0f6bd738d7f1b3e5a7ca70fe4ff75f0.us-east-1.aws.found.io/app/kibana#/discover/Steve-Slow-Train-Analysis-(2080s-and-2083s)?_g=(refreshInterval:(display:Off,pause:!f,section:0,value:0),time:(from:'2018-01-08T13:16:25-0700',mode:absolute,to:'2018-01-08T15:46:52-0700'))&amp;_a=(columns:!('Message%20ID',Summary),filters:!(),index:'emp_*',interval:auto,query:(query_string:(analyze_wildcard:!t,query:'%22rtdc.l.rtdc.4051%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762</v>
      </c>
      <c r="B89" s="225">
        <v>4018</v>
      </c>
      <c r="C89" s="227" t="s">
        <v>191</v>
      </c>
      <c r="D89" s="227" t="s">
        <v>575</v>
      </c>
      <c r="E89" s="226">
        <v>43108.548425925925</v>
      </c>
      <c r="F89" s="226">
        <v>43108.55228009259</v>
      </c>
      <c r="G89" s="225">
        <v>61</v>
      </c>
      <c r="H89" s="227" t="s">
        <v>912</v>
      </c>
      <c r="I89" s="226">
        <v>43108.577256944445</v>
      </c>
      <c r="J89" s="225">
        <v>0</v>
      </c>
      <c r="K89" s="237" t="str">
        <f t="shared" si="28"/>
        <v>4017/4018</v>
      </c>
      <c r="L89" s="245" t="str">
        <f>VLOOKUP(A89,'Trips&amp;Operators'!$C$1:$G$99911,5,FALSE)</f>
        <v>STEWART MICHAEL</v>
      </c>
      <c r="M89" s="224">
        <f t="shared" si="29"/>
        <v>2.4976851855171844E-2</v>
      </c>
      <c r="N89" s="225">
        <f t="shared" ref="N89:N131" si="47">24*60*SUM($M89:$M89)</f>
        <v>35.966666671447456</v>
      </c>
      <c r="O89" s="225"/>
      <c r="P89" s="225"/>
      <c r="Q89" s="228"/>
      <c r="R89" s="242"/>
      <c r="S89" s="249">
        <f t="shared" si="31"/>
        <v>1</v>
      </c>
      <c r="T89" s="242" t="str">
        <f t="shared" si="32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3"/>
        <v>https://d0f6bd738d7f1b3e5a7ca70fe4ff75f0.us-east-1.aws.found.io/app/kibana#/discover/Steve-Slow-Train-Analysis-(2080s-and-2083s)?_g=(refreshInterval:(display:Off,pause:!f,section:0,value:0),time:(from:'2018-01-08T12:09:44-0700',mode:absolute,to:'2018-01-08T14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247" t="str">
        <f>IF(AA89&lt;VLOOKUP(AG89,Variables!$AC$3:$AD$8,2,FALSE),"Y","N")</f>
        <v>N</v>
      </c>
      <c r="X89" s="247">
        <f t="shared" si="34"/>
        <v>1</v>
      </c>
      <c r="Y89" s="247">
        <f t="shared" si="35"/>
        <v>4.58E-2</v>
      </c>
      <c r="Z89" s="247">
        <f t="shared" si="36"/>
        <v>23.333400000000001</v>
      </c>
      <c r="AA89" s="247">
        <f t="shared" si="37"/>
        <v>23.287600000000001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8"/>
        <v>177</v>
      </c>
      <c r="AE89" s="235" t="str">
        <f t="shared" si="39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89" s="234" t="str">
        <f t="shared" si="40"/>
        <v>"C:\Program Files (x86)\AstroGrep\AstroGrep.exe" /e /r /s /spath="%USERPROFILE%\AppData\Local\Temp\OnboardLogs" /stypes="app*4018*20180108*" /stext=" 20:.+((SYSTEM_STATE.+slice.+state.+changed )|(ment ac)|(multiple cpu faults)|(system.+state.+changed )|(\[timeout)|(PRM\|1\|D)|(kpr)|(kdp)|(train st.+moving)|(\|lc)|(penalty))"</v>
      </c>
      <c r="AG89" s="244" t="str">
        <f t="shared" si="41"/>
        <v>EC</v>
      </c>
      <c r="AH89" s="236" t="str">
        <f t="shared" si="42"/>
        <v>"%USERPROFILE%\Documents\GitHub\eaglep3\Utilities\RefineRTDCRunTimes.py" --tripid 177-08 --locoid 4018 --swversion DE.1.0.9.0 --startMP 204:458 --initTime 2018-01-08T13:09:44 --startdatetime 2018-01-08T13:15:17 --delay 61 --endMP 204:233334 --enddatetime 2018-01-08T13:51:15 --enforcementcount 0 &gt;&gt;%USERPROFILE%\Documents\GitHub\eaglep3-reporting\EC\2018-01-08-refined-times.txt</v>
      </c>
      <c r="AI8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{"issue":{"subject":"","project_id":79,"tracker_id":40,"status_id":1,"priority_id":2,"assigned_to_id":338,"start_date":"2018-01-08","description":"","custom_fields":[{"id":1,"name":"Subdivision","value":"EC"},{"id":4,"name":"Milepost","value":"23.3334"},{"id":17,"name":"Train ID","value":"177-08"},{"id":16,"name":"Locomotive ID","value":"4018"},{"id":130,"name":"Impact","value":""},{"id":150,"name":"Time of Event (Mountain Time)","value":"13:51:15"},{"id":151,"name":"Denver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4"/>
        <v>start /low /b %USERPROFILE%\Documents\GitHub\eaglep3\Utilities\DownloadLogsFromS3.py --loco 4018 --day 2018-01-08</v>
      </c>
      <c r="AN89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6"/>
        <v>https://d0f6bd738d7f1b3e5a7ca70fe4ff75f0.us-east-1.aws.found.io/app/kibana#/discover/Steve-Slow-Train-Analysis-(2080s-and-2083s)?_g=(refreshInterval:(display:Off,pause:!f,section:0,value:0),time:(from:'2018-01-08T12:09:44-0700',mode:absolute,to:'2018-01-08T14:51:15-0700'))&amp;_a=(columns:!('Message%20ID',Summary),filters:!(),index:'emp_*',interval:auto,query:(query_string:(analyze_wildcard:!t,query:'%22rtdc.l.rtdc.4018%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770</v>
      </c>
      <c r="B90" s="225">
        <v>4017</v>
      </c>
      <c r="C90" s="227" t="s">
        <v>191</v>
      </c>
      <c r="D90" s="227" t="s">
        <v>883</v>
      </c>
      <c r="E90" s="226">
        <v>43108.587997685187</v>
      </c>
      <c r="F90" s="226">
        <v>43108.591874999998</v>
      </c>
      <c r="G90" s="225">
        <v>65</v>
      </c>
      <c r="H90" s="227" t="s">
        <v>504</v>
      </c>
      <c r="I90" s="226">
        <v>43108.619259259256</v>
      </c>
      <c r="J90" s="225">
        <v>0</v>
      </c>
      <c r="K90" s="237" t="str">
        <f t="shared" si="28"/>
        <v>4017/4018</v>
      </c>
      <c r="L90" s="245" t="str">
        <f>VLOOKUP(A90,'Trips&amp;Operators'!$C$1:$G$99911,5,FALSE)</f>
        <v>STEWART MICHAEL</v>
      </c>
      <c r="M90" s="224">
        <f t="shared" si="29"/>
        <v>2.7384259257814847E-2</v>
      </c>
      <c r="N90" s="225">
        <f t="shared" si="47"/>
        <v>39.43333333125338</v>
      </c>
      <c r="O90" s="225"/>
      <c r="P90" s="225"/>
      <c r="Q90" s="228"/>
      <c r="R90" s="242"/>
      <c r="S90" s="249">
        <f t="shared" si="31"/>
        <v>1</v>
      </c>
      <c r="T90" s="242" t="str">
        <f t="shared" si="32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3"/>
        <v>https://d0f6bd738d7f1b3e5a7ca70fe4ff75f0.us-east-1.aws.found.io/app/kibana#/discover/Steve-Slow-Train-Analysis-(2080s-and-2083s)?_g=(refreshInterval:(display:Off,pause:!f,section:0,value:0),time:(from:'2018-01-08T13:06:43-0700',mode:absolute,to:'2018-01-08T15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247" t="str">
        <f>IF(AA90&lt;VLOOKUP(AG90,Variables!$AC$3:$AD$8,2,FALSE),"Y","N")</f>
        <v>N</v>
      </c>
      <c r="X90" s="247">
        <f t="shared" si="34"/>
        <v>1</v>
      </c>
      <c r="Y90" s="247">
        <f t="shared" si="35"/>
        <v>23.298500000000001</v>
      </c>
      <c r="Z90" s="247">
        <f t="shared" si="36"/>
        <v>1.9099999999999999E-2</v>
      </c>
      <c r="AA90" s="247">
        <f t="shared" si="37"/>
        <v>23.279399999999999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8"/>
        <v>178</v>
      </c>
      <c r="AE90" s="235" t="str">
        <f t="shared" si="39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90" s="234" t="str">
        <f t="shared" si="40"/>
        <v>"C:\Program Files (x86)\AstroGrep\AstroGrep.exe" /e /r /s /spath="%USERPROFILE%\AppData\Local\Temp\OnboardLogs" /stypes="app*4017*20180108*" /stext=" 21:.+((SYSTEM_STATE.+slice.+state.+changed )|(ment ac)|(multiple cpu faults)|(system.+state.+changed )|(\[timeout)|(PRM\|1\|D)|(kpr)|(kdp)|(train st.+moving)|(\|lc)|(penalty))"</v>
      </c>
      <c r="AG90" s="244" t="str">
        <f t="shared" si="41"/>
        <v>EC</v>
      </c>
      <c r="AH90" s="236" t="str">
        <f t="shared" si="42"/>
        <v>"%USERPROFILE%\Documents\GitHub\eaglep3\Utilities\RefineRTDCRunTimes.py" --tripid 178-08 --locoid 4017 --swversion DE.1.0.9.0 --startMP 204:232985 --initTime 2018-01-08T14:06:43 --startdatetime 2018-01-08T14:12:18 --delay 65 --endMP 204:191 --enddatetime 2018-01-08T14:51:44 --enforcementcount 0 &gt;&gt;%USERPROFILE%\Documents\GitHub\eaglep3-reporting\EC\2018-01-08-refined-times.txt</v>
      </c>
      <c r="AI9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{"issue":{"subject":"","project_id":79,"tracker_id":40,"status_id":1,"priority_id":2,"assigned_to_id":338,"start_date":"2018-01-08","description":"","custom_fields":[{"id":1,"name":"Subdivision","value":"EC"},{"id":4,"name":"Milepost","value":"0.0191"},{"id":17,"name":"Train ID","value":"178-08"},{"id":16,"name":"Locomotive ID","value":"4017"},{"id":130,"name":"Impact","value":""},{"id":150,"name":"Time of Event (Mountain Time)","value":"14:51:44"},{"id":151,"name":"Denver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4"/>
        <v>start /low /b %USERPROFILE%\Documents\GitHub\eaglep3\Utilities\DownloadLogsFromS3.py --loco 4017 --day 2018-01-08</v>
      </c>
      <c r="AN90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6"/>
        <v>https://d0f6bd738d7f1b3e5a7ca70fe4ff75f0.us-east-1.aws.found.io/app/kibana#/discover/Steve-Slow-Train-Analysis-(2080s-and-2083s)?_g=(refreshInterval:(display:Off,pause:!f,section:0,value:0),time:(from:'2018-01-08T13:06:43-0700',mode:absolute,to:'2018-01-08T15:51:44-0700'))&amp;_a=(columns:!('Message%20ID',Summary),filters:!(),index:'emp_*',interval:auto,query:(query_string:(analyze_wildcard:!t,query:'%22rtdc.l.rtdc.4017%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764</v>
      </c>
      <c r="B91" s="225">
        <v>4034</v>
      </c>
      <c r="C91" s="227" t="s">
        <v>191</v>
      </c>
      <c r="D91" s="227" t="s">
        <v>589</v>
      </c>
      <c r="E91" s="226">
        <v>43108.55846064815</v>
      </c>
      <c r="F91" s="226">
        <v>43108.562662037039</v>
      </c>
      <c r="G91" s="225">
        <v>72</v>
      </c>
      <c r="H91" s="227" t="s">
        <v>913</v>
      </c>
      <c r="I91" s="226">
        <v>43108.589305555557</v>
      </c>
      <c r="J91" s="225">
        <v>0</v>
      </c>
      <c r="K91" s="237" t="str">
        <f t="shared" si="28"/>
        <v>4033/4034</v>
      </c>
      <c r="L91" s="245" t="str">
        <f>VLOOKUP(A91,'Trips&amp;Operators'!$C$1:$G$99911,5,FALSE)</f>
        <v>LONG FULLER</v>
      </c>
      <c r="M91" s="224">
        <f t="shared" si="29"/>
        <v>2.6643518518540077E-2</v>
      </c>
      <c r="N91" s="225">
        <f t="shared" si="47"/>
        <v>38.366666666697711</v>
      </c>
      <c r="O91" s="225"/>
      <c r="P91" s="225"/>
      <c r="Q91" s="228"/>
      <c r="R91" s="242"/>
      <c r="S91" s="249">
        <f t="shared" si="31"/>
        <v>1</v>
      </c>
      <c r="T91" s="242" t="str">
        <f t="shared" si="32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3"/>
        <v>https://d0f6bd738d7f1b3e5a7ca70fe4ff75f0.us-east-1.aws.found.io/app/kibana#/discover/Steve-Slow-Train-Analysis-(2080s-and-2083s)?_g=(refreshInterval:(display:Off,pause:!f,section:0,value:0),time:(from:'2018-01-08T12:24:11-0700',mode:absolute,to:'2018-01-08T15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1" s="247" t="str">
        <f>IF(AA91&lt;VLOOKUP(AG91,Variables!$AC$3:$AD$8,2,FALSE),"Y","N")</f>
        <v>N</v>
      </c>
      <c r="X91" s="247">
        <f t="shared" si="34"/>
        <v>1</v>
      </c>
      <c r="Y91" s="247">
        <f t="shared" si="35"/>
        <v>4.8599999999999997E-2</v>
      </c>
      <c r="Z91" s="247">
        <f t="shared" si="36"/>
        <v>23.331600000000002</v>
      </c>
      <c r="AA91" s="247">
        <f t="shared" si="37"/>
        <v>23.283000000000001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8"/>
        <v>179</v>
      </c>
      <c r="AE91" s="235" t="str">
        <f t="shared" si="39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91" s="234" t="str">
        <f t="shared" si="40"/>
        <v>"C:\Program Files (x86)\AstroGrep\AstroGrep.exe" /e /r /s /spath="%USERPROFILE%\AppData\Local\Temp\OnboardLogs" /stypes="app*4034*20180108*" /stext=" 21:.+((SYSTEM_STATE.+slice.+state.+changed )|(ment ac)|(multiple cpu faults)|(system.+state.+changed )|(\[timeout)|(PRM\|1\|D)|(kpr)|(kdp)|(train st.+moving)|(\|lc)|(penalty))"</v>
      </c>
      <c r="AG91" s="244" t="str">
        <f t="shared" si="41"/>
        <v>EC</v>
      </c>
      <c r="AH91" s="236" t="str">
        <f t="shared" si="42"/>
        <v>"%USERPROFILE%\Documents\GitHub\eaglep3\Utilities\RefineRTDCRunTimes.py" --tripid 179-08 --locoid 4034 --swversion DE.1.0.9.0 --startMP 204:486 --initTime 2018-01-08T13:24:11 --startdatetime 2018-01-08T13:30:14 --delay 72 --endMP 204:233316 --enddatetime 2018-01-08T14:08:36 --enforcementcount 0 &gt;&gt;%USERPROFILE%\Documents\GitHub\eaglep3-reporting\EC\2018-01-08-refined-times.txt</v>
      </c>
      <c r="AI9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{"issue":{"subject":"","project_id":79,"tracker_id":40,"status_id":1,"priority_id":2,"assigned_to_id":338,"start_date":"2018-01-08","description":"","custom_fields":[{"id":1,"name":"Subdivision","value":"EC"},{"id":4,"name":"Milepost","value":"23.3316"},{"id":17,"name":"Train ID","value":"179-08"},{"id":16,"name":"Locomotive ID","value":"4034"},{"id":130,"name":"Impact","value":""},{"id":150,"name":"Time of Event (Mountain Time)","value":"14:08:36"},{"id":151,"name":"Denver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4"/>
        <v>start /low /b %USERPROFILE%\Documents\GitHub\eaglep3\Utilities\DownloadLogsFromS3.py --loco 4034 --day 2018-01-08</v>
      </c>
      <c r="AN91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6"/>
        <v>https://d0f6bd738d7f1b3e5a7ca70fe4ff75f0.us-east-1.aws.found.io/app/kibana#/discover/Steve-Slow-Train-Analysis-(2080s-and-2083s)?_g=(refreshInterval:(display:Off,pause:!f,section:0,value:0),time:(from:'2018-01-08T12:24:11-0700',mode:absolute,to:'2018-01-08T15:08:36-0700'))&amp;_a=(columns:!('Message%20ID',Summary),filters:!(),index:'emp_*',interval:auto,query:(query_string:(analyze_wildcard:!t,query:'%22rtdc.l.rtdc.4034%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772</v>
      </c>
      <c r="B92" s="225">
        <v>4033</v>
      </c>
      <c r="C92" s="227" t="s">
        <v>191</v>
      </c>
      <c r="D92" s="227" t="s">
        <v>914</v>
      </c>
      <c r="E92" s="226">
        <v>43108.594317129631</v>
      </c>
      <c r="F92" s="226">
        <v>43108.602268518516</v>
      </c>
      <c r="G92" s="225">
        <v>66</v>
      </c>
      <c r="H92" s="227" t="s">
        <v>915</v>
      </c>
      <c r="I92" s="226">
        <v>43108.633483796293</v>
      </c>
      <c r="J92" s="225">
        <v>0</v>
      </c>
      <c r="K92" s="237" t="str">
        <f t="shared" si="28"/>
        <v>4033/4034</v>
      </c>
      <c r="L92" s="245" t="str">
        <f>VLOOKUP(A92,'Trips&amp;Operators'!$C$1:$G$99911,5,FALSE)</f>
        <v>LONG FULLER</v>
      </c>
      <c r="M92" s="224">
        <f t="shared" si="29"/>
        <v>3.1215277776937E-2</v>
      </c>
      <c r="N92" s="225">
        <f t="shared" si="47"/>
        <v>44.949999998789281</v>
      </c>
      <c r="O92" s="225"/>
      <c r="P92" s="225"/>
      <c r="Q92" s="228"/>
      <c r="R92" s="242"/>
      <c r="S92" s="249">
        <f t="shared" si="31"/>
        <v>1</v>
      </c>
      <c r="T92" s="242" t="str">
        <f t="shared" si="32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3"/>
        <v>https://d0f6bd738d7f1b3e5a7ca70fe4ff75f0.us-east-1.aws.found.io/app/kibana#/discover/Steve-Slow-Train-Analysis-(2080s-and-2083s)?_g=(refreshInterval:(display:Off,pause:!f,section:0,value:0),time:(from:'2018-01-08T13:15:49-0700',mode:absolute,to:'2018-01-08T16:12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2" s="247" t="str">
        <f>IF(AA92&lt;VLOOKUP(AG92,Variables!$AC$3:$AD$8,2,FALSE),"Y","N")</f>
        <v>N</v>
      </c>
      <c r="X92" s="247">
        <f t="shared" si="34"/>
        <v>1</v>
      </c>
      <c r="Y92" s="247">
        <f t="shared" si="35"/>
        <v>23.2988</v>
      </c>
      <c r="Z92" s="247">
        <f t="shared" si="36"/>
        <v>2.29E-2</v>
      </c>
      <c r="AA92" s="247">
        <f t="shared" si="37"/>
        <v>23.2759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8"/>
        <v>180</v>
      </c>
      <c r="AE92" s="235" t="str">
        <f t="shared" si="39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92" s="234" t="str">
        <f t="shared" si="40"/>
        <v>"C:\Program Files (x86)\AstroGrep\AstroGrep.exe" /e /r /s /spath="%USERPROFILE%\AppData\Local\Temp\OnboardLogs" /stypes="app*4033*20180108*" /stext=" 22:.+((SYSTEM_STATE.+slice.+state.+changed )|(ment ac)|(multiple cpu faults)|(system.+state.+changed )|(\[timeout)|(PRM\|1\|D)|(kpr)|(kdp)|(train st.+moving)|(\|lc)|(penalty))"</v>
      </c>
      <c r="AG92" s="244" t="str">
        <f t="shared" si="41"/>
        <v>EC</v>
      </c>
      <c r="AH92" s="236" t="str">
        <f t="shared" si="42"/>
        <v>"%USERPROFILE%\Documents\GitHub\eaglep3\Utilities\RefineRTDCRunTimes.py" --tripid 180-08 --locoid 4033 --swversion DE.1.0.9.0 --startMP 204:232988 --initTime 2018-01-08T14:15:49 --startdatetime 2018-01-08T14:27:16 --delay 66 --endMP 204:229 --enddatetime 2018-01-08T15:12:13 --enforcementcount 0 &gt;&gt;%USERPROFILE%\Documents\GitHub\eaglep3-reporting\EC\2018-01-08-refined-times.txt</v>
      </c>
      <c r="AI9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{"issue":{"subject":"","project_id":79,"tracker_id":40,"status_id":1,"priority_id":2,"assigned_to_id":338,"start_date":"2018-01-08","description":"","custom_fields":[{"id":1,"name":"Subdivision","value":"EC"},{"id":4,"name":"Milepost","value":"0.0229"},{"id":17,"name":"Train ID","value":"180-08"},{"id":16,"name":"Locomotive ID","value":"4033"},{"id":130,"name":"Impact","value":""},{"id":150,"name":"Time of Event (Mountain Time)","value":"15:12:13"},{"id":151,"name":"Denver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4"/>
        <v>start /low /b %USERPROFILE%\Documents\GitHub\eaglep3\Utilities\DownloadLogsFromS3.py --loco 4033 --day 2018-01-08</v>
      </c>
      <c r="AN92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22:12:13"},{"id":29,"name":"Sharepoint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6"/>
        <v>https://d0f6bd738d7f1b3e5a7ca70fe4ff75f0.us-east-1.aws.found.io/app/kibana#/discover/Steve-Slow-Train-Analysis-(2080s-and-2083s)?_g=(refreshInterval:(display:Off,pause:!f,section:0,value:0),time:(from:'2018-01-08T13:15:49-0700',mode:absolute,to:'2018-01-08T16:12:13-0700'))&amp;_a=(columns:!('Message%20ID',Summary),filters:!(),index:'emp_*',interval:auto,query:(query_string:(analyze_wildcard:!t,query:'%22rtdc.l.rtdc.4033%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767</v>
      </c>
      <c r="B93" s="225">
        <v>4060</v>
      </c>
      <c r="C93" s="227" t="s">
        <v>191</v>
      </c>
      <c r="D93" s="227" t="s">
        <v>471</v>
      </c>
      <c r="E93" s="226">
        <v>43108.570104166669</v>
      </c>
      <c r="F93" s="226">
        <v>43108.573171296295</v>
      </c>
      <c r="G93" s="225">
        <v>50</v>
      </c>
      <c r="H93" s="227" t="s">
        <v>514</v>
      </c>
      <c r="I93" s="226">
        <v>43108.599120370367</v>
      </c>
      <c r="J93" s="225">
        <v>0</v>
      </c>
      <c r="K93" s="237" t="str">
        <f t="shared" si="28"/>
        <v>4059/4060</v>
      </c>
      <c r="L93" s="245" t="str">
        <f>VLOOKUP(A93,'Trips&amp;Operators'!$C$1:$G$99911,5,FALSE)</f>
        <v>GUZMAN DANNY</v>
      </c>
      <c r="M93" s="224">
        <f t="shared" si="29"/>
        <v>2.5949074071832001E-2</v>
      </c>
      <c r="N93" s="225">
        <f t="shared" si="47"/>
        <v>37.366666663438082</v>
      </c>
      <c r="O93" s="225"/>
      <c r="P93" s="225"/>
      <c r="Q93" s="228"/>
      <c r="R93" s="242"/>
      <c r="S93" s="249">
        <f t="shared" si="31"/>
        <v>1</v>
      </c>
      <c r="T93" s="242" t="str">
        <f t="shared" si="32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3"/>
        <v>https://d0f6bd738d7f1b3e5a7ca70fe4ff75f0.us-east-1.aws.found.io/app/kibana#/discover/Steve-Slow-Train-Analysis-(2080s-and-2083s)?_g=(refreshInterval:(display:Off,pause:!f,section:0,value:0),time:(from:'2018-01-08T12:40:57-0700',mode:absolute,to:'2018-01-08T15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3" s="247" t="str">
        <f>IF(AA93&lt;VLOOKUP(AG93,Variables!$AC$3:$AD$8,2,FALSE),"Y","N")</f>
        <v>N</v>
      </c>
      <c r="X93" s="247">
        <f t="shared" si="34"/>
        <v>1</v>
      </c>
      <c r="Y93" s="247">
        <f t="shared" si="35"/>
        <v>4.8899999999999999E-2</v>
      </c>
      <c r="Z93" s="247">
        <f t="shared" si="36"/>
        <v>23.331700000000001</v>
      </c>
      <c r="AA93" s="247">
        <f t="shared" si="37"/>
        <v>23.282800000000002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8"/>
        <v>181</v>
      </c>
      <c r="AE93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93" s="234" t="str">
        <f t="shared" si="40"/>
        <v>"C:\Program Files (x86)\AstroGrep\AstroGrep.exe" /e /r /s /spath="%USERPROFILE%\AppData\Local\Temp\OnboardLogs" /stypes="app*4060*20180108*" /stext=" 21:.+((SYSTEM_STATE.+slice.+state.+changed )|(ment ac)|(multiple cpu faults)|(system.+state.+changed )|(\[timeout)|(PRM\|1\|D)|(kpr)|(kdp)|(train st.+moving)|(\|lc)|(penalty))"</v>
      </c>
      <c r="AG93" s="244" t="str">
        <f t="shared" si="41"/>
        <v>EC</v>
      </c>
      <c r="AH93" s="236" t="str">
        <f t="shared" si="42"/>
        <v>"%USERPROFILE%\Documents\GitHub\eaglep3\Utilities\RefineRTDCRunTimes.py" --tripid 181-08 --locoid 4060 --swversion DE.1.0.9.0 --startMP 204:489 --initTime 2018-01-08T13:40:57 --startdatetime 2018-01-08T13:45:22 --delay 50 --endMP 204:233317 --enddatetime 2018-01-08T14:22:44 --enforcementcount 0 &gt;&gt;%USERPROFILE%\Documents\GitHub\eaglep3-reporting\EC\2018-01-08-refined-times.txt</v>
      </c>
      <c r="AI9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{"issue":{"subject":"","project_id":79,"tracker_id":40,"status_id":1,"priority_id":2,"assigned_to_id":338,"start_date":"2018-01-08","description":"","custom_fields":[{"id":1,"name":"Subdivision","value":"EC"},{"id":4,"name":"Milepost","value":"23.3317"},{"id":17,"name":"Train ID","value":"181-08"},{"id":16,"name":"Locomotive ID","value":"4060"},{"id":130,"name":"Impact","value":""},{"id":150,"name":"Time of Event (Mountain Time)","value":"14:22:44"},{"id":151,"name":"Denver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4"/>
        <v>start /low /b %USERPROFILE%\Documents\GitHub\eaglep3\Utilities\DownloadLogsFromS3.py --loco 4060 --day 2018-01-08</v>
      </c>
      <c r="AN93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6"/>
        <v>https://d0f6bd738d7f1b3e5a7ca70fe4ff75f0.us-east-1.aws.found.io/app/kibana#/discover/Steve-Slow-Train-Analysis-(2080s-and-2083s)?_g=(refreshInterval:(display:Off,pause:!f,section:0,value:0),time:(from:'2018-01-08T12:40:57-0700',mode:absolute,to:'2018-01-08T15:22:44-0700'))&amp;_a=(columns:!('Message%20ID',Summary),filters:!(),index:'emp_*',interval:auto,query:(query_string:(analyze_wildcard:!t,query:'%22rtdc.l.rtdc.4060%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775</v>
      </c>
      <c r="B94" s="225">
        <v>4059</v>
      </c>
      <c r="C94" s="227" t="s">
        <v>191</v>
      </c>
      <c r="D94" s="227" t="s">
        <v>903</v>
      </c>
      <c r="E94" s="226">
        <v>43108.600358796299</v>
      </c>
      <c r="F94" s="226">
        <v>43108.612708333334</v>
      </c>
      <c r="G94" s="225">
        <v>51</v>
      </c>
      <c r="H94" s="227" t="s">
        <v>916</v>
      </c>
      <c r="I94" s="226">
        <v>43108.638912037037</v>
      </c>
      <c r="J94" s="225">
        <v>0</v>
      </c>
      <c r="K94" s="237" t="str">
        <f t="shared" si="28"/>
        <v>4059/4060</v>
      </c>
      <c r="L94" s="245" t="str">
        <f>VLOOKUP(A94,'Trips&amp;Operators'!$C$1:$G$99911,5,FALSE)</f>
        <v>GUZMAN DANNY</v>
      </c>
      <c r="M94" s="224">
        <f t="shared" si="29"/>
        <v>2.6203703702776693E-2</v>
      </c>
      <c r="N94" s="225">
        <f t="shared" si="47"/>
        <v>37.733333331998438</v>
      </c>
      <c r="O94" s="225"/>
      <c r="P94" s="225"/>
      <c r="Q94" s="228"/>
      <c r="R94" s="242"/>
      <c r="S94" s="249">
        <f t="shared" si="31"/>
        <v>1</v>
      </c>
      <c r="T94" s="242" t="str">
        <f t="shared" si="32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3"/>
        <v>https://d0f6bd738d7f1b3e5a7ca70fe4ff75f0.us-east-1.aws.found.io/app/kibana#/discover/Steve-Slow-Train-Analysis-(2080s-and-2083s)?_g=(refreshInterval:(display:Off,pause:!f,section:0,value:0),time:(from:'2018-01-08T13:24:31-0700',mode:absolute,to:'2018-01-08T16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4" s="247" t="str">
        <f>IF(AA94&lt;VLOOKUP(AG94,Variables!$AC$3:$AD$8,2,FALSE),"Y","N")</f>
        <v>N</v>
      </c>
      <c r="X94" s="247">
        <f t="shared" si="34"/>
        <v>1</v>
      </c>
      <c r="Y94" s="247">
        <f t="shared" si="35"/>
        <v>23.3002</v>
      </c>
      <c r="Z94" s="247">
        <f t="shared" si="36"/>
        <v>2.7799999999999998E-2</v>
      </c>
      <c r="AA94" s="247">
        <f t="shared" si="37"/>
        <v>23.272400000000001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8"/>
        <v>182</v>
      </c>
      <c r="AE94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94" s="234" t="str">
        <f t="shared" si="40"/>
        <v>"C:\Program Files (x86)\AstroGrep\AstroGrep.exe" /e /r /s /spath="%USERPROFILE%\AppData\Local\Temp\OnboardLogs" /stypes="app*4059*20180108*" /stext=" 22:.+((SYSTEM_STATE.+slice.+state.+changed )|(ment ac)|(multiple cpu faults)|(system.+state.+changed )|(\[timeout)|(PRM\|1\|D)|(kpr)|(kdp)|(train st.+moving)|(\|lc)|(penalty))"</v>
      </c>
      <c r="AG94" s="244" t="str">
        <f t="shared" si="41"/>
        <v>EC</v>
      </c>
      <c r="AH94" s="236" t="str">
        <f t="shared" si="42"/>
        <v>"%USERPROFILE%\Documents\GitHub\eaglep3\Utilities\RefineRTDCRunTimes.py" --tripid 182-08 --locoid 4059 --swversion DE.1.0.9.0 --startMP 204:233002 --initTime 2018-01-08T14:24:31 --startdatetime 2018-01-08T14:42:18 --delay 51 --endMP 204:278 --enddatetime 2018-01-08T15:20:02 --enforcementcount 0 &gt;&gt;%USERPROFILE%\Documents\GitHub\eaglep3-reporting\EC\2018-01-08-refined-times.txt</v>
      </c>
      <c r="AI9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{"issue":{"subject":"","project_id":79,"tracker_id":40,"status_id":1,"priority_id":2,"assigned_to_id":338,"start_date":"2018-01-08","description":"","custom_fields":[{"id":1,"name":"Subdivision","value":"EC"},{"id":4,"name":"Milepost","value":"0.0278"},{"id":17,"name":"Train ID","value":"182-08"},{"id":16,"name":"Locomotive ID","value":"4059"},{"id":130,"name":"Impact","value":""},{"id":150,"name":"Time of Event (Mountain Time)","value":"15:20:02"},{"id":151,"name":"Denver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4"/>
        <v>start /low /b %USERPROFILE%\Documents\GitHub\eaglep3\Utilities\DownloadLogsFromS3.py --loco 4059 --day 2018-01-08</v>
      </c>
      <c r="AN94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6"/>
        <v>https://d0f6bd738d7f1b3e5a7ca70fe4ff75f0.us-east-1.aws.found.io/app/kibana#/discover/Steve-Slow-Train-Analysis-(2080s-and-2083s)?_g=(refreshInterval:(display:Off,pause:!f,section:0,value:0),time:(from:'2018-01-08T13:24:31-0700',mode:absolute,to:'2018-01-08T16:20:02-0700'))&amp;_a=(columns:!('Message%20ID',Summary),filters:!(),index:'emp_*',interval:auto,query:(query_string:(analyze_wildcard:!t,query:'%22rtdc.l.rtdc.4059%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768</v>
      </c>
      <c r="B95" s="225">
        <v>4022</v>
      </c>
      <c r="C95" s="227" t="s">
        <v>191</v>
      </c>
      <c r="D95" s="227" t="s">
        <v>471</v>
      </c>
      <c r="E95" s="226">
        <v>43108.579710648148</v>
      </c>
      <c r="F95" s="226">
        <v>43108.58353009259</v>
      </c>
      <c r="G95" s="225">
        <v>73</v>
      </c>
      <c r="H95" s="227" t="s">
        <v>513</v>
      </c>
      <c r="I95" s="226">
        <v>43108.611863425926</v>
      </c>
      <c r="J95" s="225">
        <v>0</v>
      </c>
      <c r="K95" s="237" t="str">
        <f t="shared" si="28"/>
        <v>4021/4022</v>
      </c>
      <c r="L95" s="245" t="str">
        <f>VLOOKUP(A95,'Trips&amp;Operators'!$C$1:$G$99911,5,FALSE)</f>
        <v>SAFIEF AEIMEN</v>
      </c>
      <c r="M95" s="224">
        <f t="shared" si="29"/>
        <v>2.8333333335467614E-2</v>
      </c>
      <c r="N95" s="225">
        <f t="shared" si="47"/>
        <v>40.800000003073364</v>
      </c>
      <c r="O95" s="225"/>
      <c r="P95" s="225"/>
      <c r="Q95" s="228"/>
      <c r="R95" s="242"/>
      <c r="S95" s="249">
        <f t="shared" si="31"/>
        <v>1</v>
      </c>
      <c r="T95" s="242" t="str">
        <f t="shared" si="32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3"/>
        <v>https://d0f6bd738d7f1b3e5a7ca70fe4ff75f0.us-east-1.aws.found.io/app/kibana#/discover/Steve-Slow-Train-Analysis-(2080s-and-2083s)?_g=(refreshInterval:(display:Off,pause:!f,section:0,value:0),time:(from:'2018-01-08T12:54:47-0700',mode:absolute,to:'2018-01-08T15:41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247" t="str">
        <f>IF(AA95&lt;VLOOKUP(AG95,Variables!$AC$3:$AD$8,2,FALSE),"Y","N")</f>
        <v>N</v>
      </c>
      <c r="X95" s="247">
        <f t="shared" si="34"/>
        <v>1</v>
      </c>
      <c r="Y95" s="247">
        <f t="shared" si="35"/>
        <v>4.8899999999999999E-2</v>
      </c>
      <c r="Z95" s="247">
        <f t="shared" si="36"/>
        <v>23.333600000000001</v>
      </c>
      <c r="AA95" s="247">
        <f t="shared" si="37"/>
        <v>23.284700000000001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8"/>
        <v>183</v>
      </c>
      <c r="AE95" s="235" t="str">
        <f t="shared" si="39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95" s="234" t="str">
        <f t="shared" si="40"/>
        <v>"C:\Program Files (x86)\AstroGrep\AstroGrep.exe" /e /r /s /spath="%USERPROFILE%\AppData\Local\Temp\OnboardLogs" /stypes="app*4022*20180108*" /stext=" 21:.+((SYSTEM_STATE.+slice.+state.+changed )|(ment ac)|(multiple cpu faults)|(system.+state.+changed )|(\[timeout)|(PRM\|1\|D)|(kpr)|(kdp)|(train st.+moving)|(\|lc)|(penalty))"</v>
      </c>
      <c r="AG95" s="244" t="str">
        <f t="shared" si="41"/>
        <v>EC</v>
      </c>
      <c r="AH95" s="236" t="str">
        <f t="shared" si="42"/>
        <v>"%USERPROFILE%\Documents\GitHub\eaglep3\Utilities\RefineRTDCRunTimes.py" --tripid 183-08 --locoid 4022 --swversion DE.1.0.9.0 --startMP 204:489 --initTime 2018-01-08T13:54:47 --startdatetime 2018-01-08T14:00:17 --delay 73 --endMP 204:233336 --enddatetime 2018-01-08T14:41:05 --enforcementcount 0 &gt;&gt;%USERPROFILE%\Documents\GitHub\eaglep3-reporting\EC\2018-01-08-refined-times.txt</v>
      </c>
      <c r="AI9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{"issue":{"subject":"","project_id":79,"tracker_id":40,"status_id":1,"priority_id":2,"assigned_to_id":338,"start_date":"2018-01-08","description":"","custom_fields":[{"id":1,"name":"Subdivision","value":"EC"},{"id":4,"name":"Milepost","value":"23.3336"},{"id":17,"name":"Train ID","value":"183-08"},{"id":16,"name":"Locomotive ID","value":"4022"},{"id":130,"name":"Impact","value":""},{"id":150,"name":"Time of Event (Mountain Time)","value":"14:41:05"},{"id":151,"name":"Denver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4"/>
        <v>start /low /b %USERPROFILE%\Documents\GitHub\eaglep3\Utilities\DownloadLogsFromS3.py --loco 4022 --day 2018-01-08</v>
      </c>
      <c r="AN95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6"/>
        <v>https://d0f6bd738d7f1b3e5a7ca70fe4ff75f0.us-east-1.aws.found.io/app/kibana#/discover/Steve-Slow-Train-Analysis-(2080s-and-2083s)?_g=(refreshInterval:(display:Off,pause:!f,section:0,value:0),time:(from:'2018-01-08T12:54:47-0700',mode:absolute,to:'2018-01-08T15:41:05-0700'))&amp;_a=(columns:!('Message%20ID',Summary),filters:!(),index:'emp_*',interval:auto,query:(query_string:(analyze_wildcard:!t,query:'%22rtdc.l.rtdc.4022%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777</v>
      </c>
      <c r="B96" s="225">
        <v>4021</v>
      </c>
      <c r="C96" s="227" t="s">
        <v>191</v>
      </c>
      <c r="D96" s="227" t="s">
        <v>540</v>
      </c>
      <c r="E96" s="226">
        <v>43108.620486111111</v>
      </c>
      <c r="F96" s="226">
        <v>43108.623171296298</v>
      </c>
      <c r="G96" s="225">
        <v>88</v>
      </c>
      <c r="H96" s="227" t="s">
        <v>902</v>
      </c>
      <c r="I96" s="226">
        <v>43108.649259259262</v>
      </c>
      <c r="J96" s="225">
        <v>0</v>
      </c>
      <c r="K96" s="237" t="str">
        <f t="shared" si="28"/>
        <v>4021/4022</v>
      </c>
      <c r="L96" s="245" t="str">
        <f>VLOOKUP(A96,'Trips&amp;Operators'!$C$1:$G$99911,5,FALSE)</f>
        <v>SAFIEF AEIMEN</v>
      </c>
      <c r="M96" s="224">
        <f t="shared" si="29"/>
        <v>2.6087962964083999E-2</v>
      </c>
      <c r="N96" s="225">
        <f t="shared" si="47"/>
        <v>37.566666668280959</v>
      </c>
      <c r="O96" s="225"/>
      <c r="P96" s="225"/>
      <c r="Q96" s="228"/>
      <c r="R96" s="242"/>
      <c r="S96" s="249">
        <f t="shared" si="31"/>
        <v>1</v>
      </c>
      <c r="T96" s="242" t="str">
        <f t="shared" si="32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3"/>
        <v>https://d0f6bd738d7f1b3e5a7ca70fe4ff75f0.us-east-1.aws.found.io/app/kibana#/discover/Steve-Slow-Train-Analysis-(2080s-and-2083s)?_g=(refreshInterval:(display:Off,pause:!f,section:0,value:0),time:(from:'2018-01-08T13:53:30-0700',mode:absolute,to:'2018-01-08T16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247" t="str">
        <f>IF(AA96&lt;VLOOKUP(AG96,Variables!$AC$3:$AD$8,2,FALSE),"Y","N")</f>
        <v>N</v>
      </c>
      <c r="X96" s="247">
        <f t="shared" si="34"/>
        <v>1</v>
      </c>
      <c r="Y96" s="247">
        <f t="shared" si="35"/>
        <v>23.299199999999999</v>
      </c>
      <c r="Z96" s="247">
        <f t="shared" si="36"/>
        <v>1.89E-2</v>
      </c>
      <c r="AA96" s="247">
        <f t="shared" si="37"/>
        <v>23.2803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8"/>
        <v>184</v>
      </c>
      <c r="AE96" s="235" t="str">
        <f t="shared" si="39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96" s="234" t="str">
        <f t="shared" si="40"/>
        <v>"C:\Program Files (x86)\AstroGrep\AstroGrep.exe" /e /r /s /spath="%USERPROFILE%\AppData\Local\Temp\OnboardLogs" /stypes="app*4021*20180108*" /stext=" 22:.+((SYSTEM_STATE.+slice.+state.+changed )|(ment ac)|(multiple cpu faults)|(system.+state.+changed )|(\[timeout)|(PRM\|1\|D)|(kpr)|(kdp)|(train st.+moving)|(\|lc)|(penalty))"</v>
      </c>
      <c r="AG96" s="244" t="str">
        <f t="shared" si="41"/>
        <v>EC</v>
      </c>
      <c r="AH96" s="236" t="str">
        <f t="shared" si="42"/>
        <v>"%USERPROFILE%\Documents\GitHub\eaglep3\Utilities\RefineRTDCRunTimes.py" --tripid 184-08 --locoid 4021 --swversion DE.1.0.9.0 --startMP 204:232992 --initTime 2018-01-08T14:53:30 --startdatetime 2018-01-08T14:57:22 --delay 88 --endMP 204:189 --enddatetime 2018-01-08T15:34:56 --enforcementcount 0 &gt;&gt;%USERPROFILE%\Documents\GitHub\eaglep3-reporting\EC\2018-01-08-refined-times.txt</v>
      </c>
      <c r="AI9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{"issue":{"subject":"","project_id":79,"tracker_id":40,"status_id":1,"priority_id":2,"assigned_to_id":338,"start_date":"2018-01-08","description":"","custom_fields":[{"id":1,"name":"Subdivision","value":"EC"},{"id":4,"name":"Milepost","value":"0.0189"},{"id":17,"name":"Train ID","value":"184-08"},{"id":16,"name":"Locomotive ID","value":"4021"},{"id":130,"name":"Impact","value":""},{"id":150,"name":"Time of Event (Mountain Time)","value":"15:34:56"},{"id":151,"name":"Denver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4"/>
        <v>start /low /b %USERPROFILE%\Documents\GitHub\eaglep3\Utilities\DownloadLogsFromS3.py --loco 4021 --day 2018-01-08</v>
      </c>
      <c r="AN96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6"/>
        <v>https://d0f6bd738d7f1b3e5a7ca70fe4ff75f0.us-east-1.aws.found.io/app/kibana#/discover/Steve-Slow-Train-Analysis-(2080s-and-2083s)?_g=(refreshInterval:(display:Off,pause:!f,section:0,value:0),time:(from:'2018-01-08T13:53:30-0700',mode:absolute,to:'2018-01-08T16:34:56-0700'))&amp;_a=(columns:!('Message%20ID',Summary),filters:!(),index:'emp_*',interval:auto,query:(query_string:(analyze_wildcard:!t,query:'%22rtdc.l.rtdc.4021%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771</v>
      </c>
      <c r="B97" s="225">
        <v>4044</v>
      </c>
      <c r="C97" s="227" t="s">
        <v>191</v>
      </c>
      <c r="D97" s="227" t="s">
        <v>477</v>
      </c>
      <c r="E97" s="226">
        <v>43108.590081018519</v>
      </c>
      <c r="F97" s="226">
        <v>43108.593993055554</v>
      </c>
      <c r="G97" s="225">
        <v>63</v>
      </c>
      <c r="H97" s="227" t="s">
        <v>886</v>
      </c>
      <c r="I97" s="226">
        <v>43108.619942129626</v>
      </c>
      <c r="J97" s="225">
        <v>0</v>
      </c>
      <c r="K97" s="237" t="str">
        <f t="shared" si="28"/>
        <v>4043/4044</v>
      </c>
      <c r="L97" s="245" t="str">
        <f>VLOOKUP(A97,'Trips&amp;Operators'!$C$1:$G$99911,5,FALSE)</f>
        <v>BADERTSCHER DIANE</v>
      </c>
      <c r="M97" s="224">
        <f t="shared" si="29"/>
        <v>2.5949074071832001E-2</v>
      </c>
      <c r="N97" s="225">
        <f t="shared" si="47"/>
        <v>37.366666663438082</v>
      </c>
      <c r="O97" s="225"/>
      <c r="P97" s="225"/>
      <c r="Q97" s="228"/>
      <c r="R97" s="242"/>
      <c r="S97" s="249">
        <f t="shared" si="31"/>
        <v>1</v>
      </c>
      <c r="T97" s="242" t="str">
        <f t="shared" si="32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3"/>
        <v>https://d0f6bd738d7f1b3e5a7ca70fe4ff75f0.us-east-1.aws.found.io/app/kibana#/discover/Steve-Slow-Train-Analysis-(2080s-and-2083s)?_g=(refreshInterval:(display:Off,pause:!f,section:0,value:0),time:(from:'2018-01-08T13:09:43-0700',mode:absolute,to:'2018-01-08T15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247" t="str">
        <f>IF(AA97&lt;VLOOKUP(AG97,Variables!$AC$3:$AD$8,2,FALSE),"Y","N")</f>
        <v>N</v>
      </c>
      <c r="X97" s="247">
        <f t="shared" si="34"/>
        <v>1</v>
      </c>
      <c r="Y97" s="247">
        <f t="shared" si="35"/>
        <v>5.1499999999999997E-2</v>
      </c>
      <c r="Z97" s="247">
        <f t="shared" si="36"/>
        <v>23.3263</v>
      </c>
      <c r="AA97" s="247">
        <f t="shared" si="37"/>
        <v>23.274799999999999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8"/>
        <v>185</v>
      </c>
      <c r="AE97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97" s="234" t="str">
        <f t="shared" si="40"/>
        <v>"C:\Program Files (x86)\AstroGrep\AstroGrep.exe" /e /r /s /spath="%USERPROFILE%\AppData\Local\Temp\OnboardLogs" /stypes="app*4044*20180108*" /stext=" 21:.+((SYSTEM_STATE.+slice.+state.+changed )|(ment ac)|(multiple cpu faults)|(system.+state.+changed )|(\[timeout)|(PRM\|1\|D)|(kpr)|(kdp)|(train st.+moving)|(\|lc)|(penalty))"</v>
      </c>
      <c r="AG97" s="244" t="str">
        <f t="shared" si="41"/>
        <v>EC</v>
      </c>
      <c r="AH97" s="236" t="str">
        <f t="shared" si="42"/>
        <v>"%USERPROFILE%\Documents\GitHub\eaglep3\Utilities\RefineRTDCRunTimes.py" --tripid 185-08 --locoid 4044 --swversion DE.1.0.9.0 --startMP 204:515 --initTime 2018-01-08T14:09:43 --startdatetime 2018-01-08T14:15:21 --delay 63 --endMP 204:233263 --enddatetime 2018-01-08T14:52:43 --enforcementcount 0 &gt;&gt;%USERPROFILE%\Documents\GitHub\eaglep3-reporting\EC\2018-01-08-refined-times.txt</v>
      </c>
      <c r="AI9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{"issue":{"subject":"","project_id":79,"tracker_id":40,"status_id":1,"priority_id":2,"assigned_to_id":338,"start_date":"2018-01-08","description":"","custom_fields":[{"id":1,"name":"Subdivision","value":"EC"},{"id":4,"name":"Milepost","value":"23.3263"},{"id":17,"name":"Train ID","value":"185-08"},{"id":16,"name":"Locomotive ID","value":"4044"},{"id":130,"name":"Impact","value":""},{"id":150,"name":"Time of Event (Mountain Time)","value":"14:52:43"},{"id":151,"name":"Denver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4"/>
        <v>start /low /b %USERPROFILE%\Documents\GitHub\eaglep3\Utilities\DownloadLogsFromS3.py --loco 4044 --day 2018-01-08</v>
      </c>
      <c r="AN97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6"/>
        <v>https://d0f6bd738d7f1b3e5a7ca70fe4ff75f0.us-east-1.aws.found.io/app/kibana#/discover/Steve-Slow-Train-Analysis-(2080s-and-2083s)?_g=(refreshInterval:(display:Off,pause:!f,section:0,value:0),time:(from:'2018-01-08T13:09:43-0700',mode:absolute,to:'2018-01-08T15:52:43-0700'))&amp;_a=(columns:!('Message%20ID',Summary),filters:!(),index:'emp_*',interval:auto,query:(query_string:(analyze_wildcard:!t,query:'%22rtdc.l.rtdc.4044%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779</v>
      </c>
      <c r="B98" s="225">
        <v>4043</v>
      </c>
      <c r="C98" s="227" t="s">
        <v>191</v>
      </c>
      <c r="D98" s="227" t="s">
        <v>898</v>
      </c>
      <c r="E98" s="226">
        <v>43108.628530092596</v>
      </c>
      <c r="F98" s="226">
        <v>43108.633506944447</v>
      </c>
      <c r="G98" s="225">
        <v>149</v>
      </c>
      <c r="H98" s="227" t="s">
        <v>917</v>
      </c>
      <c r="I98" s="226">
        <v>43108.661261574074</v>
      </c>
      <c r="J98" s="225">
        <v>0</v>
      </c>
      <c r="K98" s="237" t="str">
        <f t="shared" si="28"/>
        <v>4043/4044</v>
      </c>
      <c r="L98" s="245" t="str">
        <f>VLOOKUP(A98,'Trips&amp;Operators'!$C$1:$G$99911,5,FALSE)</f>
        <v>BADERTSCHER DIANE</v>
      </c>
      <c r="M98" s="224">
        <f t="shared" si="29"/>
        <v>2.7754629627452232E-2</v>
      </c>
      <c r="N98" s="225">
        <f t="shared" si="47"/>
        <v>39.966666663531214</v>
      </c>
      <c r="O98" s="225"/>
      <c r="P98" s="225"/>
      <c r="Q98" s="228"/>
      <c r="R98" s="242"/>
      <c r="S98" s="249">
        <f t="shared" si="31"/>
        <v>1</v>
      </c>
      <c r="T98" s="242" t="str">
        <f t="shared" si="32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3"/>
        <v>https://d0f6bd738d7f1b3e5a7ca70fe4ff75f0.us-east-1.aws.found.io/app/kibana#/discover/Steve-Slow-Train-Analysis-(2080s-and-2083s)?_g=(refreshInterval:(display:Off,pause:!f,section:0,value:0),time:(from:'2018-01-08T14:05:05-0700',mode:absolute,to:'2018-01-08T16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247" t="str">
        <f>IF(AA98&lt;VLOOKUP(AG98,Variables!$AC$3:$AD$8,2,FALSE),"Y","N")</f>
        <v>N</v>
      </c>
      <c r="X98" s="247">
        <f t="shared" si="34"/>
        <v>1</v>
      </c>
      <c r="Y98" s="247">
        <f t="shared" si="35"/>
        <v>23.294499999999999</v>
      </c>
      <c r="Z98" s="247">
        <f t="shared" si="36"/>
        <v>2.0299999999999999E-2</v>
      </c>
      <c r="AA98" s="247">
        <f t="shared" si="37"/>
        <v>23.2742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8"/>
        <v>186</v>
      </c>
      <c r="AE98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98" s="234" t="str">
        <f t="shared" si="40"/>
        <v>"C:\Program Files (x86)\AstroGrep\AstroGrep.exe" /e /r /s /spath="%USERPROFILE%\AppData\Local\Temp\OnboardLogs" /stypes="app*4043*20180108*" /stext=" 22:.+((SYSTEM_STATE.+slice.+state.+changed )|(ment ac)|(multiple cpu faults)|(system.+state.+changed )|(\[timeout)|(PRM\|1\|D)|(kpr)|(kdp)|(train st.+moving)|(\|lc)|(penalty))"</v>
      </c>
      <c r="AG98" s="244" t="str">
        <f t="shared" si="41"/>
        <v>EC</v>
      </c>
      <c r="AH98" s="236" t="str">
        <f t="shared" si="42"/>
        <v>"%USERPROFILE%\Documents\GitHub\eaglep3\Utilities\RefineRTDCRunTimes.py" --tripid 186-08 --locoid 4043 --swversion DE.1.0.9.0 --startMP 204:232945 --initTime 2018-01-08T15:05:05 --startdatetime 2018-01-08T15:12:15 --delay 149 --endMP 204:203 --enddatetime 2018-01-08T15:52:13 --enforcementcount 0 &gt;&gt;%USERPROFILE%\Documents\GitHub\eaglep3-reporting\EC\2018-01-08-refined-times.txt</v>
      </c>
      <c r="AI9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{"issue":{"subject":"","project_id":79,"tracker_id":40,"status_id":1,"priority_id":2,"assigned_to_id":338,"start_date":"2018-01-08","description":"","custom_fields":[{"id":1,"name":"Subdivision","value":"EC"},{"id":4,"name":"Milepost","value":"0.0203"},{"id":17,"name":"Train ID","value":"186-08"},{"id":16,"name":"Locomotive ID","value":"4043"},{"id":130,"name":"Impact","value":""},{"id":150,"name":"Time of Event (Mountain Time)","value":"15:52:13"},{"id":151,"name":"Denver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4"/>
        <v>start /low /b %USERPROFILE%\Documents\GitHub\eaglep3\Utilities\DownloadLogsFromS3.py --loco 4043 --day 2018-01-08</v>
      </c>
      <c r="AN98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6"/>
        <v>https://d0f6bd738d7f1b3e5a7ca70fe4ff75f0.us-east-1.aws.found.io/app/kibana#/discover/Steve-Slow-Train-Analysis-(2080s-and-2083s)?_g=(refreshInterval:(display:Off,pause:!f,section:0,value:0),time:(from:'2018-01-08T14:05:05-0700',mode:absolute,to:'2018-01-08T16:52:13-0700'))&amp;_a=(columns:!('Message%20ID',Summary),filters:!(),index:'emp_*',interval:auto,query:(query_string:(analyze_wildcard:!t,query:'%22rtdc.l.rtdc.4043%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774</v>
      </c>
      <c r="B99" s="225">
        <v>4054</v>
      </c>
      <c r="C99" s="227" t="s">
        <v>191</v>
      </c>
      <c r="D99" s="227" t="s">
        <v>548</v>
      </c>
      <c r="E99" s="226">
        <v>43108.598645833335</v>
      </c>
      <c r="F99" s="226">
        <v>43108.604351851849</v>
      </c>
      <c r="G99" s="225">
        <v>62</v>
      </c>
      <c r="H99" s="227" t="s">
        <v>877</v>
      </c>
      <c r="I99" s="226">
        <v>43108.629895833335</v>
      </c>
      <c r="J99" s="225">
        <v>0</v>
      </c>
      <c r="K99" s="237" t="str">
        <f t="shared" si="28"/>
        <v>4053/4054</v>
      </c>
      <c r="L99" s="245" t="str">
        <f>VLOOKUP(A99,'Trips&amp;Operators'!$C$1:$G$99911,5,FALSE)</f>
        <v>KILLION DAVID</v>
      </c>
      <c r="M99" s="224">
        <f t="shared" si="29"/>
        <v>2.5543981486407574E-2</v>
      </c>
      <c r="N99" s="225">
        <f t="shared" si="47"/>
        <v>36.783333340426907</v>
      </c>
      <c r="O99" s="225"/>
      <c r="P99" s="225"/>
      <c r="Q99" s="228"/>
      <c r="R99" s="242"/>
      <c r="S99" s="249">
        <f t="shared" si="31"/>
        <v>1</v>
      </c>
      <c r="T99" s="242" t="str">
        <f t="shared" si="32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3"/>
        <v>https://d0f6bd738d7f1b3e5a7ca70fe4ff75f0.us-east-1.aws.found.io/app/kibana#/discover/Steve-Slow-Train-Analysis-(2080s-and-2083s)?_g=(refreshInterval:(display:Off,pause:!f,section:0,value:0),time:(from:'2018-01-08T13:22:03-0700',mode:absolute,to:'2018-01-08T16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9" s="247" t="str">
        <f>IF(AA99&lt;VLOOKUP(AG99,Variables!$AC$3:$AD$8,2,FALSE),"Y","N")</f>
        <v>N</v>
      </c>
      <c r="X99" s="247">
        <f t="shared" si="34"/>
        <v>1</v>
      </c>
      <c r="Y99" s="247">
        <f t="shared" si="35"/>
        <v>4.7800000000000002E-2</v>
      </c>
      <c r="Z99" s="247">
        <f t="shared" si="36"/>
        <v>23.3261</v>
      </c>
      <c r="AA99" s="247">
        <f t="shared" si="37"/>
        <v>23.278300000000002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8"/>
        <v>187</v>
      </c>
      <c r="AE99" s="235" t="str">
        <f t="shared" si="39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99" s="234" t="str">
        <f t="shared" si="40"/>
        <v>"C:\Program Files (x86)\AstroGrep\AstroGrep.exe" /e /r /s /spath="%USERPROFILE%\AppData\Local\Temp\OnboardLogs" /stypes="app*4054*20180108*" /stext=" 22:.+((SYSTEM_STATE.+slice.+state.+changed )|(ment ac)|(multiple cpu faults)|(system.+state.+changed )|(\[timeout)|(PRM\|1\|D)|(kpr)|(kdp)|(train st.+moving)|(\|lc)|(penalty))"</v>
      </c>
      <c r="AG99" s="244" t="str">
        <f t="shared" si="41"/>
        <v>EC</v>
      </c>
      <c r="AH99" s="236" t="str">
        <f t="shared" si="42"/>
        <v>"%USERPROFILE%\Documents\GitHub\eaglep3\Utilities\RefineRTDCRunTimes.py" --tripid 187-08 --locoid 4054 --swversion DE.1.0.9.0 --startMP 204:478 --initTime 2018-01-08T14:22:03 --startdatetime 2018-01-08T14:30:16 --delay 62 --endMP 204:233261 --enddatetime 2018-01-08T15:07:03 --enforcementcount 0 &gt;&gt;%USERPROFILE%\Documents\GitHub\eaglep3-reporting\EC\2018-01-08-refined-times.txt</v>
      </c>
      <c r="AI9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{"issue":{"subject":"","project_id":79,"tracker_id":40,"status_id":1,"priority_id":2,"assigned_to_id":338,"start_date":"2018-01-08","description":"","custom_fields":[{"id":1,"name":"Subdivision","value":"EC"},{"id":4,"name":"Milepost","value":"23.3261"},{"id":17,"name":"Train ID","value":"187-08"},{"id":16,"name":"Locomotive ID","value":"4054"},{"id":130,"name":"Impact","value":""},{"id":150,"name":"Time of Event (Mountain Time)","value":"15:07:03"},{"id":151,"name":"Denver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4"/>
        <v>start /low /b %USERPROFILE%\Documents\GitHub\eaglep3\Utilities\DownloadLogsFromS3.py --loco 4054 --day 2018-01-08</v>
      </c>
      <c r="AN99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6"/>
        <v>https://d0f6bd738d7f1b3e5a7ca70fe4ff75f0.us-east-1.aws.found.io/app/kibana#/discover/Steve-Slow-Train-Analysis-(2080s-and-2083s)?_g=(refreshInterval:(display:Off,pause:!f,section:0,value:0),time:(from:'2018-01-08T13:22:03-0700',mode:absolute,to:'2018-01-08T16:07:03-0700'))&amp;_a=(columns:!('Message%20ID',Summary),filters:!(),index:'emp_*',interval:auto,query:(query_string:(analyze_wildcard:!t,query:'%22rtdc.l.rtdc.4054%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782</v>
      </c>
      <c r="B100" s="225">
        <v>4053</v>
      </c>
      <c r="C100" s="227" t="s">
        <v>191</v>
      </c>
      <c r="D100" s="227" t="s">
        <v>532</v>
      </c>
      <c r="E100" s="226">
        <v>43108.637303240743</v>
      </c>
      <c r="F100" s="226">
        <v>43108.643935185188</v>
      </c>
      <c r="G100" s="225">
        <v>52</v>
      </c>
      <c r="H100" s="227" t="s">
        <v>461</v>
      </c>
      <c r="I100" s="226">
        <v>43108.669918981483</v>
      </c>
      <c r="J100" s="225">
        <v>0</v>
      </c>
      <c r="K100" s="237" t="str">
        <f t="shared" si="28"/>
        <v>4053/4054</v>
      </c>
      <c r="L100" s="245" t="str">
        <f>VLOOKUP(A100,'Trips&amp;Operators'!$C$1:$G$99911,5,FALSE)</f>
        <v>KILLION DAVID</v>
      </c>
      <c r="M100" s="224">
        <f t="shared" si="29"/>
        <v>2.5983796294895001E-2</v>
      </c>
      <c r="N100" s="225">
        <f t="shared" si="47"/>
        <v>37.416666664648801</v>
      </c>
      <c r="O100" s="225"/>
      <c r="P100" s="225"/>
      <c r="Q100" s="228"/>
      <c r="R100" s="242"/>
      <c r="S100" s="249">
        <f t="shared" si="31"/>
        <v>1</v>
      </c>
      <c r="T100" s="242" t="str">
        <f t="shared" si="32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3"/>
        <v>https://d0f6bd738d7f1b3e5a7ca70fe4ff75f0.us-east-1.aws.found.io/app/kibana#/discover/Steve-Slow-Train-Analysis-(2080s-and-2083s)?_g=(refreshInterval:(display:Off,pause:!f,section:0,value:0),time:(from:'2018-01-08T14:17:43-0700',mode:absolute,to:'2018-01-08T17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247" t="str">
        <f>IF(AA100&lt;VLOOKUP(AG100,Variables!$AC$3:$AD$8,2,FALSE),"Y","N")</f>
        <v>N</v>
      </c>
      <c r="X100" s="247">
        <f t="shared" si="34"/>
        <v>1</v>
      </c>
      <c r="Y100" s="247">
        <f t="shared" si="35"/>
        <v>23.293199999999999</v>
      </c>
      <c r="Z100" s="247">
        <f t="shared" si="36"/>
        <v>2.01E-2</v>
      </c>
      <c r="AA100" s="247">
        <f t="shared" si="37"/>
        <v>23.273099999999999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8"/>
        <v>188</v>
      </c>
      <c r="AE100" s="235" t="str">
        <f t="shared" si="39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100" s="234" t="str">
        <f t="shared" si="40"/>
        <v>"C:\Program Files (x86)\AstroGrep\AstroGrep.exe" /e /r /s /spath="%USERPROFILE%\AppData\Local\Temp\OnboardLogs" /stypes="app*4053*20180108*" /stext=" 23:.+((SYSTEM_STATE.+slice.+state.+changed )|(ment ac)|(multiple cpu faults)|(system.+state.+changed )|(\[timeout)|(PRM\|1\|D)|(kpr)|(kdp)|(train st.+moving)|(\|lc)|(penalty))"</v>
      </c>
      <c r="AG100" s="244" t="str">
        <f t="shared" si="41"/>
        <v>EC</v>
      </c>
      <c r="AH100" s="236" t="str">
        <f t="shared" si="42"/>
        <v>"%USERPROFILE%\Documents\GitHub\eaglep3\Utilities\RefineRTDCRunTimes.py" --tripid 188-08 --locoid 4053 --swversion DE.1.0.9.0 --startMP 204:232932 --initTime 2018-01-08T15:17:43 --startdatetime 2018-01-08T15:27:16 --delay 52 --endMP 204:201 --enddatetime 2018-01-08T16:04:41 --enforcementcount 0 &gt;&gt;%USERPROFILE%\Documents\GitHub\eaglep3-reporting\EC\2018-01-08-refined-times.txt</v>
      </c>
      <c r="AI10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{"issue":{"subject":"","project_id":79,"tracker_id":40,"status_id":1,"priority_id":2,"assigned_to_id":338,"start_date":"2018-01-08","description":"","custom_fields":[{"id":1,"name":"Subdivision","value":"EC"},{"id":4,"name":"Milepost","value":"0.0201"},{"id":17,"name":"Train ID","value":"188-08"},{"id":16,"name":"Locomotive ID","value":"4053"},{"id":130,"name":"Impact","value":""},{"id":150,"name":"Time of Event (Mountain Time)","value":"16:04:41"},{"id":151,"name":"Denver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4"/>
        <v>start /low /b %USERPROFILE%\Documents\GitHub\eaglep3\Utilities\DownloadLogsFromS3.py --loco 4053 --day 2018-01-08</v>
      </c>
      <c r="AN100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6"/>
        <v>https://d0f6bd738d7f1b3e5a7ca70fe4ff75f0.us-east-1.aws.found.io/app/kibana#/discover/Steve-Slow-Train-Analysis-(2080s-and-2083s)?_g=(refreshInterval:(display:Off,pause:!f,section:0,value:0),time:(from:'2018-01-08T14:17:43-0700',mode:absolute,to:'2018-01-08T17:04:41-0700'))&amp;_a=(columns:!('Message%20ID',Summary),filters:!(),index:'emp_*',interval:auto,query:(query_string:(analyze_wildcard:!t,query:'%22rtdc.l.rtdc.4053%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776</v>
      </c>
      <c r="B101" s="225">
        <v>4026</v>
      </c>
      <c r="C101" s="227" t="s">
        <v>191</v>
      </c>
      <c r="D101" s="227" t="s">
        <v>604</v>
      </c>
      <c r="E101" s="226">
        <v>43108.612175925926</v>
      </c>
      <c r="F101" s="226">
        <v>43108.61478009259</v>
      </c>
      <c r="G101" s="225">
        <v>53</v>
      </c>
      <c r="H101" s="227" t="s">
        <v>886</v>
      </c>
      <c r="I101" s="226">
        <v>43108.640243055554</v>
      </c>
      <c r="J101" s="225">
        <v>0</v>
      </c>
      <c r="K101" s="237" t="str">
        <f t="shared" si="28"/>
        <v>4025/4026</v>
      </c>
      <c r="L101" s="245" t="str">
        <f>VLOOKUP(A101,'Trips&amp;Operators'!$C$1:$G$99911,5,FALSE)</f>
        <v>ROBINSON KADDIBA</v>
      </c>
      <c r="M101" s="224">
        <f t="shared" si="29"/>
        <v>2.5462962963501923E-2</v>
      </c>
      <c r="N101" s="225">
        <f t="shared" si="47"/>
        <v>36.666666667442769</v>
      </c>
      <c r="O101" s="225"/>
      <c r="P101" s="225"/>
      <c r="Q101" s="228"/>
      <c r="R101" s="242"/>
      <c r="S101" s="249">
        <f t="shared" si="31"/>
        <v>1</v>
      </c>
      <c r="T101" s="242" t="str">
        <f t="shared" si="32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3"/>
        <v>https://d0f6bd738d7f1b3e5a7ca70fe4ff75f0.us-east-1.aws.found.io/app/kibana#/discover/Steve-Slow-Train-Analysis-(2080s-and-2083s)?_g=(refreshInterval:(display:Off,pause:!f,section:0,value:0),time:(from:'2018-01-08T13:41:32-0700',mode:absolute,to:'2018-01-08T16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47" t="str">
        <f>IF(AA101&lt;VLOOKUP(AG101,Variables!$AC$3:$AD$8,2,FALSE),"Y","N")</f>
        <v>N</v>
      </c>
      <c r="X101" s="247">
        <f t="shared" si="34"/>
        <v>1</v>
      </c>
      <c r="Y101" s="247">
        <f t="shared" si="35"/>
        <v>4.6600000000000003E-2</v>
      </c>
      <c r="Z101" s="247">
        <f t="shared" si="36"/>
        <v>23.3263</v>
      </c>
      <c r="AA101" s="247">
        <f t="shared" si="37"/>
        <v>23.279699999999998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8"/>
        <v>189</v>
      </c>
      <c r="AE101" s="235" t="str">
        <f t="shared" si="39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01" s="234" t="str">
        <f t="shared" si="40"/>
        <v>"C:\Program Files (x86)\AstroGrep\AstroGrep.exe" /e /r /s /spath="%USERPROFILE%\AppData\Local\Temp\OnboardLogs" /stypes="app*4026*20180108*" /stext=" 22:.+((SYSTEM_STATE.+slice.+state.+changed )|(ment ac)|(multiple cpu faults)|(system.+state.+changed )|(\[timeout)|(PRM\|1\|D)|(kpr)|(kdp)|(train st.+moving)|(\|lc)|(penalty))"</v>
      </c>
      <c r="AG101" s="244" t="str">
        <f t="shared" si="41"/>
        <v>EC</v>
      </c>
      <c r="AH101" s="236" t="str">
        <f t="shared" si="42"/>
        <v>"%USERPROFILE%\Documents\GitHub\eaglep3\Utilities\RefineRTDCRunTimes.py" --tripid 189-08 --locoid 4026 --swversion DE.1.0.9.0 --startMP 204:466 --initTime 2018-01-08T14:41:32 --startdatetime 2018-01-08T14:45:17 --delay 53 --endMP 204:233263 --enddatetime 2018-01-08T15:21:57 --enforcementcount 0 &gt;&gt;%USERPROFILE%\Documents\GitHub\eaglep3-reporting\EC\2018-01-08-refined-times.txt</v>
      </c>
      <c r="AI10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{"issue":{"subject":"","project_id":79,"tracker_id":40,"status_id":1,"priority_id":2,"assigned_to_id":338,"start_date":"2018-01-08","description":"","custom_fields":[{"id":1,"name":"Subdivision","value":"EC"},{"id":4,"name":"Milepost","value":"23.3263"},{"id":17,"name":"Train ID","value":"189-08"},{"id":16,"name":"Locomotive ID","value":"4026"},{"id":130,"name":"Impact","value":""},{"id":150,"name":"Time of Event (Mountain Time)","value":"15:21:57"},{"id":151,"name":"Denver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4"/>
        <v>start /low /b %USERPROFILE%\Documents\GitHub\eaglep3\Utilities\DownloadLogsFromS3.py --loco 4026 --day 2018-01-08</v>
      </c>
      <c r="AN101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6"/>
        <v>https://d0f6bd738d7f1b3e5a7ca70fe4ff75f0.us-east-1.aws.found.io/app/kibana#/discover/Steve-Slow-Train-Analysis-(2080s-and-2083s)?_g=(refreshInterval:(display:Off,pause:!f,section:0,value:0),time:(from:'2018-01-08T13:41:32-0700',mode:absolute,to:'2018-01-08T16:21:57-0700'))&amp;_a=(columns:!('Message%20ID',Summary),filters:!(),index:'emp_*',interval:auto,query:(query_string:(analyze_wildcard:!t,query:'%22rtdc.l.rtdc.4026%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788</v>
      </c>
      <c r="B102" s="225">
        <v>4025</v>
      </c>
      <c r="C102" s="227" t="s">
        <v>191</v>
      </c>
      <c r="D102" s="227" t="s">
        <v>535</v>
      </c>
      <c r="E102" s="226">
        <v>43108.650613425925</v>
      </c>
      <c r="F102" s="226">
        <v>43108.654340277775</v>
      </c>
      <c r="G102" s="225">
        <v>66</v>
      </c>
      <c r="H102" s="227" t="s">
        <v>490</v>
      </c>
      <c r="I102" s="226">
        <v>43108.681168981479</v>
      </c>
      <c r="J102" s="225">
        <v>0</v>
      </c>
      <c r="K102" s="237" t="str">
        <f t="shared" si="28"/>
        <v>4025/4026</v>
      </c>
      <c r="L102" s="245" t="str">
        <f>VLOOKUP(A102,'Trips&amp;Operators'!$C$1:$G$99911,5,FALSE)</f>
        <v>ROBINSON KADDIBA</v>
      </c>
      <c r="M102" s="224">
        <f t="shared" si="29"/>
        <v>2.6828703703358769E-2</v>
      </c>
      <c r="N102" s="225">
        <f t="shared" si="47"/>
        <v>38.633333332836628</v>
      </c>
      <c r="O102" s="225"/>
      <c r="P102" s="225"/>
      <c r="Q102" s="228"/>
      <c r="R102" s="242"/>
      <c r="S102" s="249">
        <f t="shared" si="31"/>
        <v>1</v>
      </c>
      <c r="T102" s="242" t="str">
        <f t="shared" si="32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3"/>
        <v>https://d0f6bd738d7f1b3e5a7ca70fe4ff75f0.us-east-1.aws.found.io/app/kibana#/discover/Steve-Slow-Train-Analysis-(2080s-and-2083s)?_g=(refreshInterval:(display:Off,pause:!f,section:0,value:0),time:(from:'2018-01-08T14:36:53-0700',mode:absolute,to:'2018-01-08T17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47" t="str">
        <f>IF(AA102&lt;VLOOKUP(AG102,Variables!$AC$3:$AD$8,2,FALSE),"Y","N")</f>
        <v>N</v>
      </c>
      <c r="X102" s="247">
        <f t="shared" si="34"/>
        <v>1</v>
      </c>
      <c r="Y102" s="247">
        <f t="shared" si="35"/>
        <v>23.294</v>
      </c>
      <c r="Z102" s="247">
        <f t="shared" si="36"/>
        <v>2.1600000000000001E-2</v>
      </c>
      <c r="AA102" s="247">
        <f t="shared" si="37"/>
        <v>23.272400000000001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8"/>
        <v>190</v>
      </c>
      <c r="AE102" s="235" t="str">
        <f t="shared" si="39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02" s="234" t="str">
        <f t="shared" si="40"/>
        <v>"C:\Program Files (x86)\AstroGrep\AstroGrep.exe" /e /r /s /spath="%USERPROFILE%\AppData\Local\Temp\OnboardLogs" /stypes="app*4025*20180108*" /stext=" 23:.+((SYSTEM_STATE.+slice.+state.+changed )|(ment ac)|(multiple cpu faults)|(system.+state.+changed )|(\[timeout)|(PRM\|1\|D)|(kpr)|(kdp)|(train st.+moving)|(\|lc)|(penalty))"</v>
      </c>
      <c r="AG102" s="244" t="str">
        <f t="shared" si="41"/>
        <v>EC</v>
      </c>
      <c r="AH102" s="236" t="str">
        <f t="shared" si="42"/>
        <v>"%USERPROFILE%\Documents\GitHub\eaglep3\Utilities\RefineRTDCRunTimes.py" --tripid 190-08 --locoid 4025 --swversion DE.1.0.9.0 --startMP 204:232940 --initTime 2018-01-08T15:36:53 --startdatetime 2018-01-08T15:42:15 --delay 66 --endMP 204:216 --enddatetime 2018-01-08T16:20:53 --enforcementcount 0 &gt;&gt;%USERPROFILE%\Documents\GitHub\eaglep3-reporting\EC\2018-01-08-refined-times.txt</v>
      </c>
      <c r="AI10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{"issue":{"subject":"","project_id":79,"tracker_id":40,"status_id":1,"priority_id":2,"assigned_to_id":338,"start_date":"2018-01-08","description":"","custom_fields":[{"id":1,"name":"Subdivision","value":"EC"},{"id":4,"name":"Milepost","value":"0.0216"},{"id":17,"name":"Train ID","value":"190-08"},{"id":16,"name":"Locomotive ID","value":"4025"},{"id":130,"name":"Impact","value":""},{"id":150,"name":"Time of Event (Mountain Time)","value":"16:20:53"},{"id":151,"name":"Denver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4"/>
        <v>start /low /b %USERPROFILE%\Documents\GitHub\eaglep3\Utilities\DownloadLogsFromS3.py --loco 4025 --day 2018-01-08</v>
      </c>
      <c r="AN102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6"/>
        <v>https://d0f6bd738d7f1b3e5a7ca70fe4ff75f0.us-east-1.aws.found.io/app/kibana#/discover/Steve-Slow-Train-Analysis-(2080s-and-2083s)?_g=(refreshInterval:(display:Off,pause:!f,section:0,value:0),time:(from:'2018-01-08T14:36:53-0700',mode:absolute,to:'2018-01-08T17:20:53-0700'))&amp;_a=(columns:!('Message%20ID',Summary),filters:!(),index:'emp_*',interval:auto,query:(query_string:(analyze_wildcard:!t,query:'%22rtdc.l.rtdc.4025%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631</v>
      </c>
      <c r="B103" s="225">
        <v>4018</v>
      </c>
      <c r="C103" s="227" t="s">
        <v>191</v>
      </c>
      <c r="D103" s="227" t="s">
        <v>512</v>
      </c>
      <c r="E103" s="226">
        <v>43108.621446759258</v>
      </c>
      <c r="F103" s="226">
        <v>43108.625300925924</v>
      </c>
      <c r="G103" s="225">
        <v>61</v>
      </c>
      <c r="H103" s="227" t="s">
        <v>569</v>
      </c>
      <c r="I103" s="226">
        <v>43108.650625000002</v>
      </c>
      <c r="J103" s="225">
        <v>0</v>
      </c>
      <c r="K103" s="237" t="str">
        <f t="shared" si="28"/>
        <v>4017/4018</v>
      </c>
      <c r="L103" s="245" t="str">
        <f>VLOOKUP(A103,'Trips&amp;Operators'!$C$1:$G$99911,5,FALSE)</f>
        <v>STEWART MICHAEL</v>
      </c>
      <c r="M103" s="224">
        <f t="shared" si="29"/>
        <v>2.5324074078525882E-2</v>
      </c>
      <c r="N103" s="225">
        <f t="shared" si="47"/>
        <v>36.46666667307727</v>
      </c>
      <c r="O103" s="225"/>
      <c r="P103" s="225"/>
      <c r="Q103" s="228"/>
      <c r="R103" s="242"/>
      <c r="S103" s="249">
        <f t="shared" si="31"/>
        <v>1</v>
      </c>
      <c r="T103" s="242" t="str">
        <f t="shared" si="32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3"/>
        <v>https://d0f6bd738d7f1b3e5a7ca70fe4ff75f0.us-east-1.aws.found.io/app/kibana#/discover/Steve-Slow-Train-Analysis-(2080s-and-2083s)?_g=(refreshInterval:(display:Off,pause:!f,section:0,value:0),time:(from:'2018-01-08T13:54:53-0700',mode:absolute,to:'2018-01-08T16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247" t="str">
        <f>IF(AA103&lt;VLOOKUP(AG103,Variables!$AC$3:$AD$8,2,FALSE),"Y","N")</f>
        <v>N</v>
      </c>
      <c r="X103" s="247">
        <f t="shared" si="34"/>
        <v>1</v>
      </c>
      <c r="Y103" s="247">
        <f t="shared" si="35"/>
        <v>5.0900000000000001E-2</v>
      </c>
      <c r="Z103" s="247">
        <f t="shared" si="36"/>
        <v>23.327400000000001</v>
      </c>
      <c r="AA103" s="247">
        <f t="shared" si="37"/>
        <v>23.276500000000002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8"/>
        <v>191</v>
      </c>
      <c r="AE103" s="235" t="str">
        <f t="shared" si="39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103" s="234" t="str">
        <f t="shared" si="40"/>
        <v>"C:\Program Files (x86)\AstroGrep\AstroGrep.exe" /e /r /s /spath="%USERPROFILE%\AppData\Local\Temp\OnboardLogs" /stypes="app*4018*20180108*" /stext=" 22:.+((SYSTEM_STATE.+slice.+state.+changed )|(ment ac)|(multiple cpu faults)|(system.+state.+changed )|(\[timeout)|(PRM\|1\|D)|(kpr)|(kdp)|(train st.+moving)|(\|lc)|(penalty))"</v>
      </c>
      <c r="AG103" s="244" t="str">
        <f t="shared" si="41"/>
        <v>EC</v>
      </c>
      <c r="AH103" s="236" t="str">
        <f t="shared" si="42"/>
        <v>"%USERPROFILE%\Documents\GitHub\eaglep3\Utilities\RefineRTDCRunTimes.py" --tripid 191-08 --locoid 4018 --swversion DE.1.0.9.0 --startMP 204:509 --initTime 2018-01-08T14:54:53 --startdatetime 2018-01-08T15:00:26 --delay 61 --endMP 204:233274 --enddatetime 2018-01-08T15:36:54 --enforcementcount 0 &gt;&gt;%USERPROFILE%\Documents\GitHub\eaglep3-reporting\EC\2018-01-08-refined-times.txt</v>
      </c>
      <c r="AI10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{"issue":{"subject":"","project_id":79,"tracker_id":40,"status_id":1,"priority_id":2,"assigned_to_id":338,"start_date":"2018-01-08","description":"","custom_fields":[{"id":1,"name":"Subdivision","value":"EC"},{"id":4,"name":"Milepost","value":"23.3274"},{"id":17,"name":"Train ID","value":"191-08"},{"id":16,"name":"Locomotive ID","value":"4018"},{"id":130,"name":"Impact","value":""},{"id":150,"name":"Time of Event (Mountain Time)","value":"15:36:54"},{"id":151,"name":"Denver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4"/>
        <v>start /low /b %USERPROFILE%\Documents\GitHub\eaglep3\Utilities\DownloadLogsFromS3.py --loco 4018 --day 2018-01-08</v>
      </c>
      <c r="AN103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6"/>
        <v>https://d0f6bd738d7f1b3e5a7ca70fe4ff75f0.us-east-1.aws.found.io/app/kibana#/discover/Steve-Slow-Train-Analysis-(2080s-and-2083s)?_g=(refreshInterval:(display:Off,pause:!f,section:0,value:0),time:(from:'2018-01-08T13:54:53-0700',mode:absolute,to:'2018-01-08T16:36:54-0700'))&amp;_a=(columns:!('Message%20ID',Summary),filters:!(),index:'emp_*',interval:auto,query:(query_string:(analyze_wildcard:!t,query:'%22rtdc.l.rtdc.4018%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790</v>
      </c>
      <c r="B104" s="225">
        <v>4017</v>
      </c>
      <c r="C104" s="227" t="s">
        <v>191</v>
      </c>
      <c r="D104" s="227" t="s">
        <v>878</v>
      </c>
      <c r="E104" s="226">
        <v>43108.659444444442</v>
      </c>
      <c r="F104" s="226">
        <v>43108.664768518516</v>
      </c>
      <c r="G104" s="225">
        <v>83</v>
      </c>
      <c r="H104" s="227" t="s">
        <v>918</v>
      </c>
      <c r="I104" s="226">
        <v>43108.691342592596</v>
      </c>
      <c r="J104" s="225">
        <v>0</v>
      </c>
      <c r="K104" s="237" t="str">
        <f t="shared" si="28"/>
        <v>4017/4018</v>
      </c>
      <c r="L104" s="245" t="str">
        <f>VLOOKUP(A104,'Trips&amp;Operators'!$C$1:$G$99911,5,FALSE)</f>
        <v>STEWART MICHAEL</v>
      </c>
      <c r="M104" s="224">
        <f t="shared" si="29"/>
        <v>2.6574074079690035E-2</v>
      </c>
      <c r="N104" s="225">
        <f t="shared" si="47"/>
        <v>38.266666674753651</v>
      </c>
      <c r="O104" s="225"/>
      <c r="P104" s="225"/>
      <c r="Q104" s="228"/>
      <c r="R104" s="242"/>
      <c r="S104" s="249">
        <f t="shared" si="31"/>
        <v>1</v>
      </c>
      <c r="T104" s="242" t="str">
        <f t="shared" si="32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3"/>
        <v>https://d0f6bd738d7f1b3e5a7ca70fe4ff75f0.us-east-1.aws.found.io/app/kibana#/discover/Steve-Slow-Train-Analysis-(2080s-and-2083s)?_g=(refreshInterval:(display:Off,pause:!f,section:0,value:0),time:(from:'2018-01-08T14:49:36-0700',mode:absolute,to:'2018-01-08T17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247" t="str">
        <f>IF(AA104&lt;VLOOKUP(AG104,Variables!$AC$3:$AD$8,2,FALSE),"Y","N")</f>
        <v>N</v>
      </c>
      <c r="X104" s="247">
        <f t="shared" si="34"/>
        <v>1</v>
      </c>
      <c r="Y104" s="247">
        <f t="shared" si="35"/>
        <v>23.295000000000002</v>
      </c>
      <c r="Z104" s="247">
        <f t="shared" si="36"/>
        <v>1.61E-2</v>
      </c>
      <c r="AA104" s="247">
        <f t="shared" si="37"/>
        <v>23.2789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8"/>
        <v>192</v>
      </c>
      <c r="AE104" s="235" t="str">
        <f t="shared" si="39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104" s="234" t="str">
        <f t="shared" si="40"/>
        <v>"C:\Program Files (x86)\AstroGrep\AstroGrep.exe" /e /r /s /spath="%USERPROFILE%\AppData\Local\Temp\OnboardLogs" /stypes="app*4017*20180108*" /stext=" 23:.+((SYSTEM_STATE.+slice.+state.+changed )|(ment ac)|(multiple cpu faults)|(system.+state.+changed )|(\[timeout)|(PRM\|1\|D)|(kpr)|(kdp)|(train st.+moving)|(\|lc)|(penalty))"</v>
      </c>
      <c r="AG104" s="244" t="str">
        <f t="shared" si="41"/>
        <v>EC</v>
      </c>
      <c r="AH104" s="236" t="str">
        <f t="shared" si="42"/>
        <v>"%USERPROFILE%\Documents\GitHub\eaglep3\Utilities\RefineRTDCRunTimes.py" --tripid 192-08 --locoid 4017 --swversion DE.1.0.9.0 --startMP 204:232950 --initTime 2018-01-08T15:49:36 --startdatetime 2018-01-08T15:57:16 --delay 83 --endMP 204:161 --enddatetime 2018-01-08T16:35:32 --enforcementcount 0 &gt;&gt;%USERPROFILE%\Documents\GitHub\eaglep3-reporting\EC\2018-01-08-refined-times.txt</v>
      </c>
      <c r="AI10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{"issue":{"subject":"","project_id":79,"tracker_id":40,"status_id":1,"priority_id":2,"assigned_to_id":338,"start_date":"2018-01-08","description":"","custom_fields":[{"id":1,"name":"Subdivision","value":"EC"},{"id":4,"name":"Milepost","value":"0.0161"},{"id":17,"name":"Train ID","value":"192-08"},{"id":16,"name":"Locomotive ID","value":"4017"},{"id":130,"name":"Impact","value":""},{"id":150,"name":"Time of Event (Mountain Time)","value":"16:35:32"},{"id":151,"name":"Denver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4"/>
        <v>start /low /b %USERPROFILE%\Documents\GitHub\eaglep3\Utilities\DownloadLogsFromS3.py --loco 4017 --day 2018-01-08</v>
      </c>
      <c r="AN104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6"/>
        <v>https://d0f6bd738d7f1b3e5a7ca70fe4ff75f0.us-east-1.aws.found.io/app/kibana#/discover/Steve-Slow-Train-Analysis-(2080s-and-2083s)?_g=(refreshInterval:(display:Off,pause:!f,section:0,value:0),time:(from:'2018-01-08T14:49:36-0700',mode:absolute,to:'2018-01-08T17:35:32-0700'))&amp;_a=(columns:!('Message%20ID',Summary),filters:!(),index:'emp_*',interval:auto,query:(query_string:(analyze_wildcard:!t,query:'%22rtdc.l.rtdc.4017%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780</v>
      </c>
      <c r="B105" s="225">
        <v>4034</v>
      </c>
      <c r="C105" s="227" t="s">
        <v>191</v>
      </c>
      <c r="D105" s="227" t="s">
        <v>473</v>
      </c>
      <c r="E105" s="226">
        <v>43108.634421296294</v>
      </c>
      <c r="F105" s="226">
        <v>43108.636111111111</v>
      </c>
      <c r="G105" s="225">
        <v>57</v>
      </c>
      <c r="H105" s="227" t="s">
        <v>506</v>
      </c>
      <c r="I105" s="226">
        <v>43108.661261574074</v>
      </c>
      <c r="J105" s="225">
        <v>0</v>
      </c>
      <c r="K105" s="237" t="str">
        <f t="shared" si="28"/>
        <v>4033/4034</v>
      </c>
      <c r="L105" s="245" t="str">
        <f>VLOOKUP(A105,'Trips&amp;Operators'!$C$1:$G$99911,5,FALSE)</f>
        <v>LONG FULLER</v>
      </c>
      <c r="M105" s="224">
        <f t="shared" si="29"/>
        <v>2.5150462963210884E-2</v>
      </c>
      <c r="N105" s="225">
        <f t="shared" si="47"/>
        <v>36.216666667023674</v>
      </c>
      <c r="O105" s="225"/>
      <c r="P105" s="225"/>
      <c r="Q105" s="228"/>
      <c r="R105" s="242"/>
      <c r="S105" s="249">
        <f t="shared" si="31"/>
        <v>1</v>
      </c>
      <c r="T105" s="242" t="str">
        <f t="shared" si="32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3"/>
        <v>https://d0f6bd738d7f1b3e5a7ca70fe4ff75f0.us-east-1.aws.found.io/app/kibana#/discover/Steve-Slow-Train-Analysis-(2080s-and-2083s)?_g=(refreshInterval:(display:Off,pause:!f,section:0,value:0),time:(from:'2018-01-08T14:13:34-0700',mode:absolute,to:'2018-01-08T16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5" s="247" t="str">
        <f>IF(AA105&lt;VLOOKUP(AG105,Variables!$AC$3:$AD$8,2,FALSE),"Y","N")</f>
        <v>N</v>
      </c>
      <c r="X105" s="247">
        <f t="shared" si="34"/>
        <v>1</v>
      </c>
      <c r="Y105" s="247">
        <f t="shared" si="35"/>
        <v>0.05</v>
      </c>
      <c r="Z105" s="247">
        <f t="shared" si="36"/>
        <v>23.329699999999999</v>
      </c>
      <c r="AA105" s="247">
        <f t="shared" si="37"/>
        <v>23.279699999999998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8"/>
        <v>193</v>
      </c>
      <c r="AE105" s="235" t="str">
        <f t="shared" si="39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105" s="234" t="str">
        <f t="shared" si="40"/>
        <v>"C:\Program Files (x86)\AstroGrep\AstroGrep.exe" /e /r /s /spath="%USERPROFILE%\AppData\Local\Temp\OnboardLogs" /stypes="app*4034*20180108*" /stext=" 22:.+((SYSTEM_STATE.+slice.+state.+changed )|(ment ac)|(multiple cpu faults)|(system.+state.+changed )|(\[timeout)|(PRM\|1\|D)|(kpr)|(kdp)|(train st.+moving)|(\|lc)|(penalty))"</v>
      </c>
      <c r="AG105" s="244" t="str">
        <f t="shared" si="41"/>
        <v>EC</v>
      </c>
      <c r="AH105" s="236" t="str">
        <f t="shared" si="42"/>
        <v>"%USERPROFILE%\Documents\GitHub\eaglep3\Utilities\RefineRTDCRunTimes.py" --tripid 193-08 --locoid 4034 --swversion DE.1.0.9.0 --startMP 204:500 --initTime 2018-01-08T15:13:34 --startdatetime 2018-01-08T15:16:00 --delay 57 --endMP 204:233297 --enddatetime 2018-01-08T15:52:13 --enforcementcount 0 &gt;&gt;%USERPROFILE%\Documents\GitHub\eaglep3-reporting\EC\2018-01-08-refined-times.txt</v>
      </c>
      <c r="AI10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{"issue":{"subject":"","project_id":79,"tracker_id":40,"status_id":1,"priority_id":2,"assigned_to_id":338,"start_date":"2018-01-08","description":"","custom_fields":[{"id":1,"name":"Subdivision","value":"EC"},{"id":4,"name":"Milepost","value":"23.3297"},{"id":17,"name":"Train ID","value":"193-08"},{"id":16,"name":"Locomotive ID","value":"4034"},{"id":130,"name":"Impact","value":""},{"id":150,"name":"Time of Event (Mountain Time)","value":"15:52:13"},{"id":151,"name":"Denver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4"/>
        <v>start /low /b %USERPROFILE%\Documents\GitHub\eaglep3\Utilities\DownloadLogsFromS3.py --loco 4034 --day 2018-01-08</v>
      </c>
      <c r="AN105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6"/>
        <v>https://d0f6bd738d7f1b3e5a7ca70fe4ff75f0.us-east-1.aws.found.io/app/kibana#/discover/Steve-Slow-Train-Analysis-(2080s-and-2083s)?_g=(refreshInterval:(display:Off,pause:!f,section:0,value:0),time:(from:'2018-01-08T14:13:34-0700',mode:absolute,to:'2018-01-08T16:52:13-0700'))&amp;_a=(columns:!('Message%20ID',Summary),filters:!(),index:'emp_*',interval:auto,query:(query_string:(analyze_wildcard:!t,query:'%22rtdc.l.rtdc.4034%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23" customFormat="1" x14ac:dyDescent="0.3">
      <c r="A106" s="229" t="s">
        <v>794</v>
      </c>
      <c r="B106" s="225">
        <v>4033</v>
      </c>
      <c r="C106" s="227" t="s">
        <v>191</v>
      </c>
      <c r="D106" s="227" t="s">
        <v>863</v>
      </c>
      <c r="E106" s="226">
        <v>43108.667627314811</v>
      </c>
      <c r="F106" s="226">
        <v>43108.675173611111</v>
      </c>
      <c r="G106" s="225">
        <v>83</v>
      </c>
      <c r="H106" s="227" t="s">
        <v>482</v>
      </c>
      <c r="I106" s="226">
        <v>43108.702916666669</v>
      </c>
      <c r="J106" s="225">
        <v>0</v>
      </c>
      <c r="K106" s="237" t="str">
        <f t="shared" si="28"/>
        <v>4033/4034</v>
      </c>
      <c r="L106" s="245" t="str">
        <f>VLOOKUP(A106,'Trips&amp;Operators'!$C$1:$G$99911,5,FALSE)</f>
        <v>LONG FULLER</v>
      </c>
      <c r="M106" s="224">
        <f t="shared" si="29"/>
        <v>2.7743055557948537E-2</v>
      </c>
      <c r="N106" s="225">
        <f t="shared" si="47"/>
        <v>39.950000003445894</v>
      </c>
      <c r="O106" s="225"/>
      <c r="P106" s="225"/>
      <c r="Q106" s="228"/>
      <c r="R106" s="242"/>
      <c r="S106" s="249">
        <f t="shared" si="31"/>
        <v>1</v>
      </c>
      <c r="T106" s="242" t="str">
        <f t="shared" si="32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3"/>
        <v>https://d0f6bd738d7f1b3e5a7ca70fe4ff75f0.us-east-1.aws.found.io/app/kibana#/discover/Steve-Slow-Train-Analysis-(2080s-and-2083s)?_g=(refreshInterval:(display:Off,pause:!f,section:0,value:0),time:(from:'2018-01-08T15:01:23-0700',mode:absolute,to:'2018-01-08T17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6" s="247" t="str">
        <f>IF(AA106&lt;VLOOKUP(AG106,Variables!$AC$3:$AD$8,2,FALSE),"Y","N")</f>
        <v>N</v>
      </c>
      <c r="X106" s="247">
        <f t="shared" si="34"/>
        <v>1</v>
      </c>
      <c r="Y106" s="247">
        <f t="shared" si="35"/>
        <v>23.297699999999999</v>
      </c>
      <c r="Z106" s="247">
        <f t="shared" si="36"/>
        <v>2.1100000000000001E-2</v>
      </c>
      <c r="AA106" s="247">
        <f t="shared" si="37"/>
        <v>23.276599999999998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8"/>
        <v>194</v>
      </c>
      <c r="AE106" s="235" t="str">
        <f t="shared" si="39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106" s="234" t="str">
        <f t="shared" si="40"/>
        <v>"C:\Program Files (x86)\AstroGrep\AstroGrep.exe" /e /r /s /spath="%USERPROFILE%\AppData\Local\Temp\OnboardLogs" /stypes="app*4033*20180108*" /stext=" 23:.+((SYSTEM_STATE.+slice.+state.+changed )|(ment ac)|(multiple cpu faults)|(system.+state.+changed )|(\[timeout)|(PRM\|1\|D)|(kpr)|(kdp)|(train st.+moving)|(\|lc)|(penalty))"</v>
      </c>
      <c r="AG106" s="244" t="str">
        <f t="shared" si="41"/>
        <v>EC</v>
      </c>
      <c r="AH106" s="236" t="str">
        <f t="shared" si="42"/>
        <v>"%USERPROFILE%\Documents\GitHub\eaglep3\Utilities\RefineRTDCRunTimes.py" --tripid 194-08 --locoid 4033 --swversion DE.1.0.9.0 --startMP 204:232977 --initTime 2018-01-08T16:01:23 --startdatetime 2018-01-08T16:12:15 --delay 83 --endMP 204:211 --enddatetime 2018-01-08T16:52:12 --enforcementcount 0 &gt;&gt;%USERPROFILE%\Documents\GitHub\eaglep3-reporting\EC\2018-01-08-refined-times.txt</v>
      </c>
      <c r="AI10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{"issue":{"subject":"","project_id":79,"tracker_id":40,"status_id":1,"priority_id":2,"assigned_to_id":338,"start_date":"2018-01-08","description":"","custom_fields":[{"id":1,"name":"Subdivision","value":"EC"},{"id":4,"name":"Milepost","value":"0.0211"},{"id":17,"name":"Train ID","value":"194-08"},{"id":16,"name":"Locomotive ID","value":"4033"},{"id":130,"name":"Impact","value":""},{"id":150,"name":"Time of Event (Mountain Time)","value":"16:52:12"},{"id":151,"name":"Denver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231"/>
      <c r="AL106" s="231"/>
      <c r="AM106" s="240" t="str">
        <f t="shared" si="44"/>
        <v>start /low /b %USERPROFILE%\Documents\GitHub\eaglep3\Utilities\DownloadLogsFromS3.py --loco 4033 --day 2018-01-08</v>
      </c>
      <c r="AN106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6"/>
        <v>https://d0f6bd738d7f1b3e5a7ca70fe4ff75f0.us-east-1.aws.found.io/app/kibana#/discover/Steve-Slow-Train-Analysis-(2080s-and-2083s)?_g=(refreshInterval:(display:Off,pause:!f,section:0,value:0),time:(from:'2018-01-08T15:01:23-0700',mode:absolute,to:'2018-01-08T17:52:12-0700'))&amp;_a=(columns:!('Message%20ID',Summary),filters:!(),index:'emp_*',interval:auto,query:(query_string:(analyze_wildcard:!t,query:'%22rtdc.l.rtdc.4033%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786</v>
      </c>
      <c r="B107" s="225">
        <v>4060</v>
      </c>
      <c r="C107" s="227" t="s">
        <v>191</v>
      </c>
      <c r="D107" s="227" t="s">
        <v>919</v>
      </c>
      <c r="E107" s="226">
        <v>43108.643182870372</v>
      </c>
      <c r="F107" s="226">
        <v>43108.646006944444</v>
      </c>
      <c r="G107" s="225">
        <v>53</v>
      </c>
      <c r="H107" s="227" t="s">
        <v>578</v>
      </c>
      <c r="I107" s="226">
        <v>43108.671122685184</v>
      </c>
      <c r="J107" s="225">
        <v>0</v>
      </c>
      <c r="K107" s="237" t="str">
        <f t="shared" si="28"/>
        <v>4059/4060</v>
      </c>
      <c r="L107" s="245" t="str">
        <f>VLOOKUP(A107,'Trips&amp;Operators'!$C$1:$G$99911,5,FALSE)</f>
        <v>GUZMAN DANNY</v>
      </c>
      <c r="M107" s="224">
        <f t="shared" si="29"/>
        <v>2.5115740740147885E-2</v>
      </c>
      <c r="N107" s="225">
        <f t="shared" si="47"/>
        <v>36.166666665812954</v>
      </c>
      <c r="O107" s="225"/>
      <c r="P107" s="225"/>
      <c r="Q107" s="228"/>
      <c r="R107" s="242"/>
      <c r="S107" s="249">
        <f t="shared" si="31"/>
        <v>1</v>
      </c>
      <c r="T107" s="242" t="str">
        <f t="shared" si="32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3"/>
        <v>https://d0f6bd738d7f1b3e5a7ca70fe4ff75f0.us-east-1.aws.found.io/app/kibana#/discover/Steve-Slow-Train-Analysis-(2080s-and-2083s)?_g=(refreshInterval:(display:Off,pause:!f,section:0,value:0),time:(from:'2018-01-08T14:26:11-0700',mode:absolute,to:'2018-01-08T17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7" s="247" t="str">
        <f>IF(AA107&lt;VLOOKUP(AG107,Variables!$AC$3:$AD$8,2,FALSE),"Y","N")</f>
        <v>N</v>
      </c>
      <c r="X107" s="247">
        <f t="shared" si="34"/>
        <v>1</v>
      </c>
      <c r="Y107" s="247">
        <f t="shared" si="35"/>
        <v>5.7099999999999998E-2</v>
      </c>
      <c r="Z107" s="247">
        <f t="shared" si="36"/>
        <v>23.334700000000002</v>
      </c>
      <c r="AA107" s="247">
        <f t="shared" si="37"/>
        <v>23.277600000000003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8"/>
        <v>195</v>
      </c>
      <c r="AE107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07" s="234" t="str">
        <f t="shared" si="40"/>
        <v>"C:\Program Files (x86)\AstroGrep\AstroGrep.exe" /e /r /s /spath="%USERPROFILE%\AppData\Local\Temp\OnboardLogs" /stypes="app*4060*20180108*" /stext=" 23:.+((SYSTEM_STATE.+slice.+state.+changed )|(ment ac)|(multiple cpu faults)|(system.+state.+changed )|(\[timeout)|(PRM\|1\|D)|(kpr)|(kdp)|(train st.+moving)|(\|lc)|(penalty))"</v>
      </c>
      <c r="AG107" s="244" t="str">
        <f t="shared" si="41"/>
        <v>EC</v>
      </c>
      <c r="AH107" s="236" t="str">
        <f t="shared" si="42"/>
        <v>"%USERPROFILE%\Documents\GitHub\eaglep3\Utilities\RefineRTDCRunTimes.py" --tripid 195-08 --locoid 4060 --swversion DE.1.0.9.0 --startMP 204:571 --initTime 2018-01-08T15:26:11 --startdatetime 2018-01-08T15:30:15 --delay 53 --endMP 204:233347 --enddatetime 2018-01-08T16:06:25 --enforcementcount 0 &gt;&gt;%USERPROFILE%\Documents\GitHub\eaglep3-reporting\EC\2018-01-08-refined-times.txt</v>
      </c>
      <c r="AI10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{"issue":{"subject":"","project_id":79,"tracker_id":40,"status_id":1,"priority_id":2,"assigned_to_id":338,"start_date":"2018-01-08","description":"","custom_fields":[{"id":1,"name":"Subdivision","value":"EC"},{"id":4,"name":"Milepost","value":"23.3347"},{"id":17,"name":"Train ID","value":"195-08"},{"id":16,"name":"Locomotive ID","value":"4060"},{"id":130,"name":"Impact","value":""},{"id":150,"name":"Time of Event (Mountain Time)","value":"16:06:25"},{"id":151,"name":"Denver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4"/>
        <v>start /low /b %USERPROFILE%\Documents\GitHub\eaglep3\Utilities\DownloadLogsFromS3.py --loco 4060 --day 2018-01-08</v>
      </c>
      <c r="AN107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6"/>
        <v>https://d0f6bd738d7f1b3e5a7ca70fe4ff75f0.us-east-1.aws.found.io/app/kibana#/discover/Steve-Slow-Train-Analysis-(2080s-and-2083s)?_g=(refreshInterval:(display:Off,pause:!f,section:0,value:0),time:(from:'2018-01-08T14:26:11-0700',mode:absolute,to:'2018-01-08T17:06:25-0700'))&amp;_a=(columns:!('Message%20ID',Summary),filters:!(),index:'emp_*',interval:auto,query:(query_string:(analyze_wildcard:!t,query:'%22rtdc.l.rtdc.4060%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796</v>
      </c>
      <c r="B108" s="225">
        <v>4059</v>
      </c>
      <c r="C108" s="227" t="s">
        <v>191</v>
      </c>
      <c r="D108" s="227" t="s">
        <v>920</v>
      </c>
      <c r="E108" s="226">
        <v>43108.673368055555</v>
      </c>
      <c r="F108" s="226">
        <v>43108.685636574075</v>
      </c>
      <c r="G108" s="225">
        <v>56</v>
      </c>
      <c r="H108" s="227" t="s">
        <v>484</v>
      </c>
      <c r="I108" s="226">
        <v>43108.711840277778</v>
      </c>
      <c r="J108" s="225">
        <v>0</v>
      </c>
      <c r="K108" s="237" t="str">
        <f t="shared" si="28"/>
        <v>4059/4060</v>
      </c>
      <c r="L108" s="245" t="str">
        <f>VLOOKUP(A108,'Trips&amp;Operators'!$C$1:$G$99911,5,FALSE)</f>
        <v>GUZMAN DANNY</v>
      </c>
      <c r="M108" s="224">
        <f t="shared" si="29"/>
        <v>2.6203703702776693E-2</v>
      </c>
      <c r="N108" s="225">
        <f t="shared" si="47"/>
        <v>37.733333331998438</v>
      </c>
      <c r="O108" s="225"/>
      <c r="P108" s="225"/>
      <c r="Q108" s="228"/>
      <c r="R108" s="242"/>
      <c r="S108" s="249">
        <f t="shared" si="31"/>
        <v>1</v>
      </c>
      <c r="T108" s="242" t="str">
        <f t="shared" si="32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3"/>
        <v>https://d0f6bd738d7f1b3e5a7ca70fe4ff75f0.us-east-1.aws.found.io/app/kibana#/discover/Steve-Slow-Train-Analysis-(2080s-and-2083s)?_g=(refreshInterval:(display:Off,pause:!f,section:0,value:0),time:(from:'2018-01-08T15:09:39-0700',mode:absolute,to:'2018-01-08T18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8" s="247" t="str">
        <f>IF(AA108&lt;VLOOKUP(AG108,Variables!$AC$3:$AD$8,2,FALSE),"Y","N")</f>
        <v>N</v>
      </c>
      <c r="X108" s="247">
        <f t="shared" si="34"/>
        <v>1</v>
      </c>
      <c r="Y108" s="247">
        <f t="shared" si="35"/>
        <v>23.302099999999999</v>
      </c>
      <c r="Z108" s="247">
        <f t="shared" si="36"/>
        <v>2.18E-2</v>
      </c>
      <c r="AA108" s="247">
        <f t="shared" si="37"/>
        <v>23.2803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8"/>
        <v>196</v>
      </c>
      <c r="AE108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08" s="234" t="str">
        <f t="shared" si="40"/>
        <v>"C:\Program Files (x86)\AstroGrep\AstroGrep.exe" /e /r /s /spath="%USERPROFILE%\AppData\Local\Temp\OnboardLogs" /stypes="app*4059*20180109*" /stext=" 00:.+((SYSTEM_STATE.+slice.+state.+changed )|(ment ac)|(multiple cpu faults)|(system.+state.+changed )|(\[timeout)|(PRM\|1\|D)|(kpr)|(kdp)|(train st.+moving)|(\|lc)|(penalty))"</v>
      </c>
      <c r="AG108" s="244" t="str">
        <f t="shared" si="41"/>
        <v>EC</v>
      </c>
      <c r="AH108" s="236" t="str">
        <f t="shared" si="42"/>
        <v>"%USERPROFILE%\Documents\GitHub\eaglep3\Utilities\RefineRTDCRunTimes.py" --tripid 196-08 --locoid 4059 --swversion DE.1.0.9.0 --startMP 204:233021 --initTime 2018-01-08T16:09:39 --startdatetime 2018-01-08T16:27:19 --delay 56 --endMP 204:218 --enddatetime 2018-01-08T17:05:03 --enforcementcount 0 &gt;&gt;%USERPROFILE%\Documents\GitHub\eaglep3-reporting\EC\2018-01-08-refined-times.txt</v>
      </c>
      <c r="AI10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{"issue":{"subject":"","project_id":79,"tracker_id":40,"status_id":1,"priority_id":2,"assigned_to_id":338,"start_date":"2018-01-08","description":"","custom_fields":[{"id":1,"name":"Subdivision","value":"EC"},{"id":4,"name":"Milepost","value":"0.0218"},{"id":17,"name":"Train ID","value":"196-08"},{"id":16,"name":"Locomotive ID","value":"4059"},{"id":130,"name":"Impact","value":""},{"id":150,"name":"Time of Event (Mountain Time)","value":"17:05:03"},{"id":151,"name":"Denver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4"/>
        <v>start /low /b %USERPROFILE%\Documents\GitHub\eaglep3\Utilities\DownloadLogsFromS3.py --loco 4059 --day 2018-01-08</v>
      </c>
      <c r="AN108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6"/>
        <v>https://d0f6bd738d7f1b3e5a7ca70fe4ff75f0.us-east-1.aws.found.io/app/kibana#/discover/Steve-Slow-Train-Analysis-(2080s-and-2083s)?_g=(refreshInterval:(display:Off,pause:!f,section:0,value:0),time:(from:'2018-01-08T15:09:39-0700',mode:absolute,to:'2018-01-08T18:05:03-0700'))&amp;_a=(columns:!('Message%20ID',Summary),filters:!(),index:'emp_*',interval:auto,query:(query_string:(analyze_wildcard:!t,query:'%22rtdc.l.rtdc.4059%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789</v>
      </c>
      <c r="B109" s="225">
        <v>4022</v>
      </c>
      <c r="C109" s="227" t="s">
        <v>191</v>
      </c>
      <c r="D109" s="227" t="s">
        <v>512</v>
      </c>
      <c r="E109" s="226">
        <v>43108.653067129628</v>
      </c>
      <c r="F109" s="226">
        <v>43108.656458333331</v>
      </c>
      <c r="G109" s="225">
        <v>73</v>
      </c>
      <c r="H109" s="227" t="s">
        <v>921</v>
      </c>
      <c r="I109" s="226">
        <v>43108.68136574074</v>
      </c>
      <c r="J109" s="225">
        <v>0</v>
      </c>
      <c r="K109" s="237" t="str">
        <f t="shared" si="28"/>
        <v>4021/4022</v>
      </c>
      <c r="L109" s="245" t="str">
        <f>VLOOKUP(A109,'Trips&amp;Operators'!$C$1:$G$99911,5,FALSE)</f>
        <v>SAFIEF AEIMEN</v>
      </c>
      <c r="M109" s="224">
        <f t="shared" si="29"/>
        <v>2.4907407409045845E-2</v>
      </c>
      <c r="N109" s="225">
        <f t="shared" si="47"/>
        <v>35.866666669026017</v>
      </c>
      <c r="O109" s="225"/>
      <c r="P109" s="225"/>
      <c r="Q109" s="228"/>
      <c r="R109" s="242"/>
      <c r="S109" s="249">
        <f t="shared" ref="S109:S140" si="48">1/IF(AG109="EC",12,1)*SUM(U109:U109)</f>
        <v>1</v>
      </c>
      <c r="T109" s="242" t="str">
        <f t="shared" si="32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3"/>
        <v>https://d0f6bd738d7f1b3e5a7ca70fe4ff75f0.us-east-1.aws.found.io/app/kibana#/discover/Steve-Slow-Train-Analysis-(2080s-and-2083s)?_g=(refreshInterval:(display:Off,pause:!f,section:0,value:0),time:(from:'2018-01-08T14:40:25-0700',mode:absolute,to:'2018-01-08T17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247" t="str">
        <f>IF(AA109&lt;VLOOKUP(AG109,Variables!$AC$3:$AD$8,2,FALSE),"Y","N")</f>
        <v>N</v>
      </c>
      <c r="X109" s="247">
        <f t="shared" si="34"/>
        <v>1</v>
      </c>
      <c r="Y109" s="247">
        <f t="shared" ref="Y109:Y138" si="49">RIGHT(D109,LEN(D109)-4)/10000</f>
        <v>5.0900000000000001E-2</v>
      </c>
      <c r="Z109" s="247">
        <f t="shared" ref="Z109:Z138" si="50">RIGHT(H109,LEN(H109)-4)/10000</f>
        <v>23.334900000000001</v>
      </c>
      <c r="AA109" s="247">
        <f t="shared" si="37"/>
        <v>23.284000000000002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8"/>
        <v>197</v>
      </c>
      <c r="AE109" s="235" t="str">
        <f t="shared" si="39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109" s="234" t="str">
        <f t="shared" si="40"/>
        <v>"C:\Program Files (x86)\AstroGrep\AstroGrep.exe" /e /r /s /spath="%USERPROFILE%\AppData\Local\Temp\OnboardLogs" /stypes="app*4022*20180108*" /stext=" 23:.+((SYSTEM_STATE.+slice.+state.+changed )|(ment ac)|(multiple cpu faults)|(system.+state.+changed )|(\[timeout)|(PRM\|1\|D)|(kpr)|(kdp)|(train st.+moving)|(\|lc)|(penalty))"</v>
      </c>
      <c r="AG109" s="244" t="str">
        <f t="shared" si="41"/>
        <v>EC</v>
      </c>
      <c r="AH109" s="236" t="str">
        <f t="shared" si="42"/>
        <v>"%USERPROFILE%\Documents\GitHub\eaglep3\Utilities\RefineRTDCRunTimes.py" --tripid 197-08 --locoid 4022 --swversion DE.1.0.9.0 --startMP 204:509 --initTime 2018-01-08T15:40:25 --startdatetime 2018-01-08T15:45:18 --delay 73 --endMP 204:233349 --enddatetime 2018-01-08T16:21:10 --enforcementcount 0 &gt;&gt;%USERPROFILE%\Documents\GitHub\eaglep3-reporting\EC\2018-01-08-refined-times.txt</v>
      </c>
      <c r="AI10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{"issue":{"subject":"","project_id":79,"tracker_id":40,"status_id":1,"priority_id":2,"assigned_to_id":338,"start_date":"2018-01-08","description":"","custom_fields":[{"id":1,"name":"Subdivision","value":"EC"},{"id":4,"name":"Milepost","value":"23.3349"},{"id":17,"name":"Train ID","value":"197-08"},{"id":16,"name":"Locomotive ID","value":"4022"},{"id":130,"name":"Impact","value":""},{"id":150,"name":"Time of Event (Mountain Time)","value":"16:21:10"},{"id":151,"name":"Denver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44"/>
        <v>start /low /b %USERPROFILE%\Documents\GitHub\eaglep3\Utilities\DownloadLogsFromS3.py --loco 4022 --day 2018-01-08</v>
      </c>
      <c r="AN109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6"/>
        <v>https://d0f6bd738d7f1b3e5a7ca70fe4ff75f0.us-east-1.aws.found.io/app/kibana#/discover/Steve-Slow-Train-Analysis-(2080s-and-2083s)?_g=(refreshInterval:(display:Off,pause:!f,section:0,value:0),time:(from:'2018-01-08T14:40:25-0700',mode:absolute,to:'2018-01-08T17:21:10-0700'))&amp;_a=(columns:!('Message%20ID',Summary),filters:!(),index:'emp_*',interval:auto,query:(query_string:(analyze_wildcard:!t,query:'%22rtdc.l.rtdc.4022%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802</v>
      </c>
      <c r="B110" s="225">
        <v>4021</v>
      </c>
      <c r="C110" s="227" t="s">
        <v>191</v>
      </c>
      <c r="D110" s="227" t="s">
        <v>907</v>
      </c>
      <c r="E110" s="226">
        <v>43108.691666666666</v>
      </c>
      <c r="F110" s="226">
        <v>43108.696030092593</v>
      </c>
      <c r="G110" s="225">
        <v>106</v>
      </c>
      <c r="H110" s="227" t="s">
        <v>509</v>
      </c>
      <c r="I110" s="226">
        <v>43108.722337962965</v>
      </c>
      <c r="J110" s="225">
        <v>0</v>
      </c>
      <c r="K110" s="237" t="str">
        <f t="shared" si="28"/>
        <v>4021/4022</v>
      </c>
      <c r="L110" s="245" t="str">
        <f>VLOOKUP(A110,'Trips&amp;Operators'!$C$1:$G$99911,5,FALSE)</f>
        <v>SAFIEF AEIMEN</v>
      </c>
      <c r="M110" s="224">
        <f t="shared" si="29"/>
        <v>2.6307870371965691E-2</v>
      </c>
      <c r="N110" s="225">
        <f t="shared" si="47"/>
        <v>37.883333335630596</v>
      </c>
      <c r="O110" s="225"/>
      <c r="P110" s="225"/>
      <c r="Q110" s="228"/>
      <c r="R110" s="242"/>
      <c r="S110" s="249">
        <f t="shared" si="48"/>
        <v>1</v>
      </c>
      <c r="T110" s="242" t="str">
        <f t="shared" si="32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3"/>
        <v>https://d0f6bd738d7f1b3e5a7ca70fe4ff75f0.us-east-1.aws.found.io/app/kibana#/discover/Steve-Slow-Train-Analysis-(2080s-and-2083s)?_g=(refreshInterval:(display:Off,pause:!f,section:0,value:0),time:(from:'2018-01-08T15:36:00-0700',mode:absolute,to:'2018-01-08T18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247" t="str">
        <f>IF(AA110&lt;VLOOKUP(AG110,Variables!$AC$3:$AD$8,2,FALSE),"Y","N")</f>
        <v>N</v>
      </c>
      <c r="X110" s="247">
        <f t="shared" si="34"/>
        <v>1</v>
      </c>
      <c r="Y110" s="247">
        <f t="shared" si="49"/>
        <v>23.301300000000001</v>
      </c>
      <c r="Z110" s="247">
        <f t="shared" si="50"/>
        <v>1.9800000000000002E-2</v>
      </c>
      <c r="AA110" s="247">
        <f t="shared" si="37"/>
        <v>23.281500000000001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8"/>
        <v>198</v>
      </c>
      <c r="AE110" s="235" t="str">
        <f t="shared" si="39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110" s="234" t="str">
        <f t="shared" si="40"/>
        <v>"C:\Program Files (x86)\AstroGrep\AstroGrep.exe" /e /r /s /spath="%USERPROFILE%\AppData\Local\Temp\OnboardLogs" /stypes="app*4021*20180109*" /stext=" 00:.+((SYSTEM_STATE.+slice.+state.+changed )|(ment ac)|(multiple cpu faults)|(system.+state.+changed )|(\[timeout)|(PRM\|1\|D)|(kpr)|(kdp)|(train st.+moving)|(\|lc)|(penalty))"</v>
      </c>
      <c r="AG110" s="244" t="str">
        <f t="shared" si="41"/>
        <v>EC</v>
      </c>
      <c r="AH110" s="236" t="str">
        <f t="shared" si="42"/>
        <v>"%USERPROFILE%\Documents\GitHub\eaglep3\Utilities\RefineRTDCRunTimes.py" --tripid 198-08 --locoid 4021 --swversion DE.1.0.9.0 --startMP 204:233013 --initTime 2018-01-08T16:36:00 --startdatetime 2018-01-08T16:42:17 --delay 106 --endMP 204:198 --enddatetime 2018-01-08T17:20:10 --enforcementcount 0 &gt;&gt;%USERPROFILE%\Documents\GitHub\eaglep3-reporting\EC\2018-01-08-refined-times.txt</v>
      </c>
      <c r="AI11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{"issue":{"subject":"","project_id":79,"tracker_id":40,"status_id":1,"priority_id":2,"assigned_to_id":338,"start_date":"2018-01-08","description":"","custom_fields":[{"id":1,"name":"Subdivision","value":"EC"},{"id":4,"name":"Milepost","value":"0.0198"},{"id":17,"name":"Train ID","value":"198-08"},{"id":16,"name":"Locomotive ID","value":"4021"},{"id":130,"name":"Impact","value":""},{"id":150,"name":"Time of Event (Mountain Time)","value":"17:20:10"},{"id":151,"name":"Denver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4"/>
        <v>start /low /b %USERPROFILE%\Documents\GitHub\eaglep3\Utilities\DownloadLogsFromS3.py --loco 4021 --day 2018-01-08</v>
      </c>
      <c r="AN110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6"/>
        <v>https://d0f6bd738d7f1b3e5a7ca70fe4ff75f0.us-east-1.aws.found.io/app/kibana#/discover/Steve-Slow-Train-Analysis-(2080s-and-2083s)?_g=(refreshInterval:(display:Off,pause:!f,section:0,value:0),time:(from:'2018-01-08T15:36:00-0700',mode:absolute,to:'2018-01-08T18:20:10-0700'))&amp;_a=(columns:!('Message%20ID',Summary),filters:!(),index:'emp_*',interval:auto,query:(query_string:(analyze_wildcard:!t,query:'%22rtdc.l.rtdc.4021%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792</v>
      </c>
      <c r="B111" s="225">
        <v>4044</v>
      </c>
      <c r="C111" s="227" t="s">
        <v>191</v>
      </c>
      <c r="D111" s="227" t="s">
        <v>602</v>
      </c>
      <c r="E111" s="226">
        <v>43108.663124999999</v>
      </c>
      <c r="F111" s="226">
        <v>43108.666898148149</v>
      </c>
      <c r="G111" s="225">
        <v>82</v>
      </c>
      <c r="H111" s="227" t="s">
        <v>922</v>
      </c>
      <c r="I111" s="226">
        <v>43108.692847222221</v>
      </c>
      <c r="J111" s="225">
        <v>0</v>
      </c>
      <c r="K111" s="237" t="str">
        <f t="shared" si="28"/>
        <v>4043/4044</v>
      </c>
      <c r="L111" s="245" t="str">
        <f>VLOOKUP(A111,'Trips&amp;Operators'!$C$1:$G$99911,5,FALSE)</f>
        <v>BADERTSCHER DIANE</v>
      </c>
      <c r="M111" s="224">
        <f t="shared" si="29"/>
        <v>2.5949074071832001E-2</v>
      </c>
      <c r="N111" s="225">
        <f t="shared" si="47"/>
        <v>37.366666663438082</v>
      </c>
      <c r="O111" s="225"/>
      <c r="P111" s="225"/>
      <c r="Q111" s="228"/>
      <c r="R111" s="242"/>
      <c r="S111" s="249">
        <f t="shared" si="48"/>
        <v>1</v>
      </c>
      <c r="T111" s="242" t="str">
        <f t="shared" si="32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3"/>
        <v>https://d0f6bd738d7f1b3e5a7ca70fe4ff75f0.us-east-1.aws.found.io/app/kibana#/discover/Steve-Slow-Train-Analysis-(2080s-and-2083s)?_g=(refreshInterval:(display:Off,pause:!f,section:0,value:0),time:(from:'2018-01-08T14:54:54-0700',mode:absolute,to:'2018-01-08T17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247" t="str">
        <f>IF(AA111&lt;VLOOKUP(AG111,Variables!$AC$3:$AD$8,2,FALSE),"Y","N")</f>
        <v>N</v>
      </c>
      <c r="X111" s="247">
        <f t="shared" si="34"/>
        <v>1</v>
      </c>
      <c r="Y111" s="247">
        <f t="shared" si="49"/>
        <v>5.0599999999999999E-2</v>
      </c>
      <c r="Z111" s="247">
        <f t="shared" si="50"/>
        <v>23.331800000000001</v>
      </c>
      <c r="AA111" s="247">
        <f t="shared" si="37"/>
        <v>23.281200000000002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8"/>
        <v>199</v>
      </c>
      <c r="AE111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11" s="234" t="str">
        <f t="shared" si="40"/>
        <v>"C:\Program Files (x86)\AstroGrep\AstroGrep.exe" /e /r /s /spath="%USERPROFILE%\AppData\Local\Temp\OnboardLogs" /stypes="app*4044*20180108*" /stext=" 23:.+((SYSTEM_STATE.+slice.+state.+changed )|(ment ac)|(multiple cpu faults)|(system.+state.+changed )|(\[timeout)|(PRM\|1\|D)|(kpr)|(kdp)|(train st.+moving)|(\|lc)|(penalty))"</v>
      </c>
      <c r="AG111" s="244" t="str">
        <f t="shared" si="41"/>
        <v>EC</v>
      </c>
      <c r="AH111" s="236" t="str">
        <f t="shared" si="42"/>
        <v>"%USERPROFILE%\Documents\GitHub\eaglep3\Utilities\RefineRTDCRunTimes.py" --tripid 199-08 --locoid 4044 --swversion DE.1.0.9.0 --startMP 204:506 --initTime 2018-01-08T15:54:54 --startdatetime 2018-01-08T16:00:20 --delay 82 --endMP 204:233318 --enddatetime 2018-01-08T16:37:42 --enforcementcount 0 &gt;&gt;%USERPROFILE%\Documents\GitHub\eaglep3-reporting\EC\2018-01-08-refined-times.txt</v>
      </c>
      <c r="AI11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{"issue":{"subject":"","project_id":79,"tracker_id":40,"status_id":1,"priority_id":2,"assigned_to_id":338,"start_date":"2018-01-08","description":"","custom_fields":[{"id":1,"name":"Subdivision","value":"EC"},{"id":4,"name":"Milepost","value":"23.3318"},{"id":17,"name":"Train ID","value":"199-08"},{"id":16,"name":"Locomotive ID","value":"4044"},{"id":130,"name":"Impact","value":""},{"id":150,"name":"Time of Event (Mountain Time)","value":"16:37:42"},{"id":151,"name":"Denver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4"/>
        <v>start /low /b %USERPROFILE%\Documents\GitHub\eaglep3\Utilities\DownloadLogsFromS3.py --loco 4044 --day 2018-01-08</v>
      </c>
      <c r="AN111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6"/>
        <v>https://d0f6bd738d7f1b3e5a7ca70fe4ff75f0.us-east-1.aws.found.io/app/kibana#/discover/Steve-Slow-Train-Analysis-(2080s-and-2083s)?_g=(refreshInterval:(display:Off,pause:!f,section:0,value:0),time:(from:'2018-01-08T14:54:54-0700',mode:absolute,to:'2018-01-08T17:37:42-0700'))&amp;_a=(columns:!('Message%20ID',Summary),filters:!(),index:'emp_*',interval:auto,query:(query_string:(analyze_wildcard:!t,query:'%22rtdc.l.rtdc.4044%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804</v>
      </c>
      <c r="B112" s="225">
        <v>4043</v>
      </c>
      <c r="C112" s="227" t="s">
        <v>191</v>
      </c>
      <c r="D112" s="227" t="s">
        <v>863</v>
      </c>
      <c r="E112" s="226">
        <v>43108.702499999999</v>
      </c>
      <c r="F112" s="226">
        <v>43108.706631944442</v>
      </c>
      <c r="G112" s="225">
        <v>71</v>
      </c>
      <c r="H112" s="227" t="s">
        <v>463</v>
      </c>
      <c r="I112" s="226">
        <v>43108.734826388885</v>
      </c>
      <c r="J112" s="225">
        <v>0</v>
      </c>
      <c r="K112" s="237" t="str">
        <f t="shared" si="28"/>
        <v>4043/4044</v>
      </c>
      <c r="L112" s="245" t="str">
        <f>VLOOKUP(A112,'Trips&amp;Operators'!$C$1:$G$99911,5,FALSE)</f>
        <v>BADERTSCHER DIANE</v>
      </c>
      <c r="M112" s="224">
        <f t="shared" si="29"/>
        <v>2.8194444443215616E-2</v>
      </c>
      <c r="N112" s="225">
        <f t="shared" si="47"/>
        <v>40.599999998230487</v>
      </c>
      <c r="O112" s="225"/>
      <c r="P112" s="225"/>
      <c r="Q112" s="228"/>
      <c r="R112" s="242"/>
      <c r="S112" s="249">
        <f t="shared" si="48"/>
        <v>1</v>
      </c>
      <c r="T112" s="242" t="str">
        <f t="shared" si="32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3"/>
        <v>https://d0f6bd738d7f1b3e5a7ca70fe4ff75f0.us-east-1.aws.found.io/app/kibana#/discover/Steve-Slow-Train-Analysis-(2080s-and-2083s)?_g=(refreshInterval:(display:Off,pause:!f,section:0,value:0),time:(from:'2018-01-08T15:51:36-0700',mode:absolute,to:'2018-01-08T18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247" t="str">
        <f>IF(AA112&lt;VLOOKUP(AG112,Variables!$AC$3:$AD$8,2,FALSE),"Y","N")</f>
        <v>N</v>
      </c>
      <c r="X112" s="247">
        <f t="shared" si="34"/>
        <v>1</v>
      </c>
      <c r="Y112" s="247">
        <f t="shared" si="49"/>
        <v>23.297699999999999</v>
      </c>
      <c r="Z112" s="247">
        <f t="shared" si="50"/>
        <v>2.0500000000000001E-2</v>
      </c>
      <c r="AA112" s="247">
        <f t="shared" si="37"/>
        <v>23.277200000000001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8"/>
        <v>200</v>
      </c>
      <c r="AE112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12" s="234" t="str">
        <f t="shared" si="40"/>
        <v>"C:\Program Files (x86)\AstroGrep\AstroGrep.exe" /e /r /s /spath="%USERPROFILE%\AppData\Local\Temp\OnboardLogs" /stypes="app*4043*20180109*" /stext=" 00:.+((SYSTEM_STATE.+slice.+state.+changed )|(ment ac)|(multiple cpu faults)|(system.+state.+changed )|(\[timeout)|(PRM\|1\|D)|(kpr)|(kdp)|(train st.+moving)|(\|lc)|(penalty))"</v>
      </c>
      <c r="AG112" s="244" t="str">
        <f t="shared" si="41"/>
        <v>EC</v>
      </c>
      <c r="AH112" s="236" t="str">
        <f t="shared" si="42"/>
        <v>"%USERPROFILE%\Documents\GitHub\eaglep3\Utilities\RefineRTDCRunTimes.py" --tripid 200-08 --locoid 4043 --swversion DE.1.0.9.0 --startMP 204:232977 --initTime 2018-01-08T16:51:36 --startdatetime 2018-01-08T16:57:33 --delay 71 --endMP 204:205 --enddatetime 2018-01-08T17:38:09 --enforcementcount 0 &gt;&gt;%USERPROFILE%\Documents\GitHub\eaglep3-reporting\EC\2018-01-08-refined-times.txt</v>
      </c>
      <c r="AI11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ID","value":"200-08"},{"id":16,"name":"Locomotive ID","value":"4043"},{"id":130,"name":"Impact","value":""},{"id":150,"name":"Time of Event (Mountain Time)","value":"17:38:09"},{"id":151,"name":"Denver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si="44"/>
        <v>start /low /b %USERPROFILE%\Documents\GitHub\eaglep3\Utilities\DownloadLogsFromS3.py --loco 4043 --day 2018-01-08</v>
      </c>
      <c r="AN112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6"/>
        <v>https://d0f6bd738d7f1b3e5a7ca70fe4ff75f0.us-east-1.aws.found.io/app/kibana#/discover/Steve-Slow-Train-Analysis-(2080s-and-2083s)?_g=(refreshInterval:(display:Off,pause:!f,section:0,value:0),time:(from:'2018-01-08T15:51:36-0700',mode:absolute,to:'2018-01-08T18:38:09-0700'))&amp;_a=(columns:!('Message%20ID',Summary),filters:!(),index:'emp_*',interval:auto,query:(query_string:(analyze_wildcard:!t,query:'%22rtdc.l.rtdc.4043%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795</v>
      </c>
      <c r="B113" s="225">
        <v>4054</v>
      </c>
      <c r="C113" s="227" t="s">
        <v>191</v>
      </c>
      <c r="D113" s="227" t="s">
        <v>497</v>
      </c>
      <c r="E113" s="226">
        <v>43108.671423611115</v>
      </c>
      <c r="F113" s="226">
        <v>43108.677361111113</v>
      </c>
      <c r="G113" s="225">
        <v>54</v>
      </c>
      <c r="H113" s="227" t="s">
        <v>889</v>
      </c>
      <c r="I113" s="226">
        <v>43108.702314814815</v>
      </c>
      <c r="J113" s="225">
        <v>0</v>
      </c>
      <c r="K113" s="237" t="str">
        <f t="shared" si="28"/>
        <v>4053/4054</v>
      </c>
      <c r="L113" s="245" t="str">
        <f>VLOOKUP(A113,'Trips&amp;Operators'!$C$1:$G$99911,5,FALSE)</f>
        <v>KILLION DAVID</v>
      </c>
      <c r="M113" s="224">
        <f t="shared" si="29"/>
        <v>2.495370370161254E-2</v>
      </c>
      <c r="N113" s="225">
        <f t="shared" si="47"/>
        <v>35.933333330322057</v>
      </c>
      <c r="O113" s="225"/>
      <c r="P113" s="225"/>
      <c r="Q113" s="228"/>
      <c r="R113" s="242"/>
      <c r="S113" s="249">
        <f t="shared" si="48"/>
        <v>1</v>
      </c>
      <c r="T113" s="242" t="str">
        <f t="shared" si="32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3"/>
        <v>https://d0f6bd738d7f1b3e5a7ca70fe4ff75f0.us-east-1.aws.found.io/app/kibana#/discover/Steve-Slow-Train-Analysis-(2080s-and-2083s)?_g=(refreshInterval:(display:Off,pause:!f,section:0,value:0),time:(from:'2018-01-08T15:06:51-0700',mode:absolute,to:'2018-01-08T17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3" s="247" t="str">
        <f>IF(AA113&lt;VLOOKUP(AG113,Variables!$AC$3:$AD$8,2,FALSE),"Y","N")</f>
        <v>N</v>
      </c>
      <c r="X113" s="247">
        <f t="shared" si="34"/>
        <v>1</v>
      </c>
      <c r="Y113" s="247">
        <f t="shared" si="49"/>
        <v>4.82E-2</v>
      </c>
      <c r="Z113" s="247">
        <f t="shared" si="50"/>
        <v>23.3276</v>
      </c>
      <c r="AA113" s="247">
        <f t="shared" si="37"/>
        <v>23.279399999999999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8"/>
        <v>201</v>
      </c>
      <c r="AE113" s="235" t="str">
        <f t="shared" si="39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113" s="234" t="str">
        <f t="shared" si="40"/>
        <v>"C:\Program Files (x86)\AstroGrep\AstroGrep.exe" /e /r /s /spath="%USERPROFILE%\AppData\Local\Temp\OnboardLogs" /stypes="app*4054*20180108*" /stext=" 23:.+((SYSTEM_STATE.+slice.+state.+changed )|(ment ac)|(multiple cpu faults)|(system.+state.+changed )|(\[timeout)|(PRM\|1\|D)|(kpr)|(kdp)|(train st.+moving)|(\|lc)|(penalty))"</v>
      </c>
      <c r="AG113" s="244" t="str">
        <f t="shared" si="41"/>
        <v>EC</v>
      </c>
      <c r="AH113" s="236" t="str">
        <f t="shared" si="42"/>
        <v>"%USERPROFILE%\Documents\GitHub\eaglep3\Utilities\RefineRTDCRunTimes.py" --tripid 201-08 --locoid 4054 --swversion DE.1.0.9.0 --startMP 204:482 --initTime 2018-01-08T16:06:51 --startdatetime 2018-01-08T16:15:24 --delay 54 --endMP 204:233276 --enddatetime 2018-01-08T16:51:20 --enforcementcount 0 &gt;&gt;%USERPROFILE%\Documents\GitHub\eaglep3-reporting\EC\2018-01-08-refined-times.txt</v>
      </c>
      <c r="AI11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{"issue":{"subject":"","project_id":79,"tracker_id":40,"status_id":1,"priority_id":2,"assigned_to_id":338,"start_date":"2018-01-08","description":"","custom_fields":[{"id":1,"name":"Subdivision","value":"EC"},{"id":4,"name":"Milepost","value":"23.3276"},{"id":17,"name":"Train ID","value":"201-08"},{"id":16,"name":"Locomotive ID","value":"4054"},{"id":130,"name":"Impact","value":""},{"id":150,"name":"Time of Event (Mountain Time)","value":"16:51:20"},{"id":151,"name":"Denver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4"/>
        <v>start /low /b %USERPROFILE%\Documents\GitHub\eaglep3\Utilities\DownloadLogsFromS3.py --loco 4054 --day 2018-01-08</v>
      </c>
      <c r="AN113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6"/>
        <v>https://d0f6bd738d7f1b3e5a7ca70fe4ff75f0.us-east-1.aws.found.io/app/kibana#/discover/Steve-Slow-Train-Analysis-(2080s-and-2083s)?_g=(refreshInterval:(display:Off,pause:!f,section:0,value:0),time:(from:'2018-01-08T15:06:51-0700',mode:absolute,to:'2018-01-08T17:51:20-0700'))&amp;_a=(columns:!('Message%20ID',Summary),filters:!(),index:'emp_*',interval:auto,query:(query_string:(analyze_wildcard:!t,query:'%22rtdc.l.rtdc.4054%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808</v>
      </c>
      <c r="B114" s="225">
        <v>4053</v>
      </c>
      <c r="C114" s="227" t="s">
        <v>191</v>
      </c>
      <c r="D114" s="227" t="s">
        <v>923</v>
      </c>
      <c r="E114" s="226">
        <v>43108.708067129628</v>
      </c>
      <c r="F114" s="226">
        <v>43108.716840277775</v>
      </c>
      <c r="G114" s="225">
        <v>52</v>
      </c>
      <c r="H114" s="227" t="s">
        <v>917</v>
      </c>
      <c r="I114" s="226">
        <v>43108.743483796294</v>
      </c>
      <c r="J114" s="225">
        <v>0</v>
      </c>
      <c r="K114" s="237" t="str">
        <f t="shared" si="28"/>
        <v>4053/4054</v>
      </c>
      <c r="L114" s="245" t="str">
        <f>VLOOKUP(A114,'Trips&amp;Operators'!$C$1:$G$99911,5,FALSE)</f>
        <v>KILLION DAVID</v>
      </c>
      <c r="M114" s="224">
        <f t="shared" si="29"/>
        <v>2.6643518518540077E-2</v>
      </c>
      <c r="N114" s="225">
        <f t="shared" si="47"/>
        <v>38.366666666697711</v>
      </c>
      <c r="O114" s="225"/>
      <c r="P114" s="225"/>
      <c r="Q114" s="228"/>
      <c r="R114" s="242"/>
      <c r="S114" s="249">
        <f t="shared" si="48"/>
        <v>1</v>
      </c>
      <c r="T114" s="242" t="str">
        <f t="shared" si="32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3"/>
        <v>https://d0f6bd738d7f1b3e5a7ca70fe4ff75f0.us-east-1.aws.found.io/app/kibana#/discover/Steve-Slow-Train-Analysis-(2080s-and-2083s)?_g=(refreshInterval:(display:Off,pause:!f,section:0,value:0),time:(from:'2018-01-08T15:59:37-0700',mode:absolute,to:'2018-01-08T18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4" s="247" t="str">
        <f>IF(AA114&lt;VLOOKUP(AG114,Variables!$AC$3:$AD$8,2,FALSE),"Y","N")</f>
        <v>N</v>
      </c>
      <c r="X114" s="247">
        <f t="shared" si="34"/>
        <v>1</v>
      </c>
      <c r="Y114" s="247">
        <f t="shared" si="49"/>
        <v>23.296600000000002</v>
      </c>
      <c r="Z114" s="247">
        <f t="shared" si="50"/>
        <v>2.0299999999999999E-2</v>
      </c>
      <c r="AA114" s="247">
        <f t="shared" si="37"/>
        <v>23.276300000000003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8"/>
        <v>202</v>
      </c>
      <c r="AE114" s="235" t="str">
        <f t="shared" si="39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114" s="234" t="str">
        <f t="shared" si="40"/>
        <v>"C:\Program Files (x86)\AstroGrep\AstroGrep.exe" /e /r /s /spath="%USERPROFILE%\AppData\Local\Temp\OnboardLogs" /stypes="app*4053*20180109*" /stext=" 00:.+((SYSTEM_STATE.+slice.+state.+changed )|(ment ac)|(multiple cpu faults)|(system.+state.+changed )|(\[timeout)|(PRM\|1\|D)|(kpr)|(kdp)|(train st.+moving)|(\|lc)|(penalty))"</v>
      </c>
      <c r="AG114" s="244" t="str">
        <f t="shared" si="41"/>
        <v>EC</v>
      </c>
      <c r="AH114" s="236" t="str">
        <f t="shared" si="42"/>
        <v>"%USERPROFILE%\Documents\GitHub\eaglep3\Utilities\RefineRTDCRunTimes.py" --tripid 202-08 --locoid 4053 --swversion DE.1.0.9.0 --startMP 204:232966 --initTime 2018-01-08T16:59:37 --startdatetime 2018-01-08T17:12:15 --delay 52 --endMP 204:203 --enddatetime 2018-01-08T17:50:37 --enforcementcount 0 &gt;&gt;%USERPROFILE%\Documents\GitHub\eaglep3-reporting\EC\2018-01-08-refined-times.txt</v>
      </c>
      <c r="AI11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{"issue":{"subject":"","project_id":79,"tracker_id":40,"status_id":1,"priority_id":2,"assigned_to_id":338,"start_date":"2018-01-08","description":"","custom_fields":[{"id":1,"name":"Subdivision","value":"EC"},{"id":4,"name":"Milepost","value":"0.0203"},{"id":17,"name":"Train ID","value":"202-08"},{"id":16,"name":"Locomotive ID","value":"4053"},{"id":130,"name":"Impact","value":""},{"id":150,"name":"Time of Event (Mountain Time)","value":"17:50:37"},{"id":151,"name":"Denver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4"/>
        <v>start /low /b %USERPROFILE%\Documents\GitHub\eaglep3\Utilities\DownloadLogsFromS3.py --loco 4053 --day 2018-01-08</v>
      </c>
      <c r="AN114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6"/>
        <v>https://d0f6bd738d7f1b3e5a7ca70fe4ff75f0.us-east-1.aws.found.io/app/kibana#/discover/Steve-Slow-Train-Analysis-(2080s-and-2083s)?_g=(refreshInterval:(display:Off,pause:!f,section:0,value:0),time:(from:'2018-01-08T15:59:37-0700',mode:absolute,to:'2018-01-08T18:50:37-0700'))&amp;_a=(columns:!('Message%20ID',Summary),filters:!(),index:'emp_*',interval:auto,query:(query_string:(analyze_wildcard:!t,query:'%22rtdc.l.rtdc.4053%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801</v>
      </c>
      <c r="B115" s="225">
        <v>4026</v>
      </c>
      <c r="C115" s="227" t="s">
        <v>191</v>
      </c>
      <c r="D115" s="227" t="s">
        <v>605</v>
      </c>
      <c r="E115" s="226">
        <v>43108.683634259258</v>
      </c>
      <c r="F115" s="226">
        <v>43108.687789351854</v>
      </c>
      <c r="G115" s="225">
        <v>100</v>
      </c>
      <c r="H115" s="227" t="s">
        <v>508</v>
      </c>
      <c r="I115" s="226">
        <v>43108.714849537035</v>
      </c>
      <c r="J115" s="225">
        <v>0</v>
      </c>
      <c r="K115" s="237" t="str">
        <f t="shared" si="28"/>
        <v>4025/4026</v>
      </c>
      <c r="L115" s="245" t="str">
        <f>VLOOKUP(A115,'Trips&amp;Operators'!$C$1:$G$99911,5,FALSE)</f>
        <v>DAVIS MICHAEL</v>
      </c>
      <c r="M115" s="224">
        <f t="shared" si="29"/>
        <v>2.7060185180744156E-2</v>
      </c>
      <c r="N115" s="225">
        <f t="shared" si="47"/>
        <v>38.966666660271585</v>
      </c>
      <c r="O115" s="225"/>
      <c r="P115" s="225"/>
      <c r="Q115" s="228"/>
      <c r="R115" s="242"/>
      <c r="S115" s="249">
        <f t="shared" si="48"/>
        <v>1</v>
      </c>
      <c r="T115" s="242" t="str">
        <f t="shared" si="32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3"/>
        <v>https://d0f6bd738d7f1b3e5a7ca70fe4ff75f0.us-east-1.aws.found.io/app/kibana#/discover/Steve-Slow-Train-Analysis-(2080s-and-2083s)?_g=(refreshInterval:(display:Off,pause:!f,section:0,value:0),time:(from:'2018-01-08T15:24:26-0700',mode:absolute,to:'2018-01-08T18:09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247" t="str">
        <f>IF(AA115&lt;VLOOKUP(AG115,Variables!$AC$3:$AD$8,2,FALSE),"Y","N")</f>
        <v>N</v>
      </c>
      <c r="X115" s="247">
        <f t="shared" si="34"/>
        <v>1</v>
      </c>
      <c r="Y115" s="247">
        <f t="shared" si="49"/>
        <v>5.2600000000000001E-2</v>
      </c>
      <c r="Z115" s="247">
        <f t="shared" si="50"/>
        <v>23.330500000000001</v>
      </c>
      <c r="AA115" s="247">
        <f t="shared" si="37"/>
        <v>23.277899999999999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8"/>
        <v>203</v>
      </c>
      <c r="AE115" s="235" t="str">
        <f t="shared" si="39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15" s="234" t="str">
        <f t="shared" si="40"/>
        <v>"C:\Program Files (x86)\AstroGrep\AstroGrep.exe" /e /r /s /spath="%USERPROFILE%\AppData\Local\Temp\OnboardLogs" /stypes="app*4026*20180109*" /stext=" 00:.+((SYSTEM_STATE.+slice.+state.+changed )|(ment ac)|(multiple cpu faults)|(system.+state.+changed )|(\[timeout)|(PRM\|1\|D)|(kpr)|(kdp)|(train st.+moving)|(\|lc)|(penalty))"</v>
      </c>
      <c r="AG115" s="244" t="str">
        <f t="shared" si="41"/>
        <v>EC</v>
      </c>
      <c r="AH115" s="236" t="str">
        <f t="shared" si="42"/>
        <v>"%USERPROFILE%\Documents\GitHub\eaglep3\Utilities\RefineRTDCRunTimes.py" --tripid 203-08 --locoid 4026 --swversion DE.1.0.9.0 --startMP 204:526 --initTime 2018-01-08T16:24:26 --startdatetime 2018-01-08T16:30:25 --delay 100 --endMP 204:233305 --enddatetime 2018-01-08T17:09:23 --enforcementcount 0 &gt;&gt;%USERPROFILE%\Documents\GitHub\eaglep3-reporting\EC\2018-01-08-refined-times.txt</v>
      </c>
      <c r="AI11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{"issue":{"subject":"","project_id":79,"tracker_id":40,"status_id":1,"priority_id":2,"assigned_to_id":338,"start_date":"2018-01-08","description":"","custom_fields":[{"id":1,"name":"Subdivision","value":"EC"},{"id":4,"name":"Milepost","value":"23.3305"},{"id":17,"name":"Train ID","value":"203-08"},{"id":16,"name":"Locomotive ID","value":"4026"},{"id":130,"name":"Impact","value":""},{"id":150,"name":"Time of Event (Mountain Time)","value":"17:09:23"},{"id":151,"name":"Denver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4"/>
        <v>start /low /b %USERPROFILE%\Documents\GitHub\eaglep3\Utilities\DownloadLogsFromS3.py --loco 4026 --day 2018-01-08</v>
      </c>
      <c r="AN115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6"/>
        <v>https://d0f6bd738d7f1b3e5a7ca70fe4ff75f0.us-east-1.aws.found.io/app/kibana#/discover/Steve-Slow-Train-Analysis-(2080s-and-2083s)?_g=(refreshInterval:(display:Off,pause:!f,section:0,value:0),time:(from:'2018-01-08T15:24:26-0700',mode:absolute,to:'2018-01-08T18:09:23-0700'))&amp;_a=(columns:!('Message%20ID',Summary),filters:!(),index:'emp_*',interval:auto,query:(query_string:(analyze_wildcard:!t,query:'%22rtdc.l.rtdc.4026%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811</v>
      </c>
      <c r="B116" s="225">
        <v>4025</v>
      </c>
      <c r="C116" s="227" t="s">
        <v>191</v>
      </c>
      <c r="D116" s="227" t="s">
        <v>572</v>
      </c>
      <c r="E116" s="226">
        <v>43108.724282407406</v>
      </c>
      <c r="F116" s="226">
        <v>43108.727361111109</v>
      </c>
      <c r="G116" s="225">
        <v>128</v>
      </c>
      <c r="H116" s="227" t="s">
        <v>588</v>
      </c>
      <c r="I116" s="226">
        <v>43108.756944444445</v>
      </c>
      <c r="J116" s="225">
        <v>0</v>
      </c>
      <c r="K116" s="237" t="str">
        <f t="shared" si="28"/>
        <v>4025/4026</v>
      </c>
      <c r="L116" s="245" t="str">
        <f>VLOOKUP(A116,'Trips&amp;Operators'!$C$1:$G$99911,5,FALSE)</f>
        <v>DAVIS MICHAEL</v>
      </c>
      <c r="M116" s="224">
        <f t="shared" si="29"/>
        <v>2.9583333336631767E-2</v>
      </c>
      <c r="N116" s="225">
        <f t="shared" si="47"/>
        <v>42.600000004749745</v>
      </c>
      <c r="O116" s="225"/>
      <c r="P116" s="225"/>
      <c r="Q116" s="228"/>
      <c r="R116" s="242"/>
      <c r="S116" s="249">
        <f t="shared" si="48"/>
        <v>1</v>
      </c>
      <c r="T116" s="242" t="str">
        <f t="shared" si="32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3"/>
        <v>https://d0f6bd738d7f1b3e5a7ca70fe4ff75f0.us-east-1.aws.found.io/app/kibana#/discover/Steve-Slow-Train-Analysis-(2080s-and-2083s)?_g=(refreshInterval:(display:Off,pause:!f,section:0,value:0),time:(from:'2018-01-08T16:22:58-0700',mode:absolute,to:'2018-01-08T19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6" s="247" t="str">
        <f>IF(AA116&lt;VLOOKUP(AG116,Variables!$AC$3:$AD$8,2,FALSE),"Y","N")</f>
        <v>N</v>
      </c>
      <c r="X116" s="247">
        <f t="shared" si="34"/>
        <v>1</v>
      </c>
      <c r="Y116" s="247">
        <f t="shared" si="49"/>
        <v>23.298200000000001</v>
      </c>
      <c r="Z116" s="247">
        <f t="shared" si="50"/>
        <v>2.23E-2</v>
      </c>
      <c r="AA116" s="247">
        <f t="shared" si="37"/>
        <v>23.2759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8"/>
        <v>204</v>
      </c>
      <c r="AE116" s="235" t="str">
        <f t="shared" si="39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16" s="234" t="str">
        <f t="shared" si="40"/>
        <v>"C:\Program Files (x86)\AstroGrep\AstroGrep.exe" /e /r /s /spath="%USERPROFILE%\AppData\Local\Temp\OnboardLogs" /stypes="app*4025*20180109*" /stext=" 01:.+((SYSTEM_STATE.+slice.+state.+changed )|(ment ac)|(multiple cpu faults)|(system.+state.+changed )|(\[timeout)|(PRM\|1\|D)|(kpr)|(kdp)|(train st.+moving)|(\|lc)|(penalty))"</v>
      </c>
      <c r="AG116" s="244" t="str">
        <f t="shared" si="41"/>
        <v>EC</v>
      </c>
      <c r="AH116" s="236" t="str">
        <f t="shared" si="42"/>
        <v>"%USERPROFILE%\Documents\GitHub\eaglep3\Utilities\RefineRTDCRunTimes.py" --tripid 204-08 --locoid 4025 --swversion DE.1.0.9.0 --startMP 204:232982 --initTime 2018-01-08T17:22:58 --startdatetime 2018-01-08T17:27:24 --delay 128 --endMP 204:223 --enddatetime 2018-01-08T18:10:00 --enforcementcount 0 &gt;&gt;%USERPROFILE%\Documents\GitHub\eaglep3-reporting\EC\2018-01-08-refined-times.txt</v>
      </c>
      <c r="AI11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{"issue":{"subject":"","project_id":79,"tracker_id":40,"status_id":1,"priority_id":2,"assigned_to_id":338,"start_date":"2018-01-08","description":"","custom_fields":[{"id":1,"name":"Subdivision","value":"EC"},{"id":4,"name":"Milepost","value":"0.0223"},{"id":17,"name":"Train ID","value":"204-08"},{"id":16,"name":"Locomotive ID","value":"4025"},{"id":130,"name":"Impact","value":""},{"id":150,"name":"Time of Event (Mountain Time)","value":"18:10:00"},{"id":151,"name":"Denver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4"/>
        <v>start /low /b %USERPROFILE%\Documents\GitHub\eaglep3\Utilities\DownloadLogsFromS3.py --loco 4025 --day 2018-01-08</v>
      </c>
      <c r="AN116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6"/>
        <v>https://d0f6bd738d7f1b3e5a7ca70fe4ff75f0.us-east-1.aws.found.io/app/kibana#/discover/Steve-Slow-Train-Analysis-(2080s-and-2083s)?_g=(refreshInterval:(display:Off,pause:!f,section:0,value:0),time:(from:'2018-01-08T16:22:58-0700',mode:absolute,to:'2018-01-08T19:10:00-0700'))&amp;_a=(columns:!('Message%20ID',Summary),filters:!(),index:'emp_*',interval:auto,query:(query_string:(analyze_wildcard:!t,query:'%22rtdc.l.rtdc.4025%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803</v>
      </c>
      <c r="B117" s="225">
        <v>4018</v>
      </c>
      <c r="C117" s="227" t="s">
        <v>191</v>
      </c>
      <c r="D117" s="227" t="s">
        <v>595</v>
      </c>
      <c r="E117" s="226">
        <v>43108.694618055553</v>
      </c>
      <c r="F117" s="226">
        <v>43108.698182870372</v>
      </c>
      <c r="G117" s="225">
        <v>57</v>
      </c>
      <c r="H117" s="227" t="s">
        <v>897</v>
      </c>
      <c r="I117" s="226">
        <v>43108.723287037035</v>
      </c>
      <c r="J117" s="225">
        <v>0</v>
      </c>
      <c r="K117" s="237" t="str">
        <f t="shared" si="28"/>
        <v>4017/4018</v>
      </c>
      <c r="L117" s="245" t="str">
        <f>VLOOKUP(A117,'Trips&amp;Operators'!$C$1:$G$99911,5,FALSE)</f>
        <v>STEWART MICHAEL</v>
      </c>
      <c r="M117" s="224">
        <f t="shared" si="29"/>
        <v>2.5104166663368233E-2</v>
      </c>
      <c r="N117" s="225">
        <f t="shared" si="47"/>
        <v>36.149999995250255</v>
      </c>
      <c r="O117" s="225"/>
      <c r="P117" s="225"/>
      <c r="Q117" s="228"/>
      <c r="R117" s="242"/>
      <c r="S117" s="249">
        <f t="shared" si="48"/>
        <v>1</v>
      </c>
      <c r="T117" s="242" t="str">
        <f t="shared" si="32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3"/>
        <v>https://d0f6bd738d7f1b3e5a7ca70fe4ff75f0.us-east-1.aws.found.io/app/kibana#/discover/Steve-Slow-Train-Analysis-(2080s-and-2083s)?_g=(refreshInterval:(display:Off,pause:!f,section:0,value:0),time:(from:'2018-01-08T15:40:15-0700',mode:absolute,to:'2018-01-08T18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247" t="str">
        <f>IF(AA117&lt;VLOOKUP(AG117,Variables!$AC$3:$AD$8,2,FALSE),"Y","N")</f>
        <v>N</v>
      </c>
      <c r="X117" s="247">
        <f t="shared" si="34"/>
        <v>1</v>
      </c>
      <c r="Y117" s="247">
        <f t="shared" si="49"/>
        <v>4.7300000000000002E-2</v>
      </c>
      <c r="Z117" s="247">
        <f t="shared" si="50"/>
        <v>23.327200000000001</v>
      </c>
      <c r="AA117" s="247">
        <f t="shared" si="37"/>
        <v>23.279900000000001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8"/>
        <v>205</v>
      </c>
      <c r="AE117" s="235" t="str">
        <f t="shared" si="39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117" s="234" t="str">
        <f t="shared" si="40"/>
        <v>"C:\Program Files (x86)\AstroGrep\AstroGrep.exe" /e /r /s /spath="%USERPROFILE%\AppData\Local\Temp\OnboardLogs" /stypes="app*4018*20180109*" /stext=" 00:.+((SYSTEM_STATE.+slice.+state.+changed )|(ment ac)|(multiple cpu faults)|(system.+state.+changed )|(\[timeout)|(PRM\|1\|D)|(kpr)|(kdp)|(train st.+moving)|(\|lc)|(penalty))"</v>
      </c>
      <c r="AG117" s="244" t="str">
        <f t="shared" si="41"/>
        <v>EC</v>
      </c>
      <c r="AH117" s="236" t="str">
        <f t="shared" si="42"/>
        <v>"%USERPROFILE%\Documents\GitHub\eaglep3\Utilities\RefineRTDCRunTimes.py" --tripid 205-08 --locoid 4018 --swversion DE.1.0.9.0 --startMP 204:473 --initTime 2018-01-08T16:40:15 --startdatetime 2018-01-08T16:45:23 --delay 57 --endMP 204:233272 --enddatetime 2018-01-08T17:21:32 --enforcementcount 0 &gt;&gt;%USERPROFILE%\Documents\GitHub\eaglep3-reporting\EC\2018-01-08-refined-times.txt</v>
      </c>
      <c r="AI11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{"issue":{"subject":"","project_id":79,"tracker_id":40,"status_id":1,"priority_id":2,"assigned_to_id":338,"start_date":"2018-01-08","description":"","custom_fields":[{"id":1,"name":"Subdivision","value":"EC"},{"id":4,"name":"Milepost","value":"23.3272"},{"id":17,"name":"Train ID","value":"205-08"},{"id":16,"name":"Locomotive ID","value":"4018"},{"id":130,"name":"Impact","value":""},{"id":150,"name":"Time of Event (Mountain Time)","value":"17:21:32"},{"id":151,"name":"Denver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4"/>
        <v>start /low /b %USERPROFILE%\Documents\GitHub\eaglep3\Utilities\DownloadLogsFromS3.py --loco 4018 --day 2018-01-08</v>
      </c>
      <c r="AN117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6"/>
        <v>https://d0f6bd738d7f1b3e5a7ca70fe4ff75f0.us-east-1.aws.found.io/app/kibana#/discover/Steve-Slow-Train-Analysis-(2080s-and-2083s)?_g=(refreshInterval:(display:Off,pause:!f,section:0,value:0),time:(from:'2018-01-08T15:40:15-0700',mode:absolute,to:'2018-01-08T18:21:32-0700'))&amp;_a=(columns:!('Message%20ID',Summary),filters:!(),index:'emp_*',interval:auto,query:(query_string:(analyze_wildcard:!t,query:'%22rtdc.l.rtdc.4018%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814</v>
      </c>
      <c r="B118" s="225">
        <v>4017</v>
      </c>
      <c r="C118" s="227" t="s">
        <v>191</v>
      </c>
      <c r="D118" s="227" t="s">
        <v>924</v>
      </c>
      <c r="E118" s="226">
        <v>43108.735659722224</v>
      </c>
      <c r="F118" s="226">
        <v>43108.737800925926</v>
      </c>
      <c r="G118" s="225">
        <v>53</v>
      </c>
      <c r="H118" s="227" t="s">
        <v>612</v>
      </c>
      <c r="I118" s="226">
        <v>43108.764317129629</v>
      </c>
      <c r="J118" s="225">
        <v>0</v>
      </c>
      <c r="K118" s="237" t="str">
        <f t="shared" si="28"/>
        <v>4017/4018</v>
      </c>
      <c r="L118" s="245" t="str">
        <f>VLOOKUP(A118,'Trips&amp;Operators'!$C$1:$G$99911,5,FALSE)</f>
        <v>STEWART MICHAEL</v>
      </c>
      <c r="M118" s="224">
        <f t="shared" si="29"/>
        <v>2.6516203703067731E-2</v>
      </c>
      <c r="N118" s="225">
        <f t="shared" si="47"/>
        <v>38.183333332417533</v>
      </c>
      <c r="O118" s="225"/>
      <c r="P118" s="225"/>
      <c r="Q118" s="228"/>
      <c r="R118" s="242"/>
      <c r="S118" s="249">
        <f t="shared" si="48"/>
        <v>1</v>
      </c>
      <c r="T118" s="242" t="str">
        <f t="shared" si="32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3"/>
        <v>https://d0f6bd738d7f1b3e5a7ca70fe4ff75f0.us-east-1.aws.found.io/app/kibana#/discover/Steve-Slow-Train-Analysis-(2080s-and-2083s)?_g=(refreshInterval:(display:Off,pause:!f,section:0,value:0),time:(from:'2018-01-08T16:39:21-0700',mode:absolute,to:'2018-01-08T19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247" t="str">
        <f>IF(AA118&lt;VLOOKUP(AG118,Variables!$AC$3:$AD$8,2,FALSE),"Y","N")</f>
        <v>N</v>
      </c>
      <c r="X118" s="247">
        <f t="shared" si="34"/>
        <v>1</v>
      </c>
      <c r="Y118" s="247">
        <f t="shared" si="49"/>
        <v>23.296800000000001</v>
      </c>
      <c r="Z118" s="247">
        <f t="shared" si="50"/>
        <v>1.9199999999999998E-2</v>
      </c>
      <c r="AA118" s="247">
        <f t="shared" si="37"/>
        <v>23.2776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8"/>
        <v>206</v>
      </c>
      <c r="AE118" s="235" t="str">
        <f t="shared" si="39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118" s="234" t="str">
        <f t="shared" si="40"/>
        <v>"C:\Program Files (x86)\AstroGrep\AstroGrep.exe" /e /r /s /spath="%USERPROFILE%\AppData\Local\Temp\OnboardLogs" /stypes="app*4017*20180109*" /stext=" 01:.+((SYSTEM_STATE.+slice.+state.+changed )|(ment ac)|(multiple cpu faults)|(system.+state.+changed )|(\[timeout)|(PRM\|1\|D)|(kpr)|(kdp)|(train st.+moving)|(\|lc)|(penalty))"</v>
      </c>
      <c r="AG118" s="244" t="str">
        <f t="shared" si="41"/>
        <v>EC</v>
      </c>
      <c r="AH118" s="236" t="str">
        <f t="shared" si="42"/>
        <v>"%USERPROFILE%\Documents\GitHub\eaglep3\Utilities\RefineRTDCRunTimes.py" --tripid 206-08 --locoid 4017 --swversion DE.1.0.9.0 --startMP 204:232968 --initTime 2018-01-08T17:39:21 --startdatetime 2018-01-08T17:42:26 --delay 53 --endMP 204:192 --enddatetime 2018-01-08T18:20:37 --enforcementcount 0 &gt;&gt;%USERPROFILE%\Documents\GitHub\eaglep3-reporting\EC\2018-01-08-refined-times.txt</v>
      </c>
      <c r="AI11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{"issue":{"subject":"","project_id":79,"tracker_id":40,"status_id":1,"priority_id":2,"assigned_to_id":338,"start_date":"2018-01-08","description":"","custom_fields":[{"id":1,"name":"Subdivision","value":"EC"},{"id":4,"name":"Milepost","value":"0.0192"},{"id":17,"name":"Train ID","value":"206-08"},{"id":16,"name":"Locomotive ID","value":"4017"},{"id":130,"name":"Impact","value":""},{"id":150,"name":"Time of Event (Mountain Time)","value":"18:20:37"},{"id":151,"name":"Denver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44"/>
        <v>start /low /b %USERPROFILE%\Documents\GitHub\eaglep3\Utilities\DownloadLogsFromS3.py --loco 4017 --day 2018-01-08</v>
      </c>
      <c r="AN118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6"/>
        <v>https://d0f6bd738d7f1b3e5a7ca70fe4ff75f0.us-east-1.aws.found.io/app/kibana#/discover/Steve-Slow-Train-Analysis-(2080s-and-2083s)?_g=(refreshInterval:(display:Off,pause:!f,section:0,value:0),time:(from:'2018-01-08T16:39:21-0700',mode:absolute,to:'2018-01-08T19:20:37-0700'))&amp;_a=(columns:!('Message%20ID',Summary),filters:!(),index:'emp_*',interval:auto,query:(query_string:(analyze_wildcard:!t,query:'%22rtdc.l.rtdc.4017%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805</v>
      </c>
      <c r="B119" s="225">
        <v>4034</v>
      </c>
      <c r="C119" s="227" t="s">
        <v>191</v>
      </c>
      <c r="D119" s="227" t="s">
        <v>571</v>
      </c>
      <c r="E119" s="226">
        <v>43108.704502314817</v>
      </c>
      <c r="F119" s="226">
        <v>43108.708541666667</v>
      </c>
      <c r="G119" s="225">
        <v>76</v>
      </c>
      <c r="H119" s="227" t="s">
        <v>479</v>
      </c>
      <c r="I119" s="226">
        <v>43108.736087962963</v>
      </c>
      <c r="J119" s="225">
        <v>0</v>
      </c>
      <c r="K119" s="237" t="str">
        <f t="shared" si="28"/>
        <v>4033/4034</v>
      </c>
      <c r="L119" s="245" t="str">
        <f>VLOOKUP(A119,'Trips&amp;Operators'!$C$1:$G$99911,5,FALSE)</f>
        <v>LONG FULLER</v>
      </c>
      <c r="M119" s="224">
        <f t="shared" si="29"/>
        <v>2.7546296296350192E-2</v>
      </c>
      <c r="N119" s="225">
        <f t="shared" si="47"/>
        <v>39.666666666744277</v>
      </c>
      <c r="O119" s="225"/>
      <c r="P119" s="225"/>
      <c r="Q119" s="228"/>
      <c r="R119" s="242"/>
      <c r="S119" s="249">
        <f t="shared" si="48"/>
        <v>1</v>
      </c>
      <c r="T119" s="242" t="str">
        <f t="shared" si="32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3"/>
        <v>https://d0f6bd738d7f1b3e5a7ca70fe4ff75f0.us-east-1.aws.found.io/app/kibana#/discover/Steve-Slow-Train-Analysis-(2080s-and-2083s)?_g=(refreshInterval:(display:Off,pause:!f,section:0,value:0),time:(from:'2018-01-08T15:54:29-0700',mode:absolute,to:'2018-01-08T18:39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9" s="247" t="str">
        <f>IF(AA119&lt;VLOOKUP(AG119,Variables!$AC$3:$AD$8,2,FALSE),"Y","N")</f>
        <v>N</v>
      </c>
      <c r="X119" s="247">
        <f t="shared" si="34"/>
        <v>1</v>
      </c>
      <c r="Y119" s="247">
        <f t="shared" si="49"/>
        <v>5.1900000000000002E-2</v>
      </c>
      <c r="Z119" s="247">
        <f t="shared" si="50"/>
        <v>23.329899999999999</v>
      </c>
      <c r="AA119" s="247">
        <f t="shared" si="37"/>
        <v>23.277999999999999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8"/>
        <v>207</v>
      </c>
      <c r="AE119" s="235" t="str">
        <f t="shared" si="39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119" s="234" t="str">
        <f t="shared" si="40"/>
        <v>"C:\Program Files (x86)\AstroGrep\AstroGrep.exe" /e /r /s /spath="%USERPROFILE%\AppData\Local\Temp\OnboardLogs" /stypes="app*4034*20180109*" /stext=" 00:.+((SYSTEM_STATE.+slice.+state.+changed )|(ment ac)|(multiple cpu faults)|(system.+state.+changed )|(\[timeout)|(PRM\|1\|D)|(kpr)|(kdp)|(train st.+moving)|(\|lc)|(penalty))"</v>
      </c>
      <c r="AG119" s="244" t="str">
        <f t="shared" si="41"/>
        <v>EC</v>
      </c>
      <c r="AH119" s="236" t="str">
        <f t="shared" si="42"/>
        <v>"%USERPROFILE%\Documents\GitHub\eaglep3\Utilities\RefineRTDCRunTimes.py" --tripid 207-08 --locoid 4034 --swversion DE.1.0.9.0 --startMP 204:519 --initTime 2018-01-08T16:54:29 --startdatetime 2018-01-08T17:00:18 --delay 76 --endMP 204:233299 --enddatetime 2018-01-08T17:39:58 --enforcementcount 0 &gt;&gt;%USERPROFILE%\Documents\GitHub\eaglep3-reporting\EC\2018-01-08-refined-times.txt</v>
      </c>
      <c r="AI11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{"issue":{"subject":"","project_id":79,"tracker_id":40,"status_id":1,"priority_id":2,"assigned_to_id":338,"start_date":"2018-01-08","description":"","custom_fields":[{"id":1,"name":"Subdivision","value":"EC"},{"id":4,"name":"Milepost","value":"23.3299"},{"id":17,"name":"Train ID","value":"207-08"},{"id":16,"name":"Locomotive ID","value":"4034"},{"id":130,"name":"Impact","value":""},{"id":150,"name":"Time of Event (Mountain Time)","value":"17:39:58"},{"id":151,"name":"Denver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4"/>
        <v>start /low /b %USERPROFILE%\Documents\GitHub\eaglep3\Utilities\DownloadLogsFromS3.py --loco 4034 --day 2018-01-08</v>
      </c>
      <c r="AN119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6"/>
        <v>https://d0f6bd738d7f1b3e5a7ca70fe4ff75f0.us-east-1.aws.found.io/app/kibana#/discover/Steve-Slow-Train-Analysis-(2080s-and-2083s)?_g=(refreshInterval:(display:Off,pause:!f,section:0,value:0),time:(from:'2018-01-08T15:54:29-0700',mode:absolute,to:'2018-01-08T18:39:58-0700'))&amp;_a=(columns:!('Message%20ID',Summary),filters:!(),index:'emp_*',interval:auto,query:(query_string:(analyze_wildcard:!t,query:'%22rtdc.l.rtdc.4034%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816</v>
      </c>
      <c r="B120" s="225">
        <v>4033</v>
      </c>
      <c r="C120" s="227" t="s">
        <v>191</v>
      </c>
      <c r="D120" s="227" t="s">
        <v>607</v>
      </c>
      <c r="E120" s="226">
        <v>43108.740451388891</v>
      </c>
      <c r="F120" s="226">
        <v>43108.748159722221</v>
      </c>
      <c r="G120" s="225">
        <v>74</v>
      </c>
      <c r="H120" s="227" t="s">
        <v>925</v>
      </c>
      <c r="I120" s="226">
        <v>43108.776273148149</v>
      </c>
      <c r="J120" s="225">
        <v>0</v>
      </c>
      <c r="K120" s="237" t="str">
        <f t="shared" si="28"/>
        <v>4033/4034</v>
      </c>
      <c r="L120" s="245" t="str">
        <f>VLOOKUP(A120,'Trips&amp;Operators'!$C$1:$G$99911,5,FALSE)</f>
        <v>LONG FULLER</v>
      </c>
      <c r="M120" s="224">
        <f t="shared" si="29"/>
        <v>2.8113425927585922E-2</v>
      </c>
      <c r="N120" s="225">
        <f t="shared" si="47"/>
        <v>40.483333335723728</v>
      </c>
      <c r="O120" s="225"/>
      <c r="P120" s="225"/>
      <c r="Q120" s="228"/>
      <c r="R120" s="242"/>
      <c r="S120" s="249">
        <f t="shared" si="48"/>
        <v>1</v>
      </c>
      <c r="T120" s="242" t="str">
        <f t="shared" si="32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3"/>
        <v>https://d0f6bd738d7f1b3e5a7ca70fe4ff75f0.us-east-1.aws.found.io/app/kibana#/discover/Steve-Slow-Train-Analysis-(2080s-and-2083s)?_g=(refreshInterval:(display:Off,pause:!f,section:0,value:0),time:(from:'2018-01-08T16:46:15-0700',mode:absolute,to:'2018-01-08T19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0" s="247" t="str">
        <f>IF(AA120&lt;VLOOKUP(AG120,Variables!$AC$3:$AD$8,2,FALSE),"Y","N")</f>
        <v>N</v>
      </c>
      <c r="X120" s="247">
        <f t="shared" si="34"/>
        <v>1</v>
      </c>
      <c r="Y120" s="247">
        <f t="shared" si="49"/>
        <v>23.296900000000001</v>
      </c>
      <c r="Z120" s="247">
        <f t="shared" si="50"/>
        <v>2.07E-2</v>
      </c>
      <c r="AA120" s="247">
        <f t="shared" si="37"/>
        <v>23.276199999999999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8"/>
        <v>208</v>
      </c>
      <c r="AE120" s="235" t="str">
        <f t="shared" si="39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120" s="234" t="str">
        <f t="shared" si="40"/>
        <v>"C:\Program Files (x86)\AstroGrep\AstroGrep.exe" /e /r /s /spath="%USERPROFILE%\AppData\Local\Temp\OnboardLogs" /stypes="app*4033*20180109*" /stext=" 01:.+((SYSTEM_STATE.+slice.+state.+changed )|(ment ac)|(multiple cpu faults)|(system.+state.+changed )|(\[timeout)|(PRM\|1\|D)|(kpr)|(kdp)|(train st.+moving)|(\|lc)|(penalty))"</v>
      </c>
      <c r="AG120" s="244" t="str">
        <f t="shared" si="41"/>
        <v>EC</v>
      </c>
      <c r="AH120" s="236" t="str">
        <f t="shared" si="42"/>
        <v>"%USERPROFILE%\Documents\GitHub\eaglep3\Utilities\RefineRTDCRunTimes.py" --tripid 208-08 --locoid 4033 --swversion DE.1.0.9.0 --startMP 204:232969 --initTime 2018-01-08T17:46:15 --startdatetime 2018-01-08T17:57:21 --delay 74 --endMP 204:207 --enddatetime 2018-01-08T18:37:50 --enforcementcount 0 &gt;&gt;%USERPROFILE%\Documents\GitHub\eaglep3-reporting\EC\2018-01-08-refined-times.txt</v>
      </c>
      <c r="AI12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{"issue":{"subject":"","project_id":79,"tracker_id":40,"status_id":1,"priority_id":2,"assigned_to_id":338,"start_date":"2018-01-08","description":"","custom_fields":[{"id":1,"name":"Subdivision","value":"EC"},{"id":4,"name":"Milepost","value":"0.0207"},{"id":17,"name":"Train ID","value":"208-08"},{"id":16,"name":"Locomotive ID","value":"4033"},{"id":130,"name":"Impact","value":""},{"id":150,"name":"Time of Event (Mountain Time)","value":"18:37:50"},{"id":151,"name":"Denver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44"/>
        <v>start /low /b %USERPROFILE%\Documents\GitHub\eaglep3\Utilities\DownloadLogsFromS3.py --loco 4033 --day 2018-01-08</v>
      </c>
      <c r="AN120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6"/>
        <v>https://d0f6bd738d7f1b3e5a7ca70fe4ff75f0.us-east-1.aws.found.io/app/kibana#/discover/Steve-Slow-Train-Analysis-(2080s-and-2083s)?_g=(refreshInterval:(display:Off,pause:!f,section:0,value:0),time:(from:'2018-01-08T16:46:15-0700',mode:absolute,to:'2018-01-08T19:37:50-0700'))&amp;_a=(columns:!('Message%20ID',Summary),filters:!(),index:'emp_*',interval:auto,query:(query_string:(analyze_wildcard:!t,query:'%22rtdc.l.rtdc.4033%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809</v>
      </c>
      <c r="B121" s="225">
        <v>4060</v>
      </c>
      <c r="C121" s="227" t="s">
        <v>191</v>
      </c>
      <c r="D121" s="227" t="s">
        <v>480</v>
      </c>
      <c r="E121" s="226">
        <v>43108.714953703704</v>
      </c>
      <c r="F121" s="226">
        <v>43108.718923611108</v>
      </c>
      <c r="G121" s="225">
        <v>67</v>
      </c>
      <c r="H121" s="227" t="s">
        <v>926</v>
      </c>
      <c r="I121" s="226">
        <v>43108.744039351855</v>
      </c>
      <c r="J121" s="225">
        <v>0</v>
      </c>
      <c r="K121" s="237" t="str">
        <f t="shared" si="28"/>
        <v>4059/4060</v>
      </c>
      <c r="L121" s="245" t="str">
        <f>VLOOKUP(A121,'Trips&amp;Operators'!$C$1:$G$99911,5,FALSE)</f>
        <v>GUZMAN DANNY</v>
      </c>
      <c r="M121" s="224">
        <f t="shared" si="29"/>
        <v>2.5115740747423843E-2</v>
      </c>
      <c r="N121" s="225">
        <f t="shared" si="47"/>
        <v>36.166666676290333</v>
      </c>
      <c r="O121" s="225"/>
      <c r="P121" s="225"/>
      <c r="Q121" s="228"/>
      <c r="R121" s="242"/>
      <c r="S121" s="249">
        <f t="shared" si="48"/>
        <v>1</v>
      </c>
      <c r="T121" s="242" t="str">
        <f t="shared" si="32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3"/>
        <v>https://d0f6bd738d7f1b3e5a7ca70fe4ff75f0.us-east-1.aws.found.io/app/kibana#/discover/Steve-Slow-Train-Analysis-(2080s-and-2083s)?_g=(refreshInterval:(display:Off,pause:!f,section:0,value:0),time:(from:'2018-01-08T16:09:32-0700',mode:absolute,to:'2018-01-08T18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247" t="str">
        <f>IF(AA121&lt;VLOOKUP(AG121,Variables!$AC$3:$AD$8,2,FALSE),"Y","N")</f>
        <v>N</v>
      </c>
      <c r="X121" s="247">
        <f t="shared" si="34"/>
        <v>1</v>
      </c>
      <c r="Y121" s="247">
        <f t="shared" si="49"/>
        <v>4.9799999999999997E-2</v>
      </c>
      <c r="Z121" s="247">
        <f t="shared" si="50"/>
        <v>23.336099999999998</v>
      </c>
      <c r="AA121" s="247">
        <f t="shared" si="37"/>
        <v>23.286299999999997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8"/>
        <v>209</v>
      </c>
      <c r="AE121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21" s="234" t="str">
        <f t="shared" si="40"/>
        <v>"C:\Program Files (x86)\AstroGrep\AstroGrep.exe" /e /r /s /spath="%USERPROFILE%\AppData\Local\Temp\OnboardLogs" /stypes="app*4060*20180109*" /stext=" 00:.+((SYSTEM_STATE.+slice.+state.+changed )|(ment ac)|(multiple cpu faults)|(system.+state.+changed )|(\[timeout)|(PRM\|1\|D)|(kpr)|(kdp)|(train st.+moving)|(\|lc)|(penalty))"</v>
      </c>
      <c r="AG121" s="244" t="str">
        <f t="shared" si="41"/>
        <v>EC</v>
      </c>
      <c r="AH121" s="236" t="str">
        <f t="shared" si="42"/>
        <v>"%USERPROFILE%\Documents\GitHub\eaglep3\Utilities\RefineRTDCRunTimes.py" --tripid 209-08 --locoid 4060 --swversion DE.1.0.9.0 --startMP 204:498 --initTime 2018-01-08T17:09:32 --startdatetime 2018-01-08T17:15:15 --delay 67 --endMP 204:233361 --enddatetime 2018-01-08T17:51:25 --enforcementcount 0 &gt;&gt;%USERPROFILE%\Documents\GitHub\eaglep3-reporting\EC\2018-01-08-refined-times.txt</v>
      </c>
      <c r="AI12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{"issue":{"subject":"","project_id":79,"tracker_id":40,"status_id":1,"priority_id":2,"assigned_to_id":338,"start_date":"2018-01-08","description":"","custom_fields":[{"id":1,"name":"Subdivision","value":"EC"},{"id":4,"name":"Milepost","value":"23.3361"},{"id":17,"name":"Train ID","value":"209-08"},{"id":16,"name":"Locomotive ID","value":"4060"},{"id":130,"name":"Impact","value":""},{"id":150,"name":"Time of Event (Mountain Time)","value":"17:51:25"},{"id":151,"name":"Denver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4"/>
        <v>start /low /b %USERPROFILE%\Documents\GitHub\eaglep3\Utilities\DownloadLogsFromS3.py --loco 4060 --day 2018-01-08</v>
      </c>
      <c r="AN121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6"/>
        <v>https://d0f6bd738d7f1b3e5a7ca70fe4ff75f0.us-east-1.aws.found.io/app/kibana#/discover/Steve-Slow-Train-Analysis-(2080s-and-2083s)?_g=(refreshInterval:(display:Off,pause:!f,section:0,value:0),time:(from:'2018-01-08T16:09:32-0700',mode:absolute,to:'2018-01-08T18:51:25-0700'))&amp;_a=(columns:!('Message%20ID',Summary),filters:!(),index:'emp_*',interval:auto,query:(query_string:(analyze_wildcard:!t,query:'%22rtdc.l.rtdc.4060%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818</v>
      </c>
      <c r="B122" s="225">
        <v>4059</v>
      </c>
      <c r="C122" s="227" t="s">
        <v>191</v>
      </c>
      <c r="D122" s="227" t="s">
        <v>927</v>
      </c>
      <c r="E122" s="226">
        <v>43108.747303240743</v>
      </c>
      <c r="F122" s="226">
        <v>43108.75854166667</v>
      </c>
      <c r="G122" s="225">
        <v>51</v>
      </c>
      <c r="H122" s="227" t="s">
        <v>517</v>
      </c>
      <c r="I122" s="226">
        <v>43108.784918981481</v>
      </c>
      <c r="J122" s="225">
        <v>0</v>
      </c>
      <c r="K122" s="237" t="str">
        <f t="shared" si="28"/>
        <v>4059/4060</v>
      </c>
      <c r="L122" s="245" t="str">
        <f>VLOOKUP(A122,'Trips&amp;Operators'!$C$1:$G$99911,5,FALSE)</f>
        <v>GUZMAN DANNY</v>
      </c>
      <c r="M122" s="224">
        <f t="shared" si="29"/>
        <v>2.6377314810815733E-2</v>
      </c>
      <c r="N122" s="225">
        <f t="shared" si="47"/>
        <v>37.983333327574655</v>
      </c>
      <c r="O122" s="225"/>
      <c r="P122" s="225"/>
      <c r="Q122" s="228"/>
      <c r="R122" s="242"/>
      <c r="S122" s="249">
        <f t="shared" si="48"/>
        <v>1</v>
      </c>
      <c r="T122" s="242" t="str">
        <f t="shared" si="32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3"/>
        <v>https://d0f6bd738d7f1b3e5a7ca70fe4ff75f0.us-east-1.aws.found.io/app/kibana#/discover/Steve-Slow-Train-Analysis-(2080s-and-2083s)?_g=(refreshInterval:(display:Off,pause:!f,section:0,value:0),time:(from:'2018-01-08T16:56:07-0700',mode:absolute,to:'2018-01-08T19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247" t="str">
        <f>IF(AA122&lt;VLOOKUP(AG122,Variables!$AC$3:$AD$8,2,FALSE),"Y","N")</f>
        <v>N</v>
      </c>
      <c r="X122" s="247">
        <f t="shared" si="34"/>
        <v>1</v>
      </c>
      <c r="Y122" s="247">
        <f t="shared" si="49"/>
        <v>23.304300000000001</v>
      </c>
      <c r="Z122" s="247">
        <f t="shared" si="50"/>
        <v>2.4E-2</v>
      </c>
      <c r="AA122" s="247">
        <f t="shared" si="37"/>
        <v>23.2803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8"/>
        <v>210</v>
      </c>
      <c r="AE122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22" s="234" t="str">
        <f t="shared" si="40"/>
        <v>"C:\Program Files (x86)\AstroGrep\AstroGrep.exe" /e /r /s /spath="%USERPROFILE%\AppData\Local\Temp\OnboardLogs" /stypes="app*4059*20180109*" /stext=" 01:.+((SYSTEM_STATE.+slice.+state.+changed )|(ment ac)|(multiple cpu faults)|(system.+state.+changed )|(\[timeout)|(PRM\|1\|D)|(kpr)|(kdp)|(train st.+moving)|(\|lc)|(penalty))"</v>
      </c>
      <c r="AG122" s="244" t="str">
        <f t="shared" si="41"/>
        <v>EC</v>
      </c>
      <c r="AH122" s="236" t="str">
        <f t="shared" si="42"/>
        <v>"%USERPROFILE%\Documents\GitHub\eaglep3\Utilities\RefineRTDCRunTimes.py" --tripid 210-08 --locoid 4059 --swversion DE.1.0.9.0 --startMP 204:233043 --initTime 2018-01-08T17:56:07 --startdatetime 2018-01-08T18:12:18 --delay 51 --endMP 204:240 --enddatetime 2018-01-08T18:50:17 --enforcementcount 0 &gt;&gt;%USERPROFILE%\Documents\GitHub\eaglep3-reporting\EC\2018-01-08-refined-times.txt</v>
      </c>
      <c r="AI12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{"issue":{"subject":"","project_id":79,"tracker_id":40,"status_id":1,"priority_id":2,"assigned_to_id":338,"start_date":"2018-01-08","description":"","custom_fields":[{"id":1,"name":"Subdivision","value":"EC"},{"id":4,"name":"Milepost","value":"0.024"},{"id":17,"name":"Train ID","value":"210-08"},{"id":16,"name":"Locomotive ID","value":"4059"},{"id":130,"name":"Impact","value":""},{"id":150,"name":"Time of Event (Mountain Time)","value":"18:50:17"},{"id":151,"name":"Denver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4"/>
        <v>start /low /b %USERPROFILE%\Documents\GitHub\eaglep3\Utilities\DownloadLogsFromS3.py --loco 4059 --day 2018-01-08</v>
      </c>
      <c r="AN122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6"/>
        <v>https://d0f6bd738d7f1b3e5a7ca70fe4ff75f0.us-east-1.aws.found.io/app/kibana#/discover/Steve-Slow-Train-Analysis-(2080s-and-2083s)?_g=(refreshInterval:(display:Off,pause:!f,section:0,value:0),time:(from:'2018-01-08T16:56:07-0700',mode:absolute,to:'2018-01-08T19:50:17-0700'))&amp;_a=(columns:!('Message%20ID',Summary),filters:!(),index:'emp_*',interval:auto,query:(query_string:(analyze_wildcard:!t,query:'%22rtdc.l.rtdc.4059%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812</v>
      </c>
      <c r="B123" s="225">
        <v>4022</v>
      </c>
      <c r="C123" s="227" t="s">
        <v>191</v>
      </c>
      <c r="D123" s="227" t="s">
        <v>473</v>
      </c>
      <c r="E123" s="226">
        <v>43108.726122685184</v>
      </c>
      <c r="F123" s="226">
        <v>43108.72997685185</v>
      </c>
      <c r="G123" s="225">
        <v>68</v>
      </c>
      <c r="H123" s="227" t="s">
        <v>928</v>
      </c>
      <c r="I123" s="226">
        <v>43108.755254629628</v>
      </c>
      <c r="J123" s="225">
        <v>0</v>
      </c>
      <c r="K123" s="237" t="str">
        <f t="shared" si="28"/>
        <v>4021/4022</v>
      </c>
      <c r="L123" s="245" t="str">
        <f>VLOOKUP(A123,'Trips&amp;Operators'!$C$1:$G$99911,5,FALSE)</f>
        <v>SAFIEF AEIMEN</v>
      </c>
      <c r="M123" s="224">
        <f t="shared" si="29"/>
        <v>2.527777777868323E-2</v>
      </c>
      <c r="N123" s="225">
        <f t="shared" si="47"/>
        <v>36.400000001303852</v>
      </c>
      <c r="O123" s="225"/>
      <c r="P123" s="225"/>
      <c r="Q123" s="228"/>
      <c r="R123" s="242"/>
      <c r="S123" s="249">
        <f t="shared" si="48"/>
        <v>1</v>
      </c>
      <c r="T123" s="242" t="str">
        <f t="shared" si="32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3"/>
        <v>https://d0f6bd738d7f1b3e5a7ca70fe4ff75f0.us-east-1.aws.found.io/app/kibana#/discover/Steve-Slow-Train-Analysis-(2080s-and-2083s)?_g=(refreshInterval:(display:Off,pause:!f,section:0,value:0),time:(from:'2018-01-08T16:25:37-0700',mode:absolute,to:'2018-01-08T19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247" t="str">
        <f>IF(AA123&lt;VLOOKUP(AG123,Variables!$AC$3:$AD$8,2,FALSE),"Y","N")</f>
        <v>N</v>
      </c>
      <c r="X123" s="247">
        <f t="shared" si="34"/>
        <v>1</v>
      </c>
      <c r="Y123" s="247">
        <f t="shared" si="49"/>
        <v>0.05</v>
      </c>
      <c r="Z123" s="247">
        <f t="shared" si="50"/>
        <v>23.3324</v>
      </c>
      <c r="AA123" s="247">
        <f t="shared" si="37"/>
        <v>23.282399999999999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8"/>
        <v>211</v>
      </c>
      <c r="AE123" s="235" t="str">
        <f t="shared" si="39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123" s="234" t="str">
        <f t="shared" si="40"/>
        <v>"C:\Program Files (x86)\AstroGrep\AstroGrep.exe" /e /r /s /spath="%USERPROFILE%\AppData\Local\Temp\OnboardLogs" /stypes="app*4022*20180109*" /stext=" 01:.+((SYSTEM_STATE.+slice.+state.+changed )|(ment ac)|(multiple cpu faults)|(system.+state.+changed )|(\[timeout)|(PRM\|1\|D)|(kpr)|(kdp)|(train st.+moving)|(\|lc)|(penalty))"</v>
      </c>
      <c r="AG123" s="244" t="str">
        <f t="shared" si="41"/>
        <v>EC</v>
      </c>
      <c r="AH123" s="236" t="str">
        <f t="shared" si="42"/>
        <v>"%USERPROFILE%\Documents\GitHub\eaglep3\Utilities\RefineRTDCRunTimes.py" --tripid 211-08 --locoid 4022 --swversion DE.1.0.9.0 --startMP 204:500 --initTime 2018-01-08T17:25:37 --startdatetime 2018-01-08T17:31:10 --delay 68 --endMP 204:233324 --enddatetime 2018-01-08T18:07:34 --enforcementcount 0 &gt;&gt;%USERPROFILE%\Documents\GitHub\eaglep3-reporting\EC\2018-01-08-refined-times.txt</v>
      </c>
      <c r="AI12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{"issue":{"subject":"","project_id":79,"tracker_id":40,"status_id":1,"priority_id":2,"assigned_to_id":338,"start_date":"2018-01-08","description":"","custom_fields":[{"id":1,"name":"Subdivision","value":"EC"},{"id":4,"name":"Milepost","value":"23.3324"},{"id":17,"name":"Train ID","value":"211-08"},{"id":16,"name":"Locomotive ID","value":"4022"},{"id":130,"name":"Impact","value":""},{"id":150,"name":"Time of Event (Mountain Time)","value":"18:07:34"},{"id":151,"name":"Denver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4"/>
        <v>start /low /b %USERPROFILE%\Documents\GitHub\eaglep3\Utilities\DownloadLogsFromS3.py --loco 4022 --day 2018-01-08</v>
      </c>
      <c r="AN123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6"/>
        <v>https://d0f6bd738d7f1b3e5a7ca70fe4ff75f0.us-east-1.aws.found.io/app/kibana#/discover/Steve-Slow-Train-Analysis-(2080s-and-2083s)?_g=(refreshInterval:(display:Off,pause:!f,section:0,value:0),time:(from:'2018-01-08T16:25:37-0700',mode:absolute,to:'2018-01-08T19:07:34-0700'))&amp;_a=(columns:!('Message%20ID',Summary),filters:!(),index:'emp_*',interval:auto,query:(query_string:(analyze_wildcard:!t,query:'%22rtdc.l.rtdc.4022%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29" t="s">
        <v>822</v>
      </c>
      <c r="B124" s="225">
        <v>4021</v>
      </c>
      <c r="C124" s="227" t="s">
        <v>191</v>
      </c>
      <c r="D124" s="227" t="s">
        <v>907</v>
      </c>
      <c r="E124" s="226">
        <v>43108.758877314816</v>
      </c>
      <c r="F124" s="226">
        <v>43108.769074074073</v>
      </c>
      <c r="G124" s="225">
        <v>72</v>
      </c>
      <c r="H124" s="227" t="s">
        <v>461</v>
      </c>
      <c r="I124" s="226">
        <v>43108.795902777776</v>
      </c>
      <c r="J124" s="225">
        <v>0</v>
      </c>
      <c r="K124" s="237" t="str">
        <f t="shared" si="28"/>
        <v>4021/4022</v>
      </c>
      <c r="L124" s="245" t="str">
        <f>VLOOKUP(A124,'Trips&amp;Operators'!$C$1:$G$99911,5,FALSE)</f>
        <v>SAFIEF AEIMEN</v>
      </c>
      <c r="M124" s="224">
        <f t="shared" si="29"/>
        <v>2.6828703703358769E-2</v>
      </c>
      <c r="N124" s="225">
        <f t="shared" si="47"/>
        <v>38.633333332836628</v>
      </c>
      <c r="O124" s="225"/>
      <c r="P124" s="225"/>
      <c r="Q124" s="228"/>
      <c r="R124" s="242"/>
      <c r="S124" s="249">
        <f t="shared" si="48"/>
        <v>1</v>
      </c>
      <c r="T124" s="242" t="str">
        <f t="shared" si="32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3"/>
        <v>https://d0f6bd738d7f1b3e5a7ca70fe4ff75f0.us-east-1.aws.found.io/app/kibana#/discover/Steve-Slow-Train-Analysis-(2080s-and-2083s)?_g=(refreshInterval:(display:Off,pause:!f,section:0,value:0),time:(from:'2018-01-08T17:12:47-0700',mode:absolute,to:'2018-01-08T20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247" t="str">
        <f>IF(AA124&lt;VLOOKUP(AG124,Variables!$AC$3:$AD$8,2,FALSE),"Y","N")</f>
        <v>N</v>
      </c>
      <c r="X124" s="247">
        <f t="shared" si="34"/>
        <v>1</v>
      </c>
      <c r="Y124" s="247">
        <f t="shared" si="49"/>
        <v>23.301300000000001</v>
      </c>
      <c r="Z124" s="247">
        <f t="shared" si="50"/>
        <v>2.01E-2</v>
      </c>
      <c r="AA124" s="247">
        <f t="shared" si="37"/>
        <v>23.281200000000002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8"/>
        <v>212</v>
      </c>
      <c r="AE124" s="235" t="str">
        <f t="shared" si="39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124" s="234" t="str">
        <f t="shared" si="40"/>
        <v>"C:\Program Files (x86)\AstroGrep\AstroGrep.exe" /e /r /s /spath="%USERPROFILE%\AppData\Local\Temp\OnboardLogs" /stypes="app*4021*20180109*" /stext=" 02:.+((SYSTEM_STATE.+slice.+state.+changed )|(ment ac)|(multiple cpu faults)|(system.+state.+changed )|(\[timeout)|(PRM\|1\|D)|(kpr)|(kdp)|(train st.+moving)|(\|lc)|(penalty))"</v>
      </c>
      <c r="AG124" s="244" t="str">
        <f t="shared" si="41"/>
        <v>EC</v>
      </c>
      <c r="AH124" s="236" t="str">
        <f t="shared" si="42"/>
        <v>"%USERPROFILE%\Documents\GitHub\eaglep3\Utilities\RefineRTDCRunTimes.py" --tripid 212-08 --locoid 4021 --swversion DE.1.0.9.0 --startMP 204:233013 --initTime 2018-01-08T18:12:47 --startdatetime 2018-01-08T18:27:28 --delay 72 --endMP 204:201 --enddatetime 2018-01-08T19:06:06 --enforcementcount 0 &gt;&gt;%USERPROFILE%\Documents\GitHub\eaglep3-reporting\EC\2018-01-08-refined-times.txt</v>
      </c>
      <c r="AI12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{"issue":{"subject":"","project_id":79,"tracker_id":40,"status_id":1,"priority_id":2,"assigned_to_id":338,"start_date":"2018-01-08","description":"","custom_fields":[{"id":1,"name":"Subdivision","value":"EC"},{"id":4,"name":"Milepost","value":"0.0201"},{"id":17,"name":"Train ID","value":"212-08"},{"id":16,"name":"Locomotive ID","value":"4021"},{"id":130,"name":"Impact","value":""},{"id":150,"name":"Time of Event (Mountain Time)","value":"19:06:06"},{"id":151,"name":"Denver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44"/>
        <v>start /low /b %USERPROFILE%\Documents\GitHub\eaglep3\Utilities\DownloadLogsFromS3.py --loco 4021 --day 2018-01-08</v>
      </c>
      <c r="AN124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6"/>
        <v>https://d0f6bd738d7f1b3e5a7ca70fe4ff75f0.us-east-1.aws.found.io/app/kibana#/discover/Steve-Slow-Train-Analysis-(2080s-and-2083s)?_g=(refreshInterval:(display:Off,pause:!f,section:0,value:0),time:(from:'2018-01-08T17:12:47-0700',mode:absolute,to:'2018-01-08T20:06:06-0700'))&amp;_a=(columns:!('Message%20ID',Summary),filters:!(),index:'emp_*',interval:auto,query:(query_string:(analyze_wildcard:!t,query:'%22rtdc.l.rtdc.4021%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9" t="s">
        <v>815</v>
      </c>
      <c r="B125" s="225">
        <v>4044</v>
      </c>
      <c r="C125" s="227" t="s">
        <v>191</v>
      </c>
      <c r="D125" s="227" t="s">
        <v>602</v>
      </c>
      <c r="E125" s="226">
        <v>43108.73777777778</v>
      </c>
      <c r="F125" s="226">
        <v>43108.739814814813</v>
      </c>
      <c r="G125" s="225">
        <v>82</v>
      </c>
      <c r="H125" s="227" t="s">
        <v>594</v>
      </c>
      <c r="I125" s="226">
        <v>43108.763865740744</v>
      </c>
      <c r="J125" s="225">
        <v>0</v>
      </c>
      <c r="K125" s="237" t="str">
        <f t="shared" si="28"/>
        <v>4043/4044</v>
      </c>
      <c r="L125" s="245" t="str">
        <f>VLOOKUP(A125,'Trips&amp;Operators'!$C$1:$G$99911,5,FALSE)</f>
        <v>LOZA FIDEL</v>
      </c>
      <c r="M125" s="224">
        <f t="shared" si="29"/>
        <v>2.4050925931078382E-2</v>
      </c>
      <c r="N125" s="225">
        <f t="shared" si="47"/>
        <v>34.63333334075287</v>
      </c>
      <c r="O125" s="225"/>
      <c r="P125" s="225"/>
      <c r="Q125" s="228"/>
      <c r="R125" s="242"/>
      <c r="S125" s="249">
        <f t="shared" si="48"/>
        <v>1</v>
      </c>
      <c r="T125" s="242" t="str">
        <f t="shared" si="32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3"/>
        <v>https://d0f6bd738d7f1b3e5a7ca70fe4ff75f0.us-east-1.aws.found.io/app/kibana#/discover/Steve-Slow-Train-Analysis-(2080s-and-2083s)?_g=(refreshInterval:(display:Off,pause:!f,section:0,value:0),time:(from:'2018-01-08T16:42:24-0700',mode:absolute,to:'2018-01-08T19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247" t="str">
        <f>IF(AA125&lt;VLOOKUP(AG125,Variables!$AC$3:$AD$8,2,FALSE),"Y","N")</f>
        <v>N</v>
      </c>
      <c r="X125" s="247">
        <f t="shared" si="34"/>
        <v>1</v>
      </c>
      <c r="Y125" s="247">
        <f t="shared" si="49"/>
        <v>5.0599999999999999E-2</v>
      </c>
      <c r="Z125" s="247">
        <f t="shared" si="50"/>
        <v>23.3306</v>
      </c>
      <c r="AA125" s="247">
        <f t="shared" si="37"/>
        <v>23.28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8"/>
        <v>213</v>
      </c>
      <c r="AE125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25" s="234" t="str">
        <f t="shared" si="40"/>
        <v>"C:\Program Files (x86)\AstroGrep\AstroGrep.exe" /e /r /s /spath="%USERPROFILE%\AppData\Local\Temp\OnboardLogs" /stypes="app*4044*20180109*" /stext=" 01:.+((SYSTEM_STATE.+slice.+state.+changed )|(ment ac)|(multiple cpu faults)|(system.+state.+changed )|(\[timeout)|(PRM\|1\|D)|(kpr)|(kdp)|(train st.+moving)|(\|lc)|(penalty))"</v>
      </c>
      <c r="AG125" s="244" t="str">
        <f t="shared" si="41"/>
        <v>EC</v>
      </c>
      <c r="AH125" s="236" t="str">
        <f t="shared" si="42"/>
        <v>"%USERPROFILE%\Documents\GitHub\eaglep3\Utilities\RefineRTDCRunTimes.py" --tripid 213-08 --locoid 4044 --swversion DE.1.0.9.0 --startMP 204:506 --initTime 2018-01-08T17:42:24 --startdatetime 2018-01-08T17:45:20 --delay 82 --endMP 204:233306 --enddatetime 2018-01-08T18:19:58 --enforcementcount 0 &gt;&gt;%USERPROFILE%\Documents\GitHub\eaglep3-reporting\EC\2018-01-08-refined-times.txt</v>
      </c>
      <c r="AI12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{"issue":{"subject":"","project_id":79,"tracker_id":40,"status_id":1,"priority_id":2,"assigned_to_id":338,"start_date":"2018-01-08","description":"","custom_fields":[{"id":1,"name":"Subdivision","value":"EC"},{"id":4,"name":"Milepost","value":"23.3306"},{"id":17,"name":"Train ID","value":"213-08"},{"id":16,"name":"Locomotive ID","value":"4044"},{"id":130,"name":"Impact","value":""},{"id":150,"name":"Time of Event (Mountain Time)","value":"18:19:58"},{"id":151,"name":"Denver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44"/>
        <v>start /low /b %USERPROFILE%\Documents\GitHub\eaglep3\Utilities\DownloadLogsFromS3.py --loco 4044 --day 2018-01-08</v>
      </c>
      <c r="AN125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6"/>
        <v>https://d0f6bd738d7f1b3e5a7ca70fe4ff75f0.us-east-1.aws.found.io/app/kibana#/discover/Steve-Slow-Train-Analysis-(2080s-and-2083s)?_g=(refreshInterval:(display:Off,pause:!f,section:0,value:0),time:(from:'2018-01-08T16:42:24-0700',mode:absolute,to:'2018-01-08T19:19:58-0700'))&amp;_a=(columns:!('Message%20ID',Summary),filters:!(),index:'emp_*',interval:auto,query:(query_string:(analyze_wildcard:!t,query:'%22rtdc.l.rtdc.4044%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826</v>
      </c>
      <c r="B126" s="225">
        <v>4043</v>
      </c>
      <c r="C126" s="227" t="s">
        <v>191</v>
      </c>
      <c r="D126" s="227" t="s">
        <v>883</v>
      </c>
      <c r="E126" s="226">
        <v>43108.774756944447</v>
      </c>
      <c r="F126" s="226">
        <v>43108.779444444444</v>
      </c>
      <c r="G126" s="225">
        <v>143</v>
      </c>
      <c r="H126" s="227" t="s">
        <v>461</v>
      </c>
      <c r="I126" s="226">
        <v>43108.805185185185</v>
      </c>
      <c r="J126" s="225">
        <v>0</v>
      </c>
      <c r="K126" s="237" t="str">
        <f t="shared" si="28"/>
        <v>4043/4044</v>
      </c>
      <c r="L126" s="245" t="str">
        <f>VLOOKUP(A126,'Trips&amp;Operators'!$C$1:$G$99911,5,FALSE)</f>
        <v>LOZA FIDEL</v>
      </c>
      <c r="M126" s="224">
        <f t="shared" si="29"/>
        <v>2.5740740740729962E-2</v>
      </c>
      <c r="N126" s="225">
        <f t="shared" si="47"/>
        <v>37.066666666651145</v>
      </c>
      <c r="O126" s="225"/>
      <c r="P126" s="225"/>
      <c r="Q126" s="228"/>
      <c r="R126" s="242"/>
      <c r="S126" s="249">
        <f t="shared" si="48"/>
        <v>1</v>
      </c>
      <c r="T126" s="242" t="str">
        <f t="shared" si="32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3"/>
        <v>https://d0f6bd738d7f1b3e5a7ca70fe4ff75f0.us-east-1.aws.found.io/app/kibana#/discover/Steve-Slow-Train-Analysis-(2080s-and-2083s)?_g=(refreshInterval:(display:Off,pause:!f,section:0,value:0),time:(from:'2018-01-08T17:35:39-0700',mode:absolute,to:'2018-01-08T20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247" t="str">
        <f>IF(AA126&lt;VLOOKUP(AG126,Variables!$AC$3:$AD$8,2,FALSE),"Y","N")</f>
        <v>N</v>
      </c>
      <c r="X126" s="247">
        <f t="shared" si="34"/>
        <v>1</v>
      </c>
      <c r="Y126" s="247">
        <f t="shared" si="49"/>
        <v>23.298500000000001</v>
      </c>
      <c r="Z126" s="247">
        <f t="shared" si="50"/>
        <v>2.01E-2</v>
      </c>
      <c r="AA126" s="247">
        <f t="shared" si="37"/>
        <v>23.278400000000001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8"/>
        <v>214</v>
      </c>
      <c r="AE126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26" s="234" t="str">
        <f t="shared" si="40"/>
        <v>"C:\Program Files (x86)\AstroGrep\AstroGrep.exe" /e /r /s /spath="%USERPROFILE%\AppData\Local\Temp\OnboardLogs" /stypes="app*4043*20180109*" /stext=" 02:.+((SYSTEM_STATE.+slice.+state.+changed )|(ment ac)|(multiple cpu faults)|(system.+state.+changed )|(\[timeout)|(PRM\|1\|D)|(kpr)|(kdp)|(train st.+moving)|(\|lc)|(penalty))"</v>
      </c>
      <c r="AG126" s="244" t="str">
        <f t="shared" si="41"/>
        <v>EC</v>
      </c>
      <c r="AH126" s="236" t="str">
        <f t="shared" si="42"/>
        <v>"%USERPROFILE%\Documents\GitHub\eaglep3\Utilities\RefineRTDCRunTimes.py" --tripid 214-08 --locoid 4043 --swversion DE.1.0.9.0 --startMP 204:232985 --initTime 2018-01-08T18:35:39 --startdatetime 2018-01-08T18:42:24 --delay 143 --endMP 204:201 --enddatetime 2018-01-08T19:19:28 --enforcementcount 0 &gt;&gt;%USERPROFILE%\Documents\GitHub\eaglep3-reporting\EC\2018-01-08-refined-times.txt</v>
      </c>
      <c r="AI12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{"issue":{"subject":"","project_id":79,"tracker_id":40,"status_id":1,"priority_id":2,"assigned_to_id":338,"start_date":"2018-01-08","description":"","custom_fields":[{"id":1,"name":"Subdivision","value":"EC"},{"id":4,"name":"Milepost","value":"0.0201"},{"id":17,"name":"Train ID","value":"214-08"},{"id":16,"name":"Locomotive ID","value":"4043"},{"id":130,"name":"Impact","value":""},{"id":150,"name":"Time of Event (Mountain Time)","value":"19:19:28"},{"id":151,"name":"Denver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44"/>
        <v>start /low /b %USERPROFILE%\Documents\GitHub\eaglep3\Utilities\DownloadLogsFromS3.py --loco 4043 --day 2018-01-08</v>
      </c>
      <c r="AN126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6"/>
        <v>https://d0f6bd738d7f1b3e5a7ca70fe4ff75f0.us-east-1.aws.found.io/app/kibana#/discover/Steve-Slow-Train-Analysis-(2080s-and-2083s)?_g=(refreshInterval:(display:Off,pause:!f,section:0,value:0),time:(from:'2018-01-08T17:35:39-0700',mode:absolute,to:'2018-01-08T20:19:28-0700'))&amp;_a=(columns:!('Message%20ID',Summary),filters:!(),index:'emp_*',interval:auto,query:(query_string:(analyze_wildcard:!t,query:'%22rtdc.l.rtdc.4043%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817</v>
      </c>
      <c r="B127" s="225">
        <v>4054</v>
      </c>
      <c r="C127" s="227" t="s">
        <v>191</v>
      </c>
      <c r="D127" s="227" t="s">
        <v>473</v>
      </c>
      <c r="E127" s="226">
        <v>43108.744884259257</v>
      </c>
      <c r="F127" s="226">
        <v>43108.75209490741</v>
      </c>
      <c r="G127" s="225">
        <v>78</v>
      </c>
      <c r="H127" s="227" t="s">
        <v>929</v>
      </c>
      <c r="I127" s="226">
        <v>43108.776898148149</v>
      </c>
      <c r="J127" s="225">
        <v>0</v>
      </c>
      <c r="K127" s="237" t="str">
        <f t="shared" si="28"/>
        <v>4053/4054</v>
      </c>
      <c r="L127" s="245" t="str">
        <f>VLOOKUP(A127,'Trips&amp;Operators'!$C$1:$G$99911,5,FALSE)</f>
        <v>KILLION DAVID</v>
      </c>
      <c r="M127" s="224">
        <f t="shared" si="29"/>
        <v>2.4803240739856847E-2</v>
      </c>
      <c r="N127" s="225">
        <f t="shared" si="47"/>
        <v>35.716666665393859</v>
      </c>
      <c r="O127" s="225"/>
      <c r="P127" s="225"/>
      <c r="Q127" s="228"/>
      <c r="R127" s="242"/>
      <c r="S127" s="249">
        <f t="shared" si="48"/>
        <v>1</v>
      </c>
      <c r="T127" s="242" t="str">
        <f t="shared" si="32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3"/>
        <v>https://d0f6bd738d7f1b3e5a7ca70fe4ff75f0.us-east-1.aws.found.io/app/kibana#/discover/Steve-Slow-Train-Analysis-(2080s-and-2083s)?_g=(refreshInterval:(display:Off,pause:!f,section:0,value:0),time:(from:'2018-01-08T16:52:38-0700',mode:absolute,to:'2018-01-08T19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7" s="247" t="str">
        <f>IF(AA127&lt;VLOOKUP(AG127,Variables!$AC$3:$AD$8,2,FALSE),"Y","N")</f>
        <v>N</v>
      </c>
      <c r="X127" s="247">
        <f t="shared" si="34"/>
        <v>1</v>
      </c>
      <c r="Y127" s="247">
        <f t="shared" si="49"/>
        <v>0.05</v>
      </c>
      <c r="Z127" s="247">
        <f t="shared" si="50"/>
        <v>23.322800000000001</v>
      </c>
      <c r="AA127" s="247">
        <f t="shared" si="37"/>
        <v>23.2728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8"/>
        <v>215</v>
      </c>
      <c r="AE127" s="235" t="str">
        <f t="shared" si="39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127" s="234" t="str">
        <f t="shared" si="40"/>
        <v>"C:\Program Files (x86)\AstroGrep\AstroGrep.exe" /e /r /s /spath="%USERPROFILE%\AppData\Local\Temp\OnboardLogs" /stypes="app*4054*20180109*" /stext=" 01:.+((SYSTEM_STATE.+slice.+state.+changed )|(ment ac)|(multiple cpu faults)|(system.+state.+changed )|(\[timeout)|(PRM\|1\|D)|(kpr)|(kdp)|(train st.+moving)|(\|lc)|(penalty))"</v>
      </c>
      <c r="AG127" s="244" t="str">
        <f t="shared" si="41"/>
        <v>EC</v>
      </c>
      <c r="AH127" s="236" t="str">
        <f t="shared" si="42"/>
        <v>"%USERPROFILE%\Documents\GitHub\eaglep3\Utilities\RefineRTDCRunTimes.py" --tripid 215-08 --locoid 4054 --swversion DE.1.0.9.0 --startMP 204:500 --initTime 2018-01-08T17:52:38 --startdatetime 2018-01-08T18:03:01 --delay 78 --endMP 204:233228 --enddatetime 2018-01-08T18:38:44 --enforcementcount 0 &gt;&gt;%USERPROFILE%\Documents\GitHub\eaglep3-reporting\EC\2018-01-08-refined-times.txt</v>
      </c>
      <c r="AI12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{"issue":{"subject":"","project_id":79,"tracker_id":40,"status_id":1,"priority_id":2,"assigned_to_id":338,"start_date":"2018-01-08","description":"","custom_fields":[{"id":1,"name":"Subdivision","value":"EC"},{"id":4,"name":"Milepost","value":"23.3228"},{"id":17,"name":"Train ID","value":"215-08"},{"id":16,"name":"Locomotive ID","value":"4054"},{"id":130,"name":"Impact","value":""},{"id":150,"name":"Time of Event (Mountain Time)","value":"18:38:44"},{"id":151,"name":"Denver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44"/>
        <v>start /low /b %USERPROFILE%\Documents\GitHub\eaglep3\Utilities\DownloadLogsFromS3.py --loco 4054 --day 2018-01-08</v>
      </c>
      <c r="AN127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6"/>
        <v>https://d0f6bd738d7f1b3e5a7ca70fe4ff75f0.us-east-1.aws.found.io/app/kibana#/discover/Steve-Slow-Train-Analysis-(2080s-and-2083s)?_g=(refreshInterval:(display:Off,pause:!f,section:0,value:0),time:(from:'2018-01-08T16:52:38-0700',mode:absolute,to:'2018-01-08T19:38:44-0700'))&amp;_a=(columns:!('Message%20ID',Summary),filters:!(),index:'emp_*',interval:auto,query:(query_string:(analyze_wildcard:!t,query:'%22rtdc.l.rtdc.4054%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828</v>
      </c>
      <c r="B128" s="225">
        <v>4053</v>
      </c>
      <c r="C128" s="227" t="s">
        <v>191</v>
      </c>
      <c r="D128" s="227" t="s">
        <v>930</v>
      </c>
      <c r="E128" s="226">
        <v>43108.781944444447</v>
      </c>
      <c r="F128" s="226">
        <v>43108.790092592593</v>
      </c>
      <c r="G128" s="225">
        <v>69</v>
      </c>
      <c r="H128" s="227" t="s">
        <v>931</v>
      </c>
      <c r="I128" s="226">
        <v>43108.815775462965</v>
      </c>
      <c r="J128" s="225">
        <v>0</v>
      </c>
      <c r="K128" s="237" t="str">
        <f t="shared" si="28"/>
        <v>4053/4054</v>
      </c>
      <c r="L128" s="245" t="str">
        <f>VLOOKUP(A128,'Trips&amp;Operators'!$C$1:$G$99911,5,FALSE)</f>
        <v>KILLION DAVID</v>
      </c>
      <c r="M128" s="224">
        <f t="shared" si="29"/>
        <v>2.5682870371383615E-2</v>
      </c>
      <c r="N128" s="225">
        <f t="shared" si="47"/>
        <v>36.983333334792405</v>
      </c>
      <c r="O128" s="225"/>
      <c r="P128" s="225"/>
      <c r="Q128" s="228"/>
      <c r="R128" s="242"/>
      <c r="S128" s="249">
        <f t="shared" si="48"/>
        <v>1</v>
      </c>
      <c r="T128" s="242" t="str">
        <f t="shared" si="32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3"/>
        <v>https://d0f6bd738d7f1b3e5a7ca70fe4ff75f0.us-east-1.aws.found.io/app/kibana#/discover/Steve-Slow-Train-Analysis-(2080s-and-2083s)?_g=(refreshInterval:(display:Off,pause:!f,section:0,value:0),time:(from:'2018-01-08T17:46:00-0700',mode:absolute,to:'2018-01-08T20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8" s="247" t="str">
        <f>IF(AA128&lt;VLOOKUP(AG128,Variables!$AC$3:$AD$8,2,FALSE),"Y","N")</f>
        <v>N</v>
      </c>
      <c r="X128" s="247">
        <f t="shared" si="34"/>
        <v>1</v>
      </c>
      <c r="Y128" s="247">
        <f t="shared" si="49"/>
        <v>23.294799999999999</v>
      </c>
      <c r="Z128" s="247">
        <f t="shared" si="50"/>
        <v>2.2700000000000001E-2</v>
      </c>
      <c r="AA128" s="247">
        <f t="shared" si="37"/>
        <v>23.272099999999998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8"/>
        <v>216</v>
      </c>
      <c r="AE128" s="235" t="str">
        <f t="shared" si="39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128" s="234" t="str">
        <f t="shared" si="40"/>
        <v>"C:\Program Files (x86)\AstroGrep\AstroGrep.exe" /e /r /s /spath="%USERPROFILE%\AppData\Local\Temp\OnboardLogs" /stypes="app*4053*20180109*" /stext=" 02:.+((SYSTEM_STATE.+slice.+state.+changed )|(ment ac)|(multiple cpu faults)|(system.+state.+changed )|(\[timeout)|(PRM\|1\|D)|(kpr)|(kdp)|(train st.+moving)|(\|lc)|(penalty))"</v>
      </c>
      <c r="AG128" s="244" t="str">
        <f t="shared" si="41"/>
        <v>EC</v>
      </c>
      <c r="AH128" s="236" t="str">
        <f t="shared" si="42"/>
        <v>"%USERPROFILE%\Documents\GitHub\eaglep3\Utilities\RefineRTDCRunTimes.py" --tripid 216-08 --locoid 4053 --swversion DE.1.0.9.0 --startMP 204:232948 --initTime 2018-01-08T18:46:00 --startdatetime 2018-01-08T18:57:44 --delay 69 --endMP 204:227 --enddatetime 2018-01-08T19:34:43 --enforcementcount 0 &gt;&gt;%USERPROFILE%\Documents\GitHub\eaglep3-reporting\EC\2018-01-08-refined-times.txt</v>
      </c>
      <c r="AI12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{"issue":{"subject":"","project_id":79,"tracker_id":40,"status_id":1,"priority_id":2,"assigned_to_id":338,"start_date":"2018-01-08","description":"","custom_fields":[{"id":1,"name":"Subdivision","value":"EC"},{"id":4,"name":"Milepost","value":"0.0227"},{"id":17,"name":"Train ID","value":"216-08"},{"id":16,"name":"Locomotive ID","value":"4053"},{"id":130,"name":"Impact","value":""},{"id":150,"name":"Time of Event (Mountain Time)","value":"19:34:43"},{"id":151,"name":"Denver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4"/>
        <v>start /low /b %USERPROFILE%\Documents\GitHub\eaglep3\Utilities\DownloadLogsFromS3.py --loco 4053 --day 2018-01-08</v>
      </c>
      <c r="AN128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6"/>
        <v>https://d0f6bd738d7f1b3e5a7ca70fe4ff75f0.us-east-1.aws.found.io/app/kibana#/discover/Steve-Slow-Train-Analysis-(2080s-and-2083s)?_g=(refreshInterval:(display:Off,pause:!f,section:0,value:0),time:(from:'2018-01-08T17:46:00-0700',mode:absolute,to:'2018-01-08T20:34:43-0700'))&amp;_a=(columns:!('Message%20ID',Summary),filters:!(),index:'emp_*',interval:auto,query:(query_string:(analyze_wildcard:!t,query:'%22rtdc.l.rtdc.4053%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821</v>
      </c>
      <c r="B129" s="225">
        <v>4026</v>
      </c>
      <c r="C129" s="227" t="s">
        <v>191</v>
      </c>
      <c r="D129" s="227" t="s">
        <v>593</v>
      </c>
      <c r="E129" s="226">
        <v>43108.758715277778</v>
      </c>
      <c r="F129" s="226">
        <v>43108.760648148149</v>
      </c>
      <c r="G129" s="225">
        <v>65</v>
      </c>
      <c r="H129" s="227" t="s">
        <v>932</v>
      </c>
      <c r="I129" s="226">
        <v>43108.78564814815</v>
      </c>
      <c r="J129" s="225">
        <v>0</v>
      </c>
      <c r="K129" s="237" t="str">
        <f t="shared" si="28"/>
        <v>4025/4026</v>
      </c>
      <c r="L129" s="245" t="str">
        <f>VLOOKUP(A129,'Trips&amp;Operators'!$C$1:$G$99911,5,FALSE)</f>
        <v>RESPASS AARON</v>
      </c>
      <c r="M129" s="224">
        <f t="shared" si="29"/>
        <v>2.5000000001455192E-2</v>
      </c>
      <c r="N129" s="225">
        <f t="shared" si="47"/>
        <v>36.000000002095476</v>
      </c>
      <c r="O129" s="225"/>
      <c r="P129" s="225"/>
      <c r="Q129" s="228"/>
      <c r="R129" s="242"/>
      <c r="S129" s="249">
        <f t="shared" si="48"/>
        <v>1</v>
      </c>
      <c r="T129" s="242" t="str">
        <f t="shared" si="32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3"/>
        <v>https://d0f6bd738d7f1b3e5a7ca70fe4ff75f0.us-east-1.aws.found.io/app/kibana#/discover/Steve-Slow-Train-Analysis-(2080s-and-2083s)?_g=(refreshInterval:(display:Off,pause:!f,section:0,value:0),time:(from:'2018-01-08T17:12:33-0700',mode:absolute,to:'2018-01-08T19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247" t="str">
        <f>IF(AA129&lt;VLOOKUP(AG129,Variables!$AC$3:$AD$8,2,FALSE),"Y","N")</f>
        <v>N</v>
      </c>
      <c r="X129" s="247">
        <f t="shared" si="34"/>
        <v>1</v>
      </c>
      <c r="Y129" s="247">
        <f t="shared" si="49"/>
        <v>5.3699999999999998E-2</v>
      </c>
      <c r="Z129" s="247">
        <f t="shared" si="50"/>
        <v>23.3249</v>
      </c>
      <c r="AA129" s="247">
        <f t="shared" si="37"/>
        <v>23.2712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8"/>
        <v>217</v>
      </c>
      <c r="AE129" s="235" t="str">
        <f t="shared" si="39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29" s="234" t="str">
        <f t="shared" si="40"/>
        <v>"C:\Program Files (x86)\AstroGrep\AstroGrep.exe" /e /r /s /spath="%USERPROFILE%\AppData\Local\Temp\OnboardLogs" /stypes="app*4026*20180109*" /stext=" 01:.+((SYSTEM_STATE.+slice.+state.+changed )|(ment ac)|(multiple cpu faults)|(system.+state.+changed )|(\[timeout)|(PRM\|1\|D)|(kpr)|(kdp)|(train st.+moving)|(\|lc)|(penalty))"</v>
      </c>
      <c r="AG129" s="244" t="str">
        <f t="shared" si="41"/>
        <v>EC</v>
      </c>
      <c r="AH129" s="236" t="str">
        <f t="shared" si="42"/>
        <v>"%USERPROFILE%\Documents\GitHub\eaglep3\Utilities\RefineRTDCRunTimes.py" --tripid 217-08 --locoid 4026 --swversion DE.1.0.9.0 --startMP 204:537 --initTime 2018-01-08T18:12:33 --startdatetime 2018-01-08T18:15:20 --delay 65 --endMP 204:233249 --enddatetime 2018-01-08T18:51:20 --enforcementcount 0 &gt;&gt;%USERPROFILE%\Documents\GitHub\eaglep3-reporting\EC\2018-01-08-refined-times.txt</v>
      </c>
      <c r="AI12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{"issue":{"subject":"","project_id":79,"tracker_id":40,"status_id":1,"priority_id":2,"assigned_to_id":338,"start_date":"2018-01-08","description":"","custom_fields":[{"id":1,"name":"Subdivision","value":"EC"},{"id":4,"name":"Milepost","value":"23.3249"},{"id":17,"name":"Train ID","value":"217-08"},{"id":16,"name":"Locomotive ID","value":"4026"},{"id":130,"name":"Impact","value":""},{"id":150,"name":"Time of Event (Mountain Time)","value":"18:51:20"},{"id":151,"name":"Denver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44"/>
        <v>start /low /b %USERPROFILE%\Documents\GitHub\eaglep3\Utilities\DownloadLogsFromS3.py --loco 4026 --day 2018-01-08</v>
      </c>
      <c r="AN129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6"/>
        <v>https://d0f6bd738d7f1b3e5a7ca70fe4ff75f0.us-east-1.aws.found.io/app/kibana#/discover/Steve-Slow-Train-Analysis-(2080s-and-2083s)?_g=(refreshInterval:(display:Off,pause:!f,section:0,value:0),time:(from:'2018-01-08T17:12:33-0700',mode:absolute,to:'2018-01-08T19:51:20-0700'))&amp;_a=(columns:!('Message%20ID',Summary),filters:!(),index:'emp_*',interval:auto,query:(query_string:(analyze_wildcard:!t,query:'%22rtdc.l.rtdc.4026%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635</v>
      </c>
      <c r="B130" s="225">
        <v>4025</v>
      </c>
      <c r="C130" s="227" t="s">
        <v>191</v>
      </c>
      <c r="D130" s="227" t="s">
        <v>898</v>
      </c>
      <c r="E130" s="226">
        <v>43108.788344907407</v>
      </c>
      <c r="F130" s="226">
        <v>43108.800185185188</v>
      </c>
      <c r="G130" s="225">
        <v>108</v>
      </c>
      <c r="H130" s="227" t="s">
        <v>933</v>
      </c>
      <c r="I130" s="226">
        <v>43108.826516203706</v>
      </c>
      <c r="J130" s="225">
        <v>0</v>
      </c>
      <c r="K130" s="237" t="str">
        <f t="shared" si="28"/>
        <v>4025/4026</v>
      </c>
      <c r="L130" s="245" t="str">
        <f>VLOOKUP(A130,'Trips&amp;Operators'!$C$1:$G$99911,5,FALSE)</f>
        <v>RESPASS AARON</v>
      </c>
      <c r="M130" s="224">
        <f t="shared" si="29"/>
        <v>2.6331018518249039E-2</v>
      </c>
      <c r="N130" s="225">
        <f t="shared" si="47"/>
        <v>37.916666666278616</v>
      </c>
      <c r="O130" s="225"/>
      <c r="P130" s="225"/>
      <c r="Q130" s="228"/>
      <c r="R130" s="242"/>
      <c r="S130" s="249">
        <f t="shared" si="48"/>
        <v>1</v>
      </c>
      <c r="T130" s="242" t="str">
        <f t="shared" si="32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3"/>
        <v>https://d0f6bd738d7f1b3e5a7ca70fe4ff75f0.us-east-1.aws.found.io/app/kibana#/discover/Steve-Slow-Train-Analysis-(2080s-and-2083s)?_g=(refreshInterval:(display:Off,pause:!f,section:0,value:0),time:(from:'2018-01-08T17:55:13-0700',mode:absolute,to:'2018-01-08T20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247" t="str">
        <f>IF(AA130&lt;VLOOKUP(AG130,Variables!$AC$3:$AD$8,2,FALSE),"Y","N")</f>
        <v>N</v>
      </c>
      <c r="X130" s="247">
        <f t="shared" si="34"/>
        <v>1</v>
      </c>
      <c r="Y130" s="247">
        <f t="shared" si="49"/>
        <v>23.294499999999999</v>
      </c>
      <c r="Z130" s="247">
        <f t="shared" si="50"/>
        <v>2.5399999999999999E-2</v>
      </c>
      <c r="AA130" s="247">
        <f t="shared" si="37"/>
        <v>23.269099999999998</v>
      </c>
      <c r="AB130" s="233" t="str">
        <f>VLOOKUP(A130,Enforcements!$C$7:$K$9,8,0)</f>
        <v>Bulletin (2)</v>
      </c>
      <c r="AC130" s="232" t="str">
        <f>VLOOKUP(A130,Enforcements!$C$7:$E$9,3,0)</f>
        <v>GRADE CROSSING</v>
      </c>
      <c r="AD130" s="243">
        <f t="shared" si="38"/>
        <v>218</v>
      </c>
      <c r="AE130" s="235" t="str">
        <f t="shared" si="39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30" s="234" t="str">
        <f t="shared" si="40"/>
        <v>"C:\Program Files (x86)\AstroGrep\AstroGrep.exe" /e /r /s /spath="%USERPROFILE%\AppData\Local\Temp\OnboardLogs" /stypes="app*4025*20180109*" /stext=" 02:.+((SYSTEM_STATE.+slice.+state.+changed )|(ment ac)|(multiple cpu faults)|(system.+state.+changed )|(\[timeout)|(PRM\|1\|D)|(kpr)|(kdp)|(train st.+moving)|(\|lc)|(penalty))"</v>
      </c>
      <c r="AG130" s="244" t="str">
        <f t="shared" si="41"/>
        <v>EC</v>
      </c>
      <c r="AH130" s="236" t="str">
        <f t="shared" si="42"/>
        <v>"%USERPROFILE%\Documents\GitHub\eaglep3\Utilities\RefineRTDCRunTimes.py" --tripid 218-08 --locoid 4025 --swversion DE.1.0.9.0 --startMP 204:232945 --initTime 2018-01-08T18:55:13 --startdatetime 2018-01-08T19:12:16 --delay 108 --endMP 204:254 --enddatetime 2018-01-08T19:50:11 --enforcementcount 0 &gt;&gt;%USERPROFILE%\Documents\GitHub\eaglep3-reporting\EC\2018-01-08-refined-times.txt</v>
      </c>
      <c r="AI13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{"issue":{"subject":"","project_id":79,"tracker_id":40,"status_id":1,"priority_id":2,"assigned_to_id":338,"start_date":"2018-01-08","description":"","custom_fields":[{"id":1,"name":"Subdivision","value":"EC"},{"id":4,"name":"Milepost","value":"0.0254"},{"id":17,"name":"Train ID","value":"218-08"},{"id":16,"name":"Locomotive ID","value":"4025"},{"id":130,"name":"Impact","value":""},{"id":150,"name":"Time of Event (Mountain Time)","value":"19:50:11"},{"id":151,"name":"Denver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44"/>
        <v>start /low /b %USERPROFILE%\Documents\GitHub\eaglep3\Utilities\DownloadLogsFromS3.py --loco 4025 --day 2018-01-08</v>
      </c>
      <c r="AN130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6"/>
        <v>https://d0f6bd738d7f1b3e5a7ca70fe4ff75f0.us-east-1.aws.found.io/app/kibana#/discover/Steve-Slow-Train-Analysis-(2080s-and-2083s)?_g=(refreshInterval:(display:Off,pause:!f,section:0,value:0),time:(from:'2018-01-08T17:55:13-0700',mode:absolute,to:'2018-01-08T20:50:11-0700'))&amp;_a=(columns:!('Message%20ID',Summary),filters:!(),index:'emp_*',interval:auto,query:(query_string:(analyze_wildcard:!t,query:'%22rtdc.l.rtdc.4025%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823</v>
      </c>
      <c r="B131" s="225">
        <v>4018</v>
      </c>
      <c r="C131" s="227" t="s">
        <v>191</v>
      </c>
      <c r="D131" s="227" t="s">
        <v>545</v>
      </c>
      <c r="E131" s="226">
        <v>43108.766481481478</v>
      </c>
      <c r="F131" s="226">
        <v>43108.770995370367</v>
      </c>
      <c r="G131" s="225">
        <v>79</v>
      </c>
      <c r="H131" s="227" t="s">
        <v>932</v>
      </c>
      <c r="I131" s="226">
        <v>43108.795937499999</v>
      </c>
      <c r="J131" s="225">
        <v>0</v>
      </c>
      <c r="K131" s="237" t="str">
        <f t="shared" si="28"/>
        <v>4017/4018</v>
      </c>
      <c r="L131" s="245" t="str">
        <f>VLOOKUP(A131,'Trips&amp;Operators'!$C$1:$G$99911,5,FALSE)</f>
        <v>GUNTHIER ERIC</v>
      </c>
      <c r="M131" s="224">
        <f t="shared" si="29"/>
        <v>2.4942129632108845E-2</v>
      </c>
      <c r="N131" s="225">
        <f t="shared" si="47"/>
        <v>35.916666670236737</v>
      </c>
      <c r="O131" s="225"/>
      <c r="P131" s="225"/>
      <c r="Q131" s="228"/>
      <c r="R131" s="242"/>
      <c r="S131" s="249">
        <f t="shared" si="48"/>
        <v>1</v>
      </c>
      <c r="T131" s="242" t="str">
        <f t="shared" si="32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3"/>
        <v>https://d0f6bd738d7f1b3e5a7ca70fe4ff75f0.us-east-1.aws.found.io/app/kibana#/discover/Steve-Slow-Train-Analysis-(2080s-and-2083s)?_g=(refreshInterval:(display:Off,pause:!f,section:0,value:0),time:(from:'2018-01-08T17:23:44-0700',mode:absolute,to:'2018-01-08T20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247" t="str">
        <f>IF(AA131&lt;VLOOKUP(AG131,Variables!$AC$3:$AD$8,2,FALSE),"Y","N")</f>
        <v>N</v>
      </c>
      <c r="X131" s="247">
        <f t="shared" si="34"/>
        <v>1</v>
      </c>
      <c r="Y131" s="247">
        <f t="shared" si="49"/>
        <v>4.9500000000000002E-2</v>
      </c>
      <c r="Z131" s="247">
        <f t="shared" si="50"/>
        <v>23.3249</v>
      </c>
      <c r="AA131" s="247">
        <f t="shared" si="37"/>
        <v>23.275400000000001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8"/>
        <v>219</v>
      </c>
      <c r="AE131" s="235" t="str">
        <f t="shared" si="39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131" s="234" t="str">
        <f t="shared" si="40"/>
        <v>"C:\Program Files (x86)\AstroGrep\AstroGrep.exe" /e /r /s /spath="%USERPROFILE%\AppData\Local\Temp\OnboardLogs" /stypes="app*4018*20180109*" /stext=" 02:.+((SYSTEM_STATE.+slice.+state.+changed )|(ment ac)|(multiple cpu faults)|(system.+state.+changed )|(\[timeout)|(PRM\|1\|D)|(kpr)|(kdp)|(train st.+moving)|(\|lc)|(penalty))"</v>
      </c>
      <c r="AG131" s="244" t="str">
        <f t="shared" si="41"/>
        <v>EC</v>
      </c>
      <c r="AH131" s="236" t="str">
        <f t="shared" si="42"/>
        <v>"%USERPROFILE%\Documents\GitHub\eaglep3\Utilities\RefineRTDCRunTimes.py" --tripid 219-08 --locoid 4018 --swversion DE.1.0.9.0 --startMP 204:495 --initTime 2018-01-08T18:23:44 --startdatetime 2018-01-08T18:30:14 --delay 79 --endMP 204:233249 --enddatetime 2018-01-08T19:06:09 --enforcementcount 0 &gt;&gt;%USERPROFILE%\Documents\GitHub\eaglep3-reporting\EC\2018-01-08-refined-times.txt</v>
      </c>
      <c r="AI13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{"issue":{"subject":"","project_id":79,"tracker_id":40,"status_id":1,"priority_id":2,"assigned_to_id":338,"start_date":"2018-01-08","description":"","custom_fields":[{"id":1,"name":"Subdivision","value":"EC"},{"id":4,"name":"Milepost","value":"23.3249"},{"id":17,"name":"Train ID","value":"219-08"},{"id":16,"name":"Locomotive ID","value":"4018"},{"id":130,"name":"Impact","value":""},{"id":150,"name":"Time of Event (Mountain Time)","value":"19:06:09"},{"id":151,"name":"Denver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4"/>
        <v>start /low /b %USERPROFILE%\Documents\GitHub\eaglep3\Utilities\DownloadLogsFromS3.py --loco 4018 --day 2018-01-08</v>
      </c>
      <c r="AN131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6"/>
        <v>https://d0f6bd738d7f1b3e5a7ca70fe4ff75f0.us-east-1.aws.found.io/app/kibana#/discover/Steve-Slow-Train-Analysis-(2080s-and-2083s)?_g=(refreshInterval:(display:Off,pause:!f,section:0,value:0),time:(from:'2018-01-08T17:23:44-0700',mode:absolute,to:'2018-01-08T20:06:09-0700'))&amp;_a=(columns:!('Message%20ID',Summary),filters:!(),index:'emp_*',interval:auto,query:(query_string:(analyze_wildcard:!t,query:'%22rtdc.l.rtdc.4018%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833</v>
      </c>
      <c r="B132" s="225">
        <v>4017</v>
      </c>
      <c r="C132" s="227" t="s">
        <v>191</v>
      </c>
      <c r="D132" s="227" t="s">
        <v>934</v>
      </c>
      <c r="E132" s="226">
        <v>43108.797500000001</v>
      </c>
      <c r="F132" s="226">
        <v>43108.807951388888</v>
      </c>
      <c r="G132" s="225">
        <v>840</v>
      </c>
      <c r="H132" s="227" t="s">
        <v>935</v>
      </c>
      <c r="I132" s="226">
        <v>43108.808344907404</v>
      </c>
      <c r="J132" s="225">
        <v>0</v>
      </c>
      <c r="K132" s="237" t="str">
        <f t="shared" si="28"/>
        <v>4017/4018</v>
      </c>
      <c r="L132" s="245" t="str">
        <f>VLOOKUP(A132,'Trips&amp;Operators'!$C$1:$G$99911,5,FALSE)</f>
        <v>GUNTHIER ERIC</v>
      </c>
      <c r="M132" s="224">
        <f t="shared" si="29"/>
        <v>3.9351851592073217E-4</v>
      </c>
      <c r="N132" s="225"/>
      <c r="O132" s="225"/>
      <c r="P132" s="225">
        <f>24*60*SUM($M132:$M132)</f>
        <v>0.56666666292585433</v>
      </c>
      <c r="Q132" s="228"/>
      <c r="R132" s="242" t="s">
        <v>1085</v>
      </c>
      <c r="S132" s="249">
        <f t="shared" si="48"/>
        <v>0</v>
      </c>
      <c r="T132" s="242" t="str">
        <f t="shared" si="32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248" t="str">
        <f t="shared" si="33"/>
        <v>https://d0f6bd738d7f1b3e5a7ca70fe4ff75f0.us-east-1.aws.found.io/app/kibana#/discover/Steve-Slow-Train-Analysis-(2080s-and-2083s)?_g=(refreshInterval:(display:Off,pause:!f,section:0,value:0),time:(from:'2018-01-08T18:08:24-0700',mode:absolute,to:'2018-01-08T20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247" t="str">
        <f>IF(AA132&lt;VLOOKUP(AG132,Variables!$AC$3:$AD$8,2,FALSE),"Y","N")</f>
        <v>Y</v>
      </c>
      <c r="X132" s="247">
        <f t="shared" si="34"/>
        <v>1</v>
      </c>
      <c r="Y132" s="247">
        <f t="shared" si="49"/>
        <v>23.2925</v>
      </c>
      <c r="Z132" s="247">
        <f t="shared" si="50"/>
        <v>22.153199999999998</v>
      </c>
      <c r="AA132" s="247">
        <f t="shared" si="37"/>
        <v>1.1393000000000022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8"/>
        <v>220</v>
      </c>
      <c r="AE132" s="235" t="str">
        <f t="shared" si="39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132" s="234" t="str">
        <f t="shared" si="40"/>
        <v>"C:\Program Files (x86)\AstroGrep\AstroGrep.exe" /e /r /s /spath="%USERPROFILE%\AppData\Local\Temp\OnboardLogs" /stypes="app*4017*20180109*" /stext=" 02:.+((SYSTEM_STATE.+slice.+state.+changed )|(ment ac)|(multiple cpu faults)|(system.+state.+changed )|(\[timeout)|(PRM\|1\|D)|(kpr)|(kdp)|(train st.+moving)|(\|lc)|(penalty))"</v>
      </c>
      <c r="AG132" s="244" t="str">
        <f t="shared" si="41"/>
        <v>EC</v>
      </c>
      <c r="AH132" s="236" t="str">
        <f t="shared" si="42"/>
        <v>"%USERPROFILE%\Documents\GitHub\eaglep3\Utilities\RefineRTDCRunTimes.py" --tripid 220-08 --locoid 4017 --swversion DE.1.0.9.0 --startMP 204:232925 --initTime 2018-01-08T19:08:24 --startdatetime 2018-01-08T19:23:27 --delay 840 --endMP 204:221532 --enddatetime 2018-01-08T19:24:01 --enforcementcount 0 &gt;&gt;%USERPROFILE%\Documents\GitHub\eaglep3-reporting\EC\2018-01-08-refined-times.txt</v>
      </c>
      <c r="AI132" s="238" t="str">
        <f t="shared" si="43"/>
        <v>echo {"issue":{"subject":"Onboard en route failure during init at DIA","project_id":79,"tracker_id":40,"status_id":1,"priority_id":2,"assigned_to_id":338,"start_date":"2018-01-08","description":"","custom_fields":[{"id":1,"name":"Subdivision","value":"EC"},{"id":4,"name":"Milepost","value":"22.1532"},{"id":17,"name":"Train ID","value":"220-08"},{"id":16,"name":"Locomotive ID","value":"4017"},{"id":130,"name":"Impact","value":""},{"id":150,"name":"Time of Event (Mountain Time)","value":"19:24:01"},{"id":151,"name":"Denver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4"/>
        <v>start /low /b %USERPROFILE%\Documents\GitHub\eaglep3\Utilities\DownloadLogsFromS3.py --loco 4017 --day 2018-01-08</v>
      </c>
      <c r="AN132" s="241" t="str">
        <f t="shared" si="45"/>
        <v>echo {"issue":{"subject":"Onboard en route failure during init at DIA","project_id":30,"tracker_id":4,"status_id":1,"priority_id":1,"assigned_to_id":10,"start_date":"2018-01-09","description":"","custom_fields":[{"id":30,"name":"Category","value":"Issue"},{"id":3,"name":"Functional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6"/>
        <v>https://d0f6bd738d7f1b3e5a7ca70fe4ff75f0.us-east-1.aws.found.io/app/kibana#/discover/Steve-Slow-Train-Analysis-(2080s-and-2083s)?_g=(refreshInterval:(display:Off,pause:!f,section:0,value:0),time:(from:'2018-01-08T18:08:24-0700',mode:absolute,to:'2018-01-08T20:24:01-0700'))&amp;_a=(columns:!('Message%20ID',Summary),filters:!(),index:'emp_*',interval:auto,query:(query_string:(analyze_wildcard:!t,query:'%22rtdc.l.rtdc.4017%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830</v>
      </c>
      <c r="B133" s="225">
        <v>4060</v>
      </c>
      <c r="C133" s="227" t="s">
        <v>191</v>
      </c>
      <c r="D133" s="227" t="s">
        <v>936</v>
      </c>
      <c r="E133" s="226">
        <v>43108.786747685182</v>
      </c>
      <c r="F133" s="226">
        <v>43108.791817129626</v>
      </c>
      <c r="G133" s="225">
        <v>169</v>
      </c>
      <c r="H133" s="227" t="s">
        <v>534</v>
      </c>
      <c r="I133" s="226">
        <v>43108.815833333334</v>
      </c>
      <c r="J133" s="225">
        <v>0</v>
      </c>
      <c r="K133" s="237" t="str">
        <f t="shared" si="28"/>
        <v>4059/4060</v>
      </c>
      <c r="L133" s="245" t="str">
        <f>VLOOKUP(A133,'Trips&amp;Operators'!$C$1:$G$99911,5,FALSE)</f>
        <v>ELBAUM MIKE</v>
      </c>
      <c r="M133" s="224">
        <f t="shared" si="29"/>
        <v>2.4016203708015382E-2</v>
      </c>
      <c r="N133" s="225">
        <f t="shared" ref="N133:N149" si="51">24*60*SUM($M133:$M133)</f>
        <v>34.58333333954215</v>
      </c>
      <c r="O133" s="225"/>
      <c r="P133" s="225"/>
      <c r="Q133" s="228"/>
      <c r="R133" s="242"/>
      <c r="S133" s="249">
        <f t="shared" si="48"/>
        <v>1</v>
      </c>
      <c r="T133" s="242" t="str">
        <f t="shared" si="32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3"/>
        <v>https://d0f6bd738d7f1b3e5a7ca70fe4ff75f0.us-east-1.aws.found.io/app/kibana#/discover/Steve-Slow-Train-Analysis-(2080s-and-2083s)?_g=(refreshInterval:(display:Off,pause:!f,section:0,value:0),time:(from:'2018-01-08T17:52:55-0700',mode:absolute,to:'2018-01-08T20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3" s="247" t="str">
        <f>IF(AA133&lt;VLOOKUP(AG133,Variables!$AC$3:$AD$8,2,FALSE),"Y","N")</f>
        <v>N</v>
      </c>
      <c r="X133" s="247">
        <f t="shared" si="34"/>
        <v>1</v>
      </c>
      <c r="Y133" s="247">
        <f t="shared" si="49"/>
        <v>5.4399999999999997E-2</v>
      </c>
      <c r="Z133" s="247">
        <f t="shared" si="50"/>
        <v>23.328700000000001</v>
      </c>
      <c r="AA133" s="247">
        <f t="shared" si="37"/>
        <v>23.2743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8"/>
        <v>221</v>
      </c>
      <c r="AE133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33" s="234" t="str">
        <f t="shared" si="40"/>
        <v>"C:\Program Files (x86)\AstroGrep\AstroGrep.exe" /e /r /s /spath="%USERPROFILE%\AppData\Local\Temp\OnboardLogs" /stypes="app*4060*20180109*" /stext=" 02:.+((SYSTEM_STATE.+slice.+state.+changed )|(ment ac)|(multiple cpu faults)|(system.+state.+changed )|(\[timeout)|(PRM\|1\|D)|(kpr)|(kdp)|(train st.+moving)|(\|lc)|(penalty))"</v>
      </c>
      <c r="AG133" s="244" t="str">
        <f t="shared" si="41"/>
        <v>EC</v>
      </c>
      <c r="AH133" s="236" t="str">
        <f t="shared" si="42"/>
        <v>"%USERPROFILE%\Documents\GitHub\eaglep3\Utilities\RefineRTDCRunTimes.py" --tripid 221-08 --locoid 4060 --swversion DE.1.0.9.0 --startMP 204:544 --initTime 2018-01-08T18:52:55 --startdatetime 2018-01-08T19:00:13 --delay 169 --endMP 204:233287 --enddatetime 2018-01-08T19:34:48 --enforcementcount 0 &gt;&gt;%USERPROFILE%\Documents\GitHub\eaglep3-reporting\EC\2018-01-08-refined-times.txt</v>
      </c>
      <c r="AI13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{"issue":{"subject":"","project_id":79,"tracker_id":40,"status_id":1,"priority_id":2,"assigned_to_id":338,"start_date":"2018-01-08","description":"","custom_fields":[{"id":1,"name":"Subdivision","value":"EC"},{"id":4,"name":"Milepost","value":"23.3287"},{"id":17,"name":"Train ID","value":"221-08"},{"id":16,"name":"Locomotive ID","value":"4060"},{"id":130,"name":"Impact","value":""},{"id":150,"name":"Time of Event (Mountain Time)","value":"19:34:48"},{"id":151,"name":"Denver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4"/>
        <v>start /low /b %USERPROFILE%\Documents\GitHub\eaglep3\Utilities\DownloadLogsFromS3.py --loco 4060 --day 2018-01-08</v>
      </c>
      <c r="AN133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6"/>
        <v>https://d0f6bd738d7f1b3e5a7ca70fe4ff75f0.us-east-1.aws.found.io/app/kibana#/discover/Steve-Slow-Train-Analysis-(2080s-and-2083s)?_g=(refreshInterval:(display:Off,pause:!f,section:0,value:0),time:(from:'2018-01-08T17:52:55-0700',mode:absolute,to:'2018-01-08T20:34:48-0700'))&amp;_a=(columns:!('Message%20ID',Summary),filters:!(),index:'emp_*',interval:auto,query:(query_string:(analyze_wildcard:!t,query:'%22rtdc.l.rtdc.4060%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835</v>
      </c>
      <c r="B134" s="225">
        <v>4059</v>
      </c>
      <c r="C134" s="227" t="s">
        <v>191</v>
      </c>
      <c r="D134" s="227" t="s">
        <v>937</v>
      </c>
      <c r="E134" s="226">
        <v>43108.816921296297</v>
      </c>
      <c r="F134" s="226">
        <v>43108.831400462965</v>
      </c>
      <c r="G134" s="225">
        <v>69</v>
      </c>
      <c r="H134" s="227" t="s">
        <v>611</v>
      </c>
      <c r="I134" s="226">
        <v>43108.85628472222</v>
      </c>
      <c r="J134" s="225">
        <v>0</v>
      </c>
      <c r="K134" s="237" t="str">
        <f t="shared" si="28"/>
        <v>4059/4060</v>
      </c>
      <c r="L134" s="245" t="str">
        <f>VLOOKUP(A134,'Trips&amp;Operators'!$C$1:$G$99911,5,FALSE)</f>
        <v>ELBAUM MIKE</v>
      </c>
      <c r="M134" s="224">
        <f t="shared" si="29"/>
        <v>2.488425925548654E-2</v>
      </c>
      <c r="N134" s="225">
        <f t="shared" si="51"/>
        <v>35.833333327900618</v>
      </c>
      <c r="O134" s="225"/>
      <c r="P134" s="225"/>
      <c r="Q134" s="228"/>
      <c r="R134" s="242"/>
      <c r="S134" s="249">
        <f t="shared" si="48"/>
        <v>1</v>
      </c>
      <c r="T134" s="242" t="str">
        <f t="shared" si="32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3"/>
        <v>https://d0f6bd738d7f1b3e5a7ca70fe4ff75f0.us-east-1.aws.found.io/app/kibana#/discover/Steve-Slow-Train-Analysis-(2080s-and-2083s)?_g=(refreshInterval:(display:Off,pause:!f,section:0,value:0),time:(from:'2018-01-08T18:36:22-0700',mode:absolute,to:'2018-01-08T21:33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4" s="247" t="str">
        <f>IF(AA134&lt;VLOOKUP(AG134,Variables!$AC$3:$AD$8,2,FALSE),"Y","N")</f>
        <v>N</v>
      </c>
      <c r="X134" s="247">
        <f t="shared" si="34"/>
        <v>1</v>
      </c>
      <c r="Y134" s="247">
        <f t="shared" si="49"/>
        <v>23.2974</v>
      </c>
      <c r="Z134" s="247">
        <f t="shared" si="50"/>
        <v>2.6499999999999999E-2</v>
      </c>
      <c r="AA134" s="247">
        <f t="shared" si="37"/>
        <v>23.270900000000001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8"/>
        <v>222</v>
      </c>
      <c r="AE134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34" s="234" t="str">
        <f t="shared" si="40"/>
        <v>"C:\Program Files (x86)\AstroGrep\AstroGrep.exe" /e /r /s /spath="%USERPROFILE%\AppData\Local\Temp\OnboardLogs" /stypes="app*4059*20180109*" /stext=" 03:.+((SYSTEM_STATE.+slice.+state.+changed )|(ment ac)|(multiple cpu faults)|(system.+state.+changed )|(\[timeout)|(PRM\|1\|D)|(kpr)|(kdp)|(train st.+moving)|(\|lc)|(penalty))"</v>
      </c>
      <c r="AG134" s="244" t="str">
        <f t="shared" si="41"/>
        <v>EC</v>
      </c>
      <c r="AH134" s="236" t="str">
        <f t="shared" si="42"/>
        <v>"%USERPROFILE%\Documents\GitHub\eaglep3\Utilities\RefineRTDCRunTimes.py" --tripid 222-08 --locoid 4059 --swversion DE.1.0.9.0 --startMP 204:232974 --initTime 2018-01-08T19:36:22 --startdatetime 2018-01-08T19:57:13 --delay 69 --endMP 204:265 --enddatetime 2018-01-08T20:33:03 --enforcementcount 0 &gt;&gt;%USERPROFILE%\Documents\GitHub\eaglep3-reporting\EC\2018-01-08-refined-times.txt</v>
      </c>
      <c r="AI13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{"issue":{"subject":"","project_id":79,"tracker_id":40,"status_id":1,"priority_id":2,"assigned_to_id":338,"start_date":"2018-01-08","description":"","custom_fields":[{"id":1,"name":"Subdivision","value":"EC"},{"id":4,"name":"Milepost","value":"0.0265"},{"id":17,"name":"Train ID","value":"222-08"},{"id":16,"name":"Locomotive ID","value":"4059"},{"id":130,"name":"Impact","value":""},{"id":150,"name":"Time of Event (Mountain Time)","value":"20:33:03"},{"id":151,"name":"Denver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4"/>
        <v>start /low /b %USERPROFILE%\Documents\GitHub\eaglep3\Utilities\DownloadLogsFromS3.py --loco 4059 --day 2018-01-08</v>
      </c>
      <c r="AN134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03:33:03"},{"id":29,"name":"Sharepoint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6"/>
        <v>https://d0f6bd738d7f1b3e5a7ca70fe4ff75f0.us-east-1.aws.found.io/app/kibana#/discover/Steve-Slow-Train-Analysis-(2080s-and-2083s)?_g=(refreshInterval:(display:Off,pause:!f,section:0,value:0),time:(from:'2018-01-08T18:36:22-0700',mode:absolute,to:'2018-01-08T21:33:03-0700'))&amp;_a=(columns:!('Message%20ID',Summary),filters:!(),index:'emp_*',interval:auto,query:(query_string:(analyze_wildcard:!t,query:'%22rtdc.l.rtdc.4059%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834</v>
      </c>
      <c r="B135" s="225">
        <v>4044</v>
      </c>
      <c r="C135" s="227" t="s">
        <v>191</v>
      </c>
      <c r="D135" s="227" t="s">
        <v>591</v>
      </c>
      <c r="E135" s="226">
        <v>43108.807916666665</v>
      </c>
      <c r="F135" s="226">
        <v>43108.812685185185</v>
      </c>
      <c r="G135" s="225">
        <v>99</v>
      </c>
      <c r="H135" s="227" t="s">
        <v>877</v>
      </c>
      <c r="I135" s="226">
        <v>43108.837476851855</v>
      </c>
      <c r="J135" s="225">
        <v>0</v>
      </c>
      <c r="K135" s="237" t="str">
        <f t="shared" si="28"/>
        <v>4043/4044</v>
      </c>
      <c r="L135" s="245" t="str">
        <f>VLOOKUP(A135,'Trips&amp;Operators'!$C$1:$G$99911,5,FALSE)</f>
        <v>LOZA FIDEL</v>
      </c>
      <c r="M135" s="224">
        <f t="shared" si="29"/>
        <v>2.4791666670353152E-2</v>
      </c>
      <c r="N135" s="225">
        <f t="shared" si="51"/>
        <v>35.700000005308539</v>
      </c>
      <c r="O135" s="225"/>
      <c r="P135" s="225"/>
      <c r="Q135" s="228"/>
      <c r="R135" s="242"/>
      <c r="S135" s="249">
        <f t="shared" si="48"/>
        <v>1</v>
      </c>
      <c r="T135" s="242" t="str">
        <f t="shared" si="32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3"/>
        <v>https://d0f6bd738d7f1b3e5a7ca70fe4ff75f0.us-east-1.aws.found.io/app/kibana#/discover/Steve-Slow-Train-Analysis-(2080s-and-2083s)?_g=(refreshInterval:(display:Off,pause:!f,section:0,value:0),time:(from:'2018-01-08T18:23:24-0700',mode:absolute,to:'2018-01-08T21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247" t="str">
        <f>IF(AA135&lt;VLOOKUP(AG135,Variables!$AC$3:$AD$8,2,FALSE),"Y","N")</f>
        <v>N</v>
      </c>
      <c r="X135" s="247">
        <f t="shared" si="34"/>
        <v>1</v>
      </c>
      <c r="Y135" s="247">
        <f t="shared" si="49"/>
        <v>4.9099999999999998E-2</v>
      </c>
      <c r="Z135" s="247">
        <f t="shared" si="50"/>
        <v>23.3261</v>
      </c>
      <c r="AA135" s="247">
        <f t="shared" si="37"/>
        <v>23.277000000000001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8"/>
        <v>223</v>
      </c>
      <c r="AE135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35" s="234" t="str">
        <f t="shared" si="40"/>
        <v>"C:\Program Files (x86)\AstroGrep\AstroGrep.exe" /e /r /s /spath="%USERPROFILE%\AppData\Local\Temp\OnboardLogs" /stypes="app*4044*20180109*" /stext=" 03:.+((SYSTEM_STATE.+slice.+state.+changed )|(ment ac)|(multiple cpu faults)|(system.+state.+changed )|(\[timeout)|(PRM\|1\|D)|(kpr)|(kdp)|(train st.+moving)|(\|lc)|(penalty))"</v>
      </c>
      <c r="AG135" s="244" t="str">
        <f t="shared" si="41"/>
        <v>EC</v>
      </c>
      <c r="AH135" s="236" t="str">
        <f t="shared" si="42"/>
        <v>"%USERPROFILE%\Documents\GitHub\eaglep3\Utilities\RefineRTDCRunTimes.py" --tripid 223-08 --locoid 4044 --swversion DE.1.0.9.0 --startMP 204:491 --initTime 2018-01-08T19:23:24 --startdatetime 2018-01-08T19:30:16 --delay 99 --endMP 204:233261 --enddatetime 2018-01-08T20:05:58 --enforcementcount 0 &gt;&gt;%USERPROFILE%\Documents\GitHub\eaglep3-reporting\EC\2018-01-08-refined-times.txt</v>
      </c>
      <c r="AI13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{"issue":{"subject":"","project_id":79,"tracker_id":40,"status_id":1,"priority_id":2,"assigned_to_id":338,"start_date":"2018-01-08","description":"","custom_fields":[{"id":1,"name":"Subdivision","value":"EC"},{"id":4,"name":"Milepost","value":"23.3261"},{"id":17,"name":"Train ID","value":"223-08"},{"id":16,"name":"Locomotive ID","value":"4044"},{"id":130,"name":"Impact","value":""},{"id":150,"name":"Time of Event (Mountain Time)","value":"20:05:58"},{"id":151,"name":"Denver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44"/>
        <v>start /low /b %USERPROFILE%\Documents\GitHub\eaglep3\Utilities\DownloadLogsFromS3.py --loco 4044 --day 2018-01-08</v>
      </c>
      <c r="AN135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6"/>
        <v>https://d0f6bd738d7f1b3e5a7ca70fe4ff75f0.us-east-1.aws.found.io/app/kibana#/discover/Steve-Slow-Train-Analysis-(2080s-and-2083s)?_g=(refreshInterval:(display:Off,pause:!f,section:0,value:0),time:(from:'2018-01-08T18:23:24-0700',mode:absolute,to:'2018-01-08T21:05:58-0700'))&amp;_a=(columns:!('Message%20ID',Summary),filters:!(),index:'emp_*',interval:auto,query:(query_string:(analyze_wildcard:!t,query:'%22rtdc.l.rtdc.4044%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839</v>
      </c>
      <c r="B136" s="225">
        <v>4043</v>
      </c>
      <c r="C136" s="227" t="s">
        <v>191</v>
      </c>
      <c r="D136" s="227" t="s">
        <v>890</v>
      </c>
      <c r="E136" s="226">
        <v>43108.84983796296</v>
      </c>
      <c r="F136" s="226">
        <v>43108.852268518516</v>
      </c>
      <c r="G136" s="225">
        <v>62</v>
      </c>
      <c r="H136" s="227" t="s">
        <v>938</v>
      </c>
      <c r="I136" s="226">
        <v>43108.877546296295</v>
      </c>
      <c r="J136" s="225">
        <v>0</v>
      </c>
      <c r="K136" s="237" t="str">
        <f t="shared" si="28"/>
        <v>4043/4044</v>
      </c>
      <c r="L136" s="245" t="str">
        <f>VLOOKUP(A136,'Trips&amp;Operators'!$C$1:$G$99911,5,FALSE)</f>
        <v>LOZA FIDEL</v>
      </c>
      <c r="M136" s="224">
        <f t="shared" si="29"/>
        <v>2.527777777868323E-2</v>
      </c>
      <c r="N136" s="225">
        <f t="shared" si="51"/>
        <v>36.400000001303852</v>
      </c>
      <c r="O136" s="225"/>
      <c r="P136" s="225"/>
      <c r="Q136" s="228"/>
      <c r="R136" s="242"/>
      <c r="S136" s="249">
        <f t="shared" si="48"/>
        <v>1</v>
      </c>
      <c r="T136" s="242" t="str">
        <f t="shared" si="32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3"/>
        <v>https://d0f6bd738d7f1b3e5a7ca70fe4ff75f0.us-east-1.aws.found.io/app/kibana#/discover/Steve-Slow-Train-Analysis-(2080s-and-2083s)?_g=(refreshInterval:(display:Off,pause:!f,section:0,value:0),time:(from:'2018-01-08T19:23:46-0700',mode:absolute,to:'2018-01-08T22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247" t="str">
        <f>IF(AA136&lt;VLOOKUP(AG136,Variables!$AC$3:$AD$8,2,FALSE),"Y","N")</f>
        <v>N</v>
      </c>
      <c r="X136" s="247">
        <f t="shared" si="34"/>
        <v>1</v>
      </c>
      <c r="Y136" s="247">
        <f t="shared" si="49"/>
        <v>23.295500000000001</v>
      </c>
      <c r="Z136" s="247">
        <f t="shared" si="50"/>
        <v>2.3199999999999998E-2</v>
      </c>
      <c r="AA136" s="247">
        <f t="shared" si="37"/>
        <v>23.272300000000001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8"/>
        <v>224</v>
      </c>
      <c r="AE136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36" s="234" t="str">
        <f t="shared" si="40"/>
        <v>"C:\Program Files (x86)\AstroGrep\AstroGrep.exe" /e /r /s /spath="%USERPROFILE%\AppData\Local\Temp\OnboardLogs" /stypes="app*4043*20180109*" /stext=" 04:.+((SYSTEM_STATE.+slice.+state.+changed )|(ment ac)|(multiple cpu faults)|(system.+state.+changed )|(\[timeout)|(PRM\|1\|D)|(kpr)|(kdp)|(train st.+moving)|(\|lc)|(penalty))"</v>
      </c>
      <c r="AG136" s="244" t="str">
        <f t="shared" si="41"/>
        <v>EC</v>
      </c>
      <c r="AH136" s="236" t="str">
        <f t="shared" si="42"/>
        <v>"%USERPROFILE%\Documents\GitHub\eaglep3\Utilities\RefineRTDCRunTimes.py" --tripid 224-08 --locoid 4043 --swversion DE.1.0.9.0 --startMP 204:232955 --initTime 2018-01-08T20:23:46 --startdatetime 2018-01-08T20:27:16 --delay 62 --endMP 204:232 --enddatetime 2018-01-08T21:03:40 --enforcementcount 0 &gt;&gt;%USERPROFILE%\Documents\GitHub\eaglep3-reporting\EC\2018-01-08-refined-times.txt</v>
      </c>
      <c r="AI13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{"issue":{"subject":"","project_id":79,"tracker_id":40,"status_id":1,"priority_id":2,"assigned_to_id":338,"start_date":"2018-01-08","description":"","custom_fields":[{"id":1,"name":"Subdivision","value":"EC"},{"id":4,"name":"Milepost","value":"0.0232"},{"id":17,"name":"Train ID","value":"224-08"},{"id":16,"name":"Locomotive ID","value":"4043"},{"id":130,"name":"Impact","value":""},{"id":150,"name":"Time of Event (Mountain Time)","value":"21:03:40"},{"id":151,"name":"Denver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44"/>
        <v>start /low /b %USERPROFILE%\Documents\GitHub\eaglep3\Utilities\DownloadLogsFromS3.py --loco 4043 --day 2018-01-08</v>
      </c>
      <c r="AN136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6"/>
        <v>https://d0f6bd738d7f1b3e5a7ca70fe4ff75f0.us-east-1.aws.found.io/app/kibana#/discover/Steve-Slow-Train-Analysis-(2080s-and-2083s)?_g=(refreshInterval:(display:Off,pause:!f,section:0,value:0),time:(from:'2018-01-08T19:23:46-0700',mode:absolute,to:'2018-01-08T22:03:40-0700'))&amp;_a=(columns:!('Message%20ID',Summary),filters:!(),index:'emp_*',interval:auto,query:(query_string:(analyze_wildcard:!t,query:'%22rtdc.l.rtdc.4043%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836</v>
      </c>
      <c r="B137" s="225">
        <v>4026</v>
      </c>
      <c r="C137" s="227" t="s">
        <v>191</v>
      </c>
      <c r="D137" s="227" t="s">
        <v>615</v>
      </c>
      <c r="E137" s="226">
        <v>43108.827824074076</v>
      </c>
      <c r="F137" s="226">
        <v>43108.833611111113</v>
      </c>
      <c r="G137" s="225">
        <v>125</v>
      </c>
      <c r="H137" s="227" t="s">
        <v>939</v>
      </c>
      <c r="I137" s="226">
        <v>43108.858067129629</v>
      </c>
      <c r="J137" s="225">
        <v>0</v>
      </c>
      <c r="K137" s="237" t="str">
        <f t="shared" si="28"/>
        <v>4025/4026</v>
      </c>
      <c r="L137" s="245" t="str">
        <f>VLOOKUP(A137,'Trips&amp;Operators'!$C$1:$G$99911,5,FALSE)</f>
        <v>HAMMOND JUSTYNN</v>
      </c>
      <c r="M137" s="224">
        <f t="shared" si="29"/>
        <v>2.4456018516502809E-2</v>
      </c>
      <c r="N137" s="225">
        <f t="shared" si="51"/>
        <v>35.216666663764045</v>
      </c>
      <c r="O137" s="225"/>
      <c r="P137" s="225"/>
      <c r="Q137" s="228"/>
      <c r="R137" s="242"/>
      <c r="S137" s="249">
        <f t="shared" si="48"/>
        <v>1</v>
      </c>
      <c r="T137" s="242" t="str">
        <f t="shared" si="32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3"/>
        <v>https://d0f6bd738d7f1b3e5a7ca70fe4ff75f0.us-east-1.aws.found.io/app/kibana#/discover/Steve-Slow-Train-Analysis-(2080s-and-2083s)?_g=(refreshInterval:(display:Off,pause:!f,section:0,value:0),time:(from:'2018-01-08T18:52:04-0700',mode:absolute,to:'2018-01-08T21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247" t="str">
        <f>IF(AA137&lt;VLOOKUP(AG137,Variables!$AC$3:$AD$8,2,FALSE),"Y","N")</f>
        <v>N</v>
      </c>
      <c r="X137" s="247">
        <f t="shared" si="34"/>
        <v>1</v>
      </c>
      <c r="Y137" s="247">
        <f t="shared" si="49"/>
        <v>5.5300000000000002E-2</v>
      </c>
      <c r="Z137" s="247">
        <f t="shared" si="50"/>
        <v>23.3278</v>
      </c>
      <c r="AA137" s="247">
        <f t="shared" si="37"/>
        <v>23.272500000000001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8"/>
        <v>225</v>
      </c>
      <c r="AE137" s="235" t="str">
        <f t="shared" si="39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37" s="234" t="str">
        <f t="shared" si="40"/>
        <v>"C:\Program Files (x86)\AstroGrep\AstroGrep.exe" /e /r /s /spath="%USERPROFILE%\AppData\Local\Temp\OnboardLogs" /stypes="app*4026*20180109*" /stext=" 03:.+((SYSTEM_STATE.+slice.+state.+changed )|(ment ac)|(multiple cpu faults)|(system.+state.+changed )|(\[timeout)|(PRM\|1\|D)|(kpr)|(kdp)|(train st.+moving)|(\|lc)|(penalty))"</v>
      </c>
      <c r="AG137" s="244" t="str">
        <f t="shared" si="41"/>
        <v>EC</v>
      </c>
      <c r="AH137" s="236" t="str">
        <f t="shared" si="42"/>
        <v>"%USERPROFILE%\Documents\GitHub\eaglep3\Utilities\RefineRTDCRunTimes.py" --tripid 225-08 --locoid 4026 --swversion DE.1.0.9.0 --startMP 204:553 --initTime 2018-01-08T19:52:04 --startdatetime 2018-01-08T20:00:24 --delay 125 --endMP 204:233278 --enddatetime 2018-01-08T20:35:37 --enforcementcount 0 &gt;&gt;%USERPROFILE%\Documents\GitHub\eaglep3-reporting\EC\2018-01-08-refined-times.txt</v>
      </c>
      <c r="AI13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{"issue":{"subject":"","project_id":79,"tracker_id":40,"status_id":1,"priority_id":2,"assigned_to_id":338,"start_date":"2018-01-08","description":"","custom_fields":[{"id":1,"name":"Subdivision","value":"EC"},{"id":4,"name":"Milepost","value":"23.3278"},{"id":17,"name":"Train ID","value":"225-08"},{"id":16,"name":"Locomotive ID","value":"4026"},{"id":130,"name":"Impact","value":""},{"id":150,"name":"Time of Event (Mountain Time)","value":"20:35:37"},{"id":151,"name":"Denver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4"/>
        <v>start /low /b %USERPROFILE%\Documents\GitHub\eaglep3\Utilities\DownloadLogsFromS3.py --loco 4026 --day 2018-01-08</v>
      </c>
      <c r="AN137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6"/>
        <v>https://d0f6bd738d7f1b3e5a7ca70fe4ff75f0.us-east-1.aws.found.io/app/kibana#/discover/Steve-Slow-Train-Analysis-(2080s-and-2083s)?_g=(refreshInterval:(display:Off,pause:!f,section:0,value:0),time:(from:'2018-01-08T18:52:04-0700',mode:absolute,to:'2018-01-08T21:35:37-0700'))&amp;_a=(columns:!('Message%20ID',Summary),filters:!(),index:'emp_*',interval:auto,query:(query_string:(analyze_wildcard:!t,query:'%22rtdc.l.rtdc.4026%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842</v>
      </c>
      <c r="B138" s="225">
        <v>4025</v>
      </c>
      <c r="C138" s="227" t="s">
        <v>191</v>
      </c>
      <c r="D138" s="227" t="s">
        <v>603</v>
      </c>
      <c r="E138" s="226">
        <v>43108.867754629631</v>
      </c>
      <c r="F138" s="226">
        <v>43108.873101851852</v>
      </c>
      <c r="G138" s="225">
        <v>81</v>
      </c>
      <c r="H138" s="227" t="s">
        <v>570</v>
      </c>
      <c r="I138" s="226">
        <v>43108.900219907409</v>
      </c>
      <c r="J138" s="225">
        <v>0</v>
      </c>
      <c r="K138" s="237" t="str">
        <f t="shared" si="28"/>
        <v>4025/4026</v>
      </c>
      <c r="L138" s="245" t="str">
        <f>VLOOKUP(A138,'Trips&amp;Operators'!$C$1:$G$99911,5,FALSE)</f>
        <v>HAMMOND JUSTYNN</v>
      </c>
      <c r="M138" s="224">
        <f t="shared" si="29"/>
        <v>2.7118055557366461E-2</v>
      </c>
      <c r="N138" s="225">
        <f t="shared" si="51"/>
        <v>39.050000002607703</v>
      </c>
      <c r="O138" s="225"/>
      <c r="P138" s="225"/>
      <c r="Q138" s="228"/>
      <c r="R138" s="242"/>
      <c r="S138" s="249">
        <f t="shared" si="48"/>
        <v>1</v>
      </c>
      <c r="T138" s="242" t="str">
        <f t="shared" si="32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3"/>
        <v>https://d0f6bd738d7f1b3e5a7ca70fe4ff75f0.us-east-1.aws.found.io/app/kibana#/discover/Steve-Slow-Train-Analysis-(2080s-and-2083s)?_g=(refreshInterval:(display:Off,pause:!f,section:0,value:0),time:(from:'2018-01-08T19:49:34-0700',mode:absolute,to:'2018-01-08T22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247" t="str">
        <f>IF(AA138&lt;VLOOKUP(AG138,Variables!$AC$3:$AD$8,2,FALSE),"Y","N")</f>
        <v>N</v>
      </c>
      <c r="X138" s="247">
        <f t="shared" si="34"/>
        <v>1</v>
      </c>
      <c r="Y138" s="247">
        <f t="shared" si="49"/>
        <v>23.2957</v>
      </c>
      <c r="Z138" s="247">
        <f t="shared" si="50"/>
        <v>2.2100000000000002E-2</v>
      </c>
      <c r="AA138" s="247">
        <f t="shared" si="37"/>
        <v>23.273600000000002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8"/>
        <v>226</v>
      </c>
      <c r="AE138" s="235" t="str">
        <f t="shared" si="39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38" s="234" t="str">
        <f t="shared" si="40"/>
        <v>"C:\Program Files (x86)\AstroGrep\AstroGrep.exe" /e /r /s /spath="%USERPROFILE%\AppData\Local\Temp\OnboardLogs" /stypes="app*4025*20180109*" /stext=" 04:.+((SYSTEM_STATE.+slice.+state.+changed )|(ment ac)|(multiple cpu faults)|(system.+state.+changed )|(\[timeout)|(PRM\|1\|D)|(kpr)|(kdp)|(train st.+moving)|(\|lc)|(penalty))"</v>
      </c>
      <c r="AG138" s="244" t="str">
        <f t="shared" si="41"/>
        <v>EC</v>
      </c>
      <c r="AH138" s="236" t="str">
        <f t="shared" si="42"/>
        <v>"%USERPROFILE%\Documents\GitHub\eaglep3\Utilities\RefineRTDCRunTimes.py" --tripid 226-08 --locoid 4025 --swversion DE.1.0.9.0 --startMP 204:232957 --initTime 2018-01-08T20:49:34 --startdatetime 2018-01-08T20:57:16 --delay 81 --endMP 204:221 --enddatetime 2018-01-08T21:36:19 --enforcementcount 0 &gt;&gt;%USERPROFILE%\Documents\GitHub\eaglep3-reporting\EC\2018-01-08-refined-times.txt</v>
      </c>
      <c r="AI13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{"issue":{"subject":"","project_id":79,"tracker_id":40,"status_id":1,"priority_id":2,"assigned_to_id":338,"start_date":"2018-01-08","description":"","custom_fields":[{"id":1,"name":"Subdivision","value":"EC"},{"id":4,"name":"Milepost","value":"0.0221"},{"id":17,"name":"Train ID","value":"226-08"},{"id":16,"name":"Locomotive ID","value":"4025"},{"id":130,"name":"Impact","value":""},{"id":150,"name":"Time of Event (Mountain Time)","value":"21:36:19"},{"id":151,"name":"Denver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4"/>
        <v>start /low /b %USERPROFILE%\Documents\GitHub\eaglep3\Utilities\DownloadLogsFromS3.py --loco 4025 --day 2018-01-08</v>
      </c>
      <c r="AN138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6"/>
        <v>https://d0f6bd738d7f1b3e5a7ca70fe4ff75f0.us-east-1.aws.found.io/app/kibana#/discover/Steve-Slow-Train-Analysis-(2080s-and-2083s)?_g=(refreshInterval:(display:Off,pause:!f,section:0,value:0),time:(from:'2018-01-08T19:49:34-0700',mode:absolute,to:'2018-01-08T22:36:19-0700'))&amp;_a=(columns:!('Message%20ID',Summary),filters:!(),index:'emp_*',interval:auto,query:(query_string:(analyze_wildcard:!t,query:'%22rtdc.l.rtdc.4025%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639</v>
      </c>
      <c r="B139" s="225">
        <v>4020</v>
      </c>
      <c r="C139" s="227" t="s">
        <v>191</v>
      </c>
      <c r="D139" s="227" t="s">
        <v>603</v>
      </c>
      <c r="E139" s="226">
        <v>43108.867754629631</v>
      </c>
      <c r="F139" s="226">
        <v>43108.854363425926</v>
      </c>
      <c r="G139" s="225">
        <v>81</v>
      </c>
      <c r="H139" s="227" t="s">
        <v>570</v>
      </c>
      <c r="I139" s="226">
        <v>43108.880208333336</v>
      </c>
      <c r="J139" s="225">
        <v>0</v>
      </c>
      <c r="K139" s="237" t="str">
        <f t="shared" si="28"/>
        <v>4019/4020</v>
      </c>
      <c r="L139" s="245" t="str">
        <f>VLOOKUP(A139,'Trips&amp;Operators'!$C$1:$G$99911,5,FALSE)</f>
        <v>WILLIAMS DONTE</v>
      </c>
      <c r="M139" s="224">
        <f t="shared" si="29"/>
        <v>2.584490740991896E-2</v>
      </c>
      <c r="N139" s="225">
        <f t="shared" si="51"/>
        <v>37.216666670283303</v>
      </c>
      <c r="O139" s="225"/>
      <c r="P139" s="225"/>
      <c r="Q139" s="228"/>
      <c r="R139" s="242"/>
      <c r="S139" s="249">
        <f t="shared" si="48"/>
        <v>1</v>
      </c>
      <c r="T139" s="242" t="str">
        <f t="shared" si="32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3"/>
        <v>https://d0f6bd738d7f1b3e5a7ca70fe4ff75f0.us-east-1.aws.found.io/app/kibana#/discover/Steve-Slow-Train-Analysis-(2080s-and-2083s)?_g=(refreshInterval:(display:Off,pause:!f,section:0,value:0),time:(from:'2018-01-08T19:49:34-0700',mode:absolute,to:'2018-01-08T22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247" t="str">
        <f>IF(AA139&lt;VLOOKUP(AG139,Variables!$AC$3:$AD$8,2,FALSE),"Y","N")</f>
        <v>N</v>
      </c>
      <c r="X139" s="247">
        <f t="shared" si="34"/>
        <v>1</v>
      </c>
      <c r="Y139" s="247">
        <v>7.6499999999999999E-2</v>
      </c>
      <c r="Z139" s="247">
        <v>23.3261</v>
      </c>
      <c r="AA139" s="247">
        <f t="shared" si="37"/>
        <v>23.249600000000001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8"/>
        <v>227</v>
      </c>
      <c r="AE139" s="235" t="str">
        <f t="shared" si="39"/>
        <v>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 &amp; 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</v>
      </c>
      <c r="AF139" s="234" t="str">
        <f t="shared" si="40"/>
        <v>"C:\Program Files (x86)\AstroGrep\AstroGrep.exe" /e /r /s /spath="%USERPROFILE%\AppData\Local\Temp\OnboardLogs" /stypes="app*4020*20180109*" /stext=" 04:.+((SYSTEM_STATE.+slice.+state.+changed )|(ment ac)|(multiple cpu faults)|(system.+state.+changed )|(\[timeout)|(PRM\|1\|D)|(kpr)|(kdp)|(train st.+moving)|(\|lc)|(penalty))"</v>
      </c>
      <c r="AG139" s="244" t="str">
        <f t="shared" si="41"/>
        <v>EC</v>
      </c>
      <c r="AH139" s="236" t="str">
        <f t="shared" ref="AH139" si="52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227-08 --locoid 4020 --swversion DE.1.0.9.0 --startMP 204:232957 --initTime 2018-01-08T20:49:34 --startdatetime 2018-01-08T20:30:17 --delay 81 --endMP 204:221 --enddatetime 2018-01-08T21:07:30 --enforcementcount 0 &gt;&gt;%USERPROFILE%\Documents\GitHub\eaglep3-reporting\EC\2018-01-08-refined-times.txt</v>
      </c>
      <c r="AI139" s="238" t="str">
        <f t="shared" ref="AI139" si="53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{"issue":{"subject":"","project_id":79,"tracker_id":40,"status_id":1,"priority_id":2,"assigned_to_id":338,"start_date":"2018-01-08","description":"","custom_fields":[{"id":1,"name":"Subdivision","value":"EC"},{"id":4,"name":"Milepost","value":"23.3261"},{"id":17,"name":"Train ID","value":"227-08"},{"id":16,"name":"Locomotive ID","value":"4020"},{"id":130,"name":"Impact","value":""},{"id":150,"name":"Time of Event (Mountain Time)","value":"21:07:30"},{"id":151,"name":"Denver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ref="AM139" si="54">"start /low /b "&amp;dls3logs&amp;" --loco "&amp;B139&amp;" --day "&amp;TEXT(F139,"YYYY-MM-DD")</f>
        <v>start /low /b %USERPROFILE%\Documents\GitHub\eaglep3\Utilities\DownloadLogsFromS3.py --loco 4020 --day 2018-01-08</v>
      </c>
      <c r="AN139" s="241" t="str">
        <f t="shared" ref="AN139" si="55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ref="AO139" si="56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-08T19:49:34-0700',mode:absolute,to:'2018-01-08T22:07:30-0700'))&amp;_a=(columns:!('Message%20ID',Summary),filters:!(),index:'emp_*',interval:auto,query:(query_string:(analyze_wildcard:!t,query:'%22rtdc.l.rtdc.4020%22')),sort:!(Time.ISO8601,asc))</v>
      </c>
    </row>
    <row r="140" spans="1:91" s="20" customFormat="1" x14ac:dyDescent="0.3">
      <c r="A140" s="229" t="s">
        <v>845</v>
      </c>
      <c r="B140" s="225">
        <v>4019</v>
      </c>
      <c r="C140" s="227" t="s">
        <v>191</v>
      </c>
      <c r="D140" s="227" t="s">
        <v>898</v>
      </c>
      <c r="E140" s="226">
        <v>43108.888969907406</v>
      </c>
      <c r="F140" s="226">
        <v>43108.893958333334</v>
      </c>
      <c r="G140" s="225">
        <v>122</v>
      </c>
      <c r="H140" s="227" t="s">
        <v>463</v>
      </c>
      <c r="I140" s="226">
        <v>43108.92046296296</v>
      </c>
      <c r="J140" s="225">
        <v>0</v>
      </c>
      <c r="K140" s="237" t="str">
        <f t="shared" si="28"/>
        <v>4019/4020</v>
      </c>
      <c r="L140" s="245" t="str">
        <f>VLOOKUP(A140,'Trips&amp;Operators'!$C$1:$G$99911,5,FALSE)</f>
        <v>WILLIAMS DONTE</v>
      </c>
      <c r="M140" s="224">
        <f t="shared" si="29"/>
        <v>2.6504629626288079E-2</v>
      </c>
      <c r="N140" s="225">
        <f t="shared" si="51"/>
        <v>38.166666661854833</v>
      </c>
      <c r="O140" s="225"/>
      <c r="P140" s="225"/>
      <c r="Q140" s="228"/>
      <c r="R140" s="242"/>
      <c r="S140" s="249">
        <f t="shared" si="48"/>
        <v>1</v>
      </c>
      <c r="T140" s="242" t="str">
        <f t="shared" si="32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3"/>
        <v>https://d0f6bd738d7f1b3e5a7ca70fe4ff75f0.us-east-1.aws.found.io/app/kibana#/discover/Steve-Slow-Train-Analysis-(2080s-and-2083s)?_g=(refreshInterval:(display:Off,pause:!f,section:0,value:0),time:(from:'2018-01-08T20:20:07-0700',mode:absolute,to:'2018-01-08T23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247" t="str">
        <f>IF(AA140&lt;VLOOKUP(AG140,Variables!$AC$3:$AD$8,2,FALSE),"Y","N")</f>
        <v>N</v>
      </c>
      <c r="X140" s="247">
        <f t="shared" si="34"/>
        <v>1</v>
      </c>
      <c r="Y140" s="247">
        <f t="shared" ref="Y140:Y147" si="57">RIGHT(D140,LEN(D140)-4)/10000</f>
        <v>23.294499999999999</v>
      </c>
      <c r="Z140" s="247">
        <f t="shared" ref="Z140:Z147" si="58">RIGHT(H140,LEN(H140)-4)/10000</f>
        <v>2.0500000000000001E-2</v>
      </c>
      <c r="AA140" s="247">
        <f t="shared" si="37"/>
        <v>23.274000000000001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8"/>
        <v>228</v>
      </c>
      <c r="AE140" s="235" t="str">
        <f t="shared" si="39"/>
        <v>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 &amp; 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</v>
      </c>
      <c r="AF140" s="234" t="str">
        <f t="shared" si="40"/>
        <v>"C:\Program Files (x86)\AstroGrep\AstroGrep.exe" /e /r /s /spath="%USERPROFILE%\AppData\Local\Temp\OnboardLogs" /stypes="app*4019*20180109*" /stext=" 05:.+((SYSTEM_STATE.+slice.+state.+changed )|(ment ac)|(multiple cpu faults)|(system.+state.+changed )|(\[timeout)|(PRM\|1\|D)|(kpr)|(kdp)|(train st.+moving)|(\|lc)|(penalty))"</v>
      </c>
      <c r="AG140" s="244" t="str">
        <f t="shared" si="41"/>
        <v>EC</v>
      </c>
      <c r="AH140" s="236" t="str">
        <f t="shared" si="42"/>
        <v>"%USERPROFILE%\Documents\GitHub\eaglep3\Utilities\RefineRTDCRunTimes.py" --tripid 228-08 --locoid 4019 --swversion DE.1.0.9.0 --startMP 204:232945 --initTime 2018-01-08T21:20:07 --startdatetime 2018-01-08T21:27:18 --delay 122 --endMP 204:205 --enddatetime 2018-01-08T22:05:28 --enforcementcount 0 &gt;&gt;%USERPROFILE%\Documents\GitHub\eaglep3-reporting\EC\2018-01-08-refined-times.txt</v>
      </c>
      <c r="AI14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ID","value":"228-08"},{"id":16,"name":"Locomotive ID","value":"4019"},{"id":130,"name":"Impact","value":""},{"id":150,"name":"Time of Event (Mountain Time)","value":"22:05:28"},{"id":151,"name":"Denver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4"/>
        <v>start /low /b %USERPROFILE%\Documents\GitHub\eaglep3\Utilities\DownloadLogsFromS3.py --loco 4019 --day 2018-01-08</v>
      </c>
      <c r="AN140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6"/>
        <v>https://d0f6bd738d7f1b3e5a7ca70fe4ff75f0.us-east-1.aws.found.io/app/kibana#/discover/Steve-Slow-Train-Analysis-(2080s-and-2083s)?_g=(refreshInterval:(display:Off,pause:!f,section:0,value:0),time:(from:'2018-01-08T20:20:07-0700',mode:absolute,to:'2018-01-08T23:05:28-0700'))&amp;_a=(columns:!('Message%20ID',Summary),filters:!(),index:'emp_*',interval:auto,query:(query_string:(analyze_wildcard:!t,query:'%22rtdc.l.rtdc.4019%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841</v>
      </c>
      <c r="B141" s="225">
        <v>4060</v>
      </c>
      <c r="C141" s="227" t="s">
        <v>191</v>
      </c>
      <c r="D141" s="227" t="s">
        <v>940</v>
      </c>
      <c r="E141" s="226">
        <v>43108.857604166667</v>
      </c>
      <c r="F141" s="226">
        <v>43108.875162037039</v>
      </c>
      <c r="G141" s="225">
        <v>53</v>
      </c>
      <c r="H141" s="227" t="s">
        <v>587</v>
      </c>
      <c r="I141" s="226">
        <v>43108.899131944447</v>
      </c>
      <c r="J141" s="225">
        <v>0</v>
      </c>
      <c r="K141" s="237" t="str">
        <f t="shared" ref="K141:K204" si="59">IF(ISEVEN(B141),(B141-1)&amp;"/"&amp;B141,B141&amp;"/"&amp;(B141+1))</f>
        <v>4059/4060</v>
      </c>
      <c r="L141" s="245" t="str">
        <f>VLOOKUP(A141,'Trips&amp;Operators'!$C$1:$G$99911,5,FALSE)</f>
        <v>ELBAUM MIKE</v>
      </c>
      <c r="M141" s="224">
        <f t="shared" ref="M141:M204" si="60">I141-F141</f>
        <v>2.396990740817273E-2</v>
      </c>
      <c r="N141" s="225">
        <f t="shared" si="51"/>
        <v>34.516666667768732</v>
      </c>
      <c r="O141" s="225"/>
      <c r="P141" s="225"/>
      <c r="Q141" s="228"/>
      <c r="R141" s="242"/>
      <c r="S141" s="249">
        <f t="shared" ref="S141:S149" si="61">1/IF(AG141="EC",12,1)*SUM(U141:U141)</f>
        <v>1</v>
      </c>
      <c r="T141" s="242" t="str">
        <f t="shared" ref="T141:T204" si="62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-08T19:34:57-0700',mode:absolute,to:'2018-01-08T22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1" s="247" t="str">
        <f>IF(AA141&lt;VLOOKUP(AG141,Variables!$AC$3:$AD$8,2,FALSE),"Y","N")</f>
        <v>N</v>
      </c>
      <c r="X141" s="247">
        <f t="shared" ref="X141:X204" si="64">VALUE(LEFT(AD141,4))-VALUE(LEFT(AD140,4))</f>
        <v>1</v>
      </c>
      <c r="Y141" s="247">
        <f t="shared" si="57"/>
        <v>5.6800000000000003E-2</v>
      </c>
      <c r="Z141" s="247">
        <f t="shared" si="58"/>
        <v>23.3308</v>
      </c>
      <c r="AA141" s="247">
        <f t="shared" ref="AA141:AA204" si="65">ABS(Z141-Y141)</f>
        <v>23.274000000000001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6">VALUE(LEFT(A141,LEN(A141)-3))</f>
        <v>229</v>
      </c>
      <c r="AE141" s="235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41" s="23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/stypes="app*4060*20180109*"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69">DetSubdiv(A141)</f>
        <v>EC</v>
      </c>
      <c r="AH141" s="236" t="str">
        <f t="shared" si="42"/>
        <v>"%USERPROFILE%\Documents\GitHub\eaglep3\Utilities\RefineRTDCRunTimes.py" --tripid 229-08 --locoid 4060 --swversion DE.1.0.9.0 --startMP 204:568 --initTime 2018-01-08T20:34:57 --startdatetime 2018-01-08T21:00:14 --delay 53 --endMP 204:233308 --enddatetime 2018-01-08T21:34:45 --enforcementcount 0 &gt;&gt;%USERPROFILE%\Documents\GitHub\eaglep3-reporting\EC\2018-01-08-refined-times.txt</v>
      </c>
      <c r="AI14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{"issue":{"subject":"","project_id":79,"tracker_id":40,"status_id":1,"priority_id":2,"assigned_to_id":338,"start_date":"2018-01-08","description":"","custom_fields":[{"id":1,"name":"Subdivision","value":"EC"},{"id":4,"name":"Milepost","value":"23.3308"},{"id":17,"name":"Train ID","value":"229-08"},{"id":16,"name":"Locomotive ID","value":"4060"},{"id":130,"name":"Impact","value":""},{"id":150,"name":"Time of Event (Mountain Time)","value":"21:34:45"},{"id":151,"name":"Denver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44"/>
        <v>start /low /b %USERPROFILE%\Documents\GitHub\eaglep3\Utilities\DownloadLogsFromS3.py --loco 4060 --day 2018-01-08</v>
      </c>
      <c r="AN141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6"/>
        <v>https://d0f6bd738d7f1b3e5a7ca70fe4ff75f0.us-east-1.aws.found.io/app/kibana#/discover/Steve-Slow-Train-Analysis-(2080s-and-2083s)?_g=(refreshInterval:(display:Off,pause:!f,section:0,value:0),time:(from:'2018-01-08T19:34:57-0700',mode:absolute,to:'2018-01-08T22:34:45-0700'))&amp;_a=(columns:!('Message%20ID',Summary),filters:!(),index:'emp_*',interval:auto,query:(query_string:(analyze_wildcard:!t,query:'%22rtdc.l.rtdc.4060%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640</v>
      </c>
      <c r="B142" s="225">
        <v>4059</v>
      </c>
      <c r="C142" s="227" t="s">
        <v>191</v>
      </c>
      <c r="D142" s="227" t="s">
        <v>550</v>
      </c>
      <c r="E142" s="226">
        <v>43108.901226851849</v>
      </c>
      <c r="F142" s="226">
        <v>43108.914814814816</v>
      </c>
      <c r="G142" s="225">
        <v>65</v>
      </c>
      <c r="H142" s="227" t="s">
        <v>941</v>
      </c>
      <c r="I142" s="226">
        <v>43108.940046296295</v>
      </c>
      <c r="J142" s="225">
        <v>0</v>
      </c>
      <c r="K142" s="237" t="str">
        <f t="shared" si="59"/>
        <v>4059/4060</v>
      </c>
      <c r="L142" s="245" t="str">
        <f>VLOOKUP(A142,'Trips&amp;Operators'!$C$1:$G$99911,5,FALSE)</f>
        <v>ELBAUM MIKE</v>
      </c>
      <c r="M142" s="224">
        <f t="shared" si="60"/>
        <v>2.5231481478840578E-2</v>
      </c>
      <c r="N142" s="225">
        <f t="shared" si="51"/>
        <v>36.333333329530433</v>
      </c>
      <c r="O142" s="225"/>
      <c r="P142" s="225"/>
      <c r="Q142" s="228"/>
      <c r="R142" s="242"/>
      <c r="S142" s="249">
        <f t="shared" si="61"/>
        <v>1</v>
      </c>
      <c r="T142" s="242" t="str">
        <f t="shared" si="62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63"/>
        <v>https://d0f6bd738d7f1b3e5a7ca70fe4ff75f0.us-east-1.aws.found.io/app/kibana#/discover/Steve-Slow-Train-Analysis-(2080s-and-2083s)?_g=(refreshInterval:(display:Off,pause:!f,section:0,value:0),time:(from:'2018-01-08T20:37:46-0700',mode:absolute,to:'2018-01-08T23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2" s="247" t="str">
        <f>IF(AA142&lt;VLOOKUP(AG142,Variables!$AC$3:$AD$8,2,FALSE),"Y","N")</f>
        <v>N</v>
      </c>
      <c r="X142" s="247">
        <f t="shared" si="64"/>
        <v>1</v>
      </c>
      <c r="Y142" s="247">
        <f t="shared" si="57"/>
        <v>23.2989</v>
      </c>
      <c r="Z142" s="247">
        <f t="shared" si="58"/>
        <v>2.6200000000000001E-2</v>
      </c>
      <c r="AA142" s="247">
        <f t="shared" si="65"/>
        <v>23.2727</v>
      </c>
      <c r="AB142" s="233" t="str">
        <f>VLOOKUP(A142,Enforcements!$C$7:$K$9,8,0)</f>
        <v>Bulletin (2)</v>
      </c>
      <c r="AC142" s="232" t="str">
        <f>VLOOKUP(A142,Enforcements!$C$7:$E$9,3,0)</f>
        <v>GRADE CROSSING</v>
      </c>
      <c r="AD142" s="243">
        <f t="shared" si="66"/>
        <v>230</v>
      </c>
      <c r="AE142" s="235" t="str">
        <f t="shared" si="67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42" s="234" t="str">
        <f t="shared" si="68"/>
        <v>"C:\Program Files (x86)\AstroGrep\AstroGrep.exe" /e /r /s /spath="%USERPROFILE%\AppData\Local\Temp\OnboardLogs" /stypes="app*4059*20180109*" /stext=" 05:.+((SYSTEM_STATE.+slice.+state.+changed )|(ment ac)|(multiple cpu faults)|(system.+state.+changed )|(\[timeout)|(PRM\|1\|D)|(kpr)|(kdp)|(train st.+moving)|(\|lc)|(penalty))"</v>
      </c>
      <c r="AG142" s="244" t="str">
        <f t="shared" si="69"/>
        <v>EC</v>
      </c>
      <c r="AH142" s="236" t="str">
        <f t="shared" si="42"/>
        <v>"%USERPROFILE%\Documents\GitHub\eaglep3\Utilities\RefineRTDCRunTimes.py" --tripid 230-08 --locoid 4059 --swversion DE.1.0.9.0 --startMP 204:232989 --initTime 2018-01-08T21:37:46 --startdatetime 2018-01-08T21:57:20 --delay 65 --endMP 204:262 --enddatetime 2018-01-08T22:33:40 --enforcementcount 0 &gt;&gt;%USERPROFILE%\Documents\GitHub\eaglep3-reporting\EC\2018-01-08-refined-times.txt</v>
      </c>
      <c r="AI14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{"issue":{"subject":"","project_id":79,"tracker_id":40,"status_id":1,"priority_id":2,"assigned_to_id":338,"start_date":"2018-01-08","description":"","custom_fields":[{"id":1,"name":"Subdivision","value":"EC"},{"id":4,"name":"Milepost","value":"0.0262"},{"id":17,"name":"Train ID","value":"230-08"},{"id":16,"name":"Locomotive ID","value":"4059"},{"id":130,"name":"Impact","value":""},{"id":150,"name":"Time of Event (Mountain Time)","value":"22:33:40"},{"id":151,"name":"Denver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44"/>
        <v>start /low /b %USERPROFILE%\Documents\GitHub\eaglep3\Utilities\DownloadLogsFromS3.py --loco 4059 --day 2018-01-08</v>
      </c>
      <c r="AN142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46"/>
        <v>https://d0f6bd738d7f1b3e5a7ca70fe4ff75f0.us-east-1.aws.found.io/app/kibana#/discover/Steve-Slow-Train-Analysis-(2080s-and-2083s)?_g=(refreshInterval:(display:Off,pause:!f,section:0,value:0),time:(from:'2018-01-08T20:37:46-0700',mode:absolute,to:'2018-01-08T23:33:40-0700'))&amp;_a=(columns:!('Message%20ID',Summary),filters:!(),index:'emp_*',interval:auto,query:(query_string:(analyze_wildcard:!t,query:'%22rtdc.l.rtdc.4059%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844</v>
      </c>
      <c r="B143" s="225">
        <v>4044</v>
      </c>
      <c r="C143" s="227" t="s">
        <v>191</v>
      </c>
      <c r="D143" s="227" t="s">
        <v>942</v>
      </c>
      <c r="E143" s="226">
        <v>43108.879432870373</v>
      </c>
      <c r="F143" s="226">
        <v>43108.896018518521</v>
      </c>
      <c r="G143" s="225">
        <v>77</v>
      </c>
      <c r="H143" s="227" t="s">
        <v>943</v>
      </c>
      <c r="I143" s="226">
        <v>43108.920069444444</v>
      </c>
      <c r="J143" s="225">
        <v>0</v>
      </c>
      <c r="K143" s="237" t="str">
        <f t="shared" si="59"/>
        <v>4043/4044</v>
      </c>
      <c r="L143" s="245" t="str">
        <f>VLOOKUP(A143,'Trips&amp;Operators'!$C$1:$G$99911,5,FALSE)</f>
        <v>LOZA FIDEL</v>
      </c>
      <c r="M143" s="224">
        <f t="shared" si="60"/>
        <v>2.4050925923802424E-2</v>
      </c>
      <c r="N143" s="225">
        <f t="shared" si="51"/>
        <v>34.633333330275491</v>
      </c>
      <c r="O143" s="225"/>
      <c r="P143" s="225"/>
      <c r="Q143" s="228"/>
      <c r="R143" s="242"/>
      <c r="S143" s="249">
        <f t="shared" si="61"/>
        <v>1</v>
      </c>
      <c r="T143" s="242" t="str">
        <f t="shared" si="62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63"/>
        <v>https://d0f6bd738d7f1b3e5a7ca70fe4ff75f0.us-east-1.aws.found.io/app/kibana#/discover/Steve-Slow-Train-Analysis-(2080s-and-2083s)?_g=(refreshInterval:(display:Off,pause:!f,section:0,value:0),time:(from:'2018-01-08T20:06:23-0700',mode:absolute,to:'2018-01-08T23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247" t="str">
        <f>IF(AA143&lt;VLOOKUP(AG143,Variables!$AC$3:$AD$8,2,FALSE),"Y","N")</f>
        <v>N</v>
      </c>
      <c r="X143" s="247">
        <f t="shared" si="64"/>
        <v>1</v>
      </c>
      <c r="Y143" s="247">
        <f t="shared" si="57"/>
        <v>4.9700000000000001E-2</v>
      </c>
      <c r="Z143" s="247">
        <f t="shared" si="58"/>
        <v>23.323</v>
      </c>
      <c r="AA143" s="247">
        <f t="shared" si="65"/>
        <v>23.273299999999999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6"/>
        <v>231</v>
      </c>
      <c r="AE143" s="235" t="str">
        <f t="shared" si="67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43" s="234" t="str">
        <f t="shared" si="68"/>
        <v>"C:\Program Files (x86)\AstroGrep\AstroGrep.exe" /e /r /s /spath="%USERPROFILE%\AppData\Local\Temp\OnboardLogs" /stypes="app*4044*20180109*" /stext=" 05:.+((SYSTEM_STATE.+slice.+state.+changed )|(ment ac)|(multiple cpu faults)|(system.+state.+changed )|(\[timeout)|(PRM\|1\|D)|(kpr)|(kdp)|(train st.+moving)|(\|lc)|(penalty))"</v>
      </c>
      <c r="AG143" s="244" t="str">
        <f t="shared" si="69"/>
        <v>EC</v>
      </c>
      <c r="AH143" s="236" t="str">
        <f t="shared" ref="AH143:AH208" si="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231-08 --locoid 4044 --swversion DE.1.0.9.0 --startMP 204:497 --initTime 2018-01-08T21:06:23 --startdatetime 2018-01-08T21:30:16 --delay 77 --endMP 204:233230 --enddatetime 2018-01-08T22:04:54 --enforcementcount 0 &gt;&gt;%USERPROFILE%\Documents\GitHub\eaglep3-reporting\EC\2018-01-08-refined-times.txt</v>
      </c>
      <c r="AI143" s="238" t="str">
        <f t="shared" ref="AI143:AI208" si="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{"issue":{"subject":"","project_id":79,"tracker_id":40,"status_id":1,"priority_id":2,"assigned_to_id":338,"start_date":"2018-01-08","description":"","custom_fields":[{"id":1,"name":"Subdivision","value":"EC"},{"id":4,"name":"Milepost","value":"23.323"},{"id":17,"name":"Train ID","value":"231-08"},{"id":16,"name":"Locomotive ID","value":"4044"},{"id":130,"name":"Impact","value":""},{"id":150,"name":"Time of Event (Mountain Time)","value":"22:04:54"},{"id":151,"name":"Denver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:AM208" si="72">"start /low /b "&amp;dls3logs&amp;" --loco "&amp;B143&amp;" --day "&amp;TEXT(F143,"YYYY-MM-DD")</f>
        <v>start /low /b %USERPROFILE%\Documents\GitHub\eaglep3\Utilities\DownloadLogsFromS3.py --loco 4044 --day 2018-01-08</v>
      </c>
      <c r="AN143" s="241" t="str">
        <f t="shared" ref="AN143:AN208" si="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8" si="7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-08T20:06:23-0700',mode:absolute,to:'2018-01-08T23:04:54-0700'))&amp;_a=(columns:!('Message%20ID',Summary),filters:!(),index:'emp_*',interval:auto,query:(query_string:(analyze_wildcard:!t,query:'%22rtdc.l.rtdc.4044%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850</v>
      </c>
      <c r="B144" s="225">
        <v>4043</v>
      </c>
      <c r="C144" s="227" t="s">
        <v>191</v>
      </c>
      <c r="D144" s="227" t="s">
        <v>609</v>
      </c>
      <c r="E144" s="226">
        <v>43108.933425925927</v>
      </c>
      <c r="F144" s="226">
        <v>43108.935613425929</v>
      </c>
      <c r="G144" s="225">
        <v>57</v>
      </c>
      <c r="H144" s="227" t="s">
        <v>472</v>
      </c>
      <c r="I144" s="226">
        <v>43108.961631944447</v>
      </c>
      <c r="J144" s="225">
        <v>0</v>
      </c>
      <c r="K144" s="237" t="str">
        <f t="shared" si="59"/>
        <v>4043/4044</v>
      </c>
      <c r="L144" s="245" t="str">
        <f>VLOOKUP(A144,'Trips&amp;Operators'!$C$1:$G$99911,5,FALSE)</f>
        <v>LOZA FIDEL</v>
      </c>
      <c r="M144" s="224">
        <f t="shared" si="60"/>
        <v>2.6018518517958E-2</v>
      </c>
      <c r="N144" s="225">
        <f t="shared" si="51"/>
        <v>37.46666666585952</v>
      </c>
      <c r="O144" s="225"/>
      <c r="P144" s="225"/>
      <c r="Q144" s="228"/>
      <c r="R144" s="242"/>
      <c r="S144" s="249">
        <f t="shared" si="61"/>
        <v>1</v>
      </c>
      <c r="T144" s="242" t="str">
        <f t="shared" si="62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63"/>
        <v>https://d0f6bd738d7f1b3e5a7ca70fe4ff75f0.us-east-1.aws.found.io/app/kibana#/discover/Steve-Slow-Train-Analysis-(2080s-and-2083s)?_g=(refreshInterval:(display:Off,pause:!f,section:0,value:0),time:(from:'2018-01-08T21:24:08-0700',mode:absolute,to:'2018-01-09T00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247" t="str">
        <f>IF(AA144&lt;VLOOKUP(AG144,Variables!$AC$3:$AD$8,2,FALSE),"Y","N")</f>
        <v>N</v>
      </c>
      <c r="X144" s="247">
        <f t="shared" si="64"/>
        <v>1</v>
      </c>
      <c r="Y144" s="247">
        <f t="shared" si="57"/>
        <v>23.296399999999998</v>
      </c>
      <c r="Z144" s="247">
        <f t="shared" si="58"/>
        <v>2.1399999999999999E-2</v>
      </c>
      <c r="AA144" s="247">
        <f t="shared" si="65"/>
        <v>23.274999999999999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6"/>
        <v>232</v>
      </c>
      <c r="AE144" s="235" t="str">
        <f t="shared" si="67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44" s="234" t="str">
        <f t="shared" si="68"/>
        <v>"C:\Program Files (x86)\AstroGrep\AstroGrep.exe" /e /r /s /spath="%USERPROFILE%\AppData\Local\Temp\OnboardLogs" /stypes="app*4043*20180109*" /stext=" 06:.+((SYSTEM_STATE.+slice.+state.+changed )|(ment ac)|(multiple cpu faults)|(system.+state.+changed )|(\[timeout)|(PRM\|1\|D)|(kpr)|(kdp)|(train st.+moving)|(\|lc)|(penalty))"</v>
      </c>
      <c r="AG144" s="244" t="str">
        <f t="shared" si="69"/>
        <v>EC</v>
      </c>
      <c r="AH144" s="236" t="str">
        <f t="shared" si="70"/>
        <v>"%USERPROFILE%\Documents\GitHub\eaglep3\Utilities\RefineRTDCRunTimes.py" --tripid 232-08 --locoid 4043 --swversion DE.1.0.9.0 --startMP 204:232964 --initTime 2018-01-08T22:24:08 --startdatetime 2018-01-08T22:27:17 --delay 57 --endMP 204:214 --enddatetime 2018-01-08T23:04:45 --enforcementcount 0 &gt;&gt;%USERPROFILE%\Documents\GitHub\eaglep3-reporting\EC\2018-01-08-refined-times.txt</v>
      </c>
      <c r="AI144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ID","value":"232-08"},{"id":16,"name":"Locomotive ID","value":"4043"},{"id":130,"name":"Impact","value":""},{"id":150,"name":"Time of Event (Mountain Time)","value":"23:04:45"},{"id":151,"name":"Denver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72"/>
        <v>start /low /b %USERPROFILE%\Documents\GitHub\eaglep3\Utilities\DownloadLogsFromS3.py --loco 4043 --day 2018-01-08</v>
      </c>
      <c r="AN144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74"/>
        <v>https://d0f6bd738d7f1b3e5a7ca70fe4ff75f0.us-east-1.aws.found.io/app/kibana#/discover/Steve-Slow-Train-Analysis-(2080s-and-2083s)?_g=(refreshInterval:(display:Off,pause:!f,section:0,value:0),time:(from:'2018-01-08T21:24:08-0700',mode:absolute,to:'2018-01-09T00:04:45-0700'))&amp;_a=(columns:!('Message%20ID',Summary),filters:!(),index:'emp_*',interval:auto,query:(query_string:(analyze_wildcard:!t,query:'%22rtdc.l.rtdc.4043%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847</v>
      </c>
      <c r="B145" s="225">
        <v>4026</v>
      </c>
      <c r="C145" s="227" t="s">
        <v>191</v>
      </c>
      <c r="D145" s="227" t="s">
        <v>936</v>
      </c>
      <c r="E145" s="226">
        <v>43108.911574074074</v>
      </c>
      <c r="F145" s="226">
        <v>43108.916932870372</v>
      </c>
      <c r="G145" s="225">
        <v>79</v>
      </c>
      <c r="H145" s="227" t="s">
        <v>613</v>
      </c>
      <c r="I145" s="226">
        <v>43108.941689814812</v>
      </c>
      <c r="J145" s="225">
        <v>0</v>
      </c>
      <c r="K145" s="237" t="str">
        <f t="shared" si="59"/>
        <v>4025/4026</v>
      </c>
      <c r="L145" s="245" t="str">
        <f>VLOOKUP(A145,'Trips&amp;Operators'!$C$1:$G$99911,5,FALSE)</f>
        <v>RESPASS AARON</v>
      </c>
      <c r="M145" s="224">
        <f t="shared" si="60"/>
        <v>2.4756944440014195E-2</v>
      </c>
      <c r="N145" s="225">
        <f t="shared" si="51"/>
        <v>35.64999999362044</v>
      </c>
      <c r="O145" s="225"/>
      <c r="P145" s="225"/>
      <c r="Q145" s="228"/>
      <c r="R145" s="242"/>
      <c r="S145" s="249">
        <f t="shared" si="61"/>
        <v>1</v>
      </c>
      <c r="T145" s="242" t="str">
        <f t="shared" si="62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63"/>
        <v>https://d0f6bd738d7f1b3e5a7ca70fe4ff75f0.us-east-1.aws.found.io/app/kibana#/discover/Steve-Slow-Train-Analysis-(2080s-and-2083s)?_g=(refreshInterval:(display:Off,pause:!f,section:0,value:0),time:(from:'2018-01-08T20:52:40-0700',mode:absolute,to:'2018-01-08T23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247" t="str">
        <f>IF(AA145&lt;VLOOKUP(AG145,Variables!$AC$3:$AD$8,2,FALSE),"Y","N")</f>
        <v>N</v>
      </c>
      <c r="X145" s="247">
        <f t="shared" si="64"/>
        <v>1</v>
      </c>
      <c r="Y145" s="247">
        <f t="shared" si="57"/>
        <v>5.4399999999999997E-2</v>
      </c>
      <c r="Z145" s="247">
        <f t="shared" si="58"/>
        <v>23.325700000000001</v>
      </c>
      <c r="AA145" s="247">
        <f t="shared" si="65"/>
        <v>23.2713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6"/>
        <v>233</v>
      </c>
      <c r="AE145" s="235" t="str">
        <f t="shared" si="67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45" s="234" t="str">
        <f t="shared" si="68"/>
        <v>"C:\Program Files (x86)\AstroGrep\AstroGrep.exe" /e /r /s /spath="%USERPROFILE%\AppData\Local\Temp\OnboardLogs" /stypes="app*4026*20180109*" /stext=" 05:.+((SYSTEM_STATE.+slice.+state.+changed )|(ment ac)|(multiple cpu faults)|(system.+state.+changed )|(\[timeout)|(PRM\|1\|D)|(kpr)|(kdp)|(train st.+moving)|(\|lc)|(penalty))"</v>
      </c>
      <c r="AG145" s="244" t="str">
        <f t="shared" si="69"/>
        <v>EC</v>
      </c>
      <c r="AH145" s="236" t="str">
        <f t="shared" si="70"/>
        <v>"%USERPROFILE%\Documents\GitHub\eaglep3\Utilities\RefineRTDCRunTimes.py" --tripid 233-08 --locoid 4026 --swversion DE.1.0.9.0 --startMP 204:544 --initTime 2018-01-08T21:52:40 --startdatetime 2018-01-08T22:00:23 --delay 79 --endMP 204:233257 --enddatetime 2018-01-08T22:36:02 --enforcementcount 0 &gt;&gt;%USERPROFILE%\Documents\GitHub\eaglep3-reporting\EC\2018-01-08-refined-times.txt</v>
      </c>
      <c r="AI145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{"issue":{"subject":"","project_id":79,"tracker_id":40,"status_id":1,"priority_id":2,"assigned_to_id":338,"start_date":"2018-01-08","description":"","custom_fields":[{"id":1,"name":"Subdivision","value":"EC"},{"id":4,"name":"Milepost","value":"23.3257"},{"id":17,"name":"Train ID","value":"233-08"},{"id":16,"name":"Locomotive ID","value":"4026"},{"id":130,"name":"Impact","value":""},{"id":150,"name":"Time of Event (Mountain Time)","value":"22:36:02"},{"id":151,"name":"Denver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72"/>
        <v>start /low /b %USERPROFILE%\Documents\GitHub\eaglep3\Utilities\DownloadLogsFromS3.py --loco 4026 --day 2018-01-08</v>
      </c>
      <c r="AN145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74"/>
        <v>https://d0f6bd738d7f1b3e5a7ca70fe4ff75f0.us-east-1.aws.found.io/app/kibana#/discover/Steve-Slow-Train-Analysis-(2080s-and-2083s)?_g=(refreshInterval:(display:Off,pause:!f,section:0,value:0),time:(from:'2018-01-08T20:52:40-0700',mode:absolute,to:'2018-01-08T23:36:02-0700'))&amp;_a=(columns:!('Message%20ID',Summary),filters:!(),index:'emp_*',interval:auto,query:(query_string:(analyze_wildcard:!t,query:'%22rtdc.l.rtdc.4026%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853</v>
      </c>
      <c r="B146" s="225">
        <v>4025</v>
      </c>
      <c r="C146" s="227" t="s">
        <v>191</v>
      </c>
      <c r="D146" s="227" t="s">
        <v>532</v>
      </c>
      <c r="E146" s="226">
        <v>43108.944699074076</v>
      </c>
      <c r="F146" s="226">
        <v>43108.956400462965</v>
      </c>
      <c r="G146" s="225">
        <v>72</v>
      </c>
      <c r="H146" s="227" t="s">
        <v>944</v>
      </c>
      <c r="I146" s="226">
        <v>43108.982638888891</v>
      </c>
      <c r="J146" s="225">
        <v>0</v>
      </c>
      <c r="K146" s="237" t="str">
        <f t="shared" si="59"/>
        <v>4025/4026</v>
      </c>
      <c r="L146" s="245" t="str">
        <f>VLOOKUP(A146,'Trips&amp;Operators'!$C$1:$G$99911,5,FALSE)</f>
        <v>RESPASS AARON</v>
      </c>
      <c r="M146" s="224">
        <f t="shared" si="60"/>
        <v>2.6238425925839692E-2</v>
      </c>
      <c r="N146" s="225">
        <f t="shared" si="51"/>
        <v>37.783333333209157</v>
      </c>
      <c r="O146" s="225"/>
      <c r="P146" s="225"/>
      <c r="Q146" s="228"/>
      <c r="R146" s="242"/>
      <c r="S146" s="249">
        <f t="shared" si="61"/>
        <v>1</v>
      </c>
      <c r="T146" s="242" t="str">
        <f t="shared" si="62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63"/>
        <v>https://d0f6bd738d7f1b3e5a7ca70fe4ff75f0.us-east-1.aws.found.io/app/kibana#/discover/Steve-Slow-Train-Analysis-(2080s-and-2083s)?_g=(refreshInterval:(display:Off,pause:!f,section:0,value:0),time:(from:'2018-01-08T21:40:22-0700',mode:absolute,to:'2018-01-09T00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247" t="str">
        <f>IF(AA146&lt;VLOOKUP(AG146,Variables!$AC$3:$AD$8,2,FALSE),"Y","N")</f>
        <v>N</v>
      </c>
      <c r="X146" s="247">
        <f t="shared" si="64"/>
        <v>1</v>
      </c>
      <c r="Y146" s="247">
        <f t="shared" si="57"/>
        <v>23.293199999999999</v>
      </c>
      <c r="Z146" s="247">
        <f t="shared" si="58"/>
        <v>2.8299999999999999E-2</v>
      </c>
      <c r="AA146" s="247">
        <f t="shared" si="65"/>
        <v>23.264899999999997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6"/>
        <v>234</v>
      </c>
      <c r="AE146" s="235" t="str">
        <f t="shared" si="67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46" s="234" t="str">
        <f t="shared" si="68"/>
        <v>"C:\Program Files (x86)\AstroGrep\AstroGrep.exe" /e /r /s /spath="%USERPROFILE%\AppData\Local\Temp\OnboardLogs" /stypes="app*4025*20180109*" /stext=" 06:.+((SYSTEM_STATE.+slice.+state.+changed )|(ment ac)|(multiple cpu faults)|(system.+state.+changed )|(\[timeout)|(PRM\|1\|D)|(kpr)|(kdp)|(train st.+moving)|(\|lc)|(penalty))"</v>
      </c>
      <c r="AG146" s="244" t="str">
        <f t="shared" si="69"/>
        <v>EC</v>
      </c>
      <c r="AH146" s="236" t="str">
        <f t="shared" si="70"/>
        <v>"%USERPROFILE%\Documents\GitHub\eaglep3\Utilities\RefineRTDCRunTimes.py" --tripid 234-08 --locoid 4025 --swversion DE.1.0.9.0 --startMP 204:232932 --initTime 2018-01-08T22:40:22 --startdatetime 2018-01-08T22:57:13 --delay 72 --endMP 204:283 --enddatetime 2018-01-08T23:35:00 --enforcementcount 0 &gt;&gt;%USERPROFILE%\Documents\GitHub\eaglep3-reporting\EC\2018-01-08-refined-times.txt</v>
      </c>
      <c r="AI146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{"issue":{"subject":"","project_id":79,"tracker_id":40,"status_id":1,"priority_id":2,"assigned_to_id":338,"start_date":"2018-01-08","description":"","custom_fields":[{"id":1,"name":"Subdivision","value":"EC"},{"id":4,"name":"Milepost","value":"0.0283"},{"id":17,"name":"Train ID","value":"234-08"},{"id":16,"name":"Locomotive ID","value":"4025"},{"id":130,"name":"Impact","value":""},{"id":150,"name":"Time of Event (Mountain Time)","value":"23:35:00"},{"id":151,"name":"Denver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72"/>
        <v>start /low /b %USERPROFILE%\Documents\GitHub\eaglep3\Utilities\DownloadLogsFromS3.py --loco 4025 --day 2018-01-08</v>
      </c>
      <c r="AN146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74"/>
        <v>https://d0f6bd738d7f1b3e5a7ca70fe4ff75f0.us-east-1.aws.found.io/app/kibana#/discover/Steve-Slow-Train-Analysis-(2080s-and-2083s)?_g=(refreshInterval:(display:Off,pause:!f,section:0,value:0),time:(from:'2018-01-08T21:40:22-0700',mode:absolute,to:'2018-01-09T00:35:00-0700'))&amp;_a=(columns:!('Message%20ID',Summary),filters:!(),index:'emp_*',interval:auto,query:(query_string:(analyze_wildcard:!t,query:'%22rtdc.l.rtdc.4025%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849</v>
      </c>
      <c r="B147" s="225">
        <v>4020</v>
      </c>
      <c r="C147" s="227" t="s">
        <v>191</v>
      </c>
      <c r="D147" s="227" t="s">
        <v>464</v>
      </c>
      <c r="E147" s="226">
        <v>43108.922210648147</v>
      </c>
      <c r="F147" s="226">
        <v>43108.937708333331</v>
      </c>
      <c r="G147" s="225">
        <v>71</v>
      </c>
      <c r="H147" s="227" t="s">
        <v>932</v>
      </c>
      <c r="I147" s="226">
        <v>43108.962141203701</v>
      </c>
      <c r="J147" s="225">
        <v>0</v>
      </c>
      <c r="K147" s="237" t="str">
        <f t="shared" si="59"/>
        <v>4019/4020</v>
      </c>
      <c r="L147" s="245" t="str">
        <f>VLOOKUP(A147,'Trips&amp;Operators'!$C$1:$G$99911,5,FALSE)</f>
        <v>WILLIAMS DONTE</v>
      </c>
      <c r="M147" s="224">
        <f t="shared" si="60"/>
        <v>2.4432870370219462E-2</v>
      </c>
      <c r="N147" s="225">
        <f t="shared" si="51"/>
        <v>35.183333333116025</v>
      </c>
      <c r="O147" s="225"/>
      <c r="P147" s="225"/>
      <c r="Q147" s="228"/>
      <c r="R147" s="242"/>
      <c r="S147" s="249">
        <f t="shared" si="61"/>
        <v>1</v>
      </c>
      <c r="T147" s="242" t="str">
        <f t="shared" si="62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63"/>
        <v>https://d0f6bd738d7f1b3e5a7ca70fe4ff75f0.us-east-1.aws.found.io/app/kibana#/discover/Steve-Slow-Train-Analysis-(2080s-and-2083s)?_g=(refreshInterval:(display:Off,pause:!f,section:0,value:0),time:(from:'2018-01-08T21:07:59-0700',mode:absolute,to:'2018-01-09T00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7" s="247" t="str">
        <f>IF(AA147&lt;VLOOKUP(AG147,Variables!$AC$3:$AD$8,2,FALSE),"Y","N")</f>
        <v>N</v>
      </c>
      <c r="X147" s="247">
        <f t="shared" si="64"/>
        <v>1</v>
      </c>
      <c r="Y147" s="247">
        <f t="shared" si="57"/>
        <v>5.1700000000000003E-2</v>
      </c>
      <c r="Z147" s="247">
        <f t="shared" si="58"/>
        <v>23.3249</v>
      </c>
      <c r="AA147" s="247">
        <f t="shared" si="65"/>
        <v>23.273199999999999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66"/>
        <v>235</v>
      </c>
      <c r="AE147" s="235" t="str">
        <f t="shared" si="67"/>
        <v>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 &amp; 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</v>
      </c>
      <c r="AF147" s="234" t="str">
        <f t="shared" si="68"/>
        <v>"C:\Program Files (x86)\AstroGrep\AstroGrep.exe" /e /r /s /spath="%USERPROFILE%\AppData\Local\Temp\OnboardLogs" /stypes="app*4020*20180109*" /stext=" 06:.+((SYSTEM_STATE.+slice.+state.+changed )|(ment ac)|(multiple cpu faults)|(system.+state.+changed )|(\[timeout)|(PRM\|1\|D)|(kpr)|(kdp)|(train st.+moving)|(\|lc)|(penalty))"</v>
      </c>
      <c r="AG147" s="244" t="str">
        <f t="shared" si="69"/>
        <v>EC</v>
      </c>
      <c r="AH147" s="236" t="str">
        <f t="shared" si="70"/>
        <v>"%USERPROFILE%\Documents\GitHub\eaglep3\Utilities\RefineRTDCRunTimes.py" --tripid 235-08 --locoid 4020 --swversion DE.1.0.9.0 --startMP 204:517 --initTime 2018-01-08T22:07:59 --startdatetime 2018-01-08T22:30:18 --delay 71 --endMP 204:233249 --enddatetime 2018-01-08T23:05:29 --enforcementcount 0 &gt;&gt;%USERPROFILE%\Documents\GitHub\eaglep3-reporting\EC\2018-01-08-refined-times.txt</v>
      </c>
      <c r="AI147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{"issue":{"subject":"","project_id":79,"tracker_id":40,"status_id":1,"priority_id":2,"assigned_to_id":338,"start_date":"2018-01-08","description":"","custom_fields":[{"id":1,"name":"Subdivision","value":"EC"},{"id":4,"name":"Milepost","value":"23.3249"},{"id":17,"name":"Train ID","value":"235-08"},{"id":16,"name":"Locomotive ID","value":"4020"},{"id":130,"name":"Impact","value":""},{"id":150,"name":"Time of Event (Mountain Time)","value":"23:05:29"},{"id":151,"name":"Denver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72"/>
        <v>start /low /b %USERPROFILE%\Documents\GitHub\eaglep3\Utilities\DownloadLogsFromS3.py --loco 4020 --day 2018-01-08</v>
      </c>
      <c r="AN147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74"/>
        <v>https://d0f6bd738d7f1b3e5a7ca70fe4ff75f0.us-east-1.aws.found.io/app/kibana#/discover/Steve-Slow-Train-Analysis-(2080s-and-2083s)?_g=(refreshInterval:(display:Off,pause:!f,section:0,value:0),time:(from:'2018-01-08T21:07:59-0700',mode:absolute,to:'2018-01-09T00:05:29-0700'))&amp;_a=(columns:!('Message%20ID',Summary),filters:!(),index:'emp_*',interval:auto,query:(query_string:(analyze_wildcard:!t,query:'%22rtdc.l.rtdc.4020%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855</v>
      </c>
      <c r="B148" s="225">
        <v>4019</v>
      </c>
      <c r="C148" s="227" t="s">
        <v>191</v>
      </c>
      <c r="D148" s="227" t="s">
        <v>464</v>
      </c>
      <c r="E148" s="226">
        <v>43108.922210648147</v>
      </c>
      <c r="F148" s="226">
        <v>43108.977453703701</v>
      </c>
      <c r="G148" s="225">
        <v>71</v>
      </c>
      <c r="H148" s="227" t="s">
        <v>932</v>
      </c>
      <c r="I148" s="226">
        <v>43109.003518518519</v>
      </c>
      <c r="J148" s="225">
        <v>0</v>
      </c>
      <c r="K148" s="237" t="str">
        <f t="shared" si="59"/>
        <v>4019/4020</v>
      </c>
      <c r="L148" s="245" t="str">
        <f>VLOOKUP(A148,'Trips&amp;Operators'!$C$1:$G$99911,5,FALSE)</f>
        <v>WILLIAMS DONTE</v>
      </c>
      <c r="M148" s="224">
        <f t="shared" si="60"/>
        <v>2.6064814817800652E-2</v>
      </c>
      <c r="N148" s="225">
        <f t="shared" si="51"/>
        <v>37.533333337632939</v>
      </c>
      <c r="O148" s="225"/>
      <c r="P148" s="225"/>
      <c r="Q148" s="228"/>
      <c r="R148" s="242"/>
      <c r="S148" s="249">
        <f t="shared" si="61"/>
        <v>1</v>
      </c>
      <c r="T148" s="242" t="str">
        <f t="shared" si="62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63"/>
        <v>https://d0f6bd738d7f1b3e5a7ca70fe4ff75f0.us-east-1.aws.found.io/app/kibana#/discover/Steve-Slow-Train-Analysis-(2080s-and-2083s)?_g=(refreshInterval:(display:Off,pause:!f,section:0,value:0),time:(from:'2018-01-08T21:07:59-0700',mode:absolute,to:'2018-01-09T01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8" s="247" t="str">
        <f>IF(AA148&lt;VLOOKUP(AG148,Variables!$AC$3:$AD$8,2,FALSE),"Y","N")</f>
        <v>N</v>
      </c>
      <c r="X148" s="247">
        <f t="shared" si="64"/>
        <v>1</v>
      </c>
      <c r="Y148" s="247">
        <v>23.272600000000001</v>
      </c>
      <c r="Z148" s="247">
        <v>2.0299999999999999E-2</v>
      </c>
      <c r="AA148" s="247">
        <f t="shared" si="65"/>
        <v>23.252300000000002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6"/>
        <v>236</v>
      </c>
      <c r="AE148" s="235" t="str">
        <f t="shared" si="67"/>
        <v>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 &amp; 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</v>
      </c>
      <c r="AF148" s="234" t="str">
        <f t="shared" si="68"/>
        <v>"C:\Program Files (x86)\AstroGrep\AstroGrep.exe" /e /r /s /spath="%USERPROFILE%\AppData\Local\Temp\OnboardLogs" /stypes="app*4019*20180109*" /stext=" 07:.+((SYSTEM_STATE.+slice.+state.+changed )|(ment ac)|(multiple cpu faults)|(system.+state.+changed )|(\[timeout)|(PRM\|1\|D)|(kpr)|(kdp)|(train st.+moving)|(\|lc)|(penalty))"</v>
      </c>
      <c r="AG148" s="244" t="str">
        <f t="shared" si="69"/>
        <v>EC</v>
      </c>
      <c r="AH148" s="236" t="str">
        <f t="shared" ref="AH148" si="75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236-08 --locoid 4019 --swversion DE.1.0.9.0 --startMP 204:517 --initTime 2018-01-08T22:07:59 --startdatetime 2018-01-08T23:27:32 --delay 71 --endMP 204:233249 --enddatetime 2018-01-09T00:05:04 --enforcementcount 0 &gt;&gt;%USERPROFILE%\Documents\GitHub\eaglep3-reporting\EC\2018-01-08-refined-times.txt</v>
      </c>
      <c r="AI148" s="238" t="str">
        <f t="shared" ref="AI148" si="76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{"issue":{"subject":"","project_id":79,"tracker_id":40,"status_id":1,"priority_id":2,"assigned_to_id":338,"start_date":"2018-01-09","description":"","custom_fields":[{"id":1,"name":"Subdivision","value":"EC"},{"id":4,"name":"Milepost","value":"0.0203"},{"id":17,"name":"Train ID","value":"236-08"},{"id":16,"name":"Locomotive ID","value":"4019"},{"id":130,"name":"Impact","value":""},{"id":150,"name":"Time of Event (Mountain Time)","value":"00:05:04"},{"id":151,"name":"Denver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ref="AM148" si="77">"start /low /b "&amp;dls3logs&amp;" --loco "&amp;B148&amp;" --day "&amp;TEXT(F148,"YYYY-MM-DD")</f>
        <v>start /low /b %USERPROFILE%\Documents\GitHub\eaglep3\Utilities\DownloadLogsFromS3.py --loco 4019 --day 2018-01-08</v>
      </c>
      <c r="AN148" s="241" t="str">
        <f t="shared" ref="AN148" si="78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07:05:04"},{"id":29,"name":"Sharepoint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ref="AO148" si="79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-08T21:07:59-0700',mode:absolute,to:'2018-01-09T01:05:04-0700'))&amp;_a=(columns:!('Message%20ID',Summary),filters:!(),index:'emp_*',interval:auto,query:(query_string:(analyze_wildcard:!t,query:'%22rtdc.l.rtdc.4019%22')),sort:!(Time.ISO8601,asc))</v>
      </c>
    </row>
    <row r="149" spans="1:91" s="223" customFormat="1" x14ac:dyDescent="0.3">
      <c r="A149" s="229" t="s">
        <v>852</v>
      </c>
      <c r="B149" s="225">
        <v>4060</v>
      </c>
      <c r="C149" s="227" t="s">
        <v>191</v>
      </c>
      <c r="D149" s="227" t="s">
        <v>945</v>
      </c>
      <c r="E149" s="226">
        <v>43108.952013888891</v>
      </c>
      <c r="F149" s="226">
        <v>43108.958483796298</v>
      </c>
      <c r="G149" s="225">
        <v>65</v>
      </c>
      <c r="H149" s="227" t="s">
        <v>946</v>
      </c>
      <c r="I149" s="226">
        <v>43108.982430555552</v>
      </c>
      <c r="J149" s="225">
        <v>0</v>
      </c>
      <c r="K149" s="237" t="str">
        <f t="shared" si="59"/>
        <v>4059/4060</v>
      </c>
      <c r="L149" s="245" t="str">
        <f>VLOOKUP(A149,'Trips&amp;Operators'!$C$1:$G$99911,5,FALSE)</f>
        <v>ELBAUM MIKE</v>
      </c>
      <c r="M149" s="224">
        <f t="shared" si="60"/>
        <v>2.3946759254613426E-2</v>
      </c>
      <c r="N149" s="225">
        <f t="shared" si="51"/>
        <v>34.483333326643333</v>
      </c>
      <c r="O149" s="225"/>
      <c r="P149" s="225"/>
      <c r="Q149" s="228"/>
      <c r="R149" s="242"/>
      <c r="S149" s="249">
        <f t="shared" si="61"/>
        <v>1</v>
      </c>
      <c r="T149" s="242" t="str">
        <f t="shared" si="62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63"/>
        <v>https://d0f6bd738d7f1b3e5a7ca70fe4ff75f0.us-east-1.aws.found.io/app/kibana#/discover/Steve-Slow-Train-Analysis-(2080s-and-2083s)?_g=(refreshInterval:(display:Off,pause:!f,section:0,value:0),time:(from:'2018-01-08T21:50:54-0700',mode:absolute,to:'2018-01-09T00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9" s="247" t="str">
        <f>IF(AA149&lt;VLOOKUP(AG149,Variables!$AC$3:$AD$8,2,FALSE),"Y","N")</f>
        <v>N</v>
      </c>
      <c r="X149" s="247">
        <f t="shared" si="64"/>
        <v>1</v>
      </c>
      <c r="Y149" s="247">
        <f t="shared" ref="Y149:Y155" si="80">RIGHT(D149,LEN(D149)-4)/10000</f>
        <v>5.6000000000000001E-2</v>
      </c>
      <c r="Z149" s="247">
        <f t="shared" ref="Z149:Z155" si="81">RIGHT(H149,LEN(H149)-4)/10000</f>
        <v>23.325500000000002</v>
      </c>
      <c r="AA149" s="247">
        <f t="shared" si="65"/>
        <v>23.269500000000001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6"/>
        <v>237</v>
      </c>
      <c r="AE149" s="235" t="str">
        <f t="shared" si="67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49" s="234" t="str">
        <f t="shared" si="68"/>
        <v>"C:\Program Files (x86)\AstroGrep\AstroGrep.exe" /e /r /s /spath="%USERPROFILE%\AppData\Local\Temp\OnboardLogs" /stypes="app*4060*20180109*" /stext=" 06:.+((SYSTEM_STATE.+slice.+state.+changed )|(ment ac)|(multiple cpu faults)|(system.+state.+changed )|(\[timeout)|(PRM\|1\|D)|(kpr)|(kdp)|(train st.+moving)|(\|lc)|(penalty))"</v>
      </c>
      <c r="AG149" s="244" t="str">
        <f t="shared" si="69"/>
        <v>EC</v>
      </c>
      <c r="AH149" s="236" t="str">
        <f t="shared" si="70"/>
        <v>"%USERPROFILE%\Documents\GitHub\eaglep3\Utilities\RefineRTDCRunTimes.py" --tripid 237-08 --locoid 4060 --swversion DE.1.0.9.0 --startMP 204:560 --initTime 2018-01-08T22:50:54 --startdatetime 2018-01-08T23:00:13 --delay 65 --endMP 204:233255 --enddatetime 2018-01-08T23:34:42 --enforcementcount 0 &gt;&gt;%USERPROFILE%\Documents\GitHub\eaglep3-reporting\EC\2018-01-08-refined-times.txt</v>
      </c>
      <c r="AI149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{"issue":{"subject":"","project_id":79,"tracker_id":40,"status_id":1,"priority_id":2,"assigned_to_id":338,"start_date":"2018-01-08","description":"","custom_fields":[{"id":1,"name":"Subdivision","value":"EC"},{"id":4,"name":"Milepost","value":"23.3255"},{"id":17,"name":"Train ID","value":"237-08"},{"id":16,"name":"Locomotive ID","value":"4060"},{"id":130,"name":"Impact","value":""},{"id":150,"name":"Time of Event (Mountain Time)","value":"23:34:42"},{"id":151,"name":"Denver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72"/>
        <v>start /low /b %USERPROFILE%\Documents\GitHub\eaglep3\Utilities\DownloadLogsFromS3.py --loco 4060 --day 2018-01-08</v>
      </c>
      <c r="AN149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74"/>
        <v>https://d0f6bd738d7f1b3e5a7ca70fe4ff75f0.us-east-1.aws.found.io/app/kibana#/discover/Steve-Slow-Train-Analysis-(2080s-and-2083s)?_g=(refreshInterval:(display:Off,pause:!f,section:0,value:0),time:(from:'2018-01-08T21:50:54-0700',mode:absolute,to:'2018-01-09T00:34:42-0700'))&amp;_a=(columns:!('Message%20ID',Summary),filters:!(),index:'emp_*',interval:auto,query:(query_string:(analyze_wildcard:!t,query:'%22rtdc.l.rtdc.4060%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852</v>
      </c>
      <c r="B150" s="225">
        <v>4060</v>
      </c>
      <c r="C150" s="227" t="s">
        <v>191</v>
      </c>
      <c r="D150" s="227" t="s">
        <v>947</v>
      </c>
      <c r="E150" s="226">
        <v>43108.943715277775</v>
      </c>
      <c r="F150" s="226">
        <v>43108.958483796298</v>
      </c>
      <c r="G150" s="225">
        <v>50</v>
      </c>
      <c r="H150" s="227" t="s">
        <v>948</v>
      </c>
      <c r="I150" s="226">
        <v>43108.982430555552</v>
      </c>
      <c r="J150" s="225">
        <v>0</v>
      </c>
      <c r="K150" s="237" t="str">
        <f t="shared" si="59"/>
        <v>4059/4060</v>
      </c>
      <c r="L150" s="245" t="str">
        <f>VLOOKUP(A150,'Trips&amp;Operators'!$C$1:$G$99911,5,FALSE)</f>
        <v>ELBAUM MIKE</v>
      </c>
      <c r="M150" s="224">
        <f t="shared" si="60"/>
        <v>2.3946759254613426E-2</v>
      </c>
      <c r="N150" s="225"/>
      <c r="O150" s="225"/>
      <c r="P150" s="225"/>
      <c r="Q150" s="228"/>
      <c r="R150" s="242"/>
      <c r="S150" s="249"/>
      <c r="T150" s="242" t="str">
        <f t="shared" si="62"/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248" t="str">
        <f t="shared" si="63"/>
        <v>https://d0f6bd738d7f1b3e5a7ca70fe4ff75f0.us-east-1.aws.found.io/app/kibana#/discover/Steve-Slow-Train-Analysis-(2080s-and-2083s)?_g=(refreshInterval:(display:Off,pause:!f,section:0,value:0),time:(from:'2018-01-08T21:38:57-0700',mode:absolute,to:'2018-01-09T00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0" s="247" t="str">
        <f>IF(AA150&lt;VLOOKUP(AG150,Variables!$AC$3:$AD$8,2,FALSE),"Y","N")</f>
        <v>Y</v>
      </c>
      <c r="X150" s="247">
        <f t="shared" si="64"/>
        <v>0</v>
      </c>
      <c r="Y150" s="247">
        <f t="shared" si="80"/>
        <v>5.4899999999999997E-2</v>
      </c>
      <c r="Z150" s="247">
        <f t="shared" si="81"/>
        <v>5.7700000000000001E-2</v>
      </c>
      <c r="AA150" s="247">
        <f t="shared" si="65"/>
        <v>2.8000000000000039E-3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6"/>
        <v>237</v>
      </c>
      <c r="AE150" s="235" t="str">
        <f t="shared" si="67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50" s="234" t="str">
        <f t="shared" si="68"/>
        <v>"C:\Program Files (x86)\AstroGrep\AstroGrep.exe" /e /r /s /spath="%USERPROFILE%\AppData\Local\Temp\OnboardLogs" /stypes="app*4060*20180109*" /stext=" 06:.+((SYSTEM_STATE.+slice.+state.+changed )|(ment ac)|(multiple cpu faults)|(system.+state.+changed )|(\[timeout)|(PRM\|1\|D)|(kpr)|(kdp)|(train st.+moving)|(\|lc)|(penalty))"</v>
      </c>
      <c r="AG150" s="244" t="str">
        <f t="shared" si="69"/>
        <v>EC</v>
      </c>
      <c r="AH150" s="236" t="str">
        <f t="shared" si="70"/>
        <v>"%USERPROFILE%\Documents\GitHub\eaglep3\Utilities\RefineRTDCRunTimes.py" --tripid 237-08 --locoid 4060 --swversion DE.1.0.9.0 --startMP 204:549 --initTime 2018-01-08T22:38:57 --startdatetime 2018-01-08T23:00:13 --delay 50 --endMP 204:577 --enddatetime 2018-01-08T23:34:42 --enforcementcount 0 &gt;&gt;%USERPROFILE%\Documents\GitHub\eaglep3-reporting\EC\2018-01-08-refined-times.txt</v>
      </c>
      <c r="AI150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{"issue":{"subject":"","project_id":79,"tracker_id":40,"status_id":1,"priority_id":2,"assigned_to_id":338,"start_date":"2018-01-08","description":"","custom_fields":[{"id":1,"name":"Subdivision","value":"EC"},{"id":4,"name":"Milepost","value":"0.0577"},{"id":17,"name":"Train ID","value":"237-08"},{"id":16,"name":"Locomotive ID","value":"4060"},{"id":130,"name":"Impact","value":""},{"id":150,"name":"Time of Event (Mountain Time)","value":"23:34:42"},{"id":151,"name":"Denver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72"/>
        <v>start /low /b %USERPROFILE%\Documents\GitHub\eaglep3\Utilities\DownloadLogsFromS3.py --loco 4060 --day 2018-01-08</v>
      </c>
      <c r="AN150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74"/>
        <v>https://d0f6bd738d7f1b3e5a7ca70fe4ff75f0.us-east-1.aws.found.io/app/kibana#/discover/Steve-Slow-Train-Analysis-(2080s-and-2083s)?_g=(refreshInterval:(display:Off,pause:!f,section:0,value:0),time:(from:'2018-01-08T21:38:57-0700',mode:absolute,to:'2018-01-09T00:34:42-0700'))&amp;_a=(columns:!('Message%20ID',Summary),filters:!(),index:'emp_*',interval:auto,query:(query_string:(analyze_wildcard:!t,query:'%22rtdc.l.rtdc.4060%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857</v>
      </c>
      <c r="B151" s="225">
        <v>4059</v>
      </c>
      <c r="C151" s="227" t="s">
        <v>191</v>
      </c>
      <c r="D151" s="227" t="s">
        <v>610</v>
      </c>
      <c r="E151" s="226">
        <v>43108.996099537035</v>
      </c>
      <c r="F151" s="226">
        <v>43108.998067129629</v>
      </c>
      <c r="G151" s="225">
        <v>52</v>
      </c>
      <c r="H151" s="227" t="s">
        <v>867</v>
      </c>
      <c r="I151" s="226">
        <v>43109.022974537038</v>
      </c>
      <c r="J151" s="225">
        <v>0</v>
      </c>
      <c r="K151" s="237" t="str">
        <f t="shared" si="59"/>
        <v>4059/4060</v>
      </c>
      <c r="L151" s="245" t="str">
        <f>VLOOKUP(A151,'Trips&amp;Operators'!$C$1:$G$99911,5,FALSE)</f>
        <v>AUSTIN THOMPSON</v>
      </c>
      <c r="M151" s="224">
        <f t="shared" si="60"/>
        <v>2.4907407409045845E-2</v>
      </c>
      <c r="N151" s="225">
        <f t="shared" ref="N151:N182" si="82">24*60*SUM($M151:$M151)</f>
        <v>35.866666669026017</v>
      </c>
      <c r="O151" s="225"/>
      <c r="P151" s="225"/>
      <c r="Q151" s="228"/>
      <c r="R151" s="242"/>
      <c r="S151" s="249">
        <f t="shared" ref="S151:S182" si="83">1/IF(AG151="EC",12,1)*SUM(U151:U151)</f>
        <v>1</v>
      </c>
      <c r="T151" s="242" t="str">
        <f t="shared" si="62"/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63"/>
        <v>https://d0f6bd738d7f1b3e5a7ca70fe4ff75f0.us-east-1.aws.found.io/app/kibana#/discover/Steve-Slow-Train-Analysis-(2080s-and-2083s)?_g=(refreshInterval:(display:Off,pause:!f,section:0,value:0),time:(from:'2018-01-08T22:54:23-0700',mode:absolute,to:'2018-01-09T01:33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1" s="247" t="str">
        <f>IF(AA151&lt;VLOOKUP(AG151,Variables!$AC$3:$AD$8,2,FALSE),"Y","N")</f>
        <v>N</v>
      </c>
      <c r="X151" s="247">
        <f t="shared" si="64"/>
        <v>1</v>
      </c>
      <c r="Y151" s="247">
        <f t="shared" si="80"/>
        <v>23.292999999999999</v>
      </c>
      <c r="Z151" s="247">
        <f t="shared" si="81"/>
        <v>2.3800000000000002E-2</v>
      </c>
      <c r="AA151" s="247">
        <f t="shared" si="65"/>
        <v>23.269199999999998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6"/>
        <v>238</v>
      </c>
      <c r="AE151" s="235" t="str">
        <f t="shared" si="67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51" s="234" t="str">
        <f t="shared" si="68"/>
        <v>"C:\Program Files (x86)\AstroGrep\AstroGrep.exe" /e /r /s /spath="%USERPROFILE%\AppData\Local\Temp\OnboardLogs" /stypes="app*4059*20180109*" /stext=" 07:.+((SYSTEM_STATE.+slice.+state.+changed )|(ment ac)|(multiple cpu faults)|(system.+state.+changed )|(\[timeout)|(PRM\|1\|D)|(kpr)|(kdp)|(train st.+moving)|(\|lc)|(penalty))"</v>
      </c>
      <c r="AG151" s="244" t="str">
        <f t="shared" si="69"/>
        <v>EC</v>
      </c>
      <c r="AH151" s="236" t="str">
        <f t="shared" si="70"/>
        <v>"%USERPROFILE%\Documents\GitHub\eaglep3\Utilities\RefineRTDCRunTimes.py" --tripid 238-08 --locoid 4059 --swversion DE.1.0.9.0 --startMP 204:232930 --initTime 2018-01-08T23:54:23 --startdatetime 2018-01-08T23:57:13 --delay 52 --endMP 204:238 --enddatetime 2018-01-09T00:33:05 --enforcementcount 0 &gt;&gt;%USERPROFILE%\Documents\GitHub\eaglep3-reporting\EC\2018-01-08-refined-times.txt</v>
      </c>
      <c r="AI151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{"issue":{"subject":"","project_id":79,"tracker_id":40,"status_id":1,"priority_id":2,"assigned_to_id":338,"start_date":"2018-01-09","description":"","custom_fields":[{"id":1,"name":"Subdivision","value":"EC"},{"id":4,"name":"Milepost","value":"0.0238"},{"id":17,"name":"Train ID","value":"238-08"},{"id":16,"name":"Locomotive ID","value":"4059"},{"id":130,"name":"Impact","value":""},{"id":150,"name":"Time of Event (Mountain Time)","value":"00:33:05"},{"id":151,"name":"Denver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72"/>
        <v>start /low /b %USERPROFILE%\Documents\GitHub\eaglep3\Utilities\DownloadLogsFromS3.py --loco 4059 --day 2018-01-08</v>
      </c>
      <c r="AN151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07:33:05"},{"id":29,"name":"Sharepoint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74"/>
        <v>https://d0f6bd738d7f1b3e5a7ca70fe4ff75f0.us-east-1.aws.found.io/app/kibana#/discover/Steve-Slow-Train-Analysis-(2080s-and-2083s)?_g=(refreshInterval:(display:Off,pause:!f,section:0,value:0),time:(from:'2018-01-08T22:54:23-0700',mode:absolute,to:'2018-01-09T01:33:05-0700'))&amp;_a=(columns:!('Message%20ID',Summary),filters:!(),index:'emp_*',interval:auto,query:(query_string:(analyze_wildcard:!t,query:'%22rtdc.l.rtdc.4059%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854</v>
      </c>
      <c r="B152" s="225">
        <v>4044</v>
      </c>
      <c r="C152" s="227" t="s">
        <v>191</v>
      </c>
      <c r="D152" s="227" t="s">
        <v>593</v>
      </c>
      <c r="E152" s="226">
        <v>43108.966215277775</v>
      </c>
      <c r="F152" s="226">
        <v>43108.97934027778</v>
      </c>
      <c r="G152" s="225">
        <v>55</v>
      </c>
      <c r="H152" s="227" t="s">
        <v>949</v>
      </c>
      <c r="I152" s="226">
        <v>43109.003368055557</v>
      </c>
      <c r="J152" s="225">
        <v>0</v>
      </c>
      <c r="K152" s="237" t="str">
        <f t="shared" si="59"/>
        <v>4043/4044</v>
      </c>
      <c r="L152" s="245" t="str">
        <f>VLOOKUP(A152,'Trips&amp;Operators'!$C$1:$G$99911,5,FALSE)</f>
        <v>LOZA FIDEL</v>
      </c>
      <c r="M152" s="224">
        <f t="shared" si="60"/>
        <v>2.4027777777519077E-2</v>
      </c>
      <c r="N152" s="225">
        <f t="shared" si="82"/>
        <v>34.599999999627471</v>
      </c>
      <c r="O152" s="225"/>
      <c r="P152" s="225"/>
      <c r="Q152" s="228"/>
      <c r="R152" s="242"/>
      <c r="S152" s="249">
        <f t="shared" si="83"/>
        <v>1</v>
      </c>
      <c r="T152" s="242" t="str">
        <f t="shared" si="62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63"/>
        <v>https://d0f6bd738d7f1b3e5a7ca70fe4ff75f0.us-east-1.aws.found.io/app/kibana#/discover/Steve-Slow-Train-Analysis-(2080s-and-2083s)?_g=(refreshInterval:(display:Off,pause:!f,section:0,value:0),time:(from:'2018-01-08T22:11:21-0700',mode:absolute,to:'2018-01-09T01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247" t="str">
        <f>IF(AA152&lt;VLOOKUP(AG152,Variables!$AC$3:$AD$8,2,FALSE),"Y","N")</f>
        <v>N</v>
      </c>
      <c r="X152" s="247">
        <f t="shared" si="64"/>
        <v>1</v>
      </c>
      <c r="Y152" s="247">
        <f t="shared" si="80"/>
        <v>5.3699999999999998E-2</v>
      </c>
      <c r="Z152" s="247">
        <f t="shared" si="81"/>
        <v>23.3325</v>
      </c>
      <c r="AA152" s="247">
        <f t="shared" si="65"/>
        <v>23.2788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6"/>
        <v>239</v>
      </c>
      <c r="AE152" s="235" t="str">
        <f t="shared" si="67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52" s="234" t="str">
        <f t="shared" si="68"/>
        <v>"C:\Program Files (x86)\AstroGrep\AstroGrep.exe" /e /r /s /spath="%USERPROFILE%\AppData\Local\Temp\OnboardLogs" /stypes="app*4044*20180109*" /stext=" 07:.+((SYSTEM_STATE.+slice.+state.+changed )|(ment ac)|(multiple cpu faults)|(system.+state.+changed )|(\[timeout)|(PRM\|1\|D)|(kpr)|(kdp)|(train st.+moving)|(\|lc)|(penalty))"</v>
      </c>
      <c r="AG152" s="244" t="str">
        <f t="shared" si="69"/>
        <v>EC</v>
      </c>
      <c r="AH152" s="236" t="str">
        <f t="shared" si="70"/>
        <v>"%USERPROFILE%\Documents\GitHub\eaglep3\Utilities\RefineRTDCRunTimes.py" --tripid 239-08 --locoid 4044 --swversion DE.1.0.9.0 --startMP 204:537 --initTime 2018-01-08T23:11:21 --startdatetime 2018-01-08T23:30:15 --delay 55 --endMP 204:233325 --enddatetime 2018-01-09T00:04:51 --enforcementcount 0 &gt;&gt;%USERPROFILE%\Documents\GitHub\eaglep3-reporting\EC\2018-01-08-refined-times.txt</v>
      </c>
      <c r="AI152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{"issue":{"subject":"","project_id":79,"tracker_id":40,"status_id":1,"priority_id":2,"assigned_to_id":338,"start_date":"2018-01-09","description":"","custom_fields":[{"id":1,"name":"Subdivision","value":"EC"},{"id":4,"name":"Milepost","value":"23.3325"},{"id":17,"name":"Train ID","value":"239-08"},{"id":16,"name":"Locomotive ID","value":"4044"},{"id":130,"name":"Impact","value":""},{"id":150,"name":"Time of Event (Mountain Time)","value":"00:04:51"},{"id":151,"name":"Denver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72"/>
        <v>start /low /b %USERPROFILE%\Documents\GitHub\eaglep3\Utilities\DownloadLogsFromS3.py --loco 4044 --day 2018-01-08</v>
      </c>
      <c r="AN152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07:04:51"},{"id":29,"name":"Sharepoint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74"/>
        <v>https://d0f6bd738d7f1b3e5a7ca70fe4ff75f0.us-east-1.aws.found.io/app/kibana#/discover/Steve-Slow-Train-Analysis-(2080s-and-2083s)?_g=(refreshInterval:(display:Off,pause:!f,section:0,value:0),time:(from:'2018-01-08T22:11:21-0700',mode:absolute,to:'2018-01-09T01:04:51-0700'))&amp;_a=(columns:!('Message%20ID',Summary),filters:!(),index:'emp_*',interval:auto,query:(query_string:(analyze_wildcard:!t,query:'%22rtdc.l.rtdc.4044%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9" t="s">
        <v>448</v>
      </c>
      <c r="B153" s="225">
        <v>4043</v>
      </c>
      <c r="C153" s="227" t="s">
        <v>191</v>
      </c>
      <c r="D153" s="227" t="s">
        <v>550</v>
      </c>
      <c r="E153" s="226">
        <v>43109.01635416667</v>
      </c>
      <c r="F153" s="226">
        <v>43109.018935185188</v>
      </c>
      <c r="G153" s="225">
        <v>57</v>
      </c>
      <c r="H153" s="227" t="s">
        <v>515</v>
      </c>
      <c r="I153" s="226">
        <v>43109.044421296298</v>
      </c>
      <c r="J153" s="225">
        <v>0</v>
      </c>
      <c r="K153" s="237" t="str">
        <f t="shared" si="59"/>
        <v>4043/4044</v>
      </c>
      <c r="L153" s="245" t="str">
        <f>VLOOKUP(A153,'Trips&amp;Operators'!$C$1:$G$99911,5,FALSE)</f>
        <v>LOZA FIDEL</v>
      </c>
      <c r="M153" s="224">
        <f t="shared" si="60"/>
        <v>2.548611110978527E-2</v>
      </c>
      <c r="N153" s="225">
        <f t="shared" si="82"/>
        <v>36.699999998090789</v>
      </c>
      <c r="O153" s="225"/>
      <c r="P153" s="225"/>
      <c r="Q153" s="228"/>
      <c r="R153" s="242"/>
      <c r="S153" s="249">
        <f t="shared" si="83"/>
        <v>1</v>
      </c>
      <c r="T153" s="242" t="str">
        <f t="shared" si="62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63"/>
        <v>https://d0f6bd738d7f1b3e5a7ca70fe4ff75f0.us-east-1.aws.found.io/app/kibana#/discover/Steve-Slow-Train-Analysis-(2080s-and-2083s)?_g=(refreshInterval:(display:Off,pause:!f,section:0,value:0),time:(from:'2018-01-08T23:23:33-0700',mode:absolute,to:'2018-01-09T02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247" t="str">
        <f>IF(AA153&lt;VLOOKUP(AG153,Variables!$AC$3:$AD$8,2,FALSE),"Y","N")</f>
        <v>N</v>
      </c>
      <c r="X153" s="247">
        <f t="shared" si="64"/>
        <v>1</v>
      </c>
      <c r="Y153" s="247">
        <f t="shared" si="80"/>
        <v>23.2989</v>
      </c>
      <c r="Z153" s="247">
        <f t="shared" si="81"/>
        <v>2.12E-2</v>
      </c>
      <c r="AA153" s="247">
        <f t="shared" si="65"/>
        <v>23.277699999999999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6"/>
        <v>240</v>
      </c>
      <c r="AE153" s="235" t="str">
        <f t="shared" si="67"/>
        <v>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 &amp; 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</v>
      </c>
      <c r="AF153" s="234" t="str">
        <f t="shared" si="68"/>
        <v>"C:\Program Files (x86)\AstroGrep\AstroGrep.exe" /e /r /s /spath="%USERPROFILE%\AppData\Local\Temp\OnboardLogs" /stypes="app*4043*20180109*" /stext=" 08:.+((SYSTEM_STATE.+slice.+state.+changed )|(ment ac)|(multiple cpu faults)|(system.+state.+changed )|(\[timeout)|(PRM\|1\|D)|(kpr)|(kdp)|(train st.+moving)|(\|lc)|(penalty))"</v>
      </c>
      <c r="AG153" s="244" t="str">
        <f t="shared" si="69"/>
        <v>EC</v>
      </c>
      <c r="AH153" s="236" t="str">
        <f t="shared" si="70"/>
        <v>"%USERPROFILE%\Documents\GitHub\eaglep3\Utilities\RefineRTDCRunTimes.py" --tripid 240-08 --locoid 4043 --swversion DE.1.0.9.0 --startMP 204:232989 --initTime 2018-01-09T00:23:33 --startdatetime 2018-01-09T00:27:16 --delay 57 --endMP 204:212 --enddatetime 2018-01-09T01:03:58 --enforcementcount 0 &gt;&gt;%USERPROFILE%\Documents\GitHub\eaglep3-reporting\EC\2018-01-08-refined-times.txt</v>
      </c>
      <c r="AI153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{"issue":{"subject":"","project_id":79,"tracker_id":40,"status_id":1,"priority_id":2,"assigned_to_id":338,"start_date":"2018-01-09","description":"","custom_fields":[{"id":1,"name":"Subdivision","value":"EC"},{"id":4,"name":"Milepost","value":"0.0212"},{"id":17,"name":"Train ID","value":"240-08"},{"id":16,"name":"Locomotive ID","value":"4043"},{"id":130,"name":"Impact","value":""},{"id":150,"name":"Time of Event (Mountain Time)","value":"01:03:58"},{"id":151,"name":"Denver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72"/>
        <v>start /low /b %USERPROFILE%\Documents\GitHub\eaglep3\Utilities\DownloadLogsFromS3.py --loco 4043 --day 2018-01-09</v>
      </c>
      <c r="AN153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74"/>
        <v>https://d0f6bd738d7f1b3e5a7ca70fe4ff75f0.us-east-1.aws.found.io/app/kibana#/discover/Steve-Slow-Train-Analysis-(2080s-and-2083s)?_g=(refreshInterval:(display:Off,pause:!f,section:0,value:0),time:(from:'2018-01-08T23:23:33-0700',mode:absolute,to:'2018-01-09T02:03:58-0700'))&amp;_a=(columns:!('Message%20ID',Summary),filters:!(),index:'emp_*',interval:auto,query:(query_string:(analyze_wildcard:!t,query:'%22rtdc.l.rtdc.4043%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9" t="s">
        <v>856</v>
      </c>
      <c r="B154" s="225">
        <v>4026</v>
      </c>
      <c r="C154" s="227" t="s">
        <v>191</v>
      </c>
      <c r="D154" s="227" t="s">
        <v>950</v>
      </c>
      <c r="E154" s="226">
        <v>43108.984652777777</v>
      </c>
      <c r="F154" s="226">
        <v>43109.000300925924</v>
      </c>
      <c r="G154" s="225">
        <v>50</v>
      </c>
      <c r="H154" s="227" t="s">
        <v>613</v>
      </c>
      <c r="I154" s="226">
        <v>43109.02484953704</v>
      </c>
      <c r="J154" s="225">
        <v>0</v>
      </c>
      <c r="K154" s="237" t="str">
        <f t="shared" si="59"/>
        <v>4025/4026</v>
      </c>
      <c r="L154" s="245" t="str">
        <f>VLOOKUP(A154,'Trips&amp;Operators'!$C$1:$G$99911,5,FALSE)</f>
        <v>RESPASS AARON</v>
      </c>
      <c r="M154" s="224">
        <f t="shared" si="60"/>
        <v>2.4548611116188113E-2</v>
      </c>
      <c r="N154" s="225">
        <f t="shared" si="82"/>
        <v>35.350000007310882</v>
      </c>
      <c r="O154" s="225"/>
      <c r="P154" s="225"/>
      <c r="Q154" s="228"/>
      <c r="R154" s="242"/>
      <c r="S154" s="249">
        <f t="shared" si="83"/>
        <v>1</v>
      </c>
      <c r="T154" s="242" t="str">
        <f t="shared" si="62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63"/>
        <v>https://d0f6bd738d7f1b3e5a7ca70fe4ff75f0.us-east-1.aws.found.io/app/kibana#/discover/Steve-Slow-Train-Analysis-(2080s-and-2083s)?_g=(refreshInterval:(display:Off,pause:!f,section:0,value:0),time:(from:'2018-01-08T22:37:54-0700',mode:absolute,to:'2018-01-09T01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247" t="str">
        <f>IF(AA154&lt;VLOOKUP(AG154,Variables!$AC$3:$AD$8,2,FALSE),"Y","N")</f>
        <v>N</v>
      </c>
      <c r="X154" s="247">
        <f t="shared" si="64"/>
        <v>1</v>
      </c>
      <c r="Y154" s="247">
        <f t="shared" si="80"/>
        <v>5.8200000000000002E-2</v>
      </c>
      <c r="Z154" s="247">
        <f t="shared" si="81"/>
        <v>23.325700000000001</v>
      </c>
      <c r="AA154" s="247">
        <f t="shared" si="65"/>
        <v>23.267500000000002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6"/>
        <v>241</v>
      </c>
      <c r="AE154" s="235" t="str">
        <f t="shared" si="67"/>
        <v>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 &amp; 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</v>
      </c>
      <c r="AF154" s="234" t="str">
        <f t="shared" si="68"/>
        <v>"C:\Program Files (x86)\AstroGrep\AstroGrep.exe" /e /r /s /spath="%USERPROFILE%\AppData\Local\Temp\OnboardLogs" /stypes="app*4026*20180109*" /stext=" 07:.+((SYSTEM_STATE.+slice.+state.+changed )|(ment ac)|(multiple cpu faults)|(system.+state.+changed )|(\[timeout)|(PRM\|1\|D)|(kpr)|(kdp)|(train st.+moving)|(\|lc)|(penalty))"</v>
      </c>
      <c r="AG154" s="244" t="str">
        <f t="shared" si="69"/>
        <v>EC</v>
      </c>
      <c r="AH154" s="236" t="str">
        <f t="shared" si="70"/>
        <v>"%USERPROFILE%\Documents\GitHub\eaglep3\Utilities\RefineRTDCRunTimes.py" --tripid 241-08 --locoid 4026 --swversion DE.1.0.9.0 --startMP 204:582 --initTime 2018-01-08T23:37:54 --startdatetime 2018-01-09T00:00:26 --delay 50 --endMP 204:233257 --enddatetime 2018-01-09T00:35:47 --enforcementcount 0 &gt;&gt;%USERPROFILE%\Documents\GitHub\eaglep3-reporting\EC\2018-01-08-refined-times.txt</v>
      </c>
      <c r="AI154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{"issue":{"subject":"","project_id":79,"tracker_id":40,"status_id":1,"priority_id":2,"assigned_to_id":338,"start_date":"2018-01-09","description":"","custom_fields":[{"id":1,"name":"Subdivision","value":"EC"},{"id":4,"name":"Milepost","value":"23.3257"},{"id":17,"name":"Train ID","value":"241-08"},{"id":16,"name":"Locomotive ID","value":"4026"},{"id":130,"name":"Impact","value":""},{"id":150,"name":"Time of Event (Mountain Time)","value":"00:35:47"},{"id":151,"name":"Denver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72"/>
        <v>start /low /b %USERPROFILE%\Documents\GitHub\eaglep3\Utilities\DownloadLogsFromS3.py --loco 4026 --day 2018-01-09</v>
      </c>
      <c r="AN154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74"/>
        <v>https://d0f6bd738d7f1b3e5a7ca70fe4ff75f0.us-east-1.aws.found.io/app/kibana#/discover/Steve-Slow-Train-Analysis-(2080s-and-2083s)?_g=(refreshInterval:(display:Off,pause:!f,section:0,value:0),time:(from:'2018-01-08T22:37:54-0700',mode:absolute,to:'2018-01-09T01:35:47-0700'))&amp;_a=(columns:!('Message%20ID',Summary),filters:!(),index:'emp_*',interval:auto,query:(query_string:(analyze_wildcard:!t,query:'%22rtdc.l.rtdc.4026%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450</v>
      </c>
      <c r="B155" s="225">
        <v>4025</v>
      </c>
      <c r="C155" s="227" t="s">
        <v>191</v>
      </c>
      <c r="D155" s="227" t="s">
        <v>610</v>
      </c>
      <c r="E155" s="226">
        <v>43109.034409722219</v>
      </c>
      <c r="F155" s="226">
        <v>43109.039780092593</v>
      </c>
      <c r="G155" s="225">
        <v>89</v>
      </c>
      <c r="H155" s="227" t="s">
        <v>944</v>
      </c>
      <c r="I155" s="226">
        <v>43109.065613425926</v>
      </c>
      <c r="J155" s="225">
        <v>0</v>
      </c>
      <c r="K155" s="237" t="str">
        <f t="shared" si="59"/>
        <v>4025/4026</v>
      </c>
      <c r="L155" s="245" t="str">
        <f>VLOOKUP(A155,'Trips&amp;Operators'!$C$1:$G$99911,5,FALSE)</f>
        <v>RESPASS AARON</v>
      </c>
      <c r="M155" s="224">
        <f t="shared" si="60"/>
        <v>2.5833333333139308E-2</v>
      </c>
      <c r="N155" s="225">
        <f t="shared" si="82"/>
        <v>37.199999999720603</v>
      </c>
      <c r="O155" s="225"/>
      <c r="P155" s="225"/>
      <c r="Q155" s="228"/>
      <c r="R155" s="242"/>
      <c r="S155" s="249">
        <f t="shared" si="83"/>
        <v>1</v>
      </c>
      <c r="T155" s="242" t="str">
        <f t="shared" si="62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63"/>
        <v>https://d0f6bd738d7f1b3e5a7ca70fe4ff75f0.us-east-1.aws.found.io/app/kibana#/discover/Steve-Slow-Train-Analysis-(2080s-and-2083s)?_g=(refreshInterval:(display:Off,pause:!f,section:0,value:0),time:(from:'2018-01-08T23:49:33-0700',mode:absolute,to:'2018-01-09T02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47" t="str">
        <f>IF(AA155&lt;VLOOKUP(AG155,Variables!$AC$3:$AD$8,2,FALSE),"Y","N")</f>
        <v>N</v>
      </c>
      <c r="X155" s="247">
        <f t="shared" si="64"/>
        <v>1</v>
      </c>
      <c r="Y155" s="247">
        <f t="shared" si="80"/>
        <v>23.292999999999999</v>
      </c>
      <c r="Z155" s="247">
        <f t="shared" si="81"/>
        <v>2.8299999999999999E-2</v>
      </c>
      <c r="AA155" s="247">
        <f t="shared" si="65"/>
        <v>23.264699999999998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6"/>
        <v>242</v>
      </c>
      <c r="AE155" s="235" t="str">
        <f t="shared" si="67"/>
        <v>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 &amp; 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</v>
      </c>
      <c r="AF155" s="234" t="str">
        <f t="shared" si="68"/>
        <v>"C:\Program Files (x86)\AstroGrep\AstroGrep.exe" /e /r /s /spath="%USERPROFILE%\AppData\Local\Temp\OnboardLogs" /stypes="app*4025*20180109*" /stext=" 08:.+((SYSTEM_STATE.+slice.+state.+changed )|(ment ac)|(multiple cpu faults)|(system.+state.+changed )|(\[timeout)|(PRM\|1\|D)|(kpr)|(kdp)|(train st.+moving)|(\|lc)|(penalty))"</v>
      </c>
      <c r="AG155" s="244" t="str">
        <f t="shared" si="69"/>
        <v>EC</v>
      </c>
      <c r="AH155" s="236" t="str">
        <f t="shared" si="70"/>
        <v>"%USERPROFILE%\Documents\GitHub\eaglep3\Utilities\RefineRTDCRunTimes.py" --tripid 242-08 --locoid 4025 --swversion DE.1.0.9.0 --startMP 204:232930 --initTime 2018-01-09T00:49:33 --startdatetime 2018-01-09T00:57:17 --delay 89 --endMP 204:283 --enddatetime 2018-01-09T01:34:29 --enforcementcount 0 &gt;&gt;%USERPROFILE%\Documents\GitHub\eaglep3-reporting\EC\2018-01-08-refined-times.txt</v>
      </c>
      <c r="AI155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{"issue":{"subject":"","project_id":79,"tracker_id":40,"status_id":1,"priority_id":2,"assigned_to_id":338,"start_date":"2018-01-09","description":"","custom_fields":[{"id":1,"name":"Subdivision","value":"EC"},{"id":4,"name":"Milepost","value":"0.0283"},{"id":17,"name":"Train ID","value":"242-08"},{"id":16,"name":"Locomotive ID","value":"4025"},{"id":130,"name":"Impact","value":""},{"id":150,"name":"Time of Event (Mountain Time)","value":"01:34:29"},{"id":151,"name":"Denver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72"/>
        <v>start /low /b %USERPROFILE%\Documents\GitHub\eaglep3\Utilities\DownloadLogsFromS3.py --loco 4025 --day 2018-01-09</v>
      </c>
      <c r="AN155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74"/>
        <v>https://d0f6bd738d7f1b3e5a7ca70fe4ff75f0.us-east-1.aws.found.io/app/kibana#/discover/Steve-Slow-Train-Analysis-(2080s-and-2083s)?_g=(refreshInterval:(display:Off,pause:!f,section:0,value:0),time:(from:'2018-01-08T23:49:33-0700',mode:absolute,to:'2018-01-09T02:34:29-0700'))&amp;_a=(columns:!('Message%20ID',Summary),filters:!(),index:'emp_*',interval:auto,query:(query_string:(analyze_wildcard:!t,query:'%22rtdc.l.rtdc.4025%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446</v>
      </c>
      <c r="B156" s="225">
        <v>4020</v>
      </c>
      <c r="C156" s="227" t="s">
        <v>191</v>
      </c>
      <c r="D156" s="227" t="s">
        <v>610</v>
      </c>
      <c r="E156" s="226">
        <v>43109.034409722219</v>
      </c>
      <c r="F156" s="226">
        <v>43109.021006944444</v>
      </c>
      <c r="G156" s="225">
        <v>89</v>
      </c>
      <c r="H156" s="227" t="s">
        <v>944</v>
      </c>
      <c r="I156" s="226">
        <v>43109.045740740738</v>
      </c>
      <c r="J156" s="225">
        <v>0</v>
      </c>
      <c r="K156" s="237" t="str">
        <f t="shared" si="59"/>
        <v>4019/4020</v>
      </c>
      <c r="L156" s="245" t="str">
        <f>VLOOKUP(A156,'Trips&amp;Operators'!$C$1:$G$99911,5,FALSE)</f>
        <v>WILLIAMS DONTE</v>
      </c>
      <c r="M156" s="224">
        <f t="shared" si="60"/>
        <v>2.4733796293730848E-2</v>
      </c>
      <c r="N156" s="225">
        <f t="shared" si="82"/>
        <v>35.61666666297242</v>
      </c>
      <c r="O156" s="225"/>
      <c r="P156" s="225"/>
      <c r="Q156" s="228"/>
      <c r="R156" s="242"/>
      <c r="S156" s="249">
        <f t="shared" si="83"/>
        <v>1</v>
      </c>
      <c r="T156" s="242" t="str">
        <f t="shared" si="62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63"/>
        <v>https://d0f6bd738d7f1b3e5a7ca70fe4ff75f0.us-east-1.aws.found.io/app/kibana#/discover/Steve-Slow-Train-Analysis-(2080s-and-2083s)?_g=(refreshInterval:(display:Off,pause:!f,section:0,value:0),time:(from:'2018-01-08T23:49:33-0700',mode:absolute,to:'2018-01-09T02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47" t="str">
        <f>IF(AA156&lt;VLOOKUP(AG156,Variables!$AC$3:$AD$8,2,FALSE),"Y","N")</f>
        <v>N</v>
      </c>
      <c r="X156" s="247">
        <f t="shared" si="64"/>
        <v>1</v>
      </c>
      <c r="Y156" s="247">
        <v>7.3400000000000007E-2</v>
      </c>
      <c r="Z156" s="247">
        <v>23.327200000000001</v>
      </c>
      <c r="AA156" s="247">
        <f t="shared" si="65"/>
        <v>23.253800000000002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6"/>
        <v>243</v>
      </c>
      <c r="AE156" s="235" t="str">
        <f t="shared" si="67"/>
        <v>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 &amp; aws s3 cp s3://rtdc.mdm.uploadarchive.raw/RTDC4020/ "%USERPROFILE%\AppData\Local\Temp\OnboardLogs"\RTDC4020\2018-01-10 --exclude "*" --recursive --include "*20180110*" &amp; "%USERPROFILE%\Documents\GitHub\mrs-test-scripts\Headless Mode &amp; Sideloading\WalkAndUnGZ.bat" "%USERPROFILE%\AppData\Local\Temp\OnboardLogs"\RTDC4020\2018-01-10</v>
      </c>
      <c r="AF156" s="234" t="str">
        <f t="shared" si="68"/>
        <v>"C:\Program Files (x86)\AstroGrep\AstroGrep.exe" /e /r /s /spath="%USERPROFILE%\AppData\Local\Temp\OnboardLogs" /stypes="app*4020*20180109*" /stext=" 08:.+((SYSTEM_STATE.+slice.+state.+changed )|(ment ac)|(multiple cpu faults)|(system.+state.+changed )|(\[timeout)|(PRM\|1\|D)|(kpr)|(kdp)|(train st.+moving)|(\|lc)|(penalty))"</v>
      </c>
      <c r="AG156" s="244" t="str">
        <f t="shared" si="69"/>
        <v>EC</v>
      </c>
      <c r="AH156" s="236" t="str">
        <f t="shared" ref="AH156" si="84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243-08 --locoid 4020 --swversion DE.1.0.9.0 --startMP 204:232930 --initTime 2018-01-09T00:49:33 --startdatetime 2018-01-09T00:30:15 --delay 89 --endMP 204:283 --enddatetime 2018-01-09T01:05:52 --enforcementcount 0 &gt;&gt;%USERPROFILE%\Documents\GitHub\eaglep3-reporting\EC\2018-01-08-refined-times.txt</v>
      </c>
      <c r="AI156" s="238" t="str">
        <f t="shared" ref="AI156" si="85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{"issue":{"subject":"","project_id":79,"tracker_id":40,"status_id":1,"priority_id":2,"assigned_to_id":338,"start_date":"2018-01-09","description":"","custom_fields":[{"id":1,"name":"Subdivision","value":"EC"},{"id":4,"name":"Milepost","value":"23.3272"},{"id":17,"name":"Train ID","value":"243-08"},{"id":16,"name":"Locomotive ID","value":"4020"},{"id":130,"name":"Impact","value":""},{"id":150,"name":"Time of Event (Mountain Time)","value":"01:05:52"},{"id":151,"name":"Denver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86">"start /low /b "&amp;dls3logs&amp;" --loco "&amp;B156&amp;" --day "&amp;TEXT(F156,"YYYY-MM-DD")</f>
        <v>start /low /b %USERPROFILE%\Documents\GitHub\eaglep3\Utilities\DownloadLogsFromS3.py --loco 4020 --day 2018-01-09</v>
      </c>
      <c r="AN156" s="241" t="str">
        <f t="shared" ref="AN156" si="87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88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-08T23:49:33-0700',mode:absolute,to:'2018-01-09T02:05:52-0700'))&amp;_a=(columns:!('Message%20ID',Summary),filters:!(),index:'emp_*',interval:auto,query:(query_string:(analyze_wildcard:!t,query:'%22rtdc.l.rtdc.4020%22')),sort:!(Time.ISO8601,asc))</v>
      </c>
    </row>
    <row r="157" spans="1:91" s="20" customFormat="1" x14ac:dyDescent="0.3">
      <c r="A157" s="229" t="s">
        <v>452</v>
      </c>
      <c r="B157" s="225">
        <v>4019</v>
      </c>
      <c r="C157" s="227" t="s">
        <v>191</v>
      </c>
      <c r="D157" s="227" t="s">
        <v>609</v>
      </c>
      <c r="E157" s="226">
        <v>43109.056203703702</v>
      </c>
      <c r="F157" s="226">
        <v>43109.060590277775</v>
      </c>
      <c r="G157" s="225">
        <v>53</v>
      </c>
      <c r="H157" s="227" t="s">
        <v>951</v>
      </c>
      <c r="I157" s="226">
        <v>43109.085682870369</v>
      </c>
      <c r="J157" s="225">
        <v>0</v>
      </c>
      <c r="K157" s="237" t="str">
        <f t="shared" si="59"/>
        <v>4019/4020</v>
      </c>
      <c r="L157" s="245" t="str">
        <f>VLOOKUP(A157,'Trips&amp;Operators'!$C$1:$G$99911,5,FALSE)</f>
        <v>WILLIAMS DONTE</v>
      </c>
      <c r="M157" s="224">
        <f t="shared" si="60"/>
        <v>2.5092592593864538E-2</v>
      </c>
      <c r="N157" s="225">
        <f t="shared" si="82"/>
        <v>36.133333335164934</v>
      </c>
      <c r="O157" s="225"/>
      <c r="P157" s="225"/>
      <c r="Q157" s="228"/>
      <c r="R157" s="242"/>
      <c r="S157" s="249">
        <f t="shared" si="83"/>
        <v>1</v>
      </c>
      <c r="T157" s="242" t="str">
        <f t="shared" si="62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63"/>
        <v>https://d0f6bd738d7f1b3e5a7ca70fe4ff75f0.us-east-1.aws.found.io/app/kibana#/discover/Steve-Slow-Train-Analysis-(2080s-and-2083s)?_g=(refreshInterval:(display:Off,pause:!f,section:0,value:0),time:(from:'2018-01-09T00:20:56-0700',mode:absolute,to:'2018-01-09T03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47" t="str">
        <f>IF(AA157&lt;VLOOKUP(AG157,Variables!$AC$3:$AD$8,2,FALSE),"Y","N")</f>
        <v>N</v>
      </c>
      <c r="X157" s="247">
        <f t="shared" si="64"/>
        <v>1</v>
      </c>
      <c r="Y157" s="247">
        <f t="shared" ref="Y157:Y204" si="89">RIGHT(D157,LEN(D157)-4)/10000</f>
        <v>23.296399999999998</v>
      </c>
      <c r="Z157" s="247">
        <f t="shared" ref="Z157:Z204" si="90">RIGHT(H157,LEN(H157)-4)/10000</f>
        <v>0.1757</v>
      </c>
      <c r="AA157" s="247">
        <f t="shared" si="65"/>
        <v>23.120699999999999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6"/>
        <v>244</v>
      </c>
      <c r="AE157" s="235" t="str">
        <f t="shared" si="67"/>
        <v>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 &amp; aws s3 cp s3://rtdc.mdm.uploadarchive.raw/RTDC4019/ "%USERPROFILE%\AppData\Local\Temp\OnboardLogs"\RTDC4019\2018-01-10 --exclude "*" --recursive --include "*20180110*" &amp; "%USERPROFILE%\Documents\GitHub\mrs-test-scripts\Headless Mode &amp; Sideloading\WalkAndUnGZ.bat" "%USERPROFILE%\AppData\Local\Temp\OnboardLogs"\RTDC4019\2018-01-10</v>
      </c>
      <c r="AF157" s="234" t="str">
        <f t="shared" si="68"/>
        <v>"C:\Program Files (x86)\AstroGrep\AstroGrep.exe" /e /r /s /spath="%USERPROFILE%\AppData\Local\Temp\OnboardLogs" /stypes="app*4019*20180109*" /stext=" 09:.+((SYSTEM_STATE.+slice.+state.+changed )|(ment ac)|(multiple cpu faults)|(system.+state.+changed )|(\[timeout)|(PRM\|1\|D)|(kpr)|(kdp)|(train st.+moving)|(\|lc)|(penalty))"</v>
      </c>
      <c r="AG157" s="244" t="str">
        <f t="shared" si="69"/>
        <v>EC</v>
      </c>
      <c r="AH157" s="236" t="str">
        <f t="shared" si="70"/>
        <v>"%USERPROFILE%\Documents\GitHub\eaglep3\Utilities\RefineRTDCRunTimes.py" --tripid 244-08 --locoid 4019 --swversion DE.1.0.9.0 --startMP 204:232964 --initTime 2018-01-09T01:20:56 --startdatetime 2018-01-09T01:27:15 --delay 53 --endMP 204:1757 --enddatetime 2018-01-09T02:03:23 --enforcementcount 0 &gt;&gt;%USERPROFILE%\Documents\GitHub\eaglep3-reporting\EC\2018-01-08-refined-times.txt</v>
      </c>
      <c r="AI157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{"issue":{"subject":"","project_id":79,"tracker_id":40,"status_id":1,"priority_id":2,"assigned_to_id":338,"start_date":"2018-01-09","description":"","custom_fields":[{"id":1,"name":"Subdivision","value":"EC"},{"id":4,"name":"Milepost","value":"0.1757"},{"id":17,"name":"Train ID","value":"244-08"},{"id":16,"name":"Locomotive ID","value":"4019"},{"id":130,"name":"Impact","value":""},{"id":150,"name":"Time of Event (Mountain Time)","value":"02:03:23"},{"id":151,"name":"Denver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72"/>
        <v>start /low /b %USERPROFILE%\Documents\GitHub\eaglep3\Utilities\DownloadLogsFromS3.py --loco 4019 --day 2018-01-09</v>
      </c>
      <c r="AN157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09:03:23"},{"id":29,"name":"Sharepoint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74"/>
        <v>https://d0f6bd738d7f1b3e5a7ca70fe4ff75f0.us-east-1.aws.found.io/app/kibana#/discover/Steve-Slow-Train-Analysis-(2080s-and-2083s)?_g=(refreshInterval:(display:Off,pause:!f,section:0,value:0),time:(from:'2018-01-09T00:20:56-0700',mode:absolute,to:'2018-01-09T03:03:23-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668</v>
      </c>
      <c r="B158" s="225">
        <v>4029</v>
      </c>
      <c r="C158" s="227" t="s">
        <v>191</v>
      </c>
      <c r="D158" s="227" t="s">
        <v>1012</v>
      </c>
      <c r="E158" s="226">
        <v>43108.211435185185</v>
      </c>
      <c r="F158" s="226">
        <v>43108.217673611114</v>
      </c>
      <c r="G158" s="225">
        <v>67</v>
      </c>
      <c r="H158" s="227" t="s">
        <v>543</v>
      </c>
      <c r="I158" s="226">
        <v>43108.226574074077</v>
      </c>
      <c r="J158" s="225">
        <v>0</v>
      </c>
      <c r="K158" s="237" t="str">
        <f t="shared" si="59"/>
        <v>4029/4030</v>
      </c>
      <c r="L158" s="245" t="str">
        <f>VLOOKUP(A158,'Trips&amp;Operators'!$C$1:$G$99911,5,FALSE)</f>
        <v>MACDONALD THOMAS</v>
      </c>
      <c r="M158" s="224">
        <f t="shared" si="60"/>
        <v>8.9004629626288079E-3</v>
      </c>
      <c r="N158" s="225">
        <f t="shared" si="82"/>
        <v>12.816666666185483</v>
      </c>
      <c r="O158" s="225"/>
      <c r="P158" s="225"/>
      <c r="Q158" s="228"/>
      <c r="R158" s="242"/>
      <c r="S158" s="249">
        <f t="shared" si="83"/>
        <v>1</v>
      </c>
      <c r="T158" s="242" t="str">
        <f t="shared" si="62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8" t="str">
        <f t="shared" si="63"/>
        <v>https://d0f6bd738d7f1b3e5a7ca70fe4ff75f0.us-east-1.aws.found.io/app/kibana#/discover/Steve-Slow-Train-Analysis-(2080s-and-2083s)?_g=(refreshInterval:(display:Off,pause:!f,section:0,value:0),time:(from:'2018-01-08T04:04:28-0700',mode:absolute,to:'2018-01-08T06:26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247" t="str">
        <f>IF(AA158&lt;VLOOKUP(AG158,Variables!$AC$3:$AD$8,2,FALSE),"Y","N")</f>
        <v>N</v>
      </c>
      <c r="X158" s="247">
        <f t="shared" si="64"/>
        <v>556</v>
      </c>
      <c r="Y158" s="247">
        <f t="shared" si="89"/>
        <v>5.8597999999999999</v>
      </c>
      <c r="Z158" s="247">
        <f t="shared" si="90"/>
        <v>1.7500000000000002E-2</v>
      </c>
      <c r="AA158" s="247">
        <f t="shared" si="65"/>
        <v>5.8422999999999998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66"/>
        <v>800</v>
      </c>
      <c r="AE158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58" s="234" t="str">
        <f t="shared" si="68"/>
        <v>"C:\Program Files (x86)\AstroGrep\AstroGrep.exe" /e /r /s /spath="%USERPROFILE%\AppData\Local\Temp\OnboardLogs" /stypes="app*4029*20180108*" /stext=" 12:.+((SYSTEM_STATE.+slice.+state.+changed )|(ment ac)|(multiple cpu faults)|(system.+state.+changed )|(\[timeout)|(PRM\|1\|D)|(kpr)|(kdp)|(train st.+moving)|(\|lc)|(penalty))"</v>
      </c>
      <c r="AG158" s="244" t="str">
        <f t="shared" si="69"/>
        <v>NW</v>
      </c>
      <c r="AH158" s="236" t="str">
        <f t="shared" si="70"/>
        <v>"%USERPROFILE%\Documents\GitHub\eaglep3\Utilities\RefineRTDCRunTimes.py" --tripid 800-08 --locoid 4029 --swversion DE.1.0.9.0 --startMP 300:58598 --initTime 2018-01-08T05:04:28 --startdatetime 2018-01-08T05:13:27 --delay 67 --endMP 204:175 --enddatetime 2018-01-08T05:26:16 --enforcementcount 0 &gt;&gt;%USERPROFILE%\Documents\GitHub\eaglep3-reporting\EC\2018-01-08-refined-times.txt</v>
      </c>
      <c r="AI15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{"issue":{"subject":"","project_id":79,"tracker_id":40,"status_id":1,"priority_id":2,"assigned_to_id":338,"start_date":"2018-01-08","description":"","custom_fields":[{"id":1,"name":"Subdivision","value":"NW"},{"id":4,"name":"Milepost","value":"0.0175"},{"id":17,"name":"Train ID","value":"800-08"},{"id":16,"name":"Locomotive ID","value":"4029"},{"id":130,"name":"Impact","value":""},{"id":150,"name":"Time of Event (Mountain Time)","value":"05:26:16"},{"id":151,"name":"Denver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72"/>
        <v>start /low /b %USERPROFILE%\Documents\GitHub\eaglep3\Utilities\DownloadLogsFromS3.py --loco 4029 --day 2018-01-08</v>
      </c>
      <c r="AN158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74"/>
        <v>https://d0f6bd738d7f1b3e5a7ca70fe4ff75f0.us-east-1.aws.found.io/app/kibana#/discover/Steve-Slow-Train-Analysis-(2080s-and-2083s)?_g=(refreshInterval:(display:Off,pause:!f,section:0,value:0),time:(from:'2018-01-08T04:04:28-0700',mode:absolute,to:'2018-01-08T06:26:16-0700'))&amp;_a=(columns:!('Message%20ID',Summary),filters:!(),index:'emp_*',interval:auto,query:(query_string:(analyze_wildcard:!t,query:'%22rtdc.l.rtdc.4029%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620</v>
      </c>
      <c r="B159" s="225">
        <v>4030</v>
      </c>
      <c r="C159" s="227" t="s">
        <v>191</v>
      </c>
      <c r="D159" s="227" t="s">
        <v>1013</v>
      </c>
      <c r="E159" s="226">
        <v>43108.233981481484</v>
      </c>
      <c r="F159" s="226">
        <v>43108.235625000001</v>
      </c>
      <c r="G159" s="225">
        <v>46</v>
      </c>
      <c r="H159" s="227" t="s">
        <v>1014</v>
      </c>
      <c r="I159" s="226">
        <v>43108.245925925927</v>
      </c>
      <c r="J159" s="225">
        <v>0</v>
      </c>
      <c r="K159" s="237" t="str">
        <f t="shared" si="59"/>
        <v>4029/4030</v>
      </c>
      <c r="L159" s="245" t="str">
        <f>VLOOKUP(A159,'Trips&amp;Operators'!$C$1:$G$99911,5,FALSE)</f>
        <v>MACDONALD THOMAS</v>
      </c>
      <c r="M159" s="224">
        <f t="shared" si="60"/>
        <v>1.0300925925548654E-2</v>
      </c>
      <c r="N159" s="225">
        <f t="shared" si="82"/>
        <v>14.833333332790062</v>
      </c>
      <c r="O159" s="225"/>
      <c r="P159" s="225"/>
      <c r="Q159" s="228"/>
      <c r="R159" s="242"/>
      <c r="S159" s="249">
        <f t="shared" si="83"/>
        <v>1</v>
      </c>
      <c r="T159" s="242" t="str">
        <f t="shared" si="62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63"/>
        <v>https://d0f6bd738d7f1b3e5a7ca70fe4ff75f0.us-east-1.aws.found.io/app/kibana#/discover/Steve-Slow-Train-Analysis-(2080s-and-2083s)?_g=(refreshInterval:(display:Off,pause:!f,section:0,value:0),time:(from:'2018-01-08T04:36:56-0700',mode:absolute,to:'2018-01-08T06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247" t="str">
        <f>IF(AA159&lt;VLOOKUP(AG159,Variables!$AC$3:$AD$8,2,FALSE),"Y","N")</f>
        <v>N</v>
      </c>
      <c r="X159" s="247">
        <f t="shared" si="64"/>
        <v>1</v>
      </c>
      <c r="Y159" s="247">
        <f t="shared" si="89"/>
        <v>4.7E-2</v>
      </c>
      <c r="Z159" s="247">
        <f t="shared" si="90"/>
        <v>5.8924000000000003</v>
      </c>
      <c r="AA159" s="247">
        <f t="shared" si="65"/>
        <v>5.8454000000000006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6"/>
        <v>801</v>
      </c>
      <c r="AE159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59" s="234" t="str">
        <f t="shared" si="68"/>
        <v>"C:\Program Files (x86)\AstroGrep\AstroGrep.exe" /e /r /s /spath="%USERPROFILE%\AppData\Local\Temp\OnboardLogs" /stypes="app*4030*20180108*" /stext=" 12:.+((SYSTEM_STATE.+slice.+state.+changed )|(ment ac)|(multiple cpu faults)|(system.+state.+changed )|(\[timeout)|(PRM\|1\|D)|(kpr)|(kdp)|(train st.+moving)|(\|lc)|(penalty))"</v>
      </c>
      <c r="AG159" s="244" t="str">
        <f t="shared" si="69"/>
        <v>NW</v>
      </c>
      <c r="AH159" s="236" t="str">
        <f t="shared" si="70"/>
        <v>"%USERPROFILE%\Documents\GitHub\eaglep3\Utilities\RefineRTDCRunTimes.py" --tripid 801-08 --locoid 4030 --swversion DE.1.0.9.0 --startMP 204:470 --initTime 2018-01-08T05:36:56 --startdatetime 2018-01-08T05:39:18 --delay 46 --endMP 300:58924 --enddatetime 2018-01-08T05:54:08 --enforcementcount 0 &gt;&gt;%USERPROFILE%\Documents\GitHub\eaglep3-reporting\EC\2018-01-08-refined-times.txt</v>
      </c>
      <c r="AI15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{"issue":{"subject":"","project_id":79,"tracker_id":40,"status_id":1,"priority_id":2,"assigned_to_id":338,"start_date":"2018-01-08","description":"","custom_fields":[{"id":1,"name":"Subdivision","value":"NW"},{"id":4,"name":"Milepost","value":"5.8924"},{"id":17,"name":"Train ID","value":"801-08"},{"id":16,"name":"Locomotive ID","value":"4030"},{"id":130,"name":"Impact","value":""},{"id":150,"name":"Time of Event (Mountain Time)","value":"05:54:08"},{"id":151,"name":"Denver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72"/>
        <v>start /low /b %USERPROFILE%\Documents\GitHub\eaglep3\Utilities\DownloadLogsFromS3.py --loco 4030 --day 2018-01-08</v>
      </c>
      <c r="AN159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74"/>
        <v>https://d0f6bd738d7f1b3e5a7ca70fe4ff75f0.us-east-1.aws.found.io/app/kibana#/discover/Steve-Slow-Train-Analysis-(2080s-and-2083s)?_g=(refreshInterval:(display:Off,pause:!f,section:0,value:0),time:(from:'2018-01-08T04:36:56-0700',mode:absolute,to:'2018-01-08T06:54:08-0700'))&amp;_a=(columns:!('Message%20ID',Summary),filters:!(),index:'emp_*',interval:auto,query:(query_string:(analyze_wildcard:!t,query:'%22rtdc.l.rtdc.4030%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679</v>
      </c>
      <c r="B160" s="225">
        <v>4029</v>
      </c>
      <c r="C160" s="227" t="s">
        <v>191</v>
      </c>
      <c r="D160" s="227" t="s">
        <v>600</v>
      </c>
      <c r="E160" s="226">
        <v>43108.247083333335</v>
      </c>
      <c r="F160" s="226">
        <v>43108.259664351855</v>
      </c>
      <c r="G160" s="225">
        <v>47</v>
      </c>
      <c r="H160" s="227" t="s">
        <v>1015</v>
      </c>
      <c r="I160" s="226">
        <v>43108.268182870372</v>
      </c>
      <c r="J160" s="225">
        <v>0</v>
      </c>
      <c r="K160" s="237" t="str">
        <f t="shared" si="59"/>
        <v>4029/4030</v>
      </c>
      <c r="L160" s="245" t="str">
        <f>VLOOKUP(A160,'Trips&amp;Operators'!$C$1:$G$99911,5,FALSE)</f>
        <v>MACDONALD THOMAS</v>
      </c>
      <c r="M160" s="224">
        <f t="shared" si="60"/>
        <v>8.5185185162117705E-3</v>
      </c>
      <c r="N160" s="225">
        <f t="shared" si="82"/>
        <v>12.266666663344949</v>
      </c>
      <c r="O160" s="225"/>
      <c r="P160" s="225"/>
      <c r="Q160" s="228"/>
      <c r="R160" s="242"/>
      <c r="S160" s="249">
        <f t="shared" si="83"/>
        <v>1</v>
      </c>
      <c r="T160" s="242" t="str">
        <f t="shared" si="62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63"/>
        <v>https://d0f6bd738d7f1b3e5a7ca70fe4ff75f0.us-east-1.aws.found.io/app/kibana#/discover/Steve-Slow-Train-Analysis-(2080s-and-2083s)?_g=(refreshInterval:(display:Off,pause:!f,section:0,value:0),time:(from:'2018-01-08T04:55:48-0700',mode:absolute,to:'2018-01-08T07:26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247" t="str">
        <f>IF(AA160&lt;VLOOKUP(AG160,Variables!$AC$3:$AD$8,2,FALSE),"Y","N")</f>
        <v>N</v>
      </c>
      <c r="X160" s="247">
        <f t="shared" si="64"/>
        <v>1</v>
      </c>
      <c r="Y160" s="247">
        <f t="shared" si="89"/>
        <v>5.86</v>
      </c>
      <c r="Z160" s="247">
        <f t="shared" si="90"/>
        <v>1.8200000000000001E-2</v>
      </c>
      <c r="AA160" s="247">
        <f t="shared" si="65"/>
        <v>5.8418000000000001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6"/>
        <v>802</v>
      </c>
      <c r="AE160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60" s="234" t="str">
        <f t="shared" si="68"/>
        <v>"C:\Program Files (x86)\AstroGrep\AstroGrep.exe" /e /r /s /spath="%USERPROFILE%\AppData\Local\Temp\OnboardLogs" /stypes="app*4029*20180108*" /stext=" 13:.+((SYSTEM_STATE.+slice.+state.+changed )|(ment ac)|(multiple cpu faults)|(system.+state.+changed )|(\[timeout)|(PRM\|1\|D)|(kpr)|(kdp)|(train st.+moving)|(\|lc)|(penalty))"</v>
      </c>
      <c r="AG160" s="244" t="str">
        <f t="shared" si="69"/>
        <v>NW</v>
      </c>
      <c r="AH160" s="236" t="str">
        <f t="shared" si="70"/>
        <v>"%USERPROFILE%\Documents\GitHub\eaglep3\Utilities\RefineRTDCRunTimes.py" --tripid 802-08 --locoid 4029 --swversion DE.1.0.9.0 --startMP 300:58600 --initTime 2018-01-08T05:55:48 --startdatetime 2018-01-08T06:13:55 --delay 47 --endMP 204:182 --enddatetime 2018-01-08T06:26:11 --enforcementcount 0 &gt;&gt;%USERPROFILE%\Documents\GitHub\eaglep3-reporting\EC\2018-01-08-refined-times.txt</v>
      </c>
      <c r="AI16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{"issue":{"subject":"","project_id":79,"tracker_id":40,"status_id":1,"priority_id":2,"assigned_to_id":338,"start_date":"2018-01-08","description":"","custom_fields":[{"id":1,"name":"Subdivision","value":"NW"},{"id":4,"name":"Milepost","value":"0.0182"},{"id":17,"name":"Train ID","value":"802-08"},{"id":16,"name":"Locomotive ID","value":"4029"},{"id":130,"name":"Impact","value":""},{"id":150,"name":"Time of Event (Mountain Time)","value":"06:26:11"},{"id":151,"name":"Denver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72"/>
        <v>start /low /b %USERPROFILE%\Documents\GitHub\eaglep3\Utilities\DownloadLogsFromS3.py --loco 4029 --day 2018-01-08</v>
      </c>
      <c r="AN160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74"/>
        <v>https://d0f6bd738d7f1b3e5a7ca70fe4ff75f0.us-east-1.aws.found.io/app/kibana#/discover/Steve-Slow-Train-Analysis-(2080s-and-2083s)?_g=(refreshInterval:(display:Off,pause:!f,section:0,value:0),time:(from:'2018-01-08T04:55:48-0700',mode:absolute,to:'2018-01-08T07:26:11-0700'))&amp;_a=(columns:!('Message%20ID',Summary),filters:!(),index:'emp_*',interval:auto,query:(query_string:(analyze_wildcard:!t,query:'%22rtdc.l.rtdc.4029%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681</v>
      </c>
      <c r="B161" s="225">
        <v>4064</v>
      </c>
      <c r="C161" s="227" t="s">
        <v>191</v>
      </c>
      <c r="D161" s="227" t="s">
        <v>1016</v>
      </c>
      <c r="E161" s="226">
        <v>43108.254930555559</v>
      </c>
      <c r="F161" s="226">
        <v>43108.256550925929</v>
      </c>
      <c r="G161" s="225">
        <v>62</v>
      </c>
      <c r="H161" s="227" t="s">
        <v>1017</v>
      </c>
      <c r="I161" s="226">
        <v>43108.267337962963</v>
      </c>
      <c r="J161" s="225">
        <v>0</v>
      </c>
      <c r="K161" s="237" t="str">
        <f t="shared" si="59"/>
        <v>4063/4064</v>
      </c>
      <c r="L161" s="245" t="str">
        <f>VLOOKUP(A161,'Trips&amp;Operators'!$C$1:$G$99911,5,FALSE)</f>
        <v>BIRENBAUM THOMAS</v>
      </c>
      <c r="M161" s="224">
        <f t="shared" si="60"/>
        <v>1.0787037033878732E-2</v>
      </c>
      <c r="N161" s="225">
        <f t="shared" si="82"/>
        <v>15.533333328785375</v>
      </c>
      <c r="O161" s="225"/>
      <c r="P161" s="225"/>
      <c r="Q161" s="228"/>
      <c r="R161" s="242"/>
      <c r="S161" s="249">
        <f t="shared" si="83"/>
        <v>1</v>
      </c>
      <c r="T161" s="242" t="str">
        <f t="shared" si="62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63"/>
        <v>https://d0f6bd738d7f1b3e5a7ca70fe4ff75f0.us-east-1.aws.found.io/app/kibana#/discover/Steve-Slow-Train-Analysis-(2080s-and-2083s)?_g=(refreshInterval:(display:Off,pause:!f,section:0,value:0),time:(from:'2018-01-08T05:07:06-0700',mode:absolute,to:'2018-01-08T07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1" s="247" t="str">
        <f>IF(AA161&lt;VLOOKUP(AG161,Variables!$AC$3:$AD$8,2,FALSE),"Y","N")</f>
        <v>N</v>
      </c>
      <c r="X161" s="247">
        <f t="shared" si="64"/>
        <v>1</v>
      </c>
      <c r="Y161" s="247">
        <f t="shared" si="89"/>
        <v>4.4600000000000001E-2</v>
      </c>
      <c r="Z161" s="247">
        <f t="shared" si="90"/>
        <v>5.8921999999999999</v>
      </c>
      <c r="AA161" s="247">
        <f t="shared" si="65"/>
        <v>5.8475999999999999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6"/>
        <v>803</v>
      </c>
      <c r="AE16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61" s="234" t="str">
        <f t="shared" si="68"/>
        <v>"C:\Program Files (x86)\AstroGrep\AstroGrep.exe" /e /r /s /spath="%USERPROFILE%\AppData\Local\Temp\OnboardLogs" /stypes="app*4064*20180108*" /stext=" 13:.+((SYSTEM_STATE.+slice.+state.+changed )|(ment ac)|(multiple cpu faults)|(system.+state.+changed )|(\[timeout)|(PRM\|1\|D)|(kpr)|(kdp)|(train st.+moving)|(\|lc)|(penalty))"</v>
      </c>
      <c r="AG161" s="244" t="str">
        <f t="shared" si="69"/>
        <v>NW</v>
      </c>
      <c r="AH161" s="236" t="str">
        <f t="shared" si="70"/>
        <v>"%USERPROFILE%\Documents\GitHub\eaglep3\Utilities\RefineRTDCRunTimes.py" --tripid 803-08 --locoid 4064 --swversion DE.1.0.9.0 --startMP 204:446 --initTime 2018-01-08T06:07:06 --startdatetime 2018-01-08T06:09:26 --delay 62 --endMP 300:58922 --enddatetime 2018-01-08T06:24:58 --enforcementcount 0 &gt;&gt;%USERPROFILE%\Documents\GitHub\eaglep3-reporting\EC\2018-01-08-refined-times.txt</v>
      </c>
      <c r="AI16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{"issue":{"subject":"","project_id":79,"tracker_id":40,"status_id":1,"priority_id":2,"assigned_to_id":338,"start_date":"2018-01-08","description":"","custom_fields":[{"id":1,"name":"Subdivision","value":"NW"},{"id":4,"name":"Milepost","value":"5.8922"},{"id":17,"name":"Train ID","value":"803-08"},{"id":16,"name":"Locomotive ID","value":"4064"},{"id":130,"name":"Impact","value":""},{"id":150,"name":"Time of Event (Mountain Time)","value":"06:24:58"},{"id":151,"name":"Denver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72"/>
        <v>start /low /b %USERPROFILE%\Documents\GitHub\eaglep3\Utilities\DownloadLogsFromS3.py --loco 4064 --day 2018-01-08</v>
      </c>
      <c r="AN161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74"/>
        <v>https://d0f6bd738d7f1b3e5a7ca70fe4ff75f0.us-east-1.aws.found.io/app/kibana#/discover/Steve-Slow-Train-Analysis-(2080s-and-2083s)?_g=(refreshInterval:(display:Off,pause:!f,section:0,value:0),time:(from:'2018-01-08T05:07:06-0700',mode:absolute,to:'2018-01-08T07:24:58-0700'))&amp;_a=(columns:!('Message%20ID',Summary),filters:!(),index:'emp_*',interval:auto,query:(query_string:(analyze_wildcard:!t,query:'%22rtdc.l.rtdc.4064%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685</v>
      </c>
      <c r="B162" s="225">
        <v>4063</v>
      </c>
      <c r="C162" s="227" t="s">
        <v>191</v>
      </c>
      <c r="D162" s="227" t="s">
        <v>1018</v>
      </c>
      <c r="E162" s="226">
        <v>43108.268414351849</v>
      </c>
      <c r="F162" s="226">
        <v>43108.280057870368</v>
      </c>
      <c r="G162" s="225">
        <v>50</v>
      </c>
      <c r="H162" s="227" t="s">
        <v>1019</v>
      </c>
      <c r="I162" s="226">
        <v>43108.287604166668</v>
      </c>
      <c r="J162" s="225">
        <v>0</v>
      </c>
      <c r="K162" s="237" t="str">
        <f t="shared" si="59"/>
        <v>4063/4064</v>
      </c>
      <c r="L162" s="245" t="str">
        <f>VLOOKUP(A162,'Trips&amp;Operators'!$C$1:$G$99911,5,FALSE)</f>
        <v>BIRENBAUM THOMAS</v>
      </c>
      <c r="M162" s="224">
        <f t="shared" si="60"/>
        <v>7.5462962995516136E-3</v>
      </c>
      <c r="N162" s="225">
        <f t="shared" si="82"/>
        <v>10.866666671354324</v>
      </c>
      <c r="O162" s="225"/>
      <c r="P162" s="225"/>
      <c r="Q162" s="228"/>
      <c r="R162" s="242"/>
      <c r="S162" s="249">
        <f t="shared" si="83"/>
        <v>1</v>
      </c>
      <c r="T162" s="242" t="str">
        <f t="shared" si="62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63"/>
        <v>https://d0f6bd738d7f1b3e5a7ca70fe4ff75f0.us-east-1.aws.found.io/app/kibana#/discover/Steve-Slow-Train-Analysis-(2080s-and-2083s)?_g=(refreshInterval:(display:Off,pause:!f,section:0,value:0),time:(from:'2018-01-08T05:26:31-0700',mode:absolute,to:'2018-01-08T07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2" s="247" t="str">
        <f>IF(AA162&lt;VLOOKUP(AG162,Variables!$AC$3:$AD$8,2,FALSE),"Y","N")</f>
        <v>N</v>
      </c>
      <c r="X162" s="247">
        <f t="shared" si="64"/>
        <v>1</v>
      </c>
      <c r="Y162" s="247">
        <f t="shared" si="89"/>
        <v>5.8623000000000003</v>
      </c>
      <c r="Z162" s="247">
        <f t="shared" si="90"/>
        <v>1.46E-2</v>
      </c>
      <c r="AA162" s="247">
        <f t="shared" si="65"/>
        <v>5.8477000000000006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6"/>
        <v>804</v>
      </c>
      <c r="AE16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62" s="234" t="str">
        <f t="shared" si="68"/>
        <v>"C:\Program Files (x86)\AstroGrep\AstroGrep.exe" /e /r /s /spath="%USERPROFILE%\AppData\Local\Temp\OnboardLogs" /stypes="app*4063*20180108*" /stext=" 13:.+((SYSTEM_STATE.+slice.+state.+changed )|(ment ac)|(multiple cpu faults)|(system.+state.+changed )|(\[timeout)|(PRM\|1\|D)|(kpr)|(kdp)|(train st.+moving)|(\|lc)|(penalty))"</v>
      </c>
      <c r="AG162" s="244" t="str">
        <f t="shared" si="69"/>
        <v>NW</v>
      </c>
      <c r="AH162" s="236" t="str">
        <f t="shared" si="70"/>
        <v>"%USERPROFILE%\Documents\GitHub\eaglep3\Utilities\RefineRTDCRunTimes.py" --tripid 804-08 --locoid 4063 --swversion DE.1.0.9.0 --startMP 300:58623 --initTime 2018-01-08T06:26:31 --startdatetime 2018-01-08T06:43:17 --delay 50 --endMP 204:146 --enddatetime 2018-01-08T06:54:09 --enforcementcount 0 &gt;&gt;%USERPROFILE%\Documents\GitHub\eaglep3-reporting\EC\2018-01-08-refined-times.txt</v>
      </c>
      <c r="AI16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{"issue":{"subject":"","project_id":79,"tracker_id":40,"status_id":1,"priority_id":2,"assigned_to_id":338,"start_date":"2018-01-08","description":"","custom_fields":[{"id":1,"name":"Subdivision","value":"NW"},{"id":4,"name":"Milepost","value":"0.0146"},{"id":17,"name":"Train ID","value":"804-08"},{"id":16,"name":"Locomotive ID","value":"4063"},{"id":130,"name":"Impact","value":""},{"id":150,"name":"Time of Event (Mountain Time)","value":"06:54:09"},{"id":151,"name":"Denver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72"/>
        <v>start /low /b %USERPROFILE%\Documents\GitHub\eaglep3\Utilities\DownloadLogsFromS3.py --loco 4063 --day 2018-01-08</v>
      </c>
      <c r="AN162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74"/>
        <v>https://d0f6bd738d7f1b3e5a7ca70fe4ff75f0.us-east-1.aws.found.io/app/kibana#/discover/Steve-Slow-Train-Analysis-(2080s-and-2083s)?_g=(refreshInterval:(display:Off,pause:!f,section:0,value:0),time:(from:'2018-01-08T05:26:31-0700',mode:absolute,to:'2018-01-08T07:54:09-0700'))&amp;_a=(columns:!('Message%20ID',Summary),filters:!(),index:'emp_*',interval:auto,query:(query_string:(analyze_wildcard:!t,query:'%22rtdc.l.rtdc.4063%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687</v>
      </c>
      <c r="B163" s="225">
        <v>4030</v>
      </c>
      <c r="C163" s="227" t="s">
        <v>191</v>
      </c>
      <c r="D163" s="227" t="s">
        <v>1020</v>
      </c>
      <c r="E163" s="226">
        <v>43108.275960648149</v>
      </c>
      <c r="F163" s="226">
        <v>43108.277719907404</v>
      </c>
      <c r="G163" s="225">
        <v>56</v>
      </c>
      <c r="H163" s="227" t="s">
        <v>1021</v>
      </c>
      <c r="I163" s="226">
        <v>43108.287534722222</v>
      </c>
      <c r="J163" s="225">
        <v>0</v>
      </c>
      <c r="K163" s="237" t="str">
        <f t="shared" si="59"/>
        <v>4029/4030</v>
      </c>
      <c r="L163" s="245" t="str">
        <f>VLOOKUP(A163,'Trips&amp;Operators'!$C$1:$G$99911,5,FALSE)</f>
        <v>MACDONALD THOMAS</v>
      </c>
      <c r="M163" s="224">
        <f t="shared" si="60"/>
        <v>9.8148148172185756E-3</v>
      </c>
      <c r="N163" s="225">
        <f t="shared" si="82"/>
        <v>14.133333336794749</v>
      </c>
      <c r="O163" s="225"/>
      <c r="P163" s="225"/>
      <c r="Q163" s="228"/>
      <c r="R163" s="242"/>
      <c r="S163" s="249">
        <f t="shared" si="83"/>
        <v>1</v>
      </c>
      <c r="T163" s="242" t="str">
        <f t="shared" si="62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63"/>
        <v>https://d0f6bd738d7f1b3e5a7ca70fe4ff75f0.us-east-1.aws.found.io/app/kibana#/discover/Steve-Slow-Train-Analysis-(2080s-and-2083s)?_g=(refreshInterval:(display:Off,pause:!f,section:0,value:0),time:(from:'2018-01-08T05:37:23-0700',mode:absolute,to:'2018-01-08T07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247" t="str">
        <f>IF(AA163&lt;VLOOKUP(AG163,Variables!$AC$3:$AD$8,2,FALSE),"Y","N")</f>
        <v>N</v>
      </c>
      <c r="X163" s="247">
        <f t="shared" si="64"/>
        <v>1</v>
      </c>
      <c r="Y163" s="247">
        <f t="shared" si="89"/>
        <v>4.6800000000000001E-2</v>
      </c>
      <c r="Z163" s="247">
        <f t="shared" si="90"/>
        <v>5.8905000000000003</v>
      </c>
      <c r="AA163" s="247">
        <f t="shared" si="65"/>
        <v>5.8437000000000001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6"/>
        <v>805</v>
      </c>
      <c r="AE163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63" s="234" t="str">
        <f t="shared" si="68"/>
        <v>"C:\Program Files (x86)\AstroGrep\AstroGrep.exe" /e /r /s /spath="%USERPROFILE%\AppData\Local\Temp\OnboardLogs" /stypes="app*4030*20180108*" /stext=" 13:.+((SYSTEM_STATE.+slice.+state.+changed )|(ment ac)|(multiple cpu faults)|(system.+state.+changed )|(\[timeout)|(PRM\|1\|D)|(kpr)|(kdp)|(train st.+moving)|(\|lc)|(penalty))"</v>
      </c>
      <c r="AG163" s="244" t="str">
        <f t="shared" si="69"/>
        <v>NW</v>
      </c>
      <c r="AH163" s="236" t="str">
        <f t="shared" si="70"/>
        <v>"%USERPROFILE%\Documents\GitHub\eaglep3\Utilities\RefineRTDCRunTimes.py" --tripid 805-08 --locoid 4030 --swversion DE.1.0.9.0 --startMP 204:468 --initTime 2018-01-08T06:37:23 --startdatetime 2018-01-08T06:39:55 --delay 56 --endMP 300:58905 --enddatetime 2018-01-08T06:54:03 --enforcementcount 0 &gt;&gt;%USERPROFILE%\Documents\GitHub\eaglep3-reporting\EC\2018-01-08-refined-times.txt</v>
      </c>
      <c r="AI16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{"issue":{"subject":"","project_id":79,"tracker_id":40,"status_id":1,"priority_id":2,"assigned_to_id":338,"start_date":"2018-01-08","description":"","custom_fields":[{"id":1,"name":"Subdivision","value":"NW"},{"id":4,"name":"Milepost","value":"5.8905"},{"id":17,"name":"Train ID","value":"805-08"},{"id":16,"name":"Locomotive ID","value":"4030"},{"id":130,"name":"Impact","value":""},{"id":150,"name":"Time of Event (Mountain Time)","value":"06:54:03"},{"id":151,"name":"Denver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72"/>
        <v>start /low /b %USERPROFILE%\Documents\GitHub\eaglep3\Utilities\DownloadLogsFromS3.py --loco 4030 --day 2018-01-08</v>
      </c>
      <c r="AN163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74"/>
        <v>https://d0f6bd738d7f1b3e5a7ca70fe4ff75f0.us-east-1.aws.found.io/app/kibana#/discover/Steve-Slow-Train-Analysis-(2080s-and-2083s)?_g=(refreshInterval:(display:Off,pause:!f,section:0,value:0),time:(from:'2018-01-08T05:37:23-0700',mode:absolute,to:'2018-01-08T07:54:03-0700'))&amp;_a=(columns:!('Message%20ID',Summary),filters:!(),index:'emp_*',interval:auto,query:(query_string:(analyze_wildcard:!t,query:'%22rtdc.l.rtdc.4030%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690</v>
      </c>
      <c r="B164" s="225">
        <v>4029</v>
      </c>
      <c r="C164" s="227" t="s">
        <v>191</v>
      </c>
      <c r="D164" s="227" t="s">
        <v>1012</v>
      </c>
      <c r="E164" s="226">
        <v>43108.288460648146</v>
      </c>
      <c r="F164" s="226">
        <v>43108.300856481481</v>
      </c>
      <c r="G164" s="225">
        <v>45</v>
      </c>
      <c r="H164" s="227" t="s">
        <v>874</v>
      </c>
      <c r="I164" s="226">
        <v>43108.308842592596</v>
      </c>
      <c r="J164" s="225">
        <v>0</v>
      </c>
      <c r="K164" s="237" t="str">
        <f t="shared" si="59"/>
        <v>4029/4030</v>
      </c>
      <c r="L164" s="245" t="str">
        <f>VLOOKUP(A164,'Trips&amp;Operators'!$C$1:$G$99911,5,FALSE)</f>
        <v>MACDONALD THOMAS</v>
      </c>
      <c r="M164" s="224">
        <f t="shared" si="60"/>
        <v>7.9861111153149977E-3</v>
      </c>
      <c r="N164" s="225">
        <f t="shared" si="82"/>
        <v>11.500000006053597</v>
      </c>
      <c r="O164" s="225"/>
      <c r="P164" s="225"/>
      <c r="Q164" s="228"/>
      <c r="R164" s="242"/>
      <c r="S164" s="249">
        <f t="shared" si="83"/>
        <v>1</v>
      </c>
      <c r="T164" s="242" t="str">
        <f t="shared" si="62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63"/>
        <v>https://d0f6bd738d7f1b3e5a7ca70fe4ff75f0.us-east-1.aws.found.io/app/kibana#/discover/Steve-Slow-Train-Analysis-(2080s-and-2083s)?_g=(refreshInterval:(display:Off,pause:!f,section:0,value:0),time:(from:'2018-01-08T05:55:23-0700',mode:absolute,to:'2018-01-08T08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247" t="str">
        <f>IF(AA164&lt;VLOOKUP(AG164,Variables!$AC$3:$AD$8,2,FALSE),"Y","N")</f>
        <v>N</v>
      </c>
      <c r="X164" s="247">
        <f t="shared" si="64"/>
        <v>1</v>
      </c>
      <c r="Y164" s="247">
        <f t="shared" si="89"/>
        <v>5.8597999999999999</v>
      </c>
      <c r="Z164" s="247">
        <f t="shared" si="90"/>
        <v>1.7600000000000001E-2</v>
      </c>
      <c r="AA164" s="247">
        <f t="shared" si="65"/>
        <v>5.8422000000000001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6"/>
        <v>806</v>
      </c>
      <c r="AE164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64" s="234" t="str">
        <f t="shared" si="68"/>
        <v>"C:\Program Files (x86)\AstroGrep\AstroGrep.exe" /e /r /s /spath="%USERPROFILE%\AppData\Local\Temp\OnboardLogs" /stypes="app*4029*20180108*" /stext=" 14:.+((SYSTEM_STATE.+slice.+state.+changed )|(ment ac)|(multiple cpu faults)|(system.+state.+changed )|(\[timeout)|(PRM\|1\|D)|(kpr)|(kdp)|(train st.+moving)|(\|lc)|(penalty))"</v>
      </c>
      <c r="AG164" s="244" t="str">
        <f t="shared" si="69"/>
        <v>NW</v>
      </c>
      <c r="AH164" s="236" t="str">
        <f t="shared" si="70"/>
        <v>"%USERPROFILE%\Documents\GitHub\eaglep3\Utilities\RefineRTDCRunTimes.py" --tripid 806-08 --locoid 4029 --swversion DE.1.0.9.0 --startMP 300:58598 --initTime 2018-01-08T06:55:23 --startdatetime 2018-01-08T07:13:14 --delay 45 --endMP 204:176 --enddatetime 2018-01-08T07:24:44 --enforcementcount 0 &gt;&gt;%USERPROFILE%\Documents\GitHub\eaglep3-reporting\EC\2018-01-08-refined-times.txt</v>
      </c>
      <c r="AI16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{"issue":{"subject":"","project_id":79,"tracker_id":40,"status_id":1,"priority_id":2,"assigned_to_id":338,"start_date":"2018-01-08","description":"","custom_fields":[{"id":1,"name":"Subdivision","value":"NW"},{"id":4,"name":"Milepost","value":"0.0176"},{"id":17,"name":"Train ID","value":"806-08"},{"id":16,"name":"Locomotive ID","value":"4029"},{"id":130,"name":"Impact","value":""},{"id":150,"name":"Time of Event (Mountain Time)","value":"07:24:44"},{"id":151,"name":"Denver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72"/>
        <v>start /low /b %USERPROFILE%\Documents\GitHub\eaglep3\Utilities\DownloadLogsFromS3.py --loco 4029 --day 2018-01-08</v>
      </c>
      <c r="AN164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74"/>
        <v>https://d0f6bd738d7f1b3e5a7ca70fe4ff75f0.us-east-1.aws.found.io/app/kibana#/discover/Steve-Slow-Train-Analysis-(2080s-and-2083s)?_g=(refreshInterval:(display:Off,pause:!f,section:0,value:0),time:(from:'2018-01-08T05:55:23-0700',mode:absolute,to:'2018-01-08T08:24:44-0700'))&amp;_a=(columns:!('Message%20ID',Summary),filters:!(),index:'emp_*',interval:auto,query:(query_string:(analyze_wildcard:!t,query:'%22rtdc.l.rtdc.4029%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621</v>
      </c>
      <c r="B165" s="225">
        <v>4064</v>
      </c>
      <c r="C165" s="227" t="s">
        <v>191</v>
      </c>
      <c r="D165" s="227" t="s">
        <v>489</v>
      </c>
      <c r="E165" s="226">
        <v>43108.288807870369</v>
      </c>
      <c r="F165" s="226">
        <v>43108.298055555555</v>
      </c>
      <c r="G165" s="225">
        <v>52</v>
      </c>
      <c r="H165" s="227" t="s">
        <v>1014</v>
      </c>
      <c r="I165" s="226">
        <v>43108.308715277781</v>
      </c>
      <c r="J165" s="225">
        <v>0</v>
      </c>
      <c r="K165" s="237" t="str">
        <f t="shared" si="59"/>
        <v>4063/4064</v>
      </c>
      <c r="L165" s="245" t="str">
        <f>VLOOKUP(A165,'Trips&amp;Operators'!$C$1:$G$99911,5,FALSE)</f>
        <v>BIRENBAUM THOMAS</v>
      </c>
      <c r="M165" s="224">
        <f t="shared" si="60"/>
        <v>1.0659722225682344E-2</v>
      </c>
      <c r="N165" s="225">
        <f t="shared" si="82"/>
        <v>15.350000004982576</v>
      </c>
      <c r="O165" s="225"/>
      <c r="P165" s="225"/>
      <c r="Q165" s="228"/>
      <c r="R165" s="242"/>
      <c r="S165" s="249">
        <f t="shared" si="83"/>
        <v>1</v>
      </c>
      <c r="T165" s="242" t="str">
        <f t="shared" si="62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63"/>
        <v>https://d0f6bd738d7f1b3e5a7ca70fe4ff75f0.us-east-1.aws.found.io/app/kibana#/discover/Steve-Slow-Train-Analysis-(2080s-and-2083s)?_g=(refreshInterval:(display:Off,pause:!f,section:0,value:0),time:(from:'2018-01-08T05:55:53-0700',mode:absolute,to:'2018-01-08T08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5" s="247" t="str">
        <f>IF(AA165&lt;VLOOKUP(AG165,Variables!$AC$3:$AD$8,2,FALSE),"Y","N")</f>
        <v>N</v>
      </c>
      <c r="X165" s="247">
        <f t="shared" si="64"/>
        <v>1</v>
      </c>
      <c r="Y165" s="247">
        <f t="shared" si="89"/>
        <v>4.4400000000000002E-2</v>
      </c>
      <c r="Z165" s="247">
        <f t="shared" si="90"/>
        <v>5.8924000000000003</v>
      </c>
      <c r="AA165" s="247">
        <f t="shared" si="65"/>
        <v>5.8479999999999999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6"/>
        <v>807</v>
      </c>
      <c r="AE165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65" s="234" t="str">
        <f t="shared" si="68"/>
        <v>"C:\Program Files (x86)\AstroGrep\AstroGrep.exe" /e /r /s /spath="%USERPROFILE%\AppData\Local\Temp\OnboardLogs" /stypes="app*4064*20180108*" /stext=" 14:.+((SYSTEM_STATE.+slice.+state.+changed )|(ment ac)|(multiple cpu faults)|(system.+state.+changed )|(\[timeout)|(PRM\|1\|D)|(kpr)|(kdp)|(train st.+moving)|(\|lc)|(penalty))"</v>
      </c>
      <c r="AG165" s="244" t="str">
        <f t="shared" si="69"/>
        <v>NW</v>
      </c>
      <c r="AH165" s="236" t="str">
        <f t="shared" si="70"/>
        <v>"%USERPROFILE%\Documents\GitHub\eaglep3\Utilities\RefineRTDCRunTimes.py" --tripid 807-08 --locoid 4064 --swversion DE.1.0.9.0 --startMP 204:444 --initTime 2018-01-08T06:55:53 --startdatetime 2018-01-08T07:09:12 --delay 52 --endMP 300:58924 --enddatetime 2018-01-08T07:24:33 --enforcementcount 0 &gt;&gt;%USERPROFILE%\Documents\GitHub\eaglep3-reporting\EC\2018-01-08-refined-times.txt</v>
      </c>
      <c r="AI165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{"issue":{"subject":"","project_id":79,"tracker_id":40,"status_id":1,"priority_id":2,"assigned_to_id":338,"start_date":"2018-01-08","description":"","custom_fields":[{"id":1,"name":"Subdivision","value":"NW"},{"id":4,"name":"Milepost","value":"5.8924"},{"id":17,"name":"Train ID","value":"807-08"},{"id":16,"name":"Locomotive ID","value":"4064"},{"id":130,"name":"Impact","value":""},{"id":150,"name":"Time of Event (Mountain Time)","value":"07:24:33"},{"id":151,"name":"Denver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72"/>
        <v>start /low /b %USERPROFILE%\Documents\GitHub\eaglep3\Utilities\DownloadLogsFromS3.py --loco 4064 --day 2018-01-08</v>
      </c>
      <c r="AN165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74"/>
        <v>https://d0f6bd738d7f1b3e5a7ca70fe4ff75f0.us-east-1.aws.found.io/app/kibana#/discover/Steve-Slow-Train-Analysis-(2080s-and-2083s)?_g=(refreshInterval:(display:Off,pause:!f,section:0,value:0),time:(from:'2018-01-08T05:55:53-0700',mode:absolute,to:'2018-01-08T08:24:33-0700'))&amp;_a=(columns:!('Message%20ID',Summary),filters:!(),index:'emp_*',interval:auto,query:(query_string:(analyze_wildcard:!t,query:'%22rtdc.l.rtdc.4064%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694</v>
      </c>
      <c r="B166" s="225">
        <v>4063</v>
      </c>
      <c r="C166" s="227" t="s">
        <v>191</v>
      </c>
      <c r="D166" s="227" t="s">
        <v>597</v>
      </c>
      <c r="E166" s="226">
        <v>43108.309942129628</v>
      </c>
      <c r="F166" s="226">
        <v>43108.321562500001</v>
      </c>
      <c r="G166" s="225">
        <v>51</v>
      </c>
      <c r="H166" s="227" t="s">
        <v>1022</v>
      </c>
      <c r="I166" s="226">
        <v>43108.32916666667</v>
      </c>
      <c r="J166" s="225">
        <v>0</v>
      </c>
      <c r="K166" s="237" t="str">
        <f t="shared" si="59"/>
        <v>4063/4064</v>
      </c>
      <c r="L166" s="245" t="str">
        <f>VLOOKUP(A166,'Trips&amp;Operators'!$C$1:$G$99911,5,FALSE)</f>
        <v>BIRENBAUM THOMAS</v>
      </c>
      <c r="M166" s="224">
        <f t="shared" si="60"/>
        <v>7.6041666688979603E-3</v>
      </c>
      <c r="N166" s="225">
        <f t="shared" si="82"/>
        <v>10.950000003213063</v>
      </c>
      <c r="O166" s="225"/>
      <c r="P166" s="225"/>
      <c r="Q166" s="228"/>
      <c r="R166" s="242"/>
      <c r="S166" s="249">
        <f t="shared" si="83"/>
        <v>1</v>
      </c>
      <c r="T166" s="242" t="str">
        <f t="shared" si="62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63"/>
        <v>https://d0f6bd738d7f1b3e5a7ca70fe4ff75f0.us-east-1.aws.found.io/app/kibana#/discover/Steve-Slow-Train-Analysis-(2080s-and-2083s)?_g=(refreshInterval:(display:Off,pause:!f,section:0,value:0),time:(from:'2018-01-08T06:26:19-0700',mode:absolute,to:'2018-01-08T08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6" s="247" t="str">
        <f>IF(AA166&lt;VLOOKUP(AG166,Variables!$AC$3:$AD$8,2,FALSE),"Y","N")</f>
        <v>N</v>
      </c>
      <c r="X166" s="247">
        <f t="shared" si="64"/>
        <v>1</v>
      </c>
      <c r="Y166" s="247">
        <f t="shared" si="89"/>
        <v>5.8611000000000004</v>
      </c>
      <c r="Z166" s="247">
        <f t="shared" si="90"/>
        <v>1.5100000000000001E-2</v>
      </c>
      <c r="AA166" s="247">
        <f t="shared" si="65"/>
        <v>5.8460000000000001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6"/>
        <v>808</v>
      </c>
      <c r="AE166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66" s="234" t="str">
        <f t="shared" si="68"/>
        <v>"C:\Program Files (x86)\AstroGrep\AstroGrep.exe" /e /r /s /spath="%USERPROFILE%\AppData\Local\Temp\OnboardLogs" /stypes="app*4063*20180108*" /stext=" 14:.+((SYSTEM_STATE.+slice.+state.+changed )|(ment ac)|(multiple cpu faults)|(system.+state.+changed )|(\[timeout)|(PRM\|1\|D)|(kpr)|(kdp)|(train st.+moving)|(\|lc)|(penalty))"</v>
      </c>
      <c r="AG166" s="244" t="str">
        <f t="shared" si="69"/>
        <v>NW</v>
      </c>
      <c r="AH166" s="236" t="str">
        <f t="shared" si="70"/>
        <v>"%USERPROFILE%\Documents\GitHub\eaglep3\Utilities\RefineRTDCRunTimes.py" --tripid 808-08 --locoid 4063 --swversion DE.1.0.9.0 --startMP 300:58611 --initTime 2018-01-08T07:26:19 --startdatetime 2018-01-08T07:43:03 --delay 51 --endMP 204:151 --enddatetime 2018-01-08T07:54:00 --enforcementcount 0 &gt;&gt;%USERPROFILE%\Documents\GitHub\eaglep3-reporting\EC\2018-01-08-refined-times.txt</v>
      </c>
      <c r="AI16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{"issue":{"subject":"","project_id":79,"tracker_id":40,"status_id":1,"priority_id":2,"assigned_to_id":338,"start_date":"2018-01-08","description":"","custom_fields":[{"id":1,"name":"Subdivision","value":"NW"},{"id":4,"name":"Milepost","value":"0.0151"},{"id":17,"name":"Train ID","value":"808-08"},{"id":16,"name":"Locomotive ID","value":"4063"},{"id":130,"name":"Impact","value":""},{"id":150,"name":"Time of Event (Mountain Time)","value":"07:54:00"},{"id":151,"name":"Denver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72"/>
        <v>start /low /b %USERPROFILE%\Documents\GitHub\eaglep3\Utilities\DownloadLogsFromS3.py --loco 4063 --day 2018-01-08</v>
      </c>
      <c r="AN166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74"/>
        <v>https://d0f6bd738d7f1b3e5a7ca70fe4ff75f0.us-east-1.aws.found.io/app/kibana#/discover/Steve-Slow-Train-Analysis-(2080s-and-2083s)?_g=(refreshInterval:(display:Off,pause:!f,section:0,value:0),time:(from:'2018-01-08T06:26:19-0700',mode:absolute,to:'2018-01-08T08:54:00-0700'))&amp;_a=(columns:!('Message%20ID',Summary),filters:!(),index:'emp_*',interval:auto,query:(query_string:(analyze_wildcard:!t,query:'%22rtdc.l.rtdc.4063%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696</v>
      </c>
      <c r="B167" s="225">
        <v>4030</v>
      </c>
      <c r="C167" s="227" t="s">
        <v>191</v>
      </c>
      <c r="D167" s="227" t="s">
        <v>1023</v>
      </c>
      <c r="E167" s="226">
        <v>43108.317893518521</v>
      </c>
      <c r="F167" s="226">
        <v>43108.318969907406</v>
      </c>
      <c r="G167" s="225">
        <v>45</v>
      </c>
      <c r="H167" s="227" t="s">
        <v>596</v>
      </c>
      <c r="I167" s="226">
        <v>43108.328900462962</v>
      </c>
      <c r="J167" s="225">
        <v>0</v>
      </c>
      <c r="K167" s="237" t="str">
        <f t="shared" si="59"/>
        <v>4029/4030</v>
      </c>
      <c r="L167" s="245" t="str">
        <f>VLOOKUP(A167,'Trips&amp;Operators'!$C$1:$G$99911,5,FALSE)</f>
        <v>MACDONALD THOMAS</v>
      </c>
      <c r="M167" s="224">
        <f t="shared" si="60"/>
        <v>9.930555555911269E-3</v>
      </c>
      <c r="N167" s="225">
        <f t="shared" si="82"/>
        <v>14.300000000512227</v>
      </c>
      <c r="O167" s="225"/>
      <c r="P167" s="225"/>
      <c r="Q167" s="228"/>
      <c r="R167" s="242"/>
      <c r="S167" s="249">
        <f t="shared" si="83"/>
        <v>1</v>
      </c>
      <c r="T167" s="242" t="str">
        <f t="shared" si="62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63"/>
        <v>https://d0f6bd738d7f1b3e5a7ca70fe4ff75f0.us-east-1.aws.found.io/app/kibana#/discover/Steve-Slow-Train-Analysis-(2080s-and-2083s)?_g=(refreshInterval:(display:Off,pause:!f,section:0,value:0),time:(from:'2018-01-08T06:37:46-0700',mode:absolute,to:'2018-01-08T08:53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247" t="str">
        <f>IF(AA167&lt;VLOOKUP(AG167,Variables!$AC$3:$AD$8,2,FALSE),"Y","N")</f>
        <v>N</v>
      </c>
      <c r="X167" s="247">
        <f t="shared" si="64"/>
        <v>1</v>
      </c>
      <c r="Y167" s="247">
        <f t="shared" si="89"/>
        <v>4.8399999999999999E-2</v>
      </c>
      <c r="Z167" s="247">
        <f t="shared" si="90"/>
        <v>5.8914</v>
      </c>
      <c r="AA167" s="247">
        <f t="shared" si="65"/>
        <v>5.843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6"/>
        <v>809</v>
      </c>
      <c r="AE167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67" s="234" t="str">
        <f t="shared" si="68"/>
        <v>"C:\Program Files (x86)\AstroGrep\AstroGrep.exe" /e /r /s /spath="%USERPROFILE%\AppData\Local\Temp\OnboardLogs" /stypes="app*4030*20180108*" /stext=" 14:.+((SYSTEM_STATE.+slice.+state.+changed )|(ment ac)|(multiple cpu faults)|(system.+state.+changed )|(\[timeout)|(PRM\|1\|D)|(kpr)|(kdp)|(train st.+moving)|(\|lc)|(penalty))"</v>
      </c>
      <c r="AG167" s="244" t="str">
        <f t="shared" si="69"/>
        <v>NW</v>
      </c>
      <c r="AH167" s="236" t="str">
        <f t="shared" si="70"/>
        <v>"%USERPROFILE%\Documents\GitHub\eaglep3\Utilities\RefineRTDCRunTimes.py" --tripid 809-08 --locoid 4030 --swversion DE.1.0.9.0 --startMP 204:484 --initTime 2018-01-08T07:37:46 --startdatetime 2018-01-08T07:39:19 --delay 45 --endMP 300:58914 --enddatetime 2018-01-08T07:53:37 --enforcementcount 0 &gt;&gt;%USERPROFILE%\Documents\GitHub\eaglep3-reporting\EC\2018-01-08-refined-times.txt</v>
      </c>
      <c r="AI167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{"issue":{"subject":"","project_id":79,"tracker_id":40,"status_id":1,"priority_id":2,"assigned_to_id":338,"start_date":"2018-01-08","description":"","custom_fields":[{"id":1,"name":"Subdivision","value":"NW"},{"id":4,"name":"Milepost","value":"5.8914"},{"id":17,"name":"Train ID","value":"809-08"},{"id":16,"name":"Locomotive ID","value":"4030"},{"id":130,"name":"Impact","value":""},{"id":150,"name":"Time of Event (Mountain Time)","value":"07:53:37"},{"id":151,"name":"Denver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72"/>
        <v>start /low /b %USERPROFILE%\Documents\GitHub\eaglep3\Utilities\DownloadLogsFromS3.py --loco 4030 --day 2018-01-08</v>
      </c>
      <c r="AN167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74"/>
        <v>https://d0f6bd738d7f1b3e5a7ca70fe4ff75f0.us-east-1.aws.found.io/app/kibana#/discover/Steve-Slow-Train-Analysis-(2080s-and-2083s)?_g=(refreshInterval:(display:Off,pause:!f,section:0,value:0),time:(from:'2018-01-08T06:37:46-0700',mode:absolute,to:'2018-01-08T08:53:37-0700'))&amp;_a=(columns:!('Message%20ID',Summary),filters:!(),index:'emp_*',interval:auto,query:(query_string:(analyze_wildcard:!t,query:'%22rtdc.l.rtdc.4030%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702</v>
      </c>
      <c r="B168" s="225">
        <v>4029</v>
      </c>
      <c r="C168" s="227" t="s">
        <v>191</v>
      </c>
      <c r="D168" s="227" t="s">
        <v>600</v>
      </c>
      <c r="E168" s="226">
        <v>43108.329548611109</v>
      </c>
      <c r="F168" s="226">
        <v>43108.342453703706</v>
      </c>
      <c r="G168" s="225">
        <v>44</v>
      </c>
      <c r="H168" s="227" t="s">
        <v>598</v>
      </c>
      <c r="I168" s="226">
        <v>43108.350717592592</v>
      </c>
      <c r="J168" s="225">
        <v>0</v>
      </c>
      <c r="K168" s="237" t="str">
        <f t="shared" si="59"/>
        <v>4029/4030</v>
      </c>
      <c r="L168" s="245" t="str">
        <f>VLOOKUP(A168,'Trips&amp;Operators'!$C$1:$G$99911,5,FALSE)</f>
        <v>MACDONALD THOMAS</v>
      </c>
      <c r="M168" s="224">
        <f t="shared" si="60"/>
        <v>8.2638888852670789E-3</v>
      </c>
      <c r="N168" s="225">
        <f t="shared" si="82"/>
        <v>11.899999994784594</v>
      </c>
      <c r="O168" s="225"/>
      <c r="P168" s="225"/>
      <c r="Q168" s="228"/>
      <c r="R168" s="242"/>
      <c r="S168" s="249">
        <f t="shared" si="83"/>
        <v>1</v>
      </c>
      <c r="T168" s="242" t="str">
        <f t="shared" si="62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63"/>
        <v>https://d0f6bd738d7f1b3e5a7ca70fe4ff75f0.us-east-1.aws.found.io/app/kibana#/discover/Steve-Slow-Train-Analysis-(2080s-and-2083s)?_g=(refreshInterval:(display:Off,pause:!f,section:0,value:0),time:(from:'2018-01-08T06:54:33-0700',mode:absolute,to:'2018-01-08T09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247" t="str">
        <f>IF(AA168&lt;VLOOKUP(AG168,Variables!$AC$3:$AD$8,2,FALSE),"Y","N")</f>
        <v>N</v>
      </c>
      <c r="X168" s="247">
        <f t="shared" si="64"/>
        <v>1</v>
      </c>
      <c r="Y168" s="247">
        <f t="shared" si="89"/>
        <v>5.86</v>
      </c>
      <c r="Z168" s="247">
        <f t="shared" si="90"/>
        <v>1.5299999999999999E-2</v>
      </c>
      <c r="AA168" s="247">
        <f t="shared" si="65"/>
        <v>5.8447000000000005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6"/>
        <v>810</v>
      </c>
      <c r="AE168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68" s="234" t="str">
        <f t="shared" si="68"/>
        <v>"C:\Program Files (x86)\AstroGrep\AstroGrep.exe" /e /r /s /spath="%USERPROFILE%\AppData\Local\Temp\OnboardLogs" /stypes="app*4029*20180108*" /stext=" 15:.+((SYSTEM_STATE.+slice.+state.+changed )|(ment ac)|(multiple cpu faults)|(system.+state.+changed )|(\[timeout)|(PRM\|1\|D)|(kpr)|(kdp)|(train st.+moving)|(\|lc)|(penalty))"</v>
      </c>
      <c r="AG168" s="244" t="str">
        <f t="shared" si="69"/>
        <v>NW</v>
      </c>
      <c r="AH168" s="236" t="str">
        <f t="shared" si="70"/>
        <v>"%USERPROFILE%\Documents\GitHub\eaglep3\Utilities\RefineRTDCRunTimes.py" --tripid 810-08 --locoid 4029 --swversion DE.1.0.9.0 --startMP 300:58600 --initTime 2018-01-08T07:54:33 --startdatetime 2018-01-08T08:13:08 --delay 44 --endMP 204:153 --enddatetime 2018-01-08T08:25:02 --enforcementcount 0 &gt;&gt;%USERPROFILE%\Documents\GitHub\eaglep3-reporting\EC\2018-01-08-refined-times.txt</v>
      </c>
      <c r="AI16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{"issue":{"subject":"","project_id":79,"tracker_id":40,"status_id":1,"priority_id":2,"assigned_to_id":338,"start_date":"2018-01-08","description":"","custom_fields":[{"id":1,"name":"Subdivision","value":"NW"},{"id":4,"name":"Milepost","value":"0.0153"},{"id":17,"name":"Train ID","value":"810-08"},{"id":16,"name":"Locomotive ID","value":"4029"},{"id":130,"name":"Impact","value":""},{"id":150,"name":"Time of Event (Mountain Time)","value":"08:25:02"},{"id":151,"name":"Denver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72"/>
        <v>start /low /b %USERPROFILE%\Documents\GitHub\eaglep3\Utilities\DownloadLogsFromS3.py --loco 4029 --day 2018-01-08</v>
      </c>
      <c r="AN168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74"/>
        <v>https://d0f6bd738d7f1b3e5a7ca70fe4ff75f0.us-east-1.aws.found.io/app/kibana#/discover/Steve-Slow-Train-Analysis-(2080s-and-2083s)?_g=(refreshInterval:(display:Off,pause:!f,section:0,value:0),time:(from:'2018-01-08T06:54:33-0700',mode:absolute,to:'2018-01-08T09:25:02-0700'))&amp;_a=(columns:!('Message%20ID',Summary),filters:!(),index:'emp_*',interval:auto,query:(query_string:(analyze_wildcard:!t,query:'%22rtdc.l.rtdc.4029%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703</v>
      </c>
      <c r="B169" s="225">
        <v>4064</v>
      </c>
      <c r="C169" s="227" t="s">
        <v>191</v>
      </c>
      <c r="D169" s="227" t="s">
        <v>1024</v>
      </c>
      <c r="E169" s="226">
        <v>43108.330729166664</v>
      </c>
      <c r="F169" s="226">
        <v>43108.339722222219</v>
      </c>
      <c r="G169" s="225">
        <v>47</v>
      </c>
      <c r="H169" s="227" t="s">
        <v>1025</v>
      </c>
      <c r="I169" s="226">
        <v>43108.34988425926</v>
      </c>
      <c r="J169" s="225">
        <v>0</v>
      </c>
      <c r="K169" s="237" t="str">
        <f t="shared" si="59"/>
        <v>4063/4064</v>
      </c>
      <c r="L169" s="245" t="str">
        <f>VLOOKUP(A169,'Trips&amp;Operators'!$C$1:$G$99911,5,FALSE)</f>
        <v>BIRENBAUM THOMAS</v>
      </c>
      <c r="M169" s="224">
        <f t="shared" si="60"/>
        <v>1.0162037040572613E-2</v>
      </c>
      <c r="N169" s="225">
        <f t="shared" si="82"/>
        <v>14.633333338424563</v>
      </c>
      <c r="O169" s="225"/>
      <c r="P169" s="225"/>
      <c r="Q169" s="228"/>
      <c r="R169" s="242"/>
      <c r="S169" s="249">
        <f t="shared" si="83"/>
        <v>1</v>
      </c>
      <c r="T169" s="242" t="str">
        <f t="shared" si="62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63"/>
        <v>https://d0f6bd738d7f1b3e5a7ca70fe4ff75f0.us-east-1.aws.found.io/app/kibana#/discover/Steve-Slow-Train-Analysis-(2080s-and-2083s)?_g=(refreshInterval:(display:Off,pause:!f,section:0,value:0),time:(from:'2018-01-08T06:56:15-0700',mode:absolute,to:'2018-01-08T09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9" s="247" t="str">
        <f>IF(AA169&lt;VLOOKUP(AG169,Variables!$AC$3:$AD$8,2,FALSE),"Y","N")</f>
        <v>N</v>
      </c>
      <c r="X169" s="247">
        <f t="shared" si="64"/>
        <v>1</v>
      </c>
      <c r="Y169" s="247">
        <f t="shared" si="89"/>
        <v>4.3200000000000002E-2</v>
      </c>
      <c r="Z169" s="247">
        <f t="shared" si="90"/>
        <v>5.8935000000000004</v>
      </c>
      <c r="AA169" s="247">
        <f t="shared" si="65"/>
        <v>5.8503000000000007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6"/>
        <v>811</v>
      </c>
      <c r="AE169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69" s="234" t="str">
        <f t="shared" si="68"/>
        <v>"C:\Program Files (x86)\AstroGrep\AstroGrep.exe" /e /r /s /spath="%USERPROFILE%\AppData\Local\Temp\OnboardLogs" /stypes="app*4064*20180108*" /stext=" 15:.+((SYSTEM_STATE.+slice.+state.+changed )|(ment ac)|(multiple cpu faults)|(system.+state.+changed )|(\[timeout)|(PRM\|1\|D)|(kpr)|(kdp)|(train st.+moving)|(\|lc)|(penalty))"</v>
      </c>
      <c r="AG169" s="244" t="str">
        <f t="shared" si="69"/>
        <v>NW</v>
      </c>
      <c r="AH169" s="236" t="str">
        <f t="shared" si="70"/>
        <v>"%USERPROFILE%\Documents\GitHub\eaglep3\Utilities\RefineRTDCRunTimes.py" --tripid 811-08 --locoid 4064 --swversion DE.1.0.9.0 --startMP 204:432 --initTime 2018-01-08T07:56:15 --startdatetime 2018-01-08T08:09:12 --delay 47 --endMP 300:58935 --enddatetime 2018-01-08T08:23:50 --enforcementcount 0 &gt;&gt;%USERPROFILE%\Documents\GitHub\eaglep3-reporting\EC\2018-01-08-refined-times.txt</v>
      </c>
      <c r="AI16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{"issue":{"subject":"","project_id":79,"tracker_id":40,"status_id":1,"priority_id":2,"assigned_to_id":338,"start_date":"2018-01-08","description":"","custom_fields":[{"id":1,"name":"Subdivision","value":"NW"},{"id":4,"name":"Milepost","value":"5.8935"},{"id":17,"name":"Train ID","value":"811-08"},{"id":16,"name":"Locomotive ID","value":"4064"},{"id":130,"name":"Impact","value":""},{"id":150,"name":"Time of Event (Mountain Time)","value":"08:23:50"},{"id":151,"name":"Denver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72"/>
        <v>start /low /b %USERPROFILE%\Documents\GitHub\eaglep3\Utilities\DownloadLogsFromS3.py --loco 4064 --day 2018-01-08</v>
      </c>
      <c r="AN169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74"/>
        <v>https://d0f6bd738d7f1b3e5a7ca70fe4ff75f0.us-east-1.aws.found.io/app/kibana#/discover/Steve-Slow-Train-Analysis-(2080s-and-2083s)?_g=(refreshInterval:(display:Off,pause:!f,section:0,value:0),time:(from:'2018-01-08T06:56:15-0700',mode:absolute,to:'2018-01-08T09:23:50-0700'))&amp;_a=(columns:!('Message%20ID',Summary),filters:!(),index:'emp_*',interval:auto,query:(query_string:(analyze_wildcard:!t,query:'%22rtdc.l.rtdc.4064%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708</v>
      </c>
      <c r="B170" s="225">
        <v>4063</v>
      </c>
      <c r="C170" s="227" t="s">
        <v>191</v>
      </c>
      <c r="D170" s="227" t="s">
        <v>1026</v>
      </c>
      <c r="E170" s="226">
        <v>43108.351053240738</v>
      </c>
      <c r="F170" s="226">
        <v>43108.36273148148</v>
      </c>
      <c r="G170" s="225">
        <v>54</v>
      </c>
      <c r="H170" s="227" t="s">
        <v>1027</v>
      </c>
      <c r="I170" s="226">
        <v>43108.371087962965</v>
      </c>
      <c r="J170" s="225">
        <v>0</v>
      </c>
      <c r="K170" s="237" t="str">
        <f t="shared" si="59"/>
        <v>4063/4064</v>
      </c>
      <c r="L170" s="245" t="str">
        <f>VLOOKUP(A170,'Trips&amp;Operators'!$C$1:$G$99911,5,FALSE)</f>
        <v>BIRENBAUM THOMAS</v>
      </c>
      <c r="M170" s="224">
        <f t="shared" si="60"/>
        <v>8.3564814849523827E-3</v>
      </c>
      <c r="N170" s="225">
        <f t="shared" si="82"/>
        <v>12.033333338331431</v>
      </c>
      <c r="O170" s="225"/>
      <c r="P170" s="225"/>
      <c r="Q170" s="228"/>
      <c r="R170" s="242"/>
      <c r="S170" s="249">
        <f t="shared" si="83"/>
        <v>1</v>
      </c>
      <c r="T170" s="242" t="str">
        <f t="shared" si="62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63"/>
        <v>https://d0f6bd738d7f1b3e5a7ca70fe4ff75f0.us-east-1.aws.found.io/app/kibana#/discover/Steve-Slow-Train-Analysis-(2080s-and-2083s)?_g=(refreshInterval:(display:Off,pause:!f,section:0,value:0),time:(from:'2018-01-08T07:25:31-0700',mode:absolute,to:'2018-01-08T09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0" s="247" t="str">
        <f>IF(AA170&lt;VLOOKUP(AG170,Variables!$AC$3:$AD$8,2,FALSE),"Y","N")</f>
        <v>N</v>
      </c>
      <c r="X170" s="247">
        <f t="shared" si="64"/>
        <v>1</v>
      </c>
      <c r="Y170" s="247">
        <f t="shared" si="89"/>
        <v>5.8619000000000003</v>
      </c>
      <c r="Z170" s="247">
        <f t="shared" si="90"/>
        <v>1.37E-2</v>
      </c>
      <c r="AA170" s="247">
        <f t="shared" si="65"/>
        <v>5.8482000000000003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6"/>
        <v>812</v>
      </c>
      <c r="AE170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0" s="234" t="str">
        <f t="shared" si="68"/>
        <v>"C:\Program Files (x86)\AstroGrep\AstroGrep.exe" /e /r /s /spath="%USERPROFILE%\AppData\Local\Temp\OnboardLogs" /stypes="app*4063*20180108*" /stext=" 15:.+((SYSTEM_STATE.+slice.+state.+changed )|(ment ac)|(multiple cpu faults)|(system.+state.+changed )|(\[timeout)|(PRM\|1\|D)|(kpr)|(kdp)|(train st.+moving)|(\|lc)|(penalty))"</v>
      </c>
      <c r="AG170" s="244" t="str">
        <f t="shared" si="69"/>
        <v>NW</v>
      </c>
      <c r="AH170" s="236" t="str">
        <f t="shared" si="70"/>
        <v>"%USERPROFILE%\Documents\GitHub\eaglep3\Utilities\RefineRTDCRunTimes.py" --tripid 812-08 --locoid 4063 --swversion DE.1.0.9.0 --startMP 300:58619 --initTime 2018-01-08T08:25:31 --startdatetime 2018-01-08T08:42:20 --delay 54 --endMP 204:137 --enddatetime 2018-01-08T08:54:22 --enforcementcount 0 &gt;&gt;%USERPROFILE%\Documents\GitHub\eaglep3-reporting\EC\2018-01-08-refined-times.txt</v>
      </c>
      <c r="AI17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{"issue":{"subject":"","project_id":79,"tracker_id":40,"status_id":1,"priority_id":2,"assigned_to_id":338,"start_date":"2018-01-08","description":"","custom_fields":[{"id":1,"name":"Subdivision","value":"NW"},{"id":4,"name":"Milepost","value":"0.0137"},{"id":17,"name":"Train ID","value":"812-08"},{"id":16,"name":"Locomotive ID","value":"4063"},{"id":130,"name":"Impact","value":""},{"id":150,"name":"Time of Event (Mountain Time)","value":"08:54:22"},{"id":151,"name":"Denver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72"/>
        <v>start /low /b %USERPROFILE%\Documents\GitHub\eaglep3\Utilities\DownloadLogsFromS3.py --loco 4063 --day 2018-01-08</v>
      </c>
      <c r="AN170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74"/>
        <v>https://d0f6bd738d7f1b3e5a7ca70fe4ff75f0.us-east-1.aws.found.io/app/kibana#/discover/Steve-Slow-Train-Analysis-(2080s-and-2083s)?_g=(refreshInterval:(display:Off,pause:!f,section:0,value:0),time:(from:'2018-01-08T07:25:31-0700',mode:absolute,to:'2018-01-08T09:54:22-0700'))&amp;_a=(columns:!('Message%20ID',Summary),filters:!(),index:'emp_*',interval:auto,query:(query_string:(analyze_wildcard:!t,query:'%22rtdc.l.rtdc.4063%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713</v>
      </c>
      <c r="B171" s="225">
        <v>4064</v>
      </c>
      <c r="C171" s="227" t="s">
        <v>191</v>
      </c>
      <c r="D171" s="227" t="s">
        <v>489</v>
      </c>
      <c r="E171" s="226">
        <v>43108.372303240743</v>
      </c>
      <c r="F171" s="226">
        <v>43108.38140046296</v>
      </c>
      <c r="G171" s="225">
        <v>49</v>
      </c>
      <c r="H171" s="227" t="s">
        <v>1028</v>
      </c>
      <c r="I171" s="226">
        <v>43108.390416666669</v>
      </c>
      <c r="J171" s="225">
        <v>0</v>
      </c>
      <c r="K171" s="237" t="str">
        <f t="shared" si="59"/>
        <v>4063/4064</v>
      </c>
      <c r="L171" s="245" t="str">
        <f>VLOOKUP(A171,'Trips&amp;Operators'!$C$1:$G$99911,5,FALSE)</f>
        <v>BIRENBAUM THOMAS</v>
      </c>
      <c r="M171" s="224">
        <f t="shared" si="60"/>
        <v>9.0162037085974589E-3</v>
      </c>
      <c r="N171" s="225">
        <f t="shared" si="82"/>
        <v>12.983333340380341</v>
      </c>
      <c r="O171" s="225"/>
      <c r="P171" s="225"/>
      <c r="Q171" s="228"/>
      <c r="R171" s="242"/>
      <c r="S171" s="249">
        <f t="shared" si="83"/>
        <v>1</v>
      </c>
      <c r="T171" s="242" t="str">
        <f t="shared" si="62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63"/>
        <v>https://d0f6bd738d7f1b3e5a7ca70fe4ff75f0.us-east-1.aws.found.io/app/kibana#/discover/Steve-Slow-Train-Analysis-(2080s-and-2083s)?_g=(refreshInterval:(display:Off,pause:!f,section:0,value:0),time:(from:'2018-01-08T07:56:07-0700',mode:absolute,to:'2018-01-08T10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1" s="247" t="str">
        <f>IF(AA171&lt;VLOOKUP(AG171,Variables!$AC$3:$AD$8,2,FALSE),"Y","N")</f>
        <v>N</v>
      </c>
      <c r="X171" s="247">
        <f t="shared" si="64"/>
        <v>1</v>
      </c>
      <c r="Y171" s="247">
        <f t="shared" si="89"/>
        <v>4.4400000000000002E-2</v>
      </c>
      <c r="Z171" s="247">
        <f t="shared" si="90"/>
        <v>5.8928000000000003</v>
      </c>
      <c r="AA171" s="247">
        <f t="shared" si="65"/>
        <v>5.8483999999999998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6"/>
        <v>813</v>
      </c>
      <c r="AE17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1" s="234" t="str">
        <f t="shared" si="68"/>
        <v>"C:\Program Files (x86)\AstroGrep\AstroGrep.exe" /e /r /s /spath="%USERPROFILE%\AppData\Local\Temp\OnboardLogs" /stypes="app*4064*20180108*" /stext=" 16:.+((SYSTEM_STATE.+slice.+state.+changed )|(ment ac)|(multiple cpu faults)|(system.+state.+changed )|(\[timeout)|(PRM\|1\|D)|(kpr)|(kdp)|(train st.+moving)|(\|lc)|(penalty))"</v>
      </c>
      <c r="AG171" s="244" t="str">
        <f t="shared" si="69"/>
        <v>NW</v>
      </c>
      <c r="AH171" s="236" t="str">
        <f t="shared" si="70"/>
        <v>"%USERPROFILE%\Documents\GitHub\eaglep3\Utilities\RefineRTDCRunTimes.py" --tripid 813-08 --locoid 4064 --swversion DE.1.0.9.0 --startMP 204:444 --initTime 2018-01-08T08:56:07 --startdatetime 2018-01-08T09:09:13 --delay 49 --endMP 300:58928 --enddatetime 2018-01-08T09:22:12 --enforcementcount 0 &gt;&gt;%USERPROFILE%\Documents\GitHub\eaglep3-reporting\EC\2018-01-08-refined-times.txt</v>
      </c>
      <c r="AI17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{"issue":{"subject":"","project_id":79,"tracker_id":40,"status_id":1,"priority_id":2,"assigned_to_id":338,"start_date":"2018-01-08","description":"","custom_fields":[{"id":1,"name":"Subdivision","value":"NW"},{"id":4,"name":"Milepost","value":"5.8928"},{"id":17,"name":"Train ID","value":"813-08"},{"id":16,"name":"Locomotive ID","value":"4064"},{"id":130,"name":"Impact","value":""},{"id":150,"name":"Time of Event (Mountain Time)","value":"09:22:12"},{"id":151,"name":"Denver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72"/>
        <v>start /low /b %USERPROFILE%\Documents\GitHub\eaglep3\Utilities\DownloadLogsFromS3.py --loco 4064 --day 2018-01-08</v>
      </c>
      <c r="AN171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74"/>
        <v>https://d0f6bd738d7f1b3e5a7ca70fe4ff75f0.us-east-1.aws.found.io/app/kibana#/discover/Steve-Slow-Train-Analysis-(2080s-and-2083s)?_g=(refreshInterval:(display:Off,pause:!f,section:0,value:0),time:(from:'2018-01-08T07:56:07-0700',mode:absolute,to:'2018-01-08T10:22:12-0700'))&amp;_a=(columns:!('Message%20ID',Summary),filters:!(),index:'emp_*',interval:auto,query:(query_string:(analyze_wildcard:!t,query:'%22rtdc.l.rtdc.4064%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29" t="s">
        <v>717</v>
      </c>
      <c r="B172" s="225">
        <v>4063</v>
      </c>
      <c r="C172" s="227" t="s">
        <v>191</v>
      </c>
      <c r="D172" s="227" t="s">
        <v>1029</v>
      </c>
      <c r="E172" s="226">
        <v>43108.391643518517</v>
      </c>
      <c r="F172" s="226">
        <v>43108.404895833337</v>
      </c>
      <c r="G172" s="225">
        <v>54</v>
      </c>
      <c r="H172" s="227" t="s">
        <v>1030</v>
      </c>
      <c r="I172" s="226">
        <v>43108.412534722222</v>
      </c>
      <c r="J172" s="225">
        <v>0</v>
      </c>
      <c r="K172" s="237" t="str">
        <f t="shared" si="59"/>
        <v>4063/4064</v>
      </c>
      <c r="L172" s="245" t="str">
        <f>VLOOKUP(A172,'Trips&amp;Operators'!$C$1:$G$99911,5,FALSE)</f>
        <v>BIRENBAUM THOMAS</v>
      </c>
      <c r="M172" s="224">
        <f t="shared" si="60"/>
        <v>7.6388888846850023E-3</v>
      </c>
      <c r="N172" s="225">
        <f t="shared" si="82"/>
        <v>10.999999993946403</v>
      </c>
      <c r="O172" s="225"/>
      <c r="P172" s="225"/>
      <c r="Q172" s="228"/>
      <c r="R172" s="242"/>
      <c r="S172" s="249">
        <f t="shared" si="83"/>
        <v>1</v>
      </c>
      <c r="T172" s="242" t="str">
        <f t="shared" si="62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63"/>
        <v>https://d0f6bd738d7f1b3e5a7ca70fe4ff75f0.us-east-1.aws.found.io/app/kibana#/discover/Steve-Slow-Train-Analysis-(2080s-and-2083s)?_g=(refreshInterval:(display:Off,pause:!f,section:0,value:0),time:(from:'2018-01-08T08:23:58-0700',mode:absolute,to:'2018-01-08T10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2" s="247" t="str">
        <f>IF(AA172&lt;VLOOKUP(AG172,Variables!$AC$3:$AD$8,2,FALSE),"Y","N")</f>
        <v>N</v>
      </c>
      <c r="X172" s="247">
        <f t="shared" si="64"/>
        <v>1</v>
      </c>
      <c r="Y172" s="247">
        <f t="shared" si="89"/>
        <v>5.8605999999999998</v>
      </c>
      <c r="Z172" s="247">
        <f t="shared" si="90"/>
        <v>1.44E-2</v>
      </c>
      <c r="AA172" s="247">
        <f t="shared" si="65"/>
        <v>5.8461999999999996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6"/>
        <v>814</v>
      </c>
      <c r="AE17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2" s="234" t="str">
        <f t="shared" si="68"/>
        <v>"C:\Program Files (x86)\AstroGrep\AstroGrep.exe" /e /r /s /spath="%USERPROFILE%\AppData\Local\Temp\OnboardLogs" /stypes="app*4063*20180108*" /stext=" 16:.+((SYSTEM_STATE.+slice.+state.+changed )|(ment ac)|(multiple cpu faults)|(system.+state.+changed )|(\[timeout)|(PRM\|1\|D)|(kpr)|(kdp)|(train st.+moving)|(\|lc)|(penalty))"</v>
      </c>
      <c r="AG172" s="244" t="str">
        <f t="shared" si="69"/>
        <v>NW</v>
      </c>
      <c r="AH172" s="236" t="str">
        <f t="shared" si="70"/>
        <v>"%USERPROFILE%\Documents\GitHub\eaglep3\Utilities\RefineRTDCRunTimes.py" --tripid 814-08 --locoid 4063 --swversion DE.1.0.9.0 --startMP 300:58606 --initTime 2018-01-08T09:23:58 --startdatetime 2018-01-08T09:43:03 --delay 54 --endMP 204:144 --enddatetime 2018-01-08T09:54:03 --enforcementcount 0 &gt;&gt;%USERPROFILE%\Documents\GitHub\eaglep3-reporting\EC\2018-01-08-refined-times.txt</v>
      </c>
      <c r="AI17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{"issue":{"subject":"","project_id":79,"tracker_id":40,"status_id":1,"priority_id":2,"assigned_to_id":338,"start_date":"2018-01-08","description":"","custom_fields":[{"id":1,"name":"Subdivision","value":"NW"},{"id":4,"name":"Milepost","value":"0.0144"},{"id":17,"name":"Train ID","value":"814-08"},{"id":16,"name":"Locomotive ID","value":"4063"},{"id":130,"name":"Impact","value":""},{"id":150,"name":"Time of Event (Mountain Time)","value":"09:54:03"},{"id":151,"name":"Denver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72"/>
        <v>start /low /b %USERPROFILE%\Documents\GitHub\eaglep3\Utilities\DownloadLogsFromS3.py --loco 4063 --day 2018-01-08</v>
      </c>
      <c r="AN172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74"/>
        <v>https://d0f6bd738d7f1b3e5a7ca70fe4ff75f0.us-east-1.aws.found.io/app/kibana#/discover/Steve-Slow-Train-Analysis-(2080s-and-2083s)?_g=(refreshInterval:(display:Off,pause:!f,section:0,value:0),time:(from:'2018-01-08T08:23:58-0700',mode:absolute,to:'2018-01-08T10:54:03-0700'))&amp;_a=(columns:!('Message%20ID',Summary),filters:!(),index:'emp_*',interval:auto,query:(query_string:(analyze_wildcard:!t,query:'%22rtdc.l.rtdc.4063%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726</v>
      </c>
      <c r="B173" s="225">
        <v>4064</v>
      </c>
      <c r="C173" s="227" t="s">
        <v>191</v>
      </c>
      <c r="D173" s="227" t="s">
        <v>1031</v>
      </c>
      <c r="E173" s="226">
        <v>43108.413958333331</v>
      </c>
      <c r="F173" s="226">
        <v>43108.423055555555</v>
      </c>
      <c r="G173" s="225">
        <v>50</v>
      </c>
      <c r="H173" s="227" t="s">
        <v>1032</v>
      </c>
      <c r="I173" s="226">
        <v>43108.432858796295</v>
      </c>
      <c r="J173" s="225">
        <v>0</v>
      </c>
      <c r="K173" s="237" t="str">
        <f t="shared" si="59"/>
        <v>4063/4064</v>
      </c>
      <c r="L173" s="245" t="str">
        <f>VLOOKUP(A173,'Trips&amp;Operators'!$C$1:$G$99911,5,FALSE)</f>
        <v>BIRENBAUM THOMAS</v>
      </c>
      <c r="M173" s="224">
        <f t="shared" si="60"/>
        <v>9.8032407404389232E-3</v>
      </c>
      <c r="N173" s="225">
        <f t="shared" si="82"/>
        <v>14.116666666232049</v>
      </c>
      <c r="O173" s="225"/>
      <c r="P173" s="225"/>
      <c r="Q173" s="228"/>
      <c r="R173" s="242"/>
      <c r="S173" s="249">
        <f t="shared" si="83"/>
        <v>1</v>
      </c>
      <c r="T173" s="242" t="str">
        <f t="shared" si="62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63"/>
        <v>https://d0f6bd738d7f1b3e5a7ca70fe4ff75f0.us-east-1.aws.found.io/app/kibana#/discover/Steve-Slow-Train-Analysis-(2080s-and-2083s)?_g=(refreshInterval:(display:Off,pause:!f,section:0,value:0),time:(from:'2018-01-08T08:56:06-0700',mode:absolute,to:'2018-01-08T11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3" s="247" t="str">
        <f>IF(AA173&lt;VLOOKUP(AG173,Variables!$AC$3:$AD$8,2,FALSE),"Y","N")</f>
        <v>N</v>
      </c>
      <c r="X173" s="247">
        <f t="shared" si="64"/>
        <v>1</v>
      </c>
      <c r="Y173" s="247">
        <f t="shared" si="89"/>
        <v>4.48E-2</v>
      </c>
      <c r="Z173" s="247">
        <f t="shared" si="90"/>
        <v>5.8929</v>
      </c>
      <c r="AA173" s="247">
        <f t="shared" si="65"/>
        <v>5.8480999999999996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6"/>
        <v>815</v>
      </c>
      <c r="AE173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3" s="234" t="str">
        <f t="shared" si="68"/>
        <v>"C:\Program Files (x86)\AstroGrep\AstroGrep.exe" /e /r /s /spath="%USERPROFILE%\AppData\Local\Temp\OnboardLogs" /stypes="app*4064*20180108*" /stext=" 17:.+((SYSTEM_STATE.+slice.+state.+changed )|(ment ac)|(multiple cpu faults)|(system.+state.+changed )|(\[timeout)|(PRM\|1\|D)|(kpr)|(kdp)|(train st.+moving)|(\|lc)|(penalty))"</v>
      </c>
      <c r="AG173" s="244" t="str">
        <f t="shared" si="69"/>
        <v>NW</v>
      </c>
      <c r="AH173" s="236" t="str">
        <f t="shared" si="70"/>
        <v>"%USERPROFILE%\Documents\GitHub\eaglep3\Utilities\RefineRTDCRunTimes.py" --tripid 815-08 --locoid 4064 --swversion DE.1.0.9.0 --startMP 204:448 --initTime 2018-01-08T09:56:06 --startdatetime 2018-01-08T10:09:12 --delay 50 --endMP 300:58929 --enddatetime 2018-01-08T10:23:19 --enforcementcount 0 &gt;&gt;%USERPROFILE%\Documents\GitHub\eaglep3-reporting\EC\2018-01-08-refined-times.txt</v>
      </c>
      <c r="AI17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{"issue":{"subject":"","project_id":79,"tracker_id":40,"status_id":1,"priority_id":2,"assigned_to_id":338,"start_date":"2018-01-08","description":"","custom_fields":[{"id":1,"name":"Subdivision","value":"NW"},{"id":4,"name":"Milepost","value":"5.8929"},{"id":17,"name":"Train ID","value":"815-08"},{"id":16,"name":"Locomotive ID","value":"4064"},{"id":130,"name":"Impact","value":""},{"id":150,"name":"Time of Event (Mountain Time)","value":"10:23:19"},{"id":151,"name":"Denver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72"/>
        <v>start /low /b %USERPROFILE%\Documents\GitHub\eaglep3\Utilities\DownloadLogsFromS3.py --loco 4064 --day 2018-01-08</v>
      </c>
      <c r="AN173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74"/>
        <v>https://d0f6bd738d7f1b3e5a7ca70fe4ff75f0.us-east-1.aws.found.io/app/kibana#/discover/Steve-Slow-Train-Analysis-(2080s-and-2083s)?_g=(refreshInterval:(display:Off,pause:!f,section:0,value:0),time:(from:'2018-01-08T08:56:06-0700',mode:absolute,to:'2018-01-08T11:23:19-0700'))&amp;_a=(columns:!('Message%20ID',Summary),filters:!(),index:'emp_*',interval:auto,query:(query_string:(analyze_wildcard:!t,query:'%22rtdc.l.rtdc.4064%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732</v>
      </c>
      <c r="B174" s="225">
        <v>4063</v>
      </c>
      <c r="C174" s="227" t="s">
        <v>191</v>
      </c>
      <c r="D174" s="227" t="s">
        <v>1033</v>
      </c>
      <c r="E174" s="226">
        <v>43108.434120370373</v>
      </c>
      <c r="F174" s="226">
        <v>43108.446562500001</v>
      </c>
      <c r="G174" s="225">
        <v>49</v>
      </c>
      <c r="H174" s="227" t="s">
        <v>1019</v>
      </c>
      <c r="I174" s="226">
        <v>43108.454270833332</v>
      </c>
      <c r="J174" s="225">
        <v>0</v>
      </c>
      <c r="K174" s="237" t="str">
        <f t="shared" si="59"/>
        <v>4063/4064</v>
      </c>
      <c r="L174" s="245" t="str">
        <f>VLOOKUP(A174,'Trips&amp;Operators'!$C$1:$G$99911,5,FALSE)</f>
        <v>BIRENBAUM THOMAS</v>
      </c>
      <c r="M174" s="224">
        <f t="shared" si="60"/>
        <v>7.7083333308110014E-3</v>
      </c>
      <c r="N174" s="225">
        <f t="shared" si="82"/>
        <v>11.099999996367842</v>
      </c>
      <c r="O174" s="225"/>
      <c r="P174" s="225"/>
      <c r="Q174" s="228"/>
      <c r="R174" s="242"/>
      <c r="S174" s="249">
        <f t="shared" si="83"/>
        <v>1</v>
      </c>
      <c r="T174" s="242" t="str">
        <f t="shared" si="62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63"/>
        <v>https://d0f6bd738d7f1b3e5a7ca70fe4ff75f0.us-east-1.aws.found.io/app/kibana#/discover/Steve-Slow-Train-Analysis-(2080s-and-2083s)?_g=(refreshInterval:(display:Off,pause:!f,section:0,value:0),time:(from:'2018-01-08T09:25:08-0700',mode:absolute,to:'2018-01-08T11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4" s="247" t="str">
        <f>IF(AA174&lt;VLOOKUP(AG174,Variables!$AC$3:$AD$8,2,FALSE),"Y","N")</f>
        <v>N</v>
      </c>
      <c r="X174" s="247">
        <f t="shared" si="64"/>
        <v>1</v>
      </c>
      <c r="Y174" s="247">
        <f t="shared" si="89"/>
        <v>5.8620999999999999</v>
      </c>
      <c r="Z174" s="247">
        <f t="shared" si="90"/>
        <v>1.46E-2</v>
      </c>
      <c r="AA174" s="247">
        <f t="shared" si="65"/>
        <v>5.8475000000000001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6"/>
        <v>816</v>
      </c>
      <c r="AE174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4" s="234" t="str">
        <f t="shared" si="68"/>
        <v>"C:\Program Files (x86)\AstroGrep\AstroGrep.exe" /e /r /s /spath="%USERPROFILE%\AppData\Local\Temp\OnboardLogs" /stypes="app*4063*20180108*" /stext=" 17:.+((SYSTEM_STATE.+slice.+state.+changed )|(ment ac)|(multiple cpu faults)|(system.+state.+changed )|(\[timeout)|(PRM\|1\|D)|(kpr)|(kdp)|(train st.+moving)|(\|lc)|(penalty))"</v>
      </c>
      <c r="AG174" s="244" t="str">
        <f t="shared" si="69"/>
        <v>NW</v>
      </c>
      <c r="AH174" s="236" t="str">
        <f t="shared" si="70"/>
        <v>"%USERPROFILE%\Documents\GitHub\eaglep3\Utilities\RefineRTDCRunTimes.py" --tripid 816-08 --locoid 4063 --swversion DE.1.0.9.0 --startMP 300:58621 --initTime 2018-01-08T10:25:08 --startdatetime 2018-01-08T10:43:03 --delay 49 --endMP 204:146 --enddatetime 2018-01-08T10:54:09 --enforcementcount 0 &gt;&gt;%USERPROFILE%\Documents\GitHub\eaglep3-reporting\EC\2018-01-08-refined-times.txt</v>
      </c>
      <c r="AI17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{"issue":{"subject":"","project_id":79,"tracker_id":40,"status_id":1,"priority_id":2,"assigned_to_id":338,"start_date":"2018-01-08","description":"","custom_fields":[{"id":1,"name":"Subdivision","value":"NW"},{"id":4,"name":"Milepost","value":"0.0146"},{"id":17,"name":"Train ID","value":"816-08"},{"id":16,"name":"Locomotive ID","value":"4063"},{"id":130,"name":"Impact","value":""},{"id":150,"name":"Time of Event (Mountain Time)","value":"10:54:09"},{"id":151,"name":"Denver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72"/>
        <v>start /low /b %USERPROFILE%\Documents\GitHub\eaglep3\Utilities\DownloadLogsFromS3.py --loco 4063 --day 2018-01-08</v>
      </c>
      <c r="AN174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74"/>
        <v>https://d0f6bd738d7f1b3e5a7ca70fe4ff75f0.us-east-1.aws.found.io/app/kibana#/discover/Steve-Slow-Train-Analysis-(2080s-and-2083s)?_g=(refreshInterval:(display:Off,pause:!f,section:0,value:0),time:(from:'2018-01-08T09:25:08-0700',mode:absolute,to:'2018-01-08T11:54:09-0700'))&amp;_a=(columns:!('Message%20ID',Summary),filters:!(),index:'emp_*',interval:auto,query:(query_string:(analyze_wildcard:!t,query:'%22rtdc.l.rtdc.4063%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736</v>
      </c>
      <c r="B175" s="225">
        <v>4064</v>
      </c>
      <c r="C175" s="227" t="s">
        <v>191</v>
      </c>
      <c r="D175" s="227" t="s">
        <v>489</v>
      </c>
      <c r="E175" s="226">
        <v>43108.455671296295</v>
      </c>
      <c r="F175" s="226">
        <v>43108.464722222219</v>
      </c>
      <c r="G175" s="225">
        <v>49</v>
      </c>
      <c r="H175" s="227" t="s">
        <v>1034</v>
      </c>
      <c r="I175" s="226">
        <v>43108.474050925928</v>
      </c>
      <c r="J175" s="225">
        <v>0</v>
      </c>
      <c r="K175" s="237" t="str">
        <f t="shared" si="59"/>
        <v>4063/4064</v>
      </c>
      <c r="L175" s="245" t="str">
        <f>VLOOKUP(A175,'Trips&amp;Operators'!$C$1:$G$99911,5,FALSE)</f>
        <v>BIRENBAUM THOMAS</v>
      </c>
      <c r="M175" s="224">
        <f t="shared" si="60"/>
        <v>9.3287037088884972E-3</v>
      </c>
      <c r="N175" s="225">
        <f t="shared" si="82"/>
        <v>13.433333340799436</v>
      </c>
      <c r="O175" s="225"/>
      <c r="P175" s="225"/>
      <c r="Q175" s="228"/>
      <c r="R175" s="242"/>
      <c r="S175" s="249">
        <f t="shared" si="83"/>
        <v>1</v>
      </c>
      <c r="T175" s="242" t="str">
        <f t="shared" si="62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63"/>
        <v>https://d0f6bd738d7f1b3e5a7ca70fe4ff75f0.us-east-1.aws.found.io/app/kibana#/discover/Steve-Slow-Train-Analysis-(2080s-and-2083s)?_g=(refreshInterval:(display:Off,pause:!f,section:0,value:0),time:(from:'2018-01-08T09:56:10-0700',mode:absolute,to:'2018-01-08T12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5" s="247" t="str">
        <f>IF(AA175&lt;VLOOKUP(AG175,Variables!$AC$3:$AD$8,2,FALSE),"Y","N")</f>
        <v>N</v>
      </c>
      <c r="X175" s="247">
        <f t="shared" si="64"/>
        <v>1</v>
      </c>
      <c r="Y175" s="247">
        <f t="shared" si="89"/>
        <v>4.4400000000000002E-2</v>
      </c>
      <c r="Z175" s="247">
        <f t="shared" si="90"/>
        <v>5.8925999999999998</v>
      </c>
      <c r="AA175" s="247">
        <f t="shared" si="65"/>
        <v>5.8481999999999994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6"/>
        <v>817</v>
      </c>
      <c r="AE175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5" s="234" t="str">
        <f t="shared" si="68"/>
        <v>"C:\Program Files (x86)\AstroGrep\AstroGrep.exe" /e /r /s /spath="%USERPROFILE%\AppData\Local\Temp\OnboardLogs" /stypes="app*4064*20180108*" /stext=" 18:.+((SYSTEM_STATE.+slice.+state.+changed )|(ment ac)|(multiple cpu faults)|(system.+state.+changed )|(\[timeout)|(PRM\|1\|D)|(kpr)|(kdp)|(train st.+moving)|(\|lc)|(penalty))"</v>
      </c>
      <c r="AG175" s="244" t="str">
        <f t="shared" si="69"/>
        <v>NW</v>
      </c>
      <c r="AH175" s="236" t="str">
        <f t="shared" si="70"/>
        <v>"%USERPROFILE%\Documents\GitHub\eaglep3\Utilities\RefineRTDCRunTimes.py" --tripid 817-08 --locoid 4064 --swversion DE.1.0.9.0 --startMP 204:444 --initTime 2018-01-08T10:56:10 --startdatetime 2018-01-08T11:09:12 --delay 49 --endMP 300:58926 --enddatetime 2018-01-08T11:22:38 --enforcementcount 0 &gt;&gt;%USERPROFILE%\Documents\GitHub\eaglep3-reporting\EC\2018-01-08-refined-times.txt</v>
      </c>
      <c r="AI175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{"issue":{"subject":"","project_id":79,"tracker_id":40,"status_id":1,"priority_id":2,"assigned_to_id":338,"start_date":"2018-01-08","description":"","custom_fields":[{"id":1,"name":"Subdivision","value":"NW"},{"id":4,"name":"Milepost","value":"5.8926"},{"id":17,"name":"Train ID","value":"817-08"},{"id":16,"name":"Locomotive ID","value":"4064"},{"id":130,"name":"Impact","value":""},{"id":150,"name":"Time of Event (Mountain Time)","value":"11:22:38"},{"id":151,"name":"Denver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72"/>
        <v>start /low /b %USERPROFILE%\Documents\GitHub\eaglep3\Utilities\DownloadLogsFromS3.py --loco 4064 --day 2018-01-08</v>
      </c>
      <c r="AN175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74"/>
        <v>https://d0f6bd738d7f1b3e5a7ca70fe4ff75f0.us-east-1.aws.found.io/app/kibana#/discover/Steve-Slow-Train-Analysis-(2080s-and-2083s)?_g=(refreshInterval:(display:Off,pause:!f,section:0,value:0),time:(from:'2018-01-08T09:56:10-0700',mode:absolute,to:'2018-01-08T12:22:38-0700'))&amp;_a=(columns:!('Message%20ID',Summary),filters:!(),index:'emp_*',interval:auto,query:(query_string:(analyze_wildcard:!t,query:'%22rtdc.l.rtdc.4064%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745</v>
      </c>
      <c r="B176" s="225">
        <v>4063</v>
      </c>
      <c r="C176" s="227" t="s">
        <v>191</v>
      </c>
      <c r="D176" s="227" t="s">
        <v>1035</v>
      </c>
      <c r="E176" s="226">
        <v>43108.475127314814</v>
      </c>
      <c r="F176" s="226">
        <v>43108.488078703704</v>
      </c>
      <c r="G176" s="225">
        <v>52</v>
      </c>
      <c r="H176" s="227" t="s">
        <v>1027</v>
      </c>
      <c r="I176" s="226">
        <v>43108.495810185188</v>
      </c>
      <c r="J176" s="225">
        <v>0</v>
      </c>
      <c r="K176" s="237" t="str">
        <f t="shared" si="59"/>
        <v>4063/4064</v>
      </c>
      <c r="L176" s="245" t="str">
        <f>VLOOKUP(A176,'Trips&amp;Operators'!$C$1:$G$99911,5,FALSE)</f>
        <v>BIRENBAUM THOMAS</v>
      </c>
      <c r="M176" s="224">
        <f t="shared" si="60"/>
        <v>7.7314814843703061E-3</v>
      </c>
      <c r="N176" s="225">
        <f t="shared" si="82"/>
        <v>11.133333337493241</v>
      </c>
      <c r="O176" s="225"/>
      <c r="P176" s="225"/>
      <c r="Q176" s="228"/>
      <c r="R176" s="242"/>
      <c r="S176" s="249">
        <f t="shared" si="83"/>
        <v>1</v>
      </c>
      <c r="T176" s="242" t="str">
        <f t="shared" si="62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63"/>
        <v>https://d0f6bd738d7f1b3e5a7ca70fe4ff75f0.us-east-1.aws.found.io/app/kibana#/discover/Steve-Slow-Train-Analysis-(2080s-and-2083s)?_g=(refreshInterval:(display:Off,pause:!f,section:0,value:0),time:(from:'2018-01-08T10:24:11-0700',mode:absolute,to:'2018-01-08T12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6" s="247" t="str">
        <f>IF(AA176&lt;VLOOKUP(AG176,Variables!$AC$3:$AD$8,2,FALSE),"Y","N")</f>
        <v>N</v>
      </c>
      <c r="X176" s="247">
        <f t="shared" si="64"/>
        <v>1</v>
      </c>
      <c r="Y176" s="247">
        <f t="shared" si="89"/>
        <v>5.8608000000000002</v>
      </c>
      <c r="Z176" s="247">
        <f t="shared" si="90"/>
        <v>1.37E-2</v>
      </c>
      <c r="AA176" s="247">
        <f t="shared" si="65"/>
        <v>5.8471000000000002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6"/>
        <v>818</v>
      </c>
      <c r="AE176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6" s="234" t="str">
        <f t="shared" si="68"/>
        <v>"C:\Program Files (x86)\AstroGrep\AstroGrep.exe" /e /r /s /spath="%USERPROFILE%\AppData\Local\Temp\OnboardLogs" /stypes="app*4063*20180108*" /stext=" 18:.+((SYSTEM_STATE.+slice.+state.+changed )|(ment ac)|(multiple cpu faults)|(system.+state.+changed )|(\[timeout)|(PRM\|1\|D)|(kpr)|(kdp)|(train st.+moving)|(\|lc)|(penalty))"</v>
      </c>
      <c r="AG176" s="244" t="str">
        <f t="shared" si="69"/>
        <v>NW</v>
      </c>
      <c r="AH176" s="236" t="str">
        <f t="shared" si="70"/>
        <v>"%USERPROFILE%\Documents\GitHub\eaglep3\Utilities\RefineRTDCRunTimes.py" --tripid 818-08 --locoid 4063 --swversion DE.1.0.9.0 --startMP 300:58608 --initTime 2018-01-08T11:24:11 --startdatetime 2018-01-08T11:42:50 --delay 52 --endMP 204:137 --enddatetime 2018-01-08T11:53:58 --enforcementcount 0 &gt;&gt;%USERPROFILE%\Documents\GitHub\eaglep3-reporting\EC\2018-01-08-refined-times.txt</v>
      </c>
      <c r="AI17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{"issue":{"subject":"","project_id":79,"tracker_id":40,"status_id":1,"priority_id":2,"assigned_to_id":338,"start_date":"2018-01-08","description":"","custom_fields":[{"id":1,"name":"Subdivision","value":"NW"},{"id":4,"name":"Milepost","value":"0.0137"},{"id":17,"name":"Train ID","value":"818-08"},{"id":16,"name":"Locomotive ID","value":"4063"},{"id":130,"name":"Impact","value":""},{"id":150,"name":"Time of Event (Mountain Time)","value":"11:53:58"},{"id":151,"name":"Denver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72"/>
        <v>start /low /b %USERPROFILE%\Documents\GitHub\eaglep3\Utilities\DownloadLogsFromS3.py --loco 4063 --day 2018-01-08</v>
      </c>
      <c r="AN176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74"/>
        <v>https://d0f6bd738d7f1b3e5a7ca70fe4ff75f0.us-east-1.aws.found.io/app/kibana#/discover/Steve-Slow-Train-Analysis-(2080s-and-2083s)?_g=(refreshInterval:(display:Off,pause:!f,section:0,value:0),time:(from:'2018-01-08T10:24:11-0700',mode:absolute,to:'2018-01-08T12:53:58-0700'))&amp;_a=(columns:!('Message%20ID',Summary),filters:!(),index:'emp_*',interval:auto,query:(query_string:(analyze_wildcard:!t,query:'%22rtdc.l.rtdc.4063%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752</v>
      </c>
      <c r="B177" s="225">
        <v>4064</v>
      </c>
      <c r="C177" s="227" t="s">
        <v>191</v>
      </c>
      <c r="D177" s="227" t="s">
        <v>489</v>
      </c>
      <c r="E177" s="226">
        <v>43108.496840277781</v>
      </c>
      <c r="F177" s="226">
        <v>43108.506388888891</v>
      </c>
      <c r="G177" s="225">
        <v>51</v>
      </c>
      <c r="H177" s="227" t="s">
        <v>1034</v>
      </c>
      <c r="I177" s="226">
        <v>43108.515625</v>
      </c>
      <c r="J177" s="225">
        <v>0</v>
      </c>
      <c r="K177" s="237" t="str">
        <f t="shared" si="59"/>
        <v>4063/4064</v>
      </c>
      <c r="L177" s="245" t="str">
        <f>VLOOKUP(A177,'Trips&amp;Operators'!$C$1:$G$99911,5,FALSE)</f>
        <v>BIRENBAUM THOMAS</v>
      </c>
      <c r="M177" s="224">
        <f t="shared" si="60"/>
        <v>9.2361111092031933E-3</v>
      </c>
      <c r="N177" s="225">
        <f t="shared" si="82"/>
        <v>13.299999997252598</v>
      </c>
      <c r="O177" s="225"/>
      <c r="P177" s="225"/>
      <c r="Q177" s="228"/>
      <c r="R177" s="242"/>
      <c r="S177" s="249">
        <f t="shared" si="83"/>
        <v>1</v>
      </c>
      <c r="T177" s="242" t="str">
        <f t="shared" si="62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63"/>
        <v>https://d0f6bd738d7f1b3e5a7ca70fe4ff75f0.us-east-1.aws.found.io/app/kibana#/discover/Steve-Slow-Train-Analysis-(2080s-and-2083s)?_g=(refreshInterval:(display:Off,pause:!f,section:0,value:0),time:(from:'2018-01-08T10:55:27-0700',mode:absolute,to:'2018-01-08T13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7" s="247" t="str">
        <f>IF(AA177&lt;VLOOKUP(AG177,Variables!$AC$3:$AD$8,2,FALSE),"Y","N")</f>
        <v>N</v>
      </c>
      <c r="X177" s="247">
        <f t="shared" si="64"/>
        <v>1</v>
      </c>
      <c r="Y177" s="247">
        <f t="shared" si="89"/>
        <v>4.4400000000000002E-2</v>
      </c>
      <c r="Z177" s="247">
        <f t="shared" si="90"/>
        <v>5.8925999999999998</v>
      </c>
      <c r="AA177" s="247">
        <f t="shared" si="65"/>
        <v>5.8481999999999994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6"/>
        <v>819</v>
      </c>
      <c r="AE177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7" s="234" t="str">
        <f t="shared" si="68"/>
        <v>"C:\Program Files (x86)\AstroGrep\AstroGrep.exe" /e /r /s /spath="%USERPROFILE%\AppData\Local\Temp\OnboardLogs" /stypes="app*4064*20180108*" /stext=" 19:.+((SYSTEM_STATE.+slice.+state.+changed )|(ment ac)|(multiple cpu faults)|(system.+state.+changed )|(\[timeout)|(PRM\|1\|D)|(kpr)|(kdp)|(train st.+moving)|(\|lc)|(penalty))"</v>
      </c>
      <c r="AG177" s="244" t="str">
        <f t="shared" si="69"/>
        <v>NW</v>
      </c>
      <c r="AH177" s="236" t="str">
        <f t="shared" si="70"/>
        <v>"%USERPROFILE%\Documents\GitHub\eaglep3\Utilities\RefineRTDCRunTimes.py" --tripid 819-08 --locoid 4064 --swversion DE.1.0.9.0 --startMP 204:444 --initTime 2018-01-08T11:55:27 --startdatetime 2018-01-08T12:09:12 --delay 51 --endMP 300:58926 --enddatetime 2018-01-08T12:22:30 --enforcementcount 0 &gt;&gt;%USERPROFILE%\Documents\GitHub\eaglep3-reporting\EC\2018-01-08-refined-times.txt</v>
      </c>
      <c r="AI177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{"issue":{"subject":"","project_id":79,"tracker_id":40,"status_id":1,"priority_id":2,"assigned_to_id":338,"start_date":"2018-01-08","description":"","custom_fields":[{"id":1,"name":"Subdivision","value":"NW"},{"id":4,"name":"Milepost","value":"5.8926"},{"id":17,"name":"Train ID","value":"819-08"},{"id":16,"name":"Locomotive ID","value":"4064"},{"id":130,"name":"Impact","value":""},{"id":150,"name":"Time of Event (Mountain Time)","value":"12:22:30"},{"id":151,"name":"Denver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72"/>
        <v>start /low /b %USERPROFILE%\Documents\GitHub\eaglep3\Utilities\DownloadLogsFromS3.py --loco 4064 --day 2018-01-08</v>
      </c>
      <c r="AN177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74"/>
        <v>https://d0f6bd738d7f1b3e5a7ca70fe4ff75f0.us-east-1.aws.found.io/app/kibana#/discover/Steve-Slow-Train-Analysis-(2080s-and-2083s)?_g=(refreshInterval:(display:Off,pause:!f,section:0,value:0),time:(from:'2018-01-08T10:55:27-0700',mode:absolute,to:'2018-01-08T13:22:30-0700'))&amp;_a=(columns:!('Message%20ID',Summary),filters:!(),index:'emp_*',interval:auto,query:(query_string:(analyze_wildcard:!t,query:'%22rtdc.l.rtdc.4064%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628</v>
      </c>
      <c r="B178" s="225">
        <v>4063</v>
      </c>
      <c r="C178" s="227" t="s">
        <v>191</v>
      </c>
      <c r="D178" s="227" t="s">
        <v>1036</v>
      </c>
      <c r="E178" s="226">
        <v>43108.516655092593</v>
      </c>
      <c r="F178" s="226">
        <v>43108.529675925929</v>
      </c>
      <c r="G178" s="225">
        <v>49</v>
      </c>
      <c r="H178" s="227" t="s">
        <v>505</v>
      </c>
      <c r="I178" s="226">
        <v>43108.538495370369</v>
      </c>
      <c r="J178" s="225">
        <v>0</v>
      </c>
      <c r="K178" s="237" t="str">
        <f t="shared" si="59"/>
        <v>4063/4064</v>
      </c>
      <c r="L178" s="245" t="str">
        <f>VLOOKUP(A178,'Trips&amp;Operators'!$C$1:$G$99911,5,FALSE)</f>
        <v>BIRENBAUM THOMAS</v>
      </c>
      <c r="M178" s="224">
        <f t="shared" si="60"/>
        <v>8.8194444397231564E-3</v>
      </c>
      <c r="N178" s="225">
        <f t="shared" si="82"/>
        <v>12.699999993201345</v>
      </c>
      <c r="O178" s="225"/>
      <c r="P178" s="225"/>
      <c r="Q178" s="228"/>
      <c r="R178" s="242"/>
      <c r="S178" s="249">
        <f t="shared" si="83"/>
        <v>1</v>
      </c>
      <c r="T178" s="242" t="str">
        <f t="shared" si="62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63"/>
        <v>https://d0f6bd738d7f1b3e5a7ca70fe4ff75f0.us-east-1.aws.found.io/app/kibana#/discover/Steve-Slow-Train-Analysis-(2080s-and-2083s)?_g=(refreshInterval:(display:Off,pause:!f,section:0,value:0),time:(from:'2018-01-08T11:23:59-0700',mode:absolute,to:'2018-01-08T13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8" s="247" t="str">
        <f>IF(AA178&lt;VLOOKUP(AG178,Variables!$AC$3:$AD$8,2,FALSE),"Y","N")</f>
        <v>N</v>
      </c>
      <c r="X178" s="247">
        <f t="shared" si="64"/>
        <v>1</v>
      </c>
      <c r="Y178" s="247">
        <f t="shared" si="89"/>
        <v>5.8609</v>
      </c>
      <c r="Z178" s="247">
        <f t="shared" si="90"/>
        <v>1.49E-2</v>
      </c>
      <c r="AA178" s="247">
        <f t="shared" si="65"/>
        <v>5.8460000000000001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6"/>
        <v>820</v>
      </c>
      <c r="AE178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8" s="234" t="str">
        <f t="shared" si="68"/>
        <v>"C:\Program Files (x86)\AstroGrep\AstroGrep.exe" /e /r /s /spath="%USERPROFILE%\AppData\Local\Temp\OnboardLogs" /stypes="app*4063*20180108*" /stext=" 19:.+((SYSTEM_STATE.+slice.+state.+changed )|(ment ac)|(multiple cpu faults)|(system.+state.+changed )|(\[timeout)|(PRM\|1\|D)|(kpr)|(kdp)|(train st.+moving)|(\|lc)|(penalty))"</v>
      </c>
      <c r="AG178" s="244" t="str">
        <f t="shared" si="69"/>
        <v>NW</v>
      </c>
      <c r="AH178" s="236" t="str">
        <f t="shared" si="70"/>
        <v>"%USERPROFILE%\Documents\GitHub\eaglep3\Utilities\RefineRTDCRunTimes.py" --tripid 820-08 --locoid 4063 --swversion DE.1.0.9.0 --startMP 300:58609 --initTime 2018-01-08T12:23:59 --startdatetime 2018-01-08T12:42:44 --delay 49 --endMP 204:149 --enddatetime 2018-01-08T12:55:26 --enforcementcount 0 &gt;&gt;%USERPROFILE%\Documents\GitHub\eaglep3-reporting\EC\2018-01-08-refined-times.txt</v>
      </c>
      <c r="AI17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{"issue":{"subject":"","project_id":79,"tracker_id":40,"status_id":1,"priority_id":2,"assigned_to_id":338,"start_date":"2018-01-08","description":"","custom_fields":[{"id":1,"name":"Subdivision","value":"NW"},{"id":4,"name":"Milepost","value":"0.0149"},{"id":17,"name":"Train ID","value":"820-08"},{"id":16,"name":"Locomotive ID","value":"4063"},{"id":130,"name":"Impact","value":""},{"id":150,"name":"Time of Event (Mountain Time)","value":"12:55:26"},{"id":151,"name":"Denver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72"/>
        <v>start /low /b %USERPROFILE%\Documents\GitHub\eaglep3\Utilities\DownloadLogsFromS3.py --loco 4063 --day 2018-01-08</v>
      </c>
      <c r="AN178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74"/>
        <v>https://d0f6bd738d7f1b3e5a7ca70fe4ff75f0.us-east-1.aws.found.io/app/kibana#/discover/Steve-Slow-Train-Analysis-(2080s-and-2083s)?_g=(refreshInterval:(display:Off,pause:!f,section:0,value:0),time:(from:'2018-01-08T11:23:59-0700',mode:absolute,to:'2018-01-08T13:55:26-0700'))&amp;_a=(columns:!('Message%20ID',Summary),filters:!(),index:'emp_*',interval:auto,query:(query_string:(analyze_wildcard:!t,query:'%22rtdc.l.rtdc.4063%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761</v>
      </c>
      <c r="B179" s="225">
        <v>4064</v>
      </c>
      <c r="C179" s="227" t="s">
        <v>191</v>
      </c>
      <c r="D179" s="227" t="s">
        <v>1037</v>
      </c>
      <c r="E179" s="226">
        <v>43108.543622685182</v>
      </c>
      <c r="F179" s="226">
        <v>43108.548182870371</v>
      </c>
      <c r="G179" s="225">
        <v>88</v>
      </c>
      <c r="H179" s="227" t="s">
        <v>1038</v>
      </c>
      <c r="I179" s="226">
        <v>43108.557500000003</v>
      </c>
      <c r="J179" s="225">
        <v>0</v>
      </c>
      <c r="K179" s="237" t="str">
        <f t="shared" si="59"/>
        <v>4063/4064</v>
      </c>
      <c r="L179" s="245" t="str">
        <f>VLOOKUP(A179,'Trips&amp;Operators'!$C$1:$G$99911,5,FALSE)</f>
        <v>LEVIN SCOTT</v>
      </c>
      <c r="M179" s="224">
        <f t="shared" si="60"/>
        <v>9.3171296321088448E-3</v>
      </c>
      <c r="N179" s="225">
        <f t="shared" si="82"/>
        <v>13.416666670236737</v>
      </c>
      <c r="O179" s="225"/>
      <c r="P179" s="225"/>
      <c r="Q179" s="228"/>
      <c r="R179" s="242"/>
      <c r="S179" s="249">
        <f t="shared" si="83"/>
        <v>1</v>
      </c>
      <c r="T179" s="242" t="str">
        <f t="shared" si="62"/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63"/>
        <v>https://d0f6bd738d7f1b3e5a7ca70fe4ff75f0.us-east-1.aws.found.io/app/kibana#/discover/Steve-Slow-Train-Analysis-(2080s-and-2083s)?_g=(refreshInterval:(display:Off,pause:!f,section:0,value:0),time:(from:'2018-01-08T12:02:49-0700',mode:absolute,to:'2018-01-08T14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9" s="247" t="str">
        <f>IF(AA179&lt;VLOOKUP(AG179,Variables!$AC$3:$AD$8,2,FALSE),"Y","N")</f>
        <v>N</v>
      </c>
      <c r="X179" s="247">
        <f t="shared" si="64"/>
        <v>1</v>
      </c>
      <c r="Y179" s="247">
        <f t="shared" si="89"/>
        <v>4.1200000000000001E-2</v>
      </c>
      <c r="Z179" s="247">
        <f t="shared" si="90"/>
        <v>5.8944000000000001</v>
      </c>
      <c r="AA179" s="247">
        <f t="shared" si="65"/>
        <v>5.8532000000000002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6"/>
        <v>821</v>
      </c>
      <c r="AE179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9" s="234" t="str">
        <f t="shared" si="68"/>
        <v>"C:\Program Files (x86)\AstroGrep\AstroGrep.exe" /e /r /s /spath="%USERPROFILE%\AppData\Local\Temp\OnboardLogs" /stypes="app*4064*20180108*" /stext=" 20:.+((SYSTEM_STATE.+slice.+state.+changed )|(ment ac)|(multiple cpu faults)|(system.+state.+changed )|(\[timeout)|(PRM\|1\|D)|(kpr)|(kdp)|(train st.+moving)|(\|lc)|(penalty))"</v>
      </c>
      <c r="AG179" s="244" t="str">
        <f t="shared" si="69"/>
        <v>NW</v>
      </c>
      <c r="AH179" s="236" t="str">
        <f t="shared" si="70"/>
        <v>"%USERPROFILE%\Documents\GitHub\eaglep3\Utilities\RefineRTDCRunTimes.py" --tripid 821-08 --locoid 4064 --swversion DE.1.0.9.0 --startMP 204:412 --initTime 2018-01-08T13:02:49 --startdatetime 2018-01-08T13:09:23 --delay 88 --endMP 300:58944 --enddatetime 2018-01-08T13:22:48 --enforcementcount 0 &gt;&gt;%USERPROFILE%\Documents\GitHub\eaglep3-reporting\EC\2018-01-08-refined-times.txt</v>
      </c>
      <c r="AI17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{"issue":{"subject":"","project_id":79,"tracker_id":40,"status_id":1,"priority_id":2,"assigned_to_id":338,"start_date":"2018-01-08","description":"","custom_fields":[{"id":1,"name":"Subdivision","value":"NW"},{"id":4,"name":"Milepost","value":"5.8944"},{"id":17,"name":"Train ID","value":"821-08"},{"id":16,"name":"Locomotive ID","value":"4064"},{"id":130,"name":"Impact","value":""},{"id":150,"name":"Time of Event (Mountain Time)","value":"13:22:48"},{"id":151,"name":"Denver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72"/>
        <v>start /low /b %USERPROFILE%\Documents\GitHub\eaglep3\Utilities\DownloadLogsFromS3.py --loco 4064 --day 2018-01-08</v>
      </c>
      <c r="AN179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74"/>
        <v>https://d0f6bd738d7f1b3e5a7ca70fe4ff75f0.us-east-1.aws.found.io/app/kibana#/discover/Steve-Slow-Train-Analysis-(2080s-and-2083s)?_g=(refreshInterval:(display:Off,pause:!f,section:0,value:0),time:(from:'2018-01-08T12:02:49-0700',mode:absolute,to:'2018-01-08T14:22:48-0700'))&amp;_a=(columns:!('Message%20ID',Summary),filters:!(),index:'emp_*',interval:auto,query:(query_string:(analyze_wildcard:!t,query:'%22rtdc.l.rtdc.4064%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765</v>
      </c>
      <c r="B180" s="225">
        <v>4063</v>
      </c>
      <c r="C180" s="227" t="s">
        <v>191</v>
      </c>
      <c r="D180" s="227" t="s">
        <v>1039</v>
      </c>
      <c r="E180" s="226">
        <v>43108.558587962965</v>
      </c>
      <c r="F180" s="226">
        <v>43108.571585648147</v>
      </c>
      <c r="G180" s="225">
        <v>72</v>
      </c>
      <c r="H180" s="227" t="s">
        <v>1040</v>
      </c>
      <c r="I180" s="226">
        <v>43108.580590277779</v>
      </c>
      <c r="J180" s="225">
        <v>0</v>
      </c>
      <c r="K180" s="237" t="str">
        <f t="shared" si="59"/>
        <v>4063/4064</v>
      </c>
      <c r="L180" s="245" t="str">
        <f>VLOOKUP(A180,'Trips&amp;Operators'!$C$1:$G$99911,5,FALSE)</f>
        <v>LEVIN SCOTT</v>
      </c>
      <c r="M180" s="224">
        <f t="shared" si="60"/>
        <v>9.0046296318178065E-3</v>
      </c>
      <c r="N180" s="225">
        <f t="shared" si="82"/>
        <v>12.966666669817641</v>
      </c>
      <c r="O180" s="225"/>
      <c r="P180" s="225"/>
      <c r="Q180" s="228"/>
      <c r="R180" s="242"/>
      <c r="S180" s="249">
        <f t="shared" si="83"/>
        <v>1</v>
      </c>
      <c r="T180" s="242" t="str">
        <f t="shared" si="62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63"/>
        <v>https://d0f6bd738d7f1b3e5a7ca70fe4ff75f0.us-east-1.aws.found.io/app/kibana#/discover/Steve-Slow-Train-Analysis-(2080s-and-2083s)?_g=(refreshInterval:(display:Off,pause:!f,section:0,value:0),time:(from:'2018-01-08T12:24:22-0700',mode:absolute,to:'2018-01-08T14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0" s="247" t="str">
        <f>IF(AA180&lt;VLOOKUP(AG180,Variables!$AC$3:$AD$8,2,FALSE),"Y","N")</f>
        <v>N</v>
      </c>
      <c r="X180" s="247">
        <f t="shared" si="64"/>
        <v>1</v>
      </c>
      <c r="Y180" s="247">
        <f t="shared" si="89"/>
        <v>5.8632</v>
      </c>
      <c r="Z180" s="247">
        <f t="shared" si="90"/>
        <v>1.3100000000000001E-2</v>
      </c>
      <c r="AA180" s="247">
        <f t="shared" si="65"/>
        <v>5.8501000000000003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6"/>
        <v>822</v>
      </c>
      <c r="AE180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80" s="234" t="str">
        <f t="shared" si="68"/>
        <v>"C:\Program Files (x86)\AstroGrep\AstroGrep.exe" /e /r /s /spath="%USERPROFILE%\AppData\Local\Temp\OnboardLogs" /stypes="app*4063*20180108*" /stext=" 20:.+((SYSTEM_STATE.+slice.+state.+changed )|(ment ac)|(multiple cpu faults)|(system.+state.+changed )|(\[timeout)|(PRM\|1\|D)|(kpr)|(kdp)|(train st.+moving)|(\|lc)|(penalty))"</v>
      </c>
      <c r="AG180" s="244" t="str">
        <f t="shared" si="69"/>
        <v>NW</v>
      </c>
      <c r="AH180" s="236" t="str">
        <f t="shared" si="70"/>
        <v>"%USERPROFILE%\Documents\GitHub\eaglep3\Utilities\RefineRTDCRunTimes.py" --tripid 822-08 --locoid 4063 --swversion DE.1.0.9.0 --startMP 300:58632 --initTime 2018-01-08T13:24:22 --startdatetime 2018-01-08T13:43:05 --delay 72 --endMP 204:131 --enddatetime 2018-01-08T13:56:03 --enforcementcount 0 &gt;&gt;%USERPROFILE%\Documents\GitHub\eaglep3-reporting\EC\2018-01-08-refined-times.txt</v>
      </c>
      <c r="AI18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{"issue":{"subject":"","project_id":79,"tracker_id":40,"status_id":1,"priority_id":2,"assigned_to_id":338,"start_date":"2018-01-08","description":"","custom_fields":[{"id":1,"name":"Subdivision","value":"NW"},{"id":4,"name":"Milepost","value":"0.0131"},{"id":17,"name":"Train ID","value":"822-08"},{"id":16,"name":"Locomotive ID","value":"4063"},{"id":130,"name":"Impact","value":""},{"id":150,"name":"Time of Event (Mountain Time)","value":"13:56:03"},{"id":151,"name":"Denver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72"/>
        <v>start /low /b %USERPROFILE%\Documents\GitHub\eaglep3\Utilities\DownloadLogsFromS3.py --loco 4063 --day 2018-01-08</v>
      </c>
      <c r="AN180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74"/>
        <v>https://d0f6bd738d7f1b3e5a7ca70fe4ff75f0.us-east-1.aws.found.io/app/kibana#/discover/Steve-Slow-Train-Analysis-(2080s-and-2083s)?_g=(refreshInterval:(display:Off,pause:!f,section:0,value:0),time:(from:'2018-01-08T12:24:22-0700',mode:absolute,to:'2018-01-08T14:56:03-0700'))&amp;_a=(columns:!('Message%20ID',Summary),filters:!(),index:'emp_*',interval:auto,query:(query_string:(analyze_wildcard:!t,query:'%22rtdc.l.rtdc.4063%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769</v>
      </c>
      <c r="B181" s="225">
        <v>4064</v>
      </c>
      <c r="C181" s="227" t="s">
        <v>191</v>
      </c>
      <c r="D181" s="227" t="s">
        <v>1041</v>
      </c>
      <c r="E181" s="226">
        <v>43108.582557870373</v>
      </c>
      <c r="F181" s="226">
        <v>43108.589733796296</v>
      </c>
      <c r="G181" s="225">
        <v>49</v>
      </c>
      <c r="H181" s="227" t="s">
        <v>1042</v>
      </c>
      <c r="I181" s="226">
        <v>43108.599548611113</v>
      </c>
      <c r="J181" s="225">
        <v>0</v>
      </c>
      <c r="K181" s="237" t="str">
        <f t="shared" si="59"/>
        <v>4063/4064</v>
      </c>
      <c r="L181" s="245" t="str">
        <f>VLOOKUP(A181,'Trips&amp;Operators'!$C$1:$G$99911,5,FALSE)</f>
        <v>LEVIN SCOTT</v>
      </c>
      <c r="M181" s="224">
        <f t="shared" si="60"/>
        <v>9.8148148172185756E-3</v>
      </c>
      <c r="N181" s="225">
        <f t="shared" si="82"/>
        <v>14.133333336794749</v>
      </c>
      <c r="O181" s="225"/>
      <c r="P181" s="225"/>
      <c r="Q181" s="228"/>
      <c r="R181" s="242"/>
      <c r="S181" s="249">
        <f t="shared" si="83"/>
        <v>1</v>
      </c>
      <c r="T181" s="242" t="str">
        <f t="shared" si="62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63"/>
        <v>https://d0f6bd738d7f1b3e5a7ca70fe4ff75f0.us-east-1.aws.found.io/app/kibana#/discover/Steve-Slow-Train-Analysis-(2080s-and-2083s)?_g=(refreshInterval:(display:Off,pause:!f,section:0,value:0),time:(from:'2018-01-08T12:58:53-0700',mode:absolute,to:'2018-01-08T15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1" s="247" t="str">
        <f>IF(AA181&lt;VLOOKUP(AG181,Variables!$AC$3:$AD$8,2,FALSE),"Y","N")</f>
        <v>N</v>
      </c>
      <c r="X181" s="247">
        <f t="shared" si="64"/>
        <v>1</v>
      </c>
      <c r="Y181" s="247">
        <f t="shared" si="89"/>
        <v>4.3299999999999998E-2</v>
      </c>
      <c r="Z181" s="247">
        <f t="shared" si="90"/>
        <v>5.8936999999999999</v>
      </c>
      <c r="AA181" s="247">
        <f t="shared" si="65"/>
        <v>5.8503999999999996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6"/>
        <v>823</v>
      </c>
      <c r="AE18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81" s="234" t="str">
        <f t="shared" si="68"/>
        <v>"C:\Program Files (x86)\AstroGrep\AstroGrep.exe" /e /r /s /spath="%USERPROFILE%\AppData\Local\Temp\OnboardLogs" /stypes="app*4064*20180108*" /stext=" 21:.+((SYSTEM_STATE.+slice.+state.+changed )|(ment ac)|(multiple cpu faults)|(system.+state.+changed )|(\[timeout)|(PRM\|1\|D)|(kpr)|(kdp)|(train st.+moving)|(\|lc)|(penalty))"</v>
      </c>
      <c r="AG181" s="244" t="str">
        <f t="shared" si="69"/>
        <v>NW</v>
      </c>
      <c r="AH181" s="236" t="str">
        <f t="shared" si="70"/>
        <v>"%USERPROFILE%\Documents\GitHub\eaglep3\Utilities\RefineRTDCRunTimes.py" --tripid 823-08 --locoid 4064 --swversion DE.1.0.9.0 --startMP 204:433 --initTime 2018-01-08T13:58:53 --startdatetime 2018-01-08T14:09:13 --delay 49 --endMP 300:58937 --enddatetime 2018-01-08T14:23:21 --enforcementcount 0 &gt;&gt;%USERPROFILE%\Documents\GitHub\eaglep3-reporting\EC\2018-01-08-refined-times.txt</v>
      </c>
      <c r="AI18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{"issue":{"subject":"","project_id":79,"tracker_id":40,"status_id":1,"priority_id":2,"assigned_to_id":338,"start_date":"2018-01-08","description":"","custom_fields":[{"id":1,"name":"Subdivision","value":"NW"},{"id":4,"name":"Milepost","value":"5.8937"},{"id":17,"name":"Train ID","value":"823-08"},{"id":16,"name":"Locomotive ID","value":"4064"},{"id":130,"name":"Impact","value":""},{"id":150,"name":"Time of Event (Mountain Time)","value":"14:23:21"},{"id":151,"name":"Denver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72"/>
        <v>start /low /b %USERPROFILE%\Documents\GitHub\eaglep3\Utilities\DownloadLogsFromS3.py --loco 4064 --day 2018-01-08</v>
      </c>
      <c r="AN181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74"/>
        <v>https://d0f6bd738d7f1b3e5a7ca70fe4ff75f0.us-east-1.aws.found.io/app/kibana#/discover/Steve-Slow-Train-Analysis-(2080s-and-2083s)?_g=(refreshInterval:(display:Off,pause:!f,section:0,value:0),time:(from:'2018-01-08T12:58:53-0700',mode:absolute,to:'2018-01-08T15:23:21-0700'))&amp;_a=(columns:!('Message%20ID',Summary),filters:!(),index:'emp_*',interval:auto,query:(query_string:(analyze_wildcard:!t,query:'%22rtdc.l.rtdc.4064%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630</v>
      </c>
      <c r="B182" s="225">
        <v>4063</v>
      </c>
      <c r="C182" s="227" t="s">
        <v>191</v>
      </c>
      <c r="D182" s="227" t="s">
        <v>1018</v>
      </c>
      <c r="E182" s="226">
        <v>43108.600682870368</v>
      </c>
      <c r="F182" s="226">
        <v>43108.613344907404</v>
      </c>
      <c r="G182" s="225">
        <v>54</v>
      </c>
      <c r="H182" s="227" t="s">
        <v>1043</v>
      </c>
      <c r="I182" s="226">
        <v>43108.622303240743</v>
      </c>
      <c r="J182" s="225">
        <v>0</v>
      </c>
      <c r="K182" s="237" t="str">
        <f t="shared" si="59"/>
        <v>4063/4064</v>
      </c>
      <c r="L182" s="245" t="str">
        <f>VLOOKUP(A182,'Trips&amp;Operators'!$C$1:$G$99911,5,FALSE)</f>
        <v>LEVIN SCOTT</v>
      </c>
      <c r="M182" s="224">
        <f t="shared" si="60"/>
        <v>8.9583333392511122E-3</v>
      </c>
      <c r="N182" s="225">
        <f t="shared" si="82"/>
        <v>12.900000008521602</v>
      </c>
      <c r="O182" s="225"/>
      <c r="P182" s="225"/>
      <c r="Q182" s="228"/>
      <c r="R182" s="242"/>
      <c r="S182" s="249">
        <f t="shared" si="83"/>
        <v>1</v>
      </c>
      <c r="T182" s="242" t="str">
        <f t="shared" si="62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63"/>
        <v>https://d0f6bd738d7f1b3e5a7ca70fe4ff75f0.us-east-1.aws.found.io/app/kibana#/discover/Steve-Slow-Train-Analysis-(2080s-and-2083s)?_g=(refreshInterval:(display:Off,pause:!f,section:0,value:0),time:(from:'2018-01-08T13:24:59-0700',mode:absolute,to:'2018-01-08T15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2" s="247" t="str">
        <f>IF(AA182&lt;VLOOKUP(AG182,Variables!$AC$3:$AD$8,2,FALSE),"Y","N")</f>
        <v>N</v>
      </c>
      <c r="X182" s="247">
        <f t="shared" si="64"/>
        <v>1</v>
      </c>
      <c r="Y182" s="247">
        <f t="shared" si="89"/>
        <v>5.8623000000000003</v>
      </c>
      <c r="Z182" s="247">
        <f t="shared" si="90"/>
        <v>1.1900000000000001E-2</v>
      </c>
      <c r="AA182" s="247">
        <f t="shared" si="65"/>
        <v>5.8504000000000005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6"/>
        <v>824</v>
      </c>
      <c r="AE18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82" s="234" t="str">
        <f t="shared" si="68"/>
        <v>"C:\Program Files (x86)\AstroGrep\AstroGrep.exe" /e /r /s /spath="%USERPROFILE%\AppData\Local\Temp\OnboardLogs" /stypes="app*4063*20180108*" /stext=" 21:.+((SYSTEM_STATE.+slice.+state.+changed )|(ment ac)|(multiple cpu faults)|(system.+state.+changed )|(\[timeout)|(PRM\|1\|D)|(kpr)|(kdp)|(train st.+moving)|(\|lc)|(penalty))"</v>
      </c>
      <c r="AG182" s="244" t="str">
        <f t="shared" si="69"/>
        <v>NW</v>
      </c>
      <c r="AH182" s="236" t="str">
        <f t="shared" si="70"/>
        <v>"%USERPROFILE%\Documents\GitHub\eaglep3\Utilities\RefineRTDCRunTimes.py" --tripid 824-08 --locoid 4063 --swversion DE.1.0.9.0 --startMP 300:58623 --initTime 2018-01-08T14:24:59 --startdatetime 2018-01-08T14:43:13 --delay 54 --endMP 204:119 --enddatetime 2018-01-08T14:56:07 --enforcementcount 0 &gt;&gt;%USERPROFILE%\Documents\GitHub\eaglep3-reporting\EC\2018-01-08-refined-times.txt</v>
      </c>
      <c r="AI18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{"issue":{"subject":"","project_id":79,"tracker_id":40,"status_id":1,"priority_id":2,"assigned_to_id":338,"start_date":"2018-01-08","description":"","custom_fields":[{"id":1,"name":"Subdivision","value":"NW"},{"id":4,"name":"Milepost","value":"0.0119"},{"id":17,"name":"Train ID","value":"824-08"},{"id":16,"name":"Locomotive ID","value":"4063"},{"id":130,"name":"Impact","value":""},{"id":150,"name":"Time of Event (Mountain Time)","value":"14:56:07"},{"id":151,"name":"Denver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72"/>
        <v>start /low /b %USERPROFILE%\Documents\GitHub\eaglep3\Utilities\DownloadLogsFromS3.py --loco 4063 --day 2018-01-08</v>
      </c>
      <c r="AN182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74"/>
        <v>https://d0f6bd738d7f1b3e5a7ca70fe4ff75f0.us-east-1.aws.found.io/app/kibana#/discover/Steve-Slow-Train-Analysis-(2080s-and-2083s)?_g=(refreshInterval:(display:Off,pause:!f,section:0,value:0),time:(from:'2018-01-08T13:24:59-0700',mode:absolute,to:'2018-01-08T15:56:07-0700'))&amp;_a=(columns:!('Message%20ID',Summary),filters:!(),index:'emp_*',interval:auto,query:(query_string:(analyze_wildcard:!t,query:'%22rtdc.l.rtdc.4063%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778</v>
      </c>
      <c r="B183" s="225">
        <v>4064</v>
      </c>
      <c r="C183" s="227" t="s">
        <v>191</v>
      </c>
      <c r="D183" s="227" t="s">
        <v>617</v>
      </c>
      <c r="E183" s="226">
        <v>43108.628518518519</v>
      </c>
      <c r="F183" s="226">
        <v>43108.631423611114</v>
      </c>
      <c r="G183" s="225">
        <v>61</v>
      </c>
      <c r="H183" s="227" t="s">
        <v>1044</v>
      </c>
      <c r="I183" s="226">
        <v>43108.64130787037</v>
      </c>
      <c r="J183" s="225">
        <v>0</v>
      </c>
      <c r="K183" s="237" t="str">
        <f t="shared" si="59"/>
        <v>4063/4064</v>
      </c>
      <c r="L183" s="245" t="str">
        <f>VLOOKUP(A183,'Trips&amp;Operators'!$C$1:$G$99911,5,FALSE)</f>
        <v>LEVIN SCOTT</v>
      </c>
      <c r="M183" s="224">
        <f t="shared" si="60"/>
        <v>9.8842592560686171E-3</v>
      </c>
      <c r="N183" s="225">
        <f t="shared" ref="N183:N214" si="91">24*60*SUM($M183:$M183)</f>
        <v>14.233333328738809</v>
      </c>
      <c r="O183" s="225"/>
      <c r="P183" s="225"/>
      <c r="Q183" s="228"/>
      <c r="R183" s="242"/>
      <c r="S183" s="249">
        <f t="shared" ref="S183:S214" si="92">1/IF(AG183="EC",12,1)*SUM(U183:U183)</f>
        <v>1</v>
      </c>
      <c r="T183" s="242" t="str">
        <f t="shared" si="62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63"/>
        <v>https://d0f6bd738d7f1b3e5a7ca70fe4ff75f0.us-east-1.aws.found.io/app/kibana#/discover/Steve-Slow-Train-Analysis-(2080s-and-2083s)?_g=(refreshInterval:(display:Off,pause:!f,section:0,value:0),time:(from:'2018-01-08T14:05:04-0700',mode:absolute,to:'2018-01-08T16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3" s="247" t="str">
        <f>IF(AA183&lt;VLOOKUP(AG183,Variables!$AC$3:$AD$8,2,FALSE),"Y","N")</f>
        <v>N</v>
      </c>
      <c r="X183" s="247">
        <f t="shared" si="64"/>
        <v>1</v>
      </c>
      <c r="Y183" s="247">
        <f t="shared" si="89"/>
        <v>4.2999999999999997E-2</v>
      </c>
      <c r="Z183" s="247">
        <f t="shared" si="90"/>
        <v>5.8940999999999999</v>
      </c>
      <c r="AA183" s="247">
        <f t="shared" si="65"/>
        <v>5.8510999999999997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6"/>
        <v>825</v>
      </c>
      <c r="AE183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83" s="234" t="str">
        <f t="shared" si="68"/>
        <v>"C:\Program Files (x86)\AstroGrep\AstroGrep.exe" /e /r /s /spath="%USERPROFILE%\AppData\Local\Temp\OnboardLogs" /stypes="app*4064*20180108*" /stext=" 22:.+((SYSTEM_STATE.+slice.+state.+changed )|(ment ac)|(multiple cpu faults)|(system.+state.+changed )|(\[timeout)|(PRM\|1\|D)|(kpr)|(kdp)|(train st.+moving)|(\|lc)|(penalty))"</v>
      </c>
      <c r="AG183" s="244" t="str">
        <f t="shared" si="69"/>
        <v>NW</v>
      </c>
      <c r="AH183" s="236" t="str">
        <f t="shared" si="70"/>
        <v>"%USERPROFILE%\Documents\GitHub\eaglep3\Utilities\RefineRTDCRunTimes.py" --tripid 825-08 --locoid 4064 --swversion DE.1.0.9.0 --startMP 204:430 --initTime 2018-01-08T15:05:04 --startdatetime 2018-01-08T15:09:15 --delay 61 --endMP 300:58941 --enddatetime 2018-01-08T15:23:29 --enforcementcount 0 &gt;&gt;%USERPROFILE%\Documents\GitHub\eaglep3-reporting\EC\2018-01-08-refined-times.txt</v>
      </c>
      <c r="AI18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{"issue":{"subject":"","project_id":79,"tracker_id":40,"status_id":1,"priority_id":2,"assigned_to_id":338,"start_date":"2018-01-08","description":"","custom_fields":[{"id":1,"name":"Subdivision","value":"NW"},{"id":4,"name":"Milepost","value":"5.8941"},{"id":17,"name":"Train ID","value":"825-08"},{"id":16,"name":"Locomotive ID","value":"4064"},{"id":130,"name":"Impact","value":""},{"id":150,"name":"Time of Event (Mountain Time)","value":"15:23:29"},{"id":151,"name":"Denver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72"/>
        <v>start /low /b %USERPROFILE%\Documents\GitHub\eaglep3\Utilities\DownloadLogsFromS3.py --loco 4064 --day 2018-01-08</v>
      </c>
      <c r="AN183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74"/>
        <v>https://d0f6bd738d7f1b3e5a7ca70fe4ff75f0.us-east-1.aws.found.io/app/kibana#/discover/Steve-Slow-Train-Analysis-(2080s-and-2083s)?_g=(refreshInterval:(display:Off,pause:!f,section:0,value:0),time:(from:'2018-01-08T14:05:04-0700',mode:absolute,to:'2018-01-08T16:23:29-0700'))&amp;_a=(columns:!('Message%20ID',Summary),filters:!(),index:'emp_*',interval:auto,query:(query_string:(analyze_wildcard:!t,query:'%22rtdc.l.rtdc.4064%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785</v>
      </c>
      <c r="B184" s="225">
        <v>4063</v>
      </c>
      <c r="C184" s="227" t="s">
        <v>191</v>
      </c>
      <c r="D184" s="227" t="s">
        <v>1045</v>
      </c>
      <c r="E184" s="226">
        <v>43108.643009259256</v>
      </c>
      <c r="F184" s="226">
        <v>43108.654374999998</v>
      </c>
      <c r="G184" s="225">
        <v>55</v>
      </c>
      <c r="H184" s="227" t="s">
        <v>1046</v>
      </c>
      <c r="I184" s="226">
        <v>43108.66375</v>
      </c>
      <c r="J184" s="225">
        <v>0</v>
      </c>
      <c r="K184" s="237" t="str">
        <f t="shared" si="59"/>
        <v>4063/4064</v>
      </c>
      <c r="L184" s="245" t="str">
        <f>VLOOKUP(A184,'Trips&amp;Operators'!$C$1:$G$99911,5,FALSE)</f>
        <v>LEVIN SCOTT</v>
      </c>
      <c r="M184" s="224">
        <f t="shared" si="60"/>
        <v>9.3750000014551915E-3</v>
      </c>
      <c r="N184" s="225">
        <f t="shared" si="91"/>
        <v>13.500000002095476</v>
      </c>
      <c r="O184" s="225"/>
      <c r="P184" s="225"/>
      <c r="Q184" s="228"/>
      <c r="R184" s="242"/>
      <c r="S184" s="249">
        <f t="shared" si="92"/>
        <v>1</v>
      </c>
      <c r="T184" s="242" t="str">
        <f t="shared" si="62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63"/>
        <v>https://d0f6bd738d7f1b3e5a7ca70fe4ff75f0.us-east-1.aws.found.io/app/kibana#/discover/Steve-Slow-Train-Analysis-(2080s-and-2083s)?_g=(refreshInterval:(display:Off,pause:!f,section:0,value:0),time:(from:'2018-01-08T14:25:56-0700',mode:absolute,to:'2018-01-08T16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4" s="247" t="str">
        <f>IF(AA184&lt;VLOOKUP(AG184,Variables!$AC$3:$AD$8,2,FALSE),"Y","N")</f>
        <v>N</v>
      </c>
      <c r="X184" s="247">
        <f t="shared" si="64"/>
        <v>1</v>
      </c>
      <c r="Y184" s="247">
        <f t="shared" si="89"/>
        <v>5.8624000000000001</v>
      </c>
      <c r="Z184" s="247">
        <f t="shared" si="90"/>
        <v>1.24E-2</v>
      </c>
      <c r="AA184" s="247">
        <f t="shared" si="65"/>
        <v>5.85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6"/>
        <v>826</v>
      </c>
      <c r="AE184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84" s="234" t="str">
        <f t="shared" si="68"/>
        <v>"C:\Program Files (x86)\AstroGrep\AstroGrep.exe" /e /r /s /spath="%USERPROFILE%\AppData\Local\Temp\OnboardLogs" /stypes="app*4063*20180108*" /stext=" 22:.+((SYSTEM_STATE.+slice.+state.+changed )|(ment ac)|(multiple cpu faults)|(system.+state.+changed )|(\[timeout)|(PRM\|1\|D)|(kpr)|(kdp)|(train st.+moving)|(\|lc)|(penalty))"</v>
      </c>
      <c r="AG184" s="244" t="str">
        <f t="shared" si="69"/>
        <v>NW</v>
      </c>
      <c r="AH184" s="236" t="str">
        <f t="shared" si="70"/>
        <v>"%USERPROFILE%\Documents\GitHub\eaglep3\Utilities\RefineRTDCRunTimes.py" --tripid 826-08 --locoid 4063 --swversion DE.1.0.9.0 --startMP 300:58624 --initTime 2018-01-08T15:25:56 --startdatetime 2018-01-08T15:42:18 --delay 55 --endMP 204:124 --enddatetime 2018-01-08T15:55:48 --enforcementcount 0 &gt;&gt;%USERPROFILE%\Documents\GitHub\eaglep3-reporting\EC\2018-01-08-refined-times.txt</v>
      </c>
      <c r="AI18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{"issue":{"subject":"","project_id":79,"tracker_id":40,"status_id":1,"priority_id":2,"assigned_to_id":338,"start_date":"2018-01-08","description":"","custom_fields":[{"id":1,"name":"Subdivision","value":"NW"},{"id":4,"name":"Milepost","value":"0.0124"},{"id":17,"name":"Train ID","value":"826-08"},{"id":16,"name":"Locomotive ID","value":"4063"},{"id":130,"name":"Impact","value":""},{"id":150,"name":"Time of Event (Mountain Time)","value":"15:55:48"},{"id":151,"name":"Denver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72"/>
        <v>start /low /b %USERPROFILE%\Documents\GitHub\eaglep3\Utilities\DownloadLogsFromS3.py --loco 4063 --day 2018-01-08</v>
      </c>
      <c r="AN184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74"/>
        <v>https://d0f6bd738d7f1b3e5a7ca70fe4ff75f0.us-east-1.aws.found.io/app/kibana#/discover/Steve-Slow-Train-Analysis-(2080s-and-2083s)?_g=(refreshInterval:(display:Off,pause:!f,section:0,value:0),time:(from:'2018-01-08T14:25:56-0700',mode:absolute,to:'2018-01-08T16:55:48-0700'))&amp;_a=(columns:!('Message%20ID',Summary),filters:!(),index:'emp_*',interval:auto,query:(query_string:(analyze_wildcard:!t,query:'%22rtdc.l.rtdc.4063%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787</v>
      </c>
      <c r="B185" s="225">
        <v>4030</v>
      </c>
      <c r="C185" s="227" t="s">
        <v>191</v>
      </c>
      <c r="D185" s="227" t="s">
        <v>1037</v>
      </c>
      <c r="E185" s="226">
        <v>43108.64603009259</v>
      </c>
      <c r="F185" s="226">
        <v>43108.652372685188</v>
      </c>
      <c r="G185" s="225">
        <v>72</v>
      </c>
      <c r="H185" s="227" t="s">
        <v>1042</v>
      </c>
      <c r="I185" s="226">
        <v>43108.661782407406</v>
      </c>
      <c r="J185" s="225">
        <v>0</v>
      </c>
      <c r="K185" s="237" t="str">
        <f t="shared" si="59"/>
        <v>4029/4030</v>
      </c>
      <c r="L185" s="245" t="str">
        <f>VLOOKUP(A185,'Trips&amp;Operators'!$C$1:$G$99911,5,FALSE)</f>
        <v>STAMBAUGH JAMES</v>
      </c>
      <c r="M185" s="224">
        <f t="shared" si="60"/>
        <v>9.4097222172422335E-3</v>
      </c>
      <c r="N185" s="225">
        <f t="shared" si="91"/>
        <v>13.549999992828816</v>
      </c>
      <c r="O185" s="225"/>
      <c r="P185" s="225"/>
      <c r="Q185" s="228"/>
      <c r="R185" s="242"/>
      <c r="S185" s="249">
        <f t="shared" si="92"/>
        <v>1</v>
      </c>
      <c r="T185" s="242" t="str">
        <f t="shared" si="62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63"/>
        <v>https://d0f6bd738d7f1b3e5a7ca70fe4ff75f0.us-east-1.aws.found.io/app/kibana#/discover/Steve-Slow-Train-Analysis-(2080s-and-2083s)?_g=(refreshInterval:(display:Off,pause:!f,section:0,value:0),time:(from:'2018-01-08T14:30:17-0700',mode:absolute,to:'2018-01-08T16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247" t="str">
        <f>IF(AA185&lt;VLOOKUP(AG185,Variables!$AC$3:$AD$8,2,FALSE),"Y","N")</f>
        <v>N</v>
      </c>
      <c r="X185" s="247">
        <f t="shared" si="64"/>
        <v>1</v>
      </c>
      <c r="Y185" s="247">
        <f t="shared" si="89"/>
        <v>4.1200000000000001E-2</v>
      </c>
      <c r="Z185" s="247">
        <f t="shared" si="90"/>
        <v>5.8936999999999999</v>
      </c>
      <c r="AA185" s="247">
        <f t="shared" si="65"/>
        <v>5.8525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6"/>
        <v>827</v>
      </c>
      <c r="AE185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85" s="234" t="str">
        <f t="shared" si="68"/>
        <v>"C:\Program Files (x86)\AstroGrep\AstroGrep.exe" /e /r /s /spath="%USERPROFILE%\AppData\Local\Temp\OnboardLogs" /stypes="app*4030*20180108*" /stext=" 22:.+((SYSTEM_STATE.+slice.+state.+changed )|(ment ac)|(multiple cpu faults)|(system.+state.+changed )|(\[timeout)|(PRM\|1\|D)|(kpr)|(kdp)|(train st.+moving)|(\|lc)|(penalty))"</v>
      </c>
      <c r="AG185" s="244" t="str">
        <f t="shared" si="69"/>
        <v>NW</v>
      </c>
      <c r="AH185" s="236" t="str">
        <f t="shared" si="70"/>
        <v>"%USERPROFILE%\Documents\GitHub\eaglep3\Utilities\RefineRTDCRunTimes.py" --tripid 827-08 --locoid 4030 --swversion DE.1.0.9.0 --startMP 204:412 --initTime 2018-01-08T15:30:17 --startdatetime 2018-01-08T15:39:25 --delay 72 --endMP 300:58937 --enddatetime 2018-01-08T15:52:58 --enforcementcount 0 &gt;&gt;%USERPROFILE%\Documents\GitHub\eaglep3-reporting\EC\2018-01-08-refined-times.txt</v>
      </c>
      <c r="AI185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{"issue":{"subject":"","project_id":79,"tracker_id":40,"status_id":1,"priority_id":2,"assigned_to_id":338,"start_date":"2018-01-08","description":"","custom_fields":[{"id":1,"name":"Subdivision","value":"NW"},{"id":4,"name":"Milepost","value":"5.8937"},{"id":17,"name":"Train ID","value":"827-08"},{"id":16,"name":"Locomotive ID","value":"4030"},{"id":130,"name":"Impact","value":""},{"id":150,"name":"Time of Event (Mountain Time)","value":"15:52:58"},{"id":151,"name":"Denver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72"/>
        <v>start /low /b %USERPROFILE%\Documents\GitHub\eaglep3\Utilities\DownloadLogsFromS3.py --loco 4030 --day 2018-01-08</v>
      </c>
      <c r="AN185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74"/>
        <v>https://d0f6bd738d7f1b3e5a7ca70fe4ff75f0.us-east-1.aws.found.io/app/kibana#/discover/Steve-Slow-Train-Analysis-(2080s-and-2083s)?_g=(refreshInterval:(display:Off,pause:!f,section:0,value:0),time:(from:'2018-01-08T14:30:17-0700',mode:absolute,to:'2018-01-08T16:52:58-0700'))&amp;_a=(columns:!('Message%20ID',Summary),filters:!(),index:'emp_*',interval:auto,query:(query_string:(analyze_wildcard:!t,query:'%22rtdc.l.rtdc.4030%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791</v>
      </c>
      <c r="B186" s="225">
        <v>4029</v>
      </c>
      <c r="C186" s="227" t="s">
        <v>191</v>
      </c>
      <c r="D186" s="227" t="s">
        <v>1045</v>
      </c>
      <c r="E186" s="226">
        <v>43108.662731481483</v>
      </c>
      <c r="F186" s="226">
        <v>43108.675763888888</v>
      </c>
      <c r="G186" s="225">
        <v>51</v>
      </c>
      <c r="H186" s="227" t="s">
        <v>1047</v>
      </c>
      <c r="I186" s="226">
        <v>43108.683506944442</v>
      </c>
      <c r="J186" s="225">
        <v>0</v>
      </c>
      <c r="K186" s="237" t="str">
        <f t="shared" si="59"/>
        <v>4029/4030</v>
      </c>
      <c r="L186" s="245" t="str">
        <f>VLOOKUP(A186,'Trips&amp;Operators'!$C$1:$G$99911,5,FALSE)</f>
        <v>STAMBAUGH JAMES</v>
      </c>
      <c r="M186" s="224">
        <f t="shared" si="60"/>
        <v>7.7430555538740009E-3</v>
      </c>
      <c r="N186" s="225">
        <f t="shared" si="91"/>
        <v>11.149999997578561</v>
      </c>
      <c r="O186" s="225"/>
      <c r="P186" s="225"/>
      <c r="Q186" s="228"/>
      <c r="R186" s="242"/>
      <c r="S186" s="249">
        <f t="shared" si="92"/>
        <v>1</v>
      </c>
      <c r="T186" s="242" t="str">
        <f t="shared" si="62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63"/>
        <v>https://d0f6bd738d7f1b3e5a7ca70fe4ff75f0.us-east-1.aws.found.io/app/kibana#/discover/Steve-Slow-Train-Analysis-(2080s-and-2083s)?_g=(refreshInterval:(display:Off,pause:!f,section:0,value:0),time:(from:'2018-01-08T14:54:20-0700',mode:absolute,to:'2018-01-08T17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247" t="str">
        <f>IF(AA186&lt;VLOOKUP(AG186,Variables!$AC$3:$AD$8,2,FALSE),"Y","N")</f>
        <v>N</v>
      </c>
      <c r="X186" s="247">
        <f t="shared" si="64"/>
        <v>1</v>
      </c>
      <c r="Y186" s="247">
        <f t="shared" si="89"/>
        <v>5.8624000000000001</v>
      </c>
      <c r="Z186" s="247">
        <f t="shared" si="90"/>
        <v>1.3299999999999999E-2</v>
      </c>
      <c r="AA186" s="247">
        <f t="shared" si="65"/>
        <v>5.8491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6"/>
        <v>828</v>
      </c>
      <c r="AE186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86" s="234" t="str">
        <f t="shared" si="68"/>
        <v>"C:\Program Files (x86)\AstroGrep\AstroGrep.exe" /e /r /s /spath="%USERPROFILE%\AppData\Local\Temp\OnboardLogs" /stypes="app*4029*20180108*" /stext=" 23:.+((SYSTEM_STATE.+slice.+state.+changed )|(ment ac)|(multiple cpu faults)|(system.+state.+changed )|(\[timeout)|(PRM\|1\|D)|(kpr)|(kdp)|(train st.+moving)|(\|lc)|(penalty))"</v>
      </c>
      <c r="AG186" s="244" t="str">
        <f t="shared" si="69"/>
        <v>NW</v>
      </c>
      <c r="AH186" s="236" t="str">
        <f t="shared" si="70"/>
        <v>"%USERPROFILE%\Documents\GitHub\eaglep3\Utilities\RefineRTDCRunTimes.py" --tripid 828-08 --locoid 4029 --swversion DE.1.0.9.0 --startMP 300:58624 --initTime 2018-01-08T15:54:20 --startdatetime 2018-01-08T16:13:06 --delay 51 --endMP 204:133 --enddatetime 2018-01-08T16:24:15 --enforcementcount 0 &gt;&gt;%USERPROFILE%\Documents\GitHub\eaglep3-reporting\EC\2018-01-08-refined-times.txt</v>
      </c>
      <c r="AI18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{"issue":{"subject":"","project_id":79,"tracker_id":40,"status_id":1,"priority_id":2,"assigned_to_id":338,"start_date":"2018-01-08","description":"","custom_fields":[{"id":1,"name":"Subdivision","value":"NW"},{"id":4,"name":"Milepost","value":"0.0133"},{"id":17,"name":"Train ID","value":"828-08"},{"id":16,"name":"Locomotive ID","value":"4029"},{"id":130,"name":"Impact","value":""},{"id":150,"name":"Time of Event (Mountain Time)","value":"16:24:15"},{"id":151,"name":"Denver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72"/>
        <v>start /low /b %USERPROFILE%\Documents\GitHub\eaglep3\Utilities\DownloadLogsFromS3.py --loco 4029 --day 2018-01-08</v>
      </c>
      <c r="AN186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74"/>
        <v>https://d0f6bd738d7f1b3e5a7ca70fe4ff75f0.us-east-1.aws.found.io/app/kibana#/discover/Steve-Slow-Train-Analysis-(2080s-and-2083s)?_g=(refreshInterval:(display:Off,pause:!f,section:0,value:0),time:(from:'2018-01-08T14:54:20-0700',mode:absolute,to:'2018-01-08T17:24:15-0700'))&amp;_a=(columns:!('Message%20ID',Summary),filters:!(),index:'emp_*',interval:auto,query:(query_string:(analyze_wildcard:!t,query:'%22rtdc.l.rtdc.4029%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793</v>
      </c>
      <c r="B187" s="225">
        <v>4064</v>
      </c>
      <c r="C187" s="227" t="s">
        <v>191</v>
      </c>
      <c r="D187" s="227" t="s">
        <v>1048</v>
      </c>
      <c r="E187" s="226">
        <v>43108.665532407409</v>
      </c>
      <c r="F187" s="226">
        <v>43108.673229166663</v>
      </c>
      <c r="G187" s="225">
        <v>132</v>
      </c>
      <c r="H187" s="227" t="s">
        <v>1049</v>
      </c>
      <c r="I187" s="226">
        <v>43108.683032407411</v>
      </c>
      <c r="J187" s="225">
        <v>0</v>
      </c>
      <c r="K187" s="237" t="str">
        <f t="shared" si="59"/>
        <v>4063/4064</v>
      </c>
      <c r="L187" s="245" t="str">
        <f>VLOOKUP(A187,'Trips&amp;Operators'!$C$1:$G$99911,5,FALSE)</f>
        <v>LEVIN SCOTT</v>
      </c>
      <c r="M187" s="224">
        <f t="shared" si="60"/>
        <v>9.8032407477148809E-3</v>
      </c>
      <c r="N187" s="225">
        <f t="shared" si="91"/>
        <v>14.116666676709428</v>
      </c>
      <c r="O187" s="225"/>
      <c r="P187" s="225"/>
      <c r="Q187" s="228"/>
      <c r="R187" s="242"/>
      <c r="S187" s="249">
        <f t="shared" si="92"/>
        <v>1</v>
      </c>
      <c r="T187" s="242" t="str">
        <f t="shared" si="62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63"/>
        <v>https://d0f6bd738d7f1b3e5a7ca70fe4ff75f0.us-east-1.aws.found.io/app/kibana#/discover/Steve-Slow-Train-Analysis-(2080s-and-2083s)?_g=(refreshInterval:(display:Off,pause:!f,section:0,value:0),time:(from:'2018-01-08T14:58:22-0700',mode:absolute,to:'2018-01-08T17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7" s="247" t="str">
        <f>IF(AA187&lt;VLOOKUP(AG187,Variables!$AC$3:$AD$8,2,FALSE),"Y","N")</f>
        <v>N</v>
      </c>
      <c r="X187" s="247">
        <f t="shared" si="64"/>
        <v>1</v>
      </c>
      <c r="Y187" s="247">
        <f t="shared" si="89"/>
        <v>4.2799999999999998E-2</v>
      </c>
      <c r="Z187" s="247">
        <f t="shared" si="90"/>
        <v>5.8943000000000003</v>
      </c>
      <c r="AA187" s="247">
        <f t="shared" si="65"/>
        <v>5.8515000000000006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6"/>
        <v>829</v>
      </c>
      <c r="AE187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87" s="234" t="str">
        <f t="shared" si="68"/>
        <v>"C:\Program Files (x86)\AstroGrep\AstroGrep.exe" /e /r /s /spath="%USERPROFILE%\AppData\Local\Temp\OnboardLogs" /stypes="app*4064*20180108*" /stext=" 23:.+((SYSTEM_STATE.+slice.+state.+changed )|(ment ac)|(multiple cpu faults)|(system.+state.+changed )|(\[timeout)|(PRM\|1\|D)|(kpr)|(kdp)|(train st.+moving)|(\|lc)|(penalty))"</v>
      </c>
      <c r="AG187" s="244" t="str">
        <f t="shared" si="69"/>
        <v>NW</v>
      </c>
      <c r="AH187" s="236" t="str">
        <f t="shared" si="70"/>
        <v>"%USERPROFILE%\Documents\GitHub\eaglep3\Utilities\RefineRTDCRunTimes.py" --tripid 829-08 --locoid 4064 --swversion DE.1.0.9.0 --startMP 204:428 --initTime 2018-01-08T15:58:22 --startdatetime 2018-01-08T16:09:27 --delay 132 --endMP 300:58943 --enddatetime 2018-01-08T16:23:34 --enforcementcount 0 &gt;&gt;%USERPROFILE%\Documents\GitHub\eaglep3-reporting\EC\2018-01-08-refined-times.txt</v>
      </c>
      <c r="AI187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{"issue":{"subject":"","project_id":79,"tracker_id":40,"status_id":1,"priority_id":2,"assigned_to_id":338,"start_date":"2018-01-08","description":"","custom_fields":[{"id":1,"name":"Subdivision","value":"NW"},{"id":4,"name":"Milepost","value":"5.8943"},{"id":17,"name":"Train ID","value":"829-08"},{"id":16,"name":"Locomotive ID","value":"4064"},{"id":130,"name":"Impact","value":""},{"id":150,"name":"Time of Event (Mountain Time)","value":"16:23:34"},{"id":151,"name":"Denver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72"/>
        <v>start /low /b %USERPROFILE%\Documents\GitHub\eaglep3\Utilities\DownloadLogsFromS3.py --loco 4064 --day 2018-01-08</v>
      </c>
      <c r="AN187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74"/>
        <v>https://d0f6bd738d7f1b3e5a7ca70fe4ff75f0.us-east-1.aws.found.io/app/kibana#/discover/Steve-Slow-Train-Analysis-(2080s-and-2083s)?_g=(refreshInterval:(display:Off,pause:!f,section:0,value:0),time:(from:'2018-01-08T14:58:22-0700',mode:absolute,to:'2018-01-08T17:23:34-0700'))&amp;_a=(columns:!('Message%20ID',Summary),filters:!(),index:'emp_*',interval:auto,query:(query_string:(analyze_wildcard:!t,query:'%22rtdc.l.rtdc.4064%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800</v>
      </c>
      <c r="B188" s="225">
        <v>4063</v>
      </c>
      <c r="C188" s="227" t="s">
        <v>191</v>
      </c>
      <c r="D188" s="227" t="s">
        <v>1050</v>
      </c>
      <c r="E188" s="226">
        <v>43108.684039351851</v>
      </c>
      <c r="F188" s="226">
        <v>43108.695833333331</v>
      </c>
      <c r="G188" s="225">
        <v>68</v>
      </c>
      <c r="H188" s="227" t="s">
        <v>616</v>
      </c>
      <c r="I188" s="226">
        <v>43108.705439814818</v>
      </c>
      <c r="J188" s="225">
        <v>0</v>
      </c>
      <c r="K188" s="237" t="str">
        <f t="shared" si="59"/>
        <v>4063/4064</v>
      </c>
      <c r="L188" s="245" t="str">
        <f>VLOOKUP(A188,'Trips&amp;Operators'!$C$1:$G$99911,5,FALSE)</f>
        <v>LEVIN SCOTT</v>
      </c>
      <c r="M188" s="224">
        <f t="shared" si="60"/>
        <v>9.606481486116536E-3</v>
      </c>
      <c r="N188" s="225">
        <f t="shared" si="91"/>
        <v>13.833333340007812</v>
      </c>
      <c r="O188" s="225"/>
      <c r="P188" s="225"/>
      <c r="Q188" s="228"/>
      <c r="R188" s="242"/>
      <c r="S188" s="249">
        <f t="shared" si="92"/>
        <v>1</v>
      </c>
      <c r="T188" s="242" t="str">
        <f t="shared" si="62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63"/>
        <v>https://d0f6bd738d7f1b3e5a7ca70fe4ff75f0.us-east-1.aws.found.io/app/kibana#/discover/Steve-Slow-Train-Analysis-(2080s-and-2083s)?_g=(refreshInterval:(display:Off,pause:!f,section:0,value:0),time:(from:'2018-01-08T15:25:01-0700',mode:absolute,to:'2018-01-08T17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8" s="247" t="str">
        <f>IF(AA188&lt;VLOOKUP(AG188,Variables!$AC$3:$AD$8,2,FALSE),"Y","N")</f>
        <v>N</v>
      </c>
      <c r="X188" s="247">
        <f t="shared" si="64"/>
        <v>1</v>
      </c>
      <c r="Y188" s="247">
        <f t="shared" si="89"/>
        <v>5.8630000000000004</v>
      </c>
      <c r="Z188" s="247">
        <f t="shared" si="90"/>
        <v>1.2800000000000001E-2</v>
      </c>
      <c r="AA188" s="247">
        <f t="shared" si="65"/>
        <v>5.8502000000000001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6"/>
        <v>830</v>
      </c>
      <c r="AE188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88" s="234" t="str">
        <f t="shared" si="68"/>
        <v>"C:\Program Files (x86)\AstroGrep\AstroGrep.exe" /e /r /s /spath="%USERPROFILE%\AppData\Local\Temp\OnboardLogs" /stypes="app*4063*20180108*" /stext=" 23:.+((SYSTEM_STATE.+slice.+state.+changed )|(ment ac)|(multiple cpu faults)|(system.+state.+changed )|(\[timeout)|(PRM\|1\|D)|(kpr)|(kdp)|(train st.+moving)|(\|lc)|(penalty))"</v>
      </c>
      <c r="AG188" s="244" t="str">
        <f t="shared" si="69"/>
        <v>NW</v>
      </c>
      <c r="AH188" s="236" t="str">
        <f t="shared" si="70"/>
        <v>"%USERPROFILE%\Documents\GitHub\eaglep3\Utilities\RefineRTDCRunTimes.py" --tripid 830-08 --locoid 4063 --swversion DE.1.0.9.0 --startMP 300:58630 --initTime 2018-01-08T16:25:01 --startdatetime 2018-01-08T16:42:00 --delay 68 --endMP 204:128 --enddatetime 2018-01-08T16:55:50 --enforcementcount 0 &gt;&gt;%USERPROFILE%\Documents\GitHub\eaglep3-reporting\EC\2018-01-08-refined-times.txt</v>
      </c>
      <c r="AI18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{"issue":{"subject":"","project_id":79,"tracker_id":40,"status_id":1,"priority_id":2,"assigned_to_id":338,"start_date":"2018-01-08","description":"","custom_fields":[{"id":1,"name":"Subdivision","value":"NW"},{"id":4,"name":"Milepost","value":"0.0128"},{"id":17,"name":"Train ID","value":"830-08"},{"id":16,"name":"Locomotive ID","value":"4063"},{"id":130,"name":"Impact","value":""},{"id":150,"name":"Time of Event (Mountain Time)","value":"16:55:50"},{"id":151,"name":"Denver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72"/>
        <v>start /low /b %USERPROFILE%\Documents\GitHub\eaglep3\Utilities\DownloadLogsFromS3.py --loco 4063 --day 2018-01-08</v>
      </c>
      <c r="AN188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74"/>
        <v>https://d0f6bd738d7f1b3e5a7ca70fe4ff75f0.us-east-1.aws.found.io/app/kibana#/discover/Steve-Slow-Train-Analysis-(2080s-and-2083s)?_g=(refreshInterval:(display:Off,pause:!f,section:0,value:0),time:(from:'2018-01-08T15:25:01-0700',mode:absolute,to:'2018-01-08T17:55:50-0700'))&amp;_a=(columns:!('Message%20ID',Summary),filters:!(),index:'emp_*',interval:auto,query:(query_string:(analyze_wildcard:!t,query:'%22rtdc.l.rtdc.4063%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632</v>
      </c>
      <c r="B189" s="225">
        <v>4030</v>
      </c>
      <c r="C189" s="227" t="s">
        <v>191</v>
      </c>
      <c r="D189" s="227" t="s">
        <v>599</v>
      </c>
      <c r="E189" s="226">
        <v>43108.684675925928</v>
      </c>
      <c r="F189" s="226">
        <v>43108.69425925926</v>
      </c>
      <c r="G189" s="225">
        <v>65</v>
      </c>
      <c r="H189" s="227" t="s">
        <v>1051</v>
      </c>
      <c r="I189" s="226">
        <v>43108.704513888886</v>
      </c>
      <c r="J189" s="225">
        <v>0</v>
      </c>
      <c r="K189" s="237" t="str">
        <f t="shared" si="59"/>
        <v>4029/4030</v>
      </c>
      <c r="L189" s="245" t="str">
        <f>VLOOKUP(A189,'Trips&amp;Operators'!$C$1:$G$99911,5,FALSE)</f>
        <v>STAMBAUGH JAMES</v>
      </c>
      <c r="M189" s="224">
        <f t="shared" si="60"/>
        <v>1.0254629625706002E-2</v>
      </c>
      <c r="N189" s="225">
        <f t="shared" si="91"/>
        <v>14.766666661016643</v>
      </c>
      <c r="O189" s="225"/>
      <c r="P189" s="225"/>
      <c r="Q189" s="228"/>
      <c r="R189" s="242"/>
      <c r="S189" s="249">
        <f t="shared" si="92"/>
        <v>1</v>
      </c>
      <c r="T189" s="242" t="str">
        <f t="shared" si="62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63"/>
        <v>https://d0f6bd738d7f1b3e5a7ca70fe4ff75f0.us-east-1.aws.found.io/app/kibana#/discover/Steve-Slow-Train-Analysis-(2080s-and-2083s)?_g=(refreshInterval:(display:Off,pause:!f,section:0,value:0),time:(from:'2018-01-08T15:25:56-0700',mode:absolute,to:'2018-01-08T17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247" t="str">
        <f>IF(AA189&lt;VLOOKUP(AG189,Variables!$AC$3:$AD$8,2,FALSE),"Y","N")</f>
        <v>N</v>
      </c>
      <c r="X189" s="247">
        <f t="shared" si="64"/>
        <v>1</v>
      </c>
      <c r="Y189" s="247">
        <f t="shared" si="89"/>
        <v>4.4999999999999998E-2</v>
      </c>
      <c r="Z189" s="247">
        <f t="shared" si="90"/>
        <v>5.8948</v>
      </c>
      <c r="AA189" s="247">
        <f t="shared" si="65"/>
        <v>5.8498000000000001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6"/>
        <v>831</v>
      </c>
      <c r="AE189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89" s="234" t="str">
        <f t="shared" si="68"/>
        <v>"C:\Program Files (x86)\AstroGrep\AstroGrep.exe" /e /r /s /spath="%USERPROFILE%\AppData\Local\Temp\OnboardLogs" /stypes="app*4030*20180108*" /stext=" 23:.+((SYSTEM_STATE.+slice.+state.+changed )|(ment ac)|(multiple cpu faults)|(system.+state.+changed )|(\[timeout)|(PRM\|1\|D)|(kpr)|(kdp)|(train st.+moving)|(\|lc)|(penalty))"</v>
      </c>
      <c r="AG189" s="244" t="str">
        <f t="shared" si="69"/>
        <v>NW</v>
      </c>
      <c r="AH189" s="236" t="str">
        <f t="shared" si="70"/>
        <v>"%USERPROFILE%\Documents\GitHub\eaglep3\Utilities\RefineRTDCRunTimes.py" --tripid 831-08 --locoid 4030 --swversion DE.1.0.9.0 --startMP 204:450 --initTime 2018-01-08T16:25:56 --startdatetime 2018-01-08T16:39:44 --delay 65 --endMP 300:58948 --enddatetime 2018-01-08T16:54:30 --enforcementcount 0 &gt;&gt;%USERPROFILE%\Documents\GitHub\eaglep3-reporting\EC\2018-01-08-refined-times.txt</v>
      </c>
      <c r="AI18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{"issue":{"subject":"","project_id":79,"tracker_id":40,"status_id":1,"priority_id":2,"assigned_to_id":338,"start_date":"2018-01-08","description":"","custom_fields":[{"id":1,"name":"Subdivision","value":"NW"},{"id":4,"name":"Milepost","value":"5.8948"},{"id":17,"name":"Train ID","value":"831-08"},{"id":16,"name":"Locomotive ID","value":"4030"},{"id":130,"name":"Impact","value":""},{"id":150,"name":"Time of Event (Mountain Time)","value":"16:54:30"},{"id":151,"name":"Denver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72"/>
        <v>start /low /b %USERPROFILE%\Documents\GitHub\eaglep3\Utilities\DownloadLogsFromS3.py --loco 4030 --day 2018-01-08</v>
      </c>
      <c r="AN189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74"/>
        <v>https://d0f6bd738d7f1b3e5a7ca70fe4ff75f0.us-east-1.aws.found.io/app/kibana#/discover/Steve-Slow-Train-Analysis-(2080s-and-2083s)?_g=(refreshInterval:(display:Off,pause:!f,section:0,value:0),time:(from:'2018-01-08T15:25:56-0700',mode:absolute,to:'2018-01-08T17:54:30-0700'))&amp;_a=(columns:!('Message%20ID',Summary),filters:!(),index:'emp_*',interval:auto,query:(query_string:(analyze_wildcard:!t,query:'%22rtdc.l.rtdc.4030%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806</v>
      </c>
      <c r="B190" s="225">
        <v>4029</v>
      </c>
      <c r="C190" s="227" t="s">
        <v>191</v>
      </c>
      <c r="D190" s="227" t="s">
        <v>1033</v>
      </c>
      <c r="E190" s="226">
        <v>43108.705543981479</v>
      </c>
      <c r="F190" s="226">
        <v>43108.717372685183</v>
      </c>
      <c r="G190" s="225">
        <v>82</v>
      </c>
      <c r="H190" s="227" t="s">
        <v>1046</v>
      </c>
      <c r="I190" s="226">
        <v>43108.725335648145</v>
      </c>
      <c r="J190" s="225">
        <v>0</v>
      </c>
      <c r="K190" s="237" t="str">
        <f t="shared" si="59"/>
        <v>4029/4030</v>
      </c>
      <c r="L190" s="245" t="str">
        <f>VLOOKUP(A190,'Trips&amp;Operators'!$C$1:$G$99911,5,FALSE)</f>
        <v>STAMBAUGH JAMES</v>
      </c>
      <c r="M190" s="224">
        <f t="shared" si="60"/>
        <v>7.962962961755693E-3</v>
      </c>
      <c r="N190" s="225">
        <f t="shared" si="91"/>
        <v>11.466666664928198</v>
      </c>
      <c r="O190" s="225"/>
      <c r="P190" s="225"/>
      <c r="Q190" s="228"/>
      <c r="R190" s="242"/>
      <c r="S190" s="249">
        <f t="shared" si="92"/>
        <v>1</v>
      </c>
      <c r="T190" s="242" t="str">
        <f t="shared" si="62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63"/>
        <v>https://d0f6bd738d7f1b3e5a7ca70fe4ff75f0.us-east-1.aws.found.io/app/kibana#/discover/Steve-Slow-Train-Analysis-(2080s-and-2083s)?_g=(refreshInterval:(display:Off,pause:!f,section:0,value:0),time:(from:'2018-01-08T15:55:59-0700',mode:absolute,to:'2018-01-08T18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247" t="str">
        <f>IF(AA190&lt;VLOOKUP(AG190,Variables!$AC$3:$AD$8,2,FALSE),"Y","N")</f>
        <v>N</v>
      </c>
      <c r="X190" s="247">
        <f t="shared" si="64"/>
        <v>1</v>
      </c>
      <c r="Y190" s="247">
        <f t="shared" si="89"/>
        <v>5.8620999999999999</v>
      </c>
      <c r="Z190" s="247">
        <f t="shared" si="90"/>
        <v>1.24E-2</v>
      </c>
      <c r="AA190" s="247">
        <f t="shared" si="65"/>
        <v>5.8496999999999995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6"/>
        <v>832</v>
      </c>
      <c r="AE190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90" s="234" t="str">
        <f t="shared" si="68"/>
        <v>"C:\Program Files (x86)\AstroGrep\AstroGrep.exe" /e /r /s /spath="%USERPROFILE%\AppData\Local\Temp\OnboardLogs" /stypes="app*4029*20180109*" /stext=" 00:.+((SYSTEM_STATE.+slice.+state.+changed )|(ment ac)|(multiple cpu faults)|(system.+state.+changed )|(\[timeout)|(PRM\|1\|D)|(kpr)|(kdp)|(train st.+moving)|(\|lc)|(penalty))"</v>
      </c>
      <c r="AG190" s="244" t="str">
        <f t="shared" si="69"/>
        <v>NW</v>
      </c>
      <c r="AH190" s="236" t="str">
        <f t="shared" si="70"/>
        <v>"%USERPROFILE%\Documents\GitHub\eaglep3\Utilities\RefineRTDCRunTimes.py" --tripid 832-08 --locoid 4029 --swversion DE.1.0.9.0 --startMP 300:58621 --initTime 2018-01-08T16:55:59 --startdatetime 2018-01-08T17:13:01 --delay 82 --endMP 204:124 --enddatetime 2018-01-08T17:24:29 --enforcementcount 0 &gt;&gt;%USERPROFILE%\Documents\GitHub\eaglep3-reporting\EC\2018-01-08-refined-times.txt</v>
      </c>
      <c r="AI19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{"issue":{"subject":"","project_id":79,"tracker_id":40,"status_id":1,"priority_id":2,"assigned_to_id":338,"start_date":"2018-01-08","description":"","custom_fields":[{"id":1,"name":"Subdivision","value":"NW"},{"id":4,"name":"Milepost","value":"0.0124"},{"id":17,"name":"Train ID","value":"832-08"},{"id":16,"name":"Locomotive ID","value":"4029"},{"id":130,"name":"Impact","value":""},{"id":150,"name":"Time of Event (Mountain Time)","value":"17:24:29"},{"id":151,"name":"Denver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72"/>
        <v>start /low /b %USERPROFILE%\Documents\GitHub\eaglep3\Utilities\DownloadLogsFromS3.py --loco 4029 --day 2018-01-08</v>
      </c>
      <c r="AN190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74"/>
        <v>https://d0f6bd738d7f1b3e5a7ca70fe4ff75f0.us-east-1.aws.found.io/app/kibana#/discover/Steve-Slow-Train-Analysis-(2080s-and-2083s)?_g=(refreshInterval:(display:Off,pause:!f,section:0,value:0),time:(from:'2018-01-08T15:55:59-0700',mode:absolute,to:'2018-01-08T18:24:29-0700'))&amp;_a=(columns:!('Message%20ID',Summary),filters:!(),index:'emp_*',interval:auto,query:(query_string:(analyze_wildcard:!t,query:'%22rtdc.l.rtdc.4029%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807</v>
      </c>
      <c r="B191" s="225">
        <v>4064</v>
      </c>
      <c r="C191" s="227" t="s">
        <v>191</v>
      </c>
      <c r="D191" s="227" t="s">
        <v>1052</v>
      </c>
      <c r="E191" s="226">
        <v>43108.706747685188</v>
      </c>
      <c r="F191" s="226">
        <v>43108.714791666665</v>
      </c>
      <c r="G191" s="225">
        <v>54</v>
      </c>
      <c r="H191" s="227" t="s">
        <v>1038</v>
      </c>
      <c r="I191" s="226">
        <v>43108.725011574075</v>
      </c>
      <c r="J191" s="225">
        <v>0</v>
      </c>
      <c r="K191" s="237" t="str">
        <f t="shared" si="59"/>
        <v>4063/4064</v>
      </c>
      <c r="L191" s="245" t="str">
        <f>VLOOKUP(A191,'Trips&amp;Operators'!$C$1:$G$99911,5,FALSE)</f>
        <v>LEVIN SCOTT</v>
      </c>
      <c r="M191" s="224">
        <f t="shared" si="60"/>
        <v>1.021990740991896E-2</v>
      </c>
      <c r="N191" s="225">
        <f t="shared" si="91"/>
        <v>14.716666670283303</v>
      </c>
      <c r="O191" s="225"/>
      <c r="P191" s="225"/>
      <c r="Q191" s="228"/>
      <c r="R191" s="242"/>
      <c r="S191" s="249">
        <f t="shared" si="92"/>
        <v>1</v>
      </c>
      <c r="T191" s="242" t="str">
        <f t="shared" si="62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63"/>
        <v>https://d0f6bd738d7f1b3e5a7ca70fe4ff75f0.us-east-1.aws.found.io/app/kibana#/discover/Steve-Slow-Train-Analysis-(2080s-and-2083s)?_g=(refreshInterval:(display:Off,pause:!f,section:0,value:0),time:(from:'2018-01-08T15:57:43-0700',mode:absolute,to:'2018-01-08T18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1" s="247" t="str">
        <f>IF(AA191&lt;VLOOKUP(AG191,Variables!$AC$3:$AD$8,2,FALSE),"Y","N")</f>
        <v>N</v>
      </c>
      <c r="X191" s="247">
        <f t="shared" si="64"/>
        <v>1</v>
      </c>
      <c r="Y191" s="247">
        <f t="shared" si="89"/>
        <v>4.2599999999999999E-2</v>
      </c>
      <c r="Z191" s="247">
        <f t="shared" si="90"/>
        <v>5.8944000000000001</v>
      </c>
      <c r="AA191" s="247">
        <f t="shared" si="65"/>
        <v>5.8517999999999999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6"/>
        <v>833</v>
      </c>
      <c r="AE19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91" s="234" t="str">
        <f t="shared" si="68"/>
        <v>"C:\Program Files (x86)\AstroGrep\AstroGrep.exe" /e /r /s /spath="%USERPROFILE%\AppData\Local\Temp\OnboardLogs" /stypes="app*4064*20180109*" /stext=" 00:.+((SYSTEM_STATE.+slice.+state.+changed )|(ment ac)|(multiple cpu faults)|(system.+state.+changed )|(\[timeout)|(PRM\|1\|D)|(kpr)|(kdp)|(train st.+moving)|(\|lc)|(penalty))"</v>
      </c>
      <c r="AG191" s="244" t="str">
        <f t="shared" si="69"/>
        <v>NW</v>
      </c>
      <c r="AH191" s="236" t="str">
        <f t="shared" si="70"/>
        <v>"%USERPROFILE%\Documents\GitHub\eaglep3\Utilities\RefineRTDCRunTimes.py" --tripid 833-08 --locoid 4064 --swversion DE.1.0.9.0 --startMP 204:426 --initTime 2018-01-08T16:57:43 --startdatetime 2018-01-08T17:09:18 --delay 54 --endMP 300:58944 --enddatetime 2018-01-08T17:24:01 --enforcementcount 0 &gt;&gt;%USERPROFILE%\Documents\GitHub\eaglep3-reporting\EC\2018-01-08-refined-times.txt</v>
      </c>
      <c r="AI19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{"issue":{"subject":"","project_id":79,"tracker_id":40,"status_id":1,"priority_id":2,"assigned_to_id":338,"start_date":"2018-01-08","description":"","custom_fields":[{"id":1,"name":"Subdivision","value":"NW"},{"id":4,"name":"Milepost","value":"5.8944"},{"id":17,"name":"Train ID","value":"833-08"},{"id":16,"name":"Locomotive ID","value":"4064"},{"id":130,"name":"Impact","value":""},{"id":150,"name":"Time of Event (Mountain Time)","value":"17:24:01"},{"id":151,"name":"Denver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72"/>
        <v>start /low /b %USERPROFILE%\Documents\GitHub\eaglep3\Utilities\DownloadLogsFromS3.py --loco 4064 --day 2018-01-08</v>
      </c>
      <c r="AN191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74"/>
        <v>https://d0f6bd738d7f1b3e5a7ca70fe4ff75f0.us-east-1.aws.found.io/app/kibana#/discover/Steve-Slow-Train-Analysis-(2080s-and-2083s)?_g=(refreshInterval:(display:Off,pause:!f,section:0,value:0),time:(from:'2018-01-08T15:57:43-0700',mode:absolute,to:'2018-01-08T18:24:01-0700'))&amp;_a=(columns:!('Message%20ID',Summary),filters:!(),index:'emp_*',interval:auto,query:(query_string:(analyze_wildcard:!t,query:'%22rtdc.l.rtdc.4064%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813</v>
      </c>
      <c r="B192" s="225">
        <v>4063</v>
      </c>
      <c r="C192" s="227" t="s">
        <v>191</v>
      </c>
      <c r="D192" s="227" t="s">
        <v>1018</v>
      </c>
      <c r="E192" s="226">
        <v>43108.727719907409</v>
      </c>
      <c r="F192" s="226">
        <v>43108.738240740742</v>
      </c>
      <c r="G192" s="225">
        <v>65</v>
      </c>
      <c r="H192" s="227" t="s">
        <v>1053</v>
      </c>
      <c r="I192" s="226">
        <v>43108.747372685182</v>
      </c>
      <c r="J192" s="225">
        <v>0</v>
      </c>
      <c r="K192" s="237" t="str">
        <f t="shared" si="59"/>
        <v>4063/4064</v>
      </c>
      <c r="L192" s="245" t="str">
        <f>VLOOKUP(A192,'Trips&amp;Operators'!$C$1:$G$99911,5,FALSE)</f>
        <v>LEVIN SCOTT</v>
      </c>
      <c r="M192" s="224">
        <f t="shared" si="60"/>
        <v>9.1319444400141947E-3</v>
      </c>
      <c r="N192" s="225">
        <f t="shared" si="91"/>
        <v>13.14999999362044</v>
      </c>
      <c r="O192" s="225"/>
      <c r="P192" s="225"/>
      <c r="Q192" s="228"/>
      <c r="R192" s="242"/>
      <c r="S192" s="249">
        <f t="shared" si="92"/>
        <v>1</v>
      </c>
      <c r="T192" s="242" t="str">
        <f t="shared" si="62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63"/>
        <v>https://d0f6bd738d7f1b3e5a7ca70fe4ff75f0.us-east-1.aws.found.io/app/kibana#/discover/Steve-Slow-Train-Analysis-(2080s-and-2083s)?_g=(refreshInterval:(display:Off,pause:!f,section:0,value:0),time:(from:'2018-01-08T16:27:55-0700',mode:absolute,to:'2018-01-08T18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2" s="247" t="str">
        <f>IF(AA192&lt;VLOOKUP(AG192,Variables!$AC$3:$AD$8,2,FALSE),"Y","N")</f>
        <v>N</v>
      </c>
      <c r="X192" s="247">
        <f t="shared" si="64"/>
        <v>1</v>
      </c>
      <c r="Y192" s="247">
        <f t="shared" si="89"/>
        <v>5.8623000000000003</v>
      </c>
      <c r="Z192" s="247">
        <f t="shared" si="90"/>
        <v>9.7000000000000003E-3</v>
      </c>
      <c r="AA192" s="247">
        <f t="shared" si="65"/>
        <v>5.8526000000000007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6"/>
        <v>834</v>
      </c>
      <c r="AE19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92" s="234" t="str">
        <f t="shared" si="68"/>
        <v>"C:\Program Files (x86)\AstroGrep\AstroGrep.exe" /e /r /s /spath="%USERPROFILE%\AppData\Local\Temp\OnboardLogs" /stypes="app*4063*20180109*" /stext=" 00:.+((SYSTEM_STATE.+slice.+state.+changed )|(ment ac)|(multiple cpu faults)|(system.+state.+changed )|(\[timeout)|(PRM\|1\|D)|(kpr)|(kdp)|(train st.+moving)|(\|lc)|(penalty))"</v>
      </c>
      <c r="AG192" s="244" t="str">
        <f t="shared" si="69"/>
        <v>NW</v>
      </c>
      <c r="AH192" s="236" t="str">
        <f t="shared" si="70"/>
        <v>"%USERPROFILE%\Documents\GitHub\eaglep3\Utilities\RefineRTDCRunTimes.py" --tripid 834-08 --locoid 4063 --swversion DE.1.0.9.0 --startMP 300:58623 --initTime 2018-01-08T17:27:55 --startdatetime 2018-01-08T17:43:04 --delay 65 --endMP 204:97 --enddatetime 2018-01-08T17:56:13 --enforcementcount 0 &gt;&gt;%USERPROFILE%\Documents\GitHub\eaglep3-reporting\EC\2018-01-08-refined-times.txt</v>
      </c>
      <c r="AI19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{"issue":{"subject":"","project_id":79,"tracker_id":40,"status_id":1,"priority_id":2,"assigned_to_id":338,"start_date":"2018-01-08","description":"","custom_fields":[{"id":1,"name":"Subdivision","value":"NW"},{"id":4,"name":"Milepost","value":"0.0097"},{"id":17,"name":"Train ID","value":"834-08"},{"id":16,"name":"Locomotive ID","value":"4063"},{"id":130,"name":"Impact","value":""},{"id":150,"name":"Time of Event (Mountain Time)","value":"17:56:13"},{"id":151,"name":"Denver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72"/>
        <v>start /low /b %USERPROFILE%\Documents\GitHub\eaglep3\Utilities\DownloadLogsFromS3.py --loco 4063 --day 2018-01-08</v>
      </c>
      <c r="AN192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74"/>
        <v>https://d0f6bd738d7f1b3e5a7ca70fe4ff75f0.us-east-1.aws.found.io/app/kibana#/discover/Steve-Slow-Train-Analysis-(2080s-and-2083s)?_g=(refreshInterval:(display:Off,pause:!f,section:0,value:0),time:(from:'2018-01-08T16:27:55-0700',mode:absolute,to:'2018-01-08T18:56:13-0700'))&amp;_a=(columns:!('Message%20ID',Summary),filters:!(),index:'emp_*',interval:auto,query:(query_string:(analyze_wildcard:!t,query:'%22rtdc.l.rtdc.4063%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633</v>
      </c>
      <c r="B193" s="225">
        <v>4030</v>
      </c>
      <c r="C193" s="227" t="s">
        <v>191</v>
      </c>
      <c r="D193" s="227" t="s">
        <v>1054</v>
      </c>
      <c r="E193" s="226">
        <v>43108.726678240739</v>
      </c>
      <c r="F193" s="226">
        <v>43108.735937500001</v>
      </c>
      <c r="G193" s="225">
        <v>58</v>
      </c>
      <c r="H193" s="227" t="s">
        <v>1028</v>
      </c>
      <c r="I193" s="226">
        <v>43108.746631944443</v>
      </c>
      <c r="J193" s="225">
        <v>0</v>
      </c>
      <c r="K193" s="237" t="str">
        <f t="shared" si="59"/>
        <v>4029/4030</v>
      </c>
      <c r="L193" s="245" t="str">
        <f>VLOOKUP(A193,'Trips&amp;Operators'!$C$1:$G$99911,5,FALSE)</f>
        <v>STAMBAUGH JAMES</v>
      </c>
      <c r="M193" s="224">
        <f t="shared" si="60"/>
        <v>1.0694444441469386E-2</v>
      </c>
      <c r="N193" s="225">
        <f t="shared" si="91"/>
        <v>15.399999995715916</v>
      </c>
      <c r="O193" s="225"/>
      <c r="P193" s="225"/>
      <c r="Q193" s="228"/>
      <c r="R193" s="242"/>
      <c r="S193" s="249">
        <f t="shared" si="92"/>
        <v>1</v>
      </c>
      <c r="T193" s="242" t="str">
        <f t="shared" si="62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63"/>
        <v>https://d0f6bd738d7f1b3e5a7ca70fe4ff75f0.us-east-1.aws.found.io/app/kibana#/discover/Steve-Slow-Train-Analysis-(2080s-and-2083s)?_g=(refreshInterval:(display:Off,pause:!f,section:0,value:0),time:(from:'2018-01-08T16:26:25-0700',mode:absolute,to:'2018-01-08T18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247" t="str">
        <f>IF(AA193&lt;VLOOKUP(AG193,Variables!$AC$3:$AD$8,2,FALSE),"Y","N")</f>
        <v>N</v>
      </c>
      <c r="X193" s="247">
        <f t="shared" si="64"/>
        <v>1</v>
      </c>
      <c r="Y193" s="247">
        <f t="shared" si="89"/>
        <v>4.4200000000000003E-2</v>
      </c>
      <c r="Z193" s="247">
        <f t="shared" si="90"/>
        <v>5.8928000000000003</v>
      </c>
      <c r="AA193" s="247">
        <f t="shared" si="65"/>
        <v>5.8486000000000002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6"/>
        <v>835</v>
      </c>
      <c r="AE193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93" s="234" t="str">
        <f t="shared" si="68"/>
        <v>"C:\Program Files (x86)\AstroGrep\AstroGrep.exe" /e /r /s /spath="%USERPROFILE%\AppData\Local\Temp\OnboardLogs" /stypes="app*4030*20180109*" /stext=" 00:.+((SYSTEM_STATE.+slice.+state.+changed )|(ment ac)|(multiple cpu faults)|(system.+state.+changed )|(\[timeout)|(PRM\|1\|D)|(kpr)|(kdp)|(train st.+moving)|(\|lc)|(penalty))"</v>
      </c>
      <c r="AG193" s="244" t="str">
        <f t="shared" si="69"/>
        <v>NW</v>
      </c>
      <c r="AH193" s="236" t="str">
        <f t="shared" si="70"/>
        <v>"%USERPROFILE%\Documents\GitHub\eaglep3\Utilities\RefineRTDCRunTimes.py" --tripid 835-08 --locoid 4030 --swversion DE.1.0.9.0 --startMP 204:442 --initTime 2018-01-08T17:26:25 --startdatetime 2018-01-08T17:39:45 --delay 58 --endMP 300:58928 --enddatetime 2018-01-08T17:55:09 --enforcementcount 0 &gt;&gt;%USERPROFILE%\Documents\GitHub\eaglep3-reporting\EC\2018-01-08-refined-times.txt</v>
      </c>
      <c r="AI19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{"issue":{"subject":"","project_id":79,"tracker_id":40,"status_id":1,"priority_id":2,"assigned_to_id":338,"start_date":"2018-01-08","description":"","custom_fields":[{"id":1,"name":"Subdivision","value":"NW"},{"id":4,"name":"Milepost","value":"5.8928"},{"id":17,"name":"Train ID","value":"835-08"},{"id":16,"name":"Locomotive ID","value":"4030"},{"id":130,"name":"Impact","value":""},{"id":150,"name":"Time of Event (Mountain Time)","value":"17:55:09"},{"id":151,"name":"Denver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72"/>
        <v>start /low /b %USERPROFILE%\Documents\GitHub\eaglep3\Utilities\DownloadLogsFromS3.py --loco 4030 --day 2018-01-08</v>
      </c>
      <c r="AN193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74"/>
        <v>https://d0f6bd738d7f1b3e5a7ca70fe4ff75f0.us-east-1.aws.found.io/app/kibana#/discover/Steve-Slow-Train-Analysis-(2080s-and-2083s)?_g=(refreshInterval:(display:Off,pause:!f,section:0,value:0),time:(from:'2018-01-08T16:26:25-0700',mode:absolute,to:'2018-01-08T18:55:09-0700'))&amp;_a=(columns:!('Message%20ID',Summary),filters:!(),index:'emp_*',interval:auto,query:(query_string:(analyze_wildcard:!t,query:'%22rtdc.l.rtdc.4030%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819</v>
      </c>
      <c r="B194" s="225">
        <v>4029</v>
      </c>
      <c r="C194" s="227" t="s">
        <v>191</v>
      </c>
      <c r="D194" s="227" t="s">
        <v>1055</v>
      </c>
      <c r="E194" s="226">
        <v>43108.747662037036</v>
      </c>
      <c r="F194" s="226">
        <v>43108.75917824074</v>
      </c>
      <c r="G194" s="225">
        <v>56</v>
      </c>
      <c r="H194" s="227" t="s">
        <v>1056</v>
      </c>
      <c r="I194" s="226">
        <v>43108.766909722224</v>
      </c>
      <c r="J194" s="225">
        <v>0</v>
      </c>
      <c r="K194" s="237" t="str">
        <f t="shared" si="59"/>
        <v>4029/4030</v>
      </c>
      <c r="L194" s="245" t="str">
        <f>VLOOKUP(A194,'Trips&amp;Operators'!$C$1:$G$99911,5,FALSE)</f>
        <v>STAMBAUGH JAMES</v>
      </c>
      <c r="M194" s="224">
        <f t="shared" si="60"/>
        <v>7.7314814843703061E-3</v>
      </c>
      <c r="N194" s="225">
        <f t="shared" si="91"/>
        <v>11.133333337493241</v>
      </c>
      <c r="O194" s="225"/>
      <c r="P194" s="225"/>
      <c r="Q194" s="228"/>
      <c r="R194" s="242"/>
      <c r="S194" s="249">
        <f t="shared" si="92"/>
        <v>1</v>
      </c>
      <c r="T194" s="242" t="str">
        <f t="shared" si="62"/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63"/>
        <v>https://d0f6bd738d7f1b3e5a7ca70fe4ff75f0.us-east-1.aws.found.io/app/kibana#/discover/Steve-Slow-Train-Analysis-(2080s-and-2083s)?_g=(refreshInterval:(display:Off,pause:!f,section:0,value:0),time:(from:'2018-01-08T16:56:38-0700',mode:absolute,to:'2018-01-08T19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247" t="str">
        <f>IF(AA194&lt;VLOOKUP(AG194,Variables!$AC$3:$AD$8,2,FALSE),"Y","N")</f>
        <v>N</v>
      </c>
      <c r="X194" s="247">
        <f t="shared" si="64"/>
        <v>1</v>
      </c>
      <c r="Y194" s="247">
        <f t="shared" si="89"/>
        <v>5.8616999999999999</v>
      </c>
      <c r="Z194" s="247">
        <f t="shared" si="90"/>
        <v>1.4200000000000001E-2</v>
      </c>
      <c r="AA194" s="247">
        <f t="shared" si="65"/>
        <v>5.8475000000000001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6"/>
        <v>836</v>
      </c>
      <c r="AE194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94" s="234" t="str">
        <f t="shared" si="68"/>
        <v>"C:\Program Files (x86)\AstroGrep\AstroGrep.exe" /e /r /s /spath="%USERPROFILE%\AppData\Local\Temp\OnboardLogs" /stypes="app*4029*20180109*" /stext=" 01:.+((SYSTEM_STATE.+slice.+state.+changed )|(ment ac)|(multiple cpu faults)|(system.+state.+changed )|(\[timeout)|(PRM\|1\|D)|(kpr)|(kdp)|(train st.+moving)|(\|lc)|(penalty))"</v>
      </c>
      <c r="AG194" s="244" t="str">
        <f t="shared" si="69"/>
        <v>NW</v>
      </c>
      <c r="AH194" s="236" t="str">
        <f t="shared" si="70"/>
        <v>"%USERPROFILE%\Documents\GitHub\eaglep3\Utilities\RefineRTDCRunTimes.py" --tripid 836-08 --locoid 4029 --swversion DE.1.0.9.0 --startMP 300:58617 --initTime 2018-01-08T17:56:38 --startdatetime 2018-01-08T18:13:13 --delay 56 --endMP 204:142 --enddatetime 2018-01-08T18:24:21 --enforcementcount 0 &gt;&gt;%USERPROFILE%\Documents\GitHub\eaglep3-reporting\EC\2018-01-08-refined-times.txt</v>
      </c>
      <c r="AI19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{"issue":{"subject":"","project_id":79,"tracker_id":40,"status_id":1,"priority_id":2,"assigned_to_id":338,"start_date":"2018-01-08","description":"","custom_fields":[{"id":1,"name":"Subdivision","value":"NW"},{"id":4,"name":"Milepost","value":"0.0142"},{"id":17,"name":"Train ID","value":"836-08"},{"id":16,"name":"Locomotive ID","value":"4029"},{"id":130,"name":"Impact","value":""},{"id":150,"name":"Time of Event (Mountain Time)","value":"18:24:21"},{"id":151,"name":"Denver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72"/>
        <v>start /low /b %USERPROFILE%\Documents\GitHub\eaglep3\Utilities\DownloadLogsFromS3.py --loco 4029 --day 2018-01-08</v>
      </c>
      <c r="AN194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74"/>
        <v>https://d0f6bd738d7f1b3e5a7ca70fe4ff75f0.us-east-1.aws.found.io/app/kibana#/discover/Steve-Slow-Train-Analysis-(2080s-and-2083s)?_g=(refreshInterval:(display:Off,pause:!f,section:0,value:0),time:(from:'2018-01-08T16:56:38-0700',mode:absolute,to:'2018-01-08T19:24:21-0700'))&amp;_a=(columns:!('Message%20ID',Summary),filters:!(),index:'emp_*',interval:auto,query:(query_string:(analyze_wildcard:!t,query:'%22rtdc.l.rtdc.4029%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820</v>
      </c>
      <c r="B195" s="225">
        <v>4064</v>
      </c>
      <c r="C195" s="227" t="s">
        <v>191</v>
      </c>
      <c r="D195" s="227" t="s">
        <v>1057</v>
      </c>
      <c r="E195" s="226">
        <v>43108.753935185188</v>
      </c>
      <c r="F195" s="226">
        <v>43108.756724537037</v>
      </c>
      <c r="G195" s="225">
        <v>74</v>
      </c>
      <c r="H195" s="227" t="s">
        <v>1028</v>
      </c>
      <c r="I195" s="226">
        <v>43108.76666666667</v>
      </c>
      <c r="J195" s="225">
        <v>0</v>
      </c>
      <c r="K195" s="237" t="str">
        <f t="shared" si="59"/>
        <v>4063/4064</v>
      </c>
      <c r="L195" s="245" t="str">
        <f>VLOOKUP(A195,'Trips&amp;Operators'!$C$1:$G$99911,5,FALSE)</f>
        <v>LEVIN SCOTT</v>
      </c>
      <c r="M195" s="224">
        <f t="shared" si="60"/>
        <v>9.9421296326909214E-3</v>
      </c>
      <c r="N195" s="225">
        <f t="shared" si="91"/>
        <v>14.316666671074927</v>
      </c>
      <c r="O195" s="225"/>
      <c r="P195" s="225"/>
      <c r="Q195" s="228"/>
      <c r="R195" s="242"/>
      <c r="S195" s="249">
        <f t="shared" si="92"/>
        <v>1</v>
      </c>
      <c r="T195" s="242" t="str">
        <f t="shared" si="62"/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63"/>
        <v>https://d0f6bd738d7f1b3e5a7ca70fe4ff75f0.us-east-1.aws.found.io/app/kibana#/discover/Steve-Slow-Train-Analysis-(2080s-and-2083s)?_g=(refreshInterval:(display:Off,pause:!f,section:0,value:0),time:(from:'2018-01-08T17:05:40-0700',mode:absolute,to:'2018-01-08T19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5" s="247" t="str">
        <f>IF(AA195&lt;VLOOKUP(AG195,Variables!$AC$3:$AD$8,2,FALSE),"Y","N")</f>
        <v>N</v>
      </c>
      <c r="X195" s="247">
        <f t="shared" si="64"/>
        <v>1</v>
      </c>
      <c r="Y195" s="247">
        <f t="shared" si="89"/>
        <v>3.95E-2</v>
      </c>
      <c r="Z195" s="247">
        <f t="shared" si="90"/>
        <v>5.8928000000000003</v>
      </c>
      <c r="AA195" s="247">
        <f t="shared" si="65"/>
        <v>5.8532999999999999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6"/>
        <v>837</v>
      </c>
      <c r="AE195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95" s="234" t="str">
        <f t="shared" si="68"/>
        <v>"C:\Program Files (x86)\AstroGrep\AstroGrep.exe" /e /r /s /spath="%USERPROFILE%\AppData\Local\Temp\OnboardLogs" /stypes="app*4064*20180109*" /stext=" 01:.+((SYSTEM_STATE.+slice.+state.+changed )|(ment ac)|(multiple cpu faults)|(system.+state.+changed )|(\[timeout)|(PRM\|1\|D)|(kpr)|(kdp)|(train st.+moving)|(\|lc)|(penalty))"</v>
      </c>
      <c r="AG195" s="244" t="str">
        <f t="shared" si="69"/>
        <v>NW</v>
      </c>
      <c r="AH195" s="236" t="str">
        <f t="shared" si="70"/>
        <v>"%USERPROFILE%\Documents\GitHub\eaglep3\Utilities\RefineRTDCRunTimes.py" --tripid 837-08 --locoid 4064 --swversion DE.1.0.9.0 --startMP 204:395 --initTime 2018-01-08T18:05:40 --startdatetime 2018-01-08T18:09:41 --delay 74 --endMP 300:58928 --enddatetime 2018-01-08T18:24:00 --enforcementcount 0 &gt;&gt;%USERPROFILE%\Documents\GitHub\eaglep3-reporting\EC\2018-01-08-refined-times.txt</v>
      </c>
      <c r="AI195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{"issue":{"subject":"","project_id":79,"tracker_id":40,"status_id":1,"priority_id":2,"assigned_to_id":338,"start_date":"2018-01-08","description":"","custom_fields":[{"id":1,"name":"Subdivision","value":"NW"},{"id":4,"name":"Milepost","value":"5.8928"},{"id":17,"name":"Train ID","value":"837-08"},{"id":16,"name":"Locomotive ID","value":"4064"},{"id":130,"name":"Impact","value":""},{"id":150,"name":"Time of Event (Mountain Time)","value":"18:24:00"},{"id":151,"name":"Denver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72"/>
        <v>start /low /b %USERPROFILE%\Documents\GitHub\eaglep3\Utilities\DownloadLogsFromS3.py --loco 4064 --day 2018-01-08</v>
      </c>
      <c r="AN195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74"/>
        <v>https://d0f6bd738d7f1b3e5a7ca70fe4ff75f0.us-east-1.aws.found.io/app/kibana#/discover/Steve-Slow-Train-Analysis-(2080s-and-2083s)?_g=(refreshInterval:(display:Off,pause:!f,section:0,value:0),time:(from:'2018-01-08T17:05:40-0700',mode:absolute,to:'2018-01-08T19:24:00-0700'))&amp;_a=(columns:!('Message%20ID',Summary),filters:!(),index:'emp_*',interval:auto,query:(query_string:(analyze_wildcard:!t,query:'%22rtdc.l.rtdc.4064%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824</v>
      </c>
      <c r="B196" s="225">
        <v>4063</v>
      </c>
      <c r="C196" s="227" t="s">
        <v>191</v>
      </c>
      <c r="D196" s="227" t="s">
        <v>1058</v>
      </c>
      <c r="E196" s="226">
        <v>43108.767766203702</v>
      </c>
      <c r="F196" s="226">
        <v>43108.779918981483</v>
      </c>
      <c r="G196" s="225">
        <v>58</v>
      </c>
      <c r="H196" s="227" t="s">
        <v>505</v>
      </c>
      <c r="I196" s="226">
        <v>43108.788819444446</v>
      </c>
      <c r="J196" s="225">
        <v>0</v>
      </c>
      <c r="K196" s="237" t="str">
        <f t="shared" si="59"/>
        <v>4063/4064</v>
      </c>
      <c r="L196" s="245" t="str">
        <f>VLOOKUP(A196,'Trips&amp;Operators'!$C$1:$G$99911,5,FALSE)</f>
        <v>LEVIN SCOTT</v>
      </c>
      <c r="M196" s="224">
        <f t="shared" si="60"/>
        <v>8.9004629626288079E-3</v>
      </c>
      <c r="N196" s="225">
        <f t="shared" si="91"/>
        <v>12.816666666185483</v>
      </c>
      <c r="O196" s="225"/>
      <c r="P196" s="225"/>
      <c r="Q196" s="228"/>
      <c r="R196" s="242"/>
      <c r="S196" s="249">
        <f t="shared" si="92"/>
        <v>1</v>
      </c>
      <c r="T196" s="242" t="str">
        <f t="shared" si="62"/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63"/>
        <v>https://d0f6bd738d7f1b3e5a7ca70fe4ff75f0.us-east-1.aws.found.io/app/kibana#/discover/Steve-Slow-Train-Analysis-(2080s-and-2083s)?_g=(refreshInterval:(display:Off,pause:!f,section:0,value:0),time:(from:'2018-01-08T17:25:35-0700',mode:absolute,to:'2018-01-08T19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6" s="247" t="str">
        <f>IF(AA196&lt;VLOOKUP(AG196,Variables!$AC$3:$AD$8,2,FALSE),"Y","N")</f>
        <v>N</v>
      </c>
      <c r="X196" s="247">
        <f t="shared" si="64"/>
        <v>1</v>
      </c>
      <c r="Y196" s="247">
        <f t="shared" si="89"/>
        <v>5.8613</v>
      </c>
      <c r="Z196" s="247">
        <f t="shared" si="90"/>
        <v>1.49E-2</v>
      </c>
      <c r="AA196" s="247">
        <f t="shared" si="65"/>
        <v>5.8464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6"/>
        <v>838</v>
      </c>
      <c r="AE196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96" s="234" t="str">
        <f t="shared" si="68"/>
        <v>"C:\Program Files (x86)\AstroGrep\AstroGrep.exe" /e /r /s /spath="%USERPROFILE%\AppData\Local\Temp\OnboardLogs" /stypes="app*4063*20180109*" /stext=" 01:.+((SYSTEM_STATE.+slice.+state.+changed )|(ment ac)|(multiple cpu faults)|(system.+state.+changed )|(\[timeout)|(PRM\|1\|D)|(kpr)|(kdp)|(train st.+moving)|(\|lc)|(penalty))"</v>
      </c>
      <c r="AG196" s="244" t="str">
        <f t="shared" si="69"/>
        <v>NW</v>
      </c>
      <c r="AH196" s="236" t="str">
        <f t="shared" si="70"/>
        <v>"%USERPROFILE%\Documents\GitHub\eaglep3\Utilities\RefineRTDCRunTimes.py" --tripid 838-08 --locoid 4063 --swversion DE.1.0.9.0 --startMP 300:58613 --initTime 2018-01-08T18:25:35 --startdatetime 2018-01-08T18:43:05 --delay 58 --endMP 204:149 --enddatetime 2018-01-08T18:55:54 --enforcementcount 0 &gt;&gt;%USERPROFILE%\Documents\GitHub\eaglep3-reporting\EC\2018-01-08-refined-times.txt</v>
      </c>
      <c r="AI19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{"issue":{"subject":"","project_id":79,"tracker_id":40,"status_id":1,"priority_id":2,"assigned_to_id":338,"start_date":"2018-01-08","description":"","custom_fields":[{"id":1,"name":"Subdivision","value":"NW"},{"id":4,"name":"Milepost","value":"0.0149"},{"id":17,"name":"Train ID","value":"838-08"},{"id":16,"name":"Locomotive ID","value":"4063"},{"id":130,"name":"Impact","value":""},{"id":150,"name":"Time of Event (Mountain Time)","value":"18:55:54"},{"id":151,"name":"Denver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72"/>
        <v>start /low /b %USERPROFILE%\Documents\GitHub\eaglep3\Utilities\DownloadLogsFromS3.py --loco 4063 --day 2018-01-08</v>
      </c>
      <c r="AN196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74"/>
        <v>https://d0f6bd738d7f1b3e5a7ca70fe4ff75f0.us-east-1.aws.found.io/app/kibana#/discover/Steve-Slow-Train-Analysis-(2080s-and-2083s)?_g=(refreshInterval:(display:Off,pause:!f,section:0,value:0),time:(from:'2018-01-08T17:25:35-0700',mode:absolute,to:'2018-01-08T19:55:54-0700'))&amp;_a=(columns:!('Message%20ID',Summary),filters:!(),index:'emp_*',interval:auto,query:(query_string:(analyze_wildcard:!t,query:'%22rtdc.l.rtdc.4063%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825</v>
      </c>
      <c r="B197" s="225">
        <v>4030</v>
      </c>
      <c r="C197" s="227" t="s">
        <v>191</v>
      </c>
      <c r="D197" s="227" t="s">
        <v>1052</v>
      </c>
      <c r="E197" s="226">
        <v>43108.767962962964</v>
      </c>
      <c r="F197" s="226">
        <v>43108.777407407404</v>
      </c>
      <c r="G197" s="225">
        <v>60</v>
      </c>
      <c r="H197" s="227" t="s">
        <v>1059</v>
      </c>
      <c r="I197" s="226">
        <v>43108.786990740744</v>
      </c>
      <c r="J197" s="225">
        <v>0</v>
      </c>
      <c r="K197" s="237" t="str">
        <f t="shared" si="59"/>
        <v>4029/4030</v>
      </c>
      <c r="L197" s="245" t="str">
        <f>VLOOKUP(A197,'Trips&amp;Operators'!$C$1:$G$99911,5,FALSE)</f>
        <v>STAMBAUGH JAMES</v>
      </c>
      <c r="M197" s="224">
        <f t="shared" si="60"/>
        <v>9.5833333398331888E-3</v>
      </c>
      <c r="N197" s="225">
        <f t="shared" si="91"/>
        <v>13.800000009359792</v>
      </c>
      <c r="O197" s="225"/>
      <c r="P197" s="225"/>
      <c r="Q197" s="228"/>
      <c r="R197" s="242"/>
      <c r="S197" s="249">
        <f t="shared" si="92"/>
        <v>1</v>
      </c>
      <c r="T197" s="242" t="str">
        <f t="shared" si="62"/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63"/>
        <v>https://d0f6bd738d7f1b3e5a7ca70fe4ff75f0.us-east-1.aws.found.io/app/kibana#/discover/Steve-Slow-Train-Analysis-(2080s-and-2083s)?_g=(refreshInterval:(display:Off,pause:!f,section:0,value:0),time:(from:'2018-01-08T17:25:52-0700',mode:absolute,to:'2018-01-08T19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247" t="str">
        <f>IF(AA197&lt;VLOOKUP(AG197,Variables!$AC$3:$AD$8,2,FALSE),"Y","N")</f>
        <v>N</v>
      </c>
      <c r="X197" s="247">
        <f t="shared" si="64"/>
        <v>1</v>
      </c>
      <c r="Y197" s="247">
        <f t="shared" si="89"/>
        <v>4.2599999999999999E-2</v>
      </c>
      <c r="Z197" s="247">
        <f t="shared" si="90"/>
        <v>5.8933</v>
      </c>
      <c r="AA197" s="247">
        <f t="shared" si="65"/>
        <v>5.8506999999999998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6"/>
        <v>839</v>
      </c>
      <c r="AE197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97" s="234" t="str">
        <f t="shared" si="68"/>
        <v>"C:\Program Files (x86)\AstroGrep\AstroGrep.exe" /e /r /s /spath="%USERPROFILE%\AppData\Local\Temp\OnboardLogs" /stypes="app*4030*20180109*" /stext=" 01:.+((SYSTEM_STATE.+slice.+state.+changed )|(ment ac)|(multiple cpu faults)|(system.+state.+changed )|(\[timeout)|(PRM\|1\|D)|(kpr)|(kdp)|(train st.+moving)|(\|lc)|(penalty))"</v>
      </c>
      <c r="AG197" s="244" t="str">
        <f t="shared" si="69"/>
        <v>NW</v>
      </c>
      <c r="AH197" s="236" t="str">
        <f t="shared" si="70"/>
        <v>"%USERPROFILE%\Documents\GitHub\eaglep3\Utilities\RefineRTDCRunTimes.py" --tripid 839-08 --locoid 4030 --swversion DE.1.0.9.0 --startMP 204:426 --initTime 2018-01-08T18:25:52 --startdatetime 2018-01-08T18:39:28 --delay 60 --endMP 300:58933 --enddatetime 2018-01-08T18:53:16 --enforcementcount 0 &gt;&gt;%USERPROFILE%\Documents\GitHub\eaglep3-reporting\EC\2018-01-08-refined-times.txt</v>
      </c>
      <c r="AI197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{"issue":{"subject":"","project_id":79,"tracker_id":40,"status_id":1,"priority_id":2,"assigned_to_id":338,"start_date":"2018-01-08","description":"","custom_fields":[{"id":1,"name":"Subdivision","value":"NW"},{"id":4,"name":"Milepost","value":"5.8933"},{"id":17,"name":"Train ID","value":"839-08"},{"id":16,"name":"Locomotive ID","value":"4030"},{"id":130,"name":"Impact","value":""},{"id":150,"name":"Time of Event (Mountain Time)","value":"18:53:16"},{"id":151,"name":"Denver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72"/>
        <v>start /low /b %USERPROFILE%\Documents\GitHub\eaglep3\Utilities\DownloadLogsFromS3.py --loco 4030 --day 2018-01-08</v>
      </c>
      <c r="AN197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74"/>
        <v>https://d0f6bd738d7f1b3e5a7ca70fe4ff75f0.us-east-1.aws.found.io/app/kibana#/discover/Steve-Slow-Train-Analysis-(2080s-and-2083s)?_g=(refreshInterval:(display:Off,pause:!f,section:0,value:0),time:(from:'2018-01-08T17:25:52-0700',mode:absolute,to:'2018-01-08T19:53:16-0700'))&amp;_a=(columns:!('Message%20ID',Summary),filters:!(),index:'emp_*',interval:auto,query:(query_string:(analyze_wildcard:!t,query:'%22rtdc.l.rtdc.4030%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638</v>
      </c>
      <c r="B198" s="225">
        <v>4063</v>
      </c>
      <c r="C198" s="227" t="s">
        <v>191</v>
      </c>
      <c r="D198" s="227" t="s">
        <v>1026</v>
      </c>
      <c r="E198" s="226">
        <v>43108.809247685182</v>
      </c>
      <c r="F198" s="226">
        <v>43108.821064814816</v>
      </c>
      <c r="G198" s="225">
        <v>64</v>
      </c>
      <c r="H198" s="227" t="s">
        <v>1060</v>
      </c>
      <c r="I198" s="226">
        <v>43108.828692129631</v>
      </c>
      <c r="J198" s="225">
        <v>0</v>
      </c>
      <c r="K198" s="237" t="str">
        <f t="shared" si="59"/>
        <v>4063/4064</v>
      </c>
      <c r="L198" s="245" t="str">
        <f>VLOOKUP(A198,'Trips&amp;Operators'!$C$1:$G$99911,5,FALSE)</f>
        <v>LEVIN SCOTT</v>
      </c>
      <c r="M198" s="224">
        <f t="shared" si="60"/>
        <v>7.6273148151813075E-3</v>
      </c>
      <c r="N198" s="225">
        <f t="shared" si="91"/>
        <v>10.983333333861083</v>
      </c>
      <c r="O198" s="225"/>
      <c r="P198" s="225"/>
      <c r="Q198" s="228"/>
      <c r="R198" s="242"/>
      <c r="S198" s="249">
        <f t="shared" si="92"/>
        <v>1</v>
      </c>
      <c r="T198" s="242" t="str">
        <f t="shared" si="62"/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63"/>
        <v>https://d0f6bd738d7f1b3e5a7ca70fe4ff75f0.us-east-1.aws.found.io/app/kibana#/discover/Steve-Slow-Train-Analysis-(2080s-and-2083s)?_g=(refreshInterval:(display:Off,pause:!f,section:0,value:0),time:(from:'2018-01-08T18:25:19-0700',mode:absolute,to:'2018-01-08T20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8" s="247" t="str">
        <f>IF(AA198&lt;VLOOKUP(AG198,Variables!$AC$3:$AD$8,2,FALSE),"Y","N")</f>
        <v>Y</v>
      </c>
      <c r="X198" s="247">
        <f t="shared" si="64"/>
        <v>1</v>
      </c>
      <c r="Y198" s="247">
        <f t="shared" si="89"/>
        <v>5.8619000000000003</v>
      </c>
      <c r="Z198" s="247">
        <f t="shared" si="90"/>
        <v>0.45350000000000001</v>
      </c>
      <c r="AA198" s="247">
        <f t="shared" si="65"/>
        <v>5.4084000000000003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6"/>
        <v>840</v>
      </c>
      <c r="AE198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98" s="234" t="str">
        <f t="shared" si="68"/>
        <v>"C:\Program Files (x86)\AstroGrep\AstroGrep.exe" /e /r /s /spath="%USERPROFILE%\AppData\Local\Temp\OnboardLogs" /stypes="app*4063*20180109*" /stext=" 02:.+((SYSTEM_STATE.+slice.+state.+changed )|(ment ac)|(multiple cpu faults)|(system.+state.+changed )|(\[timeout)|(PRM\|1\|D)|(kpr)|(kdp)|(train st.+moving)|(\|lc)|(penalty))"</v>
      </c>
      <c r="AG198" s="244" t="str">
        <f t="shared" si="69"/>
        <v>NW</v>
      </c>
      <c r="AH198" s="236" t="str">
        <f t="shared" si="70"/>
        <v>"%USERPROFILE%\Documents\GitHub\eaglep3\Utilities\RefineRTDCRunTimes.py" --tripid 840-08 --locoid 4063 --swversion DE.1.0.9.0 --startMP 300:58619 --initTime 2018-01-08T19:25:19 --startdatetime 2018-01-08T19:42:20 --delay 64 --endMP 204:4535 --enddatetime 2018-01-08T19:53:19 --enforcementcount 0 &gt;&gt;%USERPROFILE%\Documents\GitHub\eaglep3-reporting\EC\2018-01-08-refined-times.txt</v>
      </c>
      <c r="AI19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{"issue":{"subject":"","project_id":79,"tracker_id":40,"status_id":1,"priority_id":2,"assigned_to_id":338,"start_date":"2018-01-08","description":"","custom_fields":[{"id":1,"name":"Subdivision","value":"NW"},{"id":4,"name":"Milepost","value":"0.4535"},{"id":17,"name":"Train ID","value":"840-08"},{"id":16,"name":"Locomotive ID","value":"4063"},{"id":130,"name":"Impact","value":""},{"id":150,"name":"Time of Event (Mountain Time)","value":"19:53:19"},{"id":151,"name":"Denver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72"/>
        <v>start /low /b %USERPROFILE%\Documents\GitHub\eaglep3\Utilities\DownloadLogsFromS3.py --loco 4063 --day 2018-01-08</v>
      </c>
      <c r="AN198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74"/>
        <v>https://d0f6bd738d7f1b3e5a7ca70fe4ff75f0.us-east-1.aws.found.io/app/kibana#/discover/Steve-Slow-Train-Analysis-(2080s-and-2083s)?_g=(refreshInterval:(display:Off,pause:!f,section:0,value:0),time:(from:'2018-01-08T18:25:19-0700',mode:absolute,to:'2018-01-08T20:53:19-0700'))&amp;_a=(columns:!('Message%20ID',Summary),filters:!(),index:'emp_*',interval:auto,query:(query_string:(analyze_wildcard:!t,query:'%22rtdc.l.rtdc.4063%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831</v>
      </c>
      <c r="B199" s="225">
        <v>4064</v>
      </c>
      <c r="C199" s="227" t="s">
        <v>191</v>
      </c>
      <c r="D199" s="227" t="s">
        <v>1061</v>
      </c>
      <c r="E199" s="226">
        <v>43108.790243055555</v>
      </c>
      <c r="F199" s="226">
        <v>43108.798090277778</v>
      </c>
      <c r="G199" s="225">
        <v>53</v>
      </c>
      <c r="H199" s="227" t="s">
        <v>1042</v>
      </c>
      <c r="I199" s="226">
        <v>43108.808321759258</v>
      </c>
      <c r="J199" s="225">
        <v>0</v>
      </c>
      <c r="K199" s="237" t="str">
        <f t="shared" si="59"/>
        <v>4063/4064</v>
      </c>
      <c r="L199" s="245" t="str">
        <f>VLOOKUP(A199,'Trips&amp;Operators'!$C$1:$G$99911,5,FALSE)</f>
        <v>LEVIN SCOTT</v>
      </c>
      <c r="M199" s="224">
        <f t="shared" si="60"/>
        <v>1.0231481479422655E-2</v>
      </c>
      <c r="N199" s="225">
        <f t="shared" si="91"/>
        <v>14.733333330368623</v>
      </c>
      <c r="O199" s="225"/>
      <c r="P199" s="225"/>
      <c r="Q199" s="228"/>
      <c r="R199" s="242"/>
      <c r="S199" s="249">
        <f t="shared" si="92"/>
        <v>1</v>
      </c>
      <c r="T199" s="242" t="str">
        <f t="shared" si="62"/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63"/>
        <v>https://d0f6bd738d7f1b3e5a7ca70fe4ff75f0.us-east-1.aws.found.io/app/kibana#/discover/Steve-Slow-Train-Analysis-(2080s-and-2083s)?_g=(refreshInterval:(display:Off,pause:!f,section:0,value:0),time:(from:'2018-01-08T17:57:57-0700',mode:absolute,to:'2018-01-08T20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9" s="247" t="str">
        <f>IF(AA199&lt;VLOOKUP(AG199,Variables!$AC$3:$AD$8,2,FALSE),"Y","N")</f>
        <v>N</v>
      </c>
      <c r="X199" s="247">
        <f t="shared" si="64"/>
        <v>1</v>
      </c>
      <c r="Y199" s="247">
        <f t="shared" si="89"/>
        <v>4.2099999999999999E-2</v>
      </c>
      <c r="Z199" s="247">
        <f t="shared" si="90"/>
        <v>5.8936999999999999</v>
      </c>
      <c r="AA199" s="247">
        <f t="shared" si="65"/>
        <v>5.8516000000000004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6"/>
        <v>841</v>
      </c>
      <c r="AE199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99" s="234" t="str">
        <f t="shared" si="68"/>
        <v>"C:\Program Files (x86)\AstroGrep\AstroGrep.exe" /e /r /s /spath="%USERPROFILE%\AppData\Local\Temp\OnboardLogs" /stypes="app*4064*20180109*" /stext=" 02:.+((SYSTEM_STATE.+slice.+state.+changed )|(ment ac)|(multiple cpu faults)|(system.+state.+changed )|(\[timeout)|(PRM\|1\|D)|(kpr)|(kdp)|(train st.+moving)|(\|lc)|(penalty))"</v>
      </c>
      <c r="AG199" s="244" t="str">
        <f t="shared" si="69"/>
        <v>NW</v>
      </c>
      <c r="AH199" s="236" t="str">
        <f t="shared" si="70"/>
        <v>"%USERPROFILE%\Documents\GitHub\eaglep3\Utilities\RefineRTDCRunTimes.py" --tripid 841-08 --locoid 4064 --swversion DE.1.0.9.0 --startMP 204:421 --initTime 2018-01-08T18:57:57 --startdatetime 2018-01-08T19:09:15 --delay 53 --endMP 300:58937 --enddatetime 2018-01-08T19:23:59 --enforcementcount 0 &gt;&gt;%USERPROFILE%\Documents\GitHub\eaglep3-reporting\EC\2018-01-08-refined-times.txt</v>
      </c>
      <c r="AI19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{"issue":{"subject":"","project_id":79,"tracker_id":40,"status_id":1,"priority_id":2,"assigned_to_id":338,"start_date":"2018-01-08","description":"","custom_fields":[{"id":1,"name":"Subdivision","value":"NW"},{"id":4,"name":"Milepost","value":"5.8937"},{"id":17,"name":"Train ID","value":"841-08"},{"id":16,"name":"Locomotive ID","value":"4064"},{"id":130,"name":"Impact","value":""},{"id":150,"name":"Time of Event (Mountain Time)","value":"19:23:59"},{"id":151,"name":"Denver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72"/>
        <v>start /low /b %USERPROFILE%\Documents\GitHub\eaglep3\Utilities\DownloadLogsFromS3.py --loco 4064 --day 2018-01-08</v>
      </c>
      <c r="AN199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74"/>
        <v>https://d0f6bd738d7f1b3e5a7ca70fe4ff75f0.us-east-1.aws.found.io/app/kibana#/discover/Steve-Slow-Train-Analysis-(2080s-and-2083s)?_g=(refreshInterval:(display:Off,pause:!f,section:0,value:0),time:(from:'2018-01-08T17:57:57-0700',mode:absolute,to:'2018-01-08T20:23:59-0700'))&amp;_a=(columns:!('Message%20ID',Summary),filters:!(),index:'emp_*',interval:auto,query:(query_string:(analyze_wildcard:!t,query:'%22rtdc.l.rtdc.4064%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840</v>
      </c>
      <c r="B200" s="225">
        <v>4063</v>
      </c>
      <c r="C200" s="227" t="s">
        <v>191</v>
      </c>
      <c r="D200" s="227" t="s">
        <v>1055</v>
      </c>
      <c r="E200" s="226">
        <v>43108.850844907407</v>
      </c>
      <c r="F200" s="226">
        <v>43108.863240740742</v>
      </c>
      <c r="G200" s="225">
        <v>67</v>
      </c>
      <c r="H200" s="227" t="s">
        <v>1062</v>
      </c>
      <c r="I200" s="226">
        <v>43108.871782407405</v>
      </c>
      <c r="J200" s="225">
        <v>0</v>
      </c>
      <c r="K200" s="237" t="str">
        <f t="shared" si="59"/>
        <v>4063/4064</v>
      </c>
      <c r="L200" s="245" t="str">
        <f>VLOOKUP(A200,'Trips&amp;Operators'!$C$1:$G$99911,5,FALSE)</f>
        <v>LEVIN SCOTT</v>
      </c>
      <c r="M200" s="224">
        <f t="shared" si="60"/>
        <v>8.5416666624951176E-3</v>
      </c>
      <c r="N200" s="225">
        <f t="shared" si="91"/>
        <v>12.299999993992969</v>
      </c>
      <c r="O200" s="225"/>
      <c r="P200" s="225"/>
      <c r="Q200" s="228"/>
      <c r="R200" s="242"/>
      <c r="S200" s="249">
        <f t="shared" si="92"/>
        <v>1</v>
      </c>
      <c r="T200" s="242" t="str">
        <f t="shared" si="62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63"/>
        <v>https://d0f6bd738d7f1b3e5a7ca70fe4ff75f0.us-east-1.aws.found.io/app/kibana#/discover/Steve-Slow-Train-Analysis-(2080s-and-2083s)?_g=(refreshInterval:(display:Off,pause:!f,section:0,value:0),time:(from:'2018-01-08T19:25:13-0700',mode:absolute,to:'2018-01-08T21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0" s="247" t="str">
        <f>IF(AA200&lt;VLOOKUP(AG200,Variables!$AC$3:$AD$8,2,FALSE),"Y","N")</f>
        <v>N</v>
      </c>
      <c r="X200" s="247">
        <f t="shared" si="64"/>
        <v>1</v>
      </c>
      <c r="Y200" s="247">
        <f t="shared" si="89"/>
        <v>5.8616999999999999</v>
      </c>
      <c r="Z200" s="247">
        <f t="shared" si="90"/>
        <v>1.4E-2</v>
      </c>
      <c r="AA200" s="247">
        <f t="shared" si="65"/>
        <v>5.8476999999999997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6"/>
        <v>842</v>
      </c>
      <c r="AE200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200" s="234" t="str">
        <f t="shared" si="68"/>
        <v>"C:\Program Files (x86)\AstroGrep\AstroGrep.exe" /e /r /s /spath="%USERPROFILE%\AppData\Local\Temp\OnboardLogs" /stypes="app*4063*20180109*" /stext=" 03:.+((SYSTEM_STATE.+slice.+state.+changed )|(ment ac)|(multiple cpu faults)|(system.+state.+changed )|(\[timeout)|(PRM\|1\|D)|(kpr)|(kdp)|(train st.+moving)|(\|lc)|(penalty))"</v>
      </c>
      <c r="AG200" s="244" t="str">
        <f t="shared" si="69"/>
        <v>NW</v>
      </c>
      <c r="AH200" s="236" t="str">
        <f t="shared" si="70"/>
        <v>"%USERPROFILE%\Documents\GitHub\eaglep3\Utilities\RefineRTDCRunTimes.py" --tripid 842-08 --locoid 4063 --swversion DE.1.0.9.0 --startMP 300:58617 --initTime 2018-01-08T20:25:13 --startdatetime 2018-01-08T20:43:04 --delay 67 --endMP 204:140 --enddatetime 2018-01-08T20:55:22 --enforcementcount 0 &gt;&gt;%USERPROFILE%\Documents\GitHub\eaglep3-reporting\EC\2018-01-08-refined-times.txt</v>
      </c>
      <c r="AI20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{"issue":{"subject":"","project_id":79,"tracker_id":40,"status_id":1,"priority_id":2,"assigned_to_id":338,"start_date":"2018-01-08","description":"","custom_fields":[{"id":1,"name":"Subdivision","value":"NW"},{"id":4,"name":"Milepost","value":"0.014"},{"id":17,"name":"Train ID","value":"842-08"},{"id":16,"name":"Locomotive ID","value":"4063"},{"id":130,"name":"Impact","value":""},{"id":150,"name":"Time of Event (Mountain Time)","value":"20:55:22"},{"id":151,"name":"Denver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72"/>
        <v>start /low /b %USERPROFILE%\Documents\GitHub\eaglep3\Utilities\DownloadLogsFromS3.py --loco 4063 --day 2018-01-08</v>
      </c>
      <c r="AN200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74"/>
        <v>https://d0f6bd738d7f1b3e5a7ca70fe4ff75f0.us-east-1.aws.found.io/app/kibana#/discover/Steve-Slow-Train-Analysis-(2080s-and-2083s)?_g=(refreshInterval:(display:Off,pause:!f,section:0,value:0),time:(from:'2018-01-08T19:25:13-0700',mode:absolute,to:'2018-01-08T21:55:22-0700'))&amp;_a=(columns:!('Message%20ID',Summary),filters:!(),index:'emp_*',interval:auto,query:(query_string:(analyze_wildcard:!t,query:'%22rtdc.l.rtdc.4063%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837</v>
      </c>
      <c r="B201" s="225">
        <v>4064</v>
      </c>
      <c r="C201" s="227" t="s">
        <v>191</v>
      </c>
      <c r="D201" s="227" t="s">
        <v>1063</v>
      </c>
      <c r="E201" s="226">
        <v>43108.832592592589</v>
      </c>
      <c r="F201" s="226">
        <v>43108.839814814812</v>
      </c>
      <c r="G201" s="225">
        <v>56</v>
      </c>
      <c r="H201" s="227" t="s">
        <v>1032</v>
      </c>
      <c r="I201" s="226">
        <v>43108.849861111114</v>
      </c>
      <c r="J201" s="225">
        <v>0</v>
      </c>
      <c r="K201" s="237" t="str">
        <f t="shared" si="59"/>
        <v>4063/4064</v>
      </c>
      <c r="L201" s="245" t="str">
        <f>VLOOKUP(A201,'Trips&amp;Operators'!$C$1:$G$99911,5,FALSE)</f>
        <v>LEVIN SCOTT</v>
      </c>
      <c r="M201" s="224">
        <f t="shared" si="60"/>
        <v>1.004629630187992E-2</v>
      </c>
      <c r="N201" s="225">
        <f t="shared" si="91"/>
        <v>14.466666674707085</v>
      </c>
      <c r="O201" s="225"/>
      <c r="P201" s="225"/>
      <c r="Q201" s="228"/>
      <c r="R201" s="242"/>
      <c r="S201" s="249">
        <f t="shared" si="92"/>
        <v>1</v>
      </c>
      <c r="T201" s="242" t="str">
        <f t="shared" si="62"/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63"/>
        <v>https://d0f6bd738d7f1b3e5a7ca70fe4ff75f0.us-east-1.aws.found.io/app/kibana#/discover/Steve-Slow-Train-Analysis-(2080s-and-2083s)?_g=(refreshInterval:(display:Off,pause:!f,section:0,value:0),time:(from:'2018-01-08T18:58:56-0700',mode:absolute,to:'2018-01-08T21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1" s="247" t="str">
        <f>IF(AA201&lt;VLOOKUP(AG201,Variables!$AC$3:$AD$8,2,FALSE),"Y","N")</f>
        <v>N</v>
      </c>
      <c r="X201" s="247">
        <f t="shared" si="64"/>
        <v>1</v>
      </c>
      <c r="Y201" s="247">
        <f t="shared" si="89"/>
        <v>4.2299999999999997E-2</v>
      </c>
      <c r="Z201" s="247">
        <f t="shared" si="90"/>
        <v>5.8929</v>
      </c>
      <c r="AA201" s="247">
        <f t="shared" si="65"/>
        <v>5.8506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6"/>
        <v>843</v>
      </c>
      <c r="AE20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201" s="234" t="str">
        <f t="shared" si="68"/>
        <v>"C:\Program Files (x86)\AstroGrep\AstroGrep.exe" /e /r /s /spath="%USERPROFILE%\AppData\Local\Temp\OnboardLogs" /stypes="app*4064*20180109*" /stext=" 03:.+((SYSTEM_STATE.+slice.+state.+changed )|(ment ac)|(multiple cpu faults)|(system.+state.+changed )|(\[timeout)|(PRM\|1\|D)|(kpr)|(kdp)|(train st.+moving)|(\|lc)|(penalty))"</v>
      </c>
      <c r="AG201" s="244" t="str">
        <f t="shared" si="69"/>
        <v>NW</v>
      </c>
      <c r="AH201" s="236" t="str">
        <f t="shared" si="70"/>
        <v>"%USERPROFILE%\Documents\GitHub\eaglep3\Utilities\RefineRTDCRunTimes.py" --tripid 843-08 --locoid 4064 --swversion DE.1.0.9.0 --startMP 204:423 --initTime 2018-01-08T19:58:56 --startdatetime 2018-01-08T20:09:20 --delay 56 --endMP 300:58929 --enddatetime 2018-01-08T20:23:48 --enforcementcount 0 &gt;&gt;%USERPROFILE%\Documents\GitHub\eaglep3-reporting\EC\2018-01-08-refined-times.txt</v>
      </c>
      <c r="AI20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{"issue":{"subject":"","project_id":79,"tracker_id":40,"status_id":1,"priority_id":2,"assigned_to_id":338,"start_date":"2018-01-08","description":"","custom_fields":[{"id":1,"name":"Subdivision","value":"NW"},{"id":4,"name":"Milepost","value":"5.8929"},{"id":17,"name":"Train ID","value":"843-08"},{"id":16,"name":"Locomotive ID","value":"4064"},{"id":130,"name":"Impact","value":""},{"id":150,"name":"Time of Event (Mountain Time)","value":"20:23:48"},{"id":151,"name":"Denver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72"/>
        <v>start /low /b %USERPROFILE%\Documents\GitHub\eaglep3\Utilities\DownloadLogsFromS3.py --loco 4064 --day 2018-01-08</v>
      </c>
      <c r="AN201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74"/>
        <v>https://d0f6bd738d7f1b3e5a7ca70fe4ff75f0.us-east-1.aws.found.io/app/kibana#/discover/Steve-Slow-Train-Analysis-(2080s-and-2083s)?_g=(refreshInterval:(display:Off,pause:!f,section:0,value:0),time:(from:'2018-01-08T18:58:56-0700',mode:absolute,to:'2018-01-08T21:23:48-0700'))&amp;_a=(columns:!('Message%20ID',Summary),filters:!(),index:'emp_*',interval:auto,query:(query_string:(analyze_wildcard:!t,query:'%22rtdc.l.rtdc.4064%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846</v>
      </c>
      <c r="B202" s="225">
        <v>4063</v>
      </c>
      <c r="C202" s="227" t="s">
        <v>191</v>
      </c>
      <c r="D202" s="227" t="s">
        <v>1058</v>
      </c>
      <c r="E202" s="226">
        <v>43108.892175925925</v>
      </c>
      <c r="F202" s="226">
        <v>43108.904050925928</v>
      </c>
      <c r="G202" s="225">
        <v>91</v>
      </c>
      <c r="H202" s="227" t="s">
        <v>1064</v>
      </c>
      <c r="I202" s="226">
        <v>43108.912870370368</v>
      </c>
      <c r="J202" s="225">
        <v>0</v>
      </c>
      <c r="K202" s="237" t="str">
        <f t="shared" si="59"/>
        <v>4063/4064</v>
      </c>
      <c r="L202" s="245" t="str">
        <f>VLOOKUP(A202,'Trips&amp;Operators'!$C$1:$G$99911,5,FALSE)</f>
        <v>AUSTIN THOMPSON</v>
      </c>
      <c r="M202" s="224">
        <f t="shared" si="60"/>
        <v>8.8194444397231564E-3</v>
      </c>
      <c r="N202" s="225">
        <f t="shared" si="91"/>
        <v>12.699999993201345</v>
      </c>
      <c r="O202" s="225"/>
      <c r="P202" s="225"/>
      <c r="Q202" s="228"/>
      <c r="R202" s="242"/>
      <c r="S202" s="249">
        <f t="shared" si="92"/>
        <v>1</v>
      </c>
      <c r="T202" s="242" t="str">
        <f t="shared" si="62"/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63"/>
        <v>https://d0f6bd738d7f1b3e5a7ca70fe4ff75f0.us-east-1.aws.found.io/app/kibana#/discover/Steve-Slow-Train-Analysis-(2080s-and-2083s)?_g=(refreshInterval:(display:Off,pause:!f,section:0,value:0),time:(from:'2018-01-08T20:24:44-0700',mode:absolute,to:'2018-01-08T22:54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2" s="247" t="str">
        <f>IF(AA202&lt;VLOOKUP(AG202,Variables!$AC$3:$AD$8,2,FALSE),"Y","N")</f>
        <v>N</v>
      </c>
      <c r="X202" s="247">
        <f t="shared" si="64"/>
        <v>1</v>
      </c>
      <c r="Y202" s="247">
        <f t="shared" si="89"/>
        <v>5.8613</v>
      </c>
      <c r="Z202" s="247">
        <f t="shared" si="90"/>
        <v>1.5699999999999999E-2</v>
      </c>
      <c r="AA202" s="247">
        <f t="shared" si="65"/>
        <v>5.8456000000000001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6"/>
        <v>844</v>
      </c>
      <c r="AE20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202" s="234" t="str">
        <f t="shared" si="68"/>
        <v>"C:\Program Files (x86)\AstroGrep\AstroGrep.exe" /e /r /s /spath="%USERPROFILE%\AppData\Local\Temp\OnboardLogs" /stypes="app*4063*20180109*" /stext=" 04:.+((SYSTEM_STATE.+slice.+state.+changed )|(ment ac)|(multiple cpu faults)|(system.+state.+changed )|(\[timeout)|(PRM\|1\|D)|(kpr)|(kdp)|(train st.+moving)|(\|lc)|(penalty))"</v>
      </c>
      <c r="AG202" s="244" t="str">
        <f t="shared" si="69"/>
        <v>NW</v>
      </c>
      <c r="AH202" s="236" t="str">
        <f t="shared" si="70"/>
        <v>"%USERPROFILE%\Documents\GitHub\eaglep3\Utilities\RefineRTDCRunTimes.py" --tripid 844-08 --locoid 4063 --swversion DE.1.0.9.0 --startMP 300:58613 --initTime 2018-01-08T21:24:44 --startdatetime 2018-01-08T21:41:50 --delay 91 --endMP 204:157 --enddatetime 2018-01-08T21:54:32 --enforcementcount 0 &gt;&gt;%USERPROFILE%\Documents\GitHub\eaglep3-reporting\EC\2018-01-08-refined-times.txt</v>
      </c>
      <c r="AI20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{"issue":{"subject":"","project_id":79,"tracker_id":40,"status_id":1,"priority_id":2,"assigned_to_id":338,"start_date":"2018-01-08","description":"","custom_fields":[{"id":1,"name":"Subdivision","value":"NW"},{"id":4,"name":"Milepost","value":"0.0157"},{"id":17,"name":"Train ID","value":"844-08"},{"id":16,"name":"Locomotive ID","value":"4063"},{"id":130,"name":"Impact","value":""},{"id":150,"name":"Time of Event (Mountain Time)","value":"21:54:32"},{"id":151,"name":"Denver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72"/>
        <v>start /low /b %USERPROFILE%\Documents\GitHub\eaglep3\Utilities\DownloadLogsFromS3.py --loco 4063 --day 2018-01-08</v>
      </c>
      <c r="AN202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74"/>
        <v>https://d0f6bd738d7f1b3e5a7ca70fe4ff75f0.us-east-1.aws.found.io/app/kibana#/discover/Steve-Slow-Train-Analysis-(2080s-and-2083s)?_g=(refreshInterval:(display:Off,pause:!f,section:0,value:0),time:(from:'2018-01-08T20:24:44-0700',mode:absolute,to:'2018-01-08T22:54:32-0700'))&amp;_a=(columns:!('Message%20ID',Summary),filters:!(),index:'emp_*',interval:auto,query:(query_string:(analyze_wildcard:!t,query:'%22rtdc.l.rtdc.4063%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843</v>
      </c>
      <c r="B203" s="225">
        <v>4064</v>
      </c>
      <c r="C203" s="227" t="s">
        <v>191</v>
      </c>
      <c r="D203" s="227" t="s">
        <v>1054</v>
      </c>
      <c r="E203" s="226">
        <v>43108.877789351849</v>
      </c>
      <c r="F203" s="226">
        <v>43108.881423611114</v>
      </c>
      <c r="G203" s="225">
        <v>67</v>
      </c>
      <c r="H203" s="227" t="s">
        <v>1028</v>
      </c>
      <c r="I203" s="226">
        <v>43108.891087962962</v>
      </c>
      <c r="J203" s="225">
        <v>0</v>
      </c>
      <c r="K203" s="237" t="str">
        <f t="shared" si="59"/>
        <v>4063/4064</v>
      </c>
      <c r="L203" s="245" t="str">
        <f>VLOOKUP(A203,'Trips&amp;Operators'!$C$1:$G$99911,5,FALSE)</f>
        <v>STAMBAUGH JAMES</v>
      </c>
      <c r="M203" s="224">
        <f t="shared" si="60"/>
        <v>9.6643518481869251E-3</v>
      </c>
      <c r="N203" s="225">
        <f t="shared" si="91"/>
        <v>13.916666661389172</v>
      </c>
      <c r="O203" s="225"/>
      <c r="P203" s="225"/>
      <c r="Q203" s="228"/>
      <c r="R203" s="242"/>
      <c r="S203" s="249">
        <f t="shared" si="92"/>
        <v>1</v>
      </c>
      <c r="T203" s="242" t="str">
        <f t="shared" si="62"/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63"/>
        <v>https://d0f6bd738d7f1b3e5a7ca70fe4ff75f0.us-east-1.aws.found.io/app/kibana#/discover/Steve-Slow-Train-Analysis-(2080s-and-2083s)?_g=(refreshInterval:(display:Off,pause:!f,section:0,value:0),time:(from:'2018-01-08T20:04:01-0700',mode:absolute,to:'2018-01-08T22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3" s="247" t="str">
        <f>IF(AA203&lt;VLOOKUP(AG203,Variables!$AC$3:$AD$8,2,FALSE),"Y","N")</f>
        <v>N</v>
      </c>
      <c r="X203" s="247">
        <f t="shared" si="64"/>
        <v>1</v>
      </c>
      <c r="Y203" s="247">
        <f t="shared" si="89"/>
        <v>4.4200000000000003E-2</v>
      </c>
      <c r="Z203" s="247">
        <f t="shared" si="90"/>
        <v>5.8928000000000003</v>
      </c>
      <c r="AA203" s="247">
        <f t="shared" si="65"/>
        <v>5.8486000000000002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6"/>
        <v>845</v>
      </c>
      <c r="AE203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203" s="234" t="str">
        <f t="shared" si="68"/>
        <v>"C:\Program Files (x86)\AstroGrep\AstroGrep.exe" /e /r /s /spath="%USERPROFILE%\AppData\Local\Temp\OnboardLogs" /stypes="app*4064*20180109*" /stext=" 04:.+((SYSTEM_STATE.+slice.+state.+changed )|(ment ac)|(multiple cpu faults)|(system.+state.+changed )|(\[timeout)|(PRM\|1\|D)|(kpr)|(kdp)|(train st.+moving)|(\|lc)|(penalty))"</v>
      </c>
      <c r="AG203" s="244" t="str">
        <f t="shared" si="69"/>
        <v>NW</v>
      </c>
      <c r="AH203" s="236" t="str">
        <f t="shared" si="70"/>
        <v>"%USERPROFILE%\Documents\GitHub\eaglep3\Utilities\RefineRTDCRunTimes.py" --tripid 845-08 --locoid 4064 --swversion DE.1.0.9.0 --startMP 204:442 --initTime 2018-01-08T21:04:01 --startdatetime 2018-01-08T21:09:15 --delay 67 --endMP 300:58928 --enddatetime 2018-01-08T21:23:10 --enforcementcount 0 &gt;&gt;%USERPROFILE%\Documents\GitHub\eaglep3-reporting\EC\2018-01-08-refined-times.txt</v>
      </c>
      <c r="AI20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{"issue":{"subject":"","project_id":79,"tracker_id":40,"status_id":1,"priority_id":2,"assigned_to_id":338,"start_date":"2018-01-08","description":"","custom_fields":[{"id":1,"name":"Subdivision","value":"NW"},{"id":4,"name":"Milepost","value":"5.8928"},{"id":17,"name":"Train ID","value":"845-08"},{"id":16,"name":"Locomotive ID","value":"4064"},{"id":130,"name":"Impact","value":""},{"id":150,"name":"Time of Event (Mountain Time)","value":"21:23:10"},{"id":151,"name":"Denver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72"/>
        <v>start /low /b %USERPROFILE%\Documents\GitHub\eaglep3\Utilities\DownloadLogsFromS3.py --loco 4064 --day 2018-01-08</v>
      </c>
      <c r="AN203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74"/>
        <v>https://d0f6bd738d7f1b3e5a7ca70fe4ff75f0.us-east-1.aws.found.io/app/kibana#/discover/Steve-Slow-Train-Analysis-(2080s-and-2083s)?_g=(refreshInterval:(display:Off,pause:!f,section:0,value:0),time:(from:'2018-01-08T20:04:01-0700',mode:absolute,to:'2018-01-08T22:23:10-0700'))&amp;_a=(columns:!('Message%20ID',Summary),filters:!(),index:'emp_*',interval:auto,query:(query_string:(analyze_wildcard:!t,query:'%22rtdc.l.rtdc.4064%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851</v>
      </c>
      <c r="B204" s="225">
        <v>4063</v>
      </c>
      <c r="C204" s="227" t="s">
        <v>191</v>
      </c>
      <c r="D204" s="227" t="s">
        <v>1058</v>
      </c>
      <c r="E204" s="226">
        <v>43108.934247685182</v>
      </c>
      <c r="F204" s="226">
        <v>43108.946087962962</v>
      </c>
      <c r="G204" s="225">
        <v>97</v>
      </c>
      <c r="H204" s="227" t="s">
        <v>505</v>
      </c>
      <c r="I204" s="226">
        <v>43108.954791666663</v>
      </c>
      <c r="J204" s="225">
        <v>0</v>
      </c>
      <c r="K204" s="237" t="str">
        <f t="shared" si="59"/>
        <v>4063/4064</v>
      </c>
      <c r="L204" s="245" t="str">
        <f>VLOOKUP(A204,'Trips&amp;Operators'!$C$1:$G$99911,5,FALSE)</f>
        <v>STAMBAUGH JAMES</v>
      </c>
      <c r="M204" s="224">
        <f t="shared" si="60"/>
        <v>8.703703701030463E-3</v>
      </c>
      <c r="N204" s="225">
        <f t="shared" si="91"/>
        <v>12.533333329483867</v>
      </c>
      <c r="O204" s="225"/>
      <c r="P204" s="225"/>
      <c r="Q204" s="228"/>
      <c r="R204" s="242"/>
      <c r="S204" s="249">
        <f t="shared" si="92"/>
        <v>1</v>
      </c>
      <c r="T204" s="242" t="str">
        <f t="shared" si="62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63"/>
        <v>https://d0f6bd738d7f1b3e5a7ca70fe4ff75f0.us-east-1.aws.found.io/app/kibana#/discover/Steve-Slow-Train-Analysis-(2080s-and-2083s)?_g=(refreshInterval:(display:Off,pause:!f,section:0,value:0),time:(from:'2018-01-08T21:25:19-0700',mode:absolute,to:'2018-01-08T23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4" s="247" t="str">
        <f>IF(AA204&lt;VLOOKUP(AG204,Variables!$AC$3:$AD$8,2,FALSE),"Y","N")</f>
        <v>N</v>
      </c>
      <c r="X204" s="247">
        <f t="shared" si="64"/>
        <v>1</v>
      </c>
      <c r="Y204" s="247">
        <f t="shared" si="89"/>
        <v>5.8613</v>
      </c>
      <c r="Z204" s="247">
        <f t="shared" si="90"/>
        <v>1.49E-2</v>
      </c>
      <c r="AA204" s="247">
        <f t="shared" si="65"/>
        <v>5.8464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6"/>
        <v>846</v>
      </c>
      <c r="AE204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204" s="234" t="str">
        <f t="shared" si="68"/>
        <v>"C:\Program Files (x86)\AstroGrep\AstroGrep.exe" /e /r /s /spath="%USERPROFILE%\AppData\Local\Temp\OnboardLogs" /stypes="app*4063*20180109*" /stext=" 05:.+((SYSTEM_STATE.+slice.+state.+changed )|(ment ac)|(multiple cpu faults)|(system.+state.+changed )|(\[timeout)|(PRM\|1\|D)|(kpr)|(kdp)|(train st.+moving)|(\|lc)|(penalty))"</v>
      </c>
      <c r="AG204" s="244" t="str">
        <f t="shared" si="69"/>
        <v>NW</v>
      </c>
      <c r="AH204" s="236" t="str">
        <f t="shared" si="70"/>
        <v>"%USERPROFILE%\Documents\GitHub\eaglep3\Utilities\RefineRTDCRunTimes.py" --tripid 846-08 --locoid 4063 --swversion DE.1.0.9.0 --startMP 300:58613 --initTime 2018-01-08T22:25:19 --startdatetime 2018-01-08T22:42:22 --delay 97 --endMP 204:149 --enddatetime 2018-01-08T22:54:54 --enforcementcount 0 &gt;&gt;%USERPROFILE%\Documents\GitHub\eaglep3-reporting\EC\2018-01-08-refined-times.txt</v>
      </c>
      <c r="AI20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{"issue":{"subject":"","project_id":79,"tracker_id":40,"status_id":1,"priority_id":2,"assigned_to_id":338,"start_date":"2018-01-08","description":"","custom_fields":[{"id":1,"name":"Subdivision","value":"NW"},{"id":4,"name":"Milepost","value":"0.0149"},{"id":17,"name":"Train ID","value":"846-08"},{"id":16,"name":"Locomotive ID","value":"4063"},{"id":130,"name":"Impact","value":""},{"id":150,"name":"Time of Event (Mountain Time)","value":"22:54:54"},{"id":151,"name":"Denver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72"/>
        <v>start /low /b %USERPROFILE%\Documents\GitHub\eaglep3\Utilities\DownloadLogsFromS3.py --loco 4063 --day 2018-01-08</v>
      </c>
      <c r="AN204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74"/>
        <v>https://d0f6bd738d7f1b3e5a7ca70fe4ff75f0.us-east-1.aws.found.io/app/kibana#/discover/Steve-Slow-Train-Analysis-(2080s-and-2083s)?_g=(refreshInterval:(display:Off,pause:!f,section:0,value:0),time:(from:'2018-01-08T21:25:19-0700',mode:absolute,to:'2018-01-08T23:54:54-0700'))&amp;_a=(columns:!('Message%20ID',Summary),filters:!(),index:'emp_*',interval:auto,query:(query_string:(analyze_wildcard:!t,query:'%22rtdc.l.rtdc.4063%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848</v>
      </c>
      <c r="B205" s="225">
        <v>4064</v>
      </c>
      <c r="C205" s="227" t="s">
        <v>191</v>
      </c>
      <c r="D205" s="227" t="s">
        <v>1058</v>
      </c>
      <c r="E205" s="226">
        <v>43108.934247685182</v>
      </c>
      <c r="F205" s="226">
        <v>43108.923229166663</v>
      </c>
      <c r="G205" s="225">
        <v>97</v>
      </c>
      <c r="H205" s="227" t="s">
        <v>505</v>
      </c>
      <c r="I205" s="226">
        <v>43108.93241898148</v>
      </c>
      <c r="J205" s="225">
        <v>0</v>
      </c>
      <c r="K205" s="237" t="str">
        <f t="shared" ref="K205:K250" si="93">IF(ISEVEN(B205),(B205-1)&amp;"/"&amp;B205,B205&amp;"/"&amp;(B205+1))</f>
        <v>4063/4064</v>
      </c>
      <c r="L205" s="245" t="str">
        <f>VLOOKUP(A205,'Trips&amp;Operators'!$C$1:$G$99911,5,FALSE)</f>
        <v>STAMBAUGH JAMES</v>
      </c>
      <c r="M205" s="224">
        <f t="shared" ref="M205:M250" si="94">I205-F205</f>
        <v>9.189814816636499E-3</v>
      </c>
      <c r="N205" s="225">
        <f t="shared" si="91"/>
        <v>13.233333335956559</v>
      </c>
      <c r="O205" s="225"/>
      <c r="P205" s="225"/>
      <c r="Q205" s="228"/>
      <c r="R205" s="242"/>
      <c r="S205" s="249">
        <f t="shared" si="92"/>
        <v>1</v>
      </c>
      <c r="T205" s="242" t="str">
        <f t="shared" ref="T205:T250" si="95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50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-08T21:25:19-0700',mode:absolute,to:'2018-01-08T23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5" s="247" t="str">
        <f>IF(AA205&lt;VLOOKUP(AG205,Variables!$AC$3:$AD$8,2,FALSE),"Y","N")</f>
        <v>N</v>
      </c>
      <c r="X205" s="247">
        <f t="shared" ref="X205:X250" si="97">VALUE(LEFT(AD205,4))-VALUE(LEFT(AD204,4))</f>
        <v>1</v>
      </c>
      <c r="Y205" s="247">
        <v>7.0699999999999999E-2</v>
      </c>
      <c r="Z205" s="247">
        <v>5.8924000000000003</v>
      </c>
      <c r="AA205" s="247">
        <f t="shared" ref="AA205:AA250" si="98">ABS(Z205-Y205)</f>
        <v>5.8216999999999999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50" si="99">VALUE(LEFT(A205,LEN(A205)-3))</f>
        <v>847</v>
      </c>
      <c r="AE205" s="235" t="str">
        <f t="shared" ref="AE205:AE250" si="10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205" s="234" t="str">
        <f t="shared" ref="AF205:AF250" si="10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/stypes="app*4064*20180109*" /stext=" 05:.+((SYSTEM_STATE.+slice.+state.+changed )|(ment ac)|(multiple cpu faults)|(system.+state.+changed )|(\[timeout)|(PRM\|1\|D)|(kpr)|(kdp)|(train st.+moving)|(\|lc)|(penalty))"</v>
      </c>
      <c r="AG205" s="244" t="str">
        <f t="shared" ref="AG205:AG250" si="102">DetSubdiv(A205)</f>
        <v>NW</v>
      </c>
      <c r="AH205" s="236" t="str">
        <f t="shared" ref="AH205" si="10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847-08 --locoid 4064 --swversion DE.1.0.9.0 --startMP 300:58613 --initTime 2018-01-08T22:25:19 --startdatetime 2018-01-08T22:09:27 --delay 97 --endMP 204:149 --enddatetime 2018-01-08T22:22:41 --enforcementcount 0 &gt;&gt;%USERPROFILE%\Documents\GitHub\eaglep3-reporting\EC\2018-01-08-refined-times.txt</v>
      </c>
      <c r="AI205" s="238" t="str">
        <f t="shared" ref="AI205" si="10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{"issue":{"subject":"","project_id":79,"tracker_id":40,"status_id":1,"priority_id":2,"assigned_to_id":338,"start_date":"2018-01-08","description":"","custom_fields":[{"id":1,"name":"Subdivision","value":"NW"},{"id":4,"name":"Milepost","value":"5.8924"},{"id":17,"name":"Train ID","value":"847-08"},{"id":16,"name":"Locomotive ID","value":"4064"},{"id":130,"name":"Impact","value":""},{"id":150,"name":"Time of Event (Mountain Time)","value":"22:22:41"},{"id":151,"name":"Denver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ref="AM205" si="105">"start /low /b "&amp;dls3logs&amp;" --loco "&amp;B205&amp;" --day "&amp;TEXT(F205,"YYYY-MM-DD")</f>
        <v>start /low /b %USERPROFILE%\Documents\GitHub\eaglep3\Utilities\DownloadLogsFromS3.py --loco 4064 --day 2018-01-08</v>
      </c>
      <c r="AN205" s="241" t="str">
        <f t="shared" ref="AN205" si="106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ref="AO205" si="10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-08T21:25:19-0700',mode:absolute,to:'2018-01-08T23:22:41-0700'))&amp;_a=(columns:!('Message%20ID',Summary),filters:!(),index:'emp_*',interval:auto,query:(query_string:(analyze_wildcard:!t,query:'%22rtdc.l.rtdc.4064%22')),sort:!(Time.ISO8601,asc))</v>
      </c>
    </row>
    <row r="206" spans="1:91" s="223" customFormat="1" x14ac:dyDescent="0.3">
      <c r="A206" s="229" t="s">
        <v>641</v>
      </c>
      <c r="B206" s="225">
        <v>4064</v>
      </c>
      <c r="C206" s="227" t="s">
        <v>191</v>
      </c>
      <c r="D206" s="227" t="s">
        <v>511</v>
      </c>
      <c r="E206" s="226">
        <v>43108.956076388888</v>
      </c>
      <c r="F206" s="226">
        <v>43108.964745370373</v>
      </c>
      <c r="G206" s="225">
        <v>74</v>
      </c>
      <c r="H206" s="227" t="s">
        <v>1065</v>
      </c>
      <c r="I206" s="226">
        <v>43108.97378472222</v>
      </c>
      <c r="J206" s="225">
        <v>0</v>
      </c>
      <c r="K206" s="237" t="str">
        <f t="shared" si="93"/>
        <v>4063/4064</v>
      </c>
      <c r="L206" s="245" t="str">
        <f>VLOOKUP(A206,'Trips&amp;Operators'!$C$1:$G$99911,5,FALSE)</f>
        <v>STAMBAUGH JAMES</v>
      </c>
      <c r="M206" s="224">
        <f t="shared" si="94"/>
        <v>9.0393518476048484E-3</v>
      </c>
      <c r="N206" s="225">
        <f t="shared" si="91"/>
        <v>13.016666660550982</v>
      </c>
      <c r="O206" s="225"/>
      <c r="P206" s="225"/>
      <c r="Q206" s="228"/>
      <c r="R206" s="242"/>
      <c r="S206" s="249">
        <f t="shared" si="92"/>
        <v>1</v>
      </c>
      <c r="T206" s="242" t="str">
        <f t="shared" si="95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96"/>
        <v>https://d0f6bd738d7f1b3e5a7ca70fe4ff75f0.us-east-1.aws.found.io/app/kibana#/discover/Steve-Slow-Train-Analysis-(2080s-and-2083s)?_g=(refreshInterval:(display:Off,pause:!f,section:0,value:0),time:(from:'2018-01-08T21:56:45-0700',mode:absolute,to:'2018-01-09T00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6" s="247" t="str">
        <f>IF(AA206&lt;VLOOKUP(AG206,Variables!$AC$3:$AD$8,2,FALSE),"Y","N")</f>
        <v>N</v>
      </c>
      <c r="X206" s="247">
        <f t="shared" si="97"/>
        <v>2</v>
      </c>
      <c r="Y206" s="247">
        <f t="shared" ref="Y206:Y250" si="108">RIGHT(D206,LEN(D206)-4)/10000</f>
        <v>4.5499999999999999E-2</v>
      </c>
      <c r="Z206" s="247">
        <f t="shared" ref="Z206:Z250" si="109">RIGHT(H206,LEN(H206)-4)/10000</f>
        <v>5.8930999999999996</v>
      </c>
      <c r="AA206" s="247">
        <f t="shared" si="98"/>
        <v>5.8475999999999999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99"/>
        <v>849</v>
      </c>
      <c r="AE206" s="235" t="str">
        <f t="shared" si="100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206" s="234" t="str">
        <f t="shared" si="101"/>
        <v>"C:\Program Files (x86)\AstroGrep\AstroGrep.exe" /e /r /s /spath="%USERPROFILE%\AppData\Local\Temp\OnboardLogs" /stypes="app*4064*20180109*" /stext=" 06:.+((SYSTEM_STATE.+slice.+state.+changed )|(ment ac)|(multiple cpu faults)|(system.+state.+changed )|(\[timeout)|(PRM\|1\|D)|(kpr)|(kdp)|(train st.+moving)|(\|lc)|(penalty))"</v>
      </c>
      <c r="AG206" s="244" t="str">
        <f t="shared" si="102"/>
        <v>NW</v>
      </c>
      <c r="AH206" s="236" t="str">
        <f t="shared" si="70"/>
        <v>"%USERPROFILE%\Documents\GitHub\eaglep3\Utilities\RefineRTDCRunTimes.py" --tripid 849-08 --locoid 4064 --swversion DE.1.0.9.0 --startMP 204:455 --initTime 2018-01-08T22:56:45 --startdatetime 2018-01-08T23:09:14 --delay 74 --endMP 300:58931 --enddatetime 2018-01-08T23:22:15 --enforcementcount 0 &gt;&gt;%USERPROFILE%\Documents\GitHub\eaglep3-reporting\EC\2018-01-08-refined-times.txt</v>
      </c>
      <c r="AI20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{"issue":{"subject":"","project_id":79,"tracker_id":40,"status_id":1,"priority_id":2,"assigned_to_id":338,"start_date":"2018-01-08","description":"","custom_fields":[{"id":1,"name":"Subdivision","value":"NW"},{"id":4,"name":"Milepost","value":"5.8931"},{"id":17,"name":"Train ID","value":"849-08"},{"id":16,"name":"Locomotive ID","value":"4064"},{"id":130,"name":"Impact","value":""},{"id":150,"name":"Time of Event (Mountain Time)","value":"23:22:15"},{"id":151,"name":"Denver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72"/>
        <v>start /low /b %USERPROFILE%\Documents\GitHub\eaglep3\Utilities\DownloadLogsFromS3.py --loco 4064 --day 2018-01-08</v>
      </c>
      <c r="AN206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74"/>
        <v>https://d0f6bd738d7f1b3e5a7ca70fe4ff75f0.us-east-1.aws.found.io/app/kibana#/discover/Steve-Slow-Train-Analysis-(2080s-and-2083s)?_g=(refreshInterval:(display:Off,pause:!f,section:0,value:0),time:(from:'2018-01-08T21:56:45-0700',mode:absolute,to:'2018-01-09T00:22:15-0700'))&amp;_a=(columns:!('Message%20ID',Summary),filters:!(),index:'emp_*',interval:auto,query:(query_string:(analyze_wildcard:!t,query:'%22rtdc.l.rtdc.4064%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644</v>
      </c>
      <c r="B207" s="225">
        <v>4059</v>
      </c>
      <c r="C207" s="227" t="s">
        <v>191</v>
      </c>
      <c r="D207" s="227" t="s">
        <v>952</v>
      </c>
      <c r="E207" s="226">
        <v>43108.118414351855</v>
      </c>
      <c r="F207" s="226">
        <v>43108.121967592589</v>
      </c>
      <c r="G207" s="225">
        <v>52</v>
      </c>
      <c r="H207" s="227" t="s">
        <v>574</v>
      </c>
      <c r="I207" s="226">
        <v>43108.127847222226</v>
      </c>
      <c r="J207" s="225">
        <v>0</v>
      </c>
      <c r="K207" s="237" t="str">
        <f t="shared" si="93"/>
        <v>4059/4060</v>
      </c>
      <c r="L207" s="245" t="str">
        <f>VLOOKUP(A207,'Trips&amp;Operators'!$C$1:$G$99911,5,FALSE)</f>
        <v>THOMPSON LESTER</v>
      </c>
      <c r="M207" s="224">
        <f t="shared" si="94"/>
        <v>5.8796296361833811E-3</v>
      </c>
      <c r="N207" s="225">
        <f t="shared" si="91"/>
        <v>8.4666666761040688</v>
      </c>
      <c r="O207" s="225"/>
      <c r="P207" s="225"/>
      <c r="Q207" s="228"/>
      <c r="R207" s="242"/>
      <c r="S207" s="249">
        <f t="shared" si="92"/>
        <v>1</v>
      </c>
      <c r="T207" s="242" t="str">
        <f t="shared" si="95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96"/>
        <v>https://d0f6bd738d7f1b3e5a7ca70fe4ff75f0.us-east-1.aws.found.io/app/kibana#/discover/Steve-Slow-Train-Analysis-(2080s-and-2083s)?_g=(refreshInterval:(display:Off,pause:!f,section:0,value:0),time:(from:'2018-01-08T01:50:31-0700',mode:absolute,to:'2018-01-08T04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7" s="247" t="str">
        <f>IF(AA207&lt;VLOOKUP(AG207,Variables!$AC$3:$AD$8,2,FALSE),"Y","N")</f>
        <v>Y</v>
      </c>
      <c r="X207" s="247">
        <f t="shared" si="97"/>
        <v>-549</v>
      </c>
      <c r="Y207" s="247">
        <f t="shared" si="108"/>
        <v>2.3605</v>
      </c>
      <c r="Z207" s="247">
        <f t="shared" si="109"/>
        <v>1.7000000000000001E-2</v>
      </c>
      <c r="AA207" s="247">
        <f t="shared" si="98"/>
        <v>2.3435000000000001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99"/>
        <v>300</v>
      </c>
      <c r="AE207" s="235" t="str">
        <f t="shared" si="100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207" s="234" t="str">
        <f t="shared" si="101"/>
        <v>"C:\Program Files (x86)\AstroGrep\AstroGrep.exe" /e /r /s /spath="%USERPROFILE%\AppData\Local\Temp\OnboardLogs" /stypes="app*4059*20180108*" /stext=" 10:.+((SYSTEM_STATE.+slice.+state.+changed )|(ment ac)|(multiple cpu faults)|(system.+state.+changed )|(\[timeout)|(PRM\|1\|D)|(kpr)|(kdp)|(train st.+moving)|(\|lc)|(penalty))"</v>
      </c>
      <c r="AG207" s="244" t="str">
        <f t="shared" si="102"/>
        <v>Other</v>
      </c>
      <c r="AH207" s="236" t="str">
        <f t="shared" si="70"/>
        <v>"%USERPROFILE%\Documents\GitHub\eaglep3\Utilities\RefineRTDCRunTimes.py" --tripid 300-08 --locoid 4059 --swversion DE.1.0.9.0 --startMP 300:23605 --initTime 2018-01-08T02:50:31 --startdatetime 2018-01-08T02:55:38 --delay 52 --endMP 204:170 --enddatetime 2018-01-08T03:04:06 --enforcementcount 0 &gt;&gt;%USERPROFILE%\Documents\GitHub\eaglep3-reporting\EC\2018-01-08-refined-times.txt</v>
      </c>
      <c r="AI207" s="238" t="str">
        <f t="shared" si="71"/>
        <v>echo {"issue":{"subject":"","project_id":79,"tracker_id":40,"status_id":1,"priority_id":2,"assigned_to_id":338,"start_date":"2018-01-08","description":"","custom_fields":[{"id":1,"name":"Subdivision","value":"Other"},{"id":4,"name":"Milepost","value":"0.017"},{"id":17,"name":"Train ID","value":"300-08"},{"id":16,"name":"Locomotive ID","value":"4059"},{"id":130,"name":"Impact","value":""},{"id":150,"name":"Time of Event (Mountain Time)","value":"03:04:06"},{"id":151,"name":"Denver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72"/>
        <v>start /low /b %USERPROFILE%\Documents\GitHub\eaglep3\Utilities\DownloadLogsFromS3.py --loco 4059 --day 2018-01-08</v>
      </c>
      <c r="AN207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74"/>
        <v>https://d0f6bd738d7f1b3e5a7ca70fe4ff75f0.us-east-1.aws.found.io/app/kibana#/discover/Steve-Slow-Train-Analysis-(2080s-and-2083s)?_g=(refreshInterval:(display:Off,pause:!f,section:0,value:0),time:(from:'2018-01-08T01:50:31-0700',mode:absolute,to:'2018-01-08T04:04:06-0700'))&amp;_a=(columns:!('Message%20ID',Summary),filters:!(),index:'emp_*',interval:auto,query:(query_string:(analyze_wildcard:!t,query:'%22rtdc.l.rtdc.4059%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827</v>
      </c>
      <c r="B208" s="225">
        <v>4034</v>
      </c>
      <c r="C208" s="227" t="s">
        <v>191</v>
      </c>
      <c r="D208" s="227" t="s">
        <v>474</v>
      </c>
      <c r="E208" s="226">
        <v>43108.778344907405</v>
      </c>
      <c r="F208" s="226">
        <v>43108.780902777777</v>
      </c>
      <c r="G208" s="225">
        <v>77</v>
      </c>
      <c r="H208" s="227" t="s">
        <v>552</v>
      </c>
      <c r="I208" s="226">
        <v>43108.792581018519</v>
      </c>
      <c r="J208" s="225">
        <v>0</v>
      </c>
      <c r="K208" s="237" t="str">
        <f t="shared" si="93"/>
        <v>4033/4034</v>
      </c>
      <c r="L208" s="245" t="str">
        <f>VLOOKUP(A208,'Trips&amp;Operators'!$C$1:$G$99911,5,FALSE)</f>
        <v>LONG FULLER</v>
      </c>
      <c r="M208" s="224">
        <f t="shared" si="94"/>
        <v>1.1678240742185153E-2</v>
      </c>
      <c r="N208" s="225">
        <f t="shared" si="91"/>
        <v>16.81666666874662</v>
      </c>
      <c r="O208" s="225"/>
      <c r="P208" s="225"/>
      <c r="Q208" s="228"/>
      <c r="R208" s="242"/>
      <c r="S208" s="249">
        <f t="shared" si="92"/>
        <v>1</v>
      </c>
      <c r="T208" s="242" t="str">
        <f t="shared" si="95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96"/>
        <v>https://d0f6bd738d7f1b3e5a7ca70fe4ff75f0.us-east-1.aws.found.io/app/kibana#/discover/Steve-Slow-Train-Analysis-(2080s-and-2083s)?_g=(refreshInterval:(display:Off,pause:!f,section:0,value:0),time:(from:'2018-01-08T17:40:49-0700',mode:absolute,to:'2018-01-08T20:01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8" s="247" t="str">
        <f>IF(AA208&lt;VLOOKUP(AG208,Variables!$AC$3:$AD$8,2,FALSE),"Y","N")</f>
        <v>Y</v>
      </c>
      <c r="X208" s="247">
        <f t="shared" si="97"/>
        <v>1</v>
      </c>
      <c r="Y208" s="247">
        <f t="shared" si="108"/>
        <v>5.3499999999999999E-2</v>
      </c>
      <c r="Z208" s="247">
        <f t="shared" si="109"/>
        <v>2.3346</v>
      </c>
      <c r="AA208" s="247">
        <f t="shared" si="98"/>
        <v>2.2810999999999999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99"/>
        <v>301</v>
      </c>
      <c r="AE208" s="235" t="str">
        <f t="shared" si="100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208" s="234" t="str">
        <f t="shared" si="101"/>
        <v>"C:\Program Files (x86)\AstroGrep\AstroGrep.exe" /e /r /s /spath="%USERPROFILE%\AppData\Local\Temp\OnboardLogs" /stypes="app*4034*20180109*" /stext=" 02:.+((SYSTEM_STATE.+slice.+state.+changed )|(ment ac)|(multiple cpu faults)|(system.+state.+changed )|(\[timeout)|(PRM\|1\|D)|(kpr)|(kdp)|(train st.+moving)|(\|lc)|(penalty))"</v>
      </c>
      <c r="AG208" s="244" t="str">
        <f t="shared" si="102"/>
        <v>Other</v>
      </c>
      <c r="AH208" s="236" t="str">
        <f t="shared" si="70"/>
        <v>"%USERPROFILE%\Documents\GitHub\eaglep3\Utilities\RefineRTDCRunTimes.py" --tripid 301-08 --locoid 4034 --swversion DE.1.0.9.0 --startMP 204:535 --initTime 2018-01-08T18:40:49 --startdatetime 2018-01-08T18:44:30 --delay 77 --endMP 300:23346 --enddatetime 2018-01-08T19:01:19 --enforcementcount 0 &gt;&gt;%USERPROFILE%\Documents\GitHub\eaglep3-reporting\EC\2018-01-08-refined-times.txt</v>
      </c>
      <c r="AI208" s="238" t="str">
        <f t="shared" si="71"/>
        <v>echo {"issue":{"subject":"","project_id":79,"tracker_id":40,"status_id":1,"priority_id":2,"assigned_to_id":338,"start_date":"2018-01-08","description":"","custom_fields":[{"id":1,"name":"Subdivision","value":"Other"},{"id":4,"name":"Milepost","value":"2.3346"},{"id":17,"name":"Train ID","value":"301-08"},{"id":16,"name":"Locomotive ID","value":"4034"},{"id":130,"name":"Impact","value":""},{"id":150,"name":"Time of Event (Mountain Time)","value":"19:01:19"},{"id":151,"name":"Denver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72"/>
        <v>start /low /b %USERPROFILE%\Documents\GitHub\eaglep3\Utilities\DownloadLogsFromS3.py --loco 4034 --day 2018-01-08</v>
      </c>
      <c r="AN208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02:01:19"},{"id":29,"name":"Sharepoint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74"/>
        <v>https://d0f6bd738d7f1b3e5a7ca70fe4ff75f0.us-east-1.aws.found.io/app/kibana#/discover/Steve-Slow-Train-Analysis-(2080s-and-2083s)?_g=(refreshInterval:(display:Off,pause:!f,section:0,value:0),time:(from:'2018-01-08T17:40:49-0700',mode:absolute,to:'2018-01-08T20:01:19-0700'))&amp;_a=(columns:!('Message%20ID',Summary),filters:!(),index:'emp_*',interval:auto,query:(query_string:(analyze_wildcard:!t,query:'%22rtdc.l.rtdc.4034%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646</v>
      </c>
      <c r="B209" s="225">
        <v>4043</v>
      </c>
      <c r="C209" s="227" t="s">
        <v>191</v>
      </c>
      <c r="D209" s="227" t="s">
        <v>953</v>
      </c>
      <c r="E209" s="226">
        <v>43108.145416666666</v>
      </c>
      <c r="F209" s="226">
        <v>43108.148368055554</v>
      </c>
      <c r="G209" s="225">
        <v>74</v>
      </c>
      <c r="H209" s="227" t="s">
        <v>954</v>
      </c>
      <c r="I209" s="226">
        <v>43108.153784722221</v>
      </c>
      <c r="J209" s="225">
        <v>0</v>
      </c>
      <c r="K209" s="237" t="str">
        <f t="shared" si="93"/>
        <v>4043/4044</v>
      </c>
      <c r="L209" s="245" t="str">
        <f>VLOOKUP(A209,'Trips&amp;Operators'!$C$1:$G$99911,5,FALSE)</f>
        <v>ROCHA YAOTL</v>
      </c>
      <c r="M209" s="224">
        <f t="shared" si="94"/>
        <v>5.4166666668606922E-3</v>
      </c>
      <c r="N209" s="225">
        <f t="shared" si="91"/>
        <v>7.8000000002793968</v>
      </c>
      <c r="O209" s="225"/>
      <c r="P209" s="225"/>
      <c r="Q209" s="228"/>
      <c r="R209" s="242"/>
      <c r="S209" s="249">
        <f t="shared" si="92"/>
        <v>1</v>
      </c>
      <c r="T209" s="242" t="str">
        <f t="shared" si="95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96"/>
        <v>https://d0f6bd738d7f1b3e5a7ca70fe4ff75f0.us-east-1.aws.found.io/app/kibana#/discover/Steve-Slow-Train-Analysis-(2080s-and-2083s)?_g=(refreshInterval:(display:Off,pause:!f,section:0,value:0),time:(from:'2018-01-08T02:29:24-0700',mode:absolute,to:'2018-01-08T04:41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247" t="str">
        <f>IF(AA209&lt;VLOOKUP(AG209,Variables!$AC$3:$AD$8,2,FALSE),"Y","N")</f>
        <v>Y</v>
      </c>
      <c r="X209" s="247">
        <f t="shared" si="97"/>
        <v>1</v>
      </c>
      <c r="Y209" s="247">
        <f t="shared" si="108"/>
        <v>2.3172999999999999</v>
      </c>
      <c r="Z209" s="247">
        <f t="shared" si="109"/>
        <v>1.4999999999999999E-2</v>
      </c>
      <c r="AA209" s="247">
        <f t="shared" si="98"/>
        <v>2.3022999999999998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99"/>
        <v>302</v>
      </c>
      <c r="AE209" s="235" t="str">
        <f t="shared" si="100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209" s="234" t="str">
        <f t="shared" si="101"/>
        <v>"C:\Program Files (x86)\AstroGrep\AstroGrep.exe" /e /r /s /spath="%USERPROFILE%\AppData\Local\Temp\OnboardLogs" /stypes="app*4043*20180108*" /stext=" 10:.+((SYSTEM_STATE.+slice.+state.+changed )|(ment ac)|(multiple cpu faults)|(system.+state.+changed )|(\[timeout)|(PRM\|1\|D)|(kpr)|(kdp)|(train st.+moving)|(\|lc)|(penalty))"</v>
      </c>
      <c r="AG209" s="244" t="str">
        <f t="shared" si="102"/>
        <v>Other</v>
      </c>
      <c r="AH209" s="236" t="str">
        <f t="shared" ref="AH209:AH250" si="110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302-08 --locoid 4043 --swversion DE.1.0.9.0 --startMP 300:23173 --initTime 2018-01-08T03:29:24 --startdatetime 2018-01-08T03:33:39 --delay 74 --endMP 204:150 --enddatetime 2018-01-08T03:41:27 --enforcementcount 0 &gt;&gt;%USERPROFILE%\Documents\GitHub\eaglep3-reporting\EC\2018-01-08-refined-times.txt</v>
      </c>
      <c r="AI209" s="238" t="str">
        <f t="shared" ref="AI209:AI250" si="111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{"issue":{"subject":"","project_id":79,"tracker_id":40,"status_id":1,"priority_id":2,"assigned_to_id":338,"start_date":"2018-01-08","description":"","custom_fields":[{"id":1,"name":"Subdivision","value":"Other"},{"id":4,"name":"Milepost","value":"0.015"},{"id":17,"name":"Train ID","value":"302-08"},{"id":16,"name":"Locomotive ID","value":"4043"},{"id":130,"name":"Impact","value":""},{"id":150,"name":"Time of Event (Mountain Time)","value":"03:41:27"},{"id":151,"name":"Denver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ref="AM209:AM250" si="112">"start /low /b "&amp;dls3logs&amp;" --loco "&amp;B209&amp;" --day "&amp;TEXT(F209,"YYYY-MM-DD")</f>
        <v>start /low /b %USERPROFILE%\Documents\GitHub\eaglep3\Utilities\DownloadLogsFromS3.py --loco 4043 --day 2018-01-08</v>
      </c>
      <c r="AN209" s="241" t="str">
        <f t="shared" ref="AN209:AN250" si="113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10:41:27"},{"id":29,"name":"Sharepoint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ref="AO209:AO250" si="114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-08T02:29:24-0700',mode:absolute,to:'2018-01-08T04:41:27-0700'))&amp;_a=(columns:!('Message%20ID',Summary),filters:!(),index:'emp_*',interval:auto,query:(query_string:(analyze_wildcard:!t,query:'%22rtdc.l.rtdc.4043%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832</v>
      </c>
      <c r="B210" s="225">
        <v>4022</v>
      </c>
      <c r="C210" s="227" t="s">
        <v>191</v>
      </c>
      <c r="D210" s="227" t="s">
        <v>473</v>
      </c>
      <c r="E210" s="226">
        <v>43108.797777777778</v>
      </c>
      <c r="F210" s="226">
        <v>43108.799687500003</v>
      </c>
      <c r="G210" s="225">
        <v>71</v>
      </c>
      <c r="H210" s="227" t="s">
        <v>955</v>
      </c>
      <c r="I210" s="226">
        <v>43108.806331018517</v>
      </c>
      <c r="J210" s="225">
        <v>0</v>
      </c>
      <c r="K210" s="237" t="str">
        <f t="shared" si="93"/>
        <v>4021/4022</v>
      </c>
      <c r="L210" s="245" t="str">
        <f>VLOOKUP(A210,'Trips&amp;Operators'!$C$1:$G$99911,5,FALSE)</f>
        <v>SAFIEF AEIMEN</v>
      </c>
      <c r="M210" s="224">
        <f t="shared" si="94"/>
        <v>6.6435185144655406E-3</v>
      </c>
      <c r="N210" s="225">
        <f t="shared" si="91"/>
        <v>9.5666666608303785</v>
      </c>
      <c r="O210" s="225"/>
      <c r="P210" s="225"/>
      <c r="Q210" s="228"/>
      <c r="R210" s="242"/>
      <c r="S210" s="249">
        <f t="shared" si="92"/>
        <v>1</v>
      </c>
      <c r="T210" s="242" t="str">
        <f t="shared" si="95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96"/>
        <v>https://d0f6bd738d7f1b3e5a7ca70fe4ff75f0.us-east-1.aws.found.io/app/kibana#/discover/Steve-Slow-Train-Analysis-(2080s-and-2083s)?_g=(refreshInterval:(display:Off,pause:!f,section:0,value:0),time:(from:'2018-01-08T18:08:48-0700',mode:absolute,to:'2018-01-08T20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0" s="247" t="str">
        <f>IF(AA210&lt;VLOOKUP(AG210,Variables!$AC$3:$AD$8,2,FALSE),"Y","N")</f>
        <v>Y</v>
      </c>
      <c r="X210" s="247">
        <f t="shared" si="97"/>
        <v>1</v>
      </c>
      <c r="Y210" s="247">
        <f t="shared" si="108"/>
        <v>0.05</v>
      </c>
      <c r="Z210" s="247">
        <f t="shared" si="109"/>
        <v>2.3296999999999999</v>
      </c>
      <c r="AA210" s="247">
        <f t="shared" si="98"/>
        <v>2.2797000000000001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99"/>
        <v>303</v>
      </c>
      <c r="AE210" s="235" t="str">
        <f t="shared" si="100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210" s="234" t="str">
        <f t="shared" si="101"/>
        <v>"C:\Program Files (x86)\AstroGrep\AstroGrep.exe" /e /r /s /spath="%USERPROFILE%\AppData\Local\Temp\OnboardLogs" /stypes="app*4022*20180109*" /stext=" 02:.+((SYSTEM_STATE.+slice.+state.+changed )|(ment ac)|(multiple cpu faults)|(system.+state.+changed )|(\[timeout)|(PRM\|1\|D)|(kpr)|(kdp)|(train st.+moving)|(\|lc)|(penalty))"</v>
      </c>
      <c r="AG210" s="244" t="str">
        <f t="shared" si="102"/>
        <v>Other</v>
      </c>
      <c r="AH210" s="236" t="str">
        <f t="shared" si="110"/>
        <v>"%USERPROFILE%\Documents\GitHub\eaglep3\Utilities\RefineRTDCRunTimes.py" --tripid 303-08 --locoid 4022 --swversion DE.1.0.9.0 --startMP 204:500 --initTime 2018-01-08T19:08:48 --startdatetime 2018-01-08T19:11:33 --delay 71 --endMP 300:23297 --enddatetime 2018-01-08T19:21:07 --enforcementcount 0 &gt;&gt;%USERPROFILE%\Documents\GitHub\eaglep3-reporting\EC\2018-01-08-refined-times.txt</v>
      </c>
      <c r="AI210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{"issue":{"subject":"","project_id":79,"tracker_id":40,"status_id":1,"priority_id":2,"assigned_to_id":338,"start_date":"2018-01-08","description":"","custom_fields":[{"id":1,"name":"Subdivision","value":"Other"},{"id":4,"name":"Milepost","value":"2.3297"},{"id":17,"name":"Train ID","value":"303-08"},{"id":16,"name":"Locomotive ID","value":"4022"},{"id":130,"name":"Impact","value":""},{"id":150,"name":"Time of Event (Mountain Time)","value":"19:21:07"},{"id":151,"name":"Denver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112"/>
        <v>start /low /b %USERPROFILE%\Documents\GitHub\eaglep3\Utilities\DownloadLogsFromS3.py --loco 4022 --day 2018-01-08</v>
      </c>
      <c r="AN210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114"/>
        <v>https://d0f6bd738d7f1b3e5a7ca70fe4ff75f0.us-east-1.aws.found.io/app/kibana#/discover/Steve-Slow-Train-Analysis-(2080s-and-2083s)?_g=(refreshInterval:(display:Off,pause:!f,section:0,value:0),time:(from:'2018-01-08T18:08:48-0700',mode:absolute,to:'2018-01-08T20:21:07-0700'))&amp;_a=(columns:!('Message%20ID',Summary),filters:!(),index:'emp_*',interval:auto,query:(query_string:(analyze_wildcard:!t,query:'%22rtdc.l.rtdc.4022%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650</v>
      </c>
      <c r="B211" s="225">
        <v>4051</v>
      </c>
      <c r="C211" s="227" t="s">
        <v>191</v>
      </c>
      <c r="D211" s="227" t="s">
        <v>956</v>
      </c>
      <c r="E211" s="226">
        <v>43108.158819444441</v>
      </c>
      <c r="F211" s="226">
        <v>43108.161134259259</v>
      </c>
      <c r="G211" s="225">
        <v>71</v>
      </c>
      <c r="H211" s="227" t="s">
        <v>468</v>
      </c>
      <c r="I211" s="226">
        <v>43108.166319444441</v>
      </c>
      <c r="J211" s="225">
        <v>0</v>
      </c>
      <c r="K211" s="237" t="str">
        <f t="shared" si="93"/>
        <v>4051/4052</v>
      </c>
      <c r="L211" s="245" t="str">
        <f>VLOOKUP(A211,'Trips&amp;Operators'!$C$1:$G$99911,5,FALSE)</f>
        <v>BEAM ROSS</v>
      </c>
      <c r="M211" s="224">
        <f t="shared" si="94"/>
        <v>5.1851851821993478E-3</v>
      </c>
      <c r="N211" s="225">
        <f t="shared" si="91"/>
        <v>7.4666666623670608</v>
      </c>
      <c r="O211" s="225"/>
      <c r="P211" s="225"/>
      <c r="Q211" s="228"/>
      <c r="R211" s="242"/>
      <c r="S211" s="249">
        <f t="shared" si="92"/>
        <v>1</v>
      </c>
      <c r="T211" s="242" t="str">
        <f t="shared" si="95"/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96"/>
        <v>https://d0f6bd738d7f1b3e5a7ca70fe4ff75f0.us-east-1.aws.found.io/app/kibana#/discover/Steve-Slow-Train-Analysis-(2080s-and-2083s)?_g=(refreshInterval:(display:Off,pause:!f,section:0,value:0),time:(from:'2018-01-08T02:48:42-0700',mode:absolute,to:'2018-01-08T04:59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247" t="str">
        <f>IF(AA211&lt;VLOOKUP(AG211,Variables!$AC$3:$AD$8,2,FALSE),"Y","N")</f>
        <v>Y</v>
      </c>
      <c r="X211" s="247">
        <f t="shared" si="97"/>
        <v>1</v>
      </c>
      <c r="Y211" s="247">
        <f t="shared" si="108"/>
        <v>2.3292000000000002</v>
      </c>
      <c r="Z211" s="247">
        <f t="shared" si="109"/>
        <v>0.02</v>
      </c>
      <c r="AA211" s="247">
        <f t="shared" si="98"/>
        <v>2.3092000000000001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99"/>
        <v>304</v>
      </c>
      <c r="AE211" s="235" t="str">
        <f t="shared" si="100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211" s="234" t="str">
        <f t="shared" si="101"/>
        <v>"C:\Program Files (x86)\AstroGrep\AstroGrep.exe" /e /r /s /spath="%USERPROFILE%\AppData\Local\Temp\OnboardLogs" /stypes="app*4051*20180108*" /stext=" 10:.+((SYSTEM_STATE.+slice.+state.+changed )|(ment ac)|(multiple cpu faults)|(system.+state.+changed )|(\[timeout)|(PRM\|1\|D)|(kpr)|(kdp)|(train st.+moving)|(\|lc)|(penalty))"</v>
      </c>
      <c r="AG211" s="244" t="str">
        <f t="shared" si="102"/>
        <v>Other</v>
      </c>
      <c r="AH211" s="236" t="str">
        <f t="shared" si="110"/>
        <v>"%USERPROFILE%\Documents\GitHub\eaglep3\Utilities\RefineRTDCRunTimes.py" --tripid 304-08 --locoid 4051 --swversion DE.1.0.9.0 --startMP 300:23292 --initTime 2018-01-08T03:48:42 --startdatetime 2018-01-08T03:52:02 --delay 71 --endMP 204:200 --enddatetime 2018-01-08T03:59:30 --enforcementcount 0 &gt;&gt;%USERPROFILE%\Documents\GitHub\eaglep3-reporting\EC\2018-01-08-refined-times.txt</v>
      </c>
      <c r="AI211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{"issue":{"subject":"","project_id":79,"tracker_id":40,"status_id":1,"priority_id":2,"assigned_to_id":338,"start_date":"2018-01-08","description":"","custom_fields":[{"id":1,"name":"Subdivision","value":"Other"},{"id":4,"name":"Milepost","value":"0.02"},{"id":17,"name":"Train ID","value":"304-08"},{"id":16,"name":"Locomotive ID","value":"4051"},{"id":130,"name":"Impact","value":""},{"id":150,"name":"Time of Event (Mountain Time)","value":"03:59:30"},{"id":151,"name":"Denver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12"/>
        <v>start /low /b %USERPROFILE%\Documents\GitHub\eaglep3\Utilities\DownloadLogsFromS3.py --loco 4051 --day 2018-01-08</v>
      </c>
      <c r="AN211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10:59:30"},{"id":29,"name":"Sharepoint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14"/>
        <v>https://d0f6bd738d7f1b3e5a7ca70fe4ff75f0.us-east-1.aws.found.io/app/kibana#/discover/Steve-Slow-Train-Analysis-(2080s-and-2083s)?_g=(refreshInterval:(display:Off,pause:!f,section:0,value:0),time:(from:'2018-01-08T02:48:42-0700',mode:absolute,to:'2018-01-08T04:59:30-0700'))&amp;_a=(columns:!('Message%20ID',Summary),filters:!(),index:'emp_*',interval:auto,query:(query_string:(analyze_wildcard:!t,query:'%22rtdc.l.rtdc.4051%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637</v>
      </c>
      <c r="B212" s="225">
        <v>4054</v>
      </c>
      <c r="C212" s="227" t="s">
        <v>191</v>
      </c>
      <c r="D212" s="227" t="s">
        <v>881</v>
      </c>
      <c r="E212" s="226">
        <v>43108.817384259259</v>
      </c>
      <c r="F212" s="226">
        <v>43108.818668981483</v>
      </c>
      <c r="G212" s="225">
        <v>51</v>
      </c>
      <c r="H212" s="227" t="s">
        <v>552</v>
      </c>
      <c r="I212" s="226">
        <v>43108.82540509259</v>
      </c>
      <c r="J212" s="225">
        <v>0</v>
      </c>
      <c r="K212" s="237" t="str">
        <f t="shared" si="93"/>
        <v>4053/4054</v>
      </c>
      <c r="L212" s="245" t="str">
        <f>VLOOKUP(A212,'Trips&amp;Operators'!$C$1:$G$99911,5,FALSE)</f>
        <v>KILLION DAVID</v>
      </c>
      <c r="M212" s="224">
        <f t="shared" si="94"/>
        <v>6.7361111068748869E-3</v>
      </c>
      <c r="N212" s="225">
        <f t="shared" si="91"/>
        <v>9.6999999938998371</v>
      </c>
      <c r="O212" s="225"/>
      <c r="P212" s="225"/>
      <c r="Q212" s="228"/>
      <c r="R212" s="242"/>
      <c r="S212" s="249">
        <f t="shared" si="92"/>
        <v>1</v>
      </c>
      <c r="T212" s="242" t="str">
        <f t="shared" si="95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96"/>
        <v>https://d0f6bd738d7f1b3e5a7ca70fe4ff75f0.us-east-1.aws.found.io/app/kibana#/discover/Steve-Slow-Train-Analysis-(2080s-and-2083s)?_g=(refreshInterval:(display:Off,pause:!f,section:0,value:0),time:(from:'2018-01-08T18:37:02-0700',mode:absolute,to:'2018-01-08T20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247" t="str">
        <f>IF(AA212&lt;VLOOKUP(AG212,Variables!$AC$3:$AD$8,2,FALSE),"Y","N")</f>
        <v>Y</v>
      </c>
      <c r="X212" s="247">
        <f t="shared" si="97"/>
        <v>1</v>
      </c>
      <c r="Y212" s="247">
        <f t="shared" si="108"/>
        <v>5.28E-2</v>
      </c>
      <c r="Z212" s="247">
        <f t="shared" si="109"/>
        <v>2.3346</v>
      </c>
      <c r="AA212" s="247">
        <f t="shared" si="98"/>
        <v>2.2818000000000001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99"/>
        <v>305</v>
      </c>
      <c r="AE212" s="235" t="str">
        <f t="shared" si="100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212" s="234" t="str">
        <f t="shared" si="101"/>
        <v>"C:\Program Files (x86)\AstroGrep\AstroGrep.exe" /e /r /s /spath="%USERPROFILE%\AppData\Local\Temp\OnboardLogs" /stypes="app*4054*20180109*" /stext=" 02:.+((SYSTEM_STATE.+slice.+state.+changed )|(ment ac)|(multiple cpu faults)|(system.+state.+changed )|(\[timeout)|(PRM\|1\|D)|(kpr)|(kdp)|(train st.+moving)|(\|lc)|(penalty))"</v>
      </c>
      <c r="AG212" s="244" t="str">
        <f t="shared" si="102"/>
        <v>Other</v>
      </c>
      <c r="AH212" s="236" t="str">
        <f t="shared" si="110"/>
        <v>"%USERPROFILE%\Documents\GitHub\eaglep3\Utilities\RefineRTDCRunTimes.py" --tripid 305-08 --locoid 4054 --swversion DE.1.0.9.0 --startMP 204:528 --initTime 2018-01-08T19:37:02 --startdatetime 2018-01-08T19:38:53 --delay 51 --endMP 300:23346 --enddatetime 2018-01-08T19:48:35 --enforcementcount 0 &gt;&gt;%USERPROFILE%\Documents\GitHub\eaglep3-reporting\EC\2018-01-08-refined-times.txt</v>
      </c>
      <c r="AI212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{"issue":{"subject":"","project_id":79,"tracker_id":40,"status_id":1,"priority_id":2,"assigned_to_id":338,"start_date":"2018-01-08","description":"","custom_fields":[{"id":1,"name":"Subdivision","value":"Other"},{"id":4,"name":"Milepost","value":"2.3346"},{"id":17,"name":"Train ID","value":"305-08"},{"id":16,"name":"Locomotive ID","value":"4054"},{"id":130,"name":"Impact","value":""},{"id":150,"name":"Time of Event (Mountain Time)","value":"19:48:35"},{"id":151,"name":"Denver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112"/>
        <v>start /low /b %USERPROFILE%\Documents\GitHub\eaglep3\Utilities\DownloadLogsFromS3.py --loco 4054 --day 2018-01-08</v>
      </c>
      <c r="AN212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14"/>
        <v>https://d0f6bd738d7f1b3e5a7ca70fe4ff75f0.us-east-1.aws.found.io/app/kibana#/discover/Steve-Slow-Train-Analysis-(2080s-and-2083s)?_g=(refreshInterval:(display:Off,pause:!f,section:0,value:0),time:(from:'2018-01-08T18:37:02-0700',mode:absolute,to:'2018-01-08T20:48:35-0700'))&amp;_a=(columns:!('Message%20ID',Summary),filters:!(),index:'emp_*',interval:auto,query:(query_string:(analyze_wildcard:!t,query:'%22rtdc.l.rtdc.4054%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654</v>
      </c>
      <c r="B213" s="225">
        <v>4017</v>
      </c>
      <c r="C213" s="227" t="s">
        <v>191</v>
      </c>
      <c r="D213" s="227" t="s">
        <v>957</v>
      </c>
      <c r="E213" s="226">
        <v>43108.172025462962</v>
      </c>
      <c r="F213" s="226">
        <v>43108.174756944441</v>
      </c>
      <c r="G213" s="225">
        <v>55</v>
      </c>
      <c r="H213" s="227" t="s">
        <v>958</v>
      </c>
      <c r="I213" s="226">
        <v>43108.180358796293</v>
      </c>
      <c r="J213" s="225">
        <v>0</v>
      </c>
      <c r="K213" s="237" t="str">
        <f t="shared" si="93"/>
        <v>4017/4018</v>
      </c>
      <c r="L213" s="245" t="str">
        <f>VLOOKUP(A213,'Trips&amp;Operators'!$C$1:$G$99911,5,FALSE)</f>
        <v>DELGADO DIANAH</v>
      </c>
      <c r="M213" s="224">
        <f t="shared" si="94"/>
        <v>5.6018518516793847E-3</v>
      </c>
      <c r="N213" s="225">
        <f t="shared" si="91"/>
        <v>8.066666666418314</v>
      </c>
      <c r="O213" s="225"/>
      <c r="P213" s="225"/>
      <c r="Q213" s="228"/>
      <c r="R213" s="242"/>
      <c r="S213" s="249">
        <f t="shared" si="92"/>
        <v>1</v>
      </c>
      <c r="T213" s="242" t="str">
        <f t="shared" si="95"/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96"/>
        <v>https://d0f6bd738d7f1b3e5a7ca70fe4ff75f0.us-east-1.aws.found.io/app/kibana#/discover/Steve-Slow-Train-Analysis-(2080s-and-2083s)?_g=(refreshInterval:(display:Off,pause:!f,section:0,value:0),time:(from:'2018-01-08T03:07:43-0700',mode:absolute,to:'2018-01-08T05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3" s="247" t="str">
        <f>IF(AA213&lt;VLOOKUP(AG213,Variables!$AC$3:$AD$8,2,FALSE),"Y","N")</f>
        <v>Y</v>
      </c>
      <c r="X213" s="247">
        <f t="shared" si="97"/>
        <v>1</v>
      </c>
      <c r="Y213" s="247">
        <f t="shared" si="108"/>
        <v>2.3170999999999999</v>
      </c>
      <c r="Z213" s="247">
        <f t="shared" si="109"/>
        <v>1.43E-2</v>
      </c>
      <c r="AA213" s="247">
        <f t="shared" si="98"/>
        <v>2.3028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99"/>
        <v>306</v>
      </c>
      <c r="AE213" s="235" t="str">
        <f t="shared" si="100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213" s="234" t="str">
        <f t="shared" si="101"/>
        <v>"C:\Program Files (x86)\AstroGrep\AstroGrep.exe" /e /r /s /spath="%USERPROFILE%\AppData\Local\Temp\OnboardLogs" /stypes="app*4017*20180108*" /stext=" 11:.+((SYSTEM_STATE.+slice.+state.+changed )|(ment ac)|(multiple cpu faults)|(system.+state.+changed )|(\[timeout)|(PRM\|1\|D)|(kpr)|(kdp)|(train st.+moving)|(\|lc)|(penalty))"</v>
      </c>
      <c r="AG213" s="244" t="str">
        <f t="shared" si="102"/>
        <v>Other</v>
      </c>
      <c r="AH213" s="236" t="str">
        <f t="shared" si="110"/>
        <v>"%USERPROFILE%\Documents\GitHub\eaglep3\Utilities\RefineRTDCRunTimes.py" --tripid 306-08 --locoid 4017 --swversion DE.1.0.9.0 --startMP 300:23171 --initTime 2018-01-08T04:07:43 --startdatetime 2018-01-08T04:11:39 --delay 55 --endMP 204:143 --enddatetime 2018-01-08T04:19:43 --enforcementcount 0 &gt;&gt;%USERPROFILE%\Documents\GitHub\eaglep3-reporting\EC\2018-01-08-refined-times.txt</v>
      </c>
      <c r="AI213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{"issue":{"subject":"","project_id":79,"tracker_id":40,"status_id":1,"priority_id":2,"assigned_to_id":338,"start_date":"2018-01-08","description":"","custom_fields":[{"id":1,"name":"Subdivision","value":"Other"},{"id":4,"name":"Milepost","value":"0.0143"},{"id":17,"name":"Train ID","value":"306-08"},{"id":16,"name":"Locomotive ID","value":"4017"},{"id":130,"name":"Impact","value":""},{"id":150,"name":"Time of Event (Mountain Time)","value":"04:19:43"},{"id":151,"name":"Denver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2"/>
        <v>start /low /b %USERPROFILE%\Documents\GitHub\eaglep3\Utilities\DownloadLogsFromS3.py --loco 4017 --day 2018-01-08</v>
      </c>
      <c r="AN213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14"/>
        <v>https://d0f6bd738d7f1b3e5a7ca70fe4ff75f0.us-east-1.aws.found.io/app/kibana#/discover/Steve-Slow-Train-Analysis-(2080s-and-2083s)?_g=(refreshInterval:(display:Off,pause:!f,section:0,value:0),time:(from:'2018-01-08T03:07:43-0700',mode:absolute,to:'2018-01-08T05:19:43-0700'))&amp;_a=(columns:!('Message%20ID',Summary),filters:!(),index:'emp_*',interval:auto,query:(query_string:(analyze_wildcard:!t,query:'%22rtdc.l.rtdc.4017%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451</v>
      </c>
      <c r="B214" s="225">
        <v>4044</v>
      </c>
      <c r="C214" s="227" t="s">
        <v>191</v>
      </c>
      <c r="D214" s="227" t="s">
        <v>473</v>
      </c>
      <c r="E214" s="226">
        <v>43109.045937499999</v>
      </c>
      <c r="F214" s="226">
        <v>43109.048807870371</v>
      </c>
      <c r="G214" s="225">
        <v>112</v>
      </c>
      <c r="H214" s="227" t="s">
        <v>959</v>
      </c>
      <c r="I214" s="226">
        <v>43109.057627314818</v>
      </c>
      <c r="J214" s="225">
        <v>0</v>
      </c>
      <c r="K214" s="237" t="str">
        <f t="shared" si="93"/>
        <v>4043/4044</v>
      </c>
      <c r="L214" s="245" t="str">
        <f>VLOOKUP(A214,'Trips&amp;Operators'!$C$1:$G$99911,5,FALSE)</f>
        <v>LOZA FIDEL</v>
      </c>
      <c r="M214" s="224">
        <f t="shared" si="94"/>
        <v>8.819444446999114E-3</v>
      </c>
      <c r="N214" s="225">
        <f t="shared" si="91"/>
        <v>12.700000003678724</v>
      </c>
      <c r="O214" s="225"/>
      <c r="P214" s="225"/>
      <c r="Q214" s="228"/>
      <c r="R214" s="242"/>
      <c r="S214" s="249">
        <f t="shared" si="92"/>
        <v>1</v>
      </c>
      <c r="T214" s="242" t="str">
        <f t="shared" si="95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96"/>
        <v>https://d0f6bd738d7f1b3e5a7ca70fe4ff75f0.us-east-1.aws.found.io/app/kibana#/discover/Steve-Slow-Train-Analysis-(2080s-and-2083s)?_g=(refreshInterval:(display:Off,pause:!f,section:0,value:0),time:(from:'2018-01-09T00:06:09-0700',mode:absolute,to:'2018-01-09T02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247" t="str">
        <f>IF(AA214&lt;VLOOKUP(AG214,Variables!$AC$3:$AD$8,2,FALSE),"Y","N")</f>
        <v>Y</v>
      </c>
      <c r="X214" s="247">
        <f t="shared" si="97"/>
        <v>1</v>
      </c>
      <c r="Y214" s="247">
        <f t="shared" si="108"/>
        <v>0.05</v>
      </c>
      <c r="Z214" s="247">
        <f t="shared" si="109"/>
        <v>2.3302</v>
      </c>
      <c r="AA214" s="247">
        <f t="shared" si="98"/>
        <v>2.2802000000000002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99"/>
        <v>307</v>
      </c>
      <c r="AE214" s="235" t="str">
        <f t="shared" si="100"/>
        <v>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 &amp; 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</v>
      </c>
      <c r="AF214" s="234" t="str">
        <f t="shared" si="101"/>
        <v>"C:\Program Files (x86)\AstroGrep\AstroGrep.exe" /e /r /s /spath="%USERPROFILE%\AppData\Local\Temp\OnboardLogs" /stypes="app*4044*20180109*" /stext=" 08:.+((SYSTEM_STATE.+slice.+state.+changed )|(ment ac)|(multiple cpu faults)|(system.+state.+changed )|(\[timeout)|(PRM\|1\|D)|(kpr)|(kdp)|(train st.+moving)|(\|lc)|(penalty))"</v>
      </c>
      <c r="AG214" s="244" t="str">
        <f t="shared" si="102"/>
        <v>Other</v>
      </c>
      <c r="AH214" s="236" t="str">
        <f t="shared" si="110"/>
        <v>"%USERPROFILE%\Documents\GitHub\eaglep3\Utilities\RefineRTDCRunTimes.py" --tripid 307-08 --locoid 4044 --swversion DE.1.0.9.0 --startMP 204:500 --initTime 2018-01-09T01:06:09 --startdatetime 2018-01-09T01:10:17 --delay 112 --endMP 300:23302 --enddatetime 2018-01-09T01:22:59 --enforcementcount 0 &gt;&gt;%USERPROFILE%\Documents\GitHub\eaglep3-reporting\EC\2018-01-08-refined-times.txt</v>
      </c>
      <c r="AI214" s="238" t="str">
        <f t="shared" si="111"/>
        <v>echo {"issue":{"subject":"","project_id":79,"tracker_id":40,"status_id":1,"priority_id":2,"assigned_to_id":338,"start_date":"2018-01-09","description":"","custom_fields":[{"id":1,"name":"Subdivision","value":"Other"},{"id":4,"name":"Milepost","value":"2.3302"},{"id":17,"name":"Train ID","value":"307-08"},{"id":16,"name":"Locomotive ID","value":"4044"},{"id":130,"name":"Impact","value":""},{"id":150,"name":"Time of Event (Mountain Time)","value":"01:22:59"},{"id":151,"name":"Denver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112"/>
        <v>start /low /b %USERPROFILE%\Documents\GitHub\eaglep3\Utilities\DownloadLogsFromS3.py --loco 4044 --day 2018-01-09</v>
      </c>
      <c r="AN214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14"/>
        <v>https://d0f6bd738d7f1b3e5a7ca70fe4ff75f0.us-east-1.aws.found.io/app/kibana#/discover/Steve-Slow-Train-Analysis-(2080s-and-2083s)?_g=(refreshInterval:(display:Off,pause:!f,section:0,value:0),time:(from:'2018-01-09T00:06:09-0700',mode:absolute,to:'2018-01-09T02:22:59-0700'))&amp;_a=(columns:!('Message%20ID',Summary),filters:!(),index:'emp_*',interval:auto,query:(query_string:(analyze_wildcard:!t,query:'%22rtdc.l.rtdc.4044%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656</v>
      </c>
      <c r="B215" s="225">
        <v>4033</v>
      </c>
      <c r="C215" s="227" t="s">
        <v>191</v>
      </c>
      <c r="D215" s="227" t="s">
        <v>960</v>
      </c>
      <c r="E215" s="226">
        <v>43108.180868055555</v>
      </c>
      <c r="F215" s="226">
        <v>43108.18472222222</v>
      </c>
      <c r="G215" s="225">
        <v>65</v>
      </c>
      <c r="H215" s="227" t="s">
        <v>902</v>
      </c>
      <c r="I215" s="226">
        <v>43108.190636574072</v>
      </c>
      <c r="J215" s="225">
        <v>0</v>
      </c>
      <c r="K215" s="237" t="str">
        <f t="shared" si="93"/>
        <v>4033/4034</v>
      </c>
      <c r="L215" s="245" t="str">
        <f>VLOOKUP(A215,'Trips&amp;Operators'!$C$1:$G$99911,5,FALSE)</f>
        <v>MAELZER KURT</v>
      </c>
      <c r="M215" s="224">
        <f t="shared" si="94"/>
        <v>5.914351851970423E-3</v>
      </c>
      <c r="N215" s="225">
        <f t="shared" ref="N215:N250" si="115">24*60*SUM($M215:$M215)</f>
        <v>8.5166666668374091</v>
      </c>
      <c r="O215" s="225"/>
      <c r="P215" s="225"/>
      <c r="Q215" s="228"/>
      <c r="R215" s="242"/>
      <c r="S215" s="249">
        <f t="shared" ref="S215:S250" si="116">1/IF(AG215="EC",12,1)*SUM(U215:U215)</f>
        <v>1</v>
      </c>
      <c r="T215" s="242" t="str">
        <f t="shared" si="95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96"/>
        <v>https://d0f6bd738d7f1b3e5a7ca70fe4ff75f0.us-east-1.aws.found.io/app/kibana#/discover/Steve-Slow-Train-Analysis-(2080s-and-2083s)?_g=(refreshInterval:(display:Off,pause:!f,section:0,value:0),time:(from:'2018-01-08T03:20:27-0700',mode:absolute,to:'2018-01-08T05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5" s="247" t="str">
        <f>IF(AA215&lt;VLOOKUP(AG215,Variables!$AC$3:$AD$8,2,FALSE),"Y","N")</f>
        <v>Y</v>
      </c>
      <c r="X215" s="247">
        <f t="shared" si="97"/>
        <v>1</v>
      </c>
      <c r="Y215" s="247">
        <f t="shared" si="108"/>
        <v>1.9635</v>
      </c>
      <c r="Z215" s="247">
        <f t="shared" si="109"/>
        <v>1.89E-2</v>
      </c>
      <c r="AA215" s="247">
        <f t="shared" si="98"/>
        <v>1.9446000000000001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99"/>
        <v>308</v>
      </c>
      <c r="AE215" s="235" t="str">
        <f t="shared" si="100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215" s="234" t="str">
        <f t="shared" si="101"/>
        <v>"C:\Program Files (x86)\AstroGrep\AstroGrep.exe" /e /r /s /spath="%USERPROFILE%\AppData\Local\Temp\OnboardLogs" /stypes="app*4033*20180108*" /stext=" 11:.+((SYSTEM_STATE.+slice.+state.+changed )|(ment ac)|(multiple cpu faults)|(system.+state.+changed )|(\[timeout)|(PRM\|1\|D)|(kpr)|(kdp)|(train st.+moving)|(\|lc)|(penalty))"</v>
      </c>
      <c r="AG215" s="244" t="str">
        <f t="shared" si="102"/>
        <v>Other</v>
      </c>
      <c r="AH215" s="236" t="str">
        <f t="shared" si="110"/>
        <v>"%USERPROFILE%\Documents\GitHub\eaglep3\Utilities\RefineRTDCRunTimes.py" --tripid 308-08 --locoid 4033 --swversion DE.1.0.9.0 --startMP 300:19635 --initTime 2018-01-08T04:20:27 --startdatetime 2018-01-08T04:26:00 --delay 65 --endMP 204:189 --enddatetime 2018-01-08T04:34:31 --enforcementcount 0 &gt;&gt;%USERPROFILE%\Documents\GitHub\eaglep3-reporting\EC\2018-01-08-refined-times.txt</v>
      </c>
      <c r="AI215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{"issue":{"subject":"","project_id":79,"tracker_id":40,"status_id":1,"priority_id":2,"assigned_to_id":338,"start_date":"2018-01-08","description":"","custom_fields":[{"id":1,"name":"Subdivision","value":"Other"},{"id":4,"name":"Milepost","value":"0.0189"},{"id":17,"name":"Train ID","value":"308-08"},{"id":16,"name":"Locomotive ID","value":"4033"},{"id":130,"name":"Impact","value":""},{"id":150,"name":"Time of Event (Mountain Time)","value":"04:34:31"},{"id":151,"name":"Denver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112"/>
        <v>start /low /b %USERPROFILE%\Documents\GitHub\eaglep3\Utilities\DownloadLogsFromS3.py --loco 4033 --day 2018-01-08</v>
      </c>
      <c r="AN215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14"/>
        <v>https://d0f6bd738d7f1b3e5a7ca70fe4ff75f0.us-east-1.aws.found.io/app/kibana#/discover/Steve-Slow-Train-Analysis-(2080s-and-2083s)?_g=(refreshInterval:(display:Off,pause:!f,section:0,value:0),time:(from:'2018-01-08T03:20:27-0700',mode:absolute,to:'2018-01-08T05:34:31-0700'))&amp;_a=(columns:!('Message%20ID',Summary),filters:!(),index:'emp_*',interval:auto,query:(query_string:(analyze_wildcard:!t,query:'%22rtdc.l.rtdc.4033%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 s="229" t="s">
        <v>453</v>
      </c>
      <c r="B216" s="225">
        <v>4026</v>
      </c>
      <c r="C216" s="227" t="s">
        <v>191</v>
      </c>
      <c r="D216" s="227" t="s">
        <v>961</v>
      </c>
      <c r="E216" s="226">
        <v>43109.066840277781</v>
      </c>
      <c r="F216" s="226">
        <v>43109.068379629629</v>
      </c>
      <c r="G216" s="225">
        <v>62</v>
      </c>
      <c r="H216" s="227" t="s">
        <v>551</v>
      </c>
      <c r="I216" s="226">
        <v>43109.075671296298</v>
      </c>
      <c r="J216" s="225">
        <v>0</v>
      </c>
      <c r="K216" s="237" t="str">
        <f t="shared" si="93"/>
        <v>4025/4026</v>
      </c>
      <c r="L216" s="245" t="str">
        <f>VLOOKUP(A216,'Trips&amp;Operators'!$C$1:$G$99911,5,FALSE)</f>
        <v>RESPASS AARON</v>
      </c>
      <c r="M216" s="224">
        <f t="shared" si="94"/>
        <v>7.291666668606922E-3</v>
      </c>
      <c r="N216" s="225">
        <f t="shared" si="115"/>
        <v>10.500000002793968</v>
      </c>
      <c r="O216" s="225"/>
      <c r="P216" s="225"/>
      <c r="Q216" s="228"/>
      <c r="R216" s="242"/>
      <c r="S216" s="249">
        <f t="shared" si="116"/>
        <v>1</v>
      </c>
      <c r="T216" s="242" t="str">
        <f t="shared" si="95"/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96"/>
        <v>https://d0f6bd738d7f1b3e5a7ca70fe4ff75f0.us-east-1.aws.found.io/app/kibana#/discover/Steve-Slow-Train-Analysis-(2080s-and-2083s)?_g=(refreshInterval:(display:Off,pause:!f,section:0,value:0),time:(from:'2018-01-09T00:36:15-0700',mode:absolute,to:'2018-01-09T02:48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6" s="247" t="str">
        <f>IF(AA216&lt;VLOOKUP(AG216,Variables!$AC$3:$AD$8,2,FALSE),"Y","N")</f>
        <v>Y</v>
      </c>
      <c r="X216" s="247">
        <f t="shared" si="97"/>
        <v>1</v>
      </c>
      <c r="Y216" s="247">
        <f t="shared" si="108"/>
        <v>5.91E-2</v>
      </c>
      <c r="Z216" s="247">
        <f t="shared" si="109"/>
        <v>2.3308</v>
      </c>
      <c r="AA216" s="247">
        <f t="shared" si="98"/>
        <v>2.2717000000000001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99"/>
        <v>309</v>
      </c>
      <c r="AE216" s="235" t="str">
        <f t="shared" si="100"/>
        <v>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 &amp; 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</v>
      </c>
      <c r="AF216" s="234" t="str">
        <f t="shared" si="101"/>
        <v>"C:\Program Files (x86)\AstroGrep\AstroGrep.exe" /e /r /s /spath="%USERPROFILE%\AppData\Local\Temp\OnboardLogs" /stypes="app*4026*20180109*" /stext=" 08:.+((SYSTEM_STATE.+slice.+state.+changed )|(ment ac)|(multiple cpu faults)|(system.+state.+changed )|(\[timeout)|(PRM\|1\|D)|(kpr)|(kdp)|(train st.+moving)|(\|lc)|(penalty))"</v>
      </c>
      <c r="AG216" s="244" t="str">
        <f t="shared" si="102"/>
        <v>Other</v>
      </c>
      <c r="AH216" s="236" t="str">
        <f t="shared" si="110"/>
        <v>"%USERPROFILE%\Documents\GitHub\eaglep3\Utilities\RefineRTDCRunTimes.py" --tripid 309-08 --locoid 4026 --swversion DE.1.0.9.0 --startMP 204:591 --initTime 2018-01-09T01:36:15 --startdatetime 2018-01-09T01:38:28 --delay 62 --endMP 300:23308 --enddatetime 2018-01-09T01:48:58 --enforcementcount 0 &gt;&gt;%USERPROFILE%\Documents\GitHub\eaglep3-reporting\EC\2018-01-08-refined-times.txt</v>
      </c>
      <c r="AI216" s="238" t="str">
        <f t="shared" si="111"/>
        <v>echo {"issue":{"subject":"","project_id":79,"tracker_id":40,"status_id":1,"priority_id":2,"assigned_to_id":338,"start_date":"2018-01-09","description":"","custom_fields":[{"id":1,"name":"Subdivision","value":"Other"},{"id":4,"name":"Milepost","value":"2.3308"},{"id":17,"name":"Train ID","value":"309-08"},{"id":16,"name":"Locomotive ID","value":"4026"},{"id":130,"name":"Impact","value":""},{"id":150,"name":"Time of Event (Mountain Time)","value":"01:48:58"},{"id":151,"name":"Denver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112"/>
        <v>start /low /b %USERPROFILE%\Documents\GitHub\eaglep3\Utilities\DownloadLogsFromS3.py --loco 4026 --day 2018-01-09</v>
      </c>
      <c r="AN216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14"/>
        <v>https://d0f6bd738d7f1b3e5a7ca70fe4ff75f0.us-east-1.aws.found.io/app/kibana#/discover/Steve-Slow-Train-Analysis-(2080s-and-2083s)?_g=(refreshInterval:(display:Off,pause:!f,section:0,value:0),time:(from:'2018-01-09T00:36:15-0700',mode:absolute,to:'2018-01-09T02:48:58-0700'))&amp;_a=(columns:!('Message%20ID',Summary),filters:!(),index:'emp_*',interval:auto,query:(query_string:(analyze_wildcard:!t,query:'%22rtdc.l.rtdc.4026%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662</v>
      </c>
      <c r="B217" s="225">
        <v>4011</v>
      </c>
      <c r="C217" s="227" t="s">
        <v>191</v>
      </c>
      <c r="D217" s="227" t="s">
        <v>962</v>
      </c>
      <c r="E217" s="226">
        <v>43108.199305555558</v>
      </c>
      <c r="F217" s="226">
        <v>43108.201840277776</v>
      </c>
      <c r="G217" s="225">
        <v>54</v>
      </c>
      <c r="H217" s="227" t="s">
        <v>874</v>
      </c>
      <c r="I217" s="226">
        <v>43108.207662037035</v>
      </c>
      <c r="J217" s="225">
        <v>0</v>
      </c>
      <c r="K217" s="237" t="str">
        <f t="shared" si="93"/>
        <v>4011/4012</v>
      </c>
      <c r="L217" s="245" t="str">
        <f>VLOOKUP(A217,'Trips&amp;Operators'!$C$1:$G$99911,5,FALSE)</f>
        <v>DAVIDSON DAVID</v>
      </c>
      <c r="M217" s="224">
        <f t="shared" si="94"/>
        <v>5.8217592595610768E-3</v>
      </c>
      <c r="N217" s="225">
        <f t="shared" si="115"/>
        <v>8.3833333337679505</v>
      </c>
      <c r="O217" s="225"/>
      <c r="P217" s="225"/>
      <c r="Q217" s="228"/>
      <c r="R217" s="242"/>
      <c r="S217" s="249">
        <f t="shared" si="116"/>
        <v>1</v>
      </c>
      <c r="T217" s="242" t="str">
        <f t="shared" si="95"/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96"/>
        <v>https://d0f6bd738d7f1b3e5a7ca70fe4ff75f0.us-east-1.aws.found.io/app/kibana#/discover/Steve-Slow-Train-Analysis-(2080s-and-2083s)?_g=(refreshInterval:(display:Off,pause:!f,section:0,value:0),time:(from:'2018-01-08T03:47:00-0700',mode:absolute,to:'2018-01-08T05:59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247" t="str">
        <f>IF(AA217&lt;VLOOKUP(AG217,Variables!$AC$3:$AD$8,2,FALSE),"Y","N")</f>
        <v>Y</v>
      </c>
      <c r="X217" s="247">
        <f t="shared" si="97"/>
        <v>1</v>
      </c>
      <c r="Y217" s="247">
        <f t="shared" si="108"/>
        <v>2.3109999999999999</v>
      </c>
      <c r="Z217" s="247">
        <f t="shared" si="109"/>
        <v>1.7600000000000001E-2</v>
      </c>
      <c r="AA217" s="247">
        <f t="shared" si="98"/>
        <v>2.2934000000000001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99"/>
        <v>310</v>
      </c>
      <c r="AE217" s="235" t="str">
        <f t="shared" si="100"/>
        <v>aws s3 cp s3://rtdc.mdm.uploadarchive.raw/RTDC4011/ "%USERPROFILE%\AppData\Local\Temp\OnboardLogs"\RTDC4011\2018-01-08 --exclude "*" --recursive --include "*20180108*" &amp; "%USERPROFILE%\Documents\GitHub\mrs-test-scripts\Headless Mode &amp; Sideloading\WalkAndUnGZ.bat" "%USERPROFILE%\AppData\Local\Temp\OnboardLogs"\RTDC4011\2018-01-08 &amp; aws s3 cp s3://rtdc.mdm.uploadarchive.raw/RTDC4011/ "%USERPROFILE%\AppData\Local\Temp\OnboardLogs"\RTDC4011\2018-01-09 --exclude "*" --recursive --include "*20180109*" &amp; "%USERPROFILE%\Documents\GitHub\mrs-test-scripts\Headless Mode &amp; Sideloading\WalkAndUnGZ.bat" "%USERPROFILE%\AppData\Local\Temp\OnboardLogs"\RTDC4011\2018-01-09</v>
      </c>
      <c r="AF217" s="234" t="str">
        <f t="shared" si="101"/>
        <v>"C:\Program Files (x86)\AstroGrep\AstroGrep.exe" /e /r /s /spath="%USERPROFILE%\AppData\Local\Temp\OnboardLogs" /stypes="app*4011*20180108*" /stext=" 11:.+((SYSTEM_STATE.+slice.+state.+changed )|(ment ac)|(multiple cpu faults)|(system.+state.+changed )|(\[timeout)|(PRM\|1\|D)|(kpr)|(kdp)|(train st.+moving)|(\|lc)|(penalty))"</v>
      </c>
      <c r="AG217" s="244" t="str">
        <f t="shared" si="102"/>
        <v>Other</v>
      </c>
      <c r="AH217" s="236" t="str">
        <f t="shared" si="110"/>
        <v>"%USERPROFILE%\Documents\GitHub\eaglep3\Utilities\RefineRTDCRunTimes.py" --tripid 310-08 --locoid 4011 --swversion DE.1.0.9.0 --startMP 300:23110 --initTime 2018-01-08T04:47:00 --startdatetime 2018-01-08T04:50:39 --delay 54 --endMP 204:176 --enddatetime 2018-01-08T04:59:02 --enforcementcount 0 &gt;&gt;%USERPROFILE%\Documents\GitHub\eaglep3-reporting\EC\2018-01-08-refined-times.txt</v>
      </c>
      <c r="AI217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{"issue":{"subject":"","project_id":79,"tracker_id":40,"status_id":1,"priority_id":2,"assigned_to_id":338,"start_date":"2018-01-08","description":"","custom_fields":[{"id":1,"name":"Subdivision","value":"Other"},{"id":4,"name":"Milepost","value":"0.0176"},{"id":17,"name":"Train ID","value":"310-08"},{"id":16,"name":"Locomotive ID","value":"4011"},{"id":130,"name":"Impact","value":""},{"id":150,"name":"Time of Event (Mountain Time)","value":"04:59:02"},{"id":151,"name":"Denver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112"/>
        <v>start /low /b %USERPROFILE%\Documents\GitHub\eaglep3\Utilities\DownloadLogsFromS3.py --loco 4011 --day 2018-01-08</v>
      </c>
      <c r="AN217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11:59:02"},{"id":29,"name":"Sharepoint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14"/>
        <v>https://d0f6bd738d7f1b3e5a7ca70fe4ff75f0.us-east-1.aws.found.io/app/kibana#/discover/Steve-Slow-Train-Analysis-(2080s-and-2083s)?_g=(refreshInterval:(display:Off,pause:!f,section:0,value:0),time:(from:'2018-01-08T03:47:00-0700',mode:absolute,to:'2018-01-08T05:59:02-0700'))&amp;_a=(columns:!('Message%20ID',Summary),filters:!(),index:'emp_*',interval:auto,query:(query_string:(analyze_wildcard:!t,query:'%22rtdc.l.rtdc.4011%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671</v>
      </c>
      <c r="B218" s="225">
        <v>4053</v>
      </c>
      <c r="C218" s="227" t="s">
        <v>191</v>
      </c>
      <c r="D218" s="227" t="s">
        <v>963</v>
      </c>
      <c r="E218" s="226">
        <v>43108.221759259257</v>
      </c>
      <c r="F218" s="226">
        <v>43108.224502314813</v>
      </c>
      <c r="G218" s="225">
        <v>71</v>
      </c>
      <c r="H218" s="227" t="s">
        <v>509</v>
      </c>
      <c r="I218" s="226">
        <v>43108.23201388889</v>
      </c>
      <c r="J218" s="225">
        <v>0</v>
      </c>
      <c r="K218" s="237" t="str">
        <f t="shared" si="93"/>
        <v>4053/4054</v>
      </c>
      <c r="L218" s="245" t="str">
        <f>VLOOKUP(A218,'Trips&amp;Operators'!$C$1:$G$99911,5,FALSE)</f>
        <v>ROMERO CHAD</v>
      </c>
      <c r="M218" s="224">
        <f t="shared" si="94"/>
        <v>7.5115740764886141E-3</v>
      </c>
      <c r="N218" s="225">
        <f t="shared" si="115"/>
        <v>10.816666670143604</v>
      </c>
      <c r="O218" s="225"/>
      <c r="P218" s="225"/>
      <c r="Q218" s="228"/>
      <c r="R218" s="242"/>
      <c r="S218" s="249">
        <f t="shared" si="116"/>
        <v>1</v>
      </c>
      <c r="T218" s="242" t="str">
        <f t="shared" si="95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96"/>
        <v>https://d0f6bd738d7f1b3e5a7ca70fe4ff75f0.us-east-1.aws.found.io/app/kibana#/discover/Steve-Slow-Train-Analysis-(2080s-and-2083s)?_g=(refreshInterval:(display:Off,pause:!f,section:0,value:0),time:(from:'2018-01-08T04:19:20-0700',mode:absolute,to:'2018-01-08T06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8" s="247" t="str">
        <f>IF(AA218&lt;VLOOKUP(AG218,Variables!$AC$3:$AD$8,2,FALSE),"Y","N")</f>
        <v>Y</v>
      </c>
      <c r="X218" s="247">
        <f t="shared" si="97"/>
        <v>2</v>
      </c>
      <c r="Y218" s="247">
        <f t="shared" si="108"/>
        <v>2.3896000000000002</v>
      </c>
      <c r="Z218" s="247">
        <f t="shared" si="109"/>
        <v>1.9800000000000002E-2</v>
      </c>
      <c r="AA218" s="247">
        <f t="shared" si="98"/>
        <v>2.3698000000000001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99"/>
        <v>312</v>
      </c>
      <c r="AE218" s="235" t="str">
        <f t="shared" si="100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218" s="234" t="str">
        <f t="shared" si="101"/>
        <v>"C:\Program Files (x86)\AstroGrep\AstroGrep.exe" /e /r /s /spath="%USERPROFILE%\AppData\Local\Temp\OnboardLogs" /stypes="app*4053*20180108*" /stext=" 12:.+((SYSTEM_STATE.+slice.+state.+changed )|(ment ac)|(multiple cpu faults)|(system.+state.+changed )|(\[timeout)|(PRM\|1\|D)|(kpr)|(kdp)|(train st.+moving)|(\|lc)|(penalty))"</v>
      </c>
      <c r="AG218" s="244" t="str">
        <f t="shared" si="102"/>
        <v>Other</v>
      </c>
      <c r="AH218" s="236" t="str">
        <f t="shared" si="110"/>
        <v>"%USERPROFILE%\Documents\GitHub\eaglep3\Utilities\RefineRTDCRunTimes.py" --tripid 312-08 --locoid 4053 --swversion DE.1.0.9.0 --startMP 300:23896 --initTime 2018-01-08T05:19:20 --startdatetime 2018-01-08T05:23:17 --delay 71 --endMP 204:198 --enddatetime 2018-01-08T05:34:06 --enforcementcount 0 &gt;&gt;%USERPROFILE%\Documents\GitHub\eaglep3-reporting\EC\2018-01-08-refined-times.txt</v>
      </c>
      <c r="AI218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{"issue":{"subject":"","project_id":79,"tracker_id":40,"status_id":1,"priority_id":2,"assigned_to_id":338,"start_date":"2018-01-08","description":"","custom_fields":[{"id":1,"name":"Subdivision","value":"Other"},{"id":4,"name":"Milepost","value":"0.0198"},{"id":17,"name":"Train ID","value":"312-08"},{"id":16,"name":"Locomotive ID","value":"4053"},{"id":130,"name":"Impact","value":""},{"id":150,"name":"Time of Event (Mountain Time)","value":"05:34:06"},{"id":151,"name":"Denver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112"/>
        <v>start /low /b %USERPROFILE%\Documents\GitHub\eaglep3\Utilities\DownloadLogsFromS3.py --loco 4053 --day 2018-01-08</v>
      </c>
      <c r="AN218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14"/>
        <v>https://d0f6bd738d7f1b3e5a7ca70fe4ff75f0.us-east-1.aws.found.io/app/kibana#/discover/Steve-Slow-Train-Analysis-(2080s-and-2083s)?_g=(refreshInterval:(display:Off,pause:!f,section:0,value:0),time:(from:'2018-01-08T04:19:20-0700',mode:absolute,to:'2018-01-08T06:34:06-0700'))&amp;_a=(columns:!('Message%20ID',Summary),filters:!(),index:'emp_*',interval:auto,query:(query_string:(analyze_wildcard:!t,query:'%22rtdc.l.rtdc.4053%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664</v>
      </c>
      <c r="B219" s="225">
        <v>4030</v>
      </c>
      <c r="C219" s="227" t="s">
        <v>191</v>
      </c>
      <c r="D219" s="227" t="s">
        <v>1066</v>
      </c>
      <c r="E219" s="226">
        <v>43108.199548611112</v>
      </c>
      <c r="F219" s="226">
        <v>43108.204293981478</v>
      </c>
      <c r="G219" s="225">
        <v>106</v>
      </c>
      <c r="H219" s="227" t="s">
        <v>596</v>
      </c>
      <c r="I219" s="226">
        <v>43108.210011574076</v>
      </c>
      <c r="J219" s="225">
        <v>0</v>
      </c>
      <c r="K219" s="237" t="str">
        <f t="shared" si="93"/>
        <v>4029/4030</v>
      </c>
      <c r="L219" s="245" t="str">
        <f>VLOOKUP(A219,'Trips&amp;Operators'!$C$1:$G$99911,5,FALSE)</f>
        <v>MACDONALD THOMAS</v>
      </c>
      <c r="M219" s="224">
        <f t="shared" si="94"/>
        <v>5.7175925976480357E-3</v>
      </c>
      <c r="N219" s="225">
        <f t="shared" si="115"/>
        <v>8.2333333406131715</v>
      </c>
      <c r="O219" s="225"/>
      <c r="P219" s="225"/>
      <c r="Q219" s="228"/>
      <c r="R219" s="242"/>
      <c r="S219" s="249">
        <f t="shared" si="116"/>
        <v>0</v>
      </c>
      <c r="T219" s="242" t="str">
        <f t="shared" si="95"/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96"/>
        <v>https://d0f6bd738d7f1b3e5a7ca70fe4ff75f0.us-east-1.aws.found.io/app/kibana#/discover/Steve-Slow-Train-Analysis-(2080s-and-2083s)?_g=(refreshInterval:(display:Off,pause:!f,section:0,value:0),time:(from:'2018-01-08T03:47:21-0700',mode:absolute,to:'2018-01-08T06:02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247" t="str">
        <f>IF(AA219&lt;VLOOKUP(AG219,Variables!$AC$3:$AD$8,2,FALSE),"Y","N")</f>
        <v>Y</v>
      </c>
      <c r="X219" s="247">
        <f t="shared" si="97"/>
        <v>589</v>
      </c>
      <c r="Y219" s="247">
        <f t="shared" si="108"/>
        <v>3.0179999999999998</v>
      </c>
      <c r="Z219" s="247">
        <f t="shared" si="109"/>
        <v>5.8914</v>
      </c>
      <c r="AA219" s="247">
        <f t="shared" si="98"/>
        <v>2.8734000000000002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99"/>
        <v>901</v>
      </c>
      <c r="AE219" s="235" t="str">
        <f t="shared" si="100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219" s="234" t="str">
        <f t="shared" si="101"/>
        <v>"C:\Program Files (x86)\AstroGrep\AstroGrep.exe" /e /r /s /spath="%USERPROFILE%\AppData\Local\Temp\OnboardLogs" /stypes="app*4030*20180108*" /stext=" 12:.+((SYSTEM_STATE.+slice.+state.+changed )|(ment ac)|(multiple cpu faults)|(system.+state.+changed )|(\[timeout)|(PRM\|1\|D)|(kpr)|(kdp)|(train st.+moving)|(\|lc)|(penalty))"</v>
      </c>
      <c r="AG219" s="244" t="str">
        <f t="shared" si="102"/>
        <v>Other</v>
      </c>
      <c r="AH219" s="236" t="str">
        <f t="shared" si="110"/>
        <v>"%USERPROFILE%\Documents\GitHub\eaglep3\Utilities\RefineRTDCRunTimes.py" --tripid 901-08 --locoid 4030 --swversion DE.1.0.9.0 --startMP 300:30180 --initTime 2018-01-08T04:47:21 --startdatetime 2018-01-08T04:54:11 --delay 106 --endMP 300:58914 --enddatetime 2018-01-08T05:02:25 --enforcementcount 0 &gt;&gt;%USERPROFILE%\Documents\GitHub\eaglep3-reporting\EC\2018-01-08-refined-times.txt</v>
      </c>
      <c r="AI219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{"issue":{"subject":"","project_id":79,"tracker_id":40,"status_id":1,"priority_id":2,"assigned_to_id":338,"start_date":"2018-01-08","description":"","custom_fields":[{"id":1,"name":"Subdivision","value":"Other"},{"id":4,"name":"Milepost","value":"5.8914"},{"id":17,"name":"Train ID","value":"901-08"},{"id":16,"name":"Locomotive ID","value":"4030"},{"id":130,"name":"Impact","value":""},{"id":150,"name":"Time of Event (Mountain Time)","value":"05:02:25"},{"id":151,"name":"Denver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112"/>
        <v>start /low /b %USERPROFILE%\Documents\GitHub\eaglep3\Utilities\DownloadLogsFromS3.py --loco 4030 --day 2018-01-08</v>
      </c>
      <c r="AN219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12:02:25"},{"id":29,"name":"Sharepoint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14"/>
        <v>https://d0f6bd738d7f1b3e5a7ca70fe4ff75f0.us-east-1.aws.found.io/app/kibana#/discover/Steve-Slow-Train-Analysis-(2080s-and-2083s)?_g=(refreshInterval:(display:Off,pause:!f,section:0,value:0),time:(from:'2018-01-08T03:47:21-0700',mode:absolute,to:'2018-01-08T06:02:25-0700'))&amp;_a=(columns:!('Message%20ID',Summary),filters:!(),index:'emp_*',interval:auto,query:(query_string:(analyze_wildcard:!t,query:'%22rtdc.l.rtdc.4030%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3" customFormat="1" x14ac:dyDescent="0.3">
      <c r="A220" s="229" t="s">
        <v>709</v>
      </c>
      <c r="B220" s="225">
        <v>4030</v>
      </c>
      <c r="C220" s="227" t="s">
        <v>191</v>
      </c>
      <c r="D220" s="227" t="s">
        <v>1016</v>
      </c>
      <c r="E220" s="226">
        <v>43108.3515625</v>
      </c>
      <c r="F220" s="226">
        <v>43108.353310185186</v>
      </c>
      <c r="G220" s="225">
        <v>96</v>
      </c>
      <c r="H220" s="227" t="s">
        <v>1067</v>
      </c>
      <c r="I220" s="226">
        <v>43108.358703703707</v>
      </c>
      <c r="J220" s="225">
        <v>0</v>
      </c>
      <c r="K220" s="237" t="str">
        <f t="shared" si="93"/>
        <v>4029/4030</v>
      </c>
      <c r="L220" s="245" t="str">
        <f>VLOOKUP(A220,'Trips&amp;Operators'!$C$1:$G$99911,5,FALSE)</f>
        <v>MACDONALD THOMAS</v>
      </c>
      <c r="M220" s="224">
        <f t="shared" si="94"/>
        <v>5.393518520577345E-3</v>
      </c>
      <c r="N220" s="225">
        <f t="shared" si="115"/>
        <v>7.7666666696313769</v>
      </c>
      <c r="O220" s="225"/>
      <c r="P220" s="225"/>
      <c r="Q220" s="228"/>
      <c r="R220" s="242"/>
      <c r="S220" s="249">
        <f t="shared" si="116"/>
        <v>1</v>
      </c>
      <c r="T220" s="242" t="str">
        <f t="shared" si="95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96"/>
        <v>https://d0f6bd738d7f1b3e5a7ca70fe4ff75f0.us-east-1.aws.found.io/app/kibana#/discover/Steve-Slow-Train-Analysis-(2080s-and-2083s)?_g=(refreshInterval:(display:Off,pause:!f,section:0,value:0),time:(from:'2018-01-08T07:26:15-0700',mode:absolute,to:'2018-01-08T09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247" t="str">
        <f>IF(AA220&lt;VLOOKUP(AG220,Variables!$AC$3:$AD$8,2,FALSE),"Y","N")</f>
        <v>Y</v>
      </c>
      <c r="X220" s="247">
        <f t="shared" si="97"/>
        <v>2</v>
      </c>
      <c r="Y220" s="247">
        <f t="shared" si="108"/>
        <v>4.4600000000000001E-2</v>
      </c>
      <c r="Z220" s="247">
        <f t="shared" si="109"/>
        <v>2.4258000000000002</v>
      </c>
      <c r="AA220" s="247">
        <f t="shared" si="98"/>
        <v>2.3812000000000002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99"/>
        <v>903</v>
      </c>
      <c r="AE220" s="235" t="str">
        <f t="shared" si="100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220" s="234" t="str">
        <f t="shared" si="101"/>
        <v>"C:\Program Files (x86)\AstroGrep\AstroGrep.exe" /e /r /s /spath="%USERPROFILE%\AppData\Local\Temp\OnboardLogs" /stypes="app*4030*20180108*" /stext=" 15:.+((SYSTEM_STATE.+slice.+state.+changed )|(ment ac)|(multiple cpu faults)|(system.+state.+changed )|(\[timeout)|(PRM\|1\|D)|(kpr)|(kdp)|(train st.+moving)|(\|lc)|(penalty))"</v>
      </c>
      <c r="AG220" s="244" t="str">
        <f t="shared" si="102"/>
        <v>Other</v>
      </c>
      <c r="AH220" s="236" t="str">
        <f t="shared" si="110"/>
        <v>"%USERPROFILE%\Documents\GitHub\eaglep3\Utilities\RefineRTDCRunTimes.py" --tripid 903-08 --locoid 4030 --swversion DE.1.0.9.0 --startMP 204:446 --initTime 2018-01-08T08:26:15 --startdatetime 2018-01-08T08:28:46 --delay 96 --endMP 300:24258 --enddatetime 2018-01-08T08:36:32 --enforcementcount 0 &gt;&gt;%USERPROFILE%\Documents\GitHub\eaglep3-reporting\EC\2018-01-08-refined-times.txt</v>
      </c>
      <c r="AI220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{"issue":{"subject":"","project_id":79,"tracker_id":40,"status_id":1,"priority_id":2,"assigned_to_id":338,"start_date":"2018-01-08","description":"","custom_fields":[{"id":1,"name":"Subdivision","value":"Other"},{"id":4,"name":"Milepost","value":"2.4258"},{"id":17,"name":"Train ID","value":"903-08"},{"id":16,"name":"Locomotive ID","value":"4030"},{"id":130,"name":"Impact","value":""},{"id":150,"name":"Time of Event (Mountain Time)","value":"08:36:32"},{"id":151,"name":"Denver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1"/>
      <c r="AL220" s="231"/>
      <c r="AM220" s="240" t="str">
        <f t="shared" si="112"/>
        <v>start /low /b %USERPROFILE%\Documents\GitHub\eaglep3\Utilities\DownloadLogsFromS3.py --loco 4030 --day 2018-01-08</v>
      </c>
      <c r="AN220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14"/>
        <v>https://d0f6bd738d7f1b3e5a7ca70fe4ff75f0.us-east-1.aws.found.io/app/kibana#/discover/Steve-Slow-Train-Analysis-(2080s-and-2083s)?_g=(refreshInterval:(display:Off,pause:!f,section:0,value:0),time:(from:'2018-01-08T07:26:15-0700',mode:absolute,to:'2018-01-08T09:36:32-0700'))&amp;_a=(columns:!('Message%20ID',Summary),filters:!(),index:'emp_*',interval:auto,query:(query_string:(analyze_wildcard:!t,query:'%22rtdc.l.rtdc.4030%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 s="229" t="s">
        <v>781</v>
      </c>
      <c r="B221" s="225">
        <v>4029</v>
      </c>
      <c r="C221" s="227" t="s">
        <v>191</v>
      </c>
      <c r="D221" s="227" t="s">
        <v>1068</v>
      </c>
      <c r="E221" s="226">
        <v>43108.635752314818</v>
      </c>
      <c r="F221" s="226">
        <v>43108.639872685184</v>
      </c>
      <c r="G221" s="225">
        <v>97</v>
      </c>
      <c r="H221" s="227" t="s">
        <v>1069</v>
      </c>
      <c r="I221" s="226">
        <v>43108.644675925927</v>
      </c>
      <c r="J221" s="225">
        <v>0</v>
      </c>
      <c r="K221" s="237" t="str">
        <f t="shared" si="93"/>
        <v>4029/4030</v>
      </c>
      <c r="L221" s="245" t="str">
        <f>VLOOKUP(A221,'Trips&amp;Operators'!$C$1:$G$99911,5,FALSE)</f>
        <v>STAMBAUGH JAMES</v>
      </c>
      <c r="M221" s="224">
        <f t="shared" si="94"/>
        <v>4.803240743058268E-3</v>
      </c>
      <c r="N221" s="225">
        <f t="shared" si="115"/>
        <v>6.9166666700039059</v>
      </c>
      <c r="O221" s="225"/>
      <c r="P221" s="225"/>
      <c r="Q221" s="228"/>
      <c r="R221" s="242"/>
      <c r="S221" s="249">
        <f t="shared" si="116"/>
        <v>1</v>
      </c>
      <c r="T221" s="242" t="str">
        <f t="shared" si="95"/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96"/>
        <v>https://d0f6bd738d7f1b3e5a7ca70fe4ff75f0.us-east-1.aws.found.io/app/kibana#/discover/Steve-Slow-Train-Analysis-(2080s-and-2083s)?_g=(refreshInterval:(display:Off,pause:!f,section:0,value:0),time:(from:'2018-01-08T14:15:29-0700',mode:absolute,to:'2018-01-08T16:28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1" s="247" t="str">
        <f>IF(AA221&lt;VLOOKUP(AG221,Variables!$AC$3:$AD$8,2,FALSE),"Y","N")</f>
        <v>Y</v>
      </c>
      <c r="X221" s="247">
        <f t="shared" si="97"/>
        <v>1</v>
      </c>
      <c r="Y221" s="247">
        <f t="shared" si="108"/>
        <v>2.3668999999999998</v>
      </c>
      <c r="Z221" s="247">
        <f t="shared" si="109"/>
        <v>1.26E-2</v>
      </c>
      <c r="AA221" s="247">
        <f t="shared" si="98"/>
        <v>2.3542999999999998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99"/>
        <v>904</v>
      </c>
      <c r="AE221" s="235" t="str">
        <f t="shared" si="100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221" s="234" t="str">
        <f t="shared" si="101"/>
        <v>"C:\Program Files (x86)\AstroGrep\AstroGrep.exe" /e /r /s /spath="%USERPROFILE%\AppData\Local\Temp\OnboardLogs" /stypes="app*4029*20180108*" /stext=" 22:.+((SYSTEM_STATE.+slice.+state.+changed )|(ment ac)|(multiple cpu faults)|(system.+state.+changed )|(\[timeout)|(PRM\|1\|D)|(kpr)|(kdp)|(train st.+moving)|(\|lc)|(penalty))"</v>
      </c>
      <c r="AG221" s="244" t="str">
        <f t="shared" si="102"/>
        <v>Other</v>
      </c>
      <c r="AH221" s="236" t="str">
        <f t="shared" si="110"/>
        <v>"%USERPROFILE%\Documents\GitHub\eaglep3\Utilities\RefineRTDCRunTimes.py" --tripid 904-08 --locoid 4029 --swversion DE.1.0.9.0 --startMP 300:23669 --initTime 2018-01-08T15:15:29 --startdatetime 2018-01-08T15:21:25 --delay 97 --endMP 204:126 --enddatetime 2018-01-08T15:28:20 --enforcementcount 0 &gt;&gt;%USERPROFILE%\Documents\GitHub\eaglep3-reporting\EC\2018-01-08-refined-times.txt</v>
      </c>
      <c r="AI221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{"issue":{"subject":"","project_id":79,"tracker_id":40,"status_id":1,"priority_id":2,"assigned_to_id":338,"start_date":"2018-01-08","description":"","custom_fields":[{"id":1,"name":"Subdivision","value":"Other"},{"id":4,"name":"Milepost","value":"0.0126"},{"id":17,"name":"Train ID","value":"904-08"},{"id":16,"name":"Locomotive ID","value":"4029"},{"id":130,"name":"Impact","value":""},{"id":150,"name":"Time of Event (Mountain Time)","value":"15:28:20"},{"id":151,"name":"Denver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112"/>
        <v>start /low /b %USERPROFILE%\Documents\GitHub\eaglep3\Utilities\DownloadLogsFromS3.py --loco 4029 --day 2018-01-08</v>
      </c>
      <c r="AN221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22:28:20"},{"id":29,"name":"Sharepoint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14"/>
        <v>https://d0f6bd738d7f1b3e5a7ca70fe4ff75f0.us-east-1.aws.found.io/app/kibana#/discover/Steve-Slow-Train-Analysis-(2080s-and-2083s)?_g=(refreshInterval:(display:Off,pause:!f,section:0,value:0),time:(from:'2018-01-08T14:15:29-0700',mode:absolute,to:'2018-01-08T16:28:20-0700'))&amp;_a=(columns:!('Message%20ID',Summary),filters:!(),index:'emp_*',interval:auto,query:(query_string:(analyze_wildcard:!t,query:'%22rtdc.l.rtdc.4029%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29" t="s">
        <v>829</v>
      </c>
      <c r="B222" s="225">
        <v>4029</v>
      </c>
      <c r="C222" s="227" t="s">
        <v>191</v>
      </c>
      <c r="D222" s="227" t="s">
        <v>1055</v>
      </c>
      <c r="E222" s="226">
        <v>43108.787986111114</v>
      </c>
      <c r="F222" s="226">
        <v>43108.788981481484</v>
      </c>
      <c r="G222" s="225">
        <v>50</v>
      </c>
      <c r="H222" s="227" t="s">
        <v>1070</v>
      </c>
      <c r="I222" s="226">
        <v>43108.794525462959</v>
      </c>
      <c r="J222" s="225">
        <v>0</v>
      </c>
      <c r="K222" s="237" t="str">
        <f t="shared" si="93"/>
        <v>4029/4030</v>
      </c>
      <c r="L222" s="245" t="str">
        <f>VLOOKUP(A222,'Trips&amp;Operators'!$C$1:$G$99911,5,FALSE)</f>
        <v>STAMBAUGH JAMES</v>
      </c>
      <c r="M222" s="224">
        <f t="shared" si="94"/>
        <v>5.5439814750570804E-3</v>
      </c>
      <c r="N222" s="225">
        <f t="shared" si="115"/>
        <v>7.9833333240821958</v>
      </c>
      <c r="O222" s="225"/>
      <c r="P222" s="225"/>
      <c r="Q222" s="228"/>
      <c r="R222" s="242"/>
      <c r="S222" s="249">
        <f t="shared" si="116"/>
        <v>0</v>
      </c>
      <c r="T222" s="242" t="str">
        <f t="shared" si="95"/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96"/>
        <v>https://d0f6bd738d7f1b3e5a7ca70fe4ff75f0.us-east-1.aws.found.io/app/kibana#/discover/Steve-Slow-Train-Analysis-(2080s-and-2083s)?_g=(refreshInterval:(display:Off,pause:!f,section:0,value:0),time:(from:'2018-01-08T17:54:42-0700',mode:absolute,to:'2018-01-08T20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247" t="str">
        <f>IF(AA222&lt;VLOOKUP(AG222,Variables!$AC$3:$AD$8,2,FALSE),"Y","N")</f>
        <v>Y</v>
      </c>
      <c r="X222" s="247">
        <f t="shared" si="97"/>
        <v>2</v>
      </c>
      <c r="Y222" s="247">
        <f t="shared" si="108"/>
        <v>5.8616999999999999</v>
      </c>
      <c r="Z222" s="247">
        <f t="shared" si="109"/>
        <v>2.8755000000000002</v>
      </c>
      <c r="AA222" s="247">
        <f t="shared" si="98"/>
        <v>2.9861999999999997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99"/>
        <v>906</v>
      </c>
      <c r="AE222" s="235" t="str">
        <f t="shared" si="100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222" s="234" t="str">
        <f t="shared" si="101"/>
        <v>"C:\Program Files (x86)\AstroGrep\AstroGrep.exe" /e /r /s /spath="%USERPROFILE%\AppData\Local\Temp\OnboardLogs" /stypes="app*4029*20180109*" /stext=" 02:.+((SYSTEM_STATE.+slice.+state.+changed )|(ment ac)|(multiple cpu faults)|(system.+state.+changed )|(\[timeout)|(PRM\|1\|D)|(kpr)|(kdp)|(train st.+moving)|(\|lc)|(penalty))"</v>
      </c>
      <c r="AG222" s="244" t="str">
        <f t="shared" si="102"/>
        <v>Other</v>
      </c>
      <c r="AH222" s="236" t="str">
        <f t="shared" si="110"/>
        <v>"%USERPROFILE%\Documents\GitHub\eaglep3\Utilities\RefineRTDCRunTimes.py" --tripid 906-08 --locoid 4029 --swversion DE.1.0.9.0 --startMP 300:58617 --initTime 2018-01-08T18:54:42 --startdatetime 2018-01-08T18:56:08 --delay 50 --endMP 300:28755 --enddatetime 2018-01-08T19:04:07 --enforcementcount 0 &gt;&gt;%USERPROFILE%\Documents\GitHub\eaglep3-reporting\EC\2018-01-08-refined-times.txt</v>
      </c>
      <c r="AI222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{"issue":{"subject":"","project_id":79,"tracker_id":40,"status_id":1,"priority_id":2,"assigned_to_id":338,"start_date":"2018-01-08","description":"","custom_fields":[{"id":1,"name":"Subdivision","value":"Other"},{"id":4,"name":"Milepost","value":"2.8755"},{"id":17,"name":"Train ID","value":"906-08"},{"id":16,"name":"Locomotive ID","value":"4029"},{"id":130,"name":"Impact","value":""},{"id":150,"name":"Time of Event (Mountain Time)","value":"19:04:07"},{"id":151,"name":"Denver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12"/>
        <v>start /low /b %USERPROFILE%\Documents\GitHub\eaglep3\Utilities\DownloadLogsFromS3.py --loco 4029 --day 2018-01-08</v>
      </c>
      <c r="AN222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14"/>
        <v>https://d0f6bd738d7f1b3e5a7ca70fe4ff75f0.us-east-1.aws.found.io/app/kibana#/discover/Steve-Slow-Train-Analysis-(2080s-and-2083s)?_g=(refreshInterval:(display:Off,pause:!f,section:0,value:0),time:(from:'2018-01-08T17:54:42-0700',mode:absolute,to:'2018-01-08T20:04:07-0700'))&amp;_a=(columns:!('Message%20ID',Summary),filters:!(),index:'emp_*',interval:auto,query:(query_string:(analyze_wildcard:!t,query:'%22rtdc.l.rtdc.4029%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 s="229" t="s">
        <v>642</v>
      </c>
      <c r="B223" s="225">
        <v>4063</v>
      </c>
      <c r="C223" s="227" t="s">
        <v>191</v>
      </c>
      <c r="D223" s="227" t="s">
        <v>1033</v>
      </c>
      <c r="E223" s="226">
        <v>43108.975092592591</v>
      </c>
      <c r="F223" s="226">
        <v>43108.976307870369</v>
      </c>
      <c r="G223" s="225">
        <v>62</v>
      </c>
      <c r="H223" s="227" t="s">
        <v>1071</v>
      </c>
      <c r="I223" s="226">
        <v>43108.983124999999</v>
      </c>
      <c r="J223" s="225">
        <v>0</v>
      </c>
      <c r="K223" s="237" t="str">
        <f t="shared" si="93"/>
        <v>4063/4064</v>
      </c>
      <c r="L223" s="245" t="str">
        <f>VLOOKUP(A223,'Trips&amp;Operators'!$C$1:$G$99911,5,FALSE)</f>
        <v>STAMBAUGH JAMES</v>
      </c>
      <c r="M223" s="224">
        <f t="shared" si="94"/>
        <v>6.8171296297805384E-3</v>
      </c>
      <c r="N223" s="225">
        <f t="shared" si="115"/>
        <v>9.8166666668839753</v>
      </c>
      <c r="O223" s="225"/>
      <c r="P223" s="225"/>
      <c r="Q223" s="228"/>
      <c r="R223" s="242"/>
      <c r="S223" s="249">
        <f t="shared" si="116"/>
        <v>0</v>
      </c>
      <c r="T223" s="242" t="str">
        <f t="shared" si="95"/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8" t="str">
        <f t="shared" si="96"/>
        <v>https://d0f6bd738d7f1b3e5a7ca70fe4ff75f0.us-east-1.aws.found.io/app/kibana#/discover/Steve-Slow-Train-Analysis-(2080s-and-2083s)?_g=(refreshInterval:(display:Off,pause:!f,section:0,value:0),time:(from:'2018-01-08T22:24:08-0700',mode:absolute,to:'2018-01-09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47" t="str">
        <f>IF(AA223&lt;VLOOKUP(AG223,Variables!$AC$3:$AD$8,2,FALSE),"Y","N")</f>
        <v>Y</v>
      </c>
      <c r="X223" s="247">
        <f t="shared" si="97"/>
        <v>2</v>
      </c>
      <c r="Y223" s="247">
        <f t="shared" si="108"/>
        <v>5.8620999999999999</v>
      </c>
      <c r="Z223" s="247">
        <f t="shared" si="109"/>
        <v>2.8782000000000001</v>
      </c>
      <c r="AA223" s="247">
        <f t="shared" si="98"/>
        <v>2.9838999999999998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99"/>
        <v>908</v>
      </c>
      <c r="AE223" s="235" t="str">
        <f t="shared" si="100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223" s="234" t="str">
        <f t="shared" si="101"/>
        <v>"C:\Program Files (x86)\AstroGrep\AstroGrep.exe" /e /r /s /spath="%USERPROFILE%\AppData\Local\Temp\OnboardLogs" /stypes="app*4063*20180109*" /stext=" 06:.+((SYSTEM_STATE.+slice.+state.+changed )|(ment ac)|(multiple cpu faults)|(system.+state.+changed )|(\[timeout)|(PRM\|1\|D)|(kpr)|(kdp)|(train st.+moving)|(\|lc)|(penalty))"</v>
      </c>
      <c r="AG223" s="244" t="str">
        <f t="shared" si="102"/>
        <v>Other</v>
      </c>
      <c r="AH223" s="236" t="str">
        <f t="shared" si="110"/>
        <v>"%USERPROFILE%\Documents\GitHub\eaglep3\Utilities\RefineRTDCRunTimes.py" --tripid 908-08 --locoid 4063 --swversion DE.1.0.9.0 --startMP 300:58621 --initTime 2018-01-08T23:24:08 --startdatetime 2018-01-08T23:25:53 --delay 62 --endMP 300:28782 --enddatetime 2018-01-08T23:35:42 --enforcementcount 0 &gt;&gt;%USERPROFILE%\Documents\GitHub\eaglep3-reporting\EC\2018-01-08-refined-times.txt</v>
      </c>
      <c r="AI223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{"issue":{"subject":"","project_id":79,"tracker_id":40,"status_id":1,"priority_id":2,"assigned_to_id":338,"start_date":"2018-01-08","description":"","custom_fields":[{"id":1,"name":"Subdivision","value":"Other"},{"id":4,"name":"Milepost","value":"2.8782"},{"id":17,"name":"Train ID","value":"908-08"},{"id":16,"name":"Locomotive ID","value":"4063"},{"id":130,"name":"Impact","value":""},{"id":150,"name":"Time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1"/>
      <c r="AL223" s="231"/>
      <c r="AM223" s="240" t="str">
        <f t="shared" si="112"/>
        <v>start /low /b %USERPROFILE%\Documents\GitHub\eaglep3\Utilities\DownloadLogsFromS3.py --loco 4063 --day 2018-01-08</v>
      </c>
      <c r="AN223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14"/>
        <v>https://d0f6bd738d7f1b3e5a7ca70fe4ff75f0.us-east-1.aws.found.io/app/kibana#/discover/Steve-Slow-Train-Analysis-(2080s-and-2083s)?_g=(refreshInterval:(display:Off,pause:!f,section:0,value:0),time:(from:'2018-01-08T22:24:08-0700',mode:absolute,to:'2018-01-09T00:35:42-0700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 s="229" t="s">
        <v>567</v>
      </c>
      <c r="B224" s="225">
        <v>4022</v>
      </c>
      <c r="C224" s="227" t="s">
        <v>191</v>
      </c>
      <c r="D224" s="227" t="s">
        <v>964</v>
      </c>
      <c r="E224" s="226">
        <v>43108.128067129626</v>
      </c>
      <c r="F224" s="226">
        <v>43108.131192129629</v>
      </c>
      <c r="G224" s="225">
        <v>80</v>
      </c>
      <c r="H224" s="227" t="s">
        <v>965</v>
      </c>
      <c r="I224" s="226">
        <v>43108.132581018515</v>
      </c>
      <c r="J224" s="225">
        <v>0</v>
      </c>
      <c r="K224" s="237" t="str">
        <f t="shared" si="93"/>
        <v>4021/4022</v>
      </c>
      <c r="L224" s="245" t="str">
        <f>VLOOKUP(A224,'Trips&amp;Operators'!$C$1:$G$99911,5,FALSE)</f>
        <v>SPECTOR MICHAEL</v>
      </c>
      <c r="M224" s="224">
        <f t="shared" si="94"/>
        <v>1.3888888861401938E-3</v>
      </c>
      <c r="N224" s="225">
        <f t="shared" si="115"/>
        <v>1.9999999960418791</v>
      </c>
      <c r="O224" s="225"/>
      <c r="P224" s="225"/>
      <c r="Q224" s="228"/>
      <c r="R224" s="242"/>
      <c r="S224" s="249">
        <f t="shared" si="116"/>
        <v>0</v>
      </c>
      <c r="T224" s="242" t="str">
        <f t="shared" si="95"/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 t="shared" si="96"/>
        <v>https://d0f6bd738d7f1b3e5a7ca70fe4ff75f0.us-east-1.aws.found.io/app/kibana#/discover/Steve-Slow-Train-Analysis-(2080s-and-2083s)?_g=(refreshInterval:(display:Off,pause:!f,section:0,value:0),time:(from:'2018-01-08T02:04:25-0700',mode:absolute,to:'2018-01-08T04:10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4" s="247" t="str">
        <f>IF(AA224&lt;VLOOKUP(AG224,Variables!$AC$3:$AD$8,2,FALSE),"Y","N")</f>
        <v>Y</v>
      </c>
      <c r="X224" s="247">
        <f t="shared" si="97"/>
        <v>-857</v>
      </c>
      <c r="Y224" s="247">
        <f t="shared" si="108"/>
        <v>0.14560000000000001</v>
      </c>
      <c r="Z224" s="247">
        <f t="shared" si="109"/>
        <v>0.62690000000000001</v>
      </c>
      <c r="AA224" s="247">
        <f t="shared" si="98"/>
        <v>0.48130000000000001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99"/>
        <v>51</v>
      </c>
      <c r="AE224" s="235" t="str">
        <f t="shared" si="100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224" s="234" t="str">
        <f t="shared" si="101"/>
        <v>"C:\Program Files (x86)\AstroGrep\AstroGrep.exe" /e /r /s /spath="%USERPROFILE%\AppData\Local\Temp\OnboardLogs" /stypes="app*4022*20180108*" /stext=" 10:.+((SYSTEM_STATE.+slice.+state.+changed )|(ment ac)|(multiple cpu faults)|(system.+state.+changed )|(\[timeout)|(PRM\|1\|D)|(kpr)|(kdp)|(train st.+moving)|(\|lc)|(penalty))"</v>
      </c>
      <c r="AG224" s="244" t="str">
        <f t="shared" si="102"/>
        <v>Shuttle/Test</v>
      </c>
      <c r="AH224" s="236" t="str">
        <f t="shared" si="110"/>
        <v>"%USERPROFILE%\Documents\GitHub\eaglep3\Utilities\RefineRTDCRunTimes.py" --tripid 51-08 --locoid 4022 --swversion DE.1.0.9.0 --startMP 204:1456 --initTime 2018-01-08T03:04:25 --startdatetime 2018-01-08T03:08:55 --delay 80 --endMP 300:6269 --enddatetime 2018-01-08T03:10:55 --enforcementcount 0 &gt;&gt;%USERPROFILE%\Documents\GitHub\eaglep3-reporting\EC\2018-01-08-refined-times.txt</v>
      </c>
      <c r="AI224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0.6269"},{"id":17,"name":"Train ID","value":"51-08"},{"id":16,"name":"Locomotive ID","value":"4022"},{"id":130,"name":"Impact","value":""},{"id":150,"name":"Time of Event (Mountain Time)","value":"03:10:55"},{"id":151,"name":"Denver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231"/>
      <c r="AL224" s="231"/>
      <c r="AM224" s="240" t="str">
        <f t="shared" si="112"/>
        <v>start /low /b %USERPROFILE%\Documents\GitHub\eaglep3\Utilities\DownloadLogsFromS3.py --loco 4022 --day 2018-01-08</v>
      </c>
      <c r="AN224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14"/>
        <v>https://d0f6bd738d7f1b3e5a7ca70fe4ff75f0.us-east-1.aws.found.io/app/kibana#/discover/Steve-Slow-Train-Analysis-(2080s-and-2083s)?_g=(refreshInterval:(display:Off,pause:!f,section:0,value:0),time:(from:'2018-01-08T02:04:25-0700',mode:absolute,to:'2018-01-08T04:10:55-0700'))&amp;_a=(columns:!('Message%20ID',Summary),filters:!(),index:'emp_*',interval:auto,query:(query_string:(analyze_wildcard:!t,query:'%22rtdc.l.rtdc.4022%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3">
      <c r="A225" s="229" t="s">
        <v>619</v>
      </c>
      <c r="B225" s="225">
        <v>4001</v>
      </c>
      <c r="C225" s="227" t="s">
        <v>191</v>
      </c>
      <c r="D225" s="227" t="s">
        <v>966</v>
      </c>
      <c r="E225" s="226">
        <v>43108.135300925926</v>
      </c>
      <c r="F225" s="226">
        <v>43108.137511574074</v>
      </c>
      <c r="G225" s="225">
        <v>89</v>
      </c>
      <c r="H225" s="227" t="s">
        <v>967</v>
      </c>
      <c r="I225" s="226">
        <v>43108.138715277775</v>
      </c>
      <c r="J225" s="225">
        <v>0</v>
      </c>
      <c r="K225" s="237" t="str">
        <f t="shared" si="93"/>
        <v>4001/4002</v>
      </c>
      <c r="L225" s="245" t="str">
        <f>VLOOKUP(A225,'Trips&amp;Operators'!$C$1:$G$99911,5,FALSE)</f>
        <v>SPECTOR MICHAEL</v>
      </c>
      <c r="M225" s="224">
        <f t="shared" si="94"/>
        <v>1.2037037013215013E-3</v>
      </c>
      <c r="N225" s="225">
        <f t="shared" si="115"/>
        <v>1.7333333299029619</v>
      </c>
      <c r="O225" s="225"/>
      <c r="P225" s="225"/>
      <c r="Q225" s="228"/>
      <c r="R225" s="242"/>
      <c r="S225" s="249">
        <f t="shared" si="116"/>
        <v>0</v>
      </c>
      <c r="T225" s="242" t="str">
        <f t="shared" si="95"/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 t="shared" si="96"/>
        <v>https://d0f6bd738d7f1b3e5a7ca70fe4ff75f0.us-east-1.aws.found.io/app/kibana#/discover/Steve-Slow-Train-Analysis-(2080s-and-2083s)?_g=(refreshInterval:(display:Off,pause:!f,section:0,value:0),time:(from:'2018-01-08T02:14:50-0700',mode:absolute,to:'2018-01-08T04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5" s="247" t="str">
        <f>IF(AA225&lt;VLOOKUP(AG225,Variables!$AC$3:$AD$8,2,FALSE),"Y","N")</f>
        <v>Y</v>
      </c>
      <c r="X225" s="247">
        <f t="shared" si="97"/>
        <v>1</v>
      </c>
      <c r="Y225" s="247">
        <f t="shared" si="108"/>
        <v>0.56430000000000002</v>
      </c>
      <c r="Z225" s="247">
        <f t="shared" si="109"/>
        <v>9.11E-2</v>
      </c>
      <c r="AA225" s="247">
        <f t="shared" si="98"/>
        <v>0.47320000000000001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99"/>
        <v>52</v>
      </c>
      <c r="AE225" s="235" t="str">
        <f t="shared" si="100"/>
        <v>aws s3 cp s3://rtdc.mdm.uploadarchive.raw/RTDC4001/ "%USERPROFILE%\AppData\Local\Temp\OnboardLogs"\RTDC4001\2018-01-08 --exclude "*" --recursive --include "*20180108*" &amp; "%USERPROFILE%\Documents\GitHub\mrs-test-scripts\Headless Mode &amp; Sideloading\WalkAndUnGZ.bat" "%USERPROFILE%\AppData\Local\Temp\OnboardLogs"\RTDC4001\2018-01-08 &amp; aws s3 cp s3://rtdc.mdm.uploadarchive.raw/RTDC4001/ "%USERPROFILE%\AppData\Local\Temp\OnboardLogs"\RTDC4001\2018-01-09 --exclude "*" --recursive --include "*20180109*" &amp; "%USERPROFILE%\Documents\GitHub\mrs-test-scripts\Headless Mode &amp; Sideloading\WalkAndUnGZ.bat" "%USERPROFILE%\AppData\Local\Temp\OnboardLogs"\RTDC4001\2018-01-09</v>
      </c>
      <c r="AF225" s="234" t="str">
        <f t="shared" si="101"/>
        <v>"C:\Program Files (x86)\AstroGrep\AstroGrep.exe" /e /r /s /spath="%USERPROFILE%\AppData\Local\Temp\OnboardLogs" /stypes="app*4001*20180108*" /stext=" 10:.+((SYSTEM_STATE.+slice.+state.+changed )|(ment ac)|(multiple cpu faults)|(system.+state.+changed )|(\[timeout)|(PRM\|1\|D)|(kpr)|(kdp)|(train st.+moving)|(\|lc)|(penalty))"</v>
      </c>
      <c r="AG225" s="244" t="str">
        <f t="shared" si="102"/>
        <v>Shuttle/Test</v>
      </c>
      <c r="AH225" s="236" t="str">
        <f t="shared" si="110"/>
        <v>"%USERPROFILE%\Documents\GitHub\eaglep3\Utilities\RefineRTDCRunTimes.py" --tripid 52-08 --locoid 4001 --swversion DE.1.0.9.0 --startMP 300:5643 --initTime 2018-01-08T03:14:50 --startdatetime 2018-01-08T03:18:01 --delay 89 --endMP 204:911 --enddatetime 2018-01-08T03:19:45 --enforcementcount 0 &gt;&gt;%USERPROFILE%\Documents\GitHub\eaglep3-reporting\EC\2018-01-08-refined-times.txt</v>
      </c>
      <c r="AI225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0.0911"},{"id":17,"name":"Train ID","value":"52-08"},{"id":16,"name":"Locomotive ID","value":"4001"},{"id":130,"name":"Impact","value":""},{"id":150,"name":"Time of Event (Mountain Time)","value":"03:19:45"},{"id":151,"name":"Denver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231"/>
      <c r="AL225" s="231"/>
      <c r="AM225" s="240" t="str">
        <f t="shared" si="112"/>
        <v>start /low /b %USERPROFILE%\Documents\GitHub\eaglep3\Utilities\DownloadLogsFromS3.py --loco 4001 --day 2018-01-08</v>
      </c>
      <c r="AN225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14"/>
        <v>https://d0f6bd738d7f1b3e5a7ca70fe4ff75f0.us-east-1.aws.found.io/app/kibana#/discover/Steve-Slow-Train-Analysis-(2080s-and-2083s)?_g=(refreshInterval:(display:Off,pause:!f,section:0,value:0),time:(from:'2018-01-08T02:14:50-0700',mode:absolute,to:'2018-01-08T04:19:45-0700'))&amp;_a=(columns:!('Message%20ID',Summary),filters:!(),index:'emp_*',interval:auto,query:(query_string:(analyze_wildcard:!t,query:'%22rtdc.l.rtdc.4001%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3">
      <c r="A226" s="229" t="s">
        <v>722</v>
      </c>
      <c r="B226" s="225">
        <v>4022</v>
      </c>
      <c r="C226" s="227" t="s">
        <v>191</v>
      </c>
      <c r="D226" s="227" t="s">
        <v>968</v>
      </c>
      <c r="E226" s="226">
        <v>43108.411458333336</v>
      </c>
      <c r="F226" s="226">
        <v>43108.418888888889</v>
      </c>
      <c r="G226" s="225">
        <v>86</v>
      </c>
      <c r="H226" s="227" t="s">
        <v>969</v>
      </c>
      <c r="I226" s="226">
        <v>43108.420219907406</v>
      </c>
      <c r="J226" s="225">
        <v>0</v>
      </c>
      <c r="K226" s="237" t="str">
        <f t="shared" si="93"/>
        <v>4021/4022</v>
      </c>
      <c r="L226" s="245" t="str">
        <f>VLOOKUP(A226,'Trips&amp;Operators'!$C$1:$G$99911,5,FALSE)</f>
        <v>LANGERAK WILLIAM</v>
      </c>
      <c r="M226" s="224">
        <f t="shared" si="94"/>
        <v>1.3310185167938471E-3</v>
      </c>
      <c r="N226" s="225">
        <f t="shared" si="115"/>
        <v>1.9166666641831398</v>
      </c>
      <c r="O226" s="225"/>
      <c r="P226" s="225"/>
      <c r="Q226" s="228"/>
      <c r="R226" s="242"/>
      <c r="S226" s="249">
        <f t="shared" si="116"/>
        <v>0</v>
      </c>
      <c r="T226" s="242" t="str">
        <f t="shared" si="95"/>
        <v>NorthBound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 t="shared" si="96"/>
        <v>https://d0f6bd738d7f1b3e5a7ca70fe4ff75f0.us-east-1.aws.found.io/app/kibana#/discover/Steve-Slow-Train-Analysis-(2080s-and-2083s)?_g=(refreshInterval:(display:Off,pause:!f,section:0,value:0),time:(from:'2018-01-08T08:52:30-0700',mode:absolute,to:'2018-01-08T11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247" t="str">
        <f>IF(AA226&lt;VLOOKUP(AG226,Variables!$AC$3:$AD$8,2,FALSE),"Y","N")</f>
        <v>Y</v>
      </c>
      <c r="X226" s="247">
        <f t="shared" si="97"/>
        <v>3</v>
      </c>
      <c r="Y226" s="247">
        <f t="shared" si="108"/>
        <v>0.15090000000000001</v>
      </c>
      <c r="Z226" s="247">
        <f t="shared" si="109"/>
        <v>0.37069999999999997</v>
      </c>
      <c r="AA226" s="247">
        <f t="shared" si="98"/>
        <v>0.21979999999999997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99"/>
        <v>55</v>
      </c>
      <c r="AE226" s="235" t="str">
        <f t="shared" si="100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226" s="234" t="str">
        <f t="shared" si="101"/>
        <v>"C:\Program Files (x86)\AstroGrep\AstroGrep.exe" /e /r /s /spath="%USERPROFILE%\AppData\Local\Temp\OnboardLogs" /stypes="app*4022*20180108*" /stext=" 17:.+((SYSTEM_STATE.+slice.+state.+changed )|(ment ac)|(multiple cpu faults)|(system.+state.+changed )|(\[timeout)|(PRM\|1\|D)|(kpr)|(kdp)|(train st.+moving)|(\|lc)|(penalty))"</v>
      </c>
      <c r="AG226" s="244" t="str">
        <f t="shared" si="102"/>
        <v>Shuttle/Test</v>
      </c>
      <c r="AH226" s="236" t="str">
        <f t="shared" si="110"/>
        <v>"%USERPROFILE%\Documents\GitHub\eaglep3\Utilities\RefineRTDCRunTimes.py" --tripid 55-08 --locoid 4022 --swversion DE.1.0.9.0 --startMP 204:1509 --initTime 2018-01-08T09:52:30 --startdatetime 2018-01-08T10:03:12 --delay 86 --endMP 204:3707 --enddatetime 2018-01-08T10:05:07 --enforcementcount 0 &gt;&gt;%USERPROFILE%\Documents\GitHub\eaglep3-reporting\EC\2018-01-08-refined-times.txt</v>
      </c>
      <c r="AI226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0.3707"},{"id":17,"name":"Train ID","value":"55-08"},{"id":16,"name":"Locomotive ID","value":"4022"},{"id":130,"name":"Impact","value":""},{"id":150,"name":"Time of Event (Mountain Time)","value":"10:05:07"},{"id":151,"name":"Denver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231"/>
      <c r="AL226" s="231"/>
      <c r="AM226" s="240" t="str">
        <f t="shared" si="112"/>
        <v>start /low /b %USERPROFILE%\Documents\GitHub\eaglep3\Utilities\DownloadLogsFromS3.py --loco 4022 --day 2018-01-08</v>
      </c>
      <c r="AN226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14"/>
        <v>https://d0f6bd738d7f1b3e5a7ca70fe4ff75f0.us-east-1.aws.found.io/app/kibana#/discover/Steve-Slow-Train-Analysis-(2080s-and-2083s)?_g=(refreshInterval:(display:Off,pause:!f,section:0,value:0),time:(from:'2018-01-08T08:52:30-0700',mode:absolute,to:'2018-01-08T11:05:07-0700'))&amp;_a=(columns:!('Message%20ID',Summary),filters:!(),index:'emp_*',interval:auto,query:(query_string:(analyze_wildcard:!t,query:'%22rtdc.l.rtdc.4022%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 s="229" t="s">
        <v>722</v>
      </c>
      <c r="B227" s="225">
        <v>4012</v>
      </c>
      <c r="C227" s="227" t="s">
        <v>191</v>
      </c>
      <c r="D227" s="227" t="s">
        <v>970</v>
      </c>
      <c r="E227" s="226">
        <v>43108.456724537034</v>
      </c>
      <c r="F227" s="226">
        <v>43108.460034722222</v>
      </c>
      <c r="G227" s="225">
        <v>199</v>
      </c>
      <c r="H227" s="227" t="s">
        <v>971</v>
      </c>
      <c r="I227" s="226">
        <v>43108.467418981483</v>
      </c>
      <c r="J227" s="225">
        <v>0</v>
      </c>
      <c r="K227" s="237" t="str">
        <f t="shared" si="93"/>
        <v>4011/4012</v>
      </c>
      <c r="L227" s="245" t="str">
        <f>VLOOKUP(A227,'Trips&amp;Operators'!$C$1:$G$99911,5,FALSE)</f>
        <v>LANGERAK WILLIAM</v>
      </c>
      <c r="M227" s="224">
        <f t="shared" si="94"/>
        <v>7.3842592610162683E-3</v>
      </c>
      <c r="N227" s="225">
        <f t="shared" si="115"/>
        <v>10.633333335863426</v>
      </c>
      <c r="O227" s="225"/>
      <c r="P227" s="225"/>
      <c r="Q227" s="228"/>
      <c r="R227" s="242"/>
      <c r="S227" s="249">
        <f t="shared" si="116"/>
        <v>1</v>
      </c>
      <c r="T227" s="242" t="str">
        <f t="shared" si="95"/>
        <v>NorthBound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8" t="str">
        <f t="shared" si="96"/>
        <v>https://d0f6bd738d7f1b3e5a7ca70fe4ff75f0.us-east-1.aws.found.io/app/kibana#/discover/Steve-Slow-Train-Analysis-(2080s-and-2083s)?_g=(refreshInterval:(display:Off,pause:!f,section:0,value:0),time:(from:'2018-01-08T09:57:41-0700',mode:absolute,to:'2018-01-08T12:13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7" s="247" t="str">
        <f>IF(AA227&lt;VLOOKUP(AG227,Variables!$AC$3:$AD$8,2,FALSE),"Y","N")</f>
        <v>Y</v>
      </c>
      <c r="X227" s="247">
        <f t="shared" si="97"/>
        <v>0</v>
      </c>
      <c r="Y227" s="247">
        <f t="shared" si="108"/>
        <v>0.1484</v>
      </c>
      <c r="Z227" s="247">
        <f t="shared" si="109"/>
        <v>2.3315999999999999</v>
      </c>
      <c r="AA227" s="247">
        <f t="shared" si="98"/>
        <v>2.1831999999999998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99"/>
        <v>55</v>
      </c>
      <c r="AE227" s="235" t="str">
        <f t="shared" si="100"/>
        <v>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 &amp; aws s3 cp s3://rtdc.mdm.uploadarchive.raw/RTDC4012/ "%USERPROFILE%\AppData\Local\Temp\OnboardLogs"\RTDC4012\2018-01-09 --exclude "*" --recursive --include "*20180109*" &amp; "%USERPROFILE%\Documents\GitHub\mrs-test-scripts\Headless Mode &amp; Sideloading\WalkAndUnGZ.bat" "%USERPROFILE%\AppData\Local\Temp\OnboardLogs"\RTDC4012\2018-01-09</v>
      </c>
      <c r="AF227" s="234" t="str">
        <f t="shared" si="101"/>
        <v>"C:\Program Files (x86)\AstroGrep\AstroGrep.exe" /e /r /s /spath="%USERPROFILE%\AppData\Local\Temp\OnboardLogs" /stypes="app*4012*20180108*" /stext=" 18:.+((SYSTEM_STATE.+slice.+state.+changed )|(ment ac)|(multiple cpu faults)|(system.+state.+changed )|(\[timeout)|(PRM\|1\|D)|(kpr)|(kdp)|(train st.+moving)|(\|lc)|(penalty))"</v>
      </c>
      <c r="AG227" s="244" t="str">
        <f t="shared" si="102"/>
        <v>Shuttle/Test</v>
      </c>
      <c r="AH227" s="236" t="str">
        <f t="shared" si="110"/>
        <v>"%USERPROFILE%\Documents\GitHub\eaglep3\Utilities\RefineRTDCRunTimes.py" --tripid 55-08 --locoid 4012 --swversion DE.1.0.9.0 --startMP 204:1484 --initTime 2018-01-08T10:57:41 --startdatetime 2018-01-08T11:02:27 --delay 199 --endMP 300:23316 --enddatetime 2018-01-08T11:13:05 --enforcementcount 0 &gt;&gt;%USERPROFILE%\Documents\GitHub\eaglep3-reporting\EC\2018-01-08-refined-times.txt</v>
      </c>
      <c r="AI227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2.3316"},{"id":17,"name":"Train ID","value":"55-08"},{"id":16,"name":"Locomotive ID","value":"4012"},{"id":130,"name":"Impact","value":""},{"id":150,"name":"Time of Event (Mountain Time)","value":"11:13:05"},{"id":151,"name":"Denver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1"/>
      <c r="AL227" s="231"/>
      <c r="AM227" s="240" t="str">
        <f t="shared" si="112"/>
        <v>start /low /b %USERPROFILE%\Documents\GitHub\eaglep3\Utilities\DownloadLogsFromS3.py --loco 4012 --day 2018-01-08</v>
      </c>
      <c r="AN227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18:13:05"},{"id":29,"name":"Sharepoint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14"/>
        <v>https://d0f6bd738d7f1b3e5a7ca70fe4ff75f0.us-east-1.aws.found.io/app/kibana#/discover/Steve-Slow-Train-Analysis-(2080s-and-2083s)?_g=(refreshInterval:(display:Off,pause:!f,section:0,value:0),time:(from:'2018-01-08T09:57:41-0700',mode:absolute,to:'2018-01-08T12:13:05-0700'))&amp;_a=(columns:!('Message%20ID',Summary),filters:!(),index:'emp_*',interval:auto,query:(query_string:(analyze_wildcard:!t,query:'%22rtdc.l.rtdc.4012%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9" t="s">
        <v>728</v>
      </c>
      <c r="B228" s="225">
        <v>4021</v>
      </c>
      <c r="C228" s="227" t="s">
        <v>191</v>
      </c>
      <c r="D228" s="227" t="s">
        <v>972</v>
      </c>
      <c r="E228" s="226">
        <v>43108.422071759262</v>
      </c>
      <c r="F228" s="226">
        <v>43108.423530092594</v>
      </c>
      <c r="G228" s="225">
        <v>61</v>
      </c>
      <c r="H228" s="227" t="s">
        <v>574</v>
      </c>
      <c r="I228" s="226">
        <v>43108.425173611111</v>
      </c>
      <c r="J228" s="225">
        <v>0</v>
      </c>
      <c r="K228" s="237" t="str">
        <f t="shared" si="93"/>
        <v>4021/4022</v>
      </c>
      <c r="L228" s="245" t="str">
        <f>VLOOKUP(A228,'Trips&amp;Operators'!$C$1:$G$99911,5,FALSE)</f>
        <v>LANGERAK WILLIAM</v>
      </c>
      <c r="M228" s="224">
        <f t="shared" si="94"/>
        <v>1.6435185170848854E-3</v>
      </c>
      <c r="N228" s="225">
        <f t="shared" si="115"/>
        <v>2.366666664602235</v>
      </c>
      <c r="O228" s="225"/>
      <c r="P228" s="225"/>
      <c r="Q228" s="228"/>
      <c r="R228" s="242"/>
      <c r="S228" s="249">
        <f t="shared" si="116"/>
        <v>0</v>
      </c>
      <c r="T228" s="242" t="str">
        <f t="shared" si="95"/>
        <v>Southbound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 t="shared" si="96"/>
        <v>https://d0f6bd738d7f1b3e5a7ca70fe4ff75f0.us-east-1.aws.found.io/app/kibana#/discover/Steve-Slow-Train-Analysis-(2080s-and-2083s)?_g=(refreshInterval:(display:Off,pause:!f,section:0,value:0),time:(from:'2018-01-08T09:07:47-0700',mode:absolute,to:'2018-01-08T11:12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247" t="str">
        <f>IF(AA228&lt;VLOOKUP(AG228,Variables!$AC$3:$AD$8,2,FALSE),"Y","N")</f>
        <v>Y</v>
      </c>
      <c r="X228" s="247">
        <f t="shared" si="97"/>
        <v>1</v>
      </c>
      <c r="Y228" s="247">
        <f t="shared" si="108"/>
        <v>0.34060000000000001</v>
      </c>
      <c r="Z228" s="247">
        <f t="shared" si="109"/>
        <v>1.7000000000000001E-2</v>
      </c>
      <c r="AA228" s="247">
        <f t="shared" si="98"/>
        <v>0.3236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99"/>
        <v>56</v>
      </c>
      <c r="AE228" s="235" t="str">
        <f t="shared" si="100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228" s="234" t="str">
        <f t="shared" si="101"/>
        <v>"C:\Program Files (x86)\AstroGrep\AstroGrep.exe" /e /r /s /spath="%USERPROFILE%\AppData\Local\Temp\OnboardLogs" /stypes="app*4021*20180108*" /stext=" 17:.+((SYSTEM_STATE.+slice.+state.+changed )|(ment ac)|(multiple cpu faults)|(system.+state.+changed )|(\[timeout)|(PRM\|1\|D)|(kpr)|(kdp)|(train st.+moving)|(\|lc)|(penalty))"</v>
      </c>
      <c r="AG228" s="244" t="str">
        <f t="shared" si="102"/>
        <v>Shuttle/Test</v>
      </c>
      <c r="AH228" s="236" t="str">
        <f t="shared" si="110"/>
        <v>"%USERPROFILE%\Documents\GitHub\eaglep3\Utilities\RefineRTDCRunTimes.py" --tripid 56-08 --locoid 4021 --swversion DE.1.0.9.0 --startMP 204:3406 --initTime 2018-01-08T10:07:47 --startdatetime 2018-01-08T10:09:53 --delay 61 --endMP 204:170 --enddatetime 2018-01-08T10:12:15 --enforcementcount 0 &gt;&gt;%USERPROFILE%\Documents\GitHub\eaglep3-reporting\EC\2018-01-08-refined-times.txt</v>
      </c>
      <c r="AI228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0.017"},{"id":17,"name":"Train ID","value":"56-08"},{"id":16,"name":"Locomotive ID","value":"4021"},{"id":130,"name":"Impact","value":""},{"id":150,"name":"Time of Event (Mountain Time)","value":"10:12:15"},{"id":151,"name":"Denver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12"/>
        <v>start /low /b %USERPROFILE%\Documents\GitHub\eaglep3\Utilities\DownloadLogsFromS3.py --loco 4021 --day 2018-01-08</v>
      </c>
      <c r="AN228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17:12:15"},{"id":29,"name":"Sharepoint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14"/>
        <v>https://d0f6bd738d7f1b3e5a7ca70fe4ff75f0.us-east-1.aws.found.io/app/kibana#/discover/Steve-Slow-Train-Analysis-(2080s-and-2083s)?_g=(refreshInterval:(display:Off,pause:!f,section:0,value:0),time:(from:'2018-01-08T09:07:47-0700',mode:absolute,to:'2018-01-08T11:12:15-0700'))&amp;_a=(columns:!('Message%20ID',Summary),filters:!(),index:'emp_*',interval:auto,query:(query_string:(analyze_wildcard:!t,query:'%22rtdc.l.rtdc.4021%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29" t="s">
        <v>797</v>
      </c>
      <c r="B229" s="225">
        <v>4052</v>
      </c>
      <c r="C229" s="227" t="s">
        <v>191</v>
      </c>
      <c r="D229" s="227" t="s">
        <v>973</v>
      </c>
      <c r="E229" s="226">
        <v>43108.677905092591</v>
      </c>
      <c r="F229" s="226">
        <v>43108.683877314812</v>
      </c>
      <c r="G229" s="225">
        <v>201</v>
      </c>
      <c r="H229" s="227" t="s">
        <v>552</v>
      </c>
      <c r="I229" s="226">
        <v>43108.693865740737</v>
      </c>
      <c r="J229" s="225">
        <v>0</v>
      </c>
      <c r="K229" s="237" t="str">
        <f t="shared" si="93"/>
        <v>4051/4052</v>
      </c>
      <c r="L229" s="245" t="str">
        <f>VLOOKUP(A229,'Trips&amp;Operators'!$C$1:$G$99911,5,FALSE)</f>
        <v>STRICKLAND EVAN</v>
      </c>
      <c r="M229" s="224">
        <f t="shared" si="94"/>
        <v>9.9884259252576157E-3</v>
      </c>
      <c r="N229" s="225">
        <f t="shared" si="115"/>
        <v>14.383333332370967</v>
      </c>
      <c r="O229" s="225"/>
      <c r="P229" s="225"/>
      <c r="Q229" s="228"/>
      <c r="R229" s="242"/>
      <c r="S229" s="249">
        <f t="shared" si="116"/>
        <v>1</v>
      </c>
      <c r="T229" s="242" t="str">
        <f t="shared" si="95"/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8" t="str">
        <f t="shared" si="96"/>
        <v>https://d0f6bd738d7f1b3e5a7ca70fe4ff75f0.us-east-1.aws.found.io/app/kibana#/discover/Steve-Slow-Train-Analysis-(2080s-and-2083s)?_g=(refreshInterval:(display:Off,pause:!f,section:0,value:0),time:(from:'2018-01-08T15:16:11-0700',mode:absolute,to:'2018-01-08T17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9" s="247" t="str">
        <f>IF(AA229&lt;VLOOKUP(AG229,Variables!$AC$3:$AD$8,2,FALSE),"Y","N")</f>
        <v>Y</v>
      </c>
      <c r="X229" s="247">
        <f t="shared" si="97"/>
        <v>1</v>
      </c>
      <c r="Y229" s="247">
        <f t="shared" si="108"/>
        <v>0.14979999999999999</v>
      </c>
      <c r="Z229" s="247">
        <f t="shared" si="109"/>
        <v>2.3346</v>
      </c>
      <c r="AA229" s="247">
        <f t="shared" si="98"/>
        <v>2.1848000000000001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99"/>
        <v>57</v>
      </c>
      <c r="AE229" s="235" t="str">
        <f t="shared" si="100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229" s="234" t="str">
        <f t="shared" si="101"/>
        <v>"C:\Program Files (x86)\AstroGrep\AstroGrep.exe" /e /r /s /spath="%USERPROFILE%\AppData\Local\Temp\OnboardLogs" /stypes="app*4052*20180108*" /stext=" 23:.+((SYSTEM_STATE.+slice.+state.+changed )|(ment ac)|(multiple cpu faults)|(system.+state.+changed )|(\[timeout)|(PRM\|1\|D)|(kpr)|(kdp)|(train st.+moving)|(\|lc)|(penalty))"</v>
      </c>
      <c r="AG229" s="244" t="str">
        <f t="shared" si="102"/>
        <v>Shuttle/Test</v>
      </c>
      <c r="AH229" s="236" t="str">
        <f t="shared" si="110"/>
        <v>"%USERPROFILE%\Documents\GitHub\eaglep3\Utilities\RefineRTDCRunTimes.py" --tripid 57-08 --locoid 4052 --swversion DE.1.0.9.0 --startMP 204:1498 --initTime 2018-01-08T16:16:11 --startdatetime 2018-01-08T16:24:47 --delay 201 --endMP 300:23346 --enddatetime 2018-01-08T16:39:10 --enforcementcount 0 &gt;&gt;%USERPROFILE%\Documents\GitHub\eaglep3-reporting\EC\2018-01-08-refined-times.txt</v>
      </c>
      <c r="AI229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2.3346"},{"id":17,"name":"Train ID","value":"57-08"},{"id":16,"name":"Locomotive ID","value":"4052"},{"id":130,"name":"Impact","value":""},{"id":150,"name":"Time of Event (Mountain Time)","value":"16:39:10"},{"id":151,"name":"Denver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12"/>
        <v>start /low /b %USERPROFILE%\Documents\GitHub\eaglep3\Utilities\DownloadLogsFromS3.py --loco 4052 --day 2018-01-08</v>
      </c>
      <c r="AN229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14"/>
        <v>https://d0f6bd738d7f1b3e5a7ca70fe4ff75f0.us-east-1.aws.found.io/app/kibana#/discover/Steve-Slow-Train-Analysis-(2080s-and-2083s)?_g=(refreshInterval:(display:Off,pause:!f,section:0,value:0),time:(from:'2018-01-08T15:16:11-0700',mode:absolute,to:'2018-01-08T17:39:10-0700'))&amp;_a=(columns:!('Message%20ID',Summary),filters:!(),index:'emp_*',interval:auto,query:(query_string:(analyze_wildcard:!t,query:'%22rtdc.l.rtdc.4052%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 s="229" t="s">
        <v>838</v>
      </c>
      <c r="B230" s="225">
        <v>4018</v>
      </c>
      <c r="C230" s="227" t="s">
        <v>191</v>
      </c>
      <c r="D230" s="227" t="s">
        <v>614</v>
      </c>
      <c r="E230" s="226">
        <v>43108.844583333332</v>
      </c>
      <c r="F230" s="226">
        <v>43108.849618055552</v>
      </c>
      <c r="G230" s="225">
        <v>66</v>
      </c>
      <c r="H230" s="227" t="s">
        <v>974</v>
      </c>
      <c r="I230" s="226">
        <v>43108.850011574075</v>
      </c>
      <c r="J230" s="225">
        <v>0</v>
      </c>
      <c r="K230" s="237" t="str">
        <f t="shared" si="93"/>
        <v>4017/4018</v>
      </c>
      <c r="L230" s="245" t="str">
        <f>VLOOKUP(A230,'Trips&amp;Operators'!$C$1:$G$99911,5,FALSE)</f>
        <v>AUSTIN THOMPSON</v>
      </c>
      <c r="M230" s="224">
        <f t="shared" si="94"/>
        <v>3.9351852319668978E-4</v>
      </c>
      <c r="N230" s="225">
        <f t="shared" si="115"/>
        <v>0.56666667340323329</v>
      </c>
      <c r="O230" s="225"/>
      <c r="P230" s="225"/>
      <c r="Q230" s="228"/>
      <c r="R230" s="242"/>
      <c r="S230" s="249">
        <f t="shared" si="116"/>
        <v>0</v>
      </c>
      <c r="T230" s="242" t="str">
        <f t="shared" si="95"/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 t="shared" si="96"/>
        <v>https://d0f6bd738d7f1b3e5a7ca70fe4ff75f0.us-east-1.aws.found.io/app/kibana#/discover/Steve-Slow-Train-Analysis-(2080s-and-2083s)?_g=(refreshInterval:(display:Off,pause:!f,section:0,value:0),time:(from:'2018-01-08T19:16:12-0700',mode:absolute,to:'2018-01-08T21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0" s="247" t="str">
        <f>IF(AA230&lt;VLOOKUP(AG230,Variables!$AC$3:$AD$8,2,FALSE),"Y","N")</f>
        <v>Y</v>
      </c>
      <c r="X230" s="247">
        <f t="shared" si="97"/>
        <v>3</v>
      </c>
      <c r="Y230" s="247">
        <f t="shared" si="108"/>
        <v>5.62E-2</v>
      </c>
      <c r="Z230" s="247">
        <f t="shared" si="109"/>
        <v>0.34339999999999998</v>
      </c>
      <c r="AA230" s="247">
        <f t="shared" si="98"/>
        <v>0.28720000000000001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99"/>
        <v>60</v>
      </c>
      <c r="AE230" s="235" t="str">
        <f t="shared" si="100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230" s="234" t="str">
        <f t="shared" si="101"/>
        <v>"C:\Program Files (x86)\AstroGrep\AstroGrep.exe" /e /r /s /spath="%USERPROFILE%\AppData\Local\Temp\OnboardLogs" /stypes="app*4018*20180109*" /stext=" 03:.+((SYSTEM_STATE.+slice.+state.+changed )|(ment ac)|(multiple cpu faults)|(system.+state.+changed )|(\[timeout)|(PRM\|1\|D)|(kpr)|(kdp)|(train st.+moving)|(\|lc)|(penalty))"</v>
      </c>
      <c r="AG230" s="244" t="str">
        <f t="shared" si="102"/>
        <v>Shuttle/Test</v>
      </c>
      <c r="AH230" s="236" t="str">
        <f t="shared" si="110"/>
        <v>"%USERPROFILE%\Documents\GitHub\eaglep3\Utilities\RefineRTDCRunTimes.py" --tripid 60-08 --locoid 4018 --swversion DE.1.0.9.0 --startMP 204:562 --initTime 2018-01-08T20:16:12 --startdatetime 2018-01-08T20:23:27 --delay 66 --endMP 204:3434 --enddatetime 2018-01-08T20:24:01 --enforcementcount 0 &gt;&gt;%USERPROFILE%\Documents\GitHub\eaglep3-reporting\EC\2018-01-08-refined-times.txt</v>
      </c>
      <c r="AI230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0.3434"},{"id":17,"name":"Train ID","value":"60-08"},{"id":16,"name":"Locomotive ID","value":"4018"},{"id":130,"name":"Impact","value":""},{"id":150,"name":"Time of Event (Mountain Time)","value":"20:24:01"},{"id":151,"name":"Denver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1"/>
      <c r="AL230" s="231"/>
      <c r="AM230" s="240" t="str">
        <f t="shared" si="112"/>
        <v>start /low /b %USERPROFILE%\Documents\GitHub\eaglep3\Utilities\DownloadLogsFromS3.py --loco 4018 --day 2018-01-08</v>
      </c>
      <c r="AN230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14"/>
        <v>https://d0f6bd738d7f1b3e5a7ca70fe4ff75f0.us-east-1.aws.found.io/app/kibana#/discover/Steve-Slow-Train-Analysis-(2080s-and-2083s)?_g=(refreshInterval:(display:Off,pause:!f,section:0,value:0),time:(from:'2018-01-08T19:16:12-0700',mode:absolute,to:'2018-01-08T21:24:01-0700'))&amp;_a=(columns:!('Message%20ID',Summary),filters:!(),index:'emp_*',interval:auto,query:(query_string:(analyze_wildcard:!t,query:'%22rtdc.l.rtdc.4018%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 s="229" t="s">
        <v>838</v>
      </c>
      <c r="B231" s="225">
        <v>4018</v>
      </c>
      <c r="C231" s="227" t="s">
        <v>191</v>
      </c>
      <c r="D231" s="227" t="s">
        <v>614</v>
      </c>
      <c r="E231" s="226">
        <v>43108.8437962963</v>
      </c>
      <c r="F231" s="226">
        <v>43108.849618055552</v>
      </c>
      <c r="G231" s="225">
        <v>62</v>
      </c>
      <c r="H231" s="227" t="s">
        <v>974</v>
      </c>
      <c r="I231" s="226">
        <v>43108.850011574075</v>
      </c>
      <c r="J231" s="225">
        <v>0</v>
      </c>
      <c r="K231" s="237" t="str">
        <f t="shared" si="93"/>
        <v>4017/4018</v>
      </c>
      <c r="L231" s="245" t="str">
        <f>VLOOKUP(A231,'Trips&amp;Operators'!$C$1:$G$99911,5,FALSE)</f>
        <v>AUSTIN THOMPSON</v>
      </c>
      <c r="M231" s="224">
        <f t="shared" si="94"/>
        <v>3.9351852319668978E-4</v>
      </c>
      <c r="N231" s="225">
        <f t="shared" si="115"/>
        <v>0.56666667340323329</v>
      </c>
      <c r="O231" s="225"/>
      <c r="P231" s="225"/>
      <c r="Q231" s="228"/>
      <c r="R231" s="242"/>
      <c r="S231" s="249">
        <f t="shared" si="116"/>
        <v>0</v>
      </c>
      <c r="T231" s="242" t="str">
        <f t="shared" si="95"/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 t="shared" si="96"/>
        <v>https://d0f6bd738d7f1b3e5a7ca70fe4ff75f0.us-east-1.aws.found.io/app/kibana#/discover/Steve-Slow-Train-Analysis-(2080s-and-2083s)?_g=(refreshInterval:(display:Off,pause:!f,section:0,value:0),time:(from:'2018-01-08T19:15:04-0700',mode:absolute,to:'2018-01-08T21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1" s="247" t="str">
        <f>IF(AA231&lt;VLOOKUP(AG231,Variables!$AC$3:$AD$8,2,FALSE),"Y","N")</f>
        <v>Y</v>
      </c>
      <c r="X231" s="247">
        <f t="shared" si="97"/>
        <v>0</v>
      </c>
      <c r="Y231" s="247">
        <f t="shared" si="108"/>
        <v>5.62E-2</v>
      </c>
      <c r="Z231" s="247">
        <f t="shared" si="109"/>
        <v>0.34339999999999998</v>
      </c>
      <c r="AA231" s="247">
        <f t="shared" si="98"/>
        <v>0.28720000000000001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 t="shared" si="99"/>
        <v>60</v>
      </c>
      <c r="AE231" s="235" t="str">
        <f t="shared" si="100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231" s="234" t="str">
        <f t="shared" si="101"/>
        <v>"C:\Program Files (x86)\AstroGrep\AstroGrep.exe" /e /r /s /spath="%USERPROFILE%\AppData\Local\Temp\OnboardLogs" /stypes="app*4018*20180109*" /stext=" 03:.+((SYSTEM_STATE.+slice.+state.+changed )|(ment ac)|(multiple cpu faults)|(system.+state.+changed )|(\[timeout)|(PRM\|1\|D)|(kpr)|(kdp)|(train st.+moving)|(\|lc)|(penalty))"</v>
      </c>
      <c r="AG231" s="244" t="str">
        <f t="shared" si="102"/>
        <v>Shuttle/Test</v>
      </c>
      <c r="AH231" s="236" t="str">
        <f t="shared" si="110"/>
        <v>"%USERPROFILE%\Documents\GitHub\eaglep3\Utilities\RefineRTDCRunTimes.py" --tripid 60-08 --locoid 4018 --swversion DE.1.0.9.0 --startMP 204:562 --initTime 2018-01-08T20:15:04 --startdatetime 2018-01-08T20:23:27 --delay 62 --endMP 204:3434 --enddatetime 2018-01-08T20:24:01 --enforcementcount 0 &gt;&gt;%USERPROFILE%\Documents\GitHub\eaglep3-reporting\EC\2018-01-08-refined-times.txt</v>
      </c>
      <c r="AI231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0.3434"},{"id":17,"name":"Train ID","value":"60-08"},{"id":16,"name":"Locomotive ID","value":"4018"},{"id":130,"name":"Impact","value":""},{"id":150,"name":"Time of Event (Mountain Time)","value":"20:24:01"},{"id":151,"name":"Denver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1"/>
      <c r="AL231" s="231"/>
      <c r="AM231" s="240" t="str">
        <f t="shared" si="112"/>
        <v>start /low /b %USERPROFILE%\Documents\GitHub\eaglep3\Utilities\DownloadLogsFromS3.py --loco 4018 --day 2018-01-08</v>
      </c>
      <c r="AN231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14"/>
        <v>https://d0f6bd738d7f1b3e5a7ca70fe4ff75f0.us-east-1.aws.found.io/app/kibana#/discover/Steve-Slow-Train-Analysis-(2080s-and-2083s)?_g=(refreshInterval:(display:Off,pause:!f,section:0,value:0),time:(from:'2018-01-08T19:15:04-0700',mode:absolute,to:'2018-01-08T21:24:01-0700'))&amp;_a=(columns:!('Message%20ID',Summary),filters:!(),index:'emp_*',interval:auto,query:(query_string:(analyze_wildcard:!t,query:'%22rtdc.l.rtdc.4018%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29" t="s">
        <v>838</v>
      </c>
      <c r="B232" s="225">
        <v>4017</v>
      </c>
      <c r="C232" s="227" t="s">
        <v>191</v>
      </c>
      <c r="D232" s="227" t="s">
        <v>975</v>
      </c>
      <c r="E232" s="226">
        <v>43108.848449074074</v>
      </c>
      <c r="F232" s="226">
        <v>43108.849618055552</v>
      </c>
      <c r="G232" s="225">
        <v>51</v>
      </c>
      <c r="H232" s="227" t="s">
        <v>976</v>
      </c>
      <c r="I232" s="226">
        <v>43108.850011574075</v>
      </c>
      <c r="J232" s="225">
        <v>0</v>
      </c>
      <c r="K232" s="237" t="str">
        <f t="shared" si="93"/>
        <v>4017/4018</v>
      </c>
      <c r="L232" s="245" t="str">
        <f>VLOOKUP(A232,'Trips&amp;Operators'!$C$1:$G$99911,5,FALSE)</f>
        <v>AUSTIN THOMPSON</v>
      </c>
      <c r="M232" s="224">
        <f t="shared" si="94"/>
        <v>3.9351852319668978E-4</v>
      </c>
      <c r="N232" s="225">
        <f t="shared" si="115"/>
        <v>0.56666667340323329</v>
      </c>
      <c r="O232" s="225"/>
      <c r="P232" s="225"/>
      <c r="Q232" s="228"/>
      <c r="R232" s="242"/>
      <c r="S232" s="249">
        <f t="shared" si="116"/>
        <v>0</v>
      </c>
      <c r="T232" s="242" t="str">
        <f t="shared" si="95"/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 t="shared" si="96"/>
        <v>https://d0f6bd738d7f1b3e5a7ca70fe4ff75f0.us-east-1.aws.found.io/app/kibana#/discover/Steve-Slow-Train-Analysis-(2080s-and-2083s)?_g=(refreshInterval:(display:Off,pause:!f,section:0,value:0),time:(from:'2018-01-08T19:21:46-0700',mode:absolute,to:'2018-01-08T21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2" s="247" t="str">
        <f>IF(AA232&lt;VLOOKUP(AG232,Variables!$AC$3:$AD$8,2,FALSE),"Y","N")</f>
        <v>Y</v>
      </c>
      <c r="X232" s="247">
        <f t="shared" si="97"/>
        <v>0</v>
      </c>
      <c r="Y232" s="247">
        <f t="shared" si="108"/>
        <v>0.31319999999999998</v>
      </c>
      <c r="Z232" s="247">
        <f t="shared" si="109"/>
        <v>0.191</v>
      </c>
      <c r="AA232" s="247">
        <f t="shared" si="98"/>
        <v>0.12219999999999998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 t="shared" si="99"/>
        <v>60</v>
      </c>
      <c r="AE232" s="235" t="str">
        <f t="shared" si="100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232" s="234" t="str">
        <f t="shared" si="101"/>
        <v>"C:\Program Files (x86)\AstroGrep\AstroGrep.exe" /e /r /s /spath="%USERPROFILE%\AppData\Local\Temp\OnboardLogs" /stypes="app*4017*20180109*" /stext=" 03:.+((SYSTEM_STATE.+slice.+state.+changed )|(ment ac)|(multiple cpu faults)|(system.+state.+changed )|(\[timeout)|(PRM\|1\|D)|(kpr)|(kdp)|(train st.+moving)|(\|lc)|(penalty))"</v>
      </c>
      <c r="AG232" s="244" t="str">
        <f t="shared" si="102"/>
        <v>Shuttle/Test</v>
      </c>
      <c r="AH232" s="236" t="str">
        <f t="shared" si="110"/>
        <v>"%USERPROFILE%\Documents\GitHub\eaglep3\Utilities\RefineRTDCRunTimes.py" --tripid 60-08 --locoid 4017 --swversion DE.1.0.9.0 --startMP 204:3132 --initTime 2018-01-08T20:21:46 --startdatetime 2018-01-08T20:23:27 --delay 51 --endMP 204:1910 --enddatetime 2018-01-08T20:24:01 --enforcementcount 0 &gt;&gt;%USERPROFILE%\Documents\GitHub\eaglep3-reporting\EC\2018-01-08-refined-times.txt</v>
      </c>
      <c r="AI232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0.191"},{"id":17,"name":"Train ID","value":"60-08"},{"id":16,"name":"Locomotive ID","value":"4017"},{"id":130,"name":"Impact","value":""},{"id":150,"name":"Time of Event (Mountain Time)","value":"20:24:01"},{"id":151,"name":"Denver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112"/>
        <v>start /low /b %USERPROFILE%\Documents\GitHub\eaglep3\Utilities\DownloadLogsFromS3.py --loco 4017 --day 2018-01-08</v>
      </c>
      <c r="AN232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14"/>
        <v>https://d0f6bd738d7f1b3e5a7ca70fe4ff75f0.us-east-1.aws.found.io/app/kibana#/discover/Steve-Slow-Train-Analysis-(2080s-and-2083s)?_g=(refreshInterval:(display:Off,pause:!f,section:0,value:0),time:(from:'2018-01-08T19:21:46-0700',mode:absolute,to:'2018-01-08T21:24:01-0700'))&amp;_a=(columns:!('Message%20ID',Summary),filters:!(),index:'emp_*',interval:auto,query:(query_string:(analyze_wildcard:!t,query:'%22rtdc.l.rtdc.4017%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229" t="s">
        <v>623</v>
      </c>
      <c r="B233" s="225">
        <v>4010</v>
      </c>
      <c r="C233" s="227" t="s">
        <v>191</v>
      </c>
      <c r="D233" s="227" t="s">
        <v>977</v>
      </c>
      <c r="E233" s="226">
        <v>43108.429560185185</v>
      </c>
      <c r="F233" s="226">
        <v>43108.44259259259</v>
      </c>
      <c r="G233" s="225">
        <v>253</v>
      </c>
      <c r="H233" s="227" t="s">
        <v>978</v>
      </c>
      <c r="I233" s="226">
        <v>43108.458541666667</v>
      </c>
      <c r="J233" s="225">
        <v>0</v>
      </c>
      <c r="K233" s="237" t="str">
        <f t="shared" si="93"/>
        <v>4009/4010</v>
      </c>
      <c r="L233" s="245" t="str">
        <f>VLOOKUP(A233,'Trips&amp;Operators'!$C$1:$G$99911,5,FALSE)</f>
        <v>BROWN JACOB</v>
      </c>
      <c r="M233" s="224">
        <f t="shared" si="94"/>
        <v>1.5949074077070691E-2</v>
      </c>
      <c r="N233" s="225">
        <f t="shared" si="115"/>
        <v>22.966666670981795</v>
      </c>
      <c r="O233" s="225"/>
      <c r="P233" s="225"/>
      <c r="Q233" s="228"/>
      <c r="R233" s="242"/>
      <c r="S233" s="249">
        <f t="shared" si="116"/>
        <v>0</v>
      </c>
      <c r="T233" s="242" t="str">
        <f t="shared" si="95"/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 t="shared" si="96"/>
        <v>https://d0f6bd738d7f1b3e5a7ca70fe4ff75f0.us-east-1.aws.found.io/app/kibana#/discover/Steve-Slow-Train-Analysis-(2080s-and-2083s)?_g=(refreshInterval:(display:Off,pause:!f,section:0,value:0),time:(from:'2018-01-08T09:18:34-0700',mode:absolute,to:'2018-01-08T12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3" s="247" t="str">
        <f>IF(AA233&lt;VLOOKUP(AG233,Variables!$AC$3:$AD$8,2,FALSE),"Y","N")</f>
        <v>Y</v>
      </c>
      <c r="X233" s="247">
        <f t="shared" si="97"/>
        <v>5</v>
      </c>
      <c r="Y233" s="247">
        <f t="shared" si="108"/>
        <v>2.9434</v>
      </c>
      <c r="Z233" s="247">
        <f t="shared" si="109"/>
        <v>3.3006000000000002</v>
      </c>
      <c r="AA233" s="247">
        <f t="shared" si="98"/>
        <v>0.35720000000000018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 t="shared" si="99"/>
        <v>65</v>
      </c>
      <c r="AE233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3" s="234" t="str">
        <f t="shared" si="101"/>
        <v>"C:\Program Files (x86)\AstroGrep\AstroGrep.exe" /e /r /s /spath="%USERPROFILE%\AppData\Local\Temp\OnboardLogs" /stypes="app*4010*20180108*" /stext=" 18:.+((SYSTEM_STATE.+slice.+state.+changed )|(ment ac)|(multiple cpu faults)|(system.+state.+changed )|(\[timeout)|(PRM\|1\|D)|(kpr)|(kdp)|(train st.+moving)|(\|lc)|(penalty))"</v>
      </c>
      <c r="AG233" s="244" t="str">
        <f t="shared" si="102"/>
        <v>Shuttle/Test</v>
      </c>
      <c r="AH233" s="236" t="str">
        <f t="shared" si="110"/>
        <v>"%USERPROFILE%\Documents\GitHub\eaglep3\Utilities\RefineRTDCRunTimes.py" --tripid 65-08 --locoid 4010 --swversion DE.1.0.9.0 --startMP 300:29434 --initTime 2018-01-08T10:18:34 --startdatetime 2018-01-08T10:37:20 --delay 253 --endMP 300:33006 --enddatetime 2018-01-08T11:00:18 --enforcementcount 0 &gt;&gt;%USERPROFILE%\Documents\GitHub\eaglep3-reporting\EC\2018-01-08-refined-times.txt</v>
      </c>
      <c r="AI233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3.3006"},{"id":17,"name":"Train ID","value":"65-08"},{"id":16,"name":"Locomotive ID","value":"4010"},{"id":130,"name":"Impact","value":""},{"id":150,"name":"Time of Event (Mountain Time)","value":"11:00:18"},{"id":151,"name":"Denver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112"/>
        <v>start /low /b %USERPROFILE%\Documents\GitHub\eaglep3\Utilities\DownloadLogsFromS3.py --loco 4010 --day 2018-01-08</v>
      </c>
      <c r="AN233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114"/>
        <v>https://d0f6bd738d7f1b3e5a7ca70fe4ff75f0.us-east-1.aws.found.io/app/kibana#/discover/Steve-Slow-Train-Analysis-(2080s-and-2083s)?_g=(refreshInterval:(display:Off,pause:!f,section:0,value:0),time:(from:'2018-01-08T09:18:34-0700',mode:absolute,to:'2018-01-08T12:00:18-0700'))&amp;_a=(columns:!('Message%20ID',Summary),filters:!(),index:'emp_*',interval:auto,query:(query_string:(analyze_wildcard:!t,query:'%22rtdc.l.rtdc.4010%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3">
      <c r="A234" s="229" t="s">
        <v>623</v>
      </c>
      <c r="B234" s="225">
        <v>4010</v>
      </c>
      <c r="C234" s="227" t="s">
        <v>191</v>
      </c>
      <c r="D234" s="227" t="s">
        <v>979</v>
      </c>
      <c r="E234" s="226">
        <v>43108.476388888892</v>
      </c>
      <c r="F234" s="226">
        <v>43108.477870370371</v>
      </c>
      <c r="G234" s="225">
        <v>72</v>
      </c>
      <c r="H234" s="227" t="s">
        <v>980</v>
      </c>
      <c r="I234" s="226">
        <v>43108.492881944447</v>
      </c>
      <c r="J234" s="225">
        <v>0</v>
      </c>
      <c r="K234" s="237" t="str">
        <f t="shared" si="93"/>
        <v>4009/4010</v>
      </c>
      <c r="L234" s="245" t="str">
        <f>VLOOKUP(A234,'Trips&amp;Operators'!$C$1:$G$99911,5,FALSE)</f>
        <v>BROWN JACOB</v>
      </c>
      <c r="M234" s="224">
        <f t="shared" si="94"/>
        <v>1.5011574076197576E-2</v>
      </c>
      <c r="N234" s="225">
        <f t="shared" si="115"/>
        <v>21.616666669724509</v>
      </c>
      <c r="O234" s="225"/>
      <c r="P234" s="225"/>
      <c r="Q234" s="228"/>
      <c r="R234" s="242"/>
      <c r="S234" s="249">
        <f t="shared" si="116"/>
        <v>0</v>
      </c>
      <c r="T234" s="242" t="str">
        <f t="shared" si="95"/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 t="shared" si="96"/>
        <v>https://d0f6bd738d7f1b3e5a7ca70fe4ff75f0.us-east-1.aws.found.io/app/kibana#/discover/Steve-Slow-Train-Analysis-(2080s-and-2083s)?_g=(refreshInterval:(display:Off,pause:!f,section:0,value:0),time:(from:'2018-01-08T10:26:00-0700',mode:absolute,to:'2018-01-08T12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4" s="247" t="str">
        <f>IF(AA234&lt;VLOOKUP(AG234,Variables!$AC$3:$AD$8,2,FALSE),"Y","N")</f>
        <v>Y</v>
      </c>
      <c r="X234" s="247">
        <f t="shared" si="97"/>
        <v>0</v>
      </c>
      <c r="Y234" s="247">
        <f t="shared" si="108"/>
        <v>3.7888000000000002</v>
      </c>
      <c r="Z234" s="247">
        <f t="shared" si="109"/>
        <v>11.251300000000001</v>
      </c>
      <c r="AA234" s="247">
        <f t="shared" si="98"/>
        <v>7.4625000000000004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 t="shared" si="99"/>
        <v>65</v>
      </c>
      <c r="AE234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4" s="234" t="str">
        <f t="shared" si="101"/>
        <v>"C:\Program Files (x86)\AstroGrep\AstroGrep.exe" /e /r /s /spath="%USERPROFILE%\AppData\Local\Temp\OnboardLogs" /stypes="app*4010*20180108*" /stext=" 18:.+((SYSTEM_STATE.+slice.+state.+changed )|(ment ac)|(multiple cpu faults)|(system.+state.+changed )|(\[timeout)|(PRM\|1\|D)|(kpr)|(kdp)|(train st.+moving)|(\|lc)|(penalty))"</v>
      </c>
      <c r="AG234" s="244" t="str">
        <f t="shared" si="102"/>
        <v>Shuttle/Test</v>
      </c>
      <c r="AH234" s="236" t="str">
        <f t="shared" si="110"/>
        <v>"%USERPROFILE%\Documents\GitHub\eaglep3\Utilities\RefineRTDCRunTimes.py" --tripid 65-08 --locoid 4010 --swversion DE.1.0.9.0 --startMP 300:37888 --initTime 2018-01-08T11:26:00 --startdatetime 2018-01-08T11:28:08 --delay 72 --endMP 300:112513 --enddatetime 2018-01-08T11:49:45 --enforcementcount 0 &gt;&gt;%USERPROFILE%\Documents\GitHub\eaglep3-reporting\EC\2018-01-08-refined-times.txt</v>
      </c>
      <c r="AI234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11.2513"},{"id":17,"name":"Train ID","value":"65-08"},{"id":16,"name":"Locomotive ID","value":"4010"},{"id":130,"name":"Impact","value":""},{"id":150,"name":"Time of Event (Mountain Time)","value":"11:49:45"},{"id":151,"name":"Denver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231"/>
      <c r="AL234" s="231"/>
      <c r="AM234" s="240" t="str">
        <f t="shared" si="112"/>
        <v>start /low /b %USERPROFILE%\Documents\GitHub\eaglep3\Utilities\DownloadLogsFromS3.py --loco 4010 --day 2018-01-08</v>
      </c>
      <c r="AN234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114"/>
        <v>https://d0f6bd738d7f1b3e5a7ca70fe4ff75f0.us-east-1.aws.found.io/app/kibana#/discover/Steve-Slow-Train-Analysis-(2080s-and-2083s)?_g=(refreshInterval:(display:Off,pause:!f,section:0,value:0),time:(from:'2018-01-08T10:26:00-0700',mode:absolute,to:'2018-01-08T12:49:45-0700'))&amp;_a=(columns:!('Message%20ID',Summary),filters:!(),index:'emp_*',interval:auto,query:(query_string:(analyze_wildcard:!t,query:'%22rtdc.l.rtdc.4010%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3">
      <c r="A235" s="229" t="s">
        <v>623</v>
      </c>
      <c r="B235" s="225">
        <v>4010</v>
      </c>
      <c r="C235" s="227" t="s">
        <v>191</v>
      </c>
      <c r="D235" s="227" t="s">
        <v>981</v>
      </c>
      <c r="E235" s="226">
        <v>43108.564456018517</v>
      </c>
      <c r="F235" s="226">
        <v>43108.604699074072</v>
      </c>
      <c r="G235" s="225">
        <v>75</v>
      </c>
      <c r="H235" s="227" t="s">
        <v>982</v>
      </c>
      <c r="I235" s="226">
        <v>43108.61986111111</v>
      </c>
      <c r="J235" s="225">
        <v>0</v>
      </c>
      <c r="K235" s="237" t="str">
        <f t="shared" si="93"/>
        <v>4009/4010</v>
      </c>
      <c r="L235" s="245" t="str">
        <f>VLOOKUP(A235,'Trips&amp;Operators'!$C$1:$G$99911,5,FALSE)</f>
        <v>BROWN JACOB</v>
      </c>
      <c r="M235" s="224">
        <f t="shared" si="94"/>
        <v>1.5162037037953269E-2</v>
      </c>
      <c r="N235" s="225">
        <f t="shared" si="115"/>
        <v>21.833333334652707</v>
      </c>
      <c r="O235" s="225"/>
      <c r="P235" s="225"/>
      <c r="Q235" s="228"/>
      <c r="R235" s="242"/>
      <c r="S235" s="249">
        <f t="shared" si="116"/>
        <v>1</v>
      </c>
      <c r="T235" s="242" t="str">
        <f t="shared" si="95"/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8" t="str">
        <f t="shared" si="96"/>
        <v>https://d0f6bd738d7f1b3e5a7ca70fe4ff75f0.us-east-1.aws.found.io/app/kibana#/discover/Steve-Slow-Train-Analysis-(2080s-and-2083s)?_g=(refreshInterval:(display:Off,pause:!f,section:0,value:0),time:(from:'2018-01-08T12:32:49-0700',mode:absolute,to:'2018-01-08T15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5" s="247" t="str">
        <f>IF(AA235&lt;VLOOKUP(AG235,Variables!$AC$3:$AD$8,2,FALSE),"Y","N")</f>
        <v>Y</v>
      </c>
      <c r="X235" s="247">
        <f t="shared" si="97"/>
        <v>0</v>
      </c>
      <c r="Y235" s="247">
        <f t="shared" si="108"/>
        <v>0.11600000000000001</v>
      </c>
      <c r="Z235" s="247">
        <f t="shared" si="109"/>
        <v>11.2578</v>
      </c>
      <c r="AA235" s="247">
        <f t="shared" si="98"/>
        <v>11.1418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 t="shared" si="99"/>
        <v>65</v>
      </c>
      <c r="AE235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5" s="234" t="str">
        <f t="shared" si="101"/>
        <v>"C:\Program Files (x86)\AstroGrep\AstroGrep.exe" /e /r /s /spath="%USERPROFILE%\AppData\Local\Temp\OnboardLogs" /stypes="app*4010*20180108*" /stext=" 21:.+((SYSTEM_STATE.+slice.+state.+changed )|(ment ac)|(multiple cpu faults)|(system.+state.+changed )|(\[timeout)|(PRM\|1\|D)|(kpr)|(kdp)|(train st.+moving)|(\|lc)|(penalty))"</v>
      </c>
      <c r="AG235" s="244" t="str">
        <f t="shared" si="102"/>
        <v>Shuttle/Test</v>
      </c>
      <c r="AH235" s="236" t="str">
        <f t="shared" si="110"/>
        <v>"%USERPROFILE%\Documents\GitHub\eaglep3\Utilities\RefineRTDCRunTimes.py" --tripid 65-08 --locoid 4010 --swversion DE.1.0.9.0 --startMP 204:1160 --initTime 2018-01-08T13:32:49 --startdatetime 2018-01-08T14:30:46 --delay 75 --endMP 300:112578 --enddatetime 2018-01-08T14:52:36 --enforcementcount 0 &gt;&gt;%USERPROFILE%\Documents\GitHub\eaglep3-reporting\EC\2018-01-08-refined-times.txt</v>
      </c>
      <c r="AI235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11.2578"},{"id":17,"name":"Train ID","value":"65-08"},{"id":16,"name":"Locomotive ID","value":"4010"},{"id":130,"name":"Impact","value":""},{"id":150,"name":"Time of Event (Mountain Time)","value":"14:52:36"},{"id":151,"name":"Denver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231"/>
      <c r="AL235" s="231"/>
      <c r="AM235" s="240" t="str">
        <f t="shared" si="112"/>
        <v>start /low /b %USERPROFILE%\Documents\GitHub\eaglep3\Utilities\DownloadLogsFromS3.py --loco 4010 --day 2018-01-08</v>
      </c>
      <c r="AN235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114"/>
        <v>https://d0f6bd738d7f1b3e5a7ca70fe4ff75f0.us-east-1.aws.found.io/app/kibana#/discover/Steve-Slow-Train-Analysis-(2080s-and-2083s)?_g=(refreshInterval:(display:Off,pause:!f,section:0,value:0),time:(from:'2018-01-08T12:32:49-0700',mode:absolute,to:'2018-01-08T15:52:36-0700'))&amp;_a=(columns:!('Message%20ID',Summary),filters:!(),index:'emp_*',interval:auto,query:(query_string:(analyze_wildcard:!t,query:'%22rtdc.l.rtdc.4010%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3">
      <c r="A236" s="229" t="s">
        <v>623</v>
      </c>
      <c r="B236" s="225">
        <v>4010</v>
      </c>
      <c r="C236" s="227" t="s">
        <v>191</v>
      </c>
      <c r="D236" s="227" t="s">
        <v>983</v>
      </c>
      <c r="E236" s="226">
        <v>43108.603032407409</v>
      </c>
      <c r="F236" s="226">
        <v>43108.642557870371</v>
      </c>
      <c r="G236" s="225">
        <v>57</v>
      </c>
      <c r="H236" s="227" t="s">
        <v>984</v>
      </c>
      <c r="I236" s="226">
        <v>43108.660057870373</v>
      </c>
      <c r="J236" s="225">
        <v>0</v>
      </c>
      <c r="K236" s="237" t="str">
        <f t="shared" si="93"/>
        <v>4009/4010</v>
      </c>
      <c r="L236" s="245" t="str">
        <f>VLOOKUP(A236,'Trips&amp;Operators'!$C$1:$G$99911,5,FALSE)</f>
        <v>BROWN JACOB</v>
      </c>
      <c r="M236" s="224">
        <f t="shared" si="94"/>
        <v>1.750000000174623E-2</v>
      </c>
      <c r="N236" s="225">
        <f t="shared" si="115"/>
        <v>25.200000002514571</v>
      </c>
      <c r="O236" s="225"/>
      <c r="P236" s="225"/>
      <c r="Q236" s="228"/>
      <c r="R236" s="242"/>
      <c r="S236" s="249">
        <f t="shared" si="116"/>
        <v>0</v>
      </c>
      <c r="T236" s="242" t="str">
        <f t="shared" si="95"/>
        <v>NorthBound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8" t="str">
        <f t="shared" si="96"/>
        <v>https://d0f6bd738d7f1b3e5a7ca70fe4ff75f0.us-east-1.aws.found.io/app/kibana#/discover/Steve-Slow-Train-Analysis-(2080s-and-2083s)?_g=(refreshInterval:(display:Off,pause:!f,section:0,value:0),time:(from:'2018-01-08T13:28:22-0700',mode:absolute,to:'2018-01-08T16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6" s="247" t="str">
        <f>IF(AA236&lt;VLOOKUP(AG236,Variables!$AC$3:$AD$8,2,FALSE),"Y","N")</f>
        <v>Y</v>
      </c>
      <c r="X236" s="247">
        <f t="shared" si="97"/>
        <v>0</v>
      </c>
      <c r="Y236" s="247">
        <f t="shared" si="108"/>
        <v>3.9544999999999999</v>
      </c>
      <c r="Z236" s="247">
        <f t="shared" si="109"/>
        <v>11.255100000000001</v>
      </c>
      <c r="AA236" s="247">
        <f t="shared" si="98"/>
        <v>7.3006000000000011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 t="shared" si="99"/>
        <v>65</v>
      </c>
      <c r="AE236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6" s="234" t="str">
        <f t="shared" si="101"/>
        <v>"C:\Program Files (x86)\AstroGrep\AstroGrep.exe" /e /r /s /spath="%USERPROFILE%\AppData\Local\Temp\OnboardLogs" /stypes="app*4010*20180108*" /stext=" 22:.+((SYSTEM_STATE.+slice.+state.+changed )|(ment ac)|(multiple cpu faults)|(system.+state.+changed )|(\[timeout)|(PRM\|1\|D)|(kpr)|(kdp)|(train st.+moving)|(\|lc)|(penalty))"</v>
      </c>
      <c r="AG236" s="244" t="str">
        <f t="shared" si="102"/>
        <v>Shuttle/Test</v>
      </c>
      <c r="AH236" s="236" t="str">
        <f t="shared" si="110"/>
        <v>"%USERPROFILE%\Documents\GitHub\eaglep3\Utilities\RefineRTDCRunTimes.py" --tripid 65-08 --locoid 4010 --swversion DE.1.0.9.0 --startMP 300:39545 --initTime 2018-01-08T14:28:22 --startdatetime 2018-01-08T15:25:17 --delay 57 --endMP 300:112551 --enddatetime 2018-01-08T15:50:29 --enforcementcount 0 &gt;&gt;%USERPROFILE%\Documents\GitHub\eaglep3-reporting\EC\2018-01-08-refined-times.txt</v>
      </c>
      <c r="AI236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11.2551"},{"id":17,"name":"Train ID","value":"65-08"},{"id":16,"name":"Locomotive ID","value":"4010"},{"id":130,"name":"Impact","value":""},{"id":150,"name":"Time of Event (Mountain Time)","value":"15:50:29"},{"id":151,"name":"Denver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1"/>
      <c r="AL236" s="231"/>
      <c r="AM236" s="240" t="str">
        <f t="shared" si="112"/>
        <v>start /low /b %USERPROFILE%\Documents\GitHub\eaglep3\Utilities\DownloadLogsFromS3.py --loco 4010 --day 2018-01-08</v>
      </c>
      <c r="AN236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114"/>
        <v>https://d0f6bd738d7f1b3e5a7ca70fe4ff75f0.us-east-1.aws.found.io/app/kibana#/discover/Steve-Slow-Train-Analysis-(2080s-and-2083s)?_g=(refreshInterval:(display:Off,pause:!f,section:0,value:0),time:(from:'2018-01-08T13:28:22-0700',mode:absolute,to:'2018-01-08T16:50:29-0700'))&amp;_a=(columns:!('Message%20ID',Summary),filters:!(),index:'emp_*',interval:auto,query:(query_string:(analyze_wildcard:!t,query:'%22rtdc.l.rtdc.4010%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29" t="s">
        <v>623</v>
      </c>
      <c r="B237" s="225">
        <v>4010</v>
      </c>
      <c r="C237" s="227" t="s">
        <v>191</v>
      </c>
      <c r="D237" s="227" t="s">
        <v>985</v>
      </c>
      <c r="E237" s="226">
        <v>43108.639525462961</v>
      </c>
      <c r="F237" s="226">
        <v>43108.665034722224</v>
      </c>
      <c r="G237" s="225">
        <v>113</v>
      </c>
      <c r="H237" s="227" t="s">
        <v>986</v>
      </c>
      <c r="I237" s="226">
        <v>43108.680798611109</v>
      </c>
      <c r="J237" s="225">
        <v>0</v>
      </c>
      <c r="K237" s="237" t="str">
        <f t="shared" si="93"/>
        <v>4009/4010</v>
      </c>
      <c r="L237" s="245" t="str">
        <f>VLOOKUP(A237,'Trips&amp;Operators'!$C$1:$G$99911,5,FALSE)</f>
        <v>BROWN JACOB</v>
      </c>
      <c r="M237" s="224">
        <f t="shared" si="94"/>
        <v>1.5763888884976041E-2</v>
      </c>
      <c r="N237" s="225">
        <f t="shared" si="115"/>
        <v>22.699999994365498</v>
      </c>
      <c r="O237" s="225"/>
      <c r="P237" s="225"/>
      <c r="Q237" s="228"/>
      <c r="R237" s="242"/>
      <c r="S237" s="249">
        <f t="shared" si="116"/>
        <v>0</v>
      </c>
      <c r="T237" s="242" t="str">
        <f t="shared" si="95"/>
        <v>NorthBound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 t="shared" si="96"/>
        <v>https://d0f6bd738d7f1b3e5a7ca70fe4ff75f0.us-east-1.aws.found.io/app/kibana#/discover/Steve-Slow-Train-Analysis-(2080s-and-2083s)?_g=(refreshInterval:(display:Off,pause:!f,section:0,value:0),time:(from:'2018-01-08T14:20:55-0700',mode:absolute,to:'2018-01-08T17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7" s="247" t="str">
        <f>IF(AA237&lt;VLOOKUP(AG237,Variables!$AC$3:$AD$8,2,FALSE),"Y","N")</f>
        <v>Y</v>
      </c>
      <c r="X237" s="247">
        <f t="shared" si="97"/>
        <v>0</v>
      </c>
      <c r="Y237" s="247">
        <f t="shared" si="108"/>
        <v>3.9518</v>
      </c>
      <c r="Z237" s="247">
        <f t="shared" si="109"/>
        <v>11.2491</v>
      </c>
      <c r="AA237" s="247">
        <f t="shared" si="98"/>
        <v>7.2972999999999999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 t="shared" si="99"/>
        <v>65</v>
      </c>
      <c r="AE237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7" s="234" t="str">
        <f t="shared" si="101"/>
        <v>"C:\Program Files (x86)\AstroGrep\AstroGrep.exe" /e /r /s /spath="%USERPROFILE%\AppData\Local\Temp\OnboardLogs" /stypes="app*4010*20180108*" /stext=" 23:.+((SYSTEM_STATE.+slice.+state.+changed )|(ment ac)|(multiple cpu faults)|(system.+state.+changed )|(\[timeout)|(PRM\|1\|D)|(kpr)|(kdp)|(train st.+moving)|(\|lc)|(penalty))"</v>
      </c>
      <c r="AG237" s="244" t="str">
        <f t="shared" si="102"/>
        <v>Shuttle/Test</v>
      </c>
      <c r="AH237" s="236" t="str">
        <f t="shared" si="110"/>
        <v>"%USERPROFILE%\Documents\GitHub\eaglep3\Utilities\RefineRTDCRunTimes.py" --tripid 65-08 --locoid 4010 --swversion DE.1.0.9.0 --startMP 300:39518 --initTime 2018-01-08T15:20:55 --startdatetime 2018-01-08T15:57:39 --delay 113 --endMP 300:112491 --enddatetime 2018-01-08T16:20:21 --enforcementcount 0 &gt;&gt;%USERPROFILE%\Documents\GitHub\eaglep3-reporting\EC\2018-01-08-refined-times.txt</v>
      </c>
      <c r="AI237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11.2491"},{"id":17,"name":"Train ID","value":"65-08"},{"id":16,"name":"Locomotive ID","value":"4010"},{"id":130,"name":"Impact","value":""},{"id":150,"name":"Time of Event (Mountain Time)","value":"16:20:21"},{"id":151,"name":"Denver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112"/>
        <v>start /low /b %USERPROFILE%\Documents\GitHub\eaglep3\Utilities\DownloadLogsFromS3.py --loco 4010 --day 2018-01-08</v>
      </c>
      <c r="AN237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114"/>
        <v>https://d0f6bd738d7f1b3e5a7ca70fe4ff75f0.us-east-1.aws.found.io/app/kibana#/discover/Steve-Slow-Train-Analysis-(2080s-and-2083s)?_g=(refreshInterval:(display:Off,pause:!f,section:0,value:0),time:(from:'2018-01-08T14:20:55-0700',mode:absolute,to:'2018-01-08T17:20:21-0700'))&amp;_a=(columns:!('Message%20ID',Summary),filters:!(),index:'emp_*',interval:auto,query:(query_string:(analyze_wildcard:!t,query:'%22rtdc.l.rtdc.4010%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 s="229" t="s">
        <v>623</v>
      </c>
      <c r="B238" s="225">
        <v>4010</v>
      </c>
      <c r="C238" s="227" t="s">
        <v>191</v>
      </c>
      <c r="D238" s="227" t="s">
        <v>987</v>
      </c>
      <c r="E238" s="226">
        <v>43108.684317129628</v>
      </c>
      <c r="F238" s="226">
        <v>43108.68608796296</v>
      </c>
      <c r="G238" s="225">
        <v>50</v>
      </c>
      <c r="H238" s="227" t="s">
        <v>988</v>
      </c>
      <c r="I238" s="226">
        <v>43108.69767361111</v>
      </c>
      <c r="J238" s="225">
        <v>0</v>
      </c>
      <c r="K238" s="237" t="str">
        <f t="shared" si="93"/>
        <v>4009/4010</v>
      </c>
      <c r="L238" s="245" t="str">
        <f>VLOOKUP(A238,'Trips&amp;Operators'!$C$1:$G$99911,5,FALSE)</f>
        <v>BROWN JACOB</v>
      </c>
      <c r="M238" s="224">
        <f t="shared" si="94"/>
        <v>1.1585648149775807E-2</v>
      </c>
      <c r="N238" s="225">
        <f t="shared" si="115"/>
        <v>16.683333335677162</v>
      </c>
      <c r="O238" s="225"/>
      <c r="P238" s="225"/>
      <c r="Q238" s="228"/>
      <c r="R238" s="242"/>
      <c r="S238" s="249">
        <f t="shared" si="116"/>
        <v>0</v>
      </c>
      <c r="T238" s="242" t="str">
        <f t="shared" si="95"/>
        <v>NorthBound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8" t="str">
        <f t="shared" si="96"/>
        <v>https://d0f6bd738d7f1b3e5a7ca70fe4ff75f0.us-east-1.aws.found.io/app/kibana#/discover/Steve-Slow-Train-Analysis-(2080s-and-2083s)?_g=(refreshInterval:(display:Off,pause:!f,section:0,value:0),time:(from:'2018-01-08T15:25:25-0700',mode:absolute,to:'2018-01-08T17:44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8" s="247" t="str">
        <f>IF(AA238&lt;VLOOKUP(AG238,Variables!$AC$3:$AD$8,2,FALSE),"Y","N")</f>
        <v>Y</v>
      </c>
      <c r="X238" s="247">
        <f t="shared" si="97"/>
        <v>0</v>
      </c>
      <c r="Y238" s="247">
        <f t="shared" si="108"/>
        <v>3.9567999999999999</v>
      </c>
      <c r="Z238" s="247">
        <f t="shared" si="109"/>
        <v>11.2494</v>
      </c>
      <c r="AA238" s="247">
        <f t="shared" si="98"/>
        <v>7.2926000000000002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 t="shared" si="99"/>
        <v>65</v>
      </c>
      <c r="AE238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8" s="234" t="str">
        <f t="shared" si="101"/>
        <v>"C:\Program Files (x86)\AstroGrep\AstroGrep.exe" /e /r /s /spath="%USERPROFILE%\AppData\Local\Temp\OnboardLogs" /stypes="app*4010*20180108*" /stext=" 23:.+((SYSTEM_STATE.+slice.+state.+changed )|(ment ac)|(multiple cpu faults)|(system.+state.+changed )|(\[timeout)|(PRM\|1\|D)|(kpr)|(kdp)|(train st.+moving)|(\|lc)|(penalty))"</v>
      </c>
      <c r="AG238" s="244" t="str">
        <f t="shared" si="102"/>
        <v>Shuttle/Test</v>
      </c>
      <c r="AH238" s="236" t="str">
        <f t="shared" si="110"/>
        <v>"%USERPROFILE%\Documents\GitHub\eaglep3\Utilities\RefineRTDCRunTimes.py" --tripid 65-08 --locoid 4010 --swversion DE.1.0.9.0 --startMP 300:39568 --initTime 2018-01-08T16:25:25 --startdatetime 2018-01-08T16:27:58 --delay 50 --endMP 300:112494 --enddatetime 2018-01-08T16:44:39 --enforcementcount 0 &gt;&gt;%USERPROFILE%\Documents\GitHub\eaglep3-reporting\EC\2018-01-08-refined-times.txt</v>
      </c>
      <c r="AI238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11.2494"},{"id":17,"name":"Train ID","value":"65-08"},{"id":16,"name":"Locomotive ID","value":"4010"},{"id":130,"name":"Impact","value":""},{"id":150,"name":"Time of Event (Mountain Time)","value":"16:44:39"},{"id":151,"name":"Denver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1"/>
      <c r="AL238" s="231"/>
      <c r="AM238" s="240" t="str">
        <f t="shared" si="112"/>
        <v>start /low /b %USERPROFILE%\Documents\GitHub\eaglep3\Utilities\DownloadLogsFromS3.py --loco 4010 --day 2018-01-08</v>
      </c>
      <c r="AN238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114"/>
        <v>https://d0f6bd738d7f1b3e5a7ca70fe4ff75f0.us-east-1.aws.found.io/app/kibana#/discover/Steve-Slow-Train-Analysis-(2080s-and-2083s)?_g=(refreshInterval:(display:Off,pause:!f,section:0,value:0),time:(from:'2018-01-08T15:25:25-0700',mode:absolute,to:'2018-01-08T17:44:39-0700'))&amp;_a=(columns:!('Message%20ID',Summary),filters:!(),index:'emp_*',interval:auto,query:(query_string:(analyze_wildcard:!t,query:'%22rtdc.l.rtdc.4010%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229" t="s">
        <v>623</v>
      </c>
      <c r="B239" s="225">
        <v>4020</v>
      </c>
      <c r="C239" s="227" t="s">
        <v>191</v>
      </c>
      <c r="D239" s="227" t="s">
        <v>989</v>
      </c>
      <c r="E239" s="226">
        <v>43108.842847222222</v>
      </c>
      <c r="F239" s="226">
        <v>43108.848009259258</v>
      </c>
      <c r="G239" s="225">
        <v>73</v>
      </c>
      <c r="H239" s="227" t="s">
        <v>990</v>
      </c>
      <c r="I239" s="226">
        <v>43108.849166666667</v>
      </c>
      <c r="J239" s="225">
        <v>0</v>
      </c>
      <c r="K239" s="237" t="str">
        <f t="shared" si="93"/>
        <v>4019/4020</v>
      </c>
      <c r="L239" s="245" t="str">
        <f>VLOOKUP(A239,'Trips&amp;Operators'!$C$1:$G$99911,5,FALSE)</f>
        <v>BROWN JACOB</v>
      </c>
      <c r="M239" s="224">
        <f t="shared" si="94"/>
        <v>1.157407408754807E-3</v>
      </c>
      <c r="N239" s="225">
        <f t="shared" si="115"/>
        <v>1.666666668606922</v>
      </c>
      <c r="O239" s="225"/>
      <c r="P239" s="225"/>
      <c r="Q239" s="228"/>
      <c r="R239" s="242"/>
      <c r="S239" s="249">
        <f t="shared" si="116"/>
        <v>0</v>
      </c>
      <c r="T239" s="242" t="str">
        <f t="shared" si="95"/>
        <v>NorthBound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 t="shared" si="96"/>
        <v>https://d0f6bd738d7f1b3e5a7ca70fe4ff75f0.us-east-1.aws.found.io/app/kibana#/discover/Steve-Slow-Train-Analysis-(2080s-and-2083s)?_g=(refreshInterval:(display:Off,pause:!f,section:0,value:0),time:(from:'2018-01-08T19:13:42-0700',mode:absolute,to:'2018-01-08T21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9" s="247" t="str">
        <f>IF(AA239&lt;VLOOKUP(AG239,Variables!$AC$3:$AD$8,2,FALSE),"Y","N")</f>
        <v>Y</v>
      </c>
      <c r="X239" s="247">
        <f t="shared" si="97"/>
        <v>0</v>
      </c>
      <c r="Y239" s="247">
        <f t="shared" si="108"/>
        <v>0.1162</v>
      </c>
      <c r="Z239" s="247">
        <f t="shared" si="109"/>
        <v>0.3427</v>
      </c>
      <c r="AA239" s="247">
        <f t="shared" si="98"/>
        <v>0.22650000000000001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 t="shared" si="99"/>
        <v>65</v>
      </c>
      <c r="AE239" s="235" t="str">
        <f t="shared" si="100"/>
        <v>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 &amp; 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</v>
      </c>
      <c r="AF239" s="234" t="str">
        <f t="shared" si="101"/>
        <v>"C:\Program Files (x86)\AstroGrep\AstroGrep.exe" /e /r /s /spath="%USERPROFILE%\AppData\Local\Temp\OnboardLogs" /stypes="app*4020*20180109*" /stext=" 03:.+((SYSTEM_STATE.+slice.+state.+changed )|(ment ac)|(multiple cpu faults)|(system.+state.+changed )|(\[timeout)|(PRM\|1\|D)|(kpr)|(kdp)|(train st.+moving)|(\|lc)|(penalty))"</v>
      </c>
      <c r="AG239" s="244" t="str">
        <f t="shared" si="102"/>
        <v>Shuttle/Test</v>
      </c>
      <c r="AH239" s="236" t="str">
        <f t="shared" si="110"/>
        <v>"%USERPROFILE%\Documents\GitHub\eaglep3\Utilities\RefineRTDCRunTimes.py" --tripid 65-08 --locoid 4020 --swversion DE.1.0.9.0 --startMP 204:1162 --initTime 2018-01-08T20:13:42 --startdatetime 2018-01-08T20:21:08 --delay 73 --endMP 204:3427 --enddatetime 2018-01-08T20:22:48 --enforcementcount 0 &gt;&gt;%USERPROFILE%\Documents\GitHub\eaglep3-reporting\EC\2018-01-08-refined-times.txt</v>
      </c>
      <c r="AI239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0.3427"},{"id":17,"name":"Train ID","value":"65-08"},{"id":16,"name":"Locomotive ID","value":"4020"},{"id":130,"name":"Impact","value":""},{"id":150,"name":"Time of Event (Mountain Time)","value":"20:22:48"},{"id":151,"name":"Denver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3"/>
      <c r="AK239" s="231"/>
      <c r="AL239" s="231"/>
      <c r="AM239" s="240" t="str">
        <f t="shared" si="112"/>
        <v>start /low /b %USERPROFILE%\Documents\GitHub\eaglep3\Utilities\DownloadLogsFromS3.py --loco 4020 --day 2018-01-08</v>
      </c>
      <c r="AN239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114"/>
        <v>https://d0f6bd738d7f1b3e5a7ca70fe4ff75f0.us-east-1.aws.found.io/app/kibana#/discover/Steve-Slow-Train-Analysis-(2080s-and-2083s)?_g=(refreshInterval:(display:Off,pause:!f,section:0,value:0),time:(from:'2018-01-08T19:13:42-0700',mode:absolute,to:'2018-01-08T21:22:48-0700'))&amp;_a=(columns:!('Message%20ID',Summary),filters:!(),index:'emp_*',interval:auto,query:(query_string:(analyze_wildcard:!t,query:'%22rtdc.l.rtdc.4020%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229" t="s">
        <v>627</v>
      </c>
      <c r="B240" s="225">
        <v>4007</v>
      </c>
      <c r="C240" s="227" t="s">
        <v>191</v>
      </c>
      <c r="D240" s="227" t="s">
        <v>991</v>
      </c>
      <c r="E240" s="226">
        <v>43108.349733796298</v>
      </c>
      <c r="F240" s="226">
        <v>43108.352372685185</v>
      </c>
      <c r="G240" s="225">
        <v>132</v>
      </c>
      <c r="H240" s="227" t="s">
        <v>992</v>
      </c>
      <c r="I240" s="226">
        <v>43108.362893518519</v>
      </c>
      <c r="J240" s="225">
        <v>0</v>
      </c>
      <c r="K240" s="237" t="str">
        <f t="shared" si="93"/>
        <v>4007/4008</v>
      </c>
      <c r="L240" s="245" t="str">
        <f>VLOOKUP(A240,'Trips&amp;Operators'!$C$1:$G$99911,5,FALSE)</f>
        <v>BROWN JACOB</v>
      </c>
      <c r="M240" s="224">
        <f t="shared" si="94"/>
        <v>1.0520833333430346E-2</v>
      </c>
      <c r="N240" s="225">
        <f t="shared" si="115"/>
        <v>15.150000000139698</v>
      </c>
      <c r="O240" s="225"/>
      <c r="P240" s="225"/>
      <c r="Q240" s="228"/>
      <c r="R240" s="242"/>
      <c r="S240" s="249">
        <f t="shared" si="116"/>
        <v>0</v>
      </c>
      <c r="T240" s="242" t="str">
        <f t="shared" si="95"/>
        <v>Southbound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 t="shared" si="96"/>
        <v>https://d0f6bd738d7f1b3e5a7ca70fe4ff75f0.us-east-1.aws.found.io/app/kibana#/discover/Steve-Slow-Train-Analysis-(2080s-and-2083s)?_g=(refreshInterval:(display:Off,pause:!f,section:0,value:0),time:(from:'2018-01-08T07:23:37-0700',mode:absolute,to:'2018-01-08T09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0" s="247" t="str">
        <f>IF(AA240&lt;VLOOKUP(AG240,Variables!$AC$3:$AD$8,2,FALSE),"Y","N")</f>
        <v>Y</v>
      </c>
      <c r="X240" s="247">
        <f t="shared" si="97"/>
        <v>1</v>
      </c>
      <c r="Y240" s="247">
        <f t="shared" si="108"/>
        <v>11.2258</v>
      </c>
      <c r="Z240" s="247">
        <f t="shared" si="109"/>
        <v>3.7658999999999998</v>
      </c>
      <c r="AA240" s="247">
        <f t="shared" si="98"/>
        <v>7.4598999999999993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 t="shared" si="99"/>
        <v>66</v>
      </c>
      <c r="AE240" s="235" t="str">
        <f t="shared" si="100"/>
        <v>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 &amp; aws s3 cp s3://rtdc.mdm.uploadarchive.raw/RTDC4007/ "%USERPROFILE%\AppData\Local\Temp\OnboardLogs"\RTDC4007\2018-01-09 --exclude "*" --recursive --include "*20180109*" &amp; "%USERPROFILE%\Documents\GitHub\mrs-test-scripts\Headless Mode &amp; Sideloading\WalkAndUnGZ.bat" "%USERPROFILE%\AppData\Local\Temp\OnboardLogs"\RTDC4007\2018-01-09</v>
      </c>
      <c r="AF240" s="234" t="str">
        <f t="shared" si="101"/>
        <v>"C:\Program Files (x86)\AstroGrep\AstroGrep.exe" /e /r /s /spath="%USERPROFILE%\AppData\Local\Temp\OnboardLogs" /stypes="app*4007*20180108*" /stext=" 15:.+((SYSTEM_STATE.+slice.+state.+changed )|(ment ac)|(multiple cpu faults)|(system.+state.+changed )|(\[timeout)|(PRM\|1\|D)|(kpr)|(kdp)|(train st.+moving)|(\|lc)|(penalty))"</v>
      </c>
      <c r="AG240" s="244" t="str">
        <f t="shared" si="102"/>
        <v>Shuttle/Test</v>
      </c>
      <c r="AH240" s="236" t="str">
        <f t="shared" si="110"/>
        <v>"%USERPROFILE%\Documents\GitHub\eaglep3\Utilities\RefineRTDCRunTimes.py" --tripid 66-08 --locoid 4007 --swversion DE.1.0.9.0 --startMP 300:112258 --initTime 2018-01-08T08:23:37 --startdatetime 2018-01-08T08:27:25 --delay 132 --endMP 300:37659 --enddatetime 2018-01-08T08:42:34 --enforcementcount 0 &gt;&gt;%USERPROFILE%\Documents\GitHub\eaglep3-reporting\EC\2018-01-08-refined-times.txt</v>
      </c>
      <c r="AI240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3.7659"},{"id":17,"name":"Train ID","value":"66-08"},{"id":16,"name":"Locomotive ID","value":"4007"},{"id":130,"name":"Impact","value":""},{"id":150,"name":"Time of Event (Mountain Time)","value":"08:42:34"},{"id":151,"name":"Denver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3"/>
      <c r="AK240" s="231"/>
      <c r="AL240" s="231"/>
      <c r="AM240" s="240" t="str">
        <f t="shared" si="112"/>
        <v>start /low /b %USERPROFILE%\Documents\GitHub\eaglep3\Utilities\DownloadLogsFromS3.py --loco 4007 --day 2018-01-08</v>
      </c>
      <c r="AN240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114"/>
        <v>https://d0f6bd738d7f1b3e5a7ca70fe4ff75f0.us-east-1.aws.found.io/app/kibana#/discover/Steve-Slow-Train-Analysis-(2080s-and-2083s)?_g=(refreshInterval:(display:Off,pause:!f,section:0,value:0),time:(from:'2018-01-08T07:23:37-0700',mode:absolute,to:'2018-01-08T09:42:34-0700'))&amp;_a=(columns:!('Message%20ID',Summary),filters:!(),index:'emp_*',interval:auto,query:(query_string:(analyze_wildcard:!t,query:'%22rtdc.l.rtdc.4007%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23" customFormat="1" x14ac:dyDescent="0.3">
      <c r="A241" s="229" t="s">
        <v>627</v>
      </c>
      <c r="B241" s="225">
        <v>4007</v>
      </c>
      <c r="C241" s="227" t="s">
        <v>191</v>
      </c>
      <c r="D241" s="227" t="s">
        <v>993</v>
      </c>
      <c r="E241" s="226">
        <v>43108.392523148148</v>
      </c>
      <c r="F241" s="226">
        <v>43108.397534722222</v>
      </c>
      <c r="G241" s="225">
        <v>83</v>
      </c>
      <c r="H241" s="227" t="s">
        <v>994</v>
      </c>
      <c r="I241" s="226">
        <v>43108.418287037035</v>
      </c>
      <c r="J241" s="225">
        <v>0</v>
      </c>
      <c r="K241" s="237" t="str">
        <f t="shared" si="93"/>
        <v>4007/4008</v>
      </c>
      <c r="L241" s="245" t="str">
        <f>VLOOKUP(A241,'Trips&amp;Operators'!$C$1:$G$99911,5,FALSE)</f>
        <v>BROWN JACOB</v>
      </c>
      <c r="M241" s="224">
        <f t="shared" si="94"/>
        <v>2.0752314812853001E-2</v>
      </c>
      <c r="N241" s="225">
        <f t="shared" si="115"/>
        <v>29.883333330508322</v>
      </c>
      <c r="O241" s="225"/>
      <c r="P241" s="225"/>
      <c r="Q241" s="228"/>
      <c r="R241" s="242"/>
      <c r="S241" s="249">
        <f t="shared" si="116"/>
        <v>0</v>
      </c>
      <c r="T241" s="242" t="str">
        <f t="shared" si="95"/>
        <v>Southbound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8" t="str">
        <f t="shared" si="96"/>
        <v>https://d0f6bd738d7f1b3e5a7ca70fe4ff75f0.us-east-1.aws.found.io/app/kibana#/discover/Steve-Slow-Train-Analysis-(2080s-and-2083s)?_g=(refreshInterval:(display:Off,pause:!f,section:0,value:0),time:(from:'2018-01-08T08:25:14-0700',mode:absolute,to:'2018-01-08T11:02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1" s="247" t="str">
        <f>IF(AA241&lt;VLOOKUP(AG241,Variables!$AC$3:$AD$8,2,FALSE),"Y","N")</f>
        <v>Y</v>
      </c>
      <c r="X241" s="247">
        <f t="shared" si="97"/>
        <v>0</v>
      </c>
      <c r="Y241" s="247">
        <f t="shared" si="108"/>
        <v>11.2197</v>
      </c>
      <c r="Z241" s="247">
        <f t="shared" si="109"/>
        <v>2.8791000000000002</v>
      </c>
      <c r="AA241" s="247">
        <f t="shared" si="98"/>
        <v>8.3405999999999985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 t="shared" si="99"/>
        <v>66</v>
      </c>
      <c r="AE241" s="235" t="str">
        <f t="shared" si="100"/>
        <v>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 &amp; aws s3 cp s3://rtdc.mdm.uploadarchive.raw/RTDC4007/ "%USERPROFILE%\AppData\Local\Temp\OnboardLogs"\RTDC4007\2018-01-09 --exclude "*" --recursive --include "*20180109*" &amp; "%USERPROFILE%\Documents\GitHub\mrs-test-scripts\Headless Mode &amp; Sideloading\WalkAndUnGZ.bat" "%USERPROFILE%\AppData\Local\Temp\OnboardLogs"\RTDC4007\2018-01-09</v>
      </c>
      <c r="AF241" s="234" t="str">
        <f t="shared" si="101"/>
        <v>"C:\Program Files (x86)\AstroGrep\AstroGrep.exe" /e /r /s /spath="%USERPROFILE%\AppData\Local\Temp\OnboardLogs" /stypes="app*4007*20180108*" /stext=" 17:.+((SYSTEM_STATE.+slice.+state.+changed )|(ment ac)|(multiple cpu faults)|(system.+state.+changed )|(\[timeout)|(PRM\|1\|D)|(kpr)|(kdp)|(train st.+moving)|(\|lc)|(penalty))"</v>
      </c>
      <c r="AG241" s="244" t="str">
        <f t="shared" si="102"/>
        <v>Shuttle/Test</v>
      </c>
      <c r="AH241" s="236" t="str">
        <f t="shared" si="110"/>
        <v>"%USERPROFILE%\Documents\GitHub\eaglep3\Utilities\RefineRTDCRunTimes.py" --tripid 66-08 --locoid 4007 --swversion DE.1.0.9.0 --startMP 300:112197 --initTime 2018-01-08T09:25:14 --startdatetime 2018-01-08T09:32:27 --delay 83 --endMP 300:28791 --enddatetime 2018-01-08T10:02:20 --enforcementcount 0 &gt;&gt;%USERPROFILE%\Documents\GitHub\eaglep3-reporting\EC\2018-01-08-refined-times.txt</v>
      </c>
      <c r="AI241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2.8791"},{"id":17,"name":"Train ID","value":"66-08"},{"id":16,"name":"Locomotive ID","value":"4007"},{"id":130,"name":"Impact","value":""},{"id":150,"name":"Time of Event (Mountain Time)","value":"10:02:20"},{"id":151,"name":"Denver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231"/>
      <c r="AL241" s="231"/>
      <c r="AM241" s="240" t="str">
        <f t="shared" si="112"/>
        <v>start /low /b %USERPROFILE%\Documents\GitHub\eaglep3\Utilities\DownloadLogsFromS3.py --loco 4007 --day 2018-01-08</v>
      </c>
      <c r="AN241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17:02:20"},{"id":29,"name":"Sharepoint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114"/>
        <v>https://d0f6bd738d7f1b3e5a7ca70fe4ff75f0.us-east-1.aws.found.io/app/kibana#/discover/Steve-Slow-Train-Analysis-(2080s-and-2083s)?_g=(refreshInterval:(display:Off,pause:!f,section:0,value:0),time:(from:'2018-01-08T08:25:14-0700',mode:absolute,to:'2018-01-08T11:02:20-0700'))&amp;_a=(columns:!('Message%20ID',Summary),filters:!(),index:'emp_*',interval:auto,query:(query_string:(analyze_wildcard:!t,query:'%22rtdc.l.rtdc.4007%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29" t="s">
        <v>627</v>
      </c>
      <c r="B242" s="225">
        <v>4009</v>
      </c>
      <c r="C242" s="227" t="s">
        <v>191</v>
      </c>
      <c r="D242" s="227" t="s">
        <v>995</v>
      </c>
      <c r="E242" s="226">
        <v>43108.462094907409</v>
      </c>
      <c r="F242" s="226">
        <v>43108.463449074072</v>
      </c>
      <c r="G242" s="225">
        <v>46</v>
      </c>
      <c r="H242" s="227" t="s">
        <v>996</v>
      </c>
      <c r="I242" s="226">
        <v>43108.474456018521</v>
      </c>
      <c r="J242" s="225">
        <v>0</v>
      </c>
      <c r="K242" s="237" t="str">
        <f t="shared" si="93"/>
        <v>4009/4010</v>
      </c>
      <c r="L242" s="245" t="str">
        <f>VLOOKUP(A242,'Trips&amp;Operators'!$C$1:$G$99911,5,FALSE)</f>
        <v>BROWN JACOB</v>
      </c>
      <c r="M242" s="224">
        <f t="shared" si="94"/>
        <v>1.1006944449036382E-2</v>
      </c>
      <c r="N242" s="225">
        <f t="shared" si="115"/>
        <v>15.85000000661239</v>
      </c>
      <c r="O242" s="225"/>
      <c r="P242" s="225"/>
      <c r="Q242" s="228"/>
      <c r="R242" s="242"/>
      <c r="S242" s="249">
        <f t="shared" si="116"/>
        <v>0</v>
      </c>
      <c r="T242" s="242" t="str">
        <f t="shared" si="95"/>
        <v>Southbound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48" t="str">
        <f t="shared" si="96"/>
        <v>https://d0f6bd738d7f1b3e5a7ca70fe4ff75f0.us-east-1.aws.found.io/app/kibana#/discover/Steve-Slow-Train-Analysis-(2080s-and-2083s)?_g=(refreshInterval:(display:Off,pause:!f,section:0,value:0),time:(from:'2018-01-08T10:05:25-0700',mode:absolute,to:'2018-01-08T12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2" s="247" t="str">
        <f>IF(AA242&lt;VLOOKUP(AG242,Variables!$AC$3:$AD$8,2,FALSE),"Y","N")</f>
        <v>Y</v>
      </c>
      <c r="X242" s="247">
        <f t="shared" si="97"/>
        <v>0</v>
      </c>
      <c r="Y242" s="247">
        <f t="shared" si="108"/>
        <v>11.2202</v>
      </c>
      <c r="Z242" s="247">
        <f t="shared" si="109"/>
        <v>3.7566000000000002</v>
      </c>
      <c r="AA242" s="247">
        <f t="shared" si="98"/>
        <v>7.4635999999999996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 t="shared" si="99"/>
        <v>66</v>
      </c>
      <c r="AE242" s="235" t="str">
        <f t="shared" si="100"/>
        <v>aws s3 cp s3://rtdc.mdm.uploadarchive.raw/RTDC4009/ "%USERPROFILE%\AppData\Local\Temp\OnboardLogs"\RTDC4009\2018-01-08 --exclude "*" --recursive --include "*20180108*" &amp; "%USERPROFILE%\Documents\GitHub\mrs-test-scripts\Headless Mode &amp; Sideloading\WalkAndUnGZ.bat" "%USERPROFILE%\AppData\Local\Temp\OnboardLogs"\RTDC4009\2018-01-08 &amp; 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</v>
      </c>
      <c r="AF242" s="234" t="str">
        <f t="shared" si="101"/>
        <v>"C:\Program Files (x86)\AstroGrep\AstroGrep.exe" /e /r /s /spath="%USERPROFILE%\AppData\Local\Temp\OnboardLogs" /stypes="app*4009*20180108*" /stext=" 18:.+((SYSTEM_STATE.+slice.+state.+changed )|(ment ac)|(multiple cpu faults)|(system.+state.+changed )|(\[timeout)|(PRM\|1\|D)|(kpr)|(kdp)|(train st.+moving)|(\|lc)|(penalty))"</v>
      </c>
      <c r="AG242" s="244" t="str">
        <f t="shared" si="102"/>
        <v>Shuttle/Test</v>
      </c>
      <c r="AH242" s="236" t="str">
        <f t="shared" si="110"/>
        <v>"%USERPROFILE%\Documents\GitHub\eaglep3\Utilities\RefineRTDCRunTimes.py" --tripid 66-08 --locoid 4009 --swversion DE.1.0.9.0 --startMP 300:112202 --initTime 2018-01-08T11:05:25 --startdatetime 2018-01-08T11:07:22 --delay 46 --endMP 300:37566 --enddatetime 2018-01-08T11:23:13 --enforcementcount 0 &gt;&gt;%USERPROFILE%\Documents\GitHub\eaglep3-reporting\EC\2018-01-08-refined-times.txt</v>
      </c>
      <c r="AI242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3.7566"},{"id":17,"name":"Train ID","value":"66-08"},{"id":16,"name":"Locomotive ID","value":"4009"},{"id":130,"name":"Impact","value":""},{"id":150,"name":"Time of Event (Mountain Time)","value":"11:23:13"},{"id":151,"name":"Denver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3"/>
      <c r="AK242" s="231"/>
      <c r="AL242" s="231"/>
      <c r="AM242" s="240" t="str">
        <f t="shared" si="112"/>
        <v>start /low /b %USERPROFILE%\Documents\GitHub\eaglep3\Utilities\DownloadLogsFromS3.py --loco 4009 --day 2018-01-08</v>
      </c>
      <c r="AN242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114"/>
        <v>https://d0f6bd738d7f1b3e5a7ca70fe4ff75f0.us-east-1.aws.found.io/app/kibana#/discover/Steve-Slow-Train-Analysis-(2080s-and-2083s)?_g=(refreshInterval:(display:Off,pause:!f,section:0,value:0),time:(from:'2018-01-08T10:05:25-0700',mode:absolute,to:'2018-01-08T12:23:13-0700'))&amp;_a=(columns:!('Message%20ID',Summary),filters:!(),index:'emp_*',interval:auto,query:(query_string:(analyze_wildcard:!t,query:'%22rtdc.l.rtdc.4009%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 s="229" t="s">
        <v>627</v>
      </c>
      <c r="B243" s="225">
        <v>4009</v>
      </c>
      <c r="C243" s="227" t="s">
        <v>191</v>
      </c>
      <c r="D243" s="227" t="s">
        <v>997</v>
      </c>
      <c r="E243" s="226">
        <v>43108.620949074073</v>
      </c>
      <c r="F243" s="226">
        <v>43108.628796296296</v>
      </c>
      <c r="G243" s="225">
        <v>124</v>
      </c>
      <c r="H243" s="227" t="s">
        <v>998</v>
      </c>
      <c r="I243" s="226">
        <v>43108.638541666667</v>
      </c>
      <c r="J243" s="225">
        <v>0</v>
      </c>
      <c r="K243" s="237" t="str">
        <f t="shared" si="93"/>
        <v>4009/4010</v>
      </c>
      <c r="L243" s="245" t="str">
        <f>VLOOKUP(A243,'Trips&amp;Operators'!$C$1:$G$99911,5,FALSE)</f>
        <v>BROWN JACOB</v>
      </c>
      <c r="M243" s="224">
        <f t="shared" si="94"/>
        <v>9.7453703710925765E-3</v>
      </c>
      <c r="N243" s="225">
        <f t="shared" si="115"/>
        <v>14.03333333437331</v>
      </c>
      <c r="O243" s="225"/>
      <c r="P243" s="225"/>
      <c r="Q243" s="228"/>
      <c r="R243" s="242"/>
      <c r="S243" s="249">
        <f t="shared" si="116"/>
        <v>0</v>
      </c>
      <c r="T243" s="242" t="str">
        <f t="shared" si="95"/>
        <v>Southbound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48" t="str">
        <f t="shared" si="96"/>
        <v>https://d0f6bd738d7f1b3e5a7ca70fe4ff75f0.us-east-1.aws.found.io/app/kibana#/discover/Steve-Slow-Train-Analysis-(2080s-and-2083s)?_g=(refreshInterval:(display:Off,pause:!f,section:0,value:0),time:(from:'2018-01-08T13:54:10-0700',mode:absolute,to:'2018-01-08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3" s="247" t="str">
        <f>IF(AA243&lt;VLOOKUP(AG243,Variables!$AC$3:$AD$8,2,FALSE),"Y","N")</f>
        <v>Y</v>
      </c>
      <c r="X243" s="247">
        <f t="shared" si="97"/>
        <v>0</v>
      </c>
      <c r="Y243" s="247">
        <f t="shared" si="108"/>
        <v>11.2165</v>
      </c>
      <c r="Z243" s="247">
        <f t="shared" si="109"/>
        <v>10.2498</v>
      </c>
      <c r="AA243" s="247">
        <f t="shared" si="98"/>
        <v>0.96669999999999945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 t="shared" si="99"/>
        <v>66</v>
      </c>
      <c r="AE243" s="235" t="str">
        <f t="shared" si="100"/>
        <v>aws s3 cp s3://rtdc.mdm.uploadarchive.raw/RTDC4009/ "%USERPROFILE%\AppData\Local\Temp\OnboardLogs"\RTDC4009\2018-01-08 --exclude "*" --recursive --include "*20180108*" &amp; "%USERPROFILE%\Documents\GitHub\mrs-test-scripts\Headless Mode &amp; Sideloading\WalkAndUnGZ.bat" "%USERPROFILE%\AppData\Local\Temp\OnboardLogs"\RTDC4009\2018-01-08 &amp; 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</v>
      </c>
      <c r="AF243" s="234" t="str">
        <f t="shared" si="101"/>
        <v>"C:\Program Files (x86)\AstroGrep\AstroGrep.exe" /e /r /s /spath="%USERPROFILE%\AppData\Local\Temp\OnboardLogs" /stypes="app*4009*20180108*" /stext=" 22:.+((SYSTEM_STATE.+slice.+state.+changed )|(ment ac)|(multiple cpu faults)|(system.+state.+changed )|(\[timeout)|(PRM\|1\|D)|(kpr)|(kdp)|(train st.+moving)|(\|lc)|(penalty))"</v>
      </c>
      <c r="AG243" s="244" t="str">
        <f t="shared" si="102"/>
        <v>Shuttle/Test</v>
      </c>
      <c r="AH243" s="236" t="str">
        <f t="shared" si="110"/>
        <v>"%USERPROFILE%\Documents\GitHub\eaglep3\Utilities\RefineRTDCRunTimes.py" --tripid 66-08 --locoid 4009 --swversion DE.1.0.9.0 --startMP 300:112165 --initTime 2018-01-08T14:54:10 --startdatetime 2018-01-08T15:05:28 --delay 124 --endMP 300:102498 --enddatetime 2018-01-08T15:19:30 --enforcementcount 0 &gt;&gt;%USERPROFILE%\Documents\GitHub\eaglep3-reporting\EC\2018-01-08-refined-times.txt</v>
      </c>
      <c r="AI243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10.2498"},{"id":17,"name":"Train ID","value":"66-08"},{"id":16,"name":"Locomotive ID","value":"4009"},{"id":130,"name":"Impact","value":""},{"id":150,"name":"Time of Event (Mountain Time)","value":"15:19:30"},{"id":151,"name":"Denver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231"/>
      <c r="AL243" s="231"/>
      <c r="AM243" s="240" t="str">
        <f t="shared" si="112"/>
        <v>start /low /b %USERPROFILE%\Documents\GitHub\eaglep3\Utilities\DownloadLogsFromS3.py --loco 4009 --day 2018-01-08</v>
      </c>
      <c r="AN243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114"/>
        <v>https://d0f6bd738d7f1b3e5a7ca70fe4ff75f0.us-east-1.aws.found.io/app/kibana#/discover/Steve-Slow-Train-Analysis-(2080s-and-2083s)?_g=(refreshInterval:(display:Off,pause:!f,section:0,value:0),time:(from:'2018-01-08T13:54:10-0700',mode:absolute,to:'2018-01-08T16:19:30-0700'))&amp;_a=(columns:!('Message%20ID',Summary),filters:!(),index:'emp_*',interval:auto,query:(query_string:(analyze_wildcard:!t,query:'%22rtdc.l.rtdc.4009%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229" t="s">
        <v>627</v>
      </c>
      <c r="B244" s="225">
        <v>4009</v>
      </c>
      <c r="C244" s="227" t="s">
        <v>191</v>
      </c>
      <c r="D244" s="227" t="s">
        <v>999</v>
      </c>
      <c r="E244" s="226">
        <v>43108.627766203703</v>
      </c>
      <c r="F244" s="226">
        <v>43108.628796296296</v>
      </c>
      <c r="G244" s="225">
        <v>40</v>
      </c>
      <c r="H244" s="227" t="s">
        <v>1000</v>
      </c>
      <c r="I244" s="226">
        <v>43108.638541666667</v>
      </c>
      <c r="J244" s="225">
        <v>0</v>
      </c>
      <c r="K244" s="237" t="str">
        <f t="shared" si="93"/>
        <v>4009/4010</v>
      </c>
      <c r="L244" s="245" t="str">
        <f>VLOOKUP(A244,'Trips&amp;Operators'!$C$1:$G$99911,5,FALSE)</f>
        <v>BROWN JACOB</v>
      </c>
      <c r="M244" s="224">
        <f t="shared" si="94"/>
        <v>9.7453703710925765E-3</v>
      </c>
      <c r="N244" s="225">
        <f t="shared" si="115"/>
        <v>14.03333333437331</v>
      </c>
      <c r="O244" s="225"/>
      <c r="P244" s="225"/>
      <c r="Q244" s="228"/>
      <c r="R244" s="242"/>
      <c r="S244" s="249">
        <f t="shared" si="116"/>
        <v>0</v>
      </c>
      <c r="T244" s="242" t="str">
        <f t="shared" si="95"/>
        <v>Southbound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8" t="str">
        <f t="shared" si="96"/>
        <v>https://d0f6bd738d7f1b3e5a7ca70fe4ff75f0.us-east-1.aws.found.io/app/kibana#/discover/Steve-Slow-Train-Analysis-(2080s-and-2083s)?_g=(refreshInterval:(display:Off,pause:!f,section:0,value:0),time:(from:'2018-01-08T14:03:59-0700',mode:absolute,to:'2018-01-08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4" s="247" t="str">
        <f>IF(AA244&lt;VLOOKUP(AG244,Variables!$AC$3:$AD$8,2,FALSE),"Y","N")</f>
        <v>Y</v>
      </c>
      <c r="X244" s="247">
        <f t="shared" si="97"/>
        <v>0</v>
      </c>
      <c r="Y244" s="247">
        <f t="shared" si="108"/>
        <v>9.8050999999999995</v>
      </c>
      <c r="Z244" s="247">
        <f t="shared" si="109"/>
        <v>3.9188999999999998</v>
      </c>
      <c r="AA244" s="247">
        <f t="shared" si="98"/>
        <v>5.8861999999999997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 t="shared" si="99"/>
        <v>66</v>
      </c>
      <c r="AE244" s="235" t="str">
        <f t="shared" si="100"/>
        <v>aws s3 cp s3://rtdc.mdm.uploadarchive.raw/RTDC4009/ "%USERPROFILE%\AppData\Local\Temp\OnboardLogs"\RTDC4009\2018-01-08 --exclude "*" --recursive --include "*20180108*" &amp; "%USERPROFILE%\Documents\GitHub\mrs-test-scripts\Headless Mode &amp; Sideloading\WalkAndUnGZ.bat" "%USERPROFILE%\AppData\Local\Temp\OnboardLogs"\RTDC4009\2018-01-08 &amp; 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</v>
      </c>
      <c r="AF244" s="234" t="str">
        <f t="shared" si="101"/>
        <v>"C:\Program Files (x86)\AstroGrep\AstroGrep.exe" /e /r /s /spath="%USERPROFILE%\AppData\Local\Temp\OnboardLogs" /stypes="app*4009*20180108*" /stext=" 22:.+((SYSTEM_STATE.+slice.+state.+changed )|(ment ac)|(multiple cpu faults)|(system.+state.+changed )|(\[timeout)|(PRM\|1\|D)|(kpr)|(kdp)|(train st.+moving)|(\|lc)|(penalty))"</v>
      </c>
      <c r="AG244" s="244" t="str">
        <f t="shared" si="102"/>
        <v>Shuttle/Test</v>
      </c>
      <c r="AH244" s="236" t="str">
        <f t="shared" si="110"/>
        <v>"%USERPROFILE%\Documents\GitHub\eaglep3\Utilities\RefineRTDCRunTimes.py" --tripid 66-08 --locoid 4009 --swversion DE.1.0.9.0 --startMP 300:98051 --initTime 2018-01-08T15:03:59 --startdatetime 2018-01-08T15:05:28 --delay 40 --endMP 300:39189 --enddatetime 2018-01-08T15:19:30 --enforcementcount 0 &gt;&gt;%USERPROFILE%\Documents\GitHub\eaglep3-reporting\EC\2018-01-08-refined-times.txt</v>
      </c>
      <c r="AI244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3.9189"},{"id":17,"name":"Train ID","value":"66-08"},{"id":16,"name":"Locomotive ID","value":"4009"},{"id":130,"name":"Impact","value":""},{"id":150,"name":"Time of Event (Mountain Time)","value":"15:19:30"},{"id":151,"name":"Denver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3"/>
      <c r="AK244" s="231"/>
      <c r="AL244" s="231"/>
      <c r="AM244" s="240" t="str">
        <f t="shared" si="112"/>
        <v>start /low /b %USERPROFILE%\Documents\GitHub\eaglep3\Utilities\DownloadLogsFromS3.py --loco 4009 --day 2018-01-08</v>
      </c>
      <c r="AN244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114"/>
        <v>https://d0f6bd738d7f1b3e5a7ca70fe4ff75f0.us-east-1.aws.found.io/app/kibana#/discover/Steve-Slow-Train-Analysis-(2080s-and-2083s)?_g=(refreshInterval:(display:Off,pause:!f,section:0,value:0),time:(from:'2018-01-08T14:03:59-0700',mode:absolute,to:'2018-01-08T16:19:30-0700'))&amp;_a=(columns:!('Message%20ID',Summary),filters:!(),index:'emp_*',interval:auto,query:(query_string:(analyze_wildcard:!t,query:'%22rtdc.l.rtdc.4009%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229" t="s">
        <v>627</v>
      </c>
      <c r="B245" s="225">
        <v>4009</v>
      </c>
      <c r="C245" s="227" t="s">
        <v>191</v>
      </c>
      <c r="D245" s="227" t="s">
        <v>1001</v>
      </c>
      <c r="E245" s="226">
        <v>43108.663252314815</v>
      </c>
      <c r="F245" s="226">
        <v>43108.68608796296</v>
      </c>
      <c r="G245" s="225">
        <v>79</v>
      </c>
      <c r="H245" s="227" t="s">
        <v>1002</v>
      </c>
      <c r="I245" s="226">
        <v>43108.69767361111</v>
      </c>
      <c r="J245" s="225">
        <v>0</v>
      </c>
      <c r="K245" s="237" t="str">
        <f t="shared" si="93"/>
        <v>4009/4010</v>
      </c>
      <c r="L245" s="245" t="str">
        <f>VLOOKUP(A245,'Trips&amp;Operators'!$C$1:$G$99911,5,FALSE)</f>
        <v>BROWN JACOB</v>
      </c>
      <c r="M245" s="224">
        <f t="shared" si="94"/>
        <v>1.1585648149775807E-2</v>
      </c>
      <c r="N245" s="225">
        <f t="shared" si="115"/>
        <v>16.683333335677162</v>
      </c>
      <c r="O245" s="225"/>
      <c r="P245" s="225"/>
      <c r="Q245" s="228"/>
      <c r="R245" s="242"/>
      <c r="S245" s="249">
        <f t="shared" si="116"/>
        <v>0</v>
      </c>
      <c r="T245" s="242" t="str">
        <f t="shared" si="95"/>
        <v>Southbound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48" t="str">
        <f t="shared" si="96"/>
        <v>https://d0f6bd738d7f1b3e5a7ca70fe4ff75f0.us-east-1.aws.found.io/app/kibana#/discover/Steve-Slow-Train-Analysis-(2080s-and-2083s)?_g=(refreshInterval:(display:Off,pause:!f,section:0,value:0),time:(from:'2018-01-08T14:55:05-0700',mode:absolute,to:'2018-01-08T17:44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5" s="247" t="str">
        <f>IF(AA245&lt;VLOOKUP(AG245,Variables!$AC$3:$AD$8,2,FALSE),"Y","N")</f>
        <v>Y</v>
      </c>
      <c r="X245" s="247">
        <f t="shared" si="97"/>
        <v>0</v>
      </c>
      <c r="Y245" s="247">
        <f t="shared" si="108"/>
        <v>11.2159</v>
      </c>
      <c r="Z245" s="247">
        <f t="shared" si="109"/>
        <v>3.9230999999999998</v>
      </c>
      <c r="AA245" s="247">
        <f t="shared" si="98"/>
        <v>7.2927999999999997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 t="shared" si="99"/>
        <v>66</v>
      </c>
      <c r="AE245" s="235" t="str">
        <f t="shared" si="100"/>
        <v>aws s3 cp s3://rtdc.mdm.uploadarchive.raw/RTDC4009/ "%USERPROFILE%\AppData\Local\Temp\OnboardLogs"\RTDC4009\2018-01-08 --exclude "*" --recursive --include "*20180108*" &amp; "%USERPROFILE%\Documents\GitHub\mrs-test-scripts\Headless Mode &amp; Sideloading\WalkAndUnGZ.bat" "%USERPROFILE%\AppData\Local\Temp\OnboardLogs"\RTDC4009\2018-01-08 &amp; 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</v>
      </c>
      <c r="AF245" s="234" t="str">
        <f t="shared" si="101"/>
        <v>"C:\Program Files (x86)\AstroGrep\AstroGrep.exe" /e /r /s /spath="%USERPROFILE%\AppData\Local\Temp\OnboardLogs" /stypes="app*4009*20180108*" /stext=" 23:.+((SYSTEM_STATE.+slice.+state.+changed )|(ment ac)|(multiple cpu faults)|(system.+state.+changed )|(\[timeout)|(PRM\|1\|D)|(kpr)|(kdp)|(train st.+moving)|(\|lc)|(penalty))"</v>
      </c>
      <c r="AG245" s="244" t="str">
        <f t="shared" si="102"/>
        <v>Shuttle/Test</v>
      </c>
      <c r="AH245" s="236" t="str">
        <f t="shared" si="110"/>
        <v>"%USERPROFILE%\Documents\GitHub\eaglep3\Utilities\RefineRTDCRunTimes.py" --tripid 66-08 --locoid 4009 --swversion DE.1.0.9.0 --startMP 300:112159 --initTime 2018-01-08T15:55:05 --startdatetime 2018-01-08T16:27:58 --delay 79 --endMP 300:39231 --enddatetime 2018-01-08T16:44:39 --enforcementcount 0 &gt;&gt;%USERPROFILE%\Documents\GitHub\eaglep3-reporting\EC\2018-01-08-refined-times.txt</v>
      </c>
      <c r="AI245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3.9231"},{"id":17,"name":"Train ID","value":"66-08"},{"id":16,"name":"Locomotive ID","value":"4009"},{"id":130,"name":"Impact","value":""},{"id":150,"name":"Time of Event (Mountain Time)","value":"16:44:39"},{"id":151,"name":"Denver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3"/>
      <c r="AK245" s="231"/>
      <c r="AL245" s="231"/>
      <c r="AM245" s="240" t="str">
        <f t="shared" si="112"/>
        <v>start /low /b %USERPROFILE%\Documents\GitHub\eaglep3\Utilities\DownloadLogsFromS3.py --loco 4009 --day 2018-01-08</v>
      </c>
      <c r="AN245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114"/>
        <v>https://d0f6bd738d7f1b3e5a7ca70fe4ff75f0.us-east-1.aws.found.io/app/kibana#/discover/Steve-Slow-Train-Analysis-(2080s-and-2083s)?_g=(refreshInterval:(display:Off,pause:!f,section:0,value:0),time:(from:'2018-01-08T14:55:05-0700',mode:absolute,to:'2018-01-08T17:44:39-0700'))&amp;_a=(columns:!('Message%20ID',Summary),filters:!(),index:'emp_*',interval:auto,query:(query_string:(analyze_wildcard:!t,query:'%22rtdc.l.rtdc.4009%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23" customFormat="1" x14ac:dyDescent="0.3">
      <c r="A246" s="229" t="s">
        <v>742</v>
      </c>
      <c r="B246" s="225">
        <v>4025</v>
      </c>
      <c r="C246" s="227" t="s">
        <v>191</v>
      </c>
      <c r="D246" s="227" t="s">
        <v>1003</v>
      </c>
      <c r="E246" s="226">
        <v>43108.470879629633</v>
      </c>
      <c r="F246" s="226">
        <v>43108.475856481484</v>
      </c>
      <c r="G246" s="225">
        <v>213</v>
      </c>
      <c r="H246" s="227" t="s">
        <v>1004</v>
      </c>
      <c r="I246" s="226">
        <v>43108.477187500001</v>
      </c>
      <c r="J246" s="225">
        <v>0</v>
      </c>
      <c r="K246" s="237" t="str">
        <f t="shared" si="93"/>
        <v>4025/4026</v>
      </c>
      <c r="L246" s="245" t="str">
        <f>VLOOKUP(A246,'Trips&amp;Operators'!$C$1:$G$99911,5,FALSE)</f>
        <v>ROBINSON KADDIBA</v>
      </c>
      <c r="M246" s="224">
        <f t="shared" si="94"/>
        <v>1.3310185167938471E-3</v>
      </c>
      <c r="N246" s="225">
        <f t="shared" si="115"/>
        <v>1.9166666641831398</v>
      </c>
      <c r="O246" s="225"/>
      <c r="P246" s="225"/>
      <c r="Q246" s="228"/>
      <c r="R246" s="242"/>
      <c r="S246" s="249">
        <f t="shared" si="116"/>
        <v>0</v>
      </c>
      <c r="T246" s="242" t="str">
        <f t="shared" si="95"/>
        <v>Southbound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8" t="str">
        <f t="shared" si="96"/>
        <v>https://d0f6bd738d7f1b3e5a7ca70fe4ff75f0.us-east-1.aws.found.io/app/kibana#/discover/Steve-Slow-Train-Analysis-(2080s-and-2083s)?_g=(refreshInterval:(display:Off,pause:!f,section:0,value:0),time:(from:'2018-01-08T10:18:04-0700',mode:absolute,to:'2018-01-08T12:27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6" s="247" t="str">
        <f>IF(AA246&lt;VLOOKUP(AG246,Variables!$AC$3:$AD$8,2,FALSE),"Y","N")</f>
        <v>Y</v>
      </c>
      <c r="X246" s="247">
        <f t="shared" si="97"/>
        <v>4</v>
      </c>
      <c r="Y246" s="247">
        <f t="shared" si="108"/>
        <v>2.2709000000000001</v>
      </c>
      <c r="Z246" s="247">
        <f t="shared" si="109"/>
        <v>1.919</v>
      </c>
      <c r="AA246" s="247">
        <f t="shared" si="98"/>
        <v>0.3519000000000001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 t="shared" si="99"/>
        <v>70</v>
      </c>
      <c r="AE246" s="235" t="str">
        <f t="shared" si="100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246" s="234" t="str">
        <f t="shared" si="101"/>
        <v>"C:\Program Files (x86)\AstroGrep\AstroGrep.exe" /e /r /s /spath="%USERPROFILE%\AppData\Local\Temp\OnboardLogs" /stypes="app*4025*20180108*" /stext=" 18:.+((SYSTEM_STATE.+slice.+state.+changed )|(ment ac)|(multiple cpu faults)|(system.+state.+changed )|(\[timeout)|(PRM\|1\|D)|(kpr)|(kdp)|(train st.+moving)|(\|lc)|(penalty))"</v>
      </c>
      <c r="AG246" s="244" t="str">
        <f t="shared" si="102"/>
        <v>Shuttle/Test</v>
      </c>
      <c r="AH246" s="236" t="str">
        <f t="shared" si="110"/>
        <v>"%USERPROFILE%\Documents\GitHub\eaglep3\Utilities\RefineRTDCRunTimes.py" --tripid 70-08 --locoid 4025 --swversion DE.1.0.9.0 --startMP 300:22709 --initTime 2018-01-08T11:18:04 --startdatetime 2018-01-08T11:25:14 --delay 213 --endMP 300:19190 --enddatetime 2018-01-08T11:27:09 --enforcementcount 0 &gt;&gt;%USERPROFILE%\Documents\GitHub\eaglep3-reporting\EC\2018-01-08-refined-times.txt</v>
      </c>
      <c r="AI246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1.919"},{"id":17,"name":"Train ID","value":"70-08"},{"id":16,"name":"Locomotive ID","value":"4025"},{"id":130,"name":"Impact","value":""},{"id":150,"name":"Time of Event (Mountain Time)","value":"11:27:09"},{"id":151,"name":"Denver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231"/>
      <c r="AL246" s="231"/>
      <c r="AM246" s="240" t="str">
        <f t="shared" si="112"/>
        <v>start /low /b %USERPROFILE%\Documents\GitHub\eaglep3\Utilities\DownloadLogsFromS3.py --loco 4025 --day 2018-01-08</v>
      </c>
      <c r="AN246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114"/>
        <v>https://d0f6bd738d7f1b3e5a7ca70fe4ff75f0.us-east-1.aws.found.io/app/kibana#/discover/Steve-Slow-Train-Analysis-(2080s-and-2083s)?_g=(refreshInterval:(display:Off,pause:!f,section:0,value:0),time:(from:'2018-01-08T10:18:04-0700',mode:absolute,to:'2018-01-08T12:27:09-0700'))&amp;_a=(columns:!('Message%20ID',Summary),filters:!(),index:'emp_*',interval:auto,query:(query_string:(analyze_wildcard:!t,query:'%22rtdc.l.rtdc.4025%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229" t="s">
        <v>742</v>
      </c>
      <c r="B247" s="225">
        <v>4025</v>
      </c>
      <c r="C247" s="227" t="s">
        <v>191</v>
      </c>
      <c r="D247" s="227" t="s">
        <v>1005</v>
      </c>
      <c r="E247" s="226">
        <v>43108.608252314814</v>
      </c>
      <c r="F247" s="226">
        <v>43108.609791666669</v>
      </c>
      <c r="G247" s="225">
        <v>92</v>
      </c>
      <c r="H247" s="227" t="s">
        <v>1006</v>
      </c>
      <c r="I247" s="226">
        <v>43108.611030092594</v>
      </c>
      <c r="J247" s="225">
        <v>0</v>
      </c>
      <c r="K247" s="237" t="str">
        <f t="shared" si="93"/>
        <v>4025/4026</v>
      </c>
      <c r="L247" s="245" t="str">
        <f>VLOOKUP(A247,'Trips&amp;Operators'!$C$1:$G$99911,5,FALSE)</f>
        <v>ROBINSON KADDIBA</v>
      </c>
      <c r="M247" s="224">
        <f t="shared" si="94"/>
        <v>1.2384259243845008E-3</v>
      </c>
      <c r="N247" s="225">
        <f t="shared" si="115"/>
        <v>1.7833333311136812</v>
      </c>
      <c r="O247" s="225"/>
      <c r="P247" s="225"/>
      <c r="Q247" s="228"/>
      <c r="R247" s="242"/>
      <c r="S247" s="249">
        <f t="shared" si="116"/>
        <v>0</v>
      </c>
      <c r="T247" s="242" t="str">
        <f t="shared" si="95"/>
        <v>Southbound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8" t="str">
        <f t="shared" si="96"/>
        <v>https://d0f6bd738d7f1b3e5a7ca70fe4ff75f0.us-east-1.aws.found.io/app/kibana#/discover/Steve-Slow-Train-Analysis-(2080s-and-2083s)?_g=(refreshInterval:(display:Off,pause:!f,section:0,value:0),time:(from:'2018-01-08T13:35:53-0700',mode:absolute,to:'2018-01-08T15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7" s="247" t="str">
        <f>IF(AA247&lt;VLOOKUP(AG247,Variables!$AC$3:$AD$8,2,FALSE),"Y","N")</f>
        <v>Y</v>
      </c>
      <c r="X247" s="247">
        <f t="shared" si="97"/>
        <v>0</v>
      </c>
      <c r="Y247" s="247">
        <f t="shared" si="108"/>
        <v>0.33239999999999997</v>
      </c>
      <c r="Z247" s="247">
        <f t="shared" si="109"/>
        <v>1.6500000000000001E-2</v>
      </c>
      <c r="AA247" s="247">
        <f t="shared" si="98"/>
        <v>0.31589999999999996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 t="shared" si="99"/>
        <v>70</v>
      </c>
      <c r="AE247" s="235" t="str">
        <f t="shared" si="100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247" s="234" t="str">
        <f t="shared" si="101"/>
        <v>"C:\Program Files (x86)\AstroGrep\AstroGrep.exe" /e /r /s /spath="%USERPROFILE%\AppData\Local\Temp\OnboardLogs" /stypes="app*4025*20180108*" /stext=" 21:.+((SYSTEM_STATE.+slice.+state.+changed )|(ment ac)|(multiple cpu faults)|(system.+state.+changed )|(\[timeout)|(PRM\|1\|D)|(kpr)|(kdp)|(train st.+moving)|(\|lc)|(penalty))"</v>
      </c>
      <c r="AG247" s="244" t="str">
        <f t="shared" si="102"/>
        <v>Shuttle/Test</v>
      </c>
      <c r="AH247" s="236" t="str">
        <f t="shared" si="110"/>
        <v>"%USERPROFILE%\Documents\GitHub\eaglep3\Utilities\RefineRTDCRunTimes.py" --tripid 70-08 --locoid 4025 --swversion DE.1.0.9.0 --startMP 204:3324 --initTime 2018-01-08T14:35:53 --startdatetime 2018-01-08T14:38:06 --delay 92 --endMP 204:165 --enddatetime 2018-01-08T14:39:53 --enforcementcount 0 &gt;&gt;%USERPROFILE%\Documents\GitHub\eaglep3-reporting\EC\2018-01-08-refined-times.txt</v>
      </c>
      <c r="AI247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0.0165"},{"id":17,"name":"Train ID","value":"70-08"},{"id":16,"name":"Locomotive ID","value":"4025"},{"id":130,"name":"Impact","value":""},{"id":150,"name":"Time of Event (Mountain Time)","value":"14:39:53"},{"id":151,"name":"Denver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223"/>
      <c r="AK247" s="231"/>
      <c r="AL247" s="231"/>
      <c r="AM247" s="240" t="str">
        <f t="shared" si="112"/>
        <v>start /low /b %USERPROFILE%\Documents\GitHub\eaglep3\Utilities\DownloadLogsFromS3.py --loco 4025 --day 2018-01-08</v>
      </c>
      <c r="AN247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114"/>
        <v>https://d0f6bd738d7f1b3e5a7ca70fe4ff75f0.us-east-1.aws.found.io/app/kibana#/discover/Steve-Slow-Train-Analysis-(2080s-and-2083s)?_g=(refreshInterval:(display:Off,pause:!f,section:0,value:0),time:(from:'2018-01-08T13:35:53-0700',mode:absolute,to:'2018-01-08T15:39:53-0700'))&amp;_a=(columns:!('Message%20ID',Summary),filters:!(),index:'emp_*',interval:auto,query:(query_string:(analyze_wildcard:!t,query:'%22rtdc.l.rtdc.4025%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229" t="s">
        <v>742</v>
      </c>
      <c r="B248" s="225">
        <v>4026</v>
      </c>
      <c r="C248" s="227" t="s">
        <v>191</v>
      </c>
      <c r="D248" s="227" t="s">
        <v>1007</v>
      </c>
      <c r="E248" s="226">
        <v>43108.606145833335</v>
      </c>
      <c r="F248" s="226">
        <v>43108.609791666669</v>
      </c>
      <c r="G248" s="225">
        <v>59</v>
      </c>
      <c r="H248" s="227" t="s">
        <v>1008</v>
      </c>
      <c r="I248" s="226">
        <v>43108.611030092594</v>
      </c>
      <c r="J248" s="225">
        <v>0</v>
      </c>
      <c r="K248" s="237" t="str">
        <f t="shared" si="93"/>
        <v>4025/4026</v>
      </c>
      <c r="L248" s="245" t="str">
        <f>VLOOKUP(A248,'Trips&amp;Operators'!$C$1:$G$99911,5,FALSE)</f>
        <v>ROBINSON KADDIBA</v>
      </c>
      <c r="M248" s="224">
        <f t="shared" si="94"/>
        <v>1.2384259243845008E-3</v>
      </c>
      <c r="N248" s="225">
        <f t="shared" si="115"/>
        <v>1.7833333311136812</v>
      </c>
      <c r="O248" s="225"/>
      <c r="P248" s="225"/>
      <c r="Q248" s="228"/>
      <c r="R248" s="242"/>
      <c r="S248" s="249">
        <f t="shared" si="116"/>
        <v>0</v>
      </c>
      <c r="T248" s="242" t="str">
        <f t="shared" si="95"/>
        <v>Southbound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48" t="str">
        <f t="shared" si="96"/>
        <v>https://d0f6bd738d7f1b3e5a7ca70fe4ff75f0.us-east-1.aws.found.io/app/kibana#/discover/Steve-Slow-Train-Analysis-(2080s-and-2083s)?_g=(refreshInterval:(display:Off,pause:!f,section:0,value:0),time:(from:'2018-01-08T13:32:51-0700',mode:absolute,to:'2018-01-08T15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8" s="247" t="str">
        <f>IF(AA248&lt;VLOOKUP(AG248,Variables!$AC$3:$AD$8,2,FALSE),"Y","N")</f>
        <v>Y</v>
      </c>
      <c r="X248" s="247">
        <f t="shared" si="97"/>
        <v>0</v>
      </c>
      <c r="Y248" s="247">
        <f t="shared" si="108"/>
        <v>0.1477</v>
      </c>
      <c r="Z248" s="247">
        <f t="shared" si="109"/>
        <v>0.36459999999999998</v>
      </c>
      <c r="AA248" s="247">
        <f t="shared" si="98"/>
        <v>0.21689999999999998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 t="shared" si="99"/>
        <v>70</v>
      </c>
      <c r="AE248" s="235" t="str">
        <f t="shared" si="100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248" s="234" t="str">
        <f t="shared" si="101"/>
        <v>"C:\Program Files (x86)\AstroGrep\AstroGrep.exe" /e /r /s /spath="%USERPROFILE%\AppData\Local\Temp\OnboardLogs" /stypes="app*4026*20180108*" /stext=" 21:.+((SYSTEM_STATE.+slice.+state.+changed )|(ment ac)|(multiple cpu faults)|(system.+state.+changed )|(\[timeout)|(PRM\|1\|D)|(kpr)|(kdp)|(train st.+moving)|(\|lc)|(penalty))"</v>
      </c>
      <c r="AG248" s="244" t="str">
        <f t="shared" si="102"/>
        <v>Shuttle/Test</v>
      </c>
      <c r="AH248" s="236" t="str">
        <f t="shared" si="110"/>
        <v>"%USERPROFILE%\Documents\GitHub\eaglep3\Utilities\RefineRTDCRunTimes.py" --tripid 70-08 --locoid 4026 --swversion DE.1.0.9.0 --startMP 204:1477 --initTime 2018-01-08T14:32:51 --startdatetime 2018-01-08T14:38:06 --delay 59 --endMP 204:3646 --enddatetime 2018-01-08T14:39:53 --enforcementcount 0 &gt;&gt;%USERPROFILE%\Documents\GitHub\eaglep3-reporting\EC\2018-01-08-refined-times.txt</v>
      </c>
      <c r="AI248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0.3646"},{"id":17,"name":"Train ID","value":"70-08"},{"id":16,"name":"Locomotive ID","value":"4026"},{"id":130,"name":"Impact","value":""},{"id":150,"name":"Time of Event (Mountain Time)","value":"14:39:53"},{"id":151,"name":"Denver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223"/>
      <c r="AK248" s="231"/>
      <c r="AL248" s="231"/>
      <c r="AM248" s="240" t="str">
        <f t="shared" si="112"/>
        <v>start /low /b %USERPROFILE%\Documents\GitHub\eaglep3\Utilities\DownloadLogsFromS3.py --loco 4026 --day 2018-01-08</v>
      </c>
      <c r="AN248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114"/>
        <v>https://d0f6bd738d7f1b3e5a7ca70fe4ff75f0.us-east-1.aws.found.io/app/kibana#/discover/Steve-Slow-Train-Analysis-(2080s-and-2083s)?_g=(refreshInterval:(display:Off,pause:!f,section:0,value:0),time:(from:'2018-01-08T13:32:51-0700',mode:absolute,to:'2018-01-08T15:39:53-0700'))&amp;_a=(columns:!('Message%20ID',Summary),filters:!(),index:'emp_*',interval:auto,query:(query_string:(analyze_wildcard:!t,query:'%22rtdc.l.rtdc.4026%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229" t="s">
        <v>810</v>
      </c>
      <c r="B249" s="225">
        <v>4002</v>
      </c>
      <c r="C249" s="227" t="s">
        <v>191</v>
      </c>
      <c r="D249" s="227" t="s">
        <v>1009</v>
      </c>
      <c r="E249" s="226">
        <v>43108.719780092593</v>
      </c>
      <c r="F249" s="226">
        <v>43108.735092592593</v>
      </c>
      <c r="G249" s="225">
        <v>64</v>
      </c>
      <c r="H249" s="227" t="s">
        <v>551</v>
      </c>
      <c r="I249" s="226">
        <v>43108.743333333332</v>
      </c>
      <c r="J249" s="225">
        <v>0</v>
      </c>
      <c r="K249" s="237" t="str">
        <f t="shared" si="93"/>
        <v>4001/4002</v>
      </c>
      <c r="L249" s="245" t="str">
        <f>VLOOKUP(A249,'Trips&amp;Operators'!$C$1:$G$99911,5,FALSE)</f>
        <v>GONZALEZ ARMANDO</v>
      </c>
      <c r="M249" s="224">
        <f t="shared" si="94"/>
        <v>8.2407407389837317E-3</v>
      </c>
      <c r="N249" s="225">
        <f t="shared" si="115"/>
        <v>11.866666664136574</v>
      </c>
      <c r="O249" s="225"/>
      <c r="P249" s="225"/>
      <c r="Q249" s="228"/>
      <c r="R249" s="242"/>
      <c r="S249" s="249">
        <f t="shared" si="116"/>
        <v>1</v>
      </c>
      <c r="T249" s="242" t="str">
        <f t="shared" si="95"/>
        <v>NorthBound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48" t="str">
        <f t="shared" si="96"/>
        <v>https://d0f6bd738d7f1b3e5a7ca70fe4ff75f0.us-east-1.aws.found.io/app/kibana#/discover/Steve-Slow-Train-Analysis-(2080s-and-2083s)?_g=(refreshInterval:(display:Off,pause:!f,section:0,value:0),time:(from:'2018-01-08T16:16:29-0700',mode:absolute,to:'2018-01-08T18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9" s="247" t="str">
        <f>IF(AA249&lt;VLOOKUP(AG249,Variables!$AC$3:$AD$8,2,FALSE),"Y","N")</f>
        <v>Y</v>
      </c>
      <c r="X249" s="247">
        <f t="shared" si="97"/>
        <v>1</v>
      </c>
      <c r="Y249" s="247">
        <f t="shared" si="108"/>
        <v>0.11650000000000001</v>
      </c>
      <c r="Z249" s="247">
        <f t="shared" si="109"/>
        <v>2.3308</v>
      </c>
      <c r="AA249" s="247">
        <f t="shared" si="98"/>
        <v>2.2143000000000002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 t="shared" si="99"/>
        <v>71</v>
      </c>
      <c r="AE249" s="235" t="str">
        <f t="shared" si="100"/>
        <v>aws s3 cp s3://rtdc.mdm.uploadarchive.raw/RTDC4002/ "%USERPROFILE%\AppData\Local\Temp\OnboardLogs"\RTDC4002\2018-01-08 --exclude "*" --recursive --include "*20180108*" &amp; "%USERPROFILE%\Documents\GitHub\mrs-test-scripts\Headless Mode &amp; Sideloading\WalkAndUnGZ.bat" "%USERPROFILE%\AppData\Local\Temp\OnboardLogs"\RTDC4002\2018-01-08 &amp; aws s3 cp s3://rtdc.mdm.uploadarchive.raw/RTDC4002/ "%USERPROFILE%\AppData\Local\Temp\OnboardLogs"\RTDC4002\2018-01-09 --exclude "*" --recursive --include "*20180109*" &amp; "%USERPROFILE%\Documents\GitHub\mrs-test-scripts\Headless Mode &amp; Sideloading\WalkAndUnGZ.bat" "%USERPROFILE%\AppData\Local\Temp\OnboardLogs"\RTDC4002\2018-01-09</v>
      </c>
      <c r="AF249" s="234" t="str">
        <f t="shared" si="101"/>
        <v>"C:\Program Files (x86)\AstroGrep\AstroGrep.exe" /e /r /s /spath="%USERPROFILE%\AppData\Local\Temp\OnboardLogs" /stypes="app*4002*20180109*" /stext=" 00:.+((SYSTEM_STATE.+slice.+state.+changed )|(ment ac)|(multiple cpu faults)|(system.+state.+changed )|(\[timeout)|(PRM\|1\|D)|(kpr)|(kdp)|(train st.+moving)|(\|lc)|(penalty))"</v>
      </c>
      <c r="AG249" s="244" t="str">
        <f t="shared" si="102"/>
        <v>Shuttle/Test</v>
      </c>
      <c r="AH249" s="236" t="str">
        <f t="shared" si="110"/>
        <v>"%USERPROFILE%\Documents\GitHub\eaglep3\Utilities\RefineRTDCRunTimes.py" --tripid 71-08 --locoid 4002 --swversion DE.1.0.9.0 --startMP 204:1165 --initTime 2018-01-08T17:16:29 --startdatetime 2018-01-08T17:38:32 --delay 64 --endMP 300:23308 --enddatetime 2018-01-08T17:50:24 --enforcementcount 0 &gt;&gt;%USERPROFILE%\Documents\GitHub\eaglep3-reporting\EC\2018-01-08-refined-times.txt</v>
      </c>
      <c r="AI249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2.3308"},{"id":17,"name":"Train ID","value":"71-08"},{"id":16,"name":"Locomotive ID","value":"4002"},{"id":130,"name":"Impact","value":""},{"id":150,"name":"Time of Event (Mountain Time)","value":"17:50:24"},{"id":151,"name":"Denver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23"/>
      <c r="AK249" s="231"/>
      <c r="AL249" s="231"/>
      <c r="AM249" s="240" t="str">
        <f t="shared" si="112"/>
        <v>start /low /b %USERPROFILE%\Documents\GitHub\eaglep3\Utilities\DownloadLogsFromS3.py --loco 4002 --day 2018-01-08</v>
      </c>
      <c r="AN249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114"/>
        <v>https://d0f6bd738d7f1b3e5a7ca70fe4ff75f0.us-east-1.aws.found.io/app/kibana#/discover/Steve-Slow-Train-Analysis-(2080s-and-2083s)?_g=(refreshInterval:(display:Off,pause:!f,section:0,value:0),time:(from:'2018-01-08T16:16:29-0700',mode:absolute,to:'2018-01-08T18:50:24-0700'))&amp;_a=(columns:!('Message%20ID',Summary),filters:!(),index:'emp_*',interval:auto,query:(query_string:(analyze_wildcard:!t,query:'%22rtdc.l.rtdc.4002%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229" t="s">
        <v>634</v>
      </c>
      <c r="B250" s="225">
        <v>4019</v>
      </c>
      <c r="C250" s="227" t="s">
        <v>191</v>
      </c>
      <c r="D250" s="227" t="s">
        <v>1010</v>
      </c>
      <c r="E250" s="226">
        <v>43108.736585648148</v>
      </c>
      <c r="F250" s="226">
        <v>43108.74428240741</v>
      </c>
      <c r="G250" s="225">
        <v>303</v>
      </c>
      <c r="H250" s="227" t="s">
        <v>1011</v>
      </c>
      <c r="I250" s="226">
        <v>43108.748298611114</v>
      </c>
      <c r="J250" s="225">
        <v>0</v>
      </c>
      <c r="K250" s="237" t="str">
        <f t="shared" si="93"/>
        <v>4019/4020</v>
      </c>
      <c r="L250" s="245" t="str">
        <f>VLOOKUP(A250,'Trips&amp;Operators'!$C$1:$G$99911,5,FALSE)</f>
        <v>AUSTIN THOMPSON</v>
      </c>
      <c r="M250" s="224">
        <f t="shared" si="94"/>
        <v>4.016203703940846E-3</v>
      </c>
      <c r="N250" s="225">
        <f t="shared" si="115"/>
        <v>5.7833333336748183</v>
      </c>
      <c r="O250" s="225"/>
      <c r="P250" s="225"/>
      <c r="Q250" s="228"/>
      <c r="R250" s="242"/>
      <c r="S250" s="249">
        <f t="shared" si="116"/>
        <v>1</v>
      </c>
      <c r="T250" s="242" t="str">
        <f t="shared" si="95"/>
        <v>Southbound</v>
      </c>
      <c r="U250" s="246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48" t="str">
        <f t="shared" si="96"/>
        <v>https://d0f6bd738d7f1b3e5a7ca70fe4ff75f0.us-east-1.aws.found.io/app/kibana#/discover/Steve-Slow-Train-Analysis-(2080s-and-2083s)?_g=(refreshInterval:(display:Off,pause:!f,section:0,value:0),time:(from:'2018-01-08T16:40:41-0700',mode:absolute,to:'2018-01-08T18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50" s="247" t="str">
        <f>IF(AA250&lt;VLOOKUP(AG250,Variables!$AC$3:$AD$8,2,FALSE),"Y","N")</f>
        <v>Y</v>
      </c>
      <c r="X250" s="247">
        <f t="shared" si="97"/>
        <v>1</v>
      </c>
      <c r="Y250" s="247">
        <f t="shared" si="108"/>
        <v>2.3853</v>
      </c>
      <c r="Z250" s="247">
        <f t="shared" si="109"/>
        <v>0.45689999999999997</v>
      </c>
      <c r="AA250" s="247">
        <f t="shared" si="98"/>
        <v>1.9283999999999999</v>
      </c>
      <c r="AB250" s="233" t="e">
        <f>VLOOKUP(A250,Enforcements!$C$7:$K$9,8,0)</f>
        <v>#N/A</v>
      </c>
      <c r="AC250" s="232" t="e">
        <f>VLOOKUP(A250,Enforcements!$C$7:$E$9,3,0)</f>
        <v>#N/A</v>
      </c>
      <c r="AD250" s="243">
        <f t="shared" si="99"/>
        <v>72</v>
      </c>
      <c r="AE250" s="235" t="str">
        <f t="shared" si="100"/>
        <v>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 &amp; 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</v>
      </c>
      <c r="AF250" s="234" t="str">
        <f t="shared" si="101"/>
        <v>"C:\Program Files (x86)\AstroGrep\AstroGrep.exe" /e /r /s /spath="%USERPROFILE%\AppData\Local\Temp\OnboardLogs" /stypes="app*4019*20180109*" /stext=" 00:.+((SYSTEM_STATE.+slice.+state.+changed )|(ment ac)|(multiple cpu faults)|(system.+state.+changed )|(\[timeout)|(PRM\|1\|D)|(kpr)|(kdp)|(train st.+moving)|(\|lc)|(penalty))"</v>
      </c>
      <c r="AG250" s="244" t="str">
        <f t="shared" si="102"/>
        <v>Shuttle/Test</v>
      </c>
      <c r="AH250" s="236" t="str">
        <f t="shared" si="110"/>
        <v>"%USERPROFILE%\Documents\GitHub\eaglep3\Utilities\RefineRTDCRunTimes.py" --tripid 72-08 --locoid 4019 --swversion DE.1.0.9.0 --startMP 300:23853 --initTime 2018-01-08T17:40:41 --startdatetime 2018-01-08T17:51:46 --delay 303 --endMP 204:4569 --enddatetime 2018-01-08T17:57:33 --enforcementcount 0 &gt;&gt;%USERPROFILE%\Documents\GitHub\eaglep3-reporting\EC\2018-01-08-refined-times.txt</v>
      </c>
      <c r="AI250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0.4569"},{"id":17,"name":"Train ID","value":"72-08"},{"id":16,"name":"Locomotive ID","value":"4019"},{"id":130,"name":"Impact","value":""},{"id":150,"name":"Time of Event (Mountain Time)","value":"17:57:33"},{"id":151,"name":"Denver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0" s="223"/>
      <c r="AK250" s="231"/>
      <c r="AL250" s="231"/>
      <c r="AM250" s="240" t="str">
        <f t="shared" si="112"/>
        <v>start /low /b %USERPROFILE%\Documents\GitHub\eaglep3\Utilities\DownloadLogsFromS3.py --loco 4019 --day 2018-01-08</v>
      </c>
      <c r="AN250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0" t="str">
        <f t="shared" si="114"/>
        <v>https://d0f6bd738d7f1b3e5a7ca70fe4ff75f0.us-east-1.aws.found.io/app/kibana#/discover/Steve-Slow-Train-Analysis-(2080s-and-2083s)?_g=(refreshInterval:(display:Off,pause:!f,section:0,value:0),time:(from:'2018-01-08T16:40:41-0700',mode:absolute,to:'2018-01-08T18:57:33-0700'))&amp;_a=(columns:!('Message%20ID',Summary),filters:!(),index:'emp_*',interval:auto,query:(query_string:(analyze_wildcard:!t,query:'%22rtdc.l.rtdc.4019%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23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3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23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3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23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23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23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23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s="20" customForma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s="20" customForma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s="20" customForma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s="20" customFormat="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s="20" customFormat="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s="20" customFormat="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9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s="20" customFormat="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s="20" customFormat="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4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4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4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4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4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4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4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4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M568"/>
      <c r="AO568"/>
    </row>
    <row r="569" spans="1:4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4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4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4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M572"/>
      <c r="AO572"/>
    </row>
    <row r="573" spans="1:4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4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4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4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4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  <row r="578" spans="1:4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M578"/>
      <c r="AO578"/>
    </row>
    <row r="579" spans="1:4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M579"/>
      <c r="AO579"/>
    </row>
    <row r="580" spans="1:4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M580"/>
      <c r="AO580"/>
    </row>
  </sheetData>
  <autoFilter ref="A12:AG575">
    <sortState ref="A13:AG575">
      <sortCondition ref="AG13:AG250"/>
      <sortCondition ref="AD13:AD250"/>
    </sortState>
  </autoFilter>
  <sortState ref="A13:AN480">
    <sortCondition ref="AG13:AG480"/>
    <sortCondition ref="AD13:AD480"/>
  </sortState>
  <mergeCells count="1">
    <mergeCell ref="A11:P11"/>
  </mergeCells>
  <conditionalFormatting sqref="W11:W12 W581:X1048576 W13:X250">
    <cfRule type="cellIs" dxfId="10" priority="479" operator="equal">
      <formula>"Y"</formula>
    </cfRule>
  </conditionalFormatting>
  <conditionalFormatting sqref="X581:X1048576 X13:X250">
    <cfRule type="cellIs" dxfId="9" priority="462" operator="greaterThan">
      <formula>1</formula>
    </cfRule>
  </conditionalFormatting>
  <conditionalFormatting sqref="X581:X1048576 X12:X250">
    <cfRule type="cellIs" dxfId="8" priority="459" operator="equal">
      <formula>0</formula>
    </cfRule>
  </conditionalFormatting>
  <conditionalFormatting sqref="A13:S250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AK13:AK250</xm:sqref>
        </x14:dataValidation>
        <x14:dataValidation type="list" allowBlank="1" showInputMessage="1" showErrorMessage="1">
          <x14:formula1>
            <xm:f>'Redmine List Values'!$C$2:$C$15</xm:f>
          </x14:formula1>
          <xm:sqref>AL13:AL250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COUNTIF($O$7:$O$100,"=Y")</f>
        <v>1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COUNTA($O$7:$O$100)-O2</f>
        <v>24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- 2018-01-08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43108.400405092594</v>
      </c>
      <c r="B7" s="30" t="s">
        <v>445</v>
      </c>
      <c r="C7" s="30" t="s">
        <v>626</v>
      </c>
      <c r="D7" s="30" t="s">
        <v>49</v>
      </c>
      <c r="E7" s="30" t="s">
        <v>625</v>
      </c>
      <c r="F7" s="42">
        <v>170</v>
      </c>
      <c r="G7" s="42">
        <v>233</v>
      </c>
      <c r="H7" s="42">
        <v>26637</v>
      </c>
      <c r="I7" s="42">
        <v>27123</v>
      </c>
      <c r="J7" s="30" t="s">
        <v>183</v>
      </c>
      <c r="K7" s="42">
        <v>27053</v>
      </c>
      <c r="L7" s="131" t="s">
        <v>50</v>
      </c>
      <c r="M7" s="132">
        <f t="shared" ref="M7:M31" si="0">CONVERT((I7-K7)/10000,"mi","ft")*IF(L7="Increasing Mileposts (1)",-1,1)</f>
        <v>-36.96</v>
      </c>
      <c r="N7" s="133" t="str">
        <f>VLOOKUP(C7,'Trips&amp;Operators'!$C$1:$G$99911,5,FALSE)</f>
        <v>BEAM ROSS</v>
      </c>
      <c r="O7" s="175" t="s">
        <v>178</v>
      </c>
      <c r="P7" s="239" t="s">
        <v>643</v>
      </c>
      <c r="Q7" s="30"/>
      <c r="R7" s="81" t="str">
        <f>VLOOKUP(C7,'Train Runs'!$A$13:$AE$10234,31,0)</f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S7" s="84" t="str">
        <f>VLOOKUP(C7,'Train Runs'!$A$13:$AE$10234,22,0)</f>
        <v>https://d0f6bd738d7f1b3e5a7ca70fe4ff75f0.us-east-1.aws.found.io/app/kibana#/discover/Steve-Slow-Train-Analysis-(2080s-and-2083s)?_g=(refreshInterval:(display:Off,pause:!f,section:0,value:0),time:(from:'2018-01-08T08:23:32-0700',mode:absolute,to:'2018-01-08T11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/stypes="*4052*201801081*" /stext=" 16:.+((SYSTEM_STATE.+slice.+state.+changed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4052</v>
      </c>
      <c r="V7" s="31">
        <f t="shared" ref="V7:V31" si="3">A7-utc_offset/24</f>
        <v>43108.692071759258</v>
      </c>
      <c r="W7" s="45" t="str">
        <f t="shared" ref="W7:W31" si="4">DetSubdiv(C7)</f>
        <v>EC</v>
      </c>
      <c r="X7" s="22">
        <f t="shared" ref="X7:X31" si="5">VALUE(LEFT(C7,LEN(C7)-3))</f>
        <v>147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Arrival","project_id":79,"tracker_id":40,"status_id":1,"priority_id":2,"assigned_to_id":338,"start_date":"2018-01-08","description":"","custom_fields":[{"id":1,"name":"Subdivision","value":"EC"},{"id":4,"name":"Milepost","value":"2.7053"},{"id":17,"name":"Train ID","value":"147-08"},{"id":16,"name":"Locomotive ID","value":"4052"},{"id":130,"name":"Impact","value":""},{"id":150,"name":"Time of Event (Mountain Time)","value":"09:36:35"},{"id":151,"name":"Denver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/c/Users/stu/AppData/Local/Temp/OnboardLogs/RTDC4052 --include="*4052*201801081*"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"%USERPROFILE%\AppData\Local\Temp\OnboardLogs"\RTDC4052\*4052*201801081* &gt;&gt; 2018-01-08-SliceDisagreementCheck.txt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4052 --day 2018-01-08</v>
      </c>
    </row>
    <row r="8" spans="1:32" x14ac:dyDescent="0.3">
      <c r="A8" s="31">
        <v>43108.820532407408</v>
      </c>
      <c r="B8" s="30" t="s">
        <v>554</v>
      </c>
      <c r="C8" s="30" t="s">
        <v>635</v>
      </c>
      <c r="D8" s="30" t="s">
        <v>49</v>
      </c>
      <c r="E8" s="30" t="s">
        <v>625</v>
      </c>
      <c r="F8" s="42">
        <v>0</v>
      </c>
      <c r="G8" s="42">
        <v>195</v>
      </c>
      <c r="H8" s="42">
        <v>31001</v>
      </c>
      <c r="I8" s="42">
        <v>30833</v>
      </c>
      <c r="J8" s="30" t="s">
        <v>183</v>
      </c>
      <c r="K8" s="42">
        <v>30970</v>
      </c>
      <c r="L8" s="131" t="s">
        <v>51</v>
      </c>
      <c r="M8" s="132">
        <f t="shared" si="0"/>
        <v>-72.335999999999999</v>
      </c>
      <c r="N8" s="133" t="str">
        <f>VLOOKUP(C8,'Trips&amp;Operators'!$C$1:$G$99911,5,FALSE)</f>
        <v>RESPASS AARON</v>
      </c>
      <c r="O8" s="175" t="s">
        <v>178</v>
      </c>
      <c r="P8" s="239" t="s">
        <v>643</v>
      </c>
      <c r="Q8" s="30"/>
      <c r="R8" s="81" t="str">
        <f>VLOOKUP(C8,'Train Runs'!$A$13:$AE$10234,31,0)</f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S8" s="84" t="str">
        <f>VLOOKUP(C8,'Train Runs'!$A$13:$AE$10234,22,0)</f>
        <v>https://d0f6bd738d7f1b3e5a7ca70fe4ff75f0.us-east-1.aws.found.io/app/kibana#/discover/Steve-Slow-Train-Analysis-(2080s-and-2083s)?_g=(refreshInterval:(display:Off,pause:!f,section:0,value:0),time:(from:'2018-01-08T17:55:13-0700',mode:absolute,to:'2018-01-08T20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 t="shared" si="1"/>
        <v>"C:\Program Files (x86)\AstroGrep\AstroGrep.exe" /e /r /s /spath="%USERPROFILE%\AppData\Local\Temp\OnboardLogs" /stypes="*4025*201801090*" /stext=" 02:.+((SYSTEM_STATE.+slice.+state.+changed )|(ment ac)|(multiple cpu faults)|(system.+state.+changed )|(\[timeout)|(PRM\|1\|D)|(kpr)|(kdp)|(train st.+moving)|(\|lc)|(penalty))"</v>
      </c>
      <c r="U8" s="9" t="str">
        <f t="shared" si="2"/>
        <v>4025</v>
      </c>
      <c r="V8" s="31">
        <f t="shared" si="3"/>
        <v>43109.112199074072</v>
      </c>
      <c r="W8" s="45" t="str">
        <f t="shared" si="4"/>
        <v>EC</v>
      </c>
      <c r="X8" s="228">
        <f t="shared" si="5"/>
        <v>218</v>
      </c>
      <c r="Y8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Arrival","project_id":79,"tracker_id":40,"status_id":1,"priority_id":2,"assigned_to_id":338,"start_date":"2018-01-08","description":"","custom_fields":[{"id":1,"name":"Subdivision","value":"EC"},{"id":4,"name":"Milepost","value":"3.097"},{"id":17,"name":"Train ID","value":"218-08"},{"id":16,"name":"Locomotive ID","value":"4025"},{"id":130,"name":"Impact","value":""},{"id":150,"name":"Time of Event (Mountain Time)","value":"19:41:34"},{"id":151,"name":"Denver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/c/Users/stu/AppData/Local/Temp/OnboardLogs/RTDC4025 --include="*4025*201801090*"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"%USERPROFILE%\AppData\Local\Temp\OnboardLogs"\RTDC4025\*4025*201801090* &gt;&gt; 2018-01-08-SliceDisagreementCheck.txt</v>
      </c>
      <c r="AE8" s="144" t="str">
        <f t="shared" ref="AE8:AE31" si="9">"start /low /b "&amp;dls3logs&amp;" --loco "&amp;U8&amp;" --day "&amp;TEXT(V8,"YYYY-MM-DD")</f>
        <v>start /low /b %USERPROFILE%\Documents\GitHub\eaglep3\Utilities\DownloadLogsFromS3.py --loco 4025 --day 2018-01-09</v>
      </c>
      <c r="AF8" s="1"/>
    </row>
    <row r="9" spans="1:32" x14ac:dyDescent="0.3">
      <c r="A9" s="31">
        <v>43108.933599537035</v>
      </c>
      <c r="B9" s="30" t="s">
        <v>389</v>
      </c>
      <c r="C9" s="30" t="s">
        <v>640</v>
      </c>
      <c r="D9" s="30" t="s">
        <v>49</v>
      </c>
      <c r="E9" s="30" t="s">
        <v>625</v>
      </c>
      <c r="F9" s="42">
        <v>270</v>
      </c>
      <c r="G9" s="42">
        <v>333</v>
      </c>
      <c r="H9" s="42">
        <v>35981</v>
      </c>
      <c r="I9" s="42">
        <v>35115</v>
      </c>
      <c r="J9" s="30" t="s">
        <v>183</v>
      </c>
      <c r="K9" s="42">
        <v>33257</v>
      </c>
      <c r="L9" s="131" t="s">
        <v>51</v>
      </c>
      <c r="M9" s="132">
        <f t="shared" si="0"/>
        <v>981.024</v>
      </c>
      <c r="N9" s="133" t="str">
        <f>VLOOKUP(C9,'Trips&amp;Operators'!$C$1:$G$99911,5,FALSE)</f>
        <v>ELBAUM MIKE</v>
      </c>
      <c r="O9" s="175" t="s">
        <v>178</v>
      </c>
      <c r="P9" s="239" t="s">
        <v>643</v>
      </c>
      <c r="Q9" s="30"/>
      <c r="R9" s="81" t="str">
        <f>VLOOKUP(C9,'Train Runs'!$A$13:$AE$10234,31,0)</f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S9" s="84" t="str">
        <f>VLOOKUP(C9,'Train Runs'!$A$13:$AE$10234,22,0)</f>
        <v>https://d0f6bd738d7f1b3e5a7ca70fe4ff75f0.us-east-1.aws.found.io/app/kibana#/discover/Steve-Slow-Train-Analysis-(2080s-and-2083s)?_g=(refreshInterval:(display:Off,pause:!f,section:0,value:0),time:(from:'2018-01-08T20:37:46-0700',mode:absolute,to:'2018-01-08T23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/stypes="*4059*201801090*"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43109.225266203699</v>
      </c>
      <c r="W9" s="45" t="str">
        <f t="shared" si="4"/>
        <v>EC</v>
      </c>
      <c r="X9" s="228">
        <f t="shared" si="5"/>
        <v>230</v>
      </c>
      <c r="Y9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Arrival","project_id":79,"tracker_id":40,"status_id":1,"priority_id":2,"assigned_to_id":338,"start_date":"2018-01-08","description":"","custom_fields":[{"id":1,"name":"Subdivision","value":"EC"},{"id":4,"name":"Milepost","value":"3.3257"},{"id":17,"name":"Train ID","value":"230-08"},{"id":16,"name":"Locomotive ID","value":"4059"},{"id":130,"name":"Impact","value":""},{"id":150,"name":"Time of Event (Mountain Time)","value":"22:24:23"},{"id":151,"name":"Denver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/c/Users/stu/AppData/Local/Temp/OnboardLogs/RTDC4059 --include="*4059*201801090*"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"%USERPROFILE%\AppData\Local\Temp\OnboardLogs"\RTDC4059\*4059*201801090* &gt;&gt; 2018-01-08-SliceDisagreementCheck.txt</v>
      </c>
      <c r="AE9" s="144" t="str">
        <f t="shared" si="9"/>
        <v>start /low /b %USERPROFILE%\Documents\GitHub\eaglep3\Utilities\DownloadLogsFromS3.py --loco 4059 --day 2018-01-09</v>
      </c>
      <c r="AF9" s="1"/>
    </row>
    <row r="10" spans="1:32" x14ac:dyDescent="0.3">
      <c r="A10" s="31">
        <v>43108.863483796296</v>
      </c>
      <c r="B10" s="30" t="s">
        <v>470</v>
      </c>
      <c r="C10" s="30" t="s">
        <v>639</v>
      </c>
      <c r="D10" s="30" t="s">
        <v>49</v>
      </c>
      <c r="E10" s="30" t="s">
        <v>625</v>
      </c>
      <c r="F10" s="42">
        <v>0</v>
      </c>
      <c r="G10" s="42">
        <v>293</v>
      </c>
      <c r="H10" s="42">
        <v>62956</v>
      </c>
      <c r="I10" s="42">
        <v>63407</v>
      </c>
      <c r="J10" s="30" t="s">
        <v>183</v>
      </c>
      <c r="K10" s="42">
        <v>63069</v>
      </c>
      <c r="L10" s="131" t="s">
        <v>50</v>
      </c>
      <c r="M10" s="132">
        <f t="shared" si="0"/>
        <v>-178.46399999999997</v>
      </c>
      <c r="N10" s="133" t="str">
        <f>VLOOKUP(C10,'Trips&amp;Operators'!$C$1:$G$99911,5,FALSE)</f>
        <v>WILLIAMS DONTE</v>
      </c>
      <c r="O10" s="175" t="s">
        <v>178</v>
      </c>
      <c r="P10" s="239" t="s">
        <v>643</v>
      </c>
      <c r="Q10" s="30"/>
      <c r="R10" s="81" t="str">
        <f>VLOOKUP(C10,'Train Runs'!$A$13:$AE$10234,31,0)</f>
        <v>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 &amp; 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</v>
      </c>
      <c r="S10" s="84" t="str">
        <f>VLOOKUP(C10,'Train Runs'!$A$13:$AE$10234,22,0)</f>
        <v>https://d0f6bd738d7f1b3e5a7ca70fe4ff75f0.us-east-1.aws.found.io/app/kibana#/discover/Steve-Slow-Train-Analysis-(2080s-and-2083s)?_g=(refreshInterval:(display:Off,pause:!f,section:0,value:0),time:(from:'2018-01-08T19:49:34-0700',mode:absolute,to:'2018-01-08T22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0" s="86" t="str">
        <f t="shared" si="1"/>
        <v>"C:\Program Files (x86)\AstroGrep\AstroGrep.exe" /e /r /s /spath="%USERPROFILE%\AppData\Local\Temp\OnboardLogs" /stypes="*4020*201801090*" /stext=" 03:.+((SYSTEM_STATE.+slice.+state.+changed )|(ment ac)|(multiple cpu faults)|(system.+state.+changed )|(\[timeout)|(PRM\|1\|D)|(kpr)|(kdp)|(train st.+moving)|(\|lc)|(penalty))"</v>
      </c>
      <c r="U10" s="9" t="str">
        <f t="shared" si="2"/>
        <v>4020</v>
      </c>
      <c r="V10" s="31">
        <f t="shared" si="3"/>
        <v>43109.155150462961</v>
      </c>
      <c r="W10" s="45" t="str">
        <f t="shared" si="4"/>
        <v>EC</v>
      </c>
      <c r="X10" s="228">
        <f t="shared" si="5"/>
        <v>227</v>
      </c>
      <c r="Y10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Arrival","project_id":79,"tracker_id":40,"status_id":1,"priority_id":2,"assigned_to_id":338,"start_date":"2018-01-08","description":"","custom_fields":[{"id":1,"name":"Subdivision","value":"EC"},{"id":4,"name":"Milepost","value":"6.3069"},{"id":17,"name":"Train ID","value":"227-08"},{"id":16,"name":"Locomotive ID","value":"4020"},{"id":130,"name":"Impact","value":""},{"id":150,"name":"Time of Event (Mountain Time)","value":"20:43:25"},{"id":151,"name":"Denver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/c/Users/stu/AppData/Local/Temp/OnboardLogs/RTDC4020 --include="*4020*201801090*"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"%USERPROFILE%\AppData\Local\Temp\OnboardLogs"\RTDC4020\*4020*201801090* &gt;&gt; 2018-01-08-SliceDisagreementCheck.txt</v>
      </c>
      <c r="AE10" s="144" t="str">
        <f t="shared" si="9"/>
        <v>start /low /b %USERPROFILE%\Documents\GitHub\eaglep3\Utilities\DownloadLogsFromS3.py --loco 4020 --day 2018-01-09</v>
      </c>
      <c r="AF10" s="1"/>
    </row>
    <row r="11" spans="1:32" x14ac:dyDescent="0.3">
      <c r="A11" s="31">
        <v>43108.363923611112</v>
      </c>
      <c r="B11" s="30" t="s">
        <v>356</v>
      </c>
      <c r="C11" s="30" t="s">
        <v>624</v>
      </c>
      <c r="D11" s="30" t="s">
        <v>49</v>
      </c>
      <c r="E11" s="30" t="s">
        <v>625</v>
      </c>
      <c r="F11" s="42">
        <v>120</v>
      </c>
      <c r="G11" s="42">
        <v>191</v>
      </c>
      <c r="H11" s="42">
        <v>62335</v>
      </c>
      <c r="I11" s="42">
        <v>62695</v>
      </c>
      <c r="J11" s="30" t="s">
        <v>183</v>
      </c>
      <c r="K11" s="42">
        <v>63069</v>
      </c>
      <c r="L11" s="131" t="s">
        <v>50</v>
      </c>
      <c r="M11" s="132">
        <f t="shared" si="0"/>
        <v>197.47200000000001</v>
      </c>
      <c r="N11" s="133" t="str">
        <f>VLOOKUP(C11,'Trips&amp;Operators'!$C$1:$G$99911,5,FALSE)</f>
        <v>THOMPSON LESTER</v>
      </c>
      <c r="O11" s="175" t="s">
        <v>178</v>
      </c>
      <c r="P11" s="239" t="s">
        <v>643</v>
      </c>
      <c r="Q11" s="30"/>
      <c r="R11" s="81" t="str">
        <f>VLOOKUP(C11,'Train Runs'!$A$13:$AE$10234,31,0)</f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S11" s="84" t="str">
        <f>VLOOKUP(C11,'Train Runs'!$A$13:$AE$10234,22,0)</f>
        <v>https://d0f6bd738d7f1b3e5a7ca70fe4ff75f0.us-east-1.aws.found.io/app/kibana#/discover/Steve-Slow-Train-Analysis-(2080s-and-2083s)?_g=(refreshInterval:(display:Off,pause:!f,section:0,value:0),time:(from:'2018-01-08T07:27:25-0700',mode:absolute,to:'2018-01-08T10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1" s="86" t="str">
        <f t="shared" si="1"/>
        <v>"C:\Program Files (x86)\AstroGrep\AstroGrep.exe" /e /r /s /spath="%USERPROFILE%\AppData\Local\Temp\OnboardLogs" /stypes="*4060*201801081*"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4060</v>
      </c>
      <c r="V11" s="31">
        <f t="shared" si="3"/>
        <v>43108.655590277776</v>
      </c>
      <c r="W11" s="45" t="str">
        <f t="shared" si="4"/>
        <v>EC</v>
      </c>
      <c r="X11" s="228">
        <f t="shared" si="5"/>
        <v>139</v>
      </c>
      <c r="Y11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Arrival","project_id":79,"tracker_id":40,"status_id":1,"priority_id":2,"assigned_to_id":338,"start_date":"2018-01-08","description":"","custom_fields":[{"id":1,"name":"Subdivision","value":"EC"},{"id":4,"name":"Milepost","value":"6.3069"},{"id":17,"name":"Train ID","value":"139-08"},{"id":16,"name":"Locomotive ID","value":"4060"},{"id":130,"name":"Impact","value":""},{"id":150,"name":"Time of Event (Mountain Time)","value":"08:44:03"},{"id":151,"name":"Denver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/c/Users/stu/AppData/Local/Temp/OnboardLogs/RTDC4060 --include="*4060*201801081*"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"%USERPROFILE%\AppData\Local\Temp\OnboardLogs"\RTDC4060\*4060*201801081* &gt;&gt; 2018-01-08-SliceDisagreementCheck.txt</v>
      </c>
      <c r="AE11" s="144" t="str">
        <f t="shared" si="9"/>
        <v>start /low /b %USERPROFILE%\Documents\GitHub\eaglep3\Utilities\DownloadLogsFromS3.py --loco 4060 --day 2018-01-08</v>
      </c>
      <c r="AF11" s="1"/>
    </row>
    <row r="12" spans="1:32" x14ac:dyDescent="0.3">
      <c r="A12" s="31">
        <v>43108.9296875</v>
      </c>
      <c r="B12" s="30" t="s">
        <v>389</v>
      </c>
      <c r="C12" s="30" t="s">
        <v>640</v>
      </c>
      <c r="D12" s="30" t="s">
        <v>49</v>
      </c>
      <c r="E12" s="30" t="s">
        <v>625</v>
      </c>
      <c r="F12" s="42">
        <v>0</v>
      </c>
      <c r="G12" s="42">
        <v>397</v>
      </c>
      <c r="H12" s="42">
        <v>64980</v>
      </c>
      <c r="I12" s="42">
        <v>64090</v>
      </c>
      <c r="J12" s="30" t="s">
        <v>183</v>
      </c>
      <c r="K12" s="42">
        <v>63309</v>
      </c>
      <c r="L12" s="131" t="s">
        <v>51</v>
      </c>
      <c r="M12" s="132">
        <f t="shared" si="0"/>
        <v>412.36799999999999</v>
      </c>
      <c r="N12" s="133" t="str">
        <f>VLOOKUP(C12,'Trips&amp;Operators'!$C$1:$G$99911,5,FALSE)</f>
        <v>ELBAUM MIKE</v>
      </c>
      <c r="O12" s="175" t="s">
        <v>178</v>
      </c>
      <c r="P12" s="239" t="s">
        <v>643</v>
      </c>
      <c r="Q12" s="30"/>
      <c r="R12" s="81" t="str">
        <f>VLOOKUP(C12,'Train Runs'!$A$13:$AE$10234,31,0)</f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S12" s="84" t="str">
        <f>VLOOKUP(C12,'Train Runs'!$A$13:$AE$10234,22,0)</f>
        <v>https://d0f6bd738d7f1b3e5a7ca70fe4ff75f0.us-east-1.aws.found.io/app/kibana#/discover/Steve-Slow-Train-Analysis-(2080s-and-2083s)?_g=(refreshInterval:(display:Off,pause:!f,section:0,value:0),time:(from:'2018-01-08T20:37:46-0700',mode:absolute,to:'2018-01-08T23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 t="shared" si="1"/>
        <v>"C:\Program Files (x86)\AstroGrep\AstroGrep.exe" /e /r /s /spath="%USERPROFILE%\AppData\Local\Temp\OnboardLogs" /stypes="*4059*201801090*" /stext=" 05:.+((SYSTEM_STATE.+slice.+state.+changed )|(ment ac)|(multiple cpu faults)|(system.+state.+changed )|(\[timeout)|(PRM\|1\|D)|(kpr)|(kdp)|(train st.+moving)|(\|lc)|(penalty))"</v>
      </c>
      <c r="U12" s="9" t="str">
        <f t="shared" si="2"/>
        <v>4059</v>
      </c>
      <c r="V12" s="31">
        <f t="shared" si="3"/>
        <v>43109.221354166664</v>
      </c>
      <c r="W12" s="45" t="str">
        <f t="shared" si="4"/>
        <v>EC</v>
      </c>
      <c r="X12" s="228">
        <f t="shared" si="5"/>
        <v>230</v>
      </c>
      <c r="Y12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Arrival","project_id":79,"tracker_id":40,"status_id":1,"priority_id":2,"assigned_to_id":338,"start_date":"2018-01-08","description":"","custom_fields":[{"id":1,"name":"Subdivision","value":"EC"},{"id":4,"name":"Milepost","value":"6.3309"},{"id":17,"name":"Train ID","value":"230-08"},{"id":16,"name":"Locomotive ID","value":"4059"},{"id":130,"name":"Impact","value":""},{"id":150,"name":"Time of Event (Mountain Time)","value":"22:18:45"},{"id":151,"name":"Denver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/c/Users/stu/AppData/Local/Temp/OnboardLogs/RTDC4059 --include="*4059*201801090*"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"%USERPROFILE%\AppData\Local\Temp\OnboardLogs"\RTDC4059\*4059*201801090* &gt;&gt; 2018-01-08-SliceDisagreementCheck.txt</v>
      </c>
      <c r="AE12" s="144" t="str">
        <f t="shared" si="9"/>
        <v>start /low /b %USERPROFILE%\Documents\GitHub\eaglep3\Utilities\DownloadLogsFromS3.py --loco 4059 --day 2018-01-09</v>
      </c>
      <c r="AF12" s="1"/>
    </row>
    <row r="13" spans="1:32" x14ac:dyDescent="0.3">
      <c r="A13" s="31">
        <v>43108.535439814812</v>
      </c>
      <c r="B13" s="30" t="s">
        <v>361</v>
      </c>
      <c r="C13" s="30" t="s">
        <v>629</v>
      </c>
      <c r="D13" s="30" t="s">
        <v>49</v>
      </c>
      <c r="E13" s="30" t="s">
        <v>625</v>
      </c>
      <c r="F13" s="42">
        <v>140</v>
      </c>
      <c r="G13" s="42">
        <v>194</v>
      </c>
      <c r="H13" s="42">
        <v>63579</v>
      </c>
      <c r="I13" s="42">
        <v>63292</v>
      </c>
      <c r="J13" s="30" t="s">
        <v>183</v>
      </c>
      <c r="K13" s="42">
        <v>63309</v>
      </c>
      <c r="L13" s="131" t="s">
        <v>51</v>
      </c>
      <c r="M13" s="132">
        <f t="shared" si="0"/>
        <v>-8.9760000000000009</v>
      </c>
      <c r="N13" s="133" t="str">
        <f>VLOOKUP(C13,'Trips&amp;Operators'!$C$1:$G$99911,5,FALSE)</f>
        <v>STEWART MICHAEL</v>
      </c>
      <c r="O13" s="175" t="s">
        <v>178</v>
      </c>
      <c r="P13" s="239" t="s">
        <v>643</v>
      </c>
      <c r="Q13" s="30"/>
      <c r="R13" s="81" t="str">
        <f>VLOOKUP(C13,'Train Runs'!$A$13:$AE$10234,31,0)</f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S13" s="84" t="str">
        <f>VLOOKUP(C13,'Train Runs'!$A$13:$AE$10234,22,0)</f>
        <v>https://d0f6bd738d7f1b3e5a7ca70fe4ff75f0.us-east-1.aws.found.io/app/kibana#/discover/Steve-Slow-Train-Analysis-(2080s-and-2083s)?_g=(refreshInterval:(display:Off,pause:!f,section:0,value:0),time:(from:'2018-01-08T11:22:58-0700',mode:absolute,to:'2018-01-08T14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86" t="str">
        <f t="shared" si="1"/>
        <v>"C:\Program Files (x86)\AstroGrep\AstroGrep.exe" /e /r /s /spath="%USERPROFILE%\AppData\Local\Temp\OnboardLogs" /stypes="*4017*201801081*"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4017</v>
      </c>
      <c r="V13" s="31">
        <f t="shared" si="3"/>
        <v>43108.827106481476</v>
      </c>
      <c r="W13" s="45" t="str">
        <f t="shared" si="4"/>
        <v>EC</v>
      </c>
      <c r="X13" s="228">
        <f t="shared" si="5"/>
        <v>164</v>
      </c>
      <c r="Y13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Arrival","project_id":79,"tracker_id":40,"status_id":1,"priority_id":2,"assigned_to_id":338,"start_date":"2018-01-08","description":"","custom_fields":[{"id":1,"name":"Subdivision","value":"EC"},{"id":4,"name":"Milepost","value":"6.3309"},{"id":17,"name":"Train ID","value":"164-08"},{"id":16,"name":"Locomotive ID","value":"4017"},{"id":130,"name":"Impact","value":""},{"id":150,"name":"Time of Event (Mountain Time)","value":"12:51:02"},{"id":151,"name":"Denver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/c/Users/stu/AppData/Local/Temp/OnboardLogs/RTDC4017 --include="*4017*201801081*"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"%USERPROFILE%\AppData\Local\Temp\OnboardLogs"\RTDC4017\*4017*201801081* &gt;&gt; 2018-01-08-SliceDisagreementCheck.txt</v>
      </c>
      <c r="AE13" s="144" t="str">
        <f t="shared" si="9"/>
        <v>start /low /b %USERPROFILE%\Documents\GitHub\eaglep3\Utilities\DownloadLogsFromS3.py --loco 4017 --day 2018-01-08</v>
      </c>
      <c r="AF13" s="1"/>
    </row>
    <row r="14" spans="1:32" x14ac:dyDescent="0.3">
      <c r="A14" s="31">
        <v>43108.378263888888</v>
      </c>
      <c r="B14" s="30" t="s">
        <v>356</v>
      </c>
      <c r="C14" s="30" t="s">
        <v>624</v>
      </c>
      <c r="D14" s="30" t="s">
        <v>49</v>
      </c>
      <c r="E14" s="30" t="s">
        <v>189</v>
      </c>
      <c r="F14" s="42">
        <v>350</v>
      </c>
      <c r="G14" s="42">
        <v>523</v>
      </c>
      <c r="H14" s="42">
        <v>222894</v>
      </c>
      <c r="I14" s="42">
        <v>224338</v>
      </c>
      <c r="J14" s="30" t="s">
        <v>190</v>
      </c>
      <c r="K14" s="42">
        <v>224578</v>
      </c>
      <c r="L14" s="131" t="s">
        <v>50</v>
      </c>
      <c r="M14" s="132">
        <f t="shared" si="0"/>
        <v>126.72</v>
      </c>
      <c r="N14" s="133" t="str">
        <f>VLOOKUP(C14,'Trips&amp;Operators'!$C$1:$G$99911,5,FALSE)</f>
        <v>THOMPSON LESTER</v>
      </c>
      <c r="O14" s="175" t="s">
        <v>178</v>
      </c>
      <c r="P14" s="239"/>
      <c r="Q14" s="30"/>
      <c r="R14" s="81" t="str">
        <f>VLOOKUP(C14,'Train Runs'!$A$13:$AE$10234,31,0)</f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S14" s="84" t="str">
        <f>VLOOKUP(C14,'Train Runs'!$A$13:$AE$10234,22,0)</f>
        <v>https://d0f6bd738d7f1b3e5a7ca70fe4ff75f0.us-east-1.aws.found.io/app/kibana#/discover/Steve-Slow-Train-Analysis-(2080s-and-2083s)?_g=(refreshInterval:(display:Off,pause:!f,section:0,value:0),time:(from:'2018-01-08T07:27:25-0700',mode:absolute,to:'2018-01-08T10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/stypes="*4060*201801081*" /stext=" 16:.+((SYSTEM_STATE.+slice.+state.+changed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43108.669930555552</v>
      </c>
      <c r="W14" s="45" t="str">
        <f t="shared" si="4"/>
        <v>EC</v>
      </c>
      <c r="X14" s="228">
        <f t="shared" si="5"/>
        <v>139</v>
      </c>
      <c r="Y14" s="238" t="str">
        <f t="shared" si="6"/>
        <v>echo {"issue":{"subject":"","project_id":79,"tracker_id":40,"status_id":1,"priority_id":2,"assigned_to_id":338,"start_date":"2018-01-08","description":"","custom_fields":[{"id":1,"name":"Subdivision","value":"EC"},{"id":4,"name":"Milepost","value":"22.4578"},{"id":17,"name":"Train ID","value":"139-08"},{"id":16,"name":"Locomotive ID","value":"4060"},{"id":130,"name":"Impact","value":""},{"id":150,"name":"Time of Event (Mountain Time)","value":"09:04:42"},{"id":151,"name":"Denver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/c/Users/stu/AppData/Local/Temp/OnboardLogs/RTDC4060 --include="*4060*201801081*"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"%USERPROFILE%\AppData\Local\Temp\OnboardLogs"\RTDC4060\*4060*201801081* &gt;&gt; 2018-01-08-SliceDisagreementCheck.txt</v>
      </c>
      <c r="AE14" s="144" t="str">
        <f t="shared" si="9"/>
        <v>start /low /b %USERPROFILE%\Documents\GitHub\eaglep3\Utilities\DownloadLogsFromS3.py --loco 4060 --day 2018-01-08</v>
      </c>
      <c r="AF14" s="1"/>
    </row>
    <row r="15" spans="1:32" x14ac:dyDescent="0.3">
      <c r="A15" s="31">
        <v>43108.80196759259</v>
      </c>
      <c r="B15" s="30" t="s">
        <v>554</v>
      </c>
      <c r="C15" s="30" t="s">
        <v>635</v>
      </c>
      <c r="D15" s="30" t="s">
        <v>95</v>
      </c>
      <c r="E15" s="30" t="s">
        <v>189</v>
      </c>
      <c r="F15" s="42">
        <v>350</v>
      </c>
      <c r="G15" s="42">
        <v>401</v>
      </c>
      <c r="H15" s="42">
        <v>225470</v>
      </c>
      <c r="I15" s="42">
        <v>224447</v>
      </c>
      <c r="J15" s="30" t="s">
        <v>190</v>
      </c>
      <c r="K15" s="42">
        <v>230436</v>
      </c>
      <c r="L15" s="131" t="s">
        <v>51</v>
      </c>
      <c r="M15" s="132">
        <f t="shared" si="0"/>
        <v>-3162.192</v>
      </c>
      <c r="N15" s="133" t="str">
        <f>VLOOKUP(C15,'Trips&amp;Operators'!$C$1:$G$99911,5,FALSE)</f>
        <v>RESPASS AARON</v>
      </c>
      <c r="O15" s="175" t="s">
        <v>178</v>
      </c>
      <c r="P15" s="239"/>
      <c r="Q15" s="30"/>
      <c r="R15" s="81" t="str">
        <f>VLOOKUP(C15,'Train Runs'!$A$13:$AE$10234,31,0)</f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S15" s="84" t="str">
        <f>VLOOKUP(C15,'Train Runs'!$A$13:$AE$10234,22,0)</f>
        <v>https://d0f6bd738d7f1b3e5a7ca70fe4ff75f0.us-east-1.aws.found.io/app/kibana#/discover/Steve-Slow-Train-Analysis-(2080s-and-2083s)?_g=(refreshInterval:(display:Off,pause:!f,section:0,value:0),time:(from:'2018-01-08T17:55:13-0700',mode:absolute,to:'2018-01-08T20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6" t="str">
        <f t="shared" si="1"/>
        <v>"C:\Program Files (x86)\AstroGrep\AstroGrep.exe" /e /r /s /spath="%USERPROFILE%\AppData\Local\Temp\OnboardLogs" /stypes="*4025*201801090*"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4025</v>
      </c>
      <c r="V15" s="31">
        <f t="shared" si="3"/>
        <v>43109.093634259254</v>
      </c>
      <c r="W15" s="45" t="str">
        <f t="shared" si="4"/>
        <v>EC</v>
      </c>
      <c r="X15" s="228">
        <f t="shared" si="5"/>
        <v>218</v>
      </c>
      <c r="Y15" s="238" t="str">
        <f t="shared" si="6"/>
        <v>echo {"issue":{"subject":"","project_id":79,"tracker_id":40,"status_id":1,"priority_id":2,"assigned_to_id":338,"start_date":"2018-01-08","description":"","custom_fields":[{"id":1,"name":"Subdivision","value":"EC"},{"id":4,"name":"Milepost","value":"23.0436"},{"id":17,"name":"Train ID","value":"218-08"},{"id":16,"name":"Locomotive ID","value":"4025"},{"id":130,"name":"Impact","value":""},{"id":150,"name":"Time of Event (Mountain Time)","value":"19:14:50"},{"id":151,"name":"Denver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/c/Users/stu/AppData/Local/Temp/OnboardLogs/RTDC4025 --include="*4025*201801090*"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"%USERPROFILE%\AppData\Local\Temp\OnboardLogs"\RTDC4025\*4025*201801090* &gt;&gt; 2018-01-08-SliceDisagreementCheck.txt</v>
      </c>
      <c r="AE15" s="144" t="str">
        <f t="shared" si="9"/>
        <v>start /low /b %USERPROFILE%\Documents\GitHub\eaglep3\Utilities\DownloadLogsFromS3.py --loco 4025 --day 2018-01-09</v>
      </c>
      <c r="AF15" s="1"/>
    </row>
    <row r="16" spans="1:32" x14ac:dyDescent="0.3">
      <c r="A16" s="31">
        <v>43108.696458333332</v>
      </c>
      <c r="B16" s="30" t="s">
        <v>391</v>
      </c>
      <c r="C16" s="30" t="s">
        <v>632</v>
      </c>
      <c r="D16" s="30" t="s">
        <v>49</v>
      </c>
      <c r="E16" s="30" t="s">
        <v>625</v>
      </c>
      <c r="F16" s="42">
        <v>220</v>
      </c>
      <c r="G16" s="42">
        <v>321</v>
      </c>
      <c r="H16" s="42">
        <v>10007</v>
      </c>
      <c r="I16" s="42">
        <v>10748</v>
      </c>
      <c r="J16" s="30" t="s">
        <v>183</v>
      </c>
      <c r="K16" s="42">
        <v>10716</v>
      </c>
      <c r="L16" s="131" t="s">
        <v>50</v>
      </c>
      <c r="M16" s="132">
        <f t="shared" si="0"/>
        <v>-16.896000000000001</v>
      </c>
      <c r="N16" s="133" t="str">
        <f>VLOOKUP(C16,'Trips&amp;Operators'!$C$1:$G$99911,5,FALSE)</f>
        <v>STAMBAUGH JAMES</v>
      </c>
      <c r="O16" s="175" t="s">
        <v>178</v>
      </c>
      <c r="P16" s="239" t="s">
        <v>643</v>
      </c>
      <c r="Q16" s="30"/>
      <c r="R16" s="81" t="str">
        <f>VLOOKUP(C16,'Train Runs'!$A$13:$AE$10234,31,0)</f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S16" s="84" t="str">
        <f>VLOOKUP(C16,'Train Runs'!$A$13:$AE$10234,22,0)</f>
        <v>https://d0f6bd738d7f1b3e5a7ca70fe4ff75f0.us-east-1.aws.found.io/app/kibana#/discover/Steve-Slow-Train-Analysis-(2080s-and-2083s)?_g=(refreshInterval:(display:Off,pause:!f,section:0,value:0),time:(from:'2018-01-08T15:25:56-0700',mode:absolute,to:'2018-01-08T17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6" s="86" t="str">
        <f t="shared" si="1"/>
        <v>"C:\Program Files (x86)\AstroGrep\AstroGrep.exe" /e /r /s /spath="%USERPROFILE%\AppData\Local\Temp\OnboardLogs" /stypes="*4030*201801082*"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4030</v>
      </c>
      <c r="V16" s="31">
        <f t="shared" si="3"/>
        <v>43108.988124999996</v>
      </c>
      <c r="W16" s="45" t="str">
        <f t="shared" si="4"/>
        <v>NW</v>
      </c>
      <c r="X16" s="228">
        <f t="shared" si="5"/>
        <v>831</v>
      </c>
      <c r="Y16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Arrival","project_id":79,"tracker_id":40,"status_id":1,"priority_id":2,"assigned_to_id":338,"start_date":"2018-01-08","description":"","custom_fields":[{"id":1,"name":"Subdivision","value":"NW"},{"id":4,"name":"Milepost","value":"1.0716"},{"id":17,"name":"Train ID","value":"831-08"},{"id":16,"name":"Locomotive ID","value":"4030"},{"id":130,"name":"Impact","value":""},{"id":150,"name":"Time of Event (Mountain Time)","value":"16:42:54"},{"id":151,"name":"Denver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/c/Users/stu/AppData/Local/Temp/OnboardLogs/RTDC4030 --include="*4030*201801082*"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"%USERPROFILE%\AppData\Local\Temp\OnboardLogs"\RTDC4030\*4030*201801082* &gt;&gt; 2018-01-08-SliceDisagreementCheck.txt</v>
      </c>
      <c r="AE16" s="144" t="str">
        <f t="shared" si="9"/>
        <v>start /low /b %USERPROFILE%\Documents\GitHub\eaglep3\Utilities\DownloadLogsFromS3.py --loco 4030 --day 2018-01-08</v>
      </c>
      <c r="AF16" s="1"/>
    </row>
    <row r="17" spans="1:32" x14ac:dyDescent="0.3">
      <c r="A17" s="31">
        <v>43108.534768518519</v>
      </c>
      <c r="B17" s="30" t="s">
        <v>485</v>
      </c>
      <c r="C17" s="30" t="s">
        <v>628</v>
      </c>
      <c r="D17" s="30" t="s">
        <v>49</v>
      </c>
      <c r="E17" s="30" t="s">
        <v>625</v>
      </c>
      <c r="F17" s="42">
        <v>0</v>
      </c>
      <c r="G17" s="42">
        <v>235</v>
      </c>
      <c r="H17" s="42">
        <v>11024</v>
      </c>
      <c r="I17" s="42">
        <v>10617</v>
      </c>
      <c r="J17" s="30" t="s">
        <v>183</v>
      </c>
      <c r="K17" s="42">
        <v>10988</v>
      </c>
      <c r="L17" s="131" t="s">
        <v>51</v>
      </c>
      <c r="M17" s="132">
        <f t="shared" si="0"/>
        <v>-195.88800000000001</v>
      </c>
      <c r="N17" s="133" t="str">
        <f>VLOOKUP(C17,'Trips&amp;Operators'!$C$1:$G$99911,5,FALSE)</f>
        <v>BIRENBAUM THOMAS</v>
      </c>
      <c r="O17" s="175" t="s">
        <v>178</v>
      </c>
      <c r="P17" s="239" t="s">
        <v>643</v>
      </c>
      <c r="Q17" s="30"/>
      <c r="R17" s="81" t="str">
        <f>VLOOKUP(C17,'Train Runs'!$A$13:$AE$10234,31,0)</f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S17" s="84" t="str">
        <f>VLOOKUP(C17,'Train Runs'!$A$13:$AE$10234,22,0)</f>
        <v>https://d0f6bd738d7f1b3e5a7ca70fe4ff75f0.us-east-1.aws.found.io/app/kibana#/discover/Steve-Slow-Train-Analysis-(2080s-and-2083s)?_g=(refreshInterval:(display:Off,pause:!f,section:0,value:0),time:(from:'2018-01-08T11:23:59-0700',mode:absolute,to:'2018-01-08T13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6" t="str">
        <f t="shared" si="1"/>
        <v>"C:\Program Files (x86)\AstroGrep\AstroGrep.exe" /e /r /s /spath="%USERPROFILE%\AppData\Local\Temp\OnboardLogs" /stypes="*4063*201801081*" /stext=" 19:.+((SYSTEM_STATE.+slice.+state.+changed )|(ment ac)|(multiple cpu faults)|(system.+state.+changed )|(\[timeout)|(PRM\|1\|D)|(kpr)|(kdp)|(train st.+moving)|(\|lc)|(penalty))"</v>
      </c>
      <c r="U17" s="9" t="str">
        <f t="shared" si="2"/>
        <v>4063</v>
      </c>
      <c r="V17" s="31">
        <f t="shared" si="3"/>
        <v>43108.826435185183</v>
      </c>
      <c r="W17" s="45" t="str">
        <f t="shared" si="4"/>
        <v>NW</v>
      </c>
      <c r="X17" s="228">
        <f t="shared" si="5"/>
        <v>820</v>
      </c>
      <c r="Y17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Arrival","project_id":79,"tracker_id":40,"status_id":1,"priority_id":2,"assigned_to_id":338,"start_date":"2018-01-08","description":"","custom_fields":[{"id":1,"name":"Subdivision","value":"NW"},{"id":4,"name":"Milepost","value":"1.0988"},{"id":17,"name":"Train ID","value":"820-08"},{"id":16,"name":"Locomotive ID","value":"4063"},{"id":130,"name":"Impact","value":""},{"id":150,"name":"Time of Event (Mountain Time)","value":"12:50:04"},{"id":151,"name":"Denver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/c/Users/stu/AppData/Local/Temp/OnboardLogs/RTDC4063 --include="*4063*201801081*"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"%USERPROFILE%\AppData\Local\Temp\OnboardLogs"\RTDC4063\*4063*201801081* &gt;&gt; 2018-01-08-SliceDisagreementCheck.txt</v>
      </c>
      <c r="AE17" s="144" t="str">
        <f t="shared" si="9"/>
        <v>start /low /b %USERPROFILE%\Documents\GitHub\eaglep3\Utilities\DownloadLogsFromS3.py --loco 4063 --day 2018-01-08</v>
      </c>
      <c r="AF17" s="1"/>
    </row>
    <row r="18" spans="1:32" x14ac:dyDescent="0.3">
      <c r="A18" s="31">
        <v>43108.615995370368</v>
      </c>
      <c r="B18" s="30" t="s">
        <v>485</v>
      </c>
      <c r="C18" s="30" t="s">
        <v>630</v>
      </c>
      <c r="D18" s="30" t="s">
        <v>95</v>
      </c>
      <c r="E18" s="30" t="s">
        <v>189</v>
      </c>
      <c r="F18" s="42">
        <v>400</v>
      </c>
      <c r="G18" s="42">
        <v>450</v>
      </c>
      <c r="H18" s="42">
        <v>38864</v>
      </c>
      <c r="I18" s="42">
        <v>37505</v>
      </c>
      <c r="J18" s="30" t="s">
        <v>190</v>
      </c>
      <c r="K18" s="42">
        <v>40977</v>
      </c>
      <c r="L18" s="131" t="s">
        <v>51</v>
      </c>
      <c r="M18" s="132">
        <f t="shared" si="0"/>
        <v>-1833.2159999999999</v>
      </c>
      <c r="N18" s="133" t="str">
        <f>VLOOKUP(C18,'Trips&amp;Operators'!$C$1:$G$99911,5,FALSE)</f>
        <v>LEVIN SCOTT</v>
      </c>
      <c r="O18" s="175" t="s">
        <v>178</v>
      </c>
      <c r="P18" s="239"/>
      <c r="Q18" s="30"/>
      <c r="R18" s="81" t="str">
        <f>VLOOKUP(C18,'Train Runs'!$A$13:$AE$10234,31,0)</f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S18" s="84" t="str">
        <f>VLOOKUP(C18,'Train Runs'!$A$13:$AE$10234,22,0)</f>
        <v>https://d0f6bd738d7f1b3e5a7ca70fe4ff75f0.us-east-1.aws.found.io/app/kibana#/discover/Steve-Slow-Train-Analysis-(2080s-and-2083s)?_g=(refreshInterval:(display:Off,pause:!f,section:0,value:0),time:(from:'2018-01-08T13:24:59-0700',mode:absolute,to:'2018-01-08T15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 t="shared" si="1"/>
        <v>"C:\Program Files (x86)\AstroGrep\AstroGrep.exe" /e /r /s /spath="%USERPROFILE%\AppData\Local\Temp\OnboardLogs" /stypes="*4063*201801082*" /stext=" 21:.+((SYSTEM_STATE.+slice.+state.+changed )|(ment ac)|(multiple cpu faults)|(system.+state.+changed )|(\[timeout)|(PRM\|1\|D)|(kpr)|(kdp)|(train st.+moving)|(\|lc)|(penalty))"</v>
      </c>
      <c r="U18" s="9" t="str">
        <f t="shared" si="2"/>
        <v>4063</v>
      </c>
      <c r="V18" s="31">
        <f t="shared" si="3"/>
        <v>43108.907662037032</v>
      </c>
      <c r="W18" s="45" t="str">
        <f t="shared" si="4"/>
        <v>NW</v>
      </c>
      <c r="X18" s="228">
        <f t="shared" si="5"/>
        <v>824</v>
      </c>
      <c r="Y18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{"issue":{"subject":"","project_id":79,"tracker_id":40,"status_id":1,"priority_id":2,"assigned_to_id":338,"start_date":"2018-01-08","description":"","custom_fields":[{"id":1,"name":"Subdivision","value":"NW"},{"id":4,"name":"Milepost","value":"4.0977"},{"id":17,"name":"Train ID","value":"824-08"},{"id":16,"name":"Locomotive ID","value":"4063"},{"id":130,"name":"Impact","value":""},{"id":150,"name":"Time of Event (Mountain Time)","value":"14:47:02"},{"id":151,"name":"Denver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/c/Users/stu/AppData/Local/Temp/OnboardLogs/RTDC4063 --include="*4063*201801082*"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"%USERPROFILE%\AppData\Local\Temp\OnboardLogs"\RTDC4063\*4063*201801082* &gt;&gt; 2018-01-08-SliceDisagreementCheck.txt</v>
      </c>
      <c r="AE18" s="144" t="str">
        <f t="shared" si="9"/>
        <v>start /low /b %USERPROFILE%\Documents\GitHub\eaglep3\Utilities\DownloadLogsFromS3.py --loco 4063 --day 2018-01-08</v>
      </c>
      <c r="AF18" s="1"/>
    </row>
    <row r="19" spans="1:32" x14ac:dyDescent="0.3">
      <c r="A19" s="31">
        <v>43108.970601851855</v>
      </c>
      <c r="B19" s="30" t="s">
        <v>476</v>
      </c>
      <c r="C19" s="30" t="s">
        <v>641</v>
      </c>
      <c r="D19" s="30" t="s">
        <v>95</v>
      </c>
      <c r="E19" s="30" t="s">
        <v>189</v>
      </c>
      <c r="F19" s="42">
        <v>400</v>
      </c>
      <c r="G19" s="42">
        <v>450</v>
      </c>
      <c r="H19" s="42">
        <v>43506</v>
      </c>
      <c r="I19" s="42">
        <v>45006</v>
      </c>
      <c r="J19" s="30" t="s">
        <v>190</v>
      </c>
      <c r="K19" s="42">
        <v>41797</v>
      </c>
      <c r="L19" s="131" t="s">
        <v>50</v>
      </c>
      <c r="M19" s="132">
        <f t="shared" si="0"/>
        <v>-1694.3520000000001</v>
      </c>
      <c r="N19" s="133" t="str">
        <f>VLOOKUP(C19,'Trips&amp;Operators'!$C$1:$G$99911,5,FALSE)</f>
        <v>STAMBAUGH JAMES</v>
      </c>
      <c r="O19" s="175" t="s">
        <v>178</v>
      </c>
      <c r="P19" s="239"/>
      <c r="Q19" s="30"/>
      <c r="R19" s="81" t="str">
        <f>VLOOKUP(C19,'Train Runs'!$A$13:$AE$10234,31,0)</f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S19" s="84" t="str">
        <f>VLOOKUP(C19,'Train Runs'!$A$13:$AE$10234,22,0)</f>
        <v>https://d0f6bd738d7f1b3e5a7ca70fe4ff75f0.us-east-1.aws.found.io/app/kibana#/discover/Steve-Slow-Train-Analysis-(2080s-and-2083s)?_g=(refreshInterval:(display:Off,pause:!f,section:0,value:0),time:(from:'2018-01-08T21:56:45-0700',mode:absolute,to:'2018-01-09T00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9" s="86" t="str">
        <f t="shared" si="1"/>
        <v>"C:\Program Files (x86)\AstroGrep\AstroGrep.exe" /e /r /s /spath="%USERPROFILE%\AppData\Local\Temp\OnboardLogs" /stypes="*4064*201801090*" /stext=" 06:.+((SYSTEM_STATE.+slice.+state.+changed )|(ment ac)|(multiple cpu faults)|(system.+state.+changed )|(\[timeout)|(PRM\|1\|D)|(kpr)|(kdp)|(train st.+moving)|(\|lc)|(penalty))"</v>
      </c>
      <c r="U19" s="9" t="str">
        <f t="shared" si="2"/>
        <v>4064</v>
      </c>
      <c r="V19" s="31">
        <f t="shared" si="3"/>
        <v>43109.26226851852</v>
      </c>
      <c r="W19" s="45" t="str">
        <f t="shared" si="4"/>
        <v>NW</v>
      </c>
      <c r="X19" s="228">
        <f t="shared" si="5"/>
        <v>849</v>
      </c>
      <c r="Y19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{"issue":{"subject":"","project_id":79,"tracker_id":40,"status_id":1,"priority_id":2,"assigned_to_id":338,"start_date":"2018-01-08","description":"","custom_fields":[{"id":1,"name":"Subdivision","value":"NW"},{"id":4,"name":"Milepost","value":"4.1797"},{"id":17,"name":"Train ID","value":"849-08"},{"id":16,"name":"Locomotive ID","value":"4064"},{"id":130,"name":"Impact","value":""},{"id":150,"name":"Time of Event (Mountain Time)","value":"23:17:40"},{"id":151,"name":"Denver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/c/Users/stu/AppData/Local/Temp/OnboardLogs/RTDC4064 --include="*4064*201801090*"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"%USERPROFILE%\AppData\Local\Temp\OnboardLogs"\RTDC4064\*4064*201801090* &gt;&gt; 2018-01-08-SliceDisagreementCheck.txt</v>
      </c>
      <c r="AE19" s="144" t="str">
        <f t="shared" si="9"/>
        <v>start /low /b %USERPROFILE%\Documents\GitHub\eaglep3\Utilities\DownloadLogsFromS3.py --loco 4064 --day 2018-01-09</v>
      </c>
      <c r="AF19" s="1"/>
    </row>
    <row r="20" spans="1:32" x14ac:dyDescent="0.3">
      <c r="A20" s="31">
        <v>43108.242118055554</v>
      </c>
      <c r="B20" s="30" t="s">
        <v>391</v>
      </c>
      <c r="C20" s="30" t="s">
        <v>620</v>
      </c>
      <c r="D20" s="30" t="s">
        <v>49</v>
      </c>
      <c r="E20" s="30" t="s">
        <v>189</v>
      </c>
      <c r="F20" s="42">
        <v>400</v>
      </c>
      <c r="G20" s="42">
        <v>464</v>
      </c>
      <c r="H20" s="42">
        <v>46179</v>
      </c>
      <c r="I20" s="42">
        <v>47594</v>
      </c>
      <c r="J20" s="30" t="s">
        <v>190</v>
      </c>
      <c r="K20" s="42">
        <v>47810</v>
      </c>
      <c r="L20" s="131" t="s">
        <v>50</v>
      </c>
      <c r="M20" s="132">
        <f t="shared" si="0"/>
        <v>114.048</v>
      </c>
      <c r="N20" s="133" t="str">
        <f>VLOOKUP(C20,'Trips&amp;Operators'!$C$1:$G$99911,5,FALSE)</f>
        <v>MACDONALD THOMAS</v>
      </c>
      <c r="O20" s="175" t="s">
        <v>178</v>
      </c>
      <c r="P20" s="239"/>
      <c r="Q20" s="30"/>
      <c r="R20" s="81" t="str">
        <f>VLOOKUP(C20,'Train Runs'!$A$13:$AE$10234,31,0)</f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S20" s="84" t="str">
        <f>VLOOKUP(C20,'Train Runs'!$A$13:$AE$10234,22,0)</f>
        <v>https://d0f6bd738d7f1b3e5a7ca70fe4ff75f0.us-east-1.aws.found.io/app/kibana#/discover/Steve-Slow-Train-Analysis-(2080s-and-2083s)?_g=(refreshInterval:(display:Off,pause:!f,section:0,value:0),time:(from:'2018-01-08T04:36:56-0700',mode:absolute,to:'2018-01-08T06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0" s="86" t="str">
        <f t="shared" si="1"/>
        <v>"C:\Program Files (x86)\AstroGrep\AstroGrep.exe" /e /r /s /spath="%USERPROFILE%\AppData\Local\Temp\OnboardLogs" /stypes="*4030*201801081*"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4030</v>
      </c>
      <c r="V20" s="31">
        <f t="shared" si="3"/>
        <v>43108.533784722218</v>
      </c>
      <c r="W20" s="45" t="str">
        <f t="shared" si="4"/>
        <v>NW</v>
      </c>
      <c r="X20" s="228">
        <f t="shared" si="5"/>
        <v>801</v>
      </c>
      <c r="Y20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{"issue":{"subject":"","project_id":79,"tracker_id":40,"status_id":1,"priority_id":2,"assigned_to_id":338,"start_date":"2018-01-08","description":"","custom_fields":[{"id":1,"name":"Subdivision","value":"NW"},{"id":4,"name":"Milepost","value":"4.781"},{"id":17,"name":"Train ID","value":"801-08"},{"id":16,"name":"Locomotive ID","value":"4030"},{"id":130,"name":"Impact","value":""},{"id":150,"name":"Time of Event (Mountain Time)","value":"05:48:39"},{"id":151,"name":"Denver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/c/Users/stu/AppData/Local/Temp/OnboardLogs/RTDC4030 --include="*4030*201801081*"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"%USERPROFILE%\AppData\Local\Temp\OnboardLogs"\RTDC4030\*4030*201801081* &gt;&gt; 2018-01-08-SliceDisagreementCheck.txt</v>
      </c>
      <c r="AE20" s="144" t="str">
        <f t="shared" si="9"/>
        <v>start /low /b %USERPROFILE%\Documents\GitHub\eaglep3\Utilities\DownloadLogsFromS3.py --loco 4030 --day 2018-01-08</v>
      </c>
      <c r="AF20" s="1"/>
    </row>
    <row r="21" spans="1:32" x14ac:dyDescent="0.3">
      <c r="A21" s="31">
        <v>43108.305300925924</v>
      </c>
      <c r="B21" s="30" t="s">
        <v>476</v>
      </c>
      <c r="C21" s="30" t="s">
        <v>621</v>
      </c>
      <c r="D21" s="30" t="s">
        <v>49</v>
      </c>
      <c r="E21" s="30" t="s">
        <v>189</v>
      </c>
      <c r="F21" s="42">
        <v>400</v>
      </c>
      <c r="G21" s="42">
        <v>511</v>
      </c>
      <c r="H21" s="42">
        <v>45327</v>
      </c>
      <c r="I21" s="42">
        <v>47067</v>
      </c>
      <c r="J21" s="30" t="s">
        <v>190</v>
      </c>
      <c r="K21" s="42">
        <v>47810</v>
      </c>
      <c r="L21" s="131" t="s">
        <v>50</v>
      </c>
      <c r="M21" s="132">
        <f t="shared" si="0"/>
        <v>392.30399999999997</v>
      </c>
      <c r="N21" s="133" t="str">
        <f>VLOOKUP(C21,'Trips&amp;Operators'!$C$1:$G$99911,5,FALSE)</f>
        <v>BIRENBAUM THOMAS</v>
      </c>
      <c r="O21" s="175" t="s">
        <v>178</v>
      </c>
      <c r="P21" s="239"/>
      <c r="Q21" s="30"/>
      <c r="R21" s="81" t="str">
        <f>VLOOKUP(C21,'Train Runs'!$A$13:$AE$10234,31,0)</f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S21" s="84" t="str">
        <f>VLOOKUP(C21,'Train Runs'!$A$13:$AE$10234,22,0)</f>
        <v>https://d0f6bd738d7f1b3e5a7ca70fe4ff75f0.us-east-1.aws.found.io/app/kibana#/discover/Steve-Slow-Train-Analysis-(2080s-and-2083s)?_g=(refreshInterval:(display:Off,pause:!f,section:0,value:0),time:(from:'2018-01-08T05:55:53-0700',mode:absolute,to:'2018-01-08T08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 t="shared" si="1"/>
        <v>"C:\Program Files (x86)\AstroGrep\AstroGrep.exe" /e /r /s /spath="%USERPROFILE%\AppData\Local\Temp\OnboardLogs" /stypes="*4064*201801081*" /stext=" 14:.+((SYSTEM_STATE.+slice.+state.+changed )|(ment ac)|(multiple cpu faults)|(system.+state.+changed )|(\[timeout)|(PRM\|1\|D)|(kpr)|(kdp)|(train st.+moving)|(\|lc)|(penalty))"</v>
      </c>
      <c r="U21" s="9" t="str">
        <f t="shared" si="2"/>
        <v>4064</v>
      </c>
      <c r="V21" s="31">
        <f t="shared" si="3"/>
        <v>43108.596967592588</v>
      </c>
      <c r="W21" s="45" t="str">
        <f t="shared" si="4"/>
        <v>NW</v>
      </c>
      <c r="X21" s="228">
        <f t="shared" si="5"/>
        <v>807</v>
      </c>
      <c r="Y21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{"issue":{"subject":"","project_id":79,"tracker_id":40,"status_id":1,"priority_id":2,"assigned_to_id":338,"start_date":"2018-01-08","description":"","custom_fields":[{"id":1,"name":"Subdivision","value":"NW"},{"id":4,"name":"Milepost","value":"4.781"},{"id":17,"name":"Train ID","value":"807-08"},{"id":16,"name":"Locomotive ID","value":"4064"},{"id":130,"name":"Impact","value":""},{"id":150,"name":"Time of Event (Mountain Time)","value":"07:19:38"},{"id":151,"name":"Denver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/c/Users/stu/AppData/Local/Temp/OnboardLogs/RTDC4064 --include="*4064*201801081*"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"%USERPROFILE%\AppData\Local\Temp\OnboardLogs"\RTDC4064\*4064*201801081* &gt;&gt; 2018-01-08-SliceDisagreementCheck.txt</v>
      </c>
      <c r="AE21" s="144" t="str">
        <f t="shared" si="9"/>
        <v>start /low /b %USERPROFILE%\Documents\GitHub\eaglep3\Utilities\DownloadLogsFromS3.py --loco 4064 --day 2018-01-08</v>
      </c>
      <c r="AF21" s="1"/>
    </row>
    <row r="22" spans="1:32" x14ac:dyDescent="0.3">
      <c r="A22" s="31">
        <v>43108.828692129631</v>
      </c>
      <c r="B22" s="30" t="s">
        <v>485</v>
      </c>
      <c r="C22" s="30" t="s">
        <v>638</v>
      </c>
      <c r="D22" s="30" t="s">
        <v>49</v>
      </c>
      <c r="E22" s="30" t="s">
        <v>353</v>
      </c>
      <c r="F22" s="42">
        <v>0</v>
      </c>
      <c r="G22" s="42">
        <v>95</v>
      </c>
      <c r="H22" s="42">
        <v>4836</v>
      </c>
      <c r="I22" s="42">
        <v>4694</v>
      </c>
      <c r="J22" s="30" t="s">
        <v>354</v>
      </c>
      <c r="K22" s="42">
        <v>4798</v>
      </c>
      <c r="L22" s="131" t="s">
        <v>51</v>
      </c>
      <c r="M22" s="132">
        <f t="shared" si="0"/>
        <v>-54.911999999999999</v>
      </c>
      <c r="N22" s="133" t="str">
        <f>VLOOKUP(C22,'Trips&amp;Operators'!$C$1:$G$99911,5,FALSE)</f>
        <v>LEVIN SCOTT</v>
      </c>
      <c r="O22" s="175" t="s">
        <v>347</v>
      </c>
      <c r="P22" s="239" t="s">
        <v>553</v>
      </c>
      <c r="Q22" s="30"/>
      <c r="R22" s="81" t="str">
        <f>VLOOKUP(C22,'Train Runs'!$A$13:$AE$10234,31,0)</f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S22" s="84" t="str">
        <f>VLOOKUP(C22,'Train Runs'!$A$13:$AE$10234,22,0)</f>
        <v>https://d0f6bd738d7f1b3e5a7ca70fe4ff75f0.us-east-1.aws.found.io/app/kibana#/discover/Steve-Slow-Train-Analysis-(2080s-and-2083s)?_g=(refreshInterval:(display:Off,pause:!f,section:0,value:0),time:(from:'2018-01-08T18:25:19-0700',mode:absolute,to:'2018-01-08T20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 t="shared" si="1"/>
        <v>"C:\Program Files (x86)\AstroGrep\AstroGrep.exe" /e /r /s /spath="%USERPROFILE%\AppData\Local\Temp\OnboardLogs" /stypes="*4063*201801090*" /stext=" 02:.+((SYSTEM_STATE.+slice.+state.+changed )|(ment ac)|(multiple cpu faults)|(system.+state.+changed )|(\[timeout)|(PRM\|1\|D)|(kpr)|(kdp)|(train st.+moving)|(\|lc)|(penalty))"</v>
      </c>
      <c r="U22" s="9" t="str">
        <f t="shared" si="2"/>
        <v>4063</v>
      </c>
      <c r="V22" s="31">
        <f t="shared" si="3"/>
        <v>43109.120358796295</v>
      </c>
      <c r="W22" s="45" t="str">
        <f t="shared" si="4"/>
        <v>NW</v>
      </c>
      <c r="X22" s="228">
        <f t="shared" si="5"/>
        <v>840</v>
      </c>
      <c r="Y22" s="238" t="str">
        <f t="shared" si="6"/>
        <v>echo {"issue":{"subject":"Poor GPS under Wewatta St. overpass","project_id":79,"tracker_id":40,"status_id":1,"priority_id":2,"assigned_to_id":338,"start_date":"2018-01-08","description":"","custom_fields":[{"id":1,"name":"Subdivision","value":"NW"},{"id":4,"name":"Milepost","value":"0.4798"},{"id":17,"name":"Train ID","value":"840-08"},{"id":16,"name":"Locomotive ID","value":"4063"},{"id":130,"name":"Impact","value":""},{"id":150,"name":"Time of Event (Mountain Time)","value":"19:53:19"},{"id":151,"name":"Denver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/c/Users/stu/AppData/Local/Temp/OnboardLogs/RTDC4063 --include="*4063*201801090*"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"%USERPROFILE%\AppData\Local\Temp\OnboardLogs"\RTDC4063\*4063*201801090* &gt;&gt; 2018-01-08-SliceDisagreementCheck.txt</v>
      </c>
      <c r="AE22" s="144" t="str">
        <f t="shared" si="9"/>
        <v>start /low /b %USERPROFILE%\Documents\GitHub\eaglep3\Utilities\DownloadLogsFromS3.py --loco 4063 --day 2018-01-09</v>
      </c>
      <c r="AF22" s="1"/>
    </row>
    <row r="23" spans="1:32" x14ac:dyDescent="0.3">
      <c r="A23" s="31">
        <v>43108.741516203707</v>
      </c>
      <c r="B23" s="30" t="s">
        <v>391</v>
      </c>
      <c r="C23" s="30" t="s">
        <v>633</v>
      </c>
      <c r="D23" s="30" t="s">
        <v>49</v>
      </c>
      <c r="E23" s="30" t="s">
        <v>353</v>
      </c>
      <c r="F23" s="42">
        <v>0</v>
      </c>
      <c r="G23" s="42">
        <v>271</v>
      </c>
      <c r="H23" s="42">
        <v>33003</v>
      </c>
      <c r="I23" s="42">
        <v>36017</v>
      </c>
      <c r="J23" s="30" t="s">
        <v>354</v>
      </c>
      <c r="K23" s="42">
        <v>34583</v>
      </c>
      <c r="L23" s="131" t="s">
        <v>50</v>
      </c>
      <c r="M23" s="132">
        <f t="shared" si="0"/>
        <v>-757.15200000000004</v>
      </c>
      <c r="N23" s="133" t="str">
        <f>VLOOKUP(C23,'Trips&amp;Operators'!$C$1:$G$99911,5,FALSE)</f>
        <v>STAMBAUGH JAMES</v>
      </c>
      <c r="O23" s="175" t="s">
        <v>178</v>
      </c>
      <c r="P23" s="239" t="s">
        <v>1088</v>
      </c>
      <c r="Q23" s="30"/>
      <c r="R23" s="81" t="str">
        <f>VLOOKUP(C23,'Train Runs'!$A$13:$AE$10234,31,0)</f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S23" s="84" t="str">
        <f>VLOOKUP(C23,'Train Runs'!$A$13:$AE$10234,22,0)</f>
        <v>https://d0f6bd738d7f1b3e5a7ca70fe4ff75f0.us-east-1.aws.found.io/app/kibana#/discover/Steve-Slow-Train-Analysis-(2080s-and-2083s)?_g=(refreshInterval:(display:Off,pause:!f,section:0,value:0),time:(from:'2018-01-08T16:26:25-0700',mode:absolute,to:'2018-01-08T18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 t="shared" si="1"/>
        <v>"C:\Program Files (x86)\AstroGrep\AstroGrep.exe" /e /r /s /spath="%USERPROFILE%\AppData\Local\Temp\OnboardLogs" /stypes="*4030*201801090*"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4030</v>
      </c>
      <c r="V23" s="31">
        <f t="shared" si="3"/>
        <v>43109.033182870371</v>
      </c>
      <c r="W23" s="45" t="str">
        <f t="shared" si="4"/>
        <v>NW</v>
      </c>
      <c r="X23" s="228">
        <f t="shared" si="5"/>
        <v>835</v>
      </c>
      <c r="Y23" s="238" t="str">
        <f t="shared" si="6"/>
        <v>echo {"issue":{"subject":"Restricted aspect due to Pecos 4N","project_id":79,"tracker_id":40,"status_id":1,"priority_id":2,"assigned_to_id":338,"start_date":"2018-01-08","description":"","custom_fields":[{"id":1,"name":"Subdivision","value":"NW"},{"id":4,"name":"Milepost","value":"3.4583"},{"id":17,"name":"Train ID","value":"835-08"},{"id":16,"name":"Locomotive ID","value":"4030"},{"id":130,"name":"Impact","value":""},{"id":150,"name":"Time of Event (Mountain Time)","value":"17:47:47"},{"id":151,"name":"Denver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/c/Users/stu/AppData/Local/Temp/OnboardLogs/RTDC4030 --include="*4030*201801090*"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"%USERPROFILE%\AppData\Local\Temp\OnboardLogs"\RTDC4030\*4030*201801090* &gt;&gt; 2018-01-08-SliceDisagreementCheck.txt</v>
      </c>
      <c r="AE23" s="144" t="str">
        <f t="shared" si="9"/>
        <v>start /low /b %USERPROFILE%\Documents\GitHub\eaglep3\Utilities\DownloadLogsFromS3.py --loco 4030 --day 2018-01-09</v>
      </c>
      <c r="AF23" s="1"/>
    </row>
    <row r="24" spans="1:32" x14ac:dyDescent="0.3">
      <c r="A24" s="31">
        <v>43108.736805555556</v>
      </c>
      <c r="B24" s="30" t="s">
        <v>391</v>
      </c>
      <c r="C24" s="30" t="s">
        <v>633</v>
      </c>
      <c r="D24" s="30" t="s">
        <v>49</v>
      </c>
      <c r="E24" s="30" t="s">
        <v>558</v>
      </c>
      <c r="F24" s="42">
        <v>100</v>
      </c>
      <c r="G24" s="42">
        <v>161</v>
      </c>
      <c r="H24" s="42">
        <v>3437</v>
      </c>
      <c r="I24" s="42">
        <v>3722</v>
      </c>
      <c r="J24" s="30" t="s">
        <v>183</v>
      </c>
      <c r="K24" s="42">
        <v>3900</v>
      </c>
      <c r="L24" s="131" t="s">
        <v>50</v>
      </c>
      <c r="M24" s="132">
        <f t="shared" si="0"/>
        <v>93.983999999999995</v>
      </c>
      <c r="N24" s="133" t="str">
        <f>VLOOKUP(C24,'Trips&amp;Operators'!$C$1:$G$99911,5,FALSE)</f>
        <v>STAMBAUGH JAMES</v>
      </c>
      <c r="O24" s="175" t="s">
        <v>178</v>
      </c>
      <c r="P24" s="239"/>
      <c r="Q24" s="30"/>
      <c r="R24" s="81" t="str">
        <f>VLOOKUP(C24,'Train Runs'!$A$13:$AE$10234,31,0)</f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S24" s="84" t="str">
        <f>VLOOKUP(C24,'Train Runs'!$A$13:$AE$10234,22,0)</f>
        <v>https://d0f6bd738d7f1b3e5a7ca70fe4ff75f0.us-east-1.aws.found.io/app/kibana#/discover/Steve-Slow-Train-Analysis-(2080s-and-2083s)?_g=(refreshInterval:(display:Off,pause:!f,section:0,value:0),time:(from:'2018-01-08T16:26:25-0700',mode:absolute,to:'2018-01-08T18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6" t="str">
        <f t="shared" si="1"/>
        <v>"C:\Program Files (x86)\AstroGrep\AstroGrep.exe" /e /r /s /spath="%USERPROFILE%\AppData\Local\Temp\OnboardLogs" /stypes="*4030*201801090*"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4030</v>
      </c>
      <c r="V24" s="31">
        <f t="shared" si="3"/>
        <v>43109.02847222222</v>
      </c>
      <c r="W24" s="45" t="str">
        <f t="shared" si="4"/>
        <v>NW</v>
      </c>
      <c r="X24" s="228">
        <f t="shared" si="5"/>
        <v>835</v>
      </c>
      <c r="Y24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{"issue":{"subject":"","project_id":79,"tracker_id":40,"status_id":1,"priority_id":2,"assigned_to_id":338,"start_date":"2018-01-08","description":"","custom_fields":[{"id":1,"name":"Subdivision","value":"NW"},{"id":4,"name":"Milepost","value":"0.39"},{"id":17,"name":"Train ID","value":"835-08"},{"id":16,"name":"Locomotive ID","value":"4030"},{"id":130,"name":"Impact","value":""},{"id":150,"name":"Time of Event (Mountain Time)","value":"17:41:00"},{"id":151,"name":"Denver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/c/Users/stu/AppData/Local/Temp/OnboardLogs/RTDC4030 --include="*4030*201801090*"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"%USERPROFILE%\AppData\Local\Temp\OnboardLogs"\RTDC4030\*4030*201801090* &gt;&gt; 2018-01-08-SliceDisagreementCheck.txt</v>
      </c>
      <c r="AE24" s="144" t="str">
        <f t="shared" si="9"/>
        <v>start /low /b %USERPROFILE%\Documents\GitHub\eaglep3\Utilities\DownloadLogsFromS3.py --loco 4030 --day 2018-01-09</v>
      </c>
      <c r="AF24" s="1"/>
    </row>
    <row r="25" spans="1:32" x14ac:dyDescent="0.3">
      <c r="A25" s="31">
        <v>43108.97378472222</v>
      </c>
      <c r="B25" s="30" t="s">
        <v>476</v>
      </c>
      <c r="C25" s="30" t="s">
        <v>641</v>
      </c>
      <c r="D25" s="30" t="s">
        <v>49</v>
      </c>
      <c r="E25" s="30" t="s">
        <v>555</v>
      </c>
      <c r="F25" s="42">
        <v>0</v>
      </c>
      <c r="G25" s="42">
        <v>123</v>
      </c>
      <c r="H25" s="42">
        <v>58556</v>
      </c>
      <c r="I25" s="42">
        <v>58712</v>
      </c>
      <c r="J25" s="30" t="s">
        <v>556</v>
      </c>
      <c r="K25" s="42">
        <v>59058</v>
      </c>
      <c r="L25" s="131" t="s">
        <v>50</v>
      </c>
      <c r="M25" s="132">
        <f t="shared" si="0"/>
        <v>182.68799999999999</v>
      </c>
      <c r="N25" s="133" t="str">
        <f>VLOOKUP(C25,'Trips&amp;Operators'!$C$1:$G$99911,5,FALSE)</f>
        <v>STAMBAUGH JAMES</v>
      </c>
      <c r="O25" s="175" t="s">
        <v>178</v>
      </c>
      <c r="P25" s="239"/>
      <c r="Q25" s="30"/>
      <c r="R25" s="81" t="str">
        <f>VLOOKUP(C25,'Train Runs'!$A$13:$AE$10234,31,0)</f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S25" s="84" t="str">
        <f>VLOOKUP(C25,'Train Runs'!$A$13:$AE$10234,22,0)</f>
        <v>https://d0f6bd738d7f1b3e5a7ca70fe4ff75f0.us-east-1.aws.found.io/app/kibana#/discover/Steve-Slow-Train-Analysis-(2080s-and-2083s)?_g=(refreshInterval:(display:Off,pause:!f,section:0,value:0),time:(from:'2018-01-08T21:56:45-0700',mode:absolute,to:'2018-01-09T00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5" s="86" t="str">
        <f t="shared" si="1"/>
        <v>"C:\Program Files (x86)\AstroGrep\AstroGrep.exe" /e /r /s /spath="%USERPROFILE%\AppData\Local\Temp\OnboardLogs" /stypes="*4064*201801090*" /stext=" 06:.+((SYSTEM_STATE.+slice.+state.+changed )|(ment ac)|(multiple cpu faults)|(system.+state.+changed )|(\[timeout)|(PRM\|1\|D)|(kpr)|(kdp)|(train st.+moving)|(\|lc)|(penalty))"</v>
      </c>
      <c r="U25" s="9" t="str">
        <f t="shared" si="2"/>
        <v>4064</v>
      </c>
      <c r="V25" s="31">
        <f t="shared" si="3"/>
        <v>43109.265451388885</v>
      </c>
      <c r="W25" s="45" t="str">
        <f t="shared" si="4"/>
        <v>NW</v>
      </c>
      <c r="X25" s="228">
        <f t="shared" si="5"/>
        <v>849</v>
      </c>
      <c r="Y25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{"issue":{"subject":"","project_id":79,"tracker_id":40,"status_id":1,"priority_id":2,"assigned_to_id":338,"start_date":"2018-01-08","description":"","custom_fields":[{"id":1,"name":"Subdivision","value":"NW"},{"id":4,"name":"Milepost","value":"5.9058"},{"id":17,"name":"Train ID","value":"849-08"},{"id":16,"name":"Locomotive ID","value":"4064"},{"id":130,"name":"Impact","value":""},{"id":150,"name":"Time of Event (Mountain Time)","value":"23:22:15"},{"id":151,"name":"Denver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/c/Users/stu/AppData/Local/Temp/OnboardLogs/RTDC4064 --include="*4064*201801090*"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"%USERPROFILE%\AppData\Local\Temp\OnboardLogs"\RTDC4064\*4064*201801090* &gt;&gt; 2018-01-08-SliceDisagreementCheck.txt</v>
      </c>
      <c r="AE25" s="144" t="str">
        <f t="shared" si="9"/>
        <v>start /low /b %USERPROFILE%\Documents\GitHub\eaglep3\Utilities\DownloadLogsFromS3.py --loco 4064 --day 2018-01-09</v>
      </c>
      <c r="AF25" s="1"/>
    </row>
    <row r="26" spans="1:32" x14ac:dyDescent="0.3">
      <c r="A26" s="31">
        <v>43108.97693287037</v>
      </c>
      <c r="B26" s="30" t="s">
        <v>485</v>
      </c>
      <c r="C26" s="30" t="s">
        <v>642</v>
      </c>
      <c r="D26" s="30" t="s">
        <v>95</v>
      </c>
      <c r="E26" s="30" t="s">
        <v>189</v>
      </c>
      <c r="F26" s="42">
        <v>150</v>
      </c>
      <c r="G26" s="42">
        <v>205</v>
      </c>
      <c r="H26" s="42">
        <v>56828</v>
      </c>
      <c r="I26" s="42">
        <v>56395</v>
      </c>
      <c r="J26" s="30" t="s">
        <v>190</v>
      </c>
      <c r="K26" s="42">
        <v>59060</v>
      </c>
      <c r="L26" s="131" t="s">
        <v>51</v>
      </c>
      <c r="M26" s="132">
        <f t="shared" si="0"/>
        <v>-1407.12</v>
      </c>
      <c r="N26" s="133" t="str">
        <f>VLOOKUP(C26,'Trips&amp;Operators'!$C$1:$G$99911,5,FALSE)</f>
        <v>STAMBAUGH JAMES</v>
      </c>
      <c r="O26" s="175" t="s">
        <v>178</v>
      </c>
      <c r="P26" s="239"/>
      <c r="Q26" s="30"/>
      <c r="R26" s="81" t="str">
        <f>VLOOKUP(C26,'Train Runs'!$A$13:$AE$10234,31,0)</f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S26" s="84" t="str">
        <f>VLOOKUP(C26,'Train Runs'!$A$13:$AE$10234,22,0)</f>
        <v>https://d0f6bd738d7f1b3e5a7ca70fe4ff75f0.us-east-1.aws.found.io/app/kibana#/discover/Steve-Slow-Train-Analysis-(2080s-and-2083s)?_g=(refreshInterval:(display:Off,pause:!f,section:0,value:0),time:(from:'2018-01-08T22:24:08-0700',mode:absolute,to:'2018-01-09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6" s="86" t="str">
        <f t="shared" si="1"/>
        <v>"C:\Program Files (x86)\AstroGrep\AstroGrep.exe" /e /r /s /spath="%USERPROFILE%\AppData\Local\Temp\OnboardLogs" /stypes="*4063*201801090*" /stext=" 06:.+((SYSTEM_STATE.+slice.+state.+changed )|(ment ac)|(multiple cpu faults)|(system.+state.+changed )|(\[timeout)|(PRM\|1\|D)|(kpr)|(kdp)|(train st.+moving)|(\|lc)|(penalty))"</v>
      </c>
      <c r="U26" s="9" t="str">
        <f t="shared" si="2"/>
        <v>4063</v>
      </c>
      <c r="V26" s="31">
        <f t="shared" si="3"/>
        <v>43109.268599537034</v>
      </c>
      <c r="W26" s="45" t="str">
        <f t="shared" si="4"/>
        <v>Other</v>
      </c>
      <c r="X26" s="228">
        <f t="shared" si="5"/>
        <v>908</v>
      </c>
      <c r="Y26" s="238" t="str">
        <f t="shared" si="6"/>
        <v>echo {"issue":{"subject":"","project_id":79,"tracker_id":40,"status_id":1,"priority_id":2,"assigned_to_id":338,"start_date":"2018-01-08","description":"","custom_fields":[{"id":1,"name":"Subdivision","value":"Other"},{"id":4,"name":"Milepost","value":"5.906"},{"id":17,"name":"Train ID","value":"908-08"},{"id":16,"name":"Locomotive ID","value":"4063"},{"id":130,"name":"Impact","value":""},{"id":150,"name":"Time of Event (Mountain Time)","value":"23:26:47"},{"id":151,"name":"Denver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/c/Users/stu/AppData/Local/Temp/OnboardLogs/RTDC4063 --include="*4063*201801090*"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"%USERPROFILE%\AppData\Local\Temp\OnboardLogs"\RTDC4063\*4063*201801090* &gt;&gt; 2018-01-08-SliceDisagreementCheck.txt</v>
      </c>
      <c r="AE26" s="144" t="str">
        <f t="shared" si="9"/>
        <v>start /low /b %USERPROFILE%\Documents\GitHub\eaglep3\Utilities\DownloadLogsFromS3.py --loco 4063 --day 2018-01-09</v>
      </c>
      <c r="AF26" s="1"/>
    </row>
    <row r="27" spans="1:32" x14ac:dyDescent="0.3">
      <c r="A27" s="31">
        <v>43108.825266203705</v>
      </c>
      <c r="B27" s="30" t="s">
        <v>636</v>
      </c>
      <c r="C27" s="30" t="s">
        <v>637</v>
      </c>
      <c r="D27" s="30" t="s">
        <v>95</v>
      </c>
      <c r="E27" s="30" t="s">
        <v>353</v>
      </c>
      <c r="F27" s="42">
        <v>0</v>
      </c>
      <c r="G27" s="42">
        <v>131</v>
      </c>
      <c r="H27" s="42">
        <v>22429</v>
      </c>
      <c r="I27" s="42">
        <v>0</v>
      </c>
      <c r="J27" s="30" t="s">
        <v>354</v>
      </c>
      <c r="K27" s="42">
        <v>22314</v>
      </c>
      <c r="L27" s="131" t="s">
        <v>50</v>
      </c>
      <c r="M27" s="132">
        <f t="shared" si="0"/>
        <v>11781.791999999999</v>
      </c>
      <c r="N27" s="133" t="str">
        <f>VLOOKUP(C27,'Trips&amp;Operators'!$C$1:$G$99911,5,FALSE)</f>
        <v>KILLION DAVID</v>
      </c>
      <c r="O27" s="175" t="s">
        <v>178</v>
      </c>
      <c r="P27" s="239"/>
      <c r="Q27" s="30"/>
      <c r="R27" s="81" t="str">
        <f>VLOOKUP(C27,'Train Runs'!$A$13:$AE$10234,31,0)</f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S27" s="84" t="str">
        <f>VLOOKUP(C27,'Train Runs'!$A$13:$AE$10234,22,0)</f>
        <v>https://d0f6bd738d7f1b3e5a7ca70fe4ff75f0.us-east-1.aws.found.io/app/kibana#/discover/Steve-Slow-Train-Analysis-(2080s-and-2083s)?_g=(refreshInterval:(display:Off,pause:!f,section:0,value:0),time:(from:'2018-01-08T18:37:02-0700',mode:absolute,to:'2018-01-08T20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7" s="86" t="str">
        <f t="shared" si="1"/>
        <v>"C:\Program Files (x86)\AstroGrep\AstroGrep.exe" /e /r /s /spath="%USERPROFILE%\AppData\Local\Temp\OnboardLogs" /stypes="*4054*201801090*"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4054</v>
      </c>
      <c r="V27" s="31">
        <f t="shared" si="3"/>
        <v>43109.116932870369</v>
      </c>
      <c r="W27" s="45" t="str">
        <f t="shared" si="4"/>
        <v>Other</v>
      </c>
      <c r="X27" s="228">
        <f t="shared" si="5"/>
        <v>305</v>
      </c>
      <c r="Y27" s="238" t="str">
        <f t="shared" si="6"/>
        <v>echo {"issue":{"subject":"","project_id":79,"tracker_id":40,"status_id":1,"priority_id":2,"assigned_to_id":338,"start_date":"2018-01-08","description":"","custom_fields":[{"id":1,"name":"Subdivision","value":"Other"},{"id":4,"name":"Milepost","value":"2.2314"},{"id":17,"name":"Train ID","value":"305-08"},{"id":16,"name":"Locomotive ID","value":"4054"},{"id":130,"name":"Impact","value":""},{"id":150,"name":"Time of Event (Mountain Time)","value":"19:48:23"},{"id":151,"name":"Denver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/c/Users/stu/AppData/Local/Temp/OnboardLogs/RTDC4054 --include="*4054*201801090*"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"%USERPROFILE%\AppData\Local\Temp\OnboardLogs"\RTDC4054\*4054*201801090* &gt;&gt; 2018-01-08-SliceDisagreementCheck.txt</v>
      </c>
      <c r="AE27" s="144" t="str">
        <f t="shared" si="9"/>
        <v>start /low /b %USERPROFILE%\Documents\GitHub\eaglep3\Utilities\DownloadLogsFromS3.py --loco 4054 --day 2018-01-09</v>
      </c>
      <c r="AF27" s="1"/>
    </row>
    <row r="28" spans="1:32" x14ac:dyDescent="0.3">
      <c r="A28" s="31">
        <v>43108.467847222222</v>
      </c>
      <c r="B28" s="30" t="s">
        <v>460</v>
      </c>
      <c r="C28" s="30" t="s">
        <v>627</v>
      </c>
      <c r="D28" s="30" t="s">
        <v>49</v>
      </c>
      <c r="E28" s="30" t="s">
        <v>625</v>
      </c>
      <c r="F28" s="42">
        <v>30</v>
      </c>
      <c r="G28" s="42">
        <v>128</v>
      </c>
      <c r="H28" s="42">
        <v>80761</v>
      </c>
      <c r="I28" s="42">
        <v>80642</v>
      </c>
      <c r="J28" s="30" t="s">
        <v>183</v>
      </c>
      <c r="K28" s="42">
        <v>80485</v>
      </c>
      <c r="L28" s="131" t="s">
        <v>51</v>
      </c>
      <c r="M28" s="132">
        <f t="shared" si="0"/>
        <v>82.895999999999987</v>
      </c>
      <c r="N28" s="133" t="str">
        <f>VLOOKUP(C28,'Trips&amp;Operators'!$C$1:$G$99911,5,FALSE)</f>
        <v>BROWN JACOB</v>
      </c>
      <c r="O28" s="175" t="s">
        <v>178</v>
      </c>
      <c r="P28" s="239" t="s">
        <v>643</v>
      </c>
      <c r="Q28" s="30"/>
      <c r="R28" s="81" t="str">
        <f>VLOOKUP(C28,'Train Runs'!$A$13:$AE$10234,31,0)</f>
        <v>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 &amp; aws s3 cp s3://rtdc.mdm.uploadarchive.raw/RTDC4007/ "%USERPROFILE%\AppData\Local\Temp\OnboardLogs"\RTDC4007\2018-01-09 --exclude "*" --recursive --include "*20180109*" &amp; "%USERPROFILE%\Documents\GitHub\mrs-test-scripts\Headless Mode &amp; Sideloading\WalkAndUnGZ.bat" "%USERPROFILE%\AppData\Local\Temp\OnboardLogs"\RTDC4007\2018-01-09</v>
      </c>
      <c r="S28" s="84" t="str">
        <f>VLOOKUP(C28,'Train Runs'!$A$13:$AE$10234,22,0)</f>
        <v>https://d0f6bd738d7f1b3e5a7ca70fe4ff75f0.us-east-1.aws.found.io/app/kibana#/discover/Steve-Slow-Train-Analysis-(2080s-and-2083s)?_g=(refreshInterval:(display:Off,pause:!f,section:0,value:0),time:(from:'2018-01-08T07:23:37-0700',mode:absolute,to:'2018-01-08T09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86" t="str">
        <f t="shared" si="1"/>
        <v>"C:\Program Files (x86)\AstroGrep\AstroGrep.exe" /e /r /s /spath="%USERPROFILE%\AppData\Local\Temp\OnboardLogs" /stypes="*4009*201801081*"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4009</v>
      </c>
      <c r="V28" s="31">
        <f t="shared" si="3"/>
        <v>43108.759513888886</v>
      </c>
      <c r="W28" s="45" t="str">
        <f t="shared" si="4"/>
        <v>Shuttle/Test</v>
      </c>
      <c r="X28" s="228">
        <f t="shared" si="5"/>
        <v>66</v>
      </c>
      <c r="Y28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Arrival","project_id":79,"tracker_id":40,"status_id":1,"priority_id":2,"assigned_to_id":338,"start_date":"2018-01-08","description":"","custom_fields":[{"id":1,"name":"Subdivision","value":"Shuttle/Test"},{"id":4,"name":"Milepost","value":"8.0485"},{"id":17,"name":"Train ID","value":"66-08"},{"id":16,"name":"Locomotive ID","value":"4009"},{"id":130,"name":"Impact","value":""},{"id":150,"name":"Time of Event (Mountain Time)","value":"11:13:42"},{"id":151,"name":"Denver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/c/Users/stu/AppData/Local/Temp/OnboardLogs/RTDC4009 --include="*4009*201801081*"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"%USERPROFILE%\AppData\Local\Temp\OnboardLogs"\RTDC4009\*4009*201801081* &gt;&gt; 2018-01-08-SliceDisagreementCheck.txt</v>
      </c>
      <c r="AE28" s="144" t="str">
        <f t="shared" si="9"/>
        <v>start /low /b %USERPROFILE%\Documents\GitHub\eaglep3\Utilities\DownloadLogsFromS3.py --loco 4009 --day 2018-01-08</v>
      </c>
      <c r="AF28" s="1"/>
    </row>
    <row r="29" spans="1:32" x14ac:dyDescent="0.3">
      <c r="A29" s="31">
        <v>43108.585775462961</v>
      </c>
      <c r="B29" s="30" t="s">
        <v>441</v>
      </c>
      <c r="C29" s="30" t="s">
        <v>623</v>
      </c>
      <c r="D29" s="30" t="s">
        <v>49</v>
      </c>
      <c r="E29" s="30" t="s">
        <v>189</v>
      </c>
      <c r="F29" s="42">
        <v>150</v>
      </c>
      <c r="G29" s="42">
        <v>287</v>
      </c>
      <c r="H29" s="42">
        <v>108656</v>
      </c>
      <c r="I29" s="42">
        <v>109192</v>
      </c>
      <c r="J29" s="30" t="s">
        <v>190</v>
      </c>
      <c r="K29" s="42">
        <v>109686</v>
      </c>
      <c r="L29" s="131" t="s">
        <v>50</v>
      </c>
      <c r="M29" s="132">
        <f t="shared" si="0"/>
        <v>260.83199999999999</v>
      </c>
      <c r="N29" s="133" t="str">
        <f>VLOOKUP(C29,'Trips&amp;Operators'!$C$1:$G$99911,5,FALSE)</f>
        <v>BROWN JACOB</v>
      </c>
      <c r="O29" s="175" t="s">
        <v>178</v>
      </c>
      <c r="P29" s="239"/>
      <c r="Q29" s="30"/>
      <c r="R29" s="81" t="str">
        <f>VLOOKUP(C29,'Train Runs'!$A$13:$AE$10234,31,0)</f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S29" s="84" t="str">
        <f>VLOOKUP(C29,'Train Runs'!$A$13:$AE$10234,22,0)</f>
        <v>https://d0f6bd738d7f1b3e5a7ca70fe4ff75f0.us-east-1.aws.found.io/app/kibana#/discover/Steve-Slow-Train-Analysis-(2080s-and-2083s)?_g=(refreshInterval:(display:Off,pause:!f,section:0,value:0),time:(from:'2018-01-08T09:18:34-0700',mode:absolute,to:'2018-01-08T12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86" t="str">
        <f t="shared" si="1"/>
        <v>"C:\Program Files (x86)\AstroGrep\AstroGrep.exe" /e /r /s /spath="%USERPROFILE%\AppData\Local\Temp\OnboardLogs" /stypes="*4010*201801082*"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4010</v>
      </c>
      <c r="V29" s="31">
        <f t="shared" si="3"/>
        <v>43108.877442129626</v>
      </c>
      <c r="W29" s="45" t="str">
        <f t="shared" si="4"/>
        <v>Shuttle/Test</v>
      </c>
      <c r="X29" s="228">
        <f t="shared" si="5"/>
        <v>65</v>
      </c>
      <c r="Y29" s="238" t="str">
        <f t="shared" si="6"/>
        <v>echo {"issue":{"subject":"","project_id":79,"tracker_id":40,"status_id":1,"priority_id":2,"assigned_to_id":338,"start_date":"2018-01-08","description":"","custom_fields":[{"id":1,"name":"Subdivision","value":"Shuttle/Test"},{"id":4,"name":"Milepost","value":"10.9686"},{"id":17,"name":"Train ID","value":"65-08"},{"id":16,"name":"Locomotive ID","value":"4010"},{"id":130,"name":"Impact","value":""},{"id":150,"name":"Time of Event (Mountain Time)","value":"14:03:31"},{"id":151,"name":"Denver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/c/Users/stu/AppData/Local/Temp/OnboardLogs/RTDC4010 --include="*4010*201801082*"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"%USERPROFILE%\AppData\Local\Temp\OnboardLogs"\RTDC4010\*4010*201801082* &gt;&gt; 2018-01-08-SliceDisagreementCheck.txt</v>
      </c>
      <c r="AE29" s="144" t="str">
        <f t="shared" si="9"/>
        <v>start /low /b %USERPROFILE%\Documents\GitHub\eaglep3\Utilities\DownloadLogsFromS3.py --loco 4010 --day 2018-01-08</v>
      </c>
      <c r="AF29" s="1"/>
    </row>
    <row r="30" spans="1:32" x14ac:dyDescent="0.3">
      <c r="A30" s="31">
        <v>43108.748298611114</v>
      </c>
      <c r="B30" s="30" t="s">
        <v>469</v>
      </c>
      <c r="C30" s="30" t="s">
        <v>634</v>
      </c>
      <c r="D30" s="30" t="s">
        <v>95</v>
      </c>
      <c r="E30" s="30" t="s">
        <v>353</v>
      </c>
      <c r="F30" s="42">
        <v>0</v>
      </c>
      <c r="G30" s="42">
        <v>87</v>
      </c>
      <c r="H30" s="42">
        <v>4783</v>
      </c>
      <c r="I30" s="42">
        <v>4643</v>
      </c>
      <c r="J30" s="30" t="s">
        <v>354</v>
      </c>
      <c r="K30" s="42">
        <v>4798</v>
      </c>
      <c r="L30" s="131" t="s">
        <v>51</v>
      </c>
      <c r="M30" s="132">
        <f t="shared" si="0"/>
        <v>-81.84</v>
      </c>
      <c r="N30" s="133" t="str">
        <f>VLOOKUP(C30,'Trips&amp;Operators'!$C$1:$G$99911,5,FALSE)</f>
        <v>AUSTIN THOMPSON</v>
      </c>
      <c r="O30" s="175" t="s">
        <v>178</v>
      </c>
      <c r="P30" s="239" t="s">
        <v>553</v>
      </c>
      <c r="Q30" s="30"/>
      <c r="R30" s="81" t="str">
        <f>VLOOKUP(C30,'Train Runs'!$A$13:$AE$10234,31,0)</f>
        <v>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 &amp; 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</v>
      </c>
      <c r="S30" s="84" t="str">
        <f>VLOOKUP(C30,'Train Runs'!$A$13:$AE$10234,22,0)</f>
        <v>https://d0f6bd738d7f1b3e5a7ca70fe4ff75f0.us-east-1.aws.found.io/app/kibana#/discover/Steve-Slow-Train-Analysis-(2080s-and-2083s)?_g=(refreshInterval:(display:Off,pause:!f,section:0,value:0),time:(from:'2018-01-08T16:40:41-0700',mode:absolute,to:'2018-01-08T18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6" t="str">
        <f t="shared" si="1"/>
        <v>"C:\Program Files (x86)\AstroGrep\AstroGrep.exe" /e /r /s /spath="%USERPROFILE%\AppData\Local\Temp\OnboardLogs" /stypes="*4019*201801090*"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43109.039965277778</v>
      </c>
      <c r="W30" s="45" t="str">
        <f t="shared" si="4"/>
        <v>Shuttle/Test</v>
      </c>
      <c r="X30" s="228">
        <f t="shared" si="5"/>
        <v>72</v>
      </c>
      <c r="Y30" s="238" t="str">
        <f t="shared" si="6"/>
        <v>echo {"issue":{"subject":"Poor GPS under Wewatta St. overpass","project_id":79,"tracker_id":40,"status_id":1,"priority_id":2,"assigned_to_id":338,"start_date":"2018-01-08","description":"","custom_fields":[{"id":1,"name":"Subdivision","value":"Shuttle/Test"},{"id":4,"name":"Milepost","value":"0.4798"},{"id":17,"name":"Train ID","value":"72-08"},{"id":16,"name":"Locomotive ID","value":"4019"},{"id":130,"name":"Impact","value":""},{"id":150,"name":"Time of Event (Mountain Time)","value":"17:57:33"},{"id":151,"name":"Denver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/c/Users/stu/AppData/Local/Temp/OnboardLogs/RTDC4019 --include="*4019*201801090*"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"%USERPROFILE%\AppData\Local\Temp\OnboardLogs"\RTDC4019\*4019*201801090* &gt;&gt; 2018-01-08-SliceDisagreementCheck.txt</v>
      </c>
      <c r="AE30" s="144" t="str">
        <f t="shared" si="9"/>
        <v>start /low /b %USERPROFILE%\Documents\GitHub\eaglep3\Utilities\DownloadLogsFromS3.py --loco 4019 --day 2018-01-09</v>
      </c>
      <c r="AF30" s="1"/>
    </row>
    <row r="31" spans="1:32" x14ac:dyDescent="0.3">
      <c r="A31" s="31">
        <v>43108.439444444448</v>
      </c>
      <c r="B31" s="30" t="s">
        <v>441</v>
      </c>
      <c r="C31" s="30" t="s">
        <v>623</v>
      </c>
      <c r="D31" s="30" t="s">
        <v>49</v>
      </c>
      <c r="E31" s="30" t="s">
        <v>353</v>
      </c>
      <c r="F31" s="42">
        <v>0</v>
      </c>
      <c r="G31" s="42">
        <v>74</v>
      </c>
      <c r="H31" s="42">
        <v>32993</v>
      </c>
      <c r="I31" s="42">
        <v>33044</v>
      </c>
      <c r="J31" s="30" t="s">
        <v>354</v>
      </c>
      <c r="K31" s="42">
        <v>33252</v>
      </c>
      <c r="L31" s="131" t="s">
        <v>50</v>
      </c>
      <c r="M31" s="132">
        <f t="shared" si="0"/>
        <v>109.824</v>
      </c>
      <c r="N31" s="133" t="str">
        <f>VLOOKUP(C31,'Trips&amp;Operators'!$C$1:$G$99911,5,FALSE)</f>
        <v>BROWN JACOB</v>
      </c>
      <c r="O31" s="175" t="s">
        <v>178</v>
      </c>
      <c r="P31" s="239"/>
      <c r="Q31" s="30"/>
      <c r="R31" s="81" t="str">
        <f>VLOOKUP(C31,'Train Runs'!$A$13:$AE$10234,31,0)</f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S31" s="84" t="str">
        <f>VLOOKUP(C31,'Train Runs'!$A$13:$AE$10234,22,0)</f>
        <v>https://d0f6bd738d7f1b3e5a7ca70fe4ff75f0.us-east-1.aws.found.io/app/kibana#/discover/Steve-Slow-Train-Analysis-(2080s-and-2083s)?_g=(refreshInterval:(display:Off,pause:!f,section:0,value:0),time:(from:'2018-01-08T09:18:34-0700',mode:absolute,to:'2018-01-08T12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1" s="86" t="str">
        <f t="shared" si="1"/>
        <v>"C:\Program Files (x86)\AstroGrep\AstroGrep.exe" /e /r /s /spath="%USERPROFILE%\AppData\Local\Temp\OnboardLogs" /stypes="*4010*201801081*"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4010</v>
      </c>
      <c r="V31" s="31">
        <f t="shared" si="3"/>
        <v>43108.731111111112</v>
      </c>
      <c r="W31" s="45" t="str">
        <f t="shared" si="4"/>
        <v>Shuttle/Test</v>
      </c>
      <c r="X31" s="228">
        <f t="shared" si="5"/>
        <v>65</v>
      </c>
      <c r="Y31" s="238" t="str">
        <f t="shared" si="6"/>
        <v>echo {"issue":{"subject":"","project_id":79,"tracker_id":40,"status_id":1,"priority_id":2,"assigned_to_id":338,"start_date":"2018-01-08","description":"","custom_fields":[{"id":1,"name":"Subdivision","value":"Shuttle/Test"},{"id":4,"name":"Milepost","value":"3.3252"},{"id":17,"name":"Train ID","value":"65-08"},{"id":16,"name":"Locomotive ID","value":"4010"},{"id":130,"name":"Impact","value":""},{"id":150,"name":"Time of Event (Mountain Time)","value":"10:32:48"},{"id":151,"name":"Denver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/c/Users/stu/AppData/Local/Temp/OnboardLogs/RTDC4010 --include="*4010*201801081*"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"%USERPROFILE%\AppData\Local\Temp\OnboardLogs"\RTDC4010\*4010*201801081* &gt;&gt; 2018-01-08-SliceDisagreementCheck.txt</v>
      </c>
      <c r="AE31" s="144" t="str">
        <f t="shared" si="9"/>
        <v>start /low /b %USERPROFILE%\Documents\GitHub\eaglep3\Utilities\DownloadLogsFromS3.py --loco 4010 --day 2018-01-08</v>
      </c>
      <c r="AF31" s="1"/>
    </row>
  </sheetData>
  <autoFilter ref="A6:AC15">
    <sortState ref="A7:AC31">
      <sortCondition ref="W7:W31"/>
      <sortCondition ref="E7:E31"/>
      <sortCondition ref="K7:K31"/>
      <sortCondition ref="F7:F31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4" operator="equal">
      <formula>"Y"</formula>
    </cfRule>
  </conditionalFormatting>
  <conditionalFormatting sqref="O2:O3">
    <cfRule type="cellIs" dxfId="2" priority="35" operator="equal">
      <formula>"Y"</formula>
    </cfRule>
  </conditionalFormatting>
  <conditionalFormatting sqref="A7:P31">
    <cfRule type="expression" dxfId="1" priority="28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2018-01-08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-08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Runs'!$A$13:$A$100231,1,FALSE)</f>
        <v>#N/A</v>
      </c>
    </row>
    <row r="4" spans="1:10" x14ac:dyDescent="0.3">
      <c r="A4" s="197"/>
      <c r="B4" s="42" t="str">
        <f>A4&amp;"-"&amp;IF(DAY(Variables!$A$2)&lt;10,0,"")&amp;DAY(Variables!$A$2)</f>
        <v>-08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Runs'!$A$13:$A$100231,1,FALSE)</f>
        <v>#N/A</v>
      </c>
    </row>
    <row r="5" spans="1:10" x14ac:dyDescent="0.3">
      <c r="A5" s="197"/>
      <c r="B5" s="42" t="str">
        <f>A5&amp;"-"&amp;IF(DAY(Variables!$A$2)&lt;10,0,"")&amp;DAY(Variables!$A$2)</f>
        <v>-08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Runs'!$A$13:$A$100231,1,FALSE)</f>
        <v>#N/A</v>
      </c>
    </row>
    <row r="6" spans="1:10" x14ac:dyDescent="0.3">
      <c r="A6" s="197"/>
      <c r="B6" s="42" t="str">
        <f>A6&amp;"-"&amp;IF(DAY(Variables!$A$2)&lt;10,0,"")&amp;DAY(Variables!$A$2)</f>
        <v>-08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Runs'!$A$13:$A$100231,1,FALSE)</f>
        <v>#N/A</v>
      </c>
    </row>
    <row r="7" spans="1:10" x14ac:dyDescent="0.3">
      <c r="A7" s="197"/>
      <c r="B7" s="42" t="str">
        <f>A7&amp;"-"&amp;IF(DAY(Variables!$A$2)&lt;10,0,"")&amp;DAY(Variables!$A$2)</f>
        <v>-08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Runs'!$A$13:$A$100231,1,FALSE)</f>
        <v>#N/A</v>
      </c>
    </row>
    <row r="8" spans="1:10" x14ac:dyDescent="0.3">
      <c r="A8" s="197"/>
      <c r="B8" s="42" t="str">
        <f>A8&amp;"-"&amp;IF(DAY(Variables!$A$2)&lt;10,0,"")&amp;DAY(Variables!$A$2)</f>
        <v>-08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Runs'!$A$13:$A$100231,1,FALSE)</f>
        <v>#N/A</v>
      </c>
    </row>
    <row r="9" spans="1:10" x14ac:dyDescent="0.3">
      <c r="A9" s="197"/>
      <c r="B9" s="42" t="str">
        <f>A9&amp;"-"&amp;IF(DAY(Variables!$A$2)&lt;10,0,"")&amp;DAY(Variables!$A$2)</f>
        <v>-08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Runs'!$A$13:$A$100231,1,FALSE)</f>
        <v>#N/A</v>
      </c>
    </row>
    <row r="10" spans="1:10" x14ac:dyDescent="0.3">
      <c r="A10" s="197"/>
      <c r="B10" s="42" t="str">
        <f>A10&amp;"-"&amp;IF(DAY(Variables!$A$2)&lt;10,0,"")&amp;DAY(Variables!$A$2)</f>
        <v>-08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Runs'!$A$13:$A$100231,1,FALSE)</f>
        <v>#N/A</v>
      </c>
    </row>
    <row r="11" spans="1:10" x14ac:dyDescent="0.3">
      <c r="A11" s="197"/>
      <c r="B11" s="42" t="str">
        <f>A11&amp;"-"&amp;IF(DAY(Variables!$A$2)&lt;10,0,"")&amp;DAY(Variables!$A$2)</f>
        <v>-08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Runs'!$A$13:$A$100231,1,FALSE)</f>
        <v>#N/A</v>
      </c>
    </row>
    <row r="12" spans="1:10" x14ac:dyDescent="0.3">
      <c r="A12" s="197"/>
      <c r="B12" s="42" t="str">
        <f>A12&amp;"-"&amp;IF(DAY(Variables!$A$2)&lt;10,0,"")&amp;DAY(Variables!$A$2)</f>
        <v>-08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Runs'!$A$13:$A$100231,1,FALSE)</f>
        <v>#N/A</v>
      </c>
    </row>
    <row r="13" spans="1:10" x14ac:dyDescent="0.3">
      <c r="A13" s="197"/>
      <c r="B13" s="42" t="str">
        <f>A13&amp;"-"&amp;IF(DAY(Variables!$A$2)&lt;10,0,"")&amp;DAY(Variables!$A$2)</f>
        <v>-08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Runs'!$A$13:$A$100231,1,FALSE)</f>
        <v>#N/A</v>
      </c>
    </row>
    <row r="14" spans="1:10" x14ac:dyDescent="0.3">
      <c r="A14" s="197"/>
      <c r="B14" s="42" t="str">
        <f>A14&amp;"-"&amp;IF(DAY(Variables!$A$2)&lt;10,0,"")&amp;DAY(Variables!$A$2)</f>
        <v>-08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Runs'!$A$13:$A$100231,1,FALSE)</f>
        <v>#N/A</v>
      </c>
    </row>
    <row r="15" spans="1:10" x14ac:dyDescent="0.3">
      <c r="A15" s="197"/>
      <c r="B15" s="42" t="str">
        <f>A15&amp;"-"&amp;IF(DAY(Variables!$A$2)&lt;10,0,"")&amp;DAY(Variables!$A$2)</f>
        <v>-08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Runs'!$A$13:$A$100231,1,FALSE)</f>
        <v>#N/A</v>
      </c>
    </row>
    <row r="16" spans="1:10" x14ac:dyDescent="0.3">
      <c r="A16" s="197"/>
      <c r="B16" s="42" t="str">
        <f>A16&amp;"-"&amp;IF(DAY(Variables!$A$2)&lt;10,0,"")&amp;DAY(Variables!$A$2)</f>
        <v>-08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Runs'!$A$13:$A$100231,1,FALSE)</f>
        <v>#N/A</v>
      </c>
    </row>
    <row r="17" spans="1:10" x14ac:dyDescent="0.3">
      <c r="A17" s="197"/>
      <c r="B17" s="42" t="str">
        <f>A17&amp;"-"&amp;IF(DAY(Variables!$A$2)&lt;10,0,"")&amp;DAY(Variables!$A$2)</f>
        <v>-08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Runs'!$A$13:$A$100231,1,FALSE)</f>
        <v>#N/A</v>
      </c>
    </row>
    <row r="18" spans="1:10" x14ac:dyDescent="0.3">
      <c r="A18" s="197"/>
      <c r="B18" s="42" t="str">
        <f>A18&amp;"-"&amp;IF(DAY(Variables!$A$2)&lt;10,0,"")&amp;DAY(Variables!$A$2)</f>
        <v>-08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Runs'!$A$13:$A$100231,1,FALSE)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61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43108.04923611111</v>
      </c>
      <c r="B2" s="20" t="s">
        <v>444</v>
      </c>
      <c r="C2" s="20" t="s">
        <v>562</v>
      </c>
      <c r="D2" s="137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4042</v>
      </c>
    </row>
    <row r="3" spans="1:8" x14ac:dyDescent="0.3">
      <c r="A3" s="8">
        <v>43108.058530092596</v>
      </c>
      <c r="B3" s="20" t="s">
        <v>350</v>
      </c>
      <c r="C3" s="20" t="s">
        <v>563</v>
      </c>
      <c r="D3" s="137">
        <v>3220000</v>
      </c>
      <c r="E3" s="20" t="s">
        <v>377</v>
      </c>
      <c r="F3" s="20" t="s">
        <v>378</v>
      </c>
      <c r="G3" s="8" t="str">
        <f t="shared" ref="G3:G66" si="0">E3&amp;" "&amp;F3</f>
        <v>RESPASS AARON</v>
      </c>
      <c r="H3" s="20" t="str">
        <f t="shared" ref="H3:H66" si="1">MID(B3,13,4)</f>
        <v>4055</v>
      </c>
    </row>
    <row r="4" spans="1:8" x14ac:dyDescent="0.3">
      <c r="A4" s="8">
        <v>43108.067696759259</v>
      </c>
      <c r="B4" s="20" t="s">
        <v>442</v>
      </c>
      <c r="C4" s="20" t="s">
        <v>564</v>
      </c>
      <c r="D4" s="137">
        <v>3340000</v>
      </c>
      <c r="E4" s="20" t="s">
        <v>455</v>
      </c>
      <c r="F4" s="20" t="s">
        <v>456</v>
      </c>
      <c r="G4" s="8" t="str">
        <f t="shared" si="0"/>
        <v>ELBAUM MIKE</v>
      </c>
      <c r="H4" s="20" t="str">
        <f t="shared" si="1"/>
        <v>4050</v>
      </c>
    </row>
    <row r="5" spans="1:8" x14ac:dyDescent="0.3">
      <c r="A5" s="8">
        <v>43108.09003472222</v>
      </c>
      <c r="B5" s="20" t="s">
        <v>500</v>
      </c>
      <c r="C5" s="20" t="s">
        <v>565</v>
      </c>
      <c r="D5" s="137">
        <v>3220000</v>
      </c>
      <c r="E5" s="20" t="s">
        <v>377</v>
      </c>
      <c r="F5" s="20" t="s">
        <v>378</v>
      </c>
      <c r="G5" s="8" t="str">
        <f t="shared" si="0"/>
        <v>RESPASS AARON</v>
      </c>
      <c r="H5" s="20" t="str">
        <f t="shared" si="1"/>
        <v>4056</v>
      </c>
    </row>
    <row r="6" spans="1:8" x14ac:dyDescent="0.3">
      <c r="A6" s="8">
        <v>43108.097743055558</v>
      </c>
      <c r="B6" s="20" t="s">
        <v>500</v>
      </c>
      <c r="C6" s="20" t="s">
        <v>565</v>
      </c>
      <c r="D6" s="137">
        <v>3220000</v>
      </c>
      <c r="E6" s="20" t="s">
        <v>377</v>
      </c>
      <c r="F6" s="20" t="s">
        <v>378</v>
      </c>
      <c r="G6" s="8" t="str">
        <f t="shared" si="0"/>
        <v>RESPASS AARON</v>
      </c>
      <c r="H6" s="20" t="str">
        <f t="shared" si="1"/>
        <v>4056</v>
      </c>
    </row>
    <row r="7" spans="1:8" x14ac:dyDescent="0.3">
      <c r="A7" s="8">
        <v>43108.11378472222</v>
      </c>
      <c r="B7" s="20" t="s">
        <v>566</v>
      </c>
      <c r="C7" s="20" t="s">
        <v>567</v>
      </c>
      <c r="D7" s="137">
        <v>1090000</v>
      </c>
      <c r="E7" s="20" t="s">
        <v>568</v>
      </c>
      <c r="F7" s="20" t="s">
        <v>351</v>
      </c>
      <c r="G7" s="8" t="str">
        <f t="shared" si="0"/>
        <v>SPECTOR MICHAEL</v>
      </c>
      <c r="H7" s="20" t="str">
        <f t="shared" si="1"/>
        <v>4021</v>
      </c>
    </row>
    <row r="8" spans="1:8" x14ac:dyDescent="0.3">
      <c r="A8" s="8">
        <v>43108.117581018516</v>
      </c>
      <c r="B8" s="20" t="s">
        <v>389</v>
      </c>
      <c r="C8" s="20" t="s">
        <v>644</v>
      </c>
      <c r="D8" s="137">
        <v>3120000</v>
      </c>
      <c r="E8" s="20" t="s">
        <v>368</v>
      </c>
      <c r="F8" s="20" t="s">
        <v>519</v>
      </c>
      <c r="G8" s="8" t="str">
        <f t="shared" si="0"/>
        <v>THOMPSON LESTER</v>
      </c>
      <c r="H8" s="20" t="str">
        <f t="shared" si="1"/>
        <v>4059</v>
      </c>
    </row>
    <row r="9" spans="1:8" ht="15" thickBot="1" x14ac:dyDescent="0.35">
      <c r="A9" s="24">
        <v>43108.118796296294</v>
      </c>
      <c r="B9" s="20" t="s">
        <v>389</v>
      </c>
      <c r="C9" s="20" t="s">
        <v>644</v>
      </c>
      <c r="D9" s="137">
        <v>3120000</v>
      </c>
      <c r="E9" s="20" t="s">
        <v>368</v>
      </c>
      <c r="F9" s="20" t="s">
        <v>519</v>
      </c>
      <c r="G9" s="8" t="str">
        <f t="shared" si="0"/>
        <v>THOMPSON LESTER</v>
      </c>
      <c r="H9" s="20" t="str">
        <f t="shared" si="1"/>
        <v>4059</v>
      </c>
    </row>
    <row r="10" spans="1:8" x14ac:dyDescent="0.3">
      <c r="A10" s="8">
        <v>43108.128692129627</v>
      </c>
      <c r="B10" s="20" t="s">
        <v>383</v>
      </c>
      <c r="C10" s="20" t="s">
        <v>567</v>
      </c>
      <c r="D10" s="137">
        <v>1090000</v>
      </c>
      <c r="E10" s="20" t="s">
        <v>568</v>
      </c>
      <c r="F10" s="20" t="s">
        <v>351</v>
      </c>
      <c r="G10" s="8" t="str">
        <f t="shared" si="0"/>
        <v>SPECTOR MICHAEL</v>
      </c>
      <c r="H10" s="20" t="str">
        <f t="shared" si="1"/>
        <v>4022</v>
      </c>
    </row>
    <row r="11" spans="1:8" x14ac:dyDescent="0.3">
      <c r="A11" s="8">
        <v>43108.134456018517</v>
      </c>
      <c r="B11" s="20" t="s">
        <v>356</v>
      </c>
      <c r="C11" s="20" t="s">
        <v>645</v>
      </c>
      <c r="D11" s="137">
        <v>3120000</v>
      </c>
      <c r="E11" s="20" t="s">
        <v>368</v>
      </c>
      <c r="F11" s="20" t="s">
        <v>519</v>
      </c>
      <c r="G11" s="8" t="str">
        <f t="shared" si="0"/>
        <v>THOMPSON LESTER</v>
      </c>
      <c r="H11" s="20" t="str">
        <f t="shared" si="1"/>
        <v>4060</v>
      </c>
    </row>
    <row r="12" spans="1:8" x14ac:dyDescent="0.3">
      <c r="A12" s="8">
        <v>43108.13585648148</v>
      </c>
      <c r="B12" s="20" t="s">
        <v>560</v>
      </c>
      <c r="C12" s="20" t="s">
        <v>619</v>
      </c>
      <c r="D12" s="137">
        <v>1090000</v>
      </c>
      <c r="E12" s="20" t="s">
        <v>568</v>
      </c>
      <c r="F12" s="20" t="s">
        <v>351</v>
      </c>
      <c r="G12" s="8" t="str">
        <f t="shared" si="0"/>
        <v>SPECTOR MICHAEL</v>
      </c>
      <c r="H12" s="20" t="str">
        <f t="shared" si="1"/>
        <v>4001</v>
      </c>
    </row>
    <row r="13" spans="1:8" x14ac:dyDescent="0.3">
      <c r="A13" s="8">
        <v>43108.146041666667</v>
      </c>
      <c r="B13" s="20" t="s">
        <v>499</v>
      </c>
      <c r="C13" s="20" t="s">
        <v>646</v>
      </c>
      <c r="D13" s="137">
        <v>900000</v>
      </c>
      <c r="E13" s="20" t="s">
        <v>647</v>
      </c>
      <c r="F13" s="20" t="s">
        <v>648</v>
      </c>
      <c r="G13" s="8" t="str">
        <f t="shared" si="0"/>
        <v>ROCHA YAOTL</v>
      </c>
      <c r="H13" s="20" t="str">
        <f t="shared" si="1"/>
        <v>4043</v>
      </c>
    </row>
    <row r="14" spans="1:8" x14ac:dyDescent="0.3">
      <c r="A14" s="8">
        <v>43108.15519675926</v>
      </c>
      <c r="B14" s="20" t="s">
        <v>462</v>
      </c>
      <c r="C14" s="20" t="s">
        <v>649</v>
      </c>
      <c r="D14" s="137">
        <v>900000</v>
      </c>
      <c r="E14" s="20" t="s">
        <v>647</v>
      </c>
      <c r="F14" s="20" t="s">
        <v>648</v>
      </c>
      <c r="G14" s="8" t="str">
        <f t="shared" si="0"/>
        <v>ROCHA YAOTL</v>
      </c>
      <c r="H14" s="20" t="str">
        <f t="shared" si="1"/>
        <v>4044</v>
      </c>
    </row>
    <row r="15" spans="1:8" x14ac:dyDescent="0.3">
      <c r="A15" s="8">
        <v>43108.159398148149</v>
      </c>
      <c r="B15" s="20" t="s">
        <v>447</v>
      </c>
      <c r="C15" s="20" t="s">
        <v>650</v>
      </c>
      <c r="D15" s="137">
        <v>1340000</v>
      </c>
      <c r="E15" s="20" t="s">
        <v>651</v>
      </c>
      <c r="F15" s="20" t="s">
        <v>652</v>
      </c>
      <c r="G15" s="8" t="str">
        <f t="shared" si="0"/>
        <v>BEAM ROSS</v>
      </c>
      <c r="H15" s="20" t="str">
        <f t="shared" si="1"/>
        <v>4051</v>
      </c>
    </row>
    <row r="16" spans="1:8" x14ac:dyDescent="0.3">
      <c r="A16" s="8">
        <v>43108.169305555559</v>
      </c>
      <c r="B16" s="20" t="s">
        <v>445</v>
      </c>
      <c r="C16" s="20" t="s">
        <v>653</v>
      </c>
      <c r="D16" s="137">
        <v>1340000</v>
      </c>
      <c r="E16" s="20" t="s">
        <v>651</v>
      </c>
      <c r="F16" s="20" t="s">
        <v>652</v>
      </c>
      <c r="G16" s="8" t="str">
        <f t="shared" si="0"/>
        <v>BEAM ROSS</v>
      </c>
      <c r="H16" s="20" t="str">
        <f t="shared" si="1"/>
        <v>4052</v>
      </c>
    </row>
    <row r="17" spans="1:8" x14ac:dyDescent="0.3">
      <c r="A17" s="8">
        <v>43108.172465277778</v>
      </c>
      <c r="B17" s="20" t="s">
        <v>361</v>
      </c>
      <c r="C17" s="20" t="s">
        <v>654</v>
      </c>
      <c r="D17" s="137">
        <v>2370000</v>
      </c>
      <c r="E17" s="20" t="s">
        <v>520</v>
      </c>
      <c r="F17" s="20" t="s">
        <v>521</v>
      </c>
      <c r="G17" s="8" t="str">
        <f t="shared" si="0"/>
        <v>DELGADO DIANAH</v>
      </c>
      <c r="H17" s="20" t="str">
        <f t="shared" si="1"/>
        <v>4017</v>
      </c>
    </row>
    <row r="18" spans="1:8" x14ac:dyDescent="0.3">
      <c r="A18" s="8">
        <v>43108.174155092594</v>
      </c>
      <c r="B18" s="20" t="s">
        <v>389</v>
      </c>
      <c r="C18" s="20" t="s">
        <v>655</v>
      </c>
      <c r="D18" s="137">
        <v>3120000</v>
      </c>
      <c r="E18" s="20" t="s">
        <v>368</v>
      </c>
      <c r="F18" s="20" t="s">
        <v>519</v>
      </c>
      <c r="G18" s="8" t="str">
        <f t="shared" si="0"/>
        <v>THOMPSON LESTER</v>
      </c>
      <c r="H18" s="20" t="str">
        <f t="shared" si="1"/>
        <v>4059</v>
      </c>
    </row>
    <row r="19" spans="1:8" x14ac:dyDescent="0.3">
      <c r="A19" s="8">
        <v>43108.18141203704</v>
      </c>
      <c r="B19" s="20" t="s">
        <v>475</v>
      </c>
      <c r="C19" s="20" t="s">
        <v>656</v>
      </c>
      <c r="D19" s="137">
        <v>2010000</v>
      </c>
      <c r="E19" s="20" t="s">
        <v>657</v>
      </c>
      <c r="F19" s="20" t="s">
        <v>658</v>
      </c>
      <c r="G19" s="8" t="str">
        <f t="shared" si="0"/>
        <v>MAELZER KURT</v>
      </c>
      <c r="H19" s="20" t="str">
        <f t="shared" si="1"/>
        <v>4033</v>
      </c>
    </row>
    <row r="20" spans="1:8" x14ac:dyDescent="0.3">
      <c r="A20" s="8">
        <v>43108.183217592596</v>
      </c>
      <c r="B20" s="20" t="s">
        <v>359</v>
      </c>
      <c r="C20" s="20" t="s">
        <v>659</v>
      </c>
      <c r="D20" s="137">
        <v>2370000</v>
      </c>
      <c r="E20" s="20" t="s">
        <v>520</v>
      </c>
      <c r="F20" s="20" t="s">
        <v>521</v>
      </c>
      <c r="G20" s="8" t="str">
        <f t="shared" si="0"/>
        <v>DELGADO DIANAH</v>
      </c>
      <c r="H20" s="20" t="str">
        <f t="shared" si="1"/>
        <v>4018</v>
      </c>
    </row>
    <row r="21" spans="1:8" x14ac:dyDescent="0.3">
      <c r="A21" s="8">
        <v>43108.193078703705</v>
      </c>
      <c r="B21" s="20" t="s">
        <v>492</v>
      </c>
      <c r="C21" s="20" t="s">
        <v>660</v>
      </c>
      <c r="D21" s="137">
        <v>2010000</v>
      </c>
      <c r="E21" s="20" t="s">
        <v>657</v>
      </c>
      <c r="F21" s="20" t="s">
        <v>658</v>
      </c>
      <c r="G21" s="8" t="str">
        <f t="shared" si="0"/>
        <v>MAELZER KURT</v>
      </c>
      <c r="H21" s="20" t="str">
        <f t="shared" si="1"/>
        <v>4034</v>
      </c>
    </row>
    <row r="22" spans="1:8" x14ac:dyDescent="0.3">
      <c r="A22" s="26">
        <v>43108.194884259261</v>
      </c>
      <c r="B22" s="20" t="s">
        <v>499</v>
      </c>
      <c r="C22" s="20" t="s">
        <v>661</v>
      </c>
      <c r="D22" s="137">
        <v>900000</v>
      </c>
      <c r="E22" s="20" t="s">
        <v>647</v>
      </c>
      <c r="F22" s="20" t="s">
        <v>648</v>
      </c>
      <c r="G22" s="8" t="str">
        <f t="shared" si="0"/>
        <v>ROCHA YAOTL</v>
      </c>
      <c r="H22" s="20" t="str">
        <f t="shared" si="1"/>
        <v>4043</v>
      </c>
    </row>
    <row r="23" spans="1:8" x14ac:dyDescent="0.3">
      <c r="A23" s="8">
        <v>43108.198125000003</v>
      </c>
      <c r="B23" s="20" t="s">
        <v>370</v>
      </c>
      <c r="C23" s="20" t="s">
        <v>662</v>
      </c>
      <c r="D23" s="137">
        <v>2600000</v>
      </c>
      <c r="E23" s="20" t="s">
        <v>663</v>
      </c>
      <c r="F23" s="20" t="s">
        <v>466</v>
      </c>
      <c r="G23" s="8" t="str">
        <f t="shared" si="0"/>
        <v>DAVIDSON DAVID</v>
      </c>
      <c r="H23" s="20" t="str">
        <f t="shared" si="1"/>
        <v>4011</v>
      </c>
    </row>
    <row r="24" spans="1:8" x14ac:dyDescent="0.3">
      <c r="A24" s="8">
        <v>43108.199687499997</v>
      </c>
      <c r="B24" s="20" t="s">
        <v>370</v>
      </c>
      <c r="C24" s="20" t="s">
        <v>662</v>
      </c>
      <c r="D24" s="137">
        <v>2600000</v>
      </c>
      <c r="E24" s="20" t="s">
        <v>663</v>
      </c>
      <c r="F24" s="20" t="s">
        <v>466</v>
      </c>
      <c r="G24" s="8" t="str">
        <f t="shared" si="0"/>
        <v>DAVIDSON DAVID</v>
      </c>
      <c r="H24" s="20" t="str">
        <f t="shared" si="1"/>
        <v>4011</v>
      </c>
    </row>
    <row r="25" spans="1:8" x14ac:dyDescent="0.3">
      <c r="A25" s="8">
        <v>43108.200578703705</v>
      </c>
      <c r="B25" s="20" t="s">
        <v>391</v>
      </c>
      <c r="C25" s="20" t="s">
        <v>664</v>
      </c>
      <c r="D25" s="137">
        <v>2560000</v>
      </c>
      <c r="E25" s="20" t="s">
        <v>522</v>
      </c>
      <c r="F25" s="20" t="s">
        <v>523</v>
      </c>
      <c r="G25" s="8" t="str">
        <f t="shared" si="0"/>
        <v>MACDONALD THOMAS</v>
      </c>
      <c r="H25" s="20" t="str">
        <f t="shared" si="1"/>
        <v>4030</v>
      </c>
    </row>
    <row r="26" spans="1:8" x14ac:dyDescent="0.3">
      <c r="A26" s="8">
        <v>43108.203402777777</v>
      </c>
      <c r="B26" s="20" t="s">
        <v>447</v>
      </c>
      <c r="C26" s="20" t="s">
        <v>665</v>
      </c>
      <c r="D26" s="137">
        <v>1340000</v>
      </c>
      <c r="E26" s="20" t="s">
        <v>651</v>
      </c>
      <c r="F26" s="20" t="s">
        <v>652</v>
      </c>
      <c r="G26" s="8" t="str">
        <f t="shared" si="0"/>
        <v>BEAM ROSS</v>
      </c>
      <c r="H26" s="20" t="str">
        <f t="shared" si="1"/>
        <v>4051</v>
      </c>
    </row>
    <row r="27" spans="1:8" x14ac:dyDescent="0.3">
      <c r="A27" s="8">
        <v>43108.207083333335</v>
      </c>
      <c r="B27" s="20" t="s">
        <v>356</v>
      </c>
      <c r="C27" s="20" t="s">
        <v>666</v>
      </c>
      <c r="D27" s="137">
        <v>3120000</v>
      </c>
      <c r="E27" s="20" t="s">
        <v>368</v>
      </c>
      <c r="F27" s="20" t="s">
        <v>519</v>
      </c>
      <c r="G27" s="8" t="str">
        <f t="shared" si="0"/>
        <v>THOMPSON LESTER</v>
      </c>
      <c r="H27" s="20" t="str">
        <f t="shared" si="1"/>
        <v>4060</v>
      </c>
    </row>
    <row r="28" spans="1:8" x14ac:dyDescent="0.3">
      <c r="A28" s="8">
        <v>43108.210312499999</v>
      </c>
      <c r="B28" s="20" t="s">
        <v>369</v>
      </c>
      <c r="C28" s="20" t="s">
        <v>667</v>
      </c>
      <c r="D28" s="137">
        <v>2600000</v>
      </c>
      <c r="E28" s="20" t="s">
        <v>663</v>
      </c>
      <c r="F28" s="20" t="s">
        <v>466</v>
      </c>
      <c r="G28" s="8" t="str">
        <f t="shared" si="0"/>
        <v>DAVIDSON DAVID</v>
      </c>
      <c r="H28" s="20" t="str">
        <f t="shared" si="1"/>
        <v>4012</v>
      </c>
    </row>
    <row r="29" spans="1:8" x14ac:dyDescent="0.3">
      <c r="A29" s="8">
        <v>43108.21197916667</v>
      </c>
      <c r="B29" s="20" t="s">
        <v>385</v>
      </c>
      <c r="C29" s="20" t="s">
        <v>668</v>
      </c>
      <c r="D29" s="137">
        <v>2560000</v>
      </c>
      <c r="E29" s="20" t="s">
        <v>522</v>
      </c>
      <c r="F29" s="20" t="s">
        <v>523</v>
      </c>
      <c r="G29" s="8" t="str">
        <f t="shared" si="0"/>
        <v>MACDONALD THOMAS</v>
      </c>
      <c r="H29" s="20" t="str">
        <f t="shared" si="1"/>
        <v>4029</v>
      </c>
    </row>
    <row r="30" spans="1:8" x14ac:dyDescent="0.3">
      <c r="A30" s="8">
        <v>43108.213414351849</v>
      </c>
      <c r="B30" s="20" t="s">
        <v>361</v>
      </c>
      <c r="C30" s="20" t="s">
        <v>669</v>
      </c>
      <c r="D30" s="137">
        <v>2370000</v>
      </c>
      <c r="E30" s="20" t="s">
        <v>520</v>
      </c>
      <c r="F30" s="20" t="s">
        <v>521</v>
      </c>
      <c r="G30" s="8" t="str">
        <f t="shared" si="0"/>
        <v>DELGADO DIANAH</v>
      </c>
      <c r="H30" s="20" t="str">
        <f t="shared" si="1"/>
        <v>4017</v>
      </c>
    </row>
    <row r="31" spans="1:8" x14ac:dyDescent="0.3">
      <c r="A31" s="8">
        <v>43108.222349537034</v>
      </c>
      <c r="B31" s="20" t="s">
        <v>670</v>
      </c>
      <c r="C31" s="20" t="s">
        <v>671</v>
      </c>
      <c r="D31" s="137">
        <v>2470000</v>
      </c>
      <c r="E31" s="20" t="s">
        <v>527</v>
      </c>
      <c r="F31" s="20" t="s">
        <v>528</v>
      </c>
      <c r="G31" s="8" t="str">
        <f t="shared" si="0"/>
        <v>ROMERO CHAD</v>
      </c>
      <c r="H31" s="20" t="str">
        <f t="shared" si="1"/>
        <v>4053</v>
      </c>
    </row>
    <row r="32" spans="1:8" x14ac:dyDescent="0.3">
      <c r="A32" s="8">
        <v>43108.224664351852</v>
      </c>
      <c r="B32" s="20" t="s">
        <v>462</v>
      </c>
      <c r="C32" s="20" t="s">
        <v>672</v>
      </c>
      <c r="D32" s="137">
        <v>900000</v>
      </c>
      <c r="E32" s="20" t="s">
        <v>647</v>
      </c>
      <c r="F32" s="20" t="s">
        <v>648</v>
      </c>
      <c r="G32" s="8" t="str">
        <f t="shared" si="0"/>
        <v>ROCHA YAOTL</v>
      </c>
      <c r="H32" s="20" t="str">
        <f t="shared" si="1"/>
        <v>4044</v>
      </c>
    </row>
    <row r="33" spans="1:8" x14ac:dyDescent="0.3">
      <c r="A33" s="8">
        <v>43108.231666666667</v>
      </c>
      <c r="B33" s="20" t="s">
        <v>475</v>
      </c>
      <c r="C33" s="20" t="s">
        <v>673</v>
      </c>
      <c r="D33" s="137">
        <v>2010000</v>
      </c>
      <c r="E33" s="20" t="s">
        <v>657</v>
      </c>
      <c r="F33" s="20" t="s">
        <v>658</v>
      </c>
      <c r="G33" s="8" t="str">
        <f t="shared" si="0"/>
        <v>MAELZER KURT</v>
      </c>
      <c r="H33" s="20" t="str">
        <f t="shared" si="1"/>
        <v>4033</v>
      </c>
    </row>
    <row r="34" spans="1:8" x14ac:dyDescent="0.3">
      <c r="A34" s="8">
        <v>43108.234317129631</v>
      </c>
      <c r="B34" s="20" t="s">
        <v>391</v>
      </c>
      <c r="C34" s="20" t="s">
        <v>620</v>
      </c>
      <c r="D34" s="137">
        <v>2560000</v>
      </c>
      <c r="E34" s="20" t="s">
        <v>522</v>
      </c>
      <c r="F34" s="20" t="s">
        <v>523</v>
      </c>
      <c r="G34" s="8" t="str">
        <f t="shared" si="0"/>
        <v>MACDONALD THOMAS</v>
      </c>
      <c r="H34" s="20" t="str">
        <f t="shared" si="1"/>
        <v>4030</v>
      </c>
    </row>
    <row r="35" spans="1:8" x14ac:dyDescent="0.3">
      <c r="A35" s="8">
        <v>43108.234652777777</v>
      </c>
      <c r="B35" s="20" t="s">
        <v>636</v>
      </c>
      <c r="C35" s="20" t="s">
        <v>674</v>
      </c>
      <c r="D35" s="137">
        <v>2470000</v>
      </c>
      <c r="E35" s="20" t="s">
        <v>527</v>
      </c>
      <c r="F35" s="20" t="s">
        <v>528</v>
      </c>
      <c r="G35" s="8" t="str">
        <f t="shared" si="0"/>
        <v>ROMERO CHAD</v>
      </c>
      <c r="H35" s="20" t="str">
        <f t="shared" si="1"/>
        <v>4054</v>
      </c>
    </row>
    <row r="36" spans="1:8" x14ac:dyDescent="0.3">
      <c r="A36" s="8">
        <v>43108.24150462963</v>
      </c>
      <c r="B36" s="20" t="s">
        <v>485</v>
      </c>
      <c r="C36" s="20" t="s">
        <v>675</v>
      </c>
      <c r="D36" s="137">
        <v>3030000</v>
      </c>
      <c r="E36" s="20" t="s">
        <v>529</v>
      </c>
      <c r="F36" s="20" t="s">
        <v>523</v>
      </c>
      <c r="G36" s="8" t="str">
        <f t="shared" si="0"/>
        <v>BIRENBAUM THOMAS</v>
      </c>
      <c r="H36" s="20" t="str">
        <f t="shared" si="1"/>
        <v>4063</v>
      </c>
    </row>
    <row r="37" spans="1:8" x14ac:dyDescent="0.3">
      <c r="A37" s="8">
        <v>43108.244201388887</v>
      </c>
      <c r="B37" s="20" t="s">
        <v>445</v>
      </c>
      <c r="C37" s="20" t="s">
        <v>676</v>
      </c>
      <c r="D37" s="137">
        <v>1340000</v>
      </c>
      <c r="E37" s="20" t="s">
        <v>651</v>
      </c>
      <c r="F37" s="20" t="s">
        <v>652</v>
      </c>
      <c r="G37" s="8" t="str">
        <f t="shared" si="0"/>
        <v>BEAM ROSS</v>
      </c>
      <c r="H37" s="20" t="str">
        <f t="shared" si="1"/>
        <v>4052</v>
      </c>
    </row>
    <row r="38" spans="1:8" x14ac:dyDescent="0.3">
      <c r="A38" s="8">
        <v>43108.246689814812</v>
      </c>
      <c r="B38" s="20" t="s">
        <v>370</v>
      </c>
      <c r="C38" s="20" t="s">
        <v>677</v>
      </c>
      <c r="D38" s="137">
        <v>2600000</v>
      </c>
      <c r="E38" s="20" t="s">
        <v>663</v>
      </c>
      <c r="F38" s="20" t="s">
        <v>466</v>
      </c>
      <c r="G38" s="8" t="str">
        <f t="shared" si="0"/>
        <v>DAVIDSON DAVID</v>
      </c>
      <c r="H38" s="20" t="str">
        <f t="shared" si="1"/>
        <v>4011</v>
      </c>
    </row>
    <row r="39" spans="1:8" x14ac:dyDescent="0.3">
      <c r="A39" s="8">
        <v>43108.247303240743</v>
      </c>
      <c r="B39" s="20" t="s">
        <v>389</v>
      </c>
      <c r="C39" s="20" t="s">
        <v>678</v>
      </c>
      <c r="D39" s="137">
        <v>3120000</v>
      </c>
      <c r="E39" s="20" t="s">
        <v>368</v>
      </c>
      <c r="F39" s="20" t="s">
        <v>519</v>
      </c>
      <c r="G39" s="8" t="str">
        <f t="shared" si="0"/>
        <v>THOMPSON LESTER</v>
      </c>
      <c r="H39" s="20" t="str">
        <f t="shared" si="1"/>
        <v>4059</v>
      </c>
    </row>
    <row r="40" spans="1:8" x14ac:dyDescent="0.3">
      <c r="A40" s="8">
        <v>43108.247418981482</v>
      </c>
      <c r="B40" s="25" t="s">
        <v>385</v>
      </c>
      <c r="C40" s="20" t="s">
        <v>679</v>
      </c>
      <c r="D40" s="137">
        <v>2560000</v>
      </c>
      <c r="E40" s="20" t="s">
        <v>522</v>
      </c>
      <c r="F40" s="20" t="s">
        <v>523</v>
      </c>
      <c r="G40" s="8" t="str">
        <f t="shared" si="0"/>
        <v>MACDONALD THOMAS</v>
      </c>
      <c r="H40" s="20" t="str">
        <f t="shared" si="1"/>
        <v>4029</v>
      </c>
    </row>
    <row r="41" spans="1:8" x14ac:dyDescent="0.3">
      <c r="A41" s="8">
        <v>43108.254837962966</v>
      </c>
      <c r="B41" s="20" t="s">
        <v>359</v>
      </c>
      <c r="C41" s="20" t="s">
        <v>680</v>
      </c>
      <c r="D41" s="137">
        <v>2370000</v>
      </c>
      <c r="E41" s="20" t="s">
        <v>520</v>
      </c>
      <c r="F41" s="20" t="s">
        <v>521</v>
      </c>
      <c r="G41" s="8" t="str">
        <f t="shared" si="0"/>
        <v>DELGADO DIANAH</v>
      </c>
      <c r="H41" s="20" t="str">
        <f t="shared" si="1"/>
        <v>4018</v>
      </c>
    </row>
    <row r="42" spans="1:8" x14ac:dyDescent="0.3">
      <c r="A42" s="8">
        <v>43108.25545138889</v>
      </c>
      <c r="B42" s="20" t="s">
        <v>476</v>
      </c>
      <c r="C42" s="20" t="s">
        <v>681</v>
      </c>
      <c r="D42" s="137">
        <v>3030000</v>
      </c>
      <c r="E42" s="20" t="s">
        <v>529</v>
      </c>
      <c r="F42" s="20" t="s">
        <v>523</v>
      </c>
      <c r="G42" s="8" t="str">
        <f t="shared" si="0"/>
        <v>BIRENBAUM THOMAS</v>
      </c>
      <c r="H42" s="20" t="str">
        <f t="shared" si="1"/>
        <v>4064</v>
      </c>
    </row>
    <row r="43" spans="1:8" x14ac:dyDescent="0.3">
      <c r="A43" s="8">
        <v>43108.266087962962</v>
      </c>
      <c r="B43" s="20" t="s">
        <v>670</v>
      </c>
      <c r="C43" s="20" t="s">
        <v>682</v>
      </c>
      <c r="D43" s="137">
        <v>2470000</v>
      </c>
      <c r="E43" s="20" t="s">
        <v>527</v>
      </c>
      <c r="F43" s="20" t="s">
        <v>528</v>
      </c>
      <c r="G43" s="8" t="str">
        <f t="shared" si="0"/>
        <v>ROMERO CHAD</v>
      </c>
      <c r="H43" s="20" t="str">
        <f t="shared" si="1"/>
        <v>4053</v>
      </c>
    </row>
    <row r="44" spans="1:8" x14ac:dyDescent="0.3">
      <c r="A44" s="8">
        <v>43108.26666666667</v>
      </c>
      <c r="B44" s="20" t="s">
        <v>499</v>
      </c>
      <c r="C44" s="20" t="s">
        <v>683</v>
      </c>
      <c r="D44" s="137">
        <v>900000</v>
      </c>
      <c r="E44" s="20" t="s">
        <v>647</v>
      </c>
      <c r="F44" s="20" t="s">
        <v>648</v>
      </c>
      <c r="G44" s="8" t="str">
        <f t="shared" si="0"/>
        <v>ROCHA YAOTL</v>
      </c>
      <c r="H44" s="20" t="str">
        <f t="shared" si="1"/>
        <v>4043</v>
      </c>
    </row>
    <row r="45" spans="1:8" x14ac:dyDescent="0.3">
      <c r="A45" s="8">
        <v>43108.267685185187</v>
      </c>
      <c r="B45" s="20" t="s">
        <v>492</v>
      </c>
      <c r="C45" s="20" t="s">
        <v>684</v>
      </c>
      <c r="D45" s="137">
        <v>2010000</v>
      </c>
      <c r="E45" s="20" t="s">
        <v>657</v>
      </c>
      <c r="F45" s="20" t="s">
        <v>658</v>
      </c>
      <c r="G45" s="8" t="str">
        <f t="shared" si="0"/>
        <v>MAELZER KURT</v>
      </c>
      <c r="H45" s="20" t="str">
        <f t="shared" si="1"/>
        <v>4034</v>
      </c>
    </row>
    <row r="46" spans="1:8" x14ac:dyDescent="0.3">
      <c r="A46" s="8">
        <v>43108.268738425926</v>
      </c>
      <c r="B46" s="20" t="s">
        <v>485</v>
      </c>
      <c r="C46" s="20" t="s">
        <v>685</v>
      </c>
      <c r="D46" s="137">
        <v>3030000</v>
      </c>
      <c r="E46" s="20" t="s">
        <v>529</v>
      </c>
      <c r="F46" s="20" t="s">
        <v>523</v>
      </c>
      <c r="G46" s="8" t="str">
        <f t="shared" si="0"/>
        <v>BIRENBAUM THOMAS</v>
      </c>
      <c r="H46" s="20" t="str">
        <f t="shared" si="1"/>
        <v>4063</v>
      </c>
    </row>
    <row r="47" spans="1:8" x14ac:dyDescent="0.3">
      <c r="A47" s="8">
        <v>43108.275324074071</v>
      </c>
      <c r="B47" s="20" t="s">
        <v>447</v>
      </c>
      <c r="C47" s="20" t="s">
        <v>686</v>
      </c>
      <c r="D47" s="137">
        <v>1340000</v>
      </c>
      <c r="E47" s="20" t="s">
        <v>651</v>
      </c>
      <c r="F47" s="20" t="s">
        <v>652</v>
      </c>
      <c r="G47" s="8" t="str">
        <f t="shared" si="0"/>
        <v>BEAM ROSS</v>
      </c>
      <c r="H47" s="20" t="str">
        <f t="shared" si="1"/>
        <v>4051</v>
      </c>
    </row>
    <row r="48" spans="1:8" x14ac:dyDescent="0.3">
      <c r="A48" s="8">
        <v>43108.276284722226</v>
      </c>
      <c r="B48" s="20" t="s">
        <v>391</v>
      </c>
      <c r="C48" s="20" t="s">
        <v>687</v>
      </c>
      <c r="D48" s="137">
        <v>2560000</v>
      </c>
      <c r="E48" s="20" t="s">
        <v>522</v>
      </c>
      <c r="F48" s="20" t="s">
        <v>523</v>
      </c>
      <c r="G48" s="8" t="str">
        <f t="shared" si="0"/>
        <v>MACDONALD THOMAS</v>
      </c>
      <c r="H48" s="20" t="str">
        <f t="shared" si="1"/>
        <v>4030</v>
      </c>
    </row>
    <row r="49" spans="1:8" x14ac:dyDescent="0.3">
      <c r="A49" s="8">
        <v>43108.279814814814</v>
      </c>
      <c r="B49" s="20" t="s">
        <v>356</v>
      </c>
      <c r="C49" s="20" t="s">
        <v>622</v>
      </c>
      <c r="D49" s="137">
        <v>3120000</v>
      </c>
      <c r="E49" s="20" t="s">
        <v>368</v>
      </c>
      <c r="F49" s="20" t="s">
        <v>519</v>
      </c>
      <c r="G49" s="8" t="str">
        <f t="shared" si="0"/>
        <v>THOMPSON LESTER</v>
      </c>
      <c r="H49" s="20" t="str">
        <f t="shared" si="1"/>
        <v>4060</v>
      </c>
    </row>
    <row r="50" spans="1:8" x14ac:dyDescent="0.3">
      <c r="A50" s="8">
        <v>43108.28707175926</v>
      </c>
      <c r="B50" s="20" t="s">
        <v>361</v>
      </c>
      <c r="C50" s="20" t="s">
        <v>688</v>
      </c>
      <c r="D50" s="137">
        <v>2370000</v>
      </c>
      <c r="E50" s="20" t="s">
        <v>520</v>
      </c>
      <c r="F50" s="20" t="s">
        <v>521</v>
      </c>
      <c r="G50" s="8" t="str">
        <f t="shared" si="0"/>
        <v>DELGADO DIANAH</v>
      </c>
      <c r="H50" s="20" t="str">
        <f t="shared" si="1"/>
        <v>4017</v>
      </c>
    </row>
    <row r="51" spans="1:8" x14ac:dyDescent="0.3">
      <c r="A51" s="8">
        <v>43108.287569444445</v>
      </c>
      <c r="B51" s="20" t="s">
        <v>369</v>
      </c>
      <c r="C51" s="20" t="s">
        <v>689</v>
      </c>
      <c r="D51" s="137">
        <v>2600000</v>
      </c>
      <c r="E51" s="20" t="s">
        <v>663</v>
      </c>
      <c r="F51" s="20" t="s">
        <v>466</v>
      </c>
      <c r="G51" s="8" t="str">
        <f t="shared" si="0"/>
        <v>DAVIDSON DAVID</v>
      </c>
      <c r="H51" s="20" t="str">
        <f t="shared" si="1"/>
        <v>4012</v>
      </c>
    </row>
    <row r="52" spans="1:8" x14ac:dyDescent="0.3">
      <c r="A52" s="8">
        <v>43108.288773148146</v>
      </c>
      <c r="B52" s="20" t="s">
        <v>385</v>
      </c>
      <c r="C52" s="20" t="s">
        <v>690</v>
      </c>
      <c r="D52" s="137">
        <v>2560000</v>
      </c>
      <c r="E52" s="20" t="s">
        <v>522</v>
      </c>
      <c r="F52" s="20" t="s">
        <v>523</v>
      </c>
      <c r="G52" s="8" t="str">
        <f t="shared" si="0"/>
        <v>MACDONALD THOMAS</v>
      </c>
      <c r="H52" s="20" t="str">
        <f t="shared" si="1"/>
        <v>4029</v>
      </c>
    </row>
    <row r="53" spans="1:8" x14ac:dyDescent="0.3">
      <c r="A53" s="8">
        <v>43108.289178240739</v>
      </c>
      <c r="B53" s="20" t="s">
        <v>476</v>
      </c>
      <c r="C53" s="20" t="s">
        <v>621</v>
      </c>
      <c r="D53" s="137">
        <v>3030000</v>
      </c>
      <c r="E53" s="20" t="s">
        <v>529</v>
      </c>
      <c r="F53" s="20" t="s">
        <v>523</v>
      </c>
      <c r="G53" s="8" t="str">
        <f t="shared" si="0"/>
        <v>BIRENBAUM THOMAS</v>
      </c>
      <c r="H53" s="20" t="str">
        <f t="shared" si="1"/>
        <v>4064</v>
      </c>
    </row>
    <row r="54" spans="1:8" x14ac:dyDescent="0.3">
      <c r="A54" s="8">
        <v>43108.301365740743</v>
      </c>
      <c r="B54" s="20" t="s">
        <v>462</v>
      </c>
      <c r="C54" s="20" t="s">
        <v>691</v>
      </c>
      <c r="D54" s="137">
        <v>900000</v>
      </c>
      <c r="E54" s="20" t="s">
        <v>647</v>
      </c>
      <c r="F54" s="20" t="s">
        <v>648</v>
      </c>
      <c r="G54" s="8" t="str">
        <f t="shared" si="0"/>
        <v>ROCHA YAOTL</v>
      </c>
      <c r="H54" s="20" t="str">
        <f t="shared" si="1"/>
        <v>4044</v>
      </c>
    </row>
    <row r="55" spans="1:8" x14ac:dyDescent="0.3">
      <c r="A55" s="8">
        <v>43108.303622685184</v>
      </c>
      <c r="B55" s="20" t="s">
        <v>475</v>
      </c>
      <c r="C55" s="20" t="s">
        <v>692</v>
      </c>
      <c r="D55" s="137">
        <v>2010000</v>
      </c>
      <c r="E55" s="20" t="s">
        <v>657</v>
      </c>
      <c r="F55" s="20" t="s">
        <v>658</v>
      </c>
      <c r="G55" s="8" t="str">
        <f t="shared" si="0"/>
        <v>MAELZER KURT</v>
      </c>
      <c r="H55" s="20" t="str">
        <f t="shared" si="1"/>
        <v>4033</v>
      </c>
    </row>
    <row r="56" spans="1:8" x14ac:dyDescent="0.3">
      <c r="A56" s="8">
        <v>43108.306527777779</v>
      </c>
      <c r="B56" s="20" t="s">
        <v>636</v>
      </c>
      <c r="C56" s="20" t="s">
        <v>693</v>
      </c>
      <c r="D56" s="137">
        <v>2470000</v>
      </c>
      <c r="E56" s="20" t="s">
        <v>527</v>
      </c>
      <c r="F56" s="20" t="s">
        <v>528</v>
      </c>
      <c r="G56" s="8" t="str">
        <f t="shared" si="0"/>
        <v>ROMERO CHAD</v>
      </c>
      <c r="H56" s="20" t="str">
        <f t="shared" si="1"/>
        <v>4054</v>
      </c>
    </row>
    <row r="57" spans="1:8" x14ac:dyDescent="0.3">
      <c r="A57" s="8">
        <v>43108.310312499998</v>
      </c>
      <c r="B57" s="20" t="s">
        <v>485</v>
      </c>
      <c r="C57" s="20" t="s">
        <v>694</v>
      </c>
      <c r="D57" s="137">
        <v>3030000</v>
      </c>
      <c r="E57" s="20" t="s">
        <v>529</v>
      </c>
      <c r="F57" s="20" t="s">
        <v>523</v>
      </c>
      <c r="G57" s="8" t="str">
        <f t="shared" si="0"/>
        <v>BIRENBAUM THOMAS</v>
      </c>
      <c r="H57" s="20" t="str">
        <f t="shared" si="1"/>
        <v>4063</v>
      </c>
    </row>
    <row r="58" spans="1:8" x14ac:dyDescent="0.3">
      <c r="A58" s="8">
        <v>43108.316990740743</v>
      </c>
      <c r="B58" s="20" t="s">
        <v>445</v>
      </c>
      <c r="C58" s="20" t="s">
        <v>695</v>
      </c>
      <c r="D58" s="137">
        <v>1340000</v>
      </c>
      <c r="E58" s="20" t="s">
        <v>651</v>
      </c>
      <c r="F58" s="20" t="s">
        <v>652</v>
      </c>
      <c r="G58" s="8" t="str">
        <f t="shared" si="0"/>
        <v>BEAM ROSS</v>
      </c>
      <c r="H58" s="20" t="str">
        <f t="shared" si="1"/>
        <v>4052</v>
      </c>
    </row>
    <row r="59" spans="1:8" x14ac:dyDescent="0.3">
      <c r="A59" s="8">
        <v>43108.318206018521</v>
      </c>
      <c r="B59" s="20" t="s">
        <v>391</v>
      </c>
      <c r="C59" s="20" t="s">
        <v>696</v>
      </c>
      <c r="D59" s="137">
        <v>2560000</v>
      </c>
      <c r="E59" s="20" t="s">
        <v>522</v>
      </c>
      <c r="F59" s="20" t="s">
        <v>523</v>
      </c>
      <c r="G59" s="8" t="str">
        <f t="shared" si="0"/>
        <v>MACDONALD THOMAS</v>
      </c>
      <c r="H59" s="20" t="str">
        <f t="shared" si="1"/>
        <v>4030</v>
      </c>
    </row>
    <row r="60" spans="1:8" x14ac:dyDescent="0.3">
      <c r="A60" s="8">
        <v>43108.320162037038</v>
      </c>
      <c r="B60" s="20" t="s">
        <v>389</v>
      </c>
      <c r="C60" s="20" t="s">
        <v>697</v>
      </c>
      <c r="D60" s="137">
        <v>3120000</v>
      </c>
      <c r="E60" s="20" t="s">
        <v>368</v>
      </c>
      <c r="F60" s="20" t="s">
        <v>519</v>
      </c>
      <c r="G60" s="8" t="str">
        <f t="shared" si="0"/>
        <v>THOMPSON LESTER</v>
      </c>
      <c r="H60" s="20" t="str">
        <f t="shared" si="1"/>
        <v>4059</v>
      </c>
    </row>
    <row r="61" spans="1:8" x14ac:dyDescent="0.3">
      <c r="A61" s="8">
        <v>43108.32608796296</v>
      </c>
      <c r="B61" s="20" t="s">
        <v>370</v>
      </c>
      <c r="C61" s="20" t="s">
        <v>698</v>
      </c>
      <c r="D61" s="137">
        <v>2600000</v>
      </c>
      <c r="E61" s="20" t="s">
        <v>663</v>
      </c>
      <c r="F61" s="20" t="s">
        <v>466</v>
      </c>
      <c r="G61" s="8" t="str">
        <f t="shared" si="0"/>
        <v>DAVIDSON DAVID</v>
      </c>
      <c r="H61" s="20" t="str">
        <f t="shared" si="1"/>
        <v>4011</v>
      </c>
    </row>
    <row r="62" spans="1:8" x14ac:dyDescent="0.3">
      <c r="A62" s="8">
        <v>43108.328067129631</v>
      </c>
      <c r="B62" s="20" t="s">
        <v>355</v>
      </c>
      <c r="C62" s="20" t="s">
        <v>623</v>
      </c>
      <c r="D62" s="137">
        <v>2270000</v>
      </c>
      <c r="E62" s="20" t="s">
        <v>699</v>
      </c>
      <c r="F62" s="20" t="s">
        <v>700</v>
      </c>
      <c r="G62" s="8" t="str">
        <f t="shared" si="0"/>
        <v>BROWN JACOB</v>
      </c>
      <c r="H62" s="20" t="str">
        <f t="shared" si="1"/>
        <v>4008</v>
      </c>
    </row>
    <row r="63" spans="1:8" x14ac:dyDescent="0.3">
      <c r="A63" s="8">
        <v>43108.328877314816</v>
      </c>
      <c r="B63" s="20" t="s">
        <v>359</v>
      </c>
      <c r="C63" s="20" t="s">
        <v>701</v>
      </c>
      <c r="D63" s="137">
        <v>2370000</v>
      </c>
      <c r="E63" s="20" t="s">
        <v>520</v>
      </c>
      <c r="F63" s="20" t="s">
        <v>521</v>
      </c>
      <c r="G63" s="8" t="str">
        <f t="shared" si="0"/>
        <v>DELGADO DIANAH</v>
      </c>
      <c r="H63" s="20" t="str">
        <f t="shared" si="1"/>
        <v>4018</v>
      </c>
    </row>
    <row r="64" spans="1:8" x14ac:dyDescent="0.3">
      <c r="A64" s="26">
        <v>43108.329861111109</v>
      </c>
      <c r="B64" s="20" t="s">
        <v>385</v>
      </c>
      <c r="C64" s="20" t="s">
        <v>702</v>
      </c>
      <c r="D64" s="137">
        <v>2560000</v>
      </c>
      <c r="E64" s="20" t="s">
        <v>522</v>
      </c>
      <c r="F64" s="20" t="s">
        <v>523</v>
      </c>
      <c r="G64" s="8" t="str">
        <f t="shared" si="0"/>
        <v>MACDONALD THOMAS</v>
      </c>
      <c r="H64" s="20" t="str">
        <f t="shared" si="1"/>
        <v>4029</v>
      </c>
    </row>
    <row r="65" spans="1:8" x14ac:dyDescent="0.3">
      <c r="A65" s="8">
        <v>43108.331064814818</v>
      </c>
      <c r="B65" s="20" t="s">
        <v>476</v>
      </c>
      <c r="C65" s="20" t="s">
        <v>703</v>
      </c>
      <c r="D65" s="137">
        <v>3030000</v>
      </c>
      <c r="E65" s="20" t="s">
        <v>529</v>
      </c>
      <c r="F65" s="20" t="s">
        <v>523</v>
      </c>
      <c r="G65" s="8" t="str">
        <f t="shared" si="0"/>
        <v>BIRENBAUM THOMAS</v>
      </c>
      <c r="H65" s="20" t="str">
        <f t="shared" si="1"/>
        <v>4064</v>
      </c>
    </row>
    <row r="66" spans="1:8" x14ac:dyDescent="0.3">
      <c r="A66" s="8">
        <v>43108.338125000002</v>
      </c>
      <c r="B66" s="20" t="s">
        <v>670</v>
      </c>
      <c r="C66" s="20" t="s">
        <v>704</v>
      </c>
      <c r="D66" s="137">
        <v>2470000</v>
      </c>
      <c r="E66" s="20" t="s">
        <v>527</v>
      </c>
      <c r="F66" s="20" t="s">
        <v>528</v>
      </c>
      <c r="G66" s="8" t="str">
        <f t="shared" si="0"/>
        <v>ROMERO CHAD</v>
      </c>
      <c r="H66" s="20" t="str">
        <f t="shared" si="1"/>
        <v>4053</v>
      </c>
    </row>
    <row r="67" spans="1:8" x14ac:dyDescent="0.3">
      <c r="A67" s="8">
        <v>43108.339479166665</v>
      </c>
      <c r="B67" s="20" t="s">
        <v>492</v>
      </c>
      <c r="C67" s="20" t="s">
        <v>705</v>
      </c>
      <c r="D67" s="137">
        <v>2010000</v>
      </c>
      <c r="E67" s="20" t="s">
        <v>657</v>
      </c>
      <c r="F67" s="20" t="s">
        <v>658</v>
      </c>
      <c r="G67" s="8" t="str">
        <f t="shared" ref="G67:G130" si="2">E67&amp;" "&amp;F67</f>
        <v>MAELZER KURT</v>
      </c>
      <c r="H67" s="20" t="str">
        <f t="shared" ref="H67:H130" si="3">MID(B67,13,4)</f>
        <v>4034</v>
      </c>
    </row>
    <row r="68" spans="1:8" x14ac:dyDescent="0.3">
      <c r="A68" s="8">
        <v>43108.34065972222</v>
      </c>
      <c r="B68" s="20" t="s">
        <v>499</v>
      </c>
      <c r="C68" s="20" t="s">
        <v>706</v>
      </c>
      <c r="D68" s="137">
        <v>900000</v>
      </c>
      <c r="E68" s="20" t="s">
        <v>647</v>
      </c>
      <c r="F68" s="20" t="s">
        <v>648</v>
      </c>
      <c r="G68" s="8" t="str">
        <f t="shared" si="2"/>
        <v>ROCHA YAOTL</v>
      </c>
      <c r="H68" s="20" t="str">
        <f t="shared" si="3"/>
        <v>4043</v>
      </c>
    </row>
    <row r="69" spans="1:8" x14ac:dyDescent="0.3">
      <c r="A69" s="8">
        <v>43108.350381944445</v>
      </c>
      <c r="B69" s="20" t="s">
        <v>447</v>
      </c>
      <c r="C69" s="20" t="s">
        <v>707</v>
      </c>
      <c r="D69" s="137">
        <v>1340000</v>
      </c>
      <c r="E69" s="20" t="s">
        <v>651</v>
      </c>
      <c r="F69" s="20" t="s">
        <v>652</v>
      </c>
      <c r="G69" s="8" t="str">
        <f t="shared" si="2"/>
        <v>BEAM ROSS</v>
      </c>
      <c r="H69" s="20" t="str">
        <f t="shared" si="3"/>
        <v>4051</v>
      </c>
    </row>
    <row r="70" spans="1:8" x14ac:dyDescent="0.3">
      <c r="A70" s="8">
        <v>43108.350891203707</v>
      </c>
      <c r="B70" s="20" t="s">
        <v>360</v>
      </c>
      <c r="C70" s="20" t="s">
        <v>627</v>
      </c>
      <c r="D70" s="137">
        <v>2270000</v>
      </c>
      <c r="E70" s="20" t="s">
        <v>699</v>
      </c>
      <c r="F70" s="20" t="s">
        <v>700</v>
      </c>
      <c r="G70" s="8" t="str">
        <f t="shared" si="2"/>
        <v>BROWN JACOB</v>
      </c>
      <c r="H70" s="20" t="str">
        <f t="shared" si="3"/>
        <v>4007</v>
      </c>
    </row>
    <row r="71" spans="1:8" x14ac:dyDescent="0.3">
      <c r="A71" s="8">
        <v>43108.351400462961</v>
      </c>
      <c r="B71" s="20" t="s">
        <v>485</v>
      </c>
      <c r="C71" s="20" t="s">
        <v>708</v>
      </c>
      <c r="D71" s="137">
        <v>3030000</v>
      </c>
      <c r="E71" s="20" t="s">
        <v>529</v>
      </c>
      <c r="F71" s="20" t="s">
        <v>523</v>
      </c>
      <c r="G71" s="8" t="str">
        <f t="shared" si="2"/>
        <v>BIRENBAUM THOMAS</v>
      </c>
      <c r="H71" s="20" t="str">
        <f t="shared" si="3"/>
        <v>4063</v>
      </c>
    </row>
    <row r="72" spans="1:8" x14ac:dyDescent="0.3">
      <c r="A72" s="8">
        <v>43108.352465277778</v>
      </c>
      <c r="B72" s="20" t="s">
        <v>391</v>
      </c>
      <c r="C72" s="20" t="s">
        <v>709</v>
      </c>
      <c r="D72" s="137">
        <v>2560000</v>
      </c>
      <c r="E72" s="20" t="s">
        <v>522</v>
      </c>
      <c r="F72" s="20" t="s">
        <v>523</v>
      </c>
      <c r="G72" s="8" t="str">
        <f t="shared" si="2"/>
        <v>MACDONALD THOMAS</v>
      </c>
      <c r="H72" s="20" t="str">
        <f t="shared" si="3"/>
        <v>4030</v>
      </c>
    </row>
    <row r="73" spans="1:8" x14ac:dyDescent="0.3">
      <c r="A73" s="8">
        <v>43108.352881944447</v>
      </c>
      <c r="B73" s="20" t="s">
        <v>356</v>
      </c>
      <c r="C73" s="20" t="s">
        <v>624</v>
      </c>
      <c r="D73" s="137">
        <v>3120000</v>
      </c>
      <c r="E73" s="20" t="s">
        <v>368</v>
      </c>
      <c r="F73" s="20" t="s">
        <v>519</v>
      </c>
      <c r="G73" s="8" t="str">
        <f t="shared" si="2"/>
        <v>THOMPSON LESTER</v>
      </c>
      <c r="H73" s="20" t="str">
        <f t="shared" si="3"/>
        <v>4060</v>
      </c>
    </row>
    <row r="74" spans="1:8" x14ac:dyDescent="0.3">
      <c r="A74" s="8">
        <v>43108.361157407409</v>
      </c>
      <c r="B74" s="20" t="s">
        <v>369</v>
      </c>
      <c r="C74" s="20" t="s">
        <v>710</v>
      </c>
      <c r="D74" s="137">
        <v>2600000</v>
      </c>
      <c r="E74" s="20" t="s">
        <v>663</v>
      </c>
      <c r="F74" s="20" t="s">
        <v>466</v>
      </c>
      <c r="G74" s="8" t="str">
        <f t="shared" si="2"/>
        <v>DAVIDSON DAVID</v>
      </c>
      <c r="H74" s="20" t="str">
        <f t="shared" si="3"/>
        <v>4012</v>
      </c>
    </row>
    <row r="75" spans="1:8" x14ac:dyDescent="0.3">
      <c r="A75" s="8">
        <v>43108.365636574075</v>
      </c>
      <c r="B75" s="20" t="s">
        <v>355</v>
      </c>
      <c r="C75" s="20" t="s">
        <v>623</v>
      </c>
      <c r="D75" s="137">
        <v>1830000</v>
      </c>
      <c r="E75" s="20" t="s">
        <v>345</v>
      </c>
      <c r="F75" s="20" t="s">
        <v>346</v>
      </c>
      <c r="G75" s="8" t="str">
        <f t="shared" si="2"/>
        <v>YORK EDGAR</v>
      </c>
      <c r="H75" s="20" t="str">
        <f t="shared" si="3"/>
        <v>4008</v>
      </c>
    </row>
    <row r="76" spans="1:8" x14ac:dyDescent="0.3">
      <c r="A76" s="8">
        <v>43108.367777777778</v>
      </c>
      <c r="B76" s="20" t="s">
        <v>361</v>
      </c>
      <c r="C76" s="20" t="s">
        <v>711</v>
      </c>
      <c r="D76" s="137">
        <v>2370000</v>
      </c>
      <c r="E76" s="20" t="s">
        <v>520</v>
      </c>
      <c r="F76" s="20" t="s">
        <v>521</v>
      </c>
      <c r="G76" s="8" t="str">
        <f t="shared" si="2"/>
        <v>DELGADO DIANAH</v>
      </c>
      <c r="H76" s="20" t="str">
        <f t="shared" si="3"/>
        <v>4017</v>
      </c>
    </row>
    <row r="77" spans="1:8" x14ac:dyDescent="0.3">
      <c r="A77" s="8">
        <v>43108.368402777778</v>
      </c>
      <c r="B77" s="20" t="s">
        <v>462</v>
      </c>
      <c r="C77" s="20" t="s">
        <v>712</v>
      </c>
      <c r="D77" s="137">
        <v>900000</v>
      </c>
      <c r="E77" s="20" t="s">
        <v>647</v>
      </c>
      <c r="F77" s="20" t="s">
        <v>648</v>
      </c>
      <c r="G77" s="8" t="str">
        <f t="shared" si="2"/>
        <v>ROCHA YAOTL</v>
      </c>
      <c r="H77" s="20" t="str">
        <f t="shared" si="3"/>
        <v>4044</v>
      </c>
    </row>
    <row r="78" spans="1:8" x14ac:dyDescent="0.3">
      <c r="A78" s="8">
        <v>43108.372662037036</v>
      </c>
      <c r="B78" s="20" t="s">
        <v>476</v>
      </c>
      <c r="C78" s="20" t="s">
        <v>713</v>
      </c>
      <c r="D78" s="137">
        <v>3030000</v>
      </c>
      <c r="E78" s="20" t="s">
        <v>529</v>
      </c>
      <c r="F78" s="20" t="s">
        <v>523</v>
      </c>
      <c r="G78" s="8" t="str">
        <f t="shared" si="2"/>
        <v>BIRENBAUM THOMAS</v>
      </c>
      <c r="H78" s="20" t="str">
        <f t="shared" si="3"/>
        <v>4064</v>
      </c>
    </row>
    <row r="79" spans="1:8" x14ac:dyDescent="0.3">
      <c r="A79" s="8">
        <v>43108.374259259261</v>
      </c>
      <c r="B79" s="20" t="s">
        <v>475</v>
      </c>
      <c r="C79" s="20" t="s">
        <v>714</v>
      </c>
      <c r="D79" s="137">
        <v>2010000</v>
      </c>
      <c r="E79" s="20" t="s">
        <v>657</v>
      </c>
      <c r="F79" s="20" t="s">
        <v>658</v>
      </c>
      <c r="G79" s="8" t="str">
        <f t="shared" si="2"/>
        <v>MAELZER KURT</v>
      </c>
      <c r="H79" s="20" t="str">
        <f t="shared" si="3"/>
        <v>4033</v>
      </c>
    </row>
    <row r="80" spans="1:8" x14ac:dyDescent="0.3">
      <c r="A80" s="8">
        <v>43108.380335648151</v>
      </c>
      <c r="B80" s="20" t="s">
        <v>636</v>
      </c>
      <c r="C80" s="20" t="s">
        <v>715</v>
      </c>
      <c r="D80" s="137">
        <v>2470000</v>
      </c>
      <c r="E80" s="20" t="s">
        <v>527</v>
      </c>
      <c r="F80" s="20" t="s">
        <v>528</v>
      </c>
      <c r="G80" s="8" t="str">
        <f t="shared" si="2"/>
        <v>ROMERO CHAD</v>
      </c>
      <c r="H80" s="20" t="str">
        <f t="shared" si="3"/>
        <v>4054</v>
      </c>
    </row>
    <row r="81" spans="1:8" x14ac:dyDescent="0.3">
      <c r="A81" s="8">
        <v>43108.391423611109</v>
      </c>
      <c r="B81" s="20" t="s">
        <v>370</v>
      </c>
      <c r="C81" s="20" t="s">
        <v>716</v>
      </c>
      <c r="D81" s="137">
        <v>2600000</v>
      </c>
      <c r="E81" s="20" t="s">
        <v>663</v>
      </c>
      <c r="F81" s="20" t="s">
        <v>466</v>
      </c>
      <c r="G81" s="8" t="str">
        <f t="shared" si="2"/>
        <v>DAVIDSON DAVID</v>
      </c>
      <c r="H81" s="20" t="str">
        <f t="shared" si="3"/>
        <v>4011</v>
      </c>
    </row>
    <row r="82" spans="1:8" x14ac:dyDescent="0.3">
      <c r="A82" s="8">
        <v>43108.391701388886</v>
      </c>
      <c r="B82" s="20" t="s">
        <v>445</v>
      </c>
      <c r="C82" s="20" t="s">
        <v>626</v>
      </c>
      <c r="D82" s="137">
        <v>1340000</v>
      </c>
      <c r="E82" s="20" t="s">
        <v>651</v>
      </c>
      <c r="F82" s="20" t="s">
        <v>652</v>
      </c>
      <c r="G82" s="8" t="str">
        <f t="shared" si="2"/>
        <v>BEAM ROSS</v>
      </c>
      <c r="H82" s="20" t="str">
        <f t="shared" si="3"/>
        <v>4052</v>
      </c>
    </row>
    <row r="83" spans="1:8" x14ac:dyDescent="0.3">
      <c r="A83" s="8">
        <v>43108.39199074074</v>
      </c>
      <c r="B83" s="20" t="s">
        <v>485</v>
      </c>
      <c r="C83" s="20" t="s">
        <v>717</v>
      </c>
      <c r="D83" s="137">
        <v>3030000</v>
      </c>
      <c r="E83" s="20" t="s">
        <v>529</v>
      </c>
      <c r="F83" s="20" t="s">
        <v>523</v>
      </c>
      <c r="G83" s="8" t="str">
        <f t="shared" si="2"/>
        <v>BIRENBAUM THOMAS</v>
      </c>
      <c r="H83" s="20" t="str">
        <f t="shared" si="3"/>
        <v>4063</v>
      </c>
    </row>
    <row r="84" spans="1:8" x14ac:dyDescent="0.3">
      <c r="A84" s="8">
        <v>43108.393217592595</v>
      </c>
      <c r="B84" s="20" t="s">
        <v>389</v>
      </c>
      <c r="C84" s="20" t="s">
        <v>718</v>
      </c>
      <c r="D84" s="137">
        <v>3120000</v>
      </c>
      <c r="E84" s="20" t="s">
        <v>368</v>
      </c>
      <c r="F84" s="20" t="s">
        <v>519</v>
      </c>
      <c r="G84" s="8" t="str">
        <f t="shared" si="2"/>
        <v>THOMPSON LESTER</v>
      </c>
      <c r="H84" s="20" t="str">
        <f t="shared" si="3"/>
        <v>4059</v>
      </c>
    </row>
    <row r="85" spans="1:8" x14ac:dyDescent="0.3">
      <c r="A85" s="8">
        <v>43108.393252314818</v>
      </c>
      <c r="B85" s="20" t="s">
        <v>360</v>
      </c>
      <c r="C85" s="20" t="s">
        <v>627</v>
      </c>
      <c r="D85" s="137">
        <v>1830000</v>
      </c>
      <c r="E85" s="20" t="s">
        <v>345</v>
      </c>
      <c r="F85" s="20" t="s">
        <v>346</v>
      </c>
      <c r="G85" s="8" t="str">
        <f t="shared" si="2"/>
        <v>YORK EDGAR</v>
      </c>
      <c r="H85" s="20" t="str">
        <f t="shared" si="3"/>
        <v>4007</v>
      </c>
    </row>
    <row r="86" spans="1:8" x14ac:dyDescent="0.3">
      <c r="A86" s="8">
        <v>43108.400937500002</v>
      </c>
      <c r="B86" s="20" t="s">
        <v>499</v>
      </c>
      <c r="C86" s="20" t="s">
        <v>719</v>
      </c>
      <c r="D86" s="137">
        <v>900000</v>
      </c>
      <c r="E86" s="20" t="s">
        <v>647</v>
      </c>
      <c r="F86" s="20" t="s">
        <v>648</v>
      </c>
      <c r="G86" s="8" t="str">
        <f t="shared" si="2"/>
        <v>ROCHA YAOTL</v>
      </c>
      <c r="H86" s="20" t="str">
        <f t="shared" si="3"/>
        <v>4043</v>
      </c>
    </row>
    <row r="87" spans="1:8" x14ac:dyDescent="0.3">
      <c r="A87" s="8">
        <v>43108.402060185188</v>
      </c>
      <c r="B87" s="20" t="s">
        <v>359</v>
      </c>
      <c r="C87" s="20" t="s">
        <v>720</v>
      </c>
      <c r="D87" s="137">
        <v>2370000</v>
      </c>
      <c r="E87" s="20" t="s">
        <v>520</v>
      </c>
      <c r="F87" s="20" t="s">
        <v>521</v>
      </c>
      <c r="G87" s="8" t="str">
        <f t="shared" si="2"/>
        <v>DELGADO DIANAH</v>
      </c>
      <c r="H87" s="20" t="str">
        <f t="shared" si="3"/>
        <v>4018</v>
      </c>
    </row>
    <row r="88" spans="1:8" x14ac:dyDescent="0.3">
      <c r="A88" s="8">
        <v>43108.411805555559</v>
      </c>
      <c r="B88" s="20" t="s">
        <v>670</v>
      </c>
      <c r="C88" s="20" t="s">
        <v>721</v>
      </c>
      <c r="D88" s="137">
        <v>2470000</v>
      </c>
      <c r="E88" s="20" t="s">
        <v>527</v>
      </c>
      <c r="F88" s="20" t="s">
        <v>528</v>
      </c>
      <c r="G88" s="8" t="str">
        <f t="shared" si="2"/>
        <v>ROMERO CHAD</v>
      </c>
      <c r="H88" s="20" t="str">
        <f t="shared" si="3"/>
        <v>4053</v>
      </c>
    </row>
    <row r="89" spans="1:8" x14ac:dyDescent="0.3">
      <c r="A89" s="8">
        <v>43108.412175925929</v>
      </c>
      <c r="B89" s="20" t="s">
        <v>383</v>
      </c>
      <c r="C89" s="20" t="s">
        <v>722</v>
      </c>
      <c r="D89" s="137">
        <v>3300000</v>
      </c>
      <c r="E89" s="20" t="s">
        <v>723</v>
      </c>
      <c r="F89" s="20" t="s">
        <v>724</v>
      </c>
      <c r="G89" s="8" t="str">
        <f t="shared" si="2"/>
        <v>LANGERAK WILLIAM</v>
      </c>
      <c r="H89" s="20" t="str">
        <f t="shared" si="3"/>
        <v>4022</v>
      </c>
    </row>
    <row r="90" spans="1:8" x14ac:dyDescent="0.3">
      <c r="A90" s="8">
        <v>43108.413645833331</v>
      </c>
      <c r="B90" s="20" t="s">
        <v>492</v>
      </c>
      <c r="C90" s="20" t="s">
        <v>725</v>
      </c>
      <c r="D90" s="137">
        <v>2010000</v>
      </c>
      <c r="E90" s="20" t="s">
        <v>657</v>
      </c>
      <c r="F90" s="20" t="s">
        <v>658</v>
      </c>
      <c r="G90" s="8" t="str">
        <f t="shared" si="2"/>
        <v>MAELZER KURT</v>
      </c>
      <c r="H90" s="20" t="str">
        <f t="shared" si="3"/>
        <v>4034</v>
      </c>
    </row>
    <row r="91" spans="1:8" x14ac:dyDescent="0.3">
      <c r="A91" s="8">
        <v>43108.414305555554</v>
      </c>
      <c r="B91" s="20" t="s">
        <v>476</v>
      </c>
      <c r="C91" s="20" t="s">
        <v>726</v>
      </c>
      <c r="D91" s="137">
        <v>3030000</v>
      </c>
      <c r="E91" s="20" t="s">
        <v>529</v>
      </c>
      <c r="F91" s="20" t="s">
        <v>523</v>
      </c>
      <c r="G91" s="8" t="str">
        <f t="shared" si="2"/>
        <v>BIRENBAUM THOMAS</v>
      </c>
      <c r="H91" s="20" t="str">
        <f t="shared" si="3"/>
        <v>4064</v>
      </c>
    </row>
    <row r="92" spans="1:8" x14ac:dyDescent="0.3">
      <c r="A92" s="8">
        <v>43108.42114583333</v>
      </c>
      <c r="B92" s="20" t="s">
        <v>447</v>
      </c>
      <c r="C92" s="20" t="s">
        <v>727</v>
      </c>
      <c r="D92" s="137">
        <v>1340000</v>
      </c>
      <c r="E92" s="20" t="s">
        <v>651</v>
      </c>
      <c r="F92" s="20" t="s">
        <v>652</v>
      </c>
      <c r="G92" s="8" t="str">
        <f t="shared" si="2"/>
        <v>BEAM ROSS</v>
      </c>
      <c r="H92" s="20" t="str">
        <f t="shared" si="3"/>
        <v>4051</v>
      </c>
    </row>
    <row r="93" spans="1:8" x14ac:dyDescent="0.3">
      <c r="A93" s="8">
        <v>43108.42255787037</v>
      </c>
      <c r="B93" s="20" t="s">
        <v>566</v>
      </c>
      <c r="C93" s="20" t="s">
        <v>728</v>
      </c>
      <c r="D93" s="137">
        <v>3300000</v>
      </c>
      <c r="E93" s="20" t="s">
        <v>723</v>
      </c>
      <c r="F93" s="20" t="s">
        <v>724</v>
      </c>
      <c r="G93" s="8" t="str">
        <f t="shared" si="2"/>
        <v>LANGERAK WILLIAM</v>
      </c>
      <c r="H93" s="20" t="str">
        <f t="shared" si="3"/>
        <v>4021</v>
      </c>
    </row>
    <row r="94" spans="1:8" x14ac:dyDescent="0.3">
      <c r="A94" s="8">
        <v>43108.423738425925</v>
      </c>
      <c r="B94" s="20" t="s">
        <v>356</v>
      </c>
      <c r="C94" s="20" t="s">
        <v>729</v>
      </c>
      <c r="D94" s="137">
        <v>2560000</v>
      </c>
      <c r="E94" s="20" t="s">
        <v>522</v>
      </c>
      <c r="F94" s="20" t="s">
        <v>523</v>
      </c>
      <c r="G94" s="8" t="str">
        <f t="shared" si="2"/>
        <v>MACDONALD THOMAS</v>
      </c>
      <c r="H94" s="20" t="str">
        <f t="shared" si="3"/>
        <v>4060</v>
      </c>
    </row>
    <row r="95" spans="1:8" x14ac:dyDescent="0.3">
      <c r="A95" s="8">
        <v>43108.430752314816</v>
      </c>
      <c r="B95" s="20" t="s">
        <v>383</v>
      </c>
      <c r="C95" s="20" t="s">
        <v>730</v>
      </c>
      <c r="D95" s="137">
        <v>2600000</v>
      </c>
      <c r="E95" s="20" t="s">
        <v>663</v>
      </c>
      <c r="F95" s="20" t="s">
        <v>466</v>
      </c>
      <c r="G95" s="8" t="str">
        <f t="shared" si="2"/>
        <v>DAVIDSON DAVID</v>
      </c>
      <c r="H95" s="20" t="str">
        <f t="shared" si="3"/>
        <v>4022</v>
      </c>
    </row>
    <row r="96" spans="1:8" x14ac:dyDescent="0.3">
      <c r="A96" s="8">
        <v>43108.432280092595</v>
      </c>
      <c r="B96" s="20" t="s">
        <v>441</v>
      </c>
      <c r="C96" s="20" t="s">
        <v>623</v>
      </c>
      <c r="D96" s="137">
        <v>2270000</v>
      </c>
      <c r="E96" s="20" t="s">
        <v>699</v>
      </c>
      <c r="F96" s="20" t="s">
        <v>700</v>
      </c>
      <c r="G96" s="8" t="str">
        <f t="shared" si="2"/>
        <v>BROWN JACOB</v>
      </c>
      <c r="H96" s="20" t="str">
        <f t="shared" si="3"/>
        <v>4010</v>
      </c>
    </row>
    <row r="97" spans="1:8" x14ac:dyDescent="0.3">
      <c r="A97" s="8">
        <v>43108.432951388888</v>
      </c>
      <c r="B97" s="20" t="s">
        <v>361</v>
      </c>
      <c r="C97" s="20" t="s">
        <v>731</v>
      </c>
      <c r="D97" s="137">
        <v>2370000</v>
      </c>
      <c r="E97" s="20" t="s">
        <v>520</v>
      </c>
      <c r="F97" s="20" t="s">
        <v>521</v>
      </c>
      <c r="G97" s="8" t="str">
        <f t="shared" si="2"/>
        <v>DELGADO DIANAH</v>
      </c>
      <c r="H97" s="20" t="str">
        <f t="shared" si="3"/>
        <v>4017</v>
      </c>
    </row>
    <row r="98" spans="1:8" x14ac:dyDescent="0.3">
      <c r="A98" s="8">
        <v>43108.434467592589</v>
      </c>
      <c r="B98" s="20" t="s">
        <v>485</v>
      </c>
      <c r="C98" s="20" t="s">
        <v>732</v>
      </c>
      <c r="D98" s="137">
        <v>3030000</v>
      </c>
      <c r="E98" s="20" t="s">
        <v>529</v>
      </c>
      <c r="F98" s="20" t="s">
        <v>523</v>
      </c>
      <c r="G98" s="8" t="str">
        <f t="shared" si="2"/>
        <v>BIRENBAUM THOMAS</v>
      </c>
      <c r="H98" s="20" t="str">
        <f t="shared" si="3"/>
        <v>4063</v>
      </c>
    </row>
    <row r="99" spans="1:8" x14ac:dyDescent="0.3">
      <c r="A99" s="8">
        <v>43108.441805555558</v>
      </c>
      <c r="B99" s="20" t="s">
        <v>441</v>
      </c>
      <c r="C99" s="20" t="s">
        <v>623</v>
      </c>
      <c r="D99" s="137">
        <v>2270000</v>
      </c>
      <c r="E99" s="20" t="s">
        <v>699</v>
      </c>
      <c r="F99" s="20" t="s">
        <v>700</v>
      </c>
      <c r="G99" s="8" t="str">
        <f t="shared" si="2"/>
        <v>BROWN JACOB</v>
      </c>
      <c r="H99" s="20" t="str">
        <f t="shared" si="3"/>
        <v>4010</v>
      </c>
    </row>
    <row r="100" spans="1:8" x14ac:dyDescent="0.3">
      <c r="A100" s="8">
        <v>43108.445486111108</v>
      </c>
      <c r="B100" s="20" t="s">
        <v>462</v>
      </c>
      <c r="C100" s="20" t="s">
        <v>733</v>
      </c>
      <c r="D100" s="137">
        <v>2550000</v>
      </c>
      <c r="E100" s="20" t="s">
        <v>502</v>
      </c>
      <c r="F100" s="20" t="s">
        <v>503</v>
      </c>
      <c r="G100" s="8" t="str">
        <f t="shared" si="2"/>
        <v>BADERTSCHER DIANE</v>
      </c>
      <c r="H100" s="20" t="str">
        <f t="shared" si="3"/>
        <v>4044</v>
      </c>
    </row>
    <row r="101" spans="1:8" x14ac:dyDescent="0.3">
      <c r="A101" s="8">
        <v>43108.447696759256</v>
      </c>
      <c r="B101" s="20" t="s">
        <v>475</v>
      </c>
      <c r="C101" s="20" t="s">
        <v>734</v>
      </c>
      <c r="D101" s="137">
        <v>2010000</v>
      </c>
      <c r="E101" s="20" t="s">
        <v>657</v>
      </c>
      <c r="F101" s="20" t="s">
        <v>658</v>
      </c>
      <c r="G101" s="8" t="str">
        <f t="shared" si="2"/>
        <v>MAELZER KURT</v>
      </c>
      <c r="H101" s="20" t="str">
        <f t="shared" si="3"/>
        <v>4033</v>
      </c>
    </row>
    <row r="102" spans="1:8" x14ac:dyDescent="0.3">
      <c r="A102" s="8">
        <v>43108.45275462963</v>
      </c>
      <c r="B102" s="20" t="s">
        <v>636</v>
      </c>
      <c r="C102" s="20" t="s">
        <v>735</v>
      </c>
      <c r="D102" s="137">
        <v>2470000</v>
      </c>
      <c r="E102" s="20" t="s">
        <v>527</v>
      </c>
      <c r="F102" s="20" t="s">
        <v>528</v>
      </c>
      <c r="G102" s="8" t="str">
        <f t="shared" si="2"/>
        <v>ROMERO CHAD</v>
      </c>
      <c r="H102" s="20" t="str">
        <f t="shared" si="3"/>
        <v>4054</v>
      </c>
    </row>
    <row r="103" spans="1:8" x14ac:dyDescent="0.3">
      <c r="A103" s="8">
        <v>43108.456030092595</v>
      </c>
      <c r="B103" s="20" t="s">
        <v>476</v>
      </c>
      <c r="C103" s="20" t="s">
        <v>736</v>
      </c>
      <c r="D103" s="137">
        <v>3030000</v>
      </c>
      <c r="E103" s="20" t="s">
        <v>529</v>
      </c>
      <c r="F103" s="20" t="s">
        <v>523</v>
      </c>
      <c r="G103" s="8" t="str">
        <f t="shared" si="2"/>
        <v>BIRENBAUM THOMAS</v>
      </c>
      <c r="H103" s="20" t="str">
        <f t="shared" si="3"/>
        <v>4064</v>
      </c>
    </row>
    <row r="104" spans="1:8" x14ac:dyDescent="0.3">
      <c r="A104" s="8">
        <v>43108.458807870367</v>
      </c>
      <c r="B104" s="20" t="s">
        <v>369</v>
      </c>
      <c r="C104" s="20" t="s">
        <v>722</v>
      </c>
      <c r="D104" s="137">
        <v>2140000</v>
      </c>
      <c r="E104" s="20" t="s">
        <v>737</v>
      </c>
      <c r="F104" s="20" t="s">
        <v>738</v>
      </c>
      <c r="G104" s="8" t="str">
        <f t="shared" si="2"/>
        <v>ROBINSON KADDIBA</v>
      </c>
      <c r="H104" s="20" t="str">
        <f t="shared" si="3"/>
        <v>4012</v>
      </c>
    </row>
    <row r="105" spans="1:8" x14ac:dyDescent="0.3">
      <c r="A105" s="8">
        <v>43108.460590277777</v>
      </c>
      <c r="B105" s="20" t="s">
        <v>460</v>
      </c>
      <c r="C105" s="20" t="s">
        <v>627</v>
      </c>
      <c r="D105" s="137">
        <v>2270000</v>
      </c>
      <c r="E105" s="20" t="s">
        <v>699</v>
      </c>
      <c r="F105" s="20" t="s">
        <v>700</v>
      </c>
      <c r="G105" s="8" t="str">
        <f t="shared" si="2"/>
        <v>BROWN JACOB</v>
      </c>
      <c r="H105" s="20" t="str">
        <f t="shared" si="3"/>
        <v>4009</v>
      </c>
    </row>
    <row r="106" spans="1:8" x14ac:dyDescent="0.3">
      <c r="A106" s="8">
        <v>43108.461759259262</v>
      </c>
      <c r="B106" s="20" t="s">
        <v>460</v>
      </c>
      <c r="C106" s="20" t="s">
        <v>627</v>
      </c>
      <c r="D106" s="137">
        <v>2270000</v>
      </c>
      <c r="E106" s="20" t="s">
        <v>699</v>
      </c>
      <c r="F106" s="20" t="s">
        <v>700</v>
      </c>
      <c r="G106" s="8" t="str">
        <f t="shared" si="2"/>
        <v>BROWN JACOB</v>
      </c>
      <c r="H106" s="20" t="str">
        <f t="shared" si="3"/>
        <v>4009</v>
      </c>
    </row>
    <row r="107" spans="1:8" x14ac:dyDescent="0.3">
      <c r="A107" s="8">
        <v>43108.462418981479</v>
      </c>
      <c r="B107" s="20" t="s">
        <v>460</v>
      </c>
      <c r="C107" s="20" t="s">
        <v>627</v>
      </c>
      <c r="D107" s="137">
        <v>2270000</v>
      </c>
      <c r="E107" s="20" t="s">
        <v>699</v>
      </c>
      <c r="F107" s="20" t="s">
        <v>700</v>
      </c>
      <c r="G107" s="8" t="str">
        <f t="shared" si="2"/>
        <v>BROWN JACOB</v>
      </c>
      <c r="H107" s="20" t="str">
        <f t="shared" si="3"/>
        <v>4009</v>
      </c>
    </row>
    <row r="108" spans="1:8" x14ac:dyDescent="0.3">
      <c r="A108" s="8">
        <v>43108.464861111112</v>
      </c>
      <c r="B108" s="20" t="s">
        <v>445</v>
      </c>
      <c r="C108" s="20" t="s">
        <v>739</v>
      </c>
      <c r="D108" s="137">
        <v>920000</v>
      </c>
      <c r="E108" s="20" t="s">
        <v>524</v>
      </c>
      <c r="F108" s="20" t="s">
        <v>351</v>
      </c>
      <c r="G108" s="8" t="str">
        <f t="shared" si="2"/>
        <v>DAVIS MICHAEL</v>
      </c>
      <c r="H108" s="20" t="str">
        <f t="shared" si="3"/>
        <v>4052</v>
      </c>
    </row>
    <row r="109" spans="1:8" x14ac:dyDescent="0.3">
      <c r="A109" s="8">
        <v>43108.465196759258</v>
      </c>
      <c r="B109" s="20" t="s">
        <v>566</v>
      </c>
      <c r="C109" s="20" t="s">
        <v>740</v>
      </c>
      <c r="D109" s="137">
        <v>2600000</v>
      </c>
      <c r="E109" s="20" t="s">
        <v>663</v>
      </c>
      <c r="F109" s="20" t="s">
        <v>466</v>
      </c>
      <c r="G109" s="8" t="str">
        <f t="shared" si="2"/>
        <v>DAVIDSON DAVID</v>
      </c>
      <c r="H109" s="20" t="str">
        <f t="shared" si="3"/>
        <v>4021</v>
      </c>
    </row>
    <row r="110" spans="1:8" x14ac:dyDescent="0.3">
      <c r="A110" s="8">
        <v>43108.467280092591</v>
      </c>
      <c r="B110" s="20" t="s">
        <v>389</v>
      </c>
      <c r="C110" s="20" t="s">
        <v>741</v>
      </c>
      <c r="D110" s="137">
        <v>2560000</v>
      </c>
      <c r="E110" s="20" t="s">
        <v>522</v>
      </c>
      <c r="F110" s="20" t="s">
        <v>523</v>
      </c>
      <c r="G110" s="8" t="str">
        <f t="shared" si="2"/>
        <v>MACDONALD THOMAS</v>
      </c>
      <c r="H110" s="20" t="str">
        <f t="shared" si="3"/>
        <v>4059</v>
      </c>
    </row>
    <row r="111" spans="1:8" x14ac:dyDescent="0.3">
      <c r="A111" s="8">
        <v>43108.473124999997</v>
      </c>
      <c r="B111" s="20" t="s">
        <v>554</v>
      </c>
      <c r="C111" s="20" t="s">
        <v>742</v>
      </c>
      <c r="D111" s="137">
        <v>2140000</v>
      </c>
      <c r="E111" s="20" t="s">
        <v>737</v>
      </c>
      <c r="F111" s="20" t="s">
        <v>738</v>
      </c>
      <c r="G111" s="8" t="str">
        <f t="shared" si="2"/>
        <v>ROBINSON KADDIBA</v>
      </c>
      <c r="H111" s="20" t="str">
        <f t="shared" si="3"/>
        <v>4025</v>
      </c>
    </row>
    <row r="112" spans="1:8" x14ac:dyDescent="0.3">
      <c r="A112" s="8">
        <v>43108.474756944444</v>
      </c>
      <c r="B112" s="20" t="s">
        <v>359</v>
      </c>
      <c r="C112" s="20" t="s">
        <v>743</v>
      </c>
      <c r="D112" s="137">
        <v>880000</v>
      </c>
      <c r="E112" s="20" t="s">
        <v>744</v>
      </c>
      <c r="F112" s="20" t="s">
        <v>351</v>
      </c>
      <c r="G112" s="8" t="str">
        <f t="shared" si="2"/>
        <v>STEWART MICHAEL</v>
      </c>
      <c r="H112" s="20" t="str">
        <f t="shared" si="3"/>
        <v>4018</v>
      </c>
    </row>
    <row r="113" spans="1:8" x14ac:dyDescent="0.3">
      <c r="A113" s="8">
        <v>43108.47550925926</v>
      </c>
      <c r="B113" s="20" t="s">
        <v>485</v>
      </c>
      <c r="C113" s="20" t="s">
        <v>745</v>
      </c>
      <c r="D113" s="137">
        <v>3030000</v>
      </c>
      <c r="E113" s="20" t="s">
        <v>529</v>
      </c>
      <c r="F113" s="20" t="s">
        <v>523</v>
      </c>
      <c r="G113" s="8" t="str">
        <f t="shared" si="2"/>
        <v>BIRENBAUM THOMAS</v>
      </c>
      <c r="H113" s="20" t="str">
        <f t="shared" si="3"/>
        <v>4063</v>
      </c>
    </row>
    <row r="114" spans="1:8" x14ac:dyDescent="0.3">
      <c r="A114" s="8">
        <v>43108.477002314816</v>
      </c>
      <c r="B114" s="20" t="s">
        <v>441</v>
      </c>
      <c r="C114" s="20" t="s">
        <v>623</v>
      </c>
      <c r="D114" s="137">
        <v>1830000</v>
      </c>
      <c r="E114" s="20" t="s">
        <v>345</v>
      </c>
      <c r="F114" s="20" t="s">
        <v>346</v>
      </c>
      <c r="G114" s="8" t="str">
        <f t="shared" si="2"/>
        <v>YORK EDGAR</v>
      </c>
      <c r="H114" s="20" t="str">
        <f t="shared" si="3"/>
        <v>4010</v>
      </c>
    </row>
    <row r="115" spans="1:8" x14ac:dyDescent="0.3">
      <c r="A115" s="8">
        <v>43108.483194444445</v>
      </c>
      <c r="B115" s="20" t="s">
        <v>499</v>
      </c>
      <c r="C115" s="20" t="s">
        <v>746</v>
      </c>
      <c r="D115" s="137">
        <v>2550000</v>
      </c>
      <c r="E115" s="20" t="s">
        <v>502</v>
      </c>
      <c r="F115" s="20" t="s">
        <v>503</v>
      </c>
      <c r="G115" s="8" t="str">
        <f t="shared" si="2"/>
        <v>BADERTSCHER DIANE</v>
      </c>
      <c r="H115" s="20" t="str">
        <f t="shared" si="3"/>
        <v>4043</v>
      </c>
    </row>
    <row r="116" spans="1:8" x14ac:dyDescent="0.3">
      <c r="A116" s="8">
        <v>43108.483831018515</v>
      </c>
      <c r="B116" s="20" t="s">
        <v>670</v>
      </c>
      <c r="C116" s="20" t="s">
        <v>747</v>
      </c>
      <c r="D116" s="137">
        <v>2470000</v>
      </c>
      <c r="E116" s="20" t="s">
        <v>527</v>
      </c>
      <c r="F116" s="20" t="s">
        <v>528</v>
      </c>
      <c r="G116" s="8" t="str">
        <f t="shared" si="2"/>
        <v>ROMERO CHAD</v>
      </c>
      <c r="H116" s="20" t="str">
        <f t="shared" si="3"/>
        <v>4053</v>
      </c>
    </row>
    <row r="117" spans="1:8" x14ac:dyDescent="0.3">
      <c r="A117" s="8">
        <v>43108.48542824074</v>
      </c>
      <c r="B117" s="20" t="s">
        <v>492</v>
      </c>
      <c r="C117" s="20" t="s">
        <v>748</v>
      </c>
      <c r="D117" s="137">
        <v>3840000</v>
      </c>
      <c r="E117" s="20" t="s">
        <v>749</v>
      </c>
      <c r="F117" s="20" t="s">
        <v>750</v>
      </c>
      <c r="G117" s="8" t="str">
        <f t="shared" si="2"/>
        <v>LONG FULLER</v>
      </c>
      <c r="H117" s="20" t="str">
        <f t="shared" si="3"/>
        <v>4034</v>
      </c>
    </row>
    <row r="118" spans="1:8" x14ac:dyDescent="0.3">
      <c r="A118" s="8">
        <v>43108.495856481481</v>
      </c>
      <c r="B118" s="20" t="s">
        <v>356</v>
      </c>
      <c r="C118" s="20" t="s">
        <v>751</v>
      </c>
      <c r="D118" s="137">
        <v>2970000</v>
      </c>
      <c r="E118" s="20" t="s">
        <v>373</v>
      </c>
      <c r="F118" s="20" t="s">
        <v>374</v>
      </c>
      <c r="G118" s="8" t="str">
        <f t="shared" si="2"/>
        <v>GUZMAN DANNY</v>
      </c>
      <c r="H118" s="20" t="str">
        <f t="shared" si="3"/>
        <v>4060</v>
      </c>
    </row>
    <row r="119" spans="1:8" x14ac:dyDescent="0.3">
      <c r="A119" s="8">
        <v>43108.49722222222</v>
      </c>
      <c r="B119" s="20" t="s">
        <v>476</v>
      </c>
      <c r="C119" s="20" t="s">
        <v>752</v>
      </c>
      <c r="D119" s="137">
        <v>3030000</v>
      </c>
      <c r="E119" s="20" t="s">
        <v>529</v>
      </c>
      <c r="F119" s="20" t="s">
        <v>523</v>
      </c>
      <c r="G119" s="8" t="str">
        <f t="shared" si="2"/>
        <v>BIRENBAUM THOMAS</v>
      </c>
      <c r="H119" s="20" t="str">
        <f t="shared" si="3"/>
        <v>4064</v>
      </c>
    </row>
    <row r="120" spans="1:8" x14ac:dyDescent="0.3">
      <c r="A120" s="8">
        <v>43108.506053240744</v>
      </c>
      <c r="B120" s="20" t="s">
        <v>447</v>
      </c>
      <c r="C120" s="20" t="s">
        <v>753</v>
      </c>
      <c r="D120" s="137">
        <v>920000</v>
      </c>
      <c r="E120" s="20" t="s">
        <v>524</v>
      </c>
      <c r="F120" s="20" t="s">
        <v>351</v>
      </c>
      <c r="G120" s="8" t="str">
        <f t="shared" si="2"/>
        <v>DAVIS MICHAEL</v>
      </c>
      <c r="H120" s="20" t="str">
        <f t="shared" si="3"/>
        <v>4051</v>
      </c>
    </row>
    <row r="121" spans="1:8" x14ac:dyDescent="0.3">
      <c r="A121" s="8">
        <v>43108.508958333332</v>
      </c>
      <c r="B121" s="20" t="s">
        <v>383</v>
      </c>
      <c r="C121" s="20" t="s">
        <v>754</v>
      </c>
      <c r="D121" s="137">
        <v>2630000</v>
      </c>
      <c r="E121" s="20" t="s">
        <v>371</v>
      </c>
      <c r="F121" s="20" t="s">
        <v>372</v>
      </c>
      <c r="G121" s="8" t="str">
        <f t="shared" si="2"/>
        <v>SAFIEF AEIMEN</v>
      </c>
      <c r="H121" s="20" t="str">
        <f t="shared" si="3"/>
        <v>4022</v>
      </c>
    </row>
    <row r="122" spans="1:8" x14ac:dyDescent="0.3">
      <c r="A122" s="8">
        <v>43108.516597222224</v>
      </c>
      <c r="B122" s="25" t="s">
        <v>361</v>
      </c>
      <c r="C122" s="20" t="s">
        <v>629</v>
      </c>
      <c r="D122" s="137">
        <v>880000</v>
      </c>
      <c r="E122" s="20" t="s">
        <v>744</v>
      </c>
      <c r="F122" s="20" t="s">
        <v>351</v>
      </c>
      <c r="G122" s="8" t="str">
        <f t="shared" si="2"/>
        <v>STEWART MICHAEL</v>
      </c>
      <c r="H122" s="20" t="str">
        <f t="shared" si="3"/>
        <v>4017</v>
      </c>
    </row>
    <row r="123" spans="1:8" x14ac:dyDescent="0.3">
      <c r="A123" s="8">
        <v>43108.516944444447</v>
      </c>
      <c r="B123" s="20" t="s">
        <v>485</v>
      </c>
      <c r="C123" s="20" t="s">
        <v>628</v>
      </c>
      <c r="D123" s="137">
        <v>3030000</v>
      </c>
      <c r="E123" s="20" t="s">
        <v>529</v>
      </c>
      <c r="F123" s="20" t="s">
        <v>523</v>
      </c>
      <c r="G123" s="8" t="str">
        <f t="shared" si="2"/>
        <v>BIRENBAUM THOMAS</v>
      </c>
      <c r="H123" s="20" t="str">
        <f t="shared" si="3"/>
        <v>4063</v>
      </c>
    </row>
    <row r="124" spans="1:8" x14ac:dyDescent="0.3">
      <c r="A124" s="8">
        <v>43108.517488425925</v>
      </c>
      <c r="B124" s="20" t="s">
        <v>462</v>
      </c>
      <c r="C124" s="20" t="s">
        <v>755</v>
      </c>
      <c r="D124" s="137">
        <v>2550000</v>
      </c>
      <c r="E124" s="20" t="s">
        <v>502</v>
      </c>
      <c r="F124" s="20" t="s">
        <v>503</v>
      </c>
      <c r="G124" s="8" t="str">
        <f t="shared" si="2"/>
        <v>BADERTSCHER DIANE</v>
      </c>
      <c r="H124" s="20" t="str">
        <f t="shared" si="3"/>
        <v>4044</v>
      </c>
    </row>
    <row r="125" spans="1:8" x14ac:dyDescent="0.3">
      <c r="A125" s="8">
        <v>43108.525625000002</v>
      </c>
      <c r="B125" s="20" t="s">
        <v>475</v>
      </c>
      <c r="C125" s="20" t="s">
        <v>756</v>
      </c>
      <c r="D125" s="137">
        <v>3840000</v>
      </c>
      <c r="E125" s="20" t="s">
        <v>749</v>
      </c>
      <c r="F125" s="20" t="s">
        <v>750</v>
      </c>
      <c r="G125" s="8" t="str">
        <f t="shared" si="2"/>
        <v>LONG FULLER</v>
      </c>
      <c r="H125" s="20" t="str">
        <f t="shared" si="3"/>
        <v>4033</v>
      </c>
    </row>
    <row r="126" spans="1:8" x14ac:dyDescent="0.3">
      <c r="A126" s="8">
        <v>43108.525648148148</v>
      </c>
      <c r="B126" s="20" t="s">
        <v>636</v>
      </c>
      <c r="C126" s="20" t="s">
        <v>757</v>
      </c>
      <c r="D126" s="137">
        <v>2030000</v>
      </c>
      <c r="E126" s="20" t="s">
        <v>561</v>
      </c>
      <c r="F126" s="20" t="s">
        <v>466</v>
      </c>
      <c r="G126" s="8" t="str">
        <f t="shared" si="2"/>
        <v>KILLION DAVID</v>
      </c>
      <c r="H126" s="20" t="str">
        <f t="shared" si="3"/>
        <v>4054</v>
      </c>
    </row>
    <row r="127" spans="1:8" x14ac:dyDescent="0.3">
      <c r="A127" s="8">
        <v>43108.532511574071</v>
      </c>
      <c r="B127" s="20" t="s">
        <v>389</v>
      </c>
      <c r="C127" s="20" t="s">
        <v>758</v>
      </c>
      <c r="D127" s="137">
        <v>2970000</v>
      </c>
      <c r="E127" s="20" t="s">
        <v>373</v>
      </c>
      <c r="F127" s="20" t="s">
        <v>374</v>
      </c>
      <c r="G127" s="8" t="str">
        <f t="shared" si="2"/>
        <v>GUZMAN DANNY</v>
      </c>
      <c r="H127" s="20" t="str">
        <f t="shared" si="3"/>
        <v>4059</v>
      </c>
    </row>
    <row r="128" spans="1:8" x14ac:dyDescent="0.3">
      <c r="A128" s="8">
        <v>43108.53837962963</v>
      </c>
      <c r="B128" s="20" t="s">
        <v>566</v>
      </c>
      <c r="C128" s="20" t="s">
        <v>759</v>
      </c>
      <c r="D128" s="137">
        <v>2630000</v>
      </c>
      <c r="E128" s="20" t="s">
        <v>371</v>
      </c>
      <c r="F128" s="20" t="s">
        <v>372</v>
      </c>
      <c r="G128" s="8" t="str">
        <f t="shared" si="2"/>
        <v>SAFIEF AEIMEN</v>
      </c>
      <c r="H128" s="20" t="str">
        <f t="shared" si="3"/>
        <v>4021</v>
      </c>
    </row>
    <row r="129" spans="1:8" x14ac:dyDescent="0.3">
      <c r="A129" s="8">
        <v>43108.53943287037</v>
      </c>
      <c r="B129" s="20" t="s">
        <v>445</v>
      </c>
      <c r="C129" s="20" t="s">
        <v>760</v>
      </c>
      <c r="D129" s="137">
        <v>920000</v>
      </c>
      <c r="E129" s="20" t="s">
        <v>524</v>
      </c>
      <c r="F129" s="20" t="s">
        <v>351</v>
      </c>
      <c r="G129" s="8" t="str">
        <f t="shared" si="2"/>
        <v>DAVIS MICHAEL</v>
      </c>
      <c r="H129" s="20" t="str">
        <f t="shared" si="3"/>
        <v>4052</v>
      </c>
    </row>
    <row r="130" spans="1:8" x14ac:dyDescent="0.3">
      <c r="A130" s="8">
        <v>43108.544432870367</v>
      </c>
      <c r="B130" s="20" t="s">
        <v>476</v>
      </c>
      <c r="C130" s="20" t="s">
        <v>761</v>
      </c>
      <c r="D130" s="137">
        <v>1300000</v>
      </c>
      <c r="E130" s="20" t="s">
        <v>357</v>
      </c>
      <c r="F130" s="20" t="s">
        <v>358</v>
      </c>
      <c r="G130" s="8" t="str">
        <f t="shared" si="2"/>
        <v>LEVIN SCOTT</v>
      </c>
      <c r="H130" s="20" t="str">
        <f t="shared" si="3"/>
        <v>4064</v>
      </c>
    </row>
    <row r="131" spans="1:8" x14ac:dyDescent="0.3">
      <c r="A131" s="8">
        <v>43108.548900462964</v>
      </c>
      <c r="B131" s="20" t="s">
        <v>359</v>
      </c>
      <c r="C131" s="20" t="s">
        <v>762</v>
      </c>
      <c r="D131" s="137">
        <v>880000</v>
      </c>
      <c r="E131" s="20" t="s">
        <v>744</v>
      </c>
      <c r="F131" s="20" t="s">
        <v>351</v>
      </c>
      <c r="G131" s="8" t="str">
        <f t="shared" ref="G131:G194" si="4">E131&amp;" "&amp;F131</f>
        <v>STEWART MICHAEL</v>
      </c>
      <c r="H131" s="20" t="str">
        <f t="shared" ref="H131:H194" si="5">MID(B131,13,4)</f>
        <v>4018</v>
      </c>
    </row>
    <row r="132" spans="1:8" x14ac:dyDescent="0.3">
      <c r="A132" s="8">
        <v>43108.558969907404</v>
      </c>
      <c r="B132" s="20" t="s">
        <v>499</v>
      </c>
      <c r="C132" s="20" t="s">
        <v>763</v>
      </c>
      <c r="D132" s="137">
        <v>2550000</v>
      </c>
      <c r="E132" s="20" t="s">
        <v>502</v>
      </c>
      <c r="F132" s="20" t="s">
        <v>503</v>
      </c>
      <c r="G132" s="8" t="str">
        <f t="shared" si="4"/>
        <v>BADERTSCHER DIANE</v>
      </c>
      <c r="H132" s="20" t="str">
        <f t="shared" si="5"/>
        <v>4043</v>
      </c>
    </row>
    <row r="133" spans="1:8" x14ac:dyDescent="0.3">
      <c r="A133" s="8">
        <v>43108.559050925927</v>
      </c>
      <c r="B133" s="20" t="s">
        <v>492</v>
      </c>
      <c r="C133" s="20" t="s">
        <v>764</v>
      </c>
      <c r="D133" s="137">
        <v>3840000</v>
      </c>
      <c r="E133" s="20" t="s">
        <v>749</v>
      </c>
      <c r="F133" s="20" t="s">
        <v>750</v>
      </c>
      <c r="G133" s="8" t="str">
        <f t="shared" si="4"/>
        <v>LONG FULLER</v>
      </c>
      <c r="H133" s="20" t="str">
        <f t="shared" si="5"/>
        <v>4034</v>
      </c>
    </row>
    <row r="134" spans="1:8" x14ac:dyDescent="0.3">
      <c r="A134" s="8">
        <v>43108.559178240743</v>
      </c>
      <c r="B134" s="20" t="s">
        <v>485</v>
      </c>
      <c r="C134" s="20" t="s">
        <v>765</v>
      </c>
      <c r="D134" s="137">
        <v>1300000</v>
      </c>
      <c r="E134" s="20" t="s">
        <v>357</v>
      </c>
      <c r="F134" s="20" t="s">
        <v>358</v>
      </c>
      <c r="G134" s="8" t="str">
        <f t="shared" si="4"/>
        <v>LEVIN SCOTT</v>
      </c>
      <c r="H134" s="20" t="str">
        <f t="shared" si="5"/>
        <v>4063</v>
      </c>
    </row>
    <row r="135" spans="1:8" x14ac:dyDescent="0.3">
      <c r="A135" s="8">
        <v>43108.56212962963</v>
      </c>
      <c r="B135" s="20" t="s">
        <v>670</v>
      </c>
      <c r="C135" s="20" t="s">
        <v>766</v>
      </c>
      <c r="D135" s="137">
        <v>2030000</v>
      </c>
      <c r="E135" s="20" t="s">
        <v>561</v>
      </c>
      <c r="F135" s="20" t="s">
        <v>466</v>
      </c>
      <c r="G135" s="8" t="str">
        <f t="shared" si="4"/>
        <v>KILLION DAVID</v>
      </c>
      <c r="H135" s="20" t="str">
        <f t="shared" si="5"/>
        <v>4053</v>
      </c>
    </row>
    <row r="136" spans="1:8" x14ac:dyDescent="0.3">
      <c r="A136" s="8">
        <v>43108.564965277779</v>
      </c>
      <c r="B136" s="20" t="s">
        <v>441</v>
      </c>
      <c r="C136" s="20" t="s">
        <v>623</v>
      </c>
      <c r="D136" s="137">
        <v>2610000</v>
      </c>
      <c r="E136" s="20" t="s">
        <v>379</v>
      </c>
      <c r="F136" s="20" t="s">
        <v>380</v>
      </c>
      <c r="G136" s="8" t="str">
        <f t="shared" si="4"/>
        <v>MAGEE KENYA</v>
      </c>
      <c r="H136" s="20" t="str">
        <f t="shared" si="5"/>
        <v>4010</v>
      </c>
    </row>
    <row r="137" spans="1:8" x14ac:dyDescent="0.3">
      <c r="A137" s="8">
        <v>43108.570474537039</v>
      </c>
      <c r="B137" s="20" t="s">
        <v>356</v>
      </c>
      <c r="C137" s="20" t="s">
        <v>767</v>
      </c>
      <c r="D137" s="137">
        <v>2970000</v>
      </c>
      <c r="E137" s="20" t="s">
        <v>373</v>
      </c>
      <c r="F137" s="20" t="s">
        <v>374</v>
      </c>
      <c r="G137" s="8" t="str">
        <f t="shared" si="4"/>
        <v>GUZMAN DANNY</v>
      </c>
      <c r="H137" s="20" t="str">
        <f t="shared" si="5"/>
        <v>4060</v>
      </c>
    </row>
    <row r="138" spans="1:8" x14ac:dyDescent="0.3">
      <c r="A138" s="8">
        <v>43108.580312500002</v>
      </c>
      <c r="B138" s="20" t="s">
        <v>383</v>
      </c>
      <c r="C138" s="20" t="s">
        <v>768</v>
      </c>
      <c r="D138" s="137">
        <v>2630000</v>
      </c>
      <c r="E138" s="20" t="s">
        <v>371</v>
      </c>
      <c r="F138" s="20" t="s">
        <v>372</v>
      </c>
      <c r="G138" s="8" t="str">
        <f t="shared" si="4"/>
        <v>SAFIEF AEIMEN</v>
      </c>
      <c r="H138" s="20" t="str">
        <f t="shared" si="5"/>
        <v>4022</v>
      </c>
    </row>
    <row r="139" spans="1:8" x14ac:dyDescent="0.3">
      <c r="A139" s="8">
        <v>43108.582916666666</v>
      </c>
      <c r="B139" s="20" t="s">
        <v>476</v>
      </c>
      <c r="C139" s="20" t="s">
        <v>769</v>
      </c>
      <c r="D139" s="137">
        <v>1300000</v>
      </c>
      <c r="E139" s="20" t="s">
        <v>357</v>
      </c>
      <c r="F139" s="20" t="s">
        <v>358</v>
      </c>
      <c r="G139" s="8" t="str">
        <f t="shared" si="4"/>
        <v>LEVIN SCOTT</v>
      </c>
      <c r="H139" s="20" t="str">
        <f t="shared" si="5"/>
        <v>4064</v>
      </c>
    </row>
    <row r="140" spans="1:8" x14ac:dyDescent="0.3">
      <c r="A140" s="8">
        <v>43108.588530092595</v>
      </c>
      <c r="B140" s="20" t="s">
        <v>361</v>
      </c>
      <c r="C140" s="20" t="s">
        <v>770</v>
      </c>
      <c r="D140" s="137">
        <v>880000</v>
      </c>
      <c r="E140" s="20" t="s">
        <v>744</v>
      </c>
      <c r="F140" s="20" t="s">
        <v>351</v>
      </c>
      <c r="G140" s="8" t="str">
        <f t="shared" si="4"/>
        <v>STEWART MICHAEL</v>
      </c>
      <c r="H140" s="20" t="str">
        <f t="shared" si="5"/>
        <v>4017</v>
      </c>
    </row>
    <row r="141" spans="1:8" x14ac:dyDescent="0.3">
      <c r="A141" s="8">
        <v>43108.590578703705</v>
      </c>
      <c r="B141" s="20" t="s">
        <v>462</v>
      </c>
      <c r="C141" s="20" t="s">
        <v>771</v>
      </c>
      <c r="D141" s="137">
        <v>2550000</v>
      </c>
      <c r="E141" s="20" t="s">
        <v>502</v>
      </c>
      <c r="F141" s="20" t="s">
        <v>503</v>
      </c>
      <c r="G141" s="8" t="str">
        <f t="shared" si="4"/>
        <v>BADERTSCHER DIANE</v>
      </c>
      <c r="H141" s="20" t="str">
        <f t="shared" si="5"/>
        <v>4044</v>
      </c>
    </row>
    <row r="142" spans="1:8" x14ac:dyDescent="0.3">
      <c r="A142" s="8">
        <v>43108.594861111109</v>
      </c>
      <c r="B142" s="20" t="s">
        <v>475</v>
      </c>
      <c r="C142" s="20" t="s">
        <v>772</v>
      </c>
      <c r="D142" s="137">
        <v>3840000</v>
      </c>
      <c r="E142" s="20" t="s">
        <v>749</v>
      </c>
      <c r="F142" s="20" t="s">
        <v>750</v>
      </c>
      <c r="G142" s="8" t="str">
        <f t="shared" si="4"/>
        <v>LONG FULLER</v>
      </c>
      <c r="H142" s="20" t="str">
        <f t="shared" si="5"/>
        <v>4033</v>
      </c>
    </row>
    <row r="143" spans="1:8" x14ac:dyDescent="0.3">
      <c r="A143" s="8">
        <v>43108.595405092594</v>
      </c>
      <c r="B143" s="20" t="s">
        <v>447</v>
      </c>
      <c r="C143" s="20" t="s">
        <v>773</v>
      </c>
      <c r="D143" s="137">
        <v>920000</v>
      </c>
      <c r="E143" s="20" t="s">
        <v>524</v>
      </c>
      <c r="F143" s="20" t="s">
        <v>351</v>
      </c>
      <c r="G143" s="8" t="str">
        <f t="shared" si="4"/>
        <v>DAVIS MICHAEL</v>
      </c>
      <c r="H143" s="20" t="str">
        <f t="shared" si="5"/>
        <v>4051</v>
      </c>
    </row>
    <row r="144" spans="1:8" x14ac:dyDescent="0.3">
      <c r="A144" s="8">
        <v>43108.599085648151</v>
      </c>
      <c r="B144" s="20" t="s">
        <v>636</v>
      </c>
      <c r="C144" s="20" t="s">
        <v>774</v>
      </c>
      <c r="D144" s="137">
        <v>2030000</v>
      </c>
      <c r="E144" s="20" t="s">
        <v>561</v>
      </c>
      <c r="F144" s="20" t="s">
        <v>466</v>
      </c>
      <c r="G144" s="8" t="str">
        <f t="shared" si="4"/>
        <v>KILLION DAVID</v>
      </c>
      <c r="H144" s="20" t="str">
        <f t="shared" si="5"/>
        <v>4054</v>
      </c>
    </row>
    <row r="145" spans="1:8" x14ac:dyDescent="0.3">
      <c r="A145" s="8">
        <v>43108.600740740738</v>
      </c>
      <c r="B145" s="20" t="s">
        <v>389</v>
      </c>
      <c r="C145" s="20" t="s">
        <v>775</v>
      </c>
      <c r="D145" s="137">
        <v>2970000</v>
      </c>
      <c r="E145" s="20" t="s">
        <v>373</v>
      </c>
      <c r="F145" s="20" t="s">
        <v>374</v>
      </c>
      <c r="G145" s="8" t="str">
        <f t="shared" si="4"/>
        <v>GUZMAN DANNY</v>
      </c>
      <c r="H145" s="20" t="str">
        <f t="shared" si="5"/>
        <v>4059</v>
      </c>
    </row>
    <row r="146" spans="1:8" x14ac:dyDescent="0.3">
      <c r="A146" s="8">
        <v>43108.601041666669</v>
      </c>
      <c r="B146" s="20" t="s">
        <v>485</v>
      </c>
      <c r="C146" s="20" t="s">
        <v>630</v>
      </c>
      <c r="D146" s="137">
        <v>1300000</v>
      </c>
      <c r="E146" s="20" t="s">
        <v>357</v>
      </c>
      <c r="F146" s="20" t="s">
        <v>358</v>
      </c>
      <c r="G146" s="8" t="str">
        <f t="shared" si="4"/>
        <v>LEVIN SCOTT</v>
      </c>
      <c r="H146" s="20" t="str">
        <f t="shared" si="5"/>
        <v>4063</v>
      </c>
    </row>
    <row r="147" spans="1:8" x14ac:dyDescent="0.3">
      <c r="A147" s="8">
        <v>43108.603483796294</v>
      </c>
      <c r="B147" s="20" t="s">
        <v>441</v>
      </c>
      <c r="C147" s="20" t="s">
        <v>623</v>
      </c>
      <c r="D147" s="137">
        <v>2610000</v>
      </c>
      <c r="E147" s="20" t="s">
        <v>379</v>
      </c>
      <c r="F147" s="20" t="s">
        <v>380</v>
      </c>
      <c r="G147" s="8" t="str">
        <f t="shared" si="4"/>
        <v>MAGEE KENYA</v>
      </c>
      <c r="H147" s="20" t="str">
        <f t="shared" si="5"/>
        <v>4010</v>
      </c>
    </row>
    <row r="148" spans="1:8" x14ac:dyDescent="0.3">
      <c r="A148" s="8">
        <v>43108.606608796297</v>
      </c>
      <c r="B148" s="20" t="s">
        <v>559</v>
      </c>
      <c r="C148" s="20" t="s">
        <v>742</v>
      </c>
      <c r="D148" s="137">
        <v>2140000</v>
      </c>
      <c r="E148" s="20" t="s">
        <v>737</v>
      </c>
      <c r="F148" s="20" t="s">
        <v>738</v>
      </c>
      <c r="G148" s="8" t="str">
        <f t="shared" si="4"/>
        <v>ROBINSON KADDIBA</v>
      </c>
      <c r="H148" s="20" t="str">
        <f t="shared" si="5"/>
        <v>4026</v>
      </c>
    </row>
    <row r="149" spans="1:8" x14ac:dyDescent="0.3">
      <c r="A149" s="8">
        <v>43108.6091087963</v>
      </c>
      <c r="B149" s="20" t="s">
        <v>554</v>
      </c>
      <c r="C149" s="20" t="s">
        <v>742</v>
      </c>
      <c r="D149" s="137">
        <v>2140000</v>
      </c>
      <c r="E149" s="20" t="s">
        <v>737</v>
      </c>
      <c r="F149" s="20" t="s">
        <v>738</v>
      </c>
      <c r="G149" s="8" t="str">
        <f t="shared" si="4"/>
        <v>ROBINSON KADDIBA</v>
      </c>
      <c r="H149" s="20" t="str">
        <f t="shared" si="5"/>
        <v>4025</v>
      </c>
    </row>
    <row r="150" spans="1:8" x14ac:dyDescent="0.3">
      <c r="A150" s="8">
        <v>43108.612569444442</v>
      </c>
      <c r="B150" s="20" t="s">
        <v>559</v>
      </c>
      <c r="C150" s="20" t="s">
        <v>776</v>
      </c>
      <c r="D150" s="137">
        <v>2140000</v>
      </c>
      <c r="E150" s="20" t="s">
        <v>737</v>
      </c>
      <c r="F150" s="20" t="s">
        <v>738</v>
      </c>
      <c r="G150" s="8" t="str">
        <f t="shared" si="4"/>
        <v>ROBINSON KADDIBA</v>
      </c>
      <c r="H150" s="20" t="str">
        <f t="shared" si="5"/>
        <v>4026</v>
      </c>
    </row>
    <row r="151" spans="1:8" x14ac:dyDescent="0.3">
      <c r="A151" s="8">
        <v>43108.621261574073</v>
      </c>
      <c r="B151" s="20" t="s">
        <v>566</v>
      </c>
      <c r="C151" s="20" t="s">
        <v>777</v>
      </c>
      <c r="D151" s="137">
        <v>2630000</v>
      </c>
      <c r="E151" s="20" t="s">
        <v>371</v>
      </c>
      <c r="F151" s="20" t="s">
        <v>372</v>
      </c>
      <c r="G151" s="8" t="str">
        <f t="shared" si="4"/>
        <v>SAFIEF AEIMEN</v>
      </c>
      <c r="H151" s="20" t="str">
        <f t="shared" si="5"/>
        <v>4021</v>
      </c>
    </row>
    <row r="152" spans="1:8" x14ac:dyDescent="0.3">
      <c r="A152" s="8">
        <v>43108.621863425928</v>
      </c>
      <c r="B152" s="20" t="s">
        <v>359</v>
      </c>
      <c r="C152" s="20" t="s">
        <v>631</v>
      </c>
      <c r="D152" s="137">
        <v>880000</v>
      </c>
      <c r="E152" s="20" t="s">
        <v>744</v>
      </c>
      <c r="F152" s="20" t="s">
        <v>351</v>
      </c>
      <c r="G152" s="8" t="str">
        <f t="shared" si="4"/>
        <v>STEWART MICHAEL</v>
      </c>
      <c r="H152" s="20" t="str">
        <f t="shared" si="5"/>
        <v>4018</v>
      </c>
    </row>
    <row r="153" spans="1:8" x14ac:dyDescent="0.3">
      <c r="A153" s="8">
        <v>43108.622175925928</v>
      </c>
      <c r="B153" s="20" t="s">
        <v>460</v>
      </c>
      <c r="C153" s="20" t="s">
        <v>627</v>
      </c>
      <c r="D153" s="137">
        <v>2610000</v>
      </c>
      <c r="E153" s="20" t="s">
        <v>379</v>
      </c>
      <c r="F153" s="20" t="s">
        <v>380</v>
      </c>
      <c r="G153" s="8" t="str">
        <f t="shared" si="4"/>
        <v>MAGEE KENYA</v>
      </c>
      <c r="H153" s="20" t="str">
        <f t="shared" si="5"/>
        <v>4009</v>
      </c>
    </row>
    <row r="154" spans="1:8" x14ac:dyDescent="0.3">
      <c r="A154" s="8">
        <v>43108.628009259257</v>
      </c>
      <c r="B154" s="20" t="s">
        <v>460</v>
      </c>
      <c r="C154" s="20" t="s">
        <v>627</v>
      </c>
      <c r="D154" s="137">
        <v>2610000</v>
      </c>
      <c r="E154" s="20" t="s">
        <v>379</v>
      </c>
      <c r="F154" s="20" t="s">
        <v>380</v>
      </c>
      <c r="G154" s="8" t="str">
        <f t="shared" si="4"/>
        <v>MAGEE KENYA</v>
      </c>
      <c r="H154" s="20" t="str">
        <f t="shared" si="5"/>
        <v>4009</v>
      </c>
    </row>
    <row r="155" spans="1:8" x14ac:dyDescent="0.3">
      <c r="A155" s="8">
        <v>43108.629016203704</v>
      </c>
      <c r="B155" s="20" t="s">
        <v>476</v>
      </c>
      <c r="C155" s="20" t="s">
        <v>778</v>
      </c>
      <c r="D155" s="137">
        <v>1300000</v>
      </c>
      <c r="E155" s="20" t="s">
        <v>357</v>
      </c>
      <c r="F155" s="20" t="s">
        <v>358</v>
      </c>
      <c r="G155" s="8" t="str">
        <f t="shared" si="4"/>
        <v>LEVIN SCOTT</v>
      </c>
      <c r="H155" s="20" t="str">
        <f t="shared" si="5"/>
        <v>4064</v>
      </c>
    </row>
    <row r="156" spans="1:8" x14ac:dyDescent="0.3">
      <c r="A156" s="8">
        <v>43108.629270833335</v>
      </c>
      <c r="B156" s="20" t="s">
        <v>499</v>
      </c>
      <c r="C156" s="20" t="s">
        <v>779</v>
      </c>
      <c r="D156" s="137">
        <v>2550000</v>
      </c>
      <c r="E156" s="20" t="s">
        <v>502</v>
      </c>
      <c r="F156" s="20" t="s">
        <v>503</v>
      </c>
      <c r="G156" s="8" t="str">
        <f t="shared" si="4"/>
        <v>BADERTSCHER DIANE</v>
      </c>
      <c r="H156" s="20" t="str">
        <f t="shared" si="5"/>
        <v>4043</v>
      </c>
    </row>
    <row r="157" spans="1:8" x14ac:dyDescent="0.3">
      <c r="A157" s="8">
        <v>43108.63486111111</v>
      </c>
      <c r="B157" s="20" t="s">
        <v>492</v>
      </c>
      <c r="C157" s="20" t="s">
        <v>780</v>
      </c>
      <c r="D157" s="137">
        <v>3840000</v>
      </c>
      <c r="E157" s="20" t="s">
        <v>749</v>
      </c>
      <c r="F157" s="20" t="s">
        <v>750</v>
      </c>
      <c r="G157" s="8" t="str">
        <f t="shared" si="4"/>
        <v>LONG FULLER</v>
      </c>
      <c r="H157" s="20" t="str">
        <f t="shared" si="5"/>
        <v>4034</v>
      </c>
    </row>
    <row r="158" spans="1:8" x14ac:dyDescent="0.3">
      <c r="A158" s="8">
        <v>43108.63658564815</v>
      </c>
      <c r="B158" s="20" t="s">
        <v>385</v>
      </c>
      <c r="C158" s="20" t="s">
        <v>781</v>
      </c>
      <c r="D158" s="137">
        <v>2000000</v>
      </c>
      <c r="E158" s="20" t="s">
        <v>393</v>
      </c>
      <c r="F158" s="20" t="s">
        <v>394</v>
      </c>
      <c r="G158" s="8" t="str">
        <f t="shared" si="4"/>
        <v>STAMBAUGH JAMES</v>
      </c>
      <c r="H158" s="20" t="str">
        <f t="shared" si="5"/>
        <v>4029</v>
      </c>
    </row>
    <row r="159" spans="1:8" x14ac:dyDescent="0.3">
      <c r="A159" s="8">
        <v>43108.637673611112</v>
      </c>
      <c r="B159" s="20" t="s">
        <v>670</v>
      </c>
      <c r="C159" s="20" t="s">
        <v>782</v>
      </c>
      <c r="D159" s="137">
        <v>2030000</v>
      </c>
      <c r="E159" s="20" t="s">
        <v>561</v>
      </c>
      <c r="F159" s="20" t="s">
        <v>466</v>
      </c>
      <c r="G159" s="8" t="str">
        <f t="shared" si="4"/>
        <v>KILLION DAVID</v>
      </c>
      <c r="H159" s="20" t="str">
        <f t="shared" si="5"/>
        <v>4053</v>
      </c>
    </row>
    <row r="160" spans="1:8" x14ac:dyDescent="0.3">
      <c r="A160" s="8">
        <v>43108.640219907407</v>
      </c>
      <c r="B160" s="20" t="s">
        <v>441</v>
      </c>
      <c r="C160" s="20" t="s">
        <v>623</v>
      </c>
      <c r="D160" s="137">
        <v>3810000</v>
      </c>
      <c r="E160" s="20" t="s">
        <v>783</v>
      </c>
      <c r="F160" s="20" t="s">
        <v>784</v>
      </c>
      <c r="G160" s="8" t="str">
        <f t="shared" si="4"/>
        <v>LORI SANTOS</v>
      </c>
      <c r="H160" s="20" t="str">
        <f t="shared" si="5"/>
        <v>4010</v>
      </c>
    </row>
    <row r="161" spans="1:8" x14ac:dyDescent="0.3">
      <c r="A161" s="8">
        <v>43108.643425925926</v>
      </c>
      <c r="B161" s="20" t="s">
        <v>485</v>
      </c>
      <c r="C161" s="20" t="s">
        <v>785</v>
      </c>
      <c r="D161" s="137">
        <v>1300000</v>
      </c>
      <c r="E161" s="20" t="s">
        <v>357</v>
      </c>
      <c r="F161" s="20" t="s">
        <v>358</v>
      </c>
      <c r="G161" s="8" t="str">
        <f t="shared" si="4"/>
        <v>LEVIN SCOTT</v>
      </c>
      <c r="H161" s="20" t="str">
        <f t="shared" si="5"/>
        <v>4063</v>
      </c>
    </row>
    <row r="162" spans="1:8" x14ac:dyDescent="0.3">
      <c r="A162" s="8">
        <v>43108.643576388888</v>
      </c>
      <c r="B162" s="20" t="s">
        <v>356</v>
      </c>
      <c r="C162" s="20" t="s">
        <v>786</v>
      </c>
      <c r="D162" s="137">
        <v>2970000</v>
      </c>
      <c r="E162" s="20" t="s">
        <v>373</v>
      </c>
      <c r="F162" s="20" t="s">
        <v>374</v>
      </c>
      <c r="G162" s="8" t="str">
        <f t="shared" si="4"/>
        <v>GUZMAN DANNY</v>
      </c>
      <c r="H162" s="20" t="str">
        <f t="shared" si="5"/>
        <v>4060</v>
      </c>
    </row>
    <row r="163" spans="1:8" x14ac:dyDescent="0.3">
      <c r="A163" s="8">
        <v>43108.646597222221</v>
      </c>
      <c r="B163" s="20" t="s">
        <v>391</v>
      </c>
      <c r="C163" s="20" t="s">
        <v>787</v>
      </c>
      <c r="D163" s="137">
        <v>2000000</v>
      </c>
      <c r="E163" s="20" t="s">
        <v>393</v>
      </c>
      <c r="F163" s="20" t="s">
        <v>394</v>
      </c>
      <c r="G163" s="8" t="str">
        <f t="shared" si="4"/>
        <v>STAMBAUGH JAMES</v>
      </c>
      <c r="H163" s="20" t="str">
        <f t="shared" si="5"/>
        <v>4030</v>
      </c>
    </row>
    <row r="164" spans="1:8" x14ac:dyDescent="0.3">
      <c r="A164" s="8">
        <v>43108.651041666664</v>
      </c>
      <c r="B164" s="20" t="s">
        <v>554</v>
      </c>
      <c r="C164" s="20" t="s">
        <v>788</v>
      </c>
      <c r="D164" s="137">
        <v>2140000</v>
      </c>
      <c r="E164" s="20" t="s">
        <v>737</v>
      </c>
      <c r="F164" s="20" t="s">
        <v>738</v>
      </c>
      <c r="G164" s="8" t="str">
        <f t="shared" si="4"/>
        <v>ROBINSON KADDIBA</v>
      </c>
      <c r="H164" s="20" t="str">
        <f t="shared" si="5"/>
        <v>4025</v>
      </c>
    </row>
    <row r="165" spans="1:8" x14ac:dyDescent="0.3">
      <c r="A165" s="8">
        <v>43108.653657407405</v>
      </c>
      <c r="B165" s="20" t="s">
        <v>383</v>
      </c>
      <c r="C165" s="20" t="s">
        <v>789</v>
      </c>
      <c r="D165" s="137">
        <v>2630000</v>
      </c>
      <c r="E165" s="20" t="s">
        <v>371</v>
      </c>
      <c r="F165" s="20" t="s">
        <v>372</v>
      </c>
      <c r="G165" s="8" t="str">
        <f t="shared" si="4"/>
        <v>SAFIEF AEIMEN</v>
      </c>
      <c r="H165" s="20" t="str">
        <f t="shared" si="5"/>
        <v>4022</v>
      </c>
    </row>
    <row r="166" spans="1:8" x14ac:dyDescent="0.3">
      <c r="A166" s="8">
        <v>43108.660196759258</v>
      </c>
      <c r="B166" s="20" t="s">
        <v>361</v>
      </c>
      <c r="C166" s="20" t="s">
        <v>790</v>
      </c>
      <c r="D166" s="137">
        <v>880000</v>
      </c>
      <c r="E166" s="20" t="s">
        <v>744</v>
      </c>
      <c r="F166" s="20" t="s">
        <v>351</v>
      </c>
      <c r="G166" s="8" t="str">
        <f t="shared" si="4"/>
        <v>STEWART MICHAEL</v>
      </c>
      <c r="H166" s="20" t="str">
        <f t="shared" si="5"/>
        <v>4017</v>
      </c>
    </row>
    <row r="167" spans="1:8" x14ac:dyDescent="0.3">
      <c r="A167" s="8">
        <v>43108.662164351852</v>
      </c>
      <c r="B167" s="20" t="s">
        <v>460</v>
      </c>
      <c r="C167" s="20" t="s">
        <v>623</v>
      </c>
      <c r="D167" s="137">
        <v>3810000</v>
      </c>
      <c r="E167" s="20" t="s">
        <v>783</v>
      </c>
      <c r="F167" s="20" t="s">
        <v>784</v>
      </c>
      <c r="G167" s="8" t="str">
        <f t="shared" si="4"/>
        <v>LORI SANTOS</v>
      </c>
      <c r="H167" s="20" t="str">
        <f t="shared" si="5"/>
        <v>4009</v>
      </c>
    </row>
    <row r="168" spans="1:8" x14ac:dyDescent="0.3">
      <c r="A168" s="8">
        <v>43108.663113425922</v>
      </c>
      <c r="B168" s="20" t="s">
        <v>385</v>
      </c>
      <c r="C168" s="20" t="s">
        <v>791</v>
      </c>
      <c r="D168" s="137">
        <v>2000000</v>
      </c>
      <c r="E168" s="20" t="s">
        <v>393</v>
      </c>
      <c r="F168" s="20" t="s">
        <v>394</v>
      </c>
      <c r="G168" s="8" t="str">
        <f t="shared" si="4"/>
        <v>STAMBAUGH JAMES</v>
      </c>
      <c r="H168" s="20" t="str">
        <f t="shared" si="5"/>
        <v>4029</v>
      </c>
    </row>
    <row r="169" spans="1:8" x14ac:dyDescent="0.3">
      <c r="A169" s="8">
        <v>43108.663715277777</v>
      </c>
      <c r="B169" s="20" t="s">
        <v>460</v>
      </c>
      <c r="C169" s="20" t="s">
        <v>627</v>
      </c>
      <c r="D169" s="137">
        <v>3810000</v>
      </c>
      <c r="E169" s="20" t="s">
        <v>783</v>
      </c>
      <c r="F169" s="20" t="s">
        <v>784</v>
      </c>
      <c r="G169" s="8" t="str">
        <f t="shared" si="4"/>
        <v>LORI SANTOS</v>
      </c>
      <c r="H169" s="20" t="str">
        <f t="shared" si="5"/>
        <v>4009</v>
      </c>
    </row>
    <row r="170" spans="1:8" x14ac:dyDescent="0.3">
      <c r="A170" s="8">
        <v>43108.663761574076</v>
      </c>
      <c r="B170" s="20" t="s">
        <v>462</v>
      </c>
      <c r="C170" s="20" t="s">
        <v>792</v>
      </c>
      <c r="D170" s="137">
        <v>2550000</v>
      </c>
      <c r="E170" s="20" t="s">
        <v>502</v>
      </c>
      <c r="F170" s="20" t="s">
        <v>503</v>
      </c>
      <c r="G170" s="8" t="str">
        <f t="shared" si="4"/>
        <v>BADERTSCHER DIANE</v>
      </c>
      <c r="H170" s="20" t="str">
        <f t="shared" si="5"/>
        <v>4044</v>
      </c>
    </row>
    <row r="171" spans="1:8" x14ac:dyDescent="0.3">
      <c r="A171" s="8">
        <v>43108.66684027778</v>
      </c>
      <c r="B171" s="20" t="s">
        <v>476</v>
      </c>
      <c r="C171" s="20" t="s">
        <v>793</v>
      </c>
      <c r="D171" s="137">
        <v>1300000</v>
      </c>
      <c r="E171" s="20" t="s">
        <v>357</v>
      </c>
      <c r="F171" s="20" t="s">
        <v>358</v>
      </c>
      <c r="G171" s="8" t="str">
        <f t="shared" si="4"/>
        <v>LEVIN SCOTT</v>
      </c>
      <c r="H171" s="20" t="str">
        <f t="shared" si="5"/>
        <v>4064</v>
      </c>
    </row>
    <row r="172" spans="1:8" x14ac:dyDescent="0.3">
      <c r="A172" s="8">
        <v>43108.668344907404</v>
      </c>
      <c r="B172" s="20" t="s">
        <v>475</v>
      </c>
      <c r="C172" s="20" t="s">
        <v>794</v>
      </c>
      <c r="D172" s="137">
        <v>3840000</v>
      </c>
      <c r="E172" s="20" t="s">
        <v>749</v>
      </c>
      <c r="F172" s="20" t="s">
        <v>750</v>
      </c>
      <c r="G172" s="8" t="str">
        <f t="shared" si="4"/>
        <v>LONG FULLER</v>
      </c>
      <c r="H172" s="20" t="str">
        <f t="shared" si="5"/>
        <v>4033</v>
      </c>
    </row>
    <row r="173" spans="1:8" x14ac:dyDescent="0.3">
      <c r="A173" s="8">
        <v>43108.671840277777</v>
      </c>
      <c r="B173" s="20" t="s">
        <v>636</v>
      </c>
      <c r="C173" s="20" t="s">
        <v>795</v>
      </c>
      <c r="D173" s="137">
        <v>2030000</v>
      </c>
      <c r="E173" s="20" t="s">
        <v>561</v>
      </c>
      <c r="F173" s="20" t="s">
        <v>466</v>
      </c>
      <c r="G173" s="8" t="str">
        <f t="shared" si="4"/>
        <v>KILLION DAVID</v>
      </c>
      <c r="H173" s="20" t="str">
        <f t="shared" si="5"/>
        <v>4054</v>
      </c>
    </row>
    <row r="174" spans="1:8" x14ac:dyDescent="0.3">
      <c r="A174" s="8">
        <v>43108.673807870371</v>
      </c>
      <c r="B174" s="20" t="s">
        <v>389</v>
      </c>
      <c r="C174" s="20" t="s">
        <v>796</v>
      </c>
      <c r="D174" s="137">
        <v>2970000</v>
      </c>
      <c r="E174" s="20" t="s">
        <v>373</v>
      </c>
      <c r="F174" s="20" t="s">
        <v>374</v>
      </c>
      <c r="G174" s="8" t="str">
        <f t="shared" si="4"/>
        <v>GUZMAN DANNY</v>
      </c>
      <c r="H174" s="20" t="str">
        <f t="shared" si="5"/>
        <v>4059</v>
      </c>
    </row>
    <row r="175" spans="1:8" x14ac:dyDescent="0.3">
      <c r="A175" s="8">
        <v>43108.680023148147</v>
      </c>
      <c r="B175" s="20" t="s">
        <v>445</v>
      </c>
      <c r="C175" s="20" t="s">
        <v>797</v>
      </c>
      <c r="D175" s="137">
        <v>1760000</v>
      </c>
      <c r="E175" s="20" t="s">
        <v>798</v>
      </c>
      <c r="F175" s="20" t="s">
        <v>799</v>
      </c>
      <c r="G175" s="8" t="str">
        <f t="shared" si="4"/>
        <v>STRICKLAND EVAN</v>
      </c>
      <c r="H175" s="20" t="str">
        <f t="shared" si="5"/>
        <v>4052</v>
      </c>
    </row>
    <row r="176" spans="1:8" x14ac:dyDescent="0.3">
      <c r="A176" s="8">
        <v>43108.68408564815</v>
      </c>
      <c r="B176" s="20" t="s">
        <v>441</v>
      </c>
      <c r="C176" s="20" t="s">
        <v>627</v>
      </c>
      <c r="D176" s="137">
        <v>2610000</v>
      </c>
      <c r="E176" s="20" t="s">
        <v>379</v>
      </c>
      <c r="F176" s="20" t="s">
        <v>380</v>
      </c>
      <c r="G176" s="8" t="str">
        <f t="shared" si="4"/>
        <v>MAGEE KENYA</v>
      </c>
      <c r="H176" s="20" t="str">
        <f t="shared" si="5"/>
        <v>4010</v>
      </c>
    </row>
    <row r="177" spans="1:8" x14ac:dyDescent="0.3">
      <c r="A177" s="8">
        <v>43108.68445601852</v>
      </c>
      <c r="B177" s="20" t="s">
        <v>485</v>
      </c>
      <c r="C177" s="20" t="s">
        <v>800</v>
      </c>
      <c r="D177" s="137">
        <v>1300000</v>
      </c>
      <c r="E177" s="20" t="s">
        <v>357</v>
      </c>
      <c r="F177" s="20" t="s">
        <v>358</v>
      </c>
      <c r="G177" s="8" t="str">
        <f t="shared" si="4"/>
        <v>LEVIN SCOTT</v>
      </c>
      <c r="H177" s="20" t="str">
        <f t="shared" si="5"/>
        <v>4063</v>
      </c>
    </row>
    <row r="178" spans="1:8" x14ac:dyDescent="0.3">
      <c r="A178" s="8">
        <v>43108.684583333335</v>
      </c>
      <c r="B178" s="20" t="s">
        <v>559</v>
      </c>
      <c r="C178" s="20" t="s">
        <v>801</v>
      </c>
      <c r="D178" s="137">
        <v>920000</v>
      </c>
      <c r="E178" s="20" t="s">
        <v>524</v>
      </c>
      <c r="F178" s="20" t="s">
        <v>351</v>
      </c>
      <c r="G178" s="8" t="str">
        <f t="shared" si="4"/>
        <v>DAVIS MICHAEL</v>
      </c>
      <c r="H178" s="20" t="str">
        <f t="shared" si="5"/>
        <v>4026</v>
      </c>
    </row>
    <row r="179" spans="1:8" x14ac:dyDescent="0.3">
      <c r="A179" s="8">
        <v>43108.684687499997</v>
      </c>
      <c r="B179" s="20" t="s">
        <v>441</v>
      </c>
      <c r="C179" s="20" t="s">
        <v>623</v>
      </c>
      <c r="D179" s="137">
        <v>2610000</v>
      </c>
      <c r="E179" s="20" t="s">
        <v>379</v>
      </c>
      <c r="F179" s="20" t="s">
        <v>380</v>
      </c>
      <c r="G179" s="8" t="str">
        <f t="shared" si="4"/>
        <v>MAGEE KENYA</v>
      </c>
      <c r="H179" s="20" t="str">
        <f t="shared" si="5"/>
        <v>4010</v>
      </c>
    </row>
    <row r="180" spans="1:8" x14ac:dyDescent="0.3">
      <c r="A180" s="8">
        <v>43108.685046296298</v>
      </c>
      <c r="B180" s="20" t="s">
        <v>391</v>
      </c>
      <c r="C180" s="20" t="s">
        <v>632</v>
      </c>
      <c r="D180" s="137">
        <v>2000000</v>
      </c>
      <c r="E180" s="20" t="s">
        <v>393</v>
      </c>
      <c r="F180" s="20" t="s">
        <v>394</v>
      </c>
      <c r="G180" s="8" t="str">
        <f t="shared" si="4"/>
        <v>STAMBAUGH JAMES</v>
      </c>
      <c r="H180" s="20" t="str">
        <f t="shared" si="5"/>
        <v>4030</v>
      </c>
    </row>
    <row r="181" spans="1:8" x14ac:dyDescent="0.3">
      <c r="A181" s="8">
        <v>43108.692557870374</v>
      </c>
      <c r="B181" s="20" t="s">
        <v>566</v>
      </c>
      <c r="C181" s="20" t="s">
        <v>802</v>
      </c>
      <c r="D181" s="137">
        <v>2630000</v>
      </c>
      <c r="E181" s="20" t="s">
        <v>371</v>
      </c>
      <c r="F181" s="20" t="s">
        <v>372</v>
      </c>
      <c r="G181" s="8" t="str">
        <f t="shared" si="4"/>
        <v>SAFIEF AEIMEN</v>
      </c>
      <c r="H181" s="20" t="str">
        <f t="shared" si="5"/>
        <v>4021</v>
      </c>
    </row>
    <row r="182" spans="1:8" x14ac:dyDescent="0.3">
      <c r="A182" s="8">
        <v>43108.695057870369</v>
      </c>
      <c r="B182" s="20" t="s">
        <v>359</v>
      </c>
      <c r="C182" s="20" t="s">
        <v>803</v>
      </c>
      <c r="D182" s="137">
        <v>880000</v>
      </c>
      <c r="E182" s="20" t="s">
        <v>744</v>
      </c>
      <c r="F182" s="20" t="s">
        <v>351</v>
      </c>
      <c r="G182" s="8" t="str">
        <f t="shared" si="4"/>
        <v>STEWART MICHAEL</v>
      </c>
      <c r="H182" s="20" t="str">
        <f t="shared" si="5"/>
        <v>4018</v>
      </c>
    </row>
    <row r="183" spans="1:8" x14ac:dyDescent="0.3">
      <c r="A183" s="8">
        <v>43108.7030787037</v>
      </c>
      <c r="B183" s="20" t="s">
        <v>499</v>
      </c>
      <c r="C183" s="20" t="s">
        <v>804</v>
      </c>
      <c r="D183" s="137">
        <v>2550000</v>
      </c>
      <c r="E183" s="20" t="s">
        <v>502</v>
      </c>
      <c r="F183" s="20" t="s">
        <v>503</v>
      </c>
      <c r="G183" s="8" t="str">
        <f t="shared" si="4"/>
        <v>BADERTSCHER DIANE</v>
      </c>
      <c r="H183" s="20" t="str">
        <f t="shared" si="5"/>
        <v>4043</v>
      </c>
    </row>
    <row r="184" spans="1:8" x14ac:dyDescent="0.3">
      <c r="A184" s="8">
        <v>43108.705138888887</v>
      </c>
      <c r="B184" s="20" t="s">
        <v>492</v>
      </c>
      <c r="C184" s="20" t="s">
        <v>805</v>
      </c>
      <c r="D184" s="137">
        <v>3840000</v>
      </c>
      <c r="E184" s="20" t="s">
        <v>749</v>
      </c>
      <c r="F184" s="20" t="s">
        <v>750</v>
      </c>
      <c r="G184" s="8" t="str">
        <f t="shared" si="4"/>
        <v>LONG FULLER</v>
      </c>
      <c r="H184" s="20" t="str">
        <f t="shared" si="5"/>
        <v>4034</v>
      </c>
    </row>
    <row r="185" spans="1:8" x14ac:dyDescent="0.3">
      <c r="A185" s="8">
        <v>43108.706145833334</v>
      </c>
      <c r="B185" s="20" t="s">
        <v>385</v>
      </c>
      <c r="C185" s="20" t="s">
        <v>806</v>
      </c>
      <c r="D185" s="137">
        <v>2000000</v>
      </c>
      <c r="E185" s="20" t="s">
        <v>393</v>
      </c>
      <c r="F185" s="20" t="s">
        <v>394</v>
      </c>
      <c r="G185" s="8" t="str">
        <f t="shared" si="4"/>
        <v>STAMBAUGH JAMES</v>
      </c>
      <c r="H185" s="20" t="str">
        <f t="shared" si="5"/>
        <v>4029</v>
      </c>
    </row>
    <row r="186" spans="1:8" x14ac:dyDescent="0.3">
      <c r="A186" s="8">
        <v>43108.707152777781</v>
      </c>
      <c r="B186" s="20" t="s">
        <v>476</v>
      </c>
      <c r="C186" s="20" t="s">
        <v>807</v>
      </c>
      <c r="D186" s="137">
        <v>1300000</v>
      </c>
      <c r="E186" s="20" t="s">
        <v>357</v>
      </c>
      <c r="F186" s="20" t="s">
        <v>358</v>
      </c>
      <c r="G186" s="8" t="str">
        <f t="shared" si="4"/>
        <v>LEVIN SCOTT</v>
      </c>
      <c r="H186" s="20" t="str">
        <f t="shared" si="5"/>
        <v>4064</v>
      </c>
    </row>
    <row r="187" spans="1:8" x14ac:dyDescent="0.3">
      <c r="A187" s="8">
        <v>43108.708449074074</v>
      </c>
      <c r="B187" s="20" t="s">
        <v>670</v>
      </c>
      <c r="C187" s="20" t="s">
        <v>808</v>
      </c>
      <c r="D187" s="137">
        <v>2030000</v>
      </c>
      <c r="E187" s="20" t="s">
        <v>561</v>
      </c>
      <c r="F187" s="20" t="s">
        <v>466</v>
      </c>
      <c r="G187" s="8" t="str">
        <f t="shared" si="4"/>
        <v>KILLION DAVID</v>
      </c>
      <c r="H187" s="20" t="str">
        <f t="shared" si="5"/>
        <v>4053</v>
      </c>
    </row>
    <row r="188" spans="1:8" x14ac:dyDescent="0.3">
      <c r="A188" s="8">
        <v>43108.71539351852</v>
      </c>
      <c r="B188" s="20" t="s">
        <v>356</v>
      </c>
      <c r="C188" s="20" t="s">
        <v>809</v>
      </c>
      <c r="D188" s="137">
        <v>2970000</v>
      </c>
      <c r="E188" s="20" t="s">
        <v>373</v>
      </c>
      <c r="F188" s="20" t="s">
        <v>374</v>
      </c>
      <c r="G188" s="8" t="str">
        <f t="shared" si="4"/>
        <v>GUZMAN DANNY</v>
      </c>
      <c r="H188" s="20" t="str">
        <f t="shared" si="5"/>
        <v>4060</v>
      </c>
    </row>
    <row r="189" spans="1:8" x14ac:dyDescent="0.3">
      <c r="A189" s="8">
        <v>43108.720219907409</v>
      </c>
      <c r="B189" s="20" t="s">
        <v>491</v>
      </c>
      <c r="C189" s="20" t="s">
        <v>810</v>
      </c>
      <c r="D189" s="137">
        <v>3330000</v>
      </c>
      <c r="E189" s="20" t="s">
        <v>525</v>
      </c>
      <c r="F189" s="20" t="s">
        <v>526</v>
      </c>
      <c r="G189" s="8" t="str">
        <f t="shared" si="4"/>
        <v>GONZALEZ ARMANDO</v>
      </c>
      <c r="H189" s="20" t="str">
        <f t="shared" si="5"/>
        <v>4002</v>
      </c>
    </row>
    <row r="190" spans="1:8" x14ac:dyDescent="0.3">
      <c r="A190" s="8">
        <v>43108.725393518522</v>
      </c>
      <c r="B190" s="20" t="s">
        <v>554</v>
      </c>
      <c r="C190" s="20" t="s">
        <v>811</v>
      </c>
      <c r="D190" s="137">
        <v>920000</v>
      </c>
      <c r="E190" s="20" t="s">
        <v>524</v>
      </c>
      <c r="F190" s="20" t="s">
        <v>351</v>
      </c>
      <c r="G190" s="8" t="str">
        <f t="shared" si="4"/>
        <v>DAVIS MICHAEL</v>
      </c>
      <c r="H190" s="20" t="str">
        <f t="shared" si="5"/>
        <v>4025</v>
      </c>
    </row>
    <row r="191" spans="1:8" x14ac:dyDescent="0.3">
      <c r="A191" s="8">
        <v>43108.726689814815</v>
      </c>
      <c r="B191" s="20" t="s">
        <v>383</v>
      </c>
      <c r="C191" s="20" t="s">
        <v>812</v>
      </c>
      <c r="D191" s="137">
        <v>2630000</v>
      </c>
      <c r="E191" s="20" t="s">
        <v>371</v>
      </c>
      <c r="F191" s="20" t="s">
        <v>372</v>
      </c>
      <c r="G191" s="8" t="str">
        <f t="shared" si="4"/>
        <v>SAFIEF AEIMEN</v>
      </c>
      <c r="H191" s="20" t="str">
        <f t="shared" si="5"/>
        <v>4022</v>
      </c>
    </row>
    <row r="192" spans="1:8" x14ac:dyDescent="0.3">
      <c r="A192" s="8">
        <v>43108.727071759262</v>
      </c>
      <c r="B192" s="20" t="s">
        <v>391</v>
      </c>
      <c r="C192" s="20" t="s">
        <v>633</v>
      </c>
      <c r="D192" s="137">
        <v>2000000</v>
      </c>
      <c r="E192" s="20" t="s">
        <v>393</v>
      </c>
      <c r="F192" s="20" t="s">
        <v>394</v>
      </c>
      <c r="G192" s="8" t="str">
        <f t="shared" si="4"/>
        <v>STAMBAUGH JAMES</v>
      </c>
      <c r="H192" s="20" t="str">
        <f t="shared" si="5"/>
        <v>4030</v>
      </c>
    </row>
    <row r="193" spans="1:8" x14ac:dyDescent="0.3">
      <c r="A193" s="8">
        <v>43108.728125000001</v>
      </c>
      <c r="B193" s="20" t="s">
        <v>485</v>
      </c>
      <c r="C193" s="20" t="s">
        <v>813</v>
      </c>
      <c r="D193" s="137">
        <v>1300000</v>
      </c>
      <c r="E193" s="20" t="s">
        <v>357</v>
      </c>
      <c r="F193" s="20" t="s">
        <v>358</v>
      </c>
      <c r="G193" s="8" t="str">
        <f t="shared" si="4"/>
        <v>LEVIN SCOTT</v>
      </c>
      <c r="H193" s="20" t="str">
        <f t="shared" si="5"/>
        <v>4063</v>
      </c>
    </row>
    <row r="194" spans="1:8" x14ac:dyDescent="0.3">
      <c r="A194" s="8">
        <v>43108.73605324074</v>
      </c>
      <c r="B194" s="20" t="s">
        <v>361</v>
      </c>
      <c r="C194" s="20" t="s">
        <v>814</v>
      </c>
      <c r="D194" s="137">
        <v>880000</v>
      </c>
      <c r="E194" s="20" t="s">
        <v>744</v>
      </c>
      <c r="F194" s="20" t="s">
        <v>351</v>
      </c>
      <c r="G194" s="8" t="str">
        <f t="shared" si="4"/>
        <v>STEWART MICHAEL</v>
      </c>
      <c r="H194" s="20" t="str">
        <f t="shared" si="5"/>
        <v>4017</v>
      </c>
    </row>
    <row r="195" spans="1:8" x14ac:dyDescent="0.3">
      <c r="A195" s="8">
        <v>43108.73841435185</v>
      </c>
      <c r="B195" s="20" t="s">
        <v>462</v>
      </c>
      <c r="C195" s="20" t="s">
        <v>815</v>
      </c>
      <c r="D195" s="137">
        <v>890000</v>
      </c>
      <c r="E195" s="20" t="s">
        <v>343</v>
      </c>
      <c r="F195" s="20" t="s">
        <v>344</v>
      </c>
      <c r="G195" s="8" t="str">
        <f t="shared" ref="G195:G258" si="6">E195&amp;" "&amp;F195</f>
        <v>LOZA FIDEL</v>
      </c>
      <c r="H195" s="20" t="str">
        <f t="shared" ref="H195:H258" si="7">MID(B195,13,4)</f>
        <v>4044</v>
      </c>
    </row>
    <row r="196" spans="1:8" x14ac:dyDescent="0.3">
      <c r="A196" s="8">
        <v>43108.739722222221</v>
      </c>
      <c r="B196" s="20" t="s">
        <v>469</v>
      </c>
      <c r="C196" s="20" t="s">
        <v>634</v>
      </c>
      <c r="D196" s="137">
        <v>3700000</v>
      </c>
      <c r="E196" s="20" t="s">
        <v>443</v>
      </c>
      <c r="F196" s="20" t="s">
        <v>368</v>
      </c>
      <c r="G196" s="8" t="str">
        <f t="shared" si="6"/>
        <v>AUSTIN THOMPSON</v>
      </c>
      <c r="H196" s="20" t="str">
        <f t="shared" si="7"/>
        <v>4019</v>
      </c>
    </row>
    <row r="197" spans="1:8" x14ac:dyDescent="0.3">
      <c r="A197" s="8">
        <v>43108.741099537037</v>
      </c>
      <c r="B197" s="20" t="s">
        <v>475</v>
      </c>
      <c r="C197" s="20" t="s">
        <v>816</v>
      </c>
      <c r="D197" s="137">
        <v>3840000</v>
      </c>
      <c r="E197" s="20" t="s">
        <v>749</v>
      </c>
      <c r="F197" s="20" t="s">
        <v>750</v>
      </c>
      <c r="G197" s="8" t="str">
        <f t="shared" si="6"/>
        <v>LONG FULLER</v>
      </c>
      <c r="H197" s="20" t="str">
        <f t="shared" si="7"/>
        <v>4033</v>
      </c>
    </row>
    <row r="198" spans="1:8" x14ac:dyDescent="0.3">
      <c r="A198" s="8">
        <v>43108.745497685188</v>
      </c>
      <c r="B198" s="20" t="s">
        <v>636</v>
      </c>
      <c r="C198" s="20" t="s">
        <v>817</v>
      </c>
      <c r="D198" s="137">
        <v>2030000</v>
      </c>
      <c r="E198" s="20" t="s">
        <v>561</v>
      </c>
      <c r="F198" s="20" t="s">
        <v>466</v>
      </c>
      <c r="G198" s="8" t="str">
        <f t="shared" si="6"/>
        <v>KILLION DAVID</v>
      </c>
      <c r="H198" s="20" t="str">
        <f t="shared" si="7"/>
        <v>4054</v>
      </c>
    </row>
    <row r="199" spans="1:8" x14ac:dyDescent="0.3">
      <c r="A199" s="8">
        <v>43108.747662037036</v>
      </c>
      <c r="B199" s="20" t="s">
        <v>389</v>
      </c>
      <c r="C199" s="20" t="s">
        <v>818</v>
      </c>
      <c r="D199" s="137">
        <v>2970000</v>
      </c>
      <c r="E199" s="20" t="s">
        <v>373</v>
      </c>
      <c r="F199" s="20" t="s">
        <v>374</v>
      </c>
      <c r="G199" s="8" t="str">
        <f t="shared" si="6"/>
        <v>GUZMAN DANNY</v>
      </c>
      <c r="H199" s="20" t="str">
        <f t="shared" si="7"/>
        <v>4059</v>
      </c>
    </row>
    <row r="200" spans="1:8" x14ac:dyDescent="0.3">
      <c r="A200" s="8">
        <v>43108.748032407406</v>
      </c>
      <c r="B200" s="20" t="s">
        <v>385</v>
      </c>
      <c r="C200" s="20" t="s">
        <v>819</v>
      </c>
      <c r="D200" s="137">
        <v>2000000</v>
      </c>
      <c r="E200" s="20" t="s">
        <v>393</v>
      </c>
      <c r="F200" s="20" t="s">
        <v>394</v>
      </c>
      <c r="G200" s="8" t="str">
        <f t="shared" si="6"/>
        <v>STAMBAUGH JAMES</v>
      </c>
      <c r="H200" s="20" t="str">
        <f t="shared" si="7"/>
        <v>4029</v>
      </c>
    </row>
    <row r="201" spans="1:8" x14ac:dyDescent="0.3">
      <c r="A201" s="8">
        <v>43108.754560185182</v>
      </c>
      <c r="B201" s="20" t="s">
        <v>476</v>
      </c>
      <c r="C201" s="20" t="s">
        <v>820</v>
      </c>
      <c r="D201" s="137">
        <v>1300000</v>
      </c>
      <c r="E201" s="20" t="s">
        <v>357</v>
      </c>
      <c r="F201" s="20" t="s">
        <v>358</v>
      </c>
      <c r="G201" s="8" t="str">
        <f t="shared" si="6"/>
        <v>LEVIN SCOTT</v>
      </c>
      <c r="H201" s="20" t="str">
        <f t="shared" si="7"/>
        <v>4064</v>
      </c>
    </row>
    <row r="202" spans="1:8" x14ac:dyDescent="0.3">
      <c r="A202" s="26">
        <v>43108.759247685186</v>
      </c>
      <c r="B202" s="20" t="s">
        <v>559</v>
      </c>
      <c r="C202" s="20" t="s">
        <v>821</v>
      </c>
      <c r="D202" s="137">
        <v>3220000</v>
      </c>
      <c r="E202" s="20" t="s">
        <v>377</v>
      </c>
      <c r="F202" s="20" t="s">
        <v>378</v>
      </c>
      <c r="G202" s="8" t="str">
        <f t="shared" si="6"/>
        <v>RESPASS AARON</v>
      </c>
      <c r="H202" s="20" t="str">
        <f t="shared" si="7"/>
        <v>4026</v>
      </c>
    </row>
    <row r="203" spans="1:8" x14ac:dyDescent="0.3">
      <c r="A203" s="8">
        <v>43108.75949074074</v>
      </c>
      <c r="B203" s="20" t="s">
        <v>566</v>
      </c>
      <c r="C203" s="20" t="s">
        <v>822</v>
      </c>
      <c r="D203" s="137">
        <v>2630000</v>
      </c>
      <c r="E203" s="20" t="s">
        <v>371</v>
      </c>
      <c r="F203" s="20" t="s">
        <v>372</v>
      </c>
      <c r="G203" s="8" t="str">
        <f t="shared" si="6"/>
        <v>SAFIEF AEIMEN</v>
      </c>
      <c r="H203" s="20" t="str">
        <f t="shared" si="7"/>
        <v>4021</v>
      </c>
    </row>
    <row r="204" spans="1:8" x14ac:dyDescent="0.3">
      <c r="A204" s="8">
        <v>43108.767187500001</v>
      </c>
      <c r="B204" s="20" t="s">
        <v>359</v>
      </c>
      <c r="C204" s="20" t="s">
        <v>823</v>
      </c>
      <c r="D204" s="137">
        <v>3500000</v>
      </c>
      <c r="E204" s="20" t="s">
        <v>375</v>
      </c>
      <c r="F204" s="20" t="s">
        <v>376</v>
      </c>
      <c r="G204" s="8" t="str">
        <f t="shared" si="6"/>
        <v>GUNTHIER ERIC</v>
      </c>
      <c r="H204" s="20" t="str">
        <f t="shared" si="7"/>
        <v>4018</v>
      </c>
    </row>
    <row r="205" spans="1:8" x14ac:dyDescent="0.3">
      <c r="A205" s="8">
        <v>43108.768206018518</v>
      </c>
      <c r="B205" s="20" t="s">
        <v>485</v>
      </c>
      <c r="C205" s="20" t="s">
        <v>824</v>
      </c>
      <c r="D205" s="137">
        <v>1300000</v>
      </c>
      <c r="E205" s="20" t="s">
        <v>357</v>
      </c>
      <c r="F205" s="20" t="s">
        <v>358</v>
      </c>
      <c r="G205" s="8" t="str">
        <f t="shared" si="6"/>
        <v>LEVIN SCOTT</v>
      </c>
      <c r="H205" s="20" t="str">
        <f t="shared" si="7"/>
        <v>4063</v>
      </c>
    </row>
    <row r="206" spans="1:8" x14ac:dyDescent="0.3">
      <c r="A206" s="8">
        <v>43108.768460648149</v>
      </c>
      <c r="B206" s="20" t="s">
        <v>391</v>
      </c>
      <c r="C206" s="20" t="s">
        <v>825</v>
      </c>
      <c r="D206" s="137">
        <v>2000000</v>
      </c>
      <c r="E206" s="20" t="s">
        <v>393</v>
      </c>
      <c r="F206" s="20" t="s">
        <v>394</v>
      </c>
      <c r="G206" s="8" t="str">
        <f t="shared" si="6"/>
        <v>STAMBAUGH JAMES</v>
      </c>
      <c r="H206" s="20" t="str">
        <f t="shared" si="7"/>
        <v>4030</v>
      </c>
    </row>
    <row r="207" spans="1:8" x14ac:dyDescent="0.3">
      <c r="A207" s="8">
        <v>43108.775972222225</v>
      </c>
      <c r="B207" s="20" t="s">
        <v>499</v>
      </c>
      <c r="C207" s="20" t="s">
        <v>826</v>
      </c>
      <c r="D207" s="137">
        <v>890000</v>
      </c>
      <c r="E207" s="20" t="s">
        <v>343</v>
      </c>
      <c r="F207" s="20" t="s">
        <v>344</v>
      </c>
      <c r="G207" s="8" t="str">
        <f t="shared" si="6"/>
        <v>LOZA FIDEL</v>
      </c>
      <c r="H207" s="20" t="str">
        <f t="shared" si="7"/>
        <v>4043</v>
      </c>
    </row>
    <row r="208" spans="1:8" x14ac:dyDescent="0.3">
      <c r="A208" s="8">
        <v>43108.778958333336</v>
      </c>
      <c r="B208" s="20" t="s">
        <v>492</v>
      </c>
      <c r="C208" s="20" t="s">
        <v>827</v>
      </c>
      <c r="D208" s="137">
        <v>3840000</v>
      </c>
      <c r="E208" s="20" t="s">
        <v>749</v>
      </c>
      <c r="F208" s="20" t="s">
        <v>750</v>
      </c>
      <c r="G208" s="8" t="str">
        <f t="shared" si="6"/>
        <v>LONG FULLER</v>
      </c>
      <c r="H208" s="20" t="str">
        <f t="shared" si="7"/>
        <v>4034</v>
      </c>
    </row>
    <row r="209" spans="1:8" x14ac:dyDescent="0.3">
      <c r="A209" s="8">
        <v>43108.782314814816</v>
      </c>
      <c r="B209" s="20" t="s">
        <v>670</v>
      </c>
      <c r="C209" s="20" t="s">
        <v>828</v>
      </c>
      <c r="D209" s="137">
        <v>2030000</v>
      </c>
      <c r="E209" s="20" t="s">
        <v>561</v>
      </c>
      <c r="F209" s="20" t="s">
        <v>466</v>
      </c>
      <c r="G209" s="8" t="str">
        <f t="shared" si="6"/>
        <v>KILLION DAVID</v>
      </c>
      <c r="H209" s="20" t="str">
        <f t="shared" si="7"/>
        <v>4053</v>
      </c>
    </row>
    <row r="210" spans="1:8" x14ac:dyDescent="0.3">
      <c r="A210" s="8">
        <v>43108.788368055553</v>
      </c>
      <c r="B210" s="20" t="s">
        <v>385</v>
      </c>
      <c r="C210" s="20" t="s">
        <v>829</v>
      </c>
      <c r="D210" s="137">
        <v>2000000</v>
      </c>
      <c r="E210" s="20" t="s">
        <v>393</v>
      </c>
      <c r="F210" s="20" t="s">
        <v>394</v>
      </c>
      <c r="G210" s="8" t="str">
        <f t="shared" si="6"/>
        <v>STAMBAUGH JAMES</v>
      </c>
      <c r="H210" s="20" t="str">
        <f t="shared" si="7"/>
        <v>4029</v>
      </c>
    </row>
    <row r="211" spans="1:8" x14ac:dyDescent="0.3">
      <c r="A211" s="8">
        <v>43108.788472222222</v>
      </c>
      <c r="B211" s="20" t="s">
        <v>356</v>
      </c>
      <c r="C211" s="20" t="s">
        <v>830</v>
      </c>
      <c r="D211" s="137">
        <v>3340000</v>
      </c>
      <c r="E211" s="20" t="s">
        <v>455</v>
      </c>
      <c r="F211" s="20" t="s">
        <v>456</v>
      </c>
      <c r="G211" s="8" t="str">
        <f t="shared" si="6"/>
        <v>ELBAUM MIKE</v>
      </c>
      <c r="H211" s="20" t="str">
        <f t="shared" si="7"/>
        <v>4060</v>
      </c>
    </row>
    <row r="212" spans="1:8" x14ac:dyDescent="0.3">
      <c r="A212" s="8">
        <v>43108.789189814815</v>
      </c>
      <c r="B212" s="20" t="s">
        <v>554</v>
      </c>
      <c r="C212" s="20" t="s">
        <v>635</v>
      </c>
      <c r="D212" s="137">
        <v>3220000</v>
      </c>
      <c r="E212" s="20" t="s">
        <v>377</v>
      </c>
      <c r="F212" s="20" t="s">
        <v>378</v>
      </c>
      <c r="G212" s="8" t="str">
        <f t="shared" si="6"/>
        <v>RESPASS AARON</v>
      </c>
      <c r="H212" s="20" t="str">
        <f t="shared" si="7"/>
        <v>4025</v>
      </c>
    </row>
    <row r="213" spans="1:8" x14ac:dyDescent="0.3">
      <c r="A213" s="8">
        <v>43108.790625000001</v>
      </c>
      <c r="B213" s="20" t="s">
        <v>476</v>
      </c>
      <c r="C213" s="20" t="s">
        <v>831</v>
      </c>
      <c r="D213" s="137">
        <v>1300000</v>
      </c>
      <c r="E213" s="20" t="s">
        <v>357</v>
      </c>
      <c r="F213" s="20" t="s">
        <v>358</v>
      </c>
      <c r="G213" s="8" t="str">
        <f t="shared" si="6"/>
        <v>LEVIN SCOTT</v>
      </c>
      <c r="H213" s="20" t="str">
        <f t="shared" si="7"/>
        <v>4064</v>
      </c>
    </row>
    <row r="214" spans="1:8" x14ac:dyDescent="0.3">
      <c r="A214" s="8">
        <v>43108.798368055555</v>
      </c>
      <c r="B214" s="20" t="s">
        <v>383</v>
      </c>
      <c r="C214" s="20" t="s">
        <v>832</v>
      </c>
      <c r="D214" s="137">
        <v>2630000</v>
      </c>
      <c r="E214" s="20" t="s">
        <v>371</v>
      </c>
      <c r="F214" s="20" t="s">
        <v>372</v>
      </c>
      <c r="G214" s="8" t="str">
        <f t="shared" si="6"/>
        <v>SAFIEF AEIMEN</v>
      </c>
      <c r="H214" s="20" t="str">
        <f t="shared" si="7"/>
        <v>4022</v>
      </c>
    </row>
    <row r="215" spans="1:8" x14ac:dyDescent="0.3">
      <c r="A215" s="8">
        <v>43108.806967592594</v>
      </c>
      <c r="B215" s="20" t="s">
        <v>361</v>
      </c>
      <c r="C215" s="20" t="s">
        <v>833</v>
      </c>
      <c r="D215" s="137">
        <v>3500000</v>
      </c>
      <c r="E215" s="20" t="s">
        <v>375</v>
      </c>
      <c r="F215" s="20" t="s">
        <v>376</v>
      </c>
      <c r="G215" s="8" t="str">
        <f t="shared" si="6"/>
        <v>GUNTHIER ERIC</v>
      </c>
      <c r="H215" s="20" t="str">
        <f t="shared" si="7"/>
        <v>4017</v>
      </c>
    </row>
    <row r="216" spans="1:8" x14ac:dyDescent="0.3">
      <c r="A216" s="8">
        <v>43108.808715277781</v>
      </c>
      <c r="B216" s="20" t="s">
        <v>462</v>
      </c>
      <c r="C216" s="20" t="s">
        <v>834</v>
      </c>
      <c r="D216" s="137">
        <v>890000</v>
      </c>
      <c r="E216" s="20" t="s">
        <v>343</v>
      </c>
      <c r="F216" s="20" t="s">
        <v>344</v>
      </c>
      <c r="G216" s="8" t="str">
        <f t="shared" si="6"/>
        <v>LOZA FIDEL</v>
      </c>
      <c r="H216" s="20" t="str">
        <f t="shared" si="7"/>
        <v>4044</v>
      </c>
    </row>
    <row r="217" spans="1:8" x14ac:dyDescent="0.3">
      <c r="A217" s="8">
        <v>43108.809756944444</v>
      </c>
      <c r="B217" s="20" t="s">
        <v>485</v>
      </c>
      <c r="C217" s="20" t="s">
        <v>638</v>
      </c>
      <c r="D217" s="137">
        <v>1300000</v>
      </c>
      <c r="E217" s="20" t="s">
        <v>357</v>
      </c>
      <c r="F217" s="20" t="s">
        <v>358</v>
      </c>
      <c r="G217" s="8" t="str">
        <f t="shared" si="6"/>
        <v>LEVIN SCOTT</v>
      </c>
      <c r="H217" s="20" t="str">
        <f t="shared" si="7"/>
        <v>4063</v>
      </c>
    </row>
    <row r="218" spans="1:8" x14ac:dyDescent="0.3">
      <c r="A218" s="8">
        <v>43108.817465277774</v>
      </c>
      <c r="B218" s="20" t="s">
        <v>389</v>
      </c>
      <c r="C218" s="20" t="s">
        <v>835</v>
      </c>
      <c r="D218" s="137">
        <v>3340000</v>
      </c>
      <c r="E218" s="20" t="s">
        <v>455</v>
      </c>
      <c r="F218" s="20" t="s">
        <v>456</v>
      </c>
      <c r="G218" s="8" t="str">
        <f t="shared" si="6"/>
        <v>ELBAUM MIKE</v>
      </c>
      <c r="H218" s="20" t="str">
        <f t="shared" si="7"/>
        <v>4059</v>
      </c>
    </row>
    <row r="219" spans="1:8" x14ac:dyDescent="0.3">
      <c r="A219" s="8">
        <v>43108.817766203705</v>
      </c>
      <c r="B219" s="20" t="s">
        <v>636</v>
      </c>
      <c r="C219" s="20" t="s">
        <v>637</v>
      </c>
      <c r="D219" s="137">
        <v>2030000</v>
      </c>
      <c r="E219" s="20" t="s">
        <v>561</v>
      </c>
      <c r="F219" s="20" t="s">
        <v>466</v>
      </c>
      <c r="G219" s="8" t="str">
        <f t="shared" si="6"/>
        <v>KILLION DAVID</v>
      </c>
      <c r="H219" s="20" t="str">
        <f t="shared" si="7"/>
        <v>4054</v>
      </c>
    </row>
    <row r="220" spans="1:8" x14ac:dyDescent="0.3">
      <c r="A220" s="8">
        <v>43108.829050925924</v>
      </c>
      <c r="B220" s="20" t="s">
        <v>559</v>
      </c>
      <c r="C220" s="20" t="s">
        <v>836</v>
      </c>
      <c r="D220" s="137">
        <v>3680000</v>
      </c>
      <c r="E220" s="20" t="s">
        <v>458</v>
      </c>
      <c r="F220" s="20" t="s">
        <v>459</v>
      </c>
      <c r="G220" s="8" t="str">
        <f t="shared" si="6"/>
        <v>HAMMOND JUSTYNN</v>
      </c>
      <c r="H220" s="20" t="str">
        <f t="shared" si="7"/>
        <v>4026</v>
      </c>
    </row>
    <row r="221" spans="1:8" x14ac:dyDescent="0.3">
      <c r="A221" s="8">
        <v>43108.832997685182</v>
      </c>
      <c r="B221" s="20" t="s">
        <v>476</v>
      </c>
      <c r="C221" s="20" t="s">
        <v>837</v>
      </c>
      <c r="D221" s="137">
        <v>1300000</v>
      </c>
      <c r="E221" s="20" t="s">
        <v>357</v>
      </c>
      <c r="F221" s="20" t="s">
        <v>358</v>
      </c>
      <c r="G221" s="8" t="str">
        <f t="shared" si="6"/>
        <v>LEVIN SCOTT</v>
      </c>
      <c r="H221" s="20" t="str">
        <f t="shared" si="7"/>
        <v>4064</v>
      </c>
    </row>
    <row r="222" spans="1:8" x14ac:dyDescent="0.3">
      <c r="A222" s="8">
        <v>43108.84337962963</v>
      </c>
      <c r="B222" s="20" t="s">
        <v>470</v>
      </c>
      <c r="C222" s="20" t="s">
        <v>623</v>
      </c>
      <c r="D222" s="137">
        <v>3500000</v>
      </c>
      <c r="E222" s="20" t="s">
        <v>375</v>
      </c>
      <c r="F222" s="20" t="s">
        <v>376</v>
      </c>
      <c r="G222" s="8" t="str">
        <f t="shared" si="6"/>
        <v>GUNTHIER ERIC</v>
      </c>
      <c r="H222" s="20" t="str">
        <f t="shared" si="7"/>
        <v>4020</v>
      </c>
    </row>
    <row r="223" spans="1:8" x14ac:dyDescent="0.3">
      <c r="A223" s="8">
        <v>43108.844282407408</v>
      </c>
      <c r="B223" s="20" t="s">
        <v>359</v>
      </c>
      <c r="C223" s="20" t="s">
        <v>838</v>
      </c>
      <c r="D223" s="137">
        <v>3700000</v>
      </c>
      <c r="E223" s="20" t="s">
        <v>443</v>
      </c>
      <c r="F223" s="20" t="s">
        <v>368</v>
      </c>
      <c r="G223" s="8" t="str">
        <f t="shared" si="6"/>
        <v>AUSTIN THOMPSON</v>
      </c>
      <c r="H223" s="20" t="str">
        <f t="shared" si="7"/>
        <v>4018</v>
      </c>
    </row>
    <row r="224" spans="1:8" x14ac:dyDescent="0.3">
      <c r="A224" s="8">
        <v>43108.844953703701</v>
      </c>
      <c r="B224" t="s">
        <v>359</v>
      </c>
      <c r="C224" t="s">
        <v>838</v>
      </c>
      <c r="D224" s="137">
        <v>3700000</v>
      </c>
      <c r="E224" t="s">
        <v>443</v>
      </c>
      <c r="F224" s="20" t="s">
        <v>368</v>
      </c>
      <c r="G224" s="8" t="str">
        <f t="shared" si="6"/>
        <v>AUSTIN THOMPSON</v>
      </c>
      <c r="H224" s="20" t="str">
        <f t="shared" si="7"/>
        <v>4018</v>
      </c>
    </row>
    <row r="225" spans="1:8" x14ac:dyDescent="0.3">
      <c r="A225" s="8">
        <v>43108.846967592595</v>
      </c>
      <c r="B225" t="s">
        <v>469</v>
      </c>
      <c r="C225" t="s">
        <v>623</v>
      </c>
      <c r="D225" s="137">
        <v>3500000</v>
      </c>
      <c r="E225" t="s">
        <v>375</v>
      </c>
      <c r="F225" s="20" t="s">
        <v>376</v>
      </c>
      <c r="G225" s="8" t="str">
        <f t="shared" si="6"/>
        <v>GUNTHIER ERIC</v>
      </c>
      <c r="H225" s="20" t="str">
        <f t="shared" si="7"/>
        <v>4019</v>
      </c>
    </row>
    <row r="226" spans="1:8" x14ac:dyDescent="0.3">
      <c r="A226" s="8">
        <v>43108.84814814815</v>
      </c>
      <c r="B226" t="s">
        <v>361</v>
      </c>
      <c r="C226" t="s">
        <v>838</v>
      </c>
      <c r="D226" s="137">
        <v>3700000</v>
      </c>
      <c r="E226" t="s">
        <v>443</v>
      </c>
      <c r="F226" s="20" t="s">
        <v>368</v>
      </c>
      <c r="G226" s="8" t="str">
        <f t="shared" si="6"/>
        <v>AUSTIN THOMPSON</v>
      </c>
      <c r="H226" s="20" t="str">
        <f t="shared" si="7"/>
        <v>4017</v>
      </c>
    </row>
    <row r="227" spans="1:8" x14ac:dyDescent="0.3">
      <c r="A227" s="8">
        <v>43108.848761574074</v>
      </c>
      <c r="B227" t="s">
        <v>361</v>
      </c>
      <c r="C227" t="s">
        <v>838</v>
      </c>
      <c r="D227" s="137">
        <v>3700000</v>
      </c>
      <c r="E227" t="s">
        <v>443</v>
      </c>
      <c r="F227" s="20" t="s">
        <v>368</v>
      </c>
      <c r="G227" s="8" t="str">
        <f t="shared" si="6"/>
        <v>AUSTIN THOMPSON</v>
      </c>
      <c r="H227" s="20" t="str">
        <f t="shared" si="7"/>
        <v>4017</v>
      </c>
    </row>
    <row r="228" spans="1:8" x14ac:dyDescent="0.3">
      <c r="A228" s="8">
        <v>43108.850219907406</v>
      </c>
      <c r="B228" t="s">
        <v>499</v>
      </c>
      <c r="C228" t="s">
        <v>839</v>
      </c>
      <c r="D228" s="137">
        <v>890000</v>
      </c>
      <c r="E228" t="s">
        <v>343</v>
      </c>
      <c r="F228" s="20" t="s">
        <v>344</v>
      </c>
      <c r="G228" s="8" t="str">
        <f t="shared" si="6"/>
        <v>LOZA FIDEL</v>
      </c>
      <c r="H228" s="20" t="str">
        <f t="shared" si="7"/>
        <v>4043</v>
      </c>
    </row>
    <row r="229" spans="1:8" x14ac:dyDescent="0.3">
      <c r="A229" s="8">
        <v>43108.851388888892</v>
      </c>
      <c r="B229" t="s">
        <v>485</v>
      </c>
      <c r="C229" t="s">
        <v>840</v>
      </c>
      <c r="D229" s="137">
        <v>1300000</v>
      </c>
      <c r="E229" t="s">
        <v>357</v>
      </c>
      <c r="F229" s="20" t="s">
        <v>358</v>
      </c>
      <c r="G229" s="8" t="str">
        <f t="shared" si="6"/>
        <v>LEVIN SCOTT</v>
      </c>
      <c r="H229" s="20" t="str">
        <f t="shared" si="7"/>
        <v>4063</v>
      </c>
    </row>
    <row r="230" spans="1:8" x14ac:dyDescent="0.3">
      <c r="A230" s="8">
        <v>43108.852835648147</v>
      </c>
      <c r="B230" t="s">
        <v>470</v>
      </c>
      <c r="C230" t="s">
        <v>639</v>
      </c>
      <c r="D230" s="137">
        <v>3040000</v>
      </c>
      <c r="E230" t="s">
        <v>367</v>
      </c>
      <c r="F230" s="20" t="s">
        <v>501</v>
      </c>
      <c r="G230" s="8" t="str">
        <f t="shared" si="6"/>
        <v>WILLIAMS DONTE</v>
      </c>
      <c r="H230" s="20" t="str">
        <f t="shared" si="7"/>
        <v>4020</v>
      </c>
    </row>
    <row r="231" spans="1:8" x14ac:dyDescent="0.3">
      <c r="A231" s="8">
        <v>43108.857986111114</v>
      </c>
      <c r="B231" t="s">
        <v>356</v>
      </c>
      <c r="C231" t="s">
        <v>841</v>
      </c>
      <c r="D231" s="137">
        <v>3340000</v>
      </c>
      <c r="E231" t="s">
        <v>455</v>
      </c>
      <c r="F231" s="20" t="s">
        <v>456</v>
      </c>
      <c r="G231" s="8" t="str">
        <f t="shared" si="6"/>
        <v>ELBAUM MIKE</v>
      </c>
      <c r="H231" s="20" t="str">
        <f t="shared" si="7"/>
        <v>4060</v>
      </c>
    </row>
    <row r="232" spans="1:8" x14ac:dyDescent="0.3">
      <c r="A232" s="8">
        <v>43108.868472222224</v>
      </c>
      <c r="B232" t="s">
        <v>554</v>
      </c>
      <c r="C232" t="s">
        <v>842</v>
      </c>
      <c r="D232" s="137">
        <v>3680000</v>
      </c>
      <c r="E232" t="s">
        <v>458</v>
      </c>
      <c r="F232" s="20" t="s">
        <v>459</v>
      </c>
      <c r="G232" s="8" t="str">
        <f t="shared" si="6"/>
        <v>HAMMOND JUSTYNN</v>
      </c>
      <c r="H232" s="20" t="str">
        <f t="shared" si="7"/>
        <v>4025</v>
      </c>
    </row>
    <row r="233" spans="1:8" x14ac:dyDescent="0.3">
      <c r="A233" s="8">
        <v>43108.875509259262</v>
      </c>
      <c r="B233" t="s">
        <v>476</v>
      </c>
      <c r="C233" t="s">
        <v>843</v>
      </c>
      <c r="D233" s="137">
        <v>2000000</v>
      </c>
      <c r="E233" t="s">
        <v>393</v>
      </c>
      <c r="F233" s="20" t="s">
        <v>394</v>
      </c>
      <c r="G233" s="8" t="str">
        <f t="shared" si="6"/>
        <v>STAMBAUGH JAMES</v>
      </c>
      <c r="H233" s="20" t="str">
        <f t="shared" si="7"/>
        <v>4064</v>
      </c>
    </row>
    <row r="234" spans="1:8" x14ac:dyDescent="0.3">
      <c r="A234" s="8">
        <v>43108.878298611111</v>
      </c>
      <c r="B234" t="s">
        <v>476</v>
      </c>
      <c r="C234" t="s">
        <v>843</v>
      </c>
      <c r="D234" s="137">
        <v>3700000</v>
      </c>
      <c r="E234" t="s">
        <v>443</v>
      </c>
      <c r="F234" s="20" t="s">
        <v>368</v>
      </c>
      <c r="G234" s="8" t="str">
        <f t="shared" si="6"/>
        <v>AUSTIN THOMPSON</v>
      </c>
      <c r="H234" s="20" t="str">
        <f t="shared" si="7"/>
        <v>4064</v>
      </c>
    </row>
    <row r="235" spans="1:8" x14ac:dyDescent="0.3">
      <c r="A235" s="8">
        <v>43108.88003472222</v>
      </c>
      <c r="B235" t="s">
        <v>462</v>
      </c>
      <c r="C235" t="s">
        <v>844</v>
      </c>
      <c r="D235" s="137">
        <v>890000</v>
      </c>
      <c r="E235" t="s">
        <v>343</v>
      </c>
      <c r="F235" s="20" t="s">
        <v>344</v>
      </c>
      <c r="G235" s="8" t="str">
        <f t="shared" si="6"/>
        <v>LOZA FIDEL</v>
      </c>
      <c r="H235" s="20" t="str">
        <f t="shared" si="7"/>
        <v>4044</v>
      </c>
    </row>
    <row r="236" spans="1:8" x14ac:dyDescent="0.3">
      <c r="A236" s="8">
        <v>43108.890092592592</v>
      </c>
      <c r="B236" t="s">
        <v>469</v>
      </c>
      <c r="C236" t="s">
        <v>845</v>
      </c>
      <c r="D236" s="137">
        <v>3040000</v>
      </c>
      <c r="E236" t="s">
        <v>367</v>
      </c>
      <c r="F236" s="20" t="s">
        <v>501</v>
      </c>
      <c r="G236" s="8" t="str">
        <f t="shared" si="6"/>
        <v>WILLIAMS DONTE</v>
      </c>
      <c r="H236" s="20" t="str">
        <f t="shared" si="7"/>
        <v>4019</v>
      </c>
    </row>
    <row r="237" spans="1:8" x14ac:dyDescent="0.3">
      <c r="A237" s="8">
        <v>43108.892847222225</v>
      </c>
      <c r="B237" t="s">
        <v>485</v>
      </c>
      <c r="C237" t="s">
        <v>846</v>
      </c>
      <c r="D237" s="137">
        <v>3700000</v>
      </c>
      <c r="E237" t="s">
        <v>443</v>
      </c>
      <c r="F237" s="20" t="s">
        <v>368</v>
      </c>
      <c r="G237" s="8" t="str">
        <f t="shared" si="6"/>
        <v>AUSTIN THOMPSON</v>
      </c>
      <c r="H237" s="20" t="str">
        <f t="shared" si="7"/>
        <v>4063</v>
      </c>
    </row>
    <row r="238" spans="1:8" x14ac:dyDescent="0.3">
      <c r="A238" s="8">
        <v>43108.901689814818</v>
      </c>
      <c r="B238" t="s">
        <v>389</v>
      </c>
      <c r="C238" t="s">
        <v>640</v>
      </c>
      <c r="D238" s="137">
        <v>3340000</v>
      </c>
      <c r="E238" t="s">
        <v>455</v>
      </c>
      <c r="F238" s="20" t="s">
        <v>456</v>
      </c>
      <c r="G238" s="8" t="str">
        <f t="shared" si="6"/>
        <v>ELBAUM MIKE</v>
      </c>
      <c r="H238" s="20" t="str">
        <f t="shared" si="7"/>
        <v>4059</v>
      </c>
    </row>
    <row r="239" spans="1:8" x14ac:dyDescent="0.3">
      <c r="A239" s="8">
        <v>43108.912256944444</v>
      </c>
      <c r="B239" t="s">
        <v>559</v>
      </c>
      <c r="C239" t="s">
        <v>847</v>
      </c>
      <c r="D239" s="137">
        <v>3220000</v>
      </c>
      <c r="E239" t="s">
        <v>377</v>
      </c>
      <c r="F239" s="20" t="s">
        <v>378</v>
      </c>
      <c r="G239" s="8" t="str">
        <f t="shared" si="6"/>
        <v>RESPASS AARON</v>
      </c>
      <c r="H239" s="20" t="str">
        <f t="shared" si="7"/>
        <v>4026</v>
      </c>
    </row>
    <row r="240" spans="1:8" x14ac:dyDescent="0.3">
      <c r="A240" s="8">
        <v>43108.919305555559</v>
      </c>
      <c r="B240" t="s">
        <v>476</v>
      </c>
      <c r="C240" t="s">
        <v>848</v>
      </c>
      <c r="D240" s="137">
        <v>2000000</v>
      </c>
      <c r="E240" t="s">
        <v>393</v>
      </c>
      <c r="F240" s="20" t="s">
        <v>394</v>
      </c>
      <c r="G240" s="8" t="str">
        <f t="shared" si="6"/>
        <v>STAMBAUGH JAMES</v>
      </c>
      <c r="H240" s="20" t="str">
        <f t="shared" si="7"/>
        <v>4064</v>
      </c>
    </row>
    <row r="241" spans="1:8" x14ac:dyDescent="0.3">
      <c r="A241" s="8">
        <v>43108.922824074078</v>
      </c>
      <c r="B241" t="s">
        <v>470</v>
      </c>
      <c r="C241" t="s">
        <v>849</v>
      </c>
      <c r="D241" s="137">
        <v>3040000</v>
      </c>
      <c r="E241" t="s">
        <v>367</v>
      </c>
      <c r="F241" s="20" t="s">
        <v>501</v>
      </c>
      <c r="G241" s="8" t="str">
        <f t="shared" si="6"/>
        <v>WILLIAMS DONTE</v>
      </c>
      <c r="H241" s="20" t="str">
        <f t="shared" si="7"/>
        <v>4020</v>
      </c>
    </row>
    <row r="242" spans="1:8" x14ac:dyDescent="0.3">
      <c r="A242" s="8">
        <v>43108.933831018519</v>
      </c>
      <c r="B242" t="s">
        <v>499</v>
      </c>
      <c r="C242" t="s">
        <v>850</v>
      </c>
      <c r="D242" s="137">
        <v>890000</v>
      </c>
      <c r="E242" t="s">
        <v>343</v>
      </c>
      <c r="F242" s="20" t="s">
        <v>344</v>
      </c>
      <c r="G242" s="8" t="str">
        <f t="shared" si="6"/>
        <v>LOZA FIDEL</v>
      </c>
      <c r="H242" s="20" t="str">
        <f t="shared" si="7"/>
        <v>4043</v>
      </c>
    </row>
    <row r="243" spans="1:8" x14ac:dyDescent="0.3">
      <c r="A243" s="8">
        <v>43108.93513888889</v>
      </c>
      <c r="B243" t="s">
        <v>485</v>
      </c>
      <c r="C243" t="s">
        <v>851</v>
      </c>
      <c r="D243" s="137">
        <v>2000000</v>
      </c>
      <c r="E243" t="s">
        <v>393</v>
      </c>
      <c r="F243" s="20" t="s">
        <v>394</v>
      </c>
      <c r="G243" s="8" t="str">
        <f t="shared" si="6"/>
        <v>STAMBAUGH JAMES</v>
      </c>
      <c r="H243" s="20" t="str">
        <f t="shared" si="7"/>
        <v>4063</v>
      </c>
    </row>
    <row r="244" spans="1:8" x14ac:dyDescent="0.3">
      <c r="A244" s="8">
        <v>43108.944074074076</v>
      </c>
      <c r="B244" t="s">
        <v>356</v>
      </c>
      <c r="C244" t="s">
        <v>852</v>
      </c>
      <c r="D244" s="137">
        <v>3340000</v>
      </c>
      <c r="E244" t="s">
        <v>455</v>
      </c>
      <c r="F244" s="20" t="s">
        <v>456</v>
      </c>
      <c r="G244" s="8" t="str">
        <f t="shared" si="6"/>
        <v>ELBAUM MIKE</v>
      </c>
      <c r="H244" s="20" t="str">
        <f t="shared" si="7"/>
        <v>4060</v>
      </c>
    </row>
    <row r="245" spans="1:8" x14ac:dyDescent="0.3">
      <c r="A245" s="8">
        <v>43108.945300925923</v>
      </c>
      <c r="B245" t="s">
        <v>554</v>
      </c>
      <c r="C245" t="s">
        <v>853</v>
      </c>
      <c r="D245" s="137">
        <v>3220000</v>
      </c>
      <c r="E245" t="s">
        <v>377</v>
      </c>
      <c r="F245" s="20" t="s">
        <v>378</v>
      </c>
      <c r="G245" s="8" t="str">
        <f t="shared" si="6"/>
        <v>RESPASS AARON</v>
      </c>
      <c r="H245" s="20" t="str">
        <f t="shared" si="7"/>
        <v>4025</v>
      </c>
    </row>
    <row r="246" spans="1:8" x14ac:dyDescent="0.3">
      <c r="A246" s="8">
        <v>43108.952569444446</v>
      </c>
      <c r="B246" t="s">
        <v>356</v>
      </c>
      <c r="C246" t="s">
        <v>852</v>
      </c>
      <c r="D246" s="137">
        <v>3700000</v>
      </c>
      <c r="E246" t="s">
        <v>443</v>
      </c>
      <c r="F246" s="20" t="s">
        <v>368</v>
      </c>
      <c r="G246" s="8" t="str">
        <f t="shared" si="6"/>
        <v>AUSTIN THOMPSON</v>
      </c>
      <c r="H246" s="20" t="str">
        <f t="shared" si="7"/>
        <v>4060</v>
      </c>
    </row>
    <row r="247" spans="1:8" x14ac:dyDescent="0.3">
      <c r="A247" s="8">
        <v>43108.95652777778</v>
      </c>
      <c r="B247" t="s">
        <v>476</v>
      </c>
      <c r="C247" t="s">
        <v>641</v>
      </c>
      <c r="D247" s="137">
        <v>2000000</v>
      </c>
      <c r="E247" t="s">
        <v>393</v>
      </c>
      <c r="F247" s="20" t="s">
        <v>394</v>
      </c>
      <c r="G247" s="8" t="str">
        <f t="shared" si="6"/>
        <v>STAMBAUGH JAMES</v>
      </c>
      <c r="H247" s="20" t="str">
        <f t="shared" si="7"/>
        <v>4064</v>
      </c>
    </row>
    <row r="248" spans="1:8" x14ac:dyDescent="0.3">
      <c r="A248" s="8">
        <v>43108.966562499998</v>
      </c>
      <c r="B248" t="s">
        <v>462</v>
      </c>
      <c r="C248" t="s">
        <v>854</v>
      </c>
      <c r="D248" s="137">
        <v>890000</v>
      </c>
      <c r="E248" t="s">
        <v>343</v>
      </c>
      <c r="F248" s="20" t="s">
        <v>344</v>
      </c>
      <c r="G248" s="8" t="str">
        <f t="shared" si="6"/>
        <v>LOZA FIDEL</v>
      </c>
      <c r="H248" s="20" t="str">
        <f t="shared" si="7"/>
        <v>4044</v>
      </c>
    </row>
    <row r="249" spans="1:8" x14ac:dyDescent="0.3">
      <c r="A249" s="8">
        <v>43108.973726851851</v>
      </c>
      <c r="B249" t="s">
        <v>469</v>
      </c>
      <c r="C249" t="s">
        <v>855</v>
      </c>
      <c r="D249" s="137">
        <v>3040000</v>
      </c>
      <c r="E249" t="s">
        <v>367</v>
      </c>
      <c r="F249" s="20" t="s">
        <v>501</v>
      </c>
      <c r="G249" s="8" t="str">
        <f t="shared" si="6"/>
        <v>WILLIAMS DONTE</v>
      </c>
      <c r="H249" s="20" t="str">
        <f t="shared" si="7"/>
        <v>4019</v>
      </c>
    </row>
    <row r="250" spans="1:8" x14ac:dyDescent="0.3">
      <c r="A250" s="8">
        <v>43108.975543981483</v>
      </c>
      <c r="B250" t="s">
        <v>485</v>
      </c>
      <c r="C250" t="s">
        <v>642</v>
      </c>
      <c r="D250" s="137">
        <v>2000000</v>
      </c>
      <c r="E250" t="s">
        <v>393</v>
      </c>
      <c r="F250" s="20" t="s">
        <v>394</v>
      </c>
      <c r="G250" s="8" t="str">
        <f t="shared" si="6"/>
        <v>STAMBAUGH JAMES</v>
      </c>
      <c r="H250" s="20" t="str">
        <f t="shared" si="7"/>
        <v>4063</v>
      </c>
    </row>
    <row r="251" spans="1:8" x14ac:dyDescent="0.3">
      <c r="A251" s="8">
        <v>43108.985000000001</v>
      </c>
      <c r="B251" t="s">
        <v>559</v>
      </c>
      <c r="C251" t="s">
        <v>856</v>
      </c>
      <c r="D251" s="137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4026</v>
      </c>
    </row>
    <row r="252" spans="1:8" x14ac:dyDescent="0.3">
      <c r="A252" s="8">
        <v>43108.996504629627</v>
      </c>
      <c r="B252" t="s">
        <v>389</v>
      </c>
      <c r="C252" t="s">
        <v>857</v>
      </c>
      <c r="D252" s="137">
        <v>3700000</v>
      </c>
      <c r="E252" t="s">
        <v>443</v>
      </c>
      <c r="F252" s="20" t="s">
        <v>368</v>
      </c>
      <c r="G252" s="8" t="str">
        <f t="shared" si="6"/>
        <v>AUSTIN THOMPSON</v>
      </c>
      <c r="H252" s="20" t="str">
        <f t="shared" si="7"/>
        <v>4059</v>
      </c>
    </row>
    <row r="253" spans="1:8" x14ac:dyDescent="0.3">
      <c r="A253" s="8">
        <v>43109.014953703707</v>
      </c>
      <c r="B253" t="s">
        <v>470</v>
      </c>
      <c r="C253" t="s">
        <v>446</v>
      </c>
      <c r="D253" s="137">
        <v>3040000</v>
      </c>
      <c r="E253" t="s">
        <v>367</v>
      </c>
      <c r="F253" s="20" t="s">
        <v>501</v>
      </c>
      <c r="G253" s="8" t="str">
        <f t="shared" si="6"/>
        <v>WILLIAMS DONTE</v>
      </c>
      <c r="H253" s="20" t="str">
        <f t="shared" si="7"/>
        <v>4020</v>
      </c>
    </row>
    <row r="254" spans="1:8" x14ac:dyDescent="0.3">
      <c r="A254" s="8">
        <v>43109.016770833332</v>
      </c>
      <c r="B254" t="s">
        <v>499</v>
      </c>
      <c r="C254" t="s">
        <v>448</v>
      </c>
      <c r="D254" s="137">
        <v>890000</v>
      </c>
      <c r="E254" t="s">
        <v>343</v>
      </c>
      <c r="F254" s="20" t="s">
        <v>344</v>
      </c>
      <c r="G254" s="8" t="str">
        <f t="shared" si="6"/>
        <v>LOZA FIDEL</v>
      </c>
      <c r="H254" s="20" t="str">
        <f t="shared" si="7"/>
        <v>4043</v>
      </c>
    </row>
    <row r="255" spans="1:8" x14ac:dyDescent="0.3">
      <c r="A255" s="8">
        <v>43109.024594907409</v>
      </c>
      <c r="B255" t="s">
        <v>356</v>
      </c>
      <c r="C255" t="s">
        <v>449</v>
      </c>
      <c r="D255" s="137">
        <v>3340000</v>
      </c>
      <c r="E255" t="s">
        <v>455</v>
      </c>
      <c r="F255" s="20" t="s">
        <v>456</v>
      </c>
      <c r="G255" s="8" t="str">
        <f t="shared" si="6"/>
        <v>ELBAUM MIKE</v>
      </c>
      <c r="H255" s="20" t="str">
        <f t="shared" si="7"/>
        <v>4060</v>
      </c>
    </row>
    <row r="256" spans="1:8" x14ac:dyDescent="0.3">
      <c r="A256" s="8">
        <v>43109.034814814811</v>
      </c>
      <c r="B256" t="s">
        <v>554</v>
      </c>
      <c r="C256" t="s">
        <v>450</v>
      </c>
      <c r="D256" s="137">
        <v>3220000</v>
      </c>
      <c r="E256" t="s">
        <v>377</v>
      </c>
      <c r="F256" s="20" t="s">
        <v>378</v>
      </c>
      <c r="G256" s="8" t="str">
        <f t="shared" si="6"/>
        <v>RESPASS AARON</v>
      </c>
      <c r="H256" s="20" t="str">
        <f t="shared" si="7"/>
        <v>4025</v>
      </c>
    </row>
    <row r="257" spans="1:8" x14ac:dyDescent="0.3">
      <c r="A257" s="8">
        <v>43109.046967592592</v>
      </c>
      <c r="B257" t="s">
        <v>462</v>
      </c>
      <c r="C257" t="s">
        <v>451</v>
      </c>
      <c r="D257" s="137">
        <v>890000</v>
      </c>
      <c r="E257" t="s">
        <v>343</v>
      </c>
      <c r="F257" s="20" t="s">
        <v>344</v>
      </c>
      <c r="G257" s="8" t="str">
        <f t="shared" si="6"/>
        <v>LOZA FIDEL</v>
      </c>
      <c r="H257" s="20" t="str">
        <f t="shared" si="7"/>
        <v>4044</v>
      </c>
    </row>
    <row r="258" spans="1:8" x14ac:dyDescent="0.3">
      <c r="A258" s="8">
        <v>43109.056608796294</v>
      </c>
      <c r="B258" t="s">
        <v>469</v>
      </c>
      <c r="C258" t="s">
        <v>452</v>
      </c>
      <c r="D258" s="137">
        <v>3040000</v>
      </c>
      <c r="E258" t="s">
        <v>367</v>
      </c>
      <c r="F258" s="20" t="s">
        <v>501</v>
      </c>
      <c r="G258" s="8" t="str">
        <f t="shared" si="6"/>
        <v>WILLIAMS DONTE</v>
      </c>
      <c r="H258" s="20" t="str">
        <f t="shared" si="7"/>
        <v>4019</v>
      </c>
    </row>
    <row r="259" spans="1:8" x14ac:dyDescent="0.3">
      <c r="A259" s="8">
        <v>43109.067326388889</v>
      </c>
      <c r="B259" t="s">
        <v>559</v>
      </c>
      <c r="C259" t="s">
        <v>453</v>
      </c>
      <c r="D259" s="137">
        <v>3220000</v>
      </c>
      <c r="E259" t="s">
        <v>377</v>
      </c>
      <c r="F259" s="20" t="s">
        <v>378</v>
      </c>
      <c r="G259" s="8" t="str">
        <f t="shared" ref="G259:G313" si="8">E259&amp;" "&amp;F259</f>
        <v>RESPASS AARON</v>
      </c>
      <c r="H259" s="20" t="str">
        <f t="shared" ref="H259:H313" si="9">MID(B259,13,4)</f>
        <v>4026</v>
      </c>
    </row>
    <row r="260" spans="1:8" x14ac:dyDescent="0.3">
      <c r="A260" s="8">
        <v>43109.112534722219</v>
      </c>
      <c r="B260" t="s">
        <v>557</v>
      </c>
      <c r="C260" t="s">
        <v>858</v>
      </c>
      <c r="D260" s="137">
        <v>1830000</v>
      </c>
      <c r="E260" t="s">
        <v>345</v>
      </c>
      <c r="F260" s="20" t="s">
        <v>346</v>
      </c>
      <c r="G260" s="8" t="str">
        <f t="shared" si="8"/>
        <v>YORK EDGAR</v>
      </c>
      <c r="H260" s="20" t="str">
        <f t="shared" si="9"/>
        <v>4013</v>
      </c>
    </row>
    <row r="261" spans="1:8" x14ac:dyDescent="0.3">
      <c r="A261" s="8">
        <v>43109.113611111112</v>
      </c>
      <c r="B261" t="s">
        <v>557</v>
      </c>
      <c r="C261" t="s">
        <v>858</v>
      </c>
      <c r="D261" s="137">
        <v>1830000</v>
      </c>
      <c r="E261" t="s">
        <v>345</v>
      </c>
      <c r="F261" s="20" t="s">
        <v>346</v>
      </c>
      <c r="G261" s="8" t="str">
        <f t="shared" si="8"/>
        <v>YORK EDGAR</v>
      </c>
      <c r="H261" s="20" t="str">
        <f t="shared" si="9"/>
        <v>4013</v>
      </c>
    </row>
    <row r="262" spans="1:8" x14ac:dyDescent="0.3">
      <c r="A262" s="8">
        <v>43048.057881944442</v>
      </c>
      <c r="B262" t="s">
        <v>389</v>
      </c>
      <c r="C262" t="s">
        <v>452</v>
      </c>
      <c r="D262" s="137">
        <v>3700000</v>
      </c>
      <c r="E262" t="s">
        <v>443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445</v>
      </c>
      <c r="C263" t="s">
        <v>453</v>
      </c>
      <c r="D263" s="137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356</v>
      </c>
      <c r="C264" t="s">
        <v>454</v>
      </c>
      <c r="D264" s="137">
        <v>3700000</v>
      </c>
      <c r="E264" t="s">
        <v>443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385</v>
      </c>
      <c r="C265" t="s">
        <v>397</v>
      </c>
      <c r="D265" s="137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359</v>
      </c>
      <c r="C266" t="s">
        <v>398</v>
      </c>
      <c r="D266" s="137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383</v>
      </c>
      <c r="C267" t="s">
        <v>399</v>
      </c>
      <c r="D267" s="137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389</v>
      </c>
      <c r="C268" t="s">
        <v>400</v>
      </c>
      <c r="D268" s="137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361</v>
      </c>
      <c r="C269" t="s">
        <v>401</v>
      </c>
      <c r="D269" s="137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402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403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404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390</v>
      </c>
      <c r="C273" t="s">
        <v>405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391</v>
      </c>
      <c r="C274" t="s">
        <v>406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407</v>
      </c>
      <c r="D275" s="137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408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409</v>
      </c>
      <c r="D277" s="137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410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411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412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413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414</v>
      </c>
      <c r="D283" s="137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415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416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417</v>
      </c>
      <c r="D286" s="137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417</v>
      </c>
      <c r="D287" s="137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391</v>
      </c>
      <c r="C288" t="s">
        <v>418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419</v>
      </c>
      <c r="D289" s="137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420</v>
      </c>
      <c r="D290" s="137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421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422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423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424</v>
      </c>
      <c r="D295" s="137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425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426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427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428</v>
      </c>
      <c r="D299" s="137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391</v>
      </c>
      <c r="C300" t="s">
        <v>429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430</v>
      </c>
      <c r="D301" s="137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431</v>
      </c>
      <c r="D302" s="137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432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433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434</v>
      </c>
      <c r="D306" s="137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435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436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391</v>
      </c>
      <c r="C309" t="s">
        <v>437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438</v>
      </c>
      <c r="D310" s="137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439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440</v>
      </c>
      <c r="D312" s="137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333</v>
      </c>
      <c r="O1" s="217" t="s">
        <v>154</v>
      </c>
      <c r="P1" s="217" t="s">
        <v>161</v>
      </c>
      <c r="Q1" s="217" t="s">
        <v>334</v>
      </c>
      <c r="R1" s="217" t="s">
        <v>158</v>
      </c>
      <c r="S1"/>
      <c r="T1"/>
    </row>
    <row r="2" spans="1:20" x14ac:dyDescent="0.3">
      <c r="A2" s="195">
        <v>31.67</v>
      </c>
      <c r="B2" s="195">
        <v>0.03</v>
      </c>
      <c r="C2" s="195">
        <v>20.79</v>
      </c>
      <c r="D2" s="8">
        <v>43108</v>
      </c>
      <c r="E2" s="195">
        <v>0.64</v>
      </c>
      <c r="F2" s="195" t="s">
        <v>488</v>
      </c>
      <c r="G2" s="195">
        <v>295.14</v>
      </c>
      <c r="H2" s="195">
        <v>0</v>
      </c>
      <c r="I2" s="195">
        <v>0</v>
      </c>
      <c r="J2" s="195">
        <v>1019.12</v>
      </c>
      <c r="K2" s="195" t="s">
        <v>487</v>
      </c>
      <c r="L2" s="195">
        <v>31.67</v>
      </c>
      <c r="M2" s="195">
        <v>1515394800</v>
      </c>
      <c r="N2" s="195">
        <v>0</v>
      </c>
      <c r="O2" s="195">
        <v>3.39</v>
      </c>
      <c r="P2" s="195">
        <v>175</v>
      </c>
      <c r="Q2" s="195">
        <v>3.34</v>
      </c>
      <c r="R2" s="195">
        <v>0.78</v>
      </c>
      <c r="S2"/>
      <c r="T2"/>
    </row>
    <row r="3" spans="1:20" x14ac:dyDescent="0.3">
      <c r="A3" s="195">
        <v>30.64</v>
      </c>
      <c r="B3" s="195">
        <v>0.03</v>
      </c>
      <c r="C3" s="195">
        <v>20.95</v>
      </c>
      <c r="D3" s="8">
        <v>43108.041666666664</v>
      </c>
      <c r="E3" s="195">
        <v>0.67</v>
      </c>
      <c r="F3" s="195" t="s">
        <v>488</v>
      </c>
      <c r="G3" s="195">
        <v>296.58999999999997</v>
      </c>
      <c r="H3" s="195">
        <v>0</v>
      </c>
      <c r="I3" s="195">
        <v>0</v>
      </c>
      <c r="J3" s="195">
        <v>1020.43</v>
      </c>
      <c r="K3" s="195" t="s">
        <v>487</v>
      </c>
      <c r="L3" s="195">
        <v>30.64</v>
      </c>
      <c r="M3" s="195">
        <v>1515398400</v>
      </c>
      <c r="N3" s="195">
        <v>0</v>
      </c>
      <c r="O3" s="195">
        <v>3.16</v>
      </c>
      <c r="P3" s="195">
        <v>237</v>
      </c>
      <c r="Q3" s="195">
        <v>3.25</v>
      </c>
      <c r="R3" s="195">
        <v>0.98</v>
      </c>
      <c r="S3"/>
      <c r="T3"/>
    </row>
    <row r="4" spans="1:20" x14ac:dyDescent="0.3">
      <c r="A4" s="195">
        <v>29.85</v>
      </c>
      <c r="B4" s="195">
        <v>0.02</v>
      </c>
      <c r="C4" s="195">
        <v>20.84</v>
      </c>
      <c r="D4" s="8">
        <v>43108.083333333336</v>
      </c>
      <c r="E4" s="195">
        <v>0.69</v>
      </c>
      <c r="F4" s="195" t="s">
        <v>488</v>
      </c>
      <c r="G4" s="195">
        <v>297.48</v>
      </c>
      <c r="H4" s="195">
        <v>0</v>
      </c>
      <c r="I4" s="195">
        <v>0</v>
      </c>
      <c r="J4" s="195">
        <v>1020.91</v>
      </c>
      <c r="K4" s="195" t="s">
        <v>487</v>
      </c>
      <c r="L4" s="195">
        <v>29.85</v>
      </c>
      <c r="M4" s="195">
        <v>1515402000</v>
      </c>
      <c r="N4" s="195">
        <v>0</v>
      </c>
      <c r="O4" s="195">
        <v>3.11</v>
      </c>
      <c r="P4" s="195">
        <v>256</v>
      </c>
      <c r="Q4" s="195">
        <v>2.29</v>
      </c>
      <c r="R4" s="195">
        <v>0.51</v>
      </c>
      <c r="S4"/>
      <c r="T4"/>
    </row>
    <row r="5" spans="1:20" x14ac:dyDescent="0.3">
      <c r="A5" s="195">
        <v>28.9</v>
      </c>
      <c r="B5" s="195">
        <v>0</v>
      </c>
      <c r="C5" s="195">
        <v>20.79</v>
      </c>
      <c r="D5" s="8">
        <v>43108.125</v>
      </c>
      <c r="E5" s="195">
        <v>0.71</v>
      </c>
      <c r="F5" s="195" t="s">
        <v>488</v>
      </c>
      <c r="G5" s="195">
        <v>297.14</v>
      </c>
      <c r="H5" s="195">
        <v>0</v>
      </c>
      <c r="I5" s="195">
        <v>0</v>
      </c>
      <c r="J5" s="195">
        <v>1020.83</v>
      </c>
      <c r="K5" s="195" t="s">
        <v>487</v>
      </c>
      <c r="L5" s="195">
        <v>28.9</v>
      </c>
      <c r="M5" s="195">
        <v>1515405600</v>
      </c>
      <c r="N5" s="195">
        <v>0</v>
      </c>
      <c r="O5" s="195">
        <v>3.65</v>
      </c>
      <c r="P5" s="195">
        <v>239</v>
      </c>
      <c r="Q5" s="195">
        <v>1.91</v>
      </c>
      <c r="R5" s="195">
        <v>0.49</v>
      </c>
      <c r="S5"/>
      <c r="T5"/>
    </row>
    <row r="6" spans="1:20" x14ac:dyDescent="0.3">
      <c r="A6" s="195">
        <v>27.53</v>
      </c>
      <c r="B6" s="195">
        <v>0.02</v>
      </c>
      <c r="C6" s="195">
        <v>20.420000000000002</v>
      </c>
      <c r="D6" s="8">
        <v>43108.166666666664</v>
      </c>
      <c r="E6" s="195">
        <v>0.74</v>
      </c>
      <c r="F6" s="195" t="s">
        <v>488</v>
      </c>
      <c r="G6" s="195">
        <v>296.26</v>
      </c>
      <c r="H6" s="195">
        <v>0</v>
      </c>
      <c r="I6" s="195">
        <v>0</v>
      </c>
      <c r="J6" s="195">
        <v>1019.2</v>
      </c>
      <c r="K6" s="195" t="s">
        <v>487</v>
      </c>
      <c r="L6" s="195">
        <v>27.53</v>
      </c>
      <c r="M6" s="195">
        <v>1515409200</v>
      </c>
      <c r="N6" s="195">
        <v>0</v>
      </c>
      <c r="O6" s="195">
        <v>4.03</v>
      </c>
      <c r="P6" s="195">
        <v>211</v>
      </c>
      <c r="Q6" s="195">
        <v>2.17</v>
      </c>
      <c r="R6" s="195">
        <v>0.65</v>
      </c>
      <c r="S6"/>
      <c r="T6"/>
    </row>
    <row r="7" spans="1:20" x14ac:dyDescent="0.3">
      <c r="A7" s="195">
        <v>27.09</v>
      </c>
      <c r="B7" s="195">
        <v>0.02</v>
      </c>
      <c r="C7" s="195">
        <v>20.37</v>
      </c>
      <c r="D7" s="8">
        <v>43108.208333333336</v>
      </c>
      <c r="E7" s="195">
        <v>0.75</v>
      </c>
      <c r="F7" s="195" t="s">
        <v>488</v>
      </c>
      <c r="G7" s="195">
        <v>294.48</v>
      </c>
      <c r="H7" s="195">
        <v>0</v>
      </c>
      <c r="I7" s="195">
        <v>0</v>
      </c>
      <c r="J7" s="195">
        <v>1019.05</v>
      </c>
      <c r="K7" s="195" t="s">
        <v>487</v>
      </c>
      <c r="L7" s="195">
        <v>27.09</v>
      </c>
      <c r="M7" s="195">
        <v>1515412800</v>
      </c>
      <c r="N7" s="195">
        <v>0</v>
      </c>
      <c r="O7" s="195">
        <v>3.79</v>
      </c>
      <c r="P7" s="195">
        <v>218</v>
      </c>
      <c r="Q7" s="195">
        <v>2.3199999999999998</v>
      </c>
      <c r="R7" s="195">
        <v>0.68</v>
      </c>
      <c r="S7"/>
      <c r="T7"/>
    </row>
    <row r="8" spans="1:20" x14ac:dyDescent="0.3">
      <c r="A8" s="195">
        <v>26.58</v>
      </c>
      <c r="B8" s="195">
        <v>0.05</v>
      </c>
      <c r="C8" s="195">
        <v>20.170000000000002</v>
      </c>
      <c r="D8" s="8">
        <v>43108.25</v>
      </c>
      <c r="E8" s="195">
        <v>0.76</v>
      </c>
      <c r="F8" s="195" t="s">
        <v>488</v>
      </c>
      <c r="G8" s="195">
        <v>294.26</v>
      </c>
      <c r="H8" s="195">
        <v>0</v>
      </c>
      <c r="I8" s="195">
        <v>0</v>
      </c>
      <c r="J8" s="195">
        <v>1020.29</v>
      </c>
      <c r="K8" s="195" t="s">
        <v>487</v>
      </c>
      <c r="L8" s="195">
        <v>26.58</v>
      </c>
      <c r="M8" s="195">
        <v>1515416400</v>
      </c>
      <c r="N8" s="195">
        <v>0</v>
      </c>
      <c r="O8" s="195">
        <v>2.21</v>
      </c>
      <c r="P8" s="195">
        <v>206</v>
      </c>
      <c r="Q8" s="195">
        <v>2.1800000000000002</v>
      </c>
      <c r="R8" s="195">
        <v>0.76</v>
      </c>
      <c r="S8"/>
      <c r="T8"/>
    </row>
    <row r="9" spans="1:20" x14ac:dyDescent="0.3">
      <c r="A9" s="195">
        <v>26.57</v>
      </c>
      <c r="B9" s="195">
        <v>0.02</v>
      </c>
      <c r="C9" s="195">
        <v>20.100000000000001</v>
      </c>
      <c r="D9" s="8">
        <v>43108.291666666664</v>
      </c>
      <c r="E9" s="195">
        <v>0.76</v>
      </c>
      <c r="F9" s="195" t="s">
        <v>488</v>
      </c>
      <c r="G9" s="195">
        <v>294.48</v>
      </c>
      <c r="H9" s="195">
        <v>0</v>
      </c>
      <c r="I9" s="195">
        <v>0</v>
      </c>
      <c r="J9" s="195">
        <v>1020.19</v>
      </c>
      <c r="K9" s="195" t="s">
        <v>487</v>
      </c>
      <c r="L9" s="195">
        <v>26.57</v>
      </c>
      <c r="M9" s="195">
        <v>1515420000</v>
      </c>
      <c r="N9" s="195">
        <v>0</v>
      </c>
      <c r="O9" s="195">
        <v>3.48</v>
      </c>
      <c r="P9" s="195">
        <v>203</v>
      </c>
      <c r="Q9" s="195">
        <v>2.3199999999999998</v>
      </c>
      <c r="R9" s="195">
        <v>0.77</v>
      </c>
      <c r="S9"/>
      <c r="T9"/>
    </row>
    <row r="10" spans="1:20" x14ac:dyDescent="0.3">
      <c r="A10" s="195">
        <v>28.49</v>
      </c>
      <c r="B10" s="195">
        <v>0.08</v>
      </c>
      <c r="C10" s="195">
        <v>20.84</v>
      </c>
      <c r="D10" s="8">
        <v>43108.333333333336</v>
      </c>
      <c r="E10" s="195">
        <v>0.73</v>
      </c>
      <c r="F10" s="195" t="s">
        <v>486</v>
      </c>
      <c r="G10" s="195">
        <v>294.48</v>
      </c>
      <c r="H10" s="195">
        <v>0</v>
      </c>
      <c r="I10" s="195">
        <v>0</v>
      </c>
      <c r="J10" s="195">
        <v>1019.3</v>
      </c>
      <c r="K10" s="195" t="s">
        <v>487</v>
      </c>
      <c r="L10" s="195">
        <v>28.49</v>
      </c>
      <c r="M10" s="195">
        <v>1515423600</v>
      </c>
      <c r="N10" s="195">
        <v>0</v>
      </c>
      <c r="O10" s="195">
        <v>4.93</v>
      </c>
      <c r="P10" s="195">
        <v>197</v>
      </c>
      <c r="Q10" s="195">
        <v>2.4700000000000002</v>
      </c>
      <c r="R10" s="195">
        <v>0.67</v>
      </c>
      <c r="S10"/>
      <c r="T10"/>
    </row>
    <row r="11" spans="1:20" x14ac:dyDescent="0.3">
      <c r="A11" s="195">
        <v>31.6</v>
      </c>
      <c r="B11" s="195">
        <v>0.09</v>
      </c>
      <c r="C11" s="195">
        <v>22.3</v>
      </c>
      <c r="D11" s="8">
        <v>43108.375</v>
      </c>
      <c r="E11" s="195">
        <v>0.68</v>
      </c>
      <c r="F11" s="195" t="s">
        <v>486</v>
      </c>
      <c r="G11" s="195">
        <v>294.48</v>
      </c>
      <c r="H11" s="195">
        <v>0</v>
      </c>
      <c r="I11" s="195">
        <v>0</v>
      </c>
      <c r="J11" s="195">
        <v>1018.81</v>
      </c>
      <c r="K11" s="195" t="s">
        <v>487</v>
      </c>
      <c r="L11" s="195">
        <v>31.6</v>
      </c>
      <c r="M11" s="195">
        <v>1515427200</v>
      </c>
      <c r="N11" s="195">
        <v>1</v>
      </c>
      <c r="O11" s="195">
        <v>3.74</v>
      </c>
      <c r="P11" s="195">
        <v>187</v>
      </c>
      <c r="Q11" s="195">
        <v>3.01</v>
      </c>
      <c r="R11" s="195">
        <v>0.68</v>
      </c>
      <c r="S11"/>
      <c r="T11"/>
    </row>
    <row r="12" spans="1:20" x14ac:dyDescent="0.3">
      <c r="A12" s="195">
        <v>35.33</v>
      </c>
      <c r="B12" s="195">
        <v>0.16</v>
      </c>
      <c r="C12" s="195">
        <v>24.1</v>
      </c>
      <c r="D12" s="8">
        <v>43108.416666666664</v>
      </c>
      <c r="E12" s="195">
        <v>0.63</v>
      </c>
      <c r="F12" s="195" t="s">
        <v>486</v>
      </c>
      <c r="G12" s="195">
        <v>294.48</v>
      </c>
      <c r="H12" s="195">
        <v>0</v>
      </c>
      <c r="I12" s="195">
        <v>0</v>
      </c>
      <c r="J12" s="195">
        <v>1017.34</v>
      </c>
      <c r="K12" s="195" t="s">
        <v>487</v>
      </c>
      <c r="L12" s="195">
        <v>35.33</v>
      </c>
      <c r="M12" s="195">
        <v>1515430800</v>
      </c>
      <c r="N12" s="195">
        <v>1</v>
      </c>
      <c r="O12" s="195">
        <v>4.54</v>
      </c>
      <c r="P12" s="195">
        <v>220</v>
      </c>
      <c r="Q12" s="195">
        <v>2.35</v>
      </c>
      <c r="R12" s="195">
        <v>0.47</v>
      </c>
      <c r="S12"/>
      <c r="T12"/>
    </row>
    <row r="13" spans="1:20" x14ac:dyDescent="0.3">
      <c r="A13" s="195">
        <v>38.229999999999997</v>
      </c>
      <c r="B13" s="195">
        <v>0.11</v>
      </c>
      <c r="C13" s="195">
        <v>25.01</v>
      </c>
      <c r="D13" s="8">
        <v>43108.458333333336</v>
      </c>
      <c r="E13" s="195">
        <v>0.59</v>
      </c>
      <c r="F13" s="195" t="s">
        <v>486</v>
      </c>
      <c r="G13" s="195">
        <v>289.29000000000002</v>
      </c>
      <c r="H13" s="195">
        <v>0</v>
      </c>
      <c r="I13" s="195">
        <v>0</v>
      </c>
      <c r="J13" s="195">
        <v>1016.24</v>
      </c>
      <c r="K13" s="195" t="s">
        <v>487</v>
      </c>
      <c r="L13" s="195">
        <v>38.229999999999997</v>
      </c>
      <c r="M13" s="195">
        <v>1515434400</v>
      </c>
      <c r="N13" s="195">
        <v>2</v>
      </c>
      <c r="O13" s="195">
        <v>5.45</v>
      </c>
      <c r="P13" s="195">
        <v>236</v>
      </c>
      <c r="Q13" s="195">
        <v>2.2799999999999998</v>
      </c>
      <c r="R13" s="195">
        <v>7.0000000000000007E-2</v>
      </c>
      <c r="S13"/>
      <c r="T13"/>
    </row>
    <row r="14" spans="1:20" x14ac:dyDescent="0.3">
      <c r="A14" s="195">
        <v>40.15</v>
      </c>
      <c r="B14" s="195">
        <v>0.11</v>
      </c>
      <c r="C14" s="195">
        <v>25.36</v>
      </c>
      <c r="D14" s="8">
        <v>43108.5</v>
      </c>
      <c r="E14" s="195">
        <v>0.55000000000000004</v>
      </c>
      <c r="F14" s="195" t="s">
        <v>486</v>
      </c>
      <c r="G14" s="195">
        <v>288.14999999999998</v>
      </c>
      <c r="H14" s="195">
        <v>0</v>
      </c>
      <c r="I14" s="195">
        <v>0</v>
      </c>
      <c r="J14" s="195">
        <v>1014.22</v>
      </c>
      <c r="K14" s="195" t="s">
        <v>487</v>
      </c>
      <c r="L14" s="195">
        <v>40.15</v>
      </c>
      <c r="M14" s="195">
        <v>1515438000</v>
      </c>
      <c r="N14" s="195">
        <v>2</v>
      </c>
      <c r="O14" s="195">
        <v>5.53</v>
      </c>
      <c r="P14" s="195">
        <v>292</v>
      </c>
      <c r="Q14" s="195">
        <v>2.44</v>
      </c>
      <c r="R14" s="195">
        <v>0.31</v>
      </c>
      <c r="S14"/>
      <c r="T14"/>
    </row>
    <row r="15" spans="1:20" x14ac:dyDescent="0.3">
      <c r="A15" s="195">
        <v>41.83</v>
      </c>
      <c r="B15" s="195">
        <v>0.16</v>
      </c>
      <c r="C15" s="195">
        <v>25.85</v>
      </c>
      <c r="D15" s="8">
        <v>43108.541666666664</v>
      </c>
      <c r="E15" s="195">
        <v>0.53</v>
      </c>
      <c r="F15" s="195" t="s">
        <v>486</v>
      </c>
      <c r="G15" s="195">
        <v>287.12</v>
      </c>
      <c r="H15" s="195">
        <v>0</v>
      </c>
      <c r="I15" s="195">
        <v>0</v>
      </c>
      <c r="J15" s="195">
        <v>1013.86</v>
      </c>
      <c r="K15" s="195" t="s">
        <v>487</v>
      </c>
      <c r="L15" s="195">
        <v>41.83</v>
      </c>
      <c r="M15" s="195">
        <v>1515441600</v>
      </c>
      <c r="N15" s="195">
        <v>2</v>
      </c>
      <c r="O15" s="195">
        <v>5.44</v>
      </c>
      <c r="P15" s="195">
        <v>221</v>
      </c>
      <c r="Q15" s="195">
        <v>1.99</v>
      </c>
      <c r="R15" s="195">
        <v>0.38</v>
      </c>
      <c r="S15"/>
      <c r="T15"/>
    </row>
    <row r="16" spans="1:20" x14ac:dyDescent="0.3">
      <c r="A16" s="195">
        <v>44.39</v>
      </c>
      <c r="B16" s="195">
        <v>0.15</v>
      </c>
      <c r="C16" s="195">
        <v>26.19</v>
      </c>
      <c r="D16" s="8">
        <v>43108.583333333336</v>
      </c>
      <c r="E16" s="195">
        <v>0.48</v>
      </c>
      <c r="F16" s="195" t="s">
        <v>486</v>
      </c>
      <c r="G16" s="195">
        <v>286.08</v>
      </c>
      <c r="H16" s="195">
        <v>0</v>
      </c>
      <c r="I16" s="195">
        <v>0</v>
      </c>
      <c r="J16" s="195">
        <v>1012.91</v>
      </c>
      <c r="K16" s="195" t="s">
        <v>487</v>
      </c>
      <c r="L16" s="195">
        <v>44.39</v>
      </c>
      <c r="M16" s="195">
        <v>1515445200</v>
      </c>
      <c r="N16" s="195">
        <v>2</v>
      </c>
      <c r="O16" s="195">
        <v>5.69</v>
      </c>
      <c r="P16" s="195">
        <v>263</v>
      </c>
      <c r="Q16" s="195">
        <v>1.81</v>
      </c>
      <c r="R16" s="195">
        <v>0.15</v>
      </c>
      <c r="S16"/>
      <c r="T16"/>
    </row>
    <row r="17" spans="1:20" x14ac:dyDescent="0.3">
      <c r="A17" s="195">
        <v>46.27</v>
      </c>
      <c r="B17" s="195">
        <v>0.2</v>
      </c>
      <c r="C17" s="195">
        <v>26.55</v>
      </c>
      <c r="D17" s="8">
        <v>43108.625</v>
      </c>
      <c r="E17" s="195">
        <v>0.46</v>
      </c>
      <c r="F17" s="195" t="s">
        <v>486</v>
      </c>
      <c r="G17" s="195">
        <v>284.57</v>
      </c>
      <c r="H17" s="195">
        <v>0</v>
      </c>
      <c r="I17" s="195">
        <v>0</v>
      </c>
      <c r="J17" s="195">
        <v>1012.69</v>
      </c>
      <c r="K17" s="195" t="s">
        <v>487</v>
      </c>
      <c r="L17" s="195">
        <v>46.27</v>
      </c>
      <c r="M17" s="195">
        <v>1515448800</v>
      </c>
      <c r="N17" s="195">
        <v>1</v>
      </c>
      <c r="O17" s="195">
        <v>5.44</v>
      </c>
      <c r="P17" s="195">
        <v>329</v>
      </c>
      <c r="Q17" s="195">
        <v>2.0099999999999998</v>
      </c>
      <c r="R17" s="195">
        <v>0.28999999999999998</v>
      </c>
      <c r="S17"/>
      <c r="T17"/>
    </row>
    <row r="18" spans="1:20" x14ac:dyDescent="0.3">
      <c r="A18" s="195">
        <v>50.1</v>
      </c>
      <c r="B18" s="195">
        <v>0.17</v>
      </c>
      <c r="C18" s="195">
        <v>26.52</v>
      </c>
      <c r="D18" s="8">
        <v>43108.666666666664</v>
      </c>
      <c r="E18" s="195">
        <v>0.4</v>
      </c>
      <c r="F18" s="195" t="s">
        <v>486</v>
      </c>
      <c r="G18" s="195">
        <v>282.82</v>
      </c>
      <c r="H18" s="195">
        <v>0</v>
      </c>
      <c r="I18" s="195">
        <v>0</v>
      </c>
      <c r="J18" s="195">
        <v>1012.98</v>
      </c>
      <c r="K18" s="195" t="s">
        <v>487</v>
      </c>
      <c r="L18" s="195">
        <v>50.1</v>
      </c>
      <c r="M18" s="195">
        <v>1515452400</v>
      </c>
      <c r="N18" s="195">
        <v>1</v>
      </c>
      <c r="O18" s="195">
        <v>5.6</v>
      </c>
      <c r="P18" s="195">
        <v>58</v>
      </c>
      <c r="Q18" s="195">
        <v>2.02</v>
      </c>
      <c r="R18" s="195">
        <v>0.19</v>
      </c>
      <c r="S18"/>
      <c r="T18"/>
    </row>
    <row r="19" spans="1:20" x14ac:dyDescent="0.3">
      <c r="A19" s="195">
        <v>46.46</v>
      </c>
      <c r="B19" s="195">
        <v>0.17</v>
      </c>
      <c r="C19" s="195">
        <v>26.23</v>
      </c>
      <c r="D19" s="8">
        <v>43108.708333333336</v>
      </c>
      <c r="E19" s="195">
        <v>0.45</v>
      </c>
      <c r="F19" s="195" t="s">
        <v>488</v>
      </c>
      <c r="G19" s="195">
        <v>277.5</v>
      </c>
      <c r="H19" s="195">
        <v>0</v>
      </c>
      <c r="I19" s="195">
        <v>0</v>
      </c>
      <c r="J19" s="195">
        <v>1012.33</v>
      </c>
      <c r="K19" s="195" t="s">
        <v>487</v>
      </c>
      <c r="L19" s="195">
        <v>46.46</v>
      </c>
      <c r="M19" s="195">
        <v>1515456000</v>
      </c>
      <c r="N19" s="195">
        <v>0</v>
      </c>
      <c r="O19" s="195">
        <v>5.59</v>
      </c>
      <c r="P19" s="195">
        <v>21</v>
      </c>
      <c r="Q19" s="195">
        <v>1.64</v>
      </c>
      <c r="R19" s="195">
        <v>0.27</v>
      </c>
      <c r="S19"/>
      <c r="T19"/>
    </row>
    <row r="20" spans="1:20" x14ac:dyDescent="0.3">
      <c r="A20" s="195">
        <v>42.13</v>
      </c>
      <c r="B20" s="195">
        <v>0.25</v>
      </c>
      <c r="C20" s="195">
        <v>25.4</v>
      </c>
      <c r="D20" s="8">
        <v>43108.75</v>
      </c>
      <c r="E20" s="195">
        <v>0.51</v>
      </c>
      <c r="F20" s="195" t="s">
        <v>531</v>
      </c>
      <c r="G20" s="195">
        <v>276.54000000000002</v>
      </c>
      <c r="H20" s="195">
        <v>0</v>
      </c>
      <c r="I20" s="195">
        <v>0</v>
      </c>
      <c r="J20" s="195">
        <v>1012.82</v>
      </c>
      <c r="K20" s="195" t="s">
        <v>530</v>
      </c>
      <c r="L20" s="195">
        <v>42.13</v>
      </c>
      <c r="M20" s="195">
        <v>1515459600</v>
      </c>
      <c r="N20" s="195">
        <v>0</v>
      </c>
      <c r="O20" s="195">
        <v>4.26</v>
      </c>
      <c r="P20" s="195">
        <v>243</v>
      </c>
      <c r="Q20" s="195">
        <v>2.3199999999999998</v>
      </c>
      <c r="R20" s="195">
        <v>0.05</v>
      </c>
      <c r="S20"/>
      <c r="T20"/>
    </row>
    <row r="21" spans="1:20" x14ac:dyDescent="0.3">
      <c r="A21" s="195">
        <v>39.049999999999997</v>
      </c>
      <c r="B21" s="195">
        <v>0.16</v>
      </c>
      <c r="C21" s="195">
        <v>24.94</v>
      </c>
      <c r="D21" s="8">
        <v>43108.791666666664</v>
      </c>
      <c r="E21" s="195">
        <v>0.56999999999999995</v>
      </c>
      <c r="F21" s="195" t="s">
        <v>488</v>
      </c>
      <c r="G21" s="195">
        <v>276.42</v>
      </c>
      <c r="H21" s="195">
        <v>0</v>
      </c>
      <c r="I21" s="195">
        <v>0</v>
      </c>
      <c r="J21" s="195">
        <v>1013.79</v>
      </c>
      <c r="K21" s="195" t="s">
        <v>487</v>
      </c>
      <c r="L21" s="195">
        <v>39.049999999999997</v>
      </c>
      <c r="M21" s="195">
        <v>1515463200</v>
      </c>
      <c r="N21" s="195">
        <v>0</v>
      </c>
      <c r="O21" s="195">
        <v>3.82</v>
      </c>
      <c r="P21" s="195">
        <v>118</v>
      </c>
      <c r="Q21" s="195">
        <v>2.2599999999999998</v>
      </c>
      <c r="R21" s="195">
        <v>0.08</v>
      </c>
      <c r="S21"/>
      <c r="T21"/>
    </row>
    <row r="22" spans="1:20" x14ac:dyDescent="0.3">
      <c r="A22" s="195">
        <v>37.99</v>
      </c>
      <c r="B22" s="195">
        <v>0.24</v>
      </c>
      <c r="C22" s="195">
        <v>24.85</v>
      </c>
      <c r="D22" s="8">
        <v>43108.833333333336</v>
      </c>
      <c r="E22" s="195">
        <v>0.59</v>
      </c>
      <c r="F22" s="195" t="s">
        <v>488</v>
      </c>
      <c r="G22" s="195">
        <v>276.18</v>
      </c>
      <c r="H22" s="195">
        <v>0</v>
      </c>
      <c r="I22" s="195">
        <v>0</v>
      </c>
      <c r="J22" s="195">
        <v>1014.42</v>
      </c>
      <c r="K22" s="195" t="s">
        <v>487</v>
      </c>
      <c r="L22" s="195">
        <v>37.99</v>
      </c>
      <c r="M22" s="195">
        <v>1515466800</v>
      </c>
      <c r="N22" s="195">
        <v>0</v>
      </c>
      <c r="O22" s="195">
        <v>4.1900000000000004</v>
      </c>
      <c r="P22" s="195">
        <v>219</v>
      </c>
      <c r="Q22" s="195">
        <v>3.1</v>
      </c>
      <c r="R22" s="195">
        <v>0.73</v>
      </c>
      <c r="S22"/>
      <c r="T22"/>
    </row>
    <row r="23" spans="1:20" x14ac:dyDescent="0.3">
      <c r="A23" s="195">
        <v>38.86</v>
      </c>
      <c r="B23" s="195">
        <v>0.16</v>
      </c>
      <c r="C23" s="195">
        <v>24.77</v>
      </c>
      <c r="D23" s="8">
        <v>43108.875</v>
      </c>
      <c r="E23" s="195">
        <v>0.56999999999999995</v>
      </c>
      <c r="F23" s="195" t="s">
        <v>488</v>
      </c>
      <c r="G23" s="195">
        <v>275.58</v>
      </c>
      <c r="H23" s="195">
        <v>0</v>
      </c>
      <c r="I23" s="195">
        <v>0</v>
      </c>
      <c r="J23" s="195">
        <v>1013.67</v>
      </c>
      <c r="K23" s="195" t="s">
        <v>487</v>
      </c>
      <c r="L23" s="195">
        <v>38.86</v>
      </c>
      <c r="M23" s="195">
        <v>1515470400</v>
      </c>
      <c r="N23" s="195">
        <v>0</v>
      </c>
      <c r="O23" s="195">
        <v>4.24</v>
      </c>
      <c r="P23" s="195">
        <v>199</v>
      </c>
      <c r="Q23" s="195">
        <v>2.21</v>
      </c>
      <c r="R23" s="195">
        <v>0.37</v>
      </c>
      <c r="S23"/>
      <c r="T23"/>
    </row>
    <row r="24" spans="1:20" x14ac:dyDescent="0.3">
      <c r="A24" s="195">
        <v>37.78</v>
      </c>
      <c r="B24" s="195">
        <v>0.27</v>
      </c>
      <c r="C24" s="195">
        <v>24.32</v>
      </c>
      <c r="D24" s="8">
        <v>43108.916666666664</v>
      </c>
      <c r="E24" s="195">
        <v>0.57999999999999996</v>
      </c>
      <c r="F24" s="195" t="s">
        <v>531</v>
      </c>
      <c r="G24" s="195">
        <v>275.10000000000002</v>
      </c>
      <c r="H24" s="195">
        <v>0</v>
      </c>
      <c r="I24" s="195">
        <v>0</v>
      </c>
      <c r="J24" s="195">
        <v>1013.12</v>
      </c>
      <c r="K24" s="195" t="s">
        <v>530</v>
      </c>
      <c r="L24" s="195">
        <v>37.78</v>
      </c>
      <c r="M24" s="195">
        <v>1515474000</v>
      </c>
      <c r="N24" s="195">
        <v>0</v>
      </c>
      <c r="O24" s="195">
        <v>4</v>
      </c>
      <c r="P24" s="195">
        <v>236</v>
      </c>
      <c r="Q24" s="195">
        <v>2.41</v>
      </c>
      <c r="R24" s="195">
        <v>0.4</v>
      </c>
      <c r="S24"/>
      <c r="T24"/>
    </row>
    <row r="25" spans="1:20" x14ac:dyDescent="0.3">
      <c r="A25" s="195">
        <v>37.82</v>
      </c>
      <c r="B25" s="195">
        <v>0.19</v>
      </c>
      <c r="C25" s="195">
        <v>23.96</v>
      </c>
      <c r="D25" s="8">
        <v>43108.958333333336</v>
      </c>
      <c r="E25" s="195">
        <v>0.56999999999999995</v>
      </c>
      <c r="F25" s="195" t="s">
        <v>488</v>
      </c>
      <c r="G25" s="195">
        <v>275.33999999999997</v>
      </c>
      <c r="H25" s="195">
        <v>0</v>
      </c>
      <c r="I25" s="195">
        <v>0</v>
      </c>
      <c r="J25" s="195">
        <v>1011.76</v>
      </c>
      <c r="K25" s="195" t="s">
        <v>487</v>
      </c>
      <c r="L25" s="195">
        <v>37.82</v>
      </c>
      <c r="M25" s="195">
        <v>1515477600</v>
      </c>
      <c r="N25" s="195">
        <v>0</v>
      </c>
      <c r="O25" s="195">
        <v>4.03</v>
      </c>
      <c r="P25" s="195">
        <v>240</v>
      </c>
      <c r="Q25" s="195">
        <v>3.04</v>
      </c>
      <c r="R25" s="195">
        <v>0.28999999999999998</v>
      </c>
      <c r="S25"/>
      <c r="T25"/>
    </row>
    <row r="26" spans="1:20" x14ac:dyDescent="0.3">
      <c r="A26" s="195">
        <v>36.979999999999997</v>
      </c>
      <c r="B26" s="195">
        <v>0.14000000000000001</v>
      </c>
      <c r="C26" s="195">
        <v>23.42</v>
      </c>
      <c r="D26" s="8">
        <v>43109</v>
      </c>
      <c r="E26" s="195">
        <v>0.57999999999999996</v>
      </c>
      <c r="F26" s="195" t="s">
        <v>488</v>
      </c>
      <c r="G26" s="195">
        <v>275.7</v>
      </c>
      <c r="H26" s="195">
        <v>0</v>
      </c>
      <c r="I26" s="195">
        <v>0</v>
      </c>
      <c r="J26" s="195">
        <v>1011.55</v>
      </c>
      <c r="K26" s="195" t="s">
        <v>487</v>
      </c>
      <c r="L26" s="195">
        <v>36.979999999999997</v>
      </c>
      <c r="M26" s="195">
        <v>1515481200</v>
      </c>
      <c r="N26" s="195">
        <v>0</v>
      </c>
      <c r="O26" s="195">
        <v>3.74</v>
      </c>
      <c r="P26" s="195">
        <v>214</v>
      </c>
      <c r="Q26" s="195">
        <v>3.17</v>
      </c>
      <c r="R26" s="195">
        <v>0.45</v>
      </c>
      <c r="S26"/>
      <c r="T26"/>
    </row>
    <row r="27" spans="1:20" x14ac:dyDescent="0.3">
      <c r="A27" s="195">
        <v>37.83</v>
      </c>
      <c r="B27" s="195">
        <v>0.16</v>
      </c>
      <c r="C27" s="195">
        <v>22.06</v>
      </c>
      <c r="D27" s="8">
        <v>43109.041666666664</v>
      </c>
      <c r="E27" s="195">
        <v>0.53</v>
      </c>
      <c r="F27" s="195" t="s">
        <v>488</v>
      </c>
      <c r="G27" s="195">
        <v>276.29000000000002</v>
      </c>
      <c r="H27" s="195">
        <v>0</v>
      </c>
      <c r="I27" s="195">
        <v>0</v>
      </c>
      <c r="J27" s="195">
        <v>1011.39</v>
      </c>
      <c r="K27" s="195" t="s">
        <v>487</v>
      </c>
      <c r="L27" s="195">
        <v>37.83</v>
      </c>
      <c r="M27" s="195">
        <v>1515484800</v>
      </c>
      <c r="N27" s="195">
        <v>0</v>
      </c>
      <c r="O27" s="195">
        <v>3.01</v>
      </c>
      <c r="P27" s="195">
        <v>200</v>
      </c>
      <c r="Q27" s="195">
        <v>4.1900000000000004</v>
      </c>
      <c r="R27" s="195">
        <v>0.6</v>
      </c>
      <c r="S27"/>
      <c r="T27"/>
    </row>
    <row r="28" spans="1:20" x14ac:dyDescent="0.3">
      <c r="A28" s="195">
        <v>37.65</v>
      </c>
      <c r="B28" s="195">
        <v>0.19</v>
      </c>
      <c r="C28" s="195">
        <v>22.39</v>
      </c>
      <c r="D28" s="8">
        <v>43109.083333333336</v>
      </c>
      <c r="E28" s="195">
        <v>0.54</v>
      </c>
      <c r="F28" s="195" t="s">
        <v>488</v>
      </c>
      <c r="G28" s="195">
        <v>276.89</v>
      </c>
      <c r="H28" s="195">
        <v>0</v>
      </c>
      <c r="I28" s="195">
        <v>0</v>
      </c>
      <c r="J28" s="195">
        <v>1010.83</v>
      </c>
      <c r="K28" s="195" t="s">
        <v>487</v>
      </c>
      <c r="L28" s="195">
        <v>37.65</v>
      </c>
      <c r="M28" s="195">
        <v>1515488400</v>
      </c>
      <c r="N28" s="195">
        <v>0</v>
      </c>
      <c r="O28" s="195">
        <v>2.99</v>
      </c>
      <c r="P28" s="195">
        <v>229</v>
      </c>
      <c r="Q28" s="195">
        <v>3.59</v>
      </c>
      <c r="R28" s="195">
        <v>0.54</v>
      </c>
      <c r="S28"/>
      <c r="T28"/>
    </row>
    <row r="29" spans="1:20" x14ac:dyDescent="0.3">
      <c r="A29" s="195">
        <v>39.049999999999997</v>
      </c>
      <c r="B29" s="195">
        <v>0.23</v>
      </c>
      <c r="C29" s="195">
        <v>22.53</v>
      </c>
      <c r="D29" s="8">
        <v>43109.125</v>
      </c>
      <c r="E29" s="195">
        <v>0.51</v>
      </c>
      <c r="F29" s="195" t="s">
        <v>488</v>
      </c>
      <c r="G29" s="195">
        <v>277.36</v>
      </c>
      <c r="H29" s="195">
        <v>0</v>
      </c>
      <c r="I29" s="195">
        <v>0</v>
      </c>
      <c r="J29" s="195">
        <v>1011.08</v>
      </c>
      <c r="K29" s="195" t="s">
        <v>487</v>
      </c>
      <c r="L29" s="195">
        <v>39.049999999999997</v>
      </c>
      <c r="M29" s="195">
        <v>1515492000</v>
      </c>
      <c r="N29" s="195">
        <v>0</v>
      </c>
      <c r="O29" s="195">
        <v>6.54</v>
      </c>
      <c r="P29" s="195">
        <v>226</v>
      </c>
      <c r="Q29" s="195">
        <v>4.26</v>
      </c>
      <c r="R29" s="195">
        <v>0.75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10" workbookViewId="0">
      <selection activeCell="C18" sqref="C18:C30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43108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1072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618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1073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1074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1075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1076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1077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1078</v>
      </c>
      <c r="J25" s="139" t="s">
        <v>144</v>
      </c>
      <c r="M25" s="153" t="b">
        <v>1</v>
      </c>
    </row>
    <row r="26" spans="3:24" x14ac:dyDescent="0.3">
      <c r="C26" t="s">
        <v>1079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%USERPROFILE%\Documents\GitHub\eaglep3-reporting\EC\2018-01-08-refined-times.txt</v>
      </c>
    </row>
    <row r="27" spans="3:24" x14ac:dyDescent="0.3">
      <c r="C27" t="s">
        <v>1080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%USERPROFILE%\Documents\GitHub\eaglep3-reporting\EC\2018-01-08-Enforcements.txt</v>
      </c>
    </row>
    <row r="28" spans="3:24" x14ac:dyDescent="0.3">
      <c r="C28" t="s">
        <v>1081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%USERPROFILE%\Documents\GitHub\eaglep3-reporting\EC\2018-01-08-Runs-refined.txt</v>
      </c>
    </row>
    <row r="29" spans="3:24" x14ac:dyDescent="0.3">
      <c r="C29" t="s">
        <v>1082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%USERPROFILE%\Documents\GitHub\eaglep3-reporting\EC\2018-01-08-Trips.txt</v>
      </c>
    </row>
    <row r="30" spans="3:24" x14ac:dyDescent="0.3">
      <c r="C30" t="s">
        <v>1083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%USERPROFILE%\Documents\GitHub\eaglep3-reporting\EC\2018-01-08-Weather.txt</v>
      </c>
    </row>
    <row r="31" spans="3:24" x14ac:dyDescent="0.3">
      <c r="J31" s="139" t="s">
        <v>187</v>
      </c>
      <c r="M31" s="153" t="s">
        <v>188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2018-01-10T16:19:04Z</dcterms:modified>
</cp:coreProperties>
</file>